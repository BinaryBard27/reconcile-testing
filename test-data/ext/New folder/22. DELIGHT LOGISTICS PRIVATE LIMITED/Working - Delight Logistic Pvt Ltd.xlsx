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22. DELIGHT LOGISTICS PRIVATE LIMITED\"/>
    </mc:Choice>
  </mc:AlternateContent>
  <xr:revisionPtr revIDLastSave="0" documentId="13_ncr:1_{941BED93-7918-44C4-9EBA-2F1FFB43F115}" xr6:coauthVersionLast="47" xr6:coauthVersionMax="47" xr10:uidLastSave="{00000000-0000-0000-0000-000000000000}"/>
  <bookViews>
    <workbookView xWindow="-110" yWindow="-110" windowWidth="21820" windowHeight="14020" tabRatio="888" activeTab="9" xr2:uid="{9AF8DAB4-2D54-4288-950F-B424E112FC36}"/>
  </bookViews>
  <sheets>
    <sheet name="Summary" sheetId="8" r:id="rId1"/>
    <sheet name="Invoices Not in customer books" sheetId="9" r:id="rId2"/>
    <sheet name="Invoice no ref in cutomer books" sheetId="11" state="hidden" r:id="rId3"/>
    <sheet name="Customer Data" sheetId="1" r:id="rId4"/>
    <sheet name="Invoices not in Ascendus books" sheetId="12" r:id="rId5"/>
    <sheet name="TDS" sheetId="3" r:id="rId6"/>
    <sheet name="Sheet1" sheetId="5" state="hidden" r:id="rId7"/>
    <sheet name="Payment Reco" sheetId="7" r:id="rId8"/>
    <sheet name="Customer Payments" sheetId="6" r:id="rId9"/>
    <sheet name="Ascendus Data" sheetId="2" r:id="rId10"/>
  </sheets>
  <definedNames>
    <definedName name="_xlnm._FilterDatabase" localSheetId="9" hidden="1">'Ascendus Data'!$A$1:$AH$117</definedName>
    <definedName name="_xlnm._FilterDatabase" localSheetId="3" hidden="1">'Customer Data'!$A$2:$I$414</definedName>
    <definedName name="_xlnm._FilterDatabase" localSheetId="8" hidden="1">'Customer Payments'!$A$2:$O$39</definedName>
    <definedName name="_xlnm._FilterDatabase" localSheetId="7" hidden="1">'Payment Reco'!$E$2:$G$5</definedName>
    <definedName name="_xlnm._FilterDatabase" localSheetId="6" hidden="1">Sheet1!$A$2:$L$71</definedName>
    <definedName name="_xlnm._FilterDatabase" localSheetId="5" hidden="1">TDS!$A$2:$F$67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8" l="1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2" i="6"/>
  <c r="L3" i="6"/>
  <c r="B4" i="8"/>
  <c r="B3" i="8"/>
  <c r="D1" i="3"/>
  <c r="I322" i="1"/>
  <c r="H39" i="9"/>
  <c r="V121" i="2"/>
  <c r="B5" i="8"/>
  <c r="T114" i="2"/>
  <c r="D5" i="12"/>
  <c r="E5" i="12" l="1"/>
  <c r="F5" i="12"/>
  <c r="B6" i="8" s="1"/>
  <c r="P28" i="11"/>
  <c r="H404" i="1"/>
  <c r="I404" i="1" s="1"/>
  <c r="H399" i="1"/>
  <c r="I399" i="1" s="1"/>
  <c r="H389" i="1"/>
  <c r="I389" i="1" s="1"/>
  <c r="H384" i="1"/>
  <c r="I384" i="1" s="1"/>
  <c r="H377" i="1"/>
  <c r="I377" i="1" s="1"/>
  <c r="H370" i="1"/>
  <c r="I370" i="1" s="1"/>
  <c r="H365" i="1"/>
  <c r="I365" i="1" s="1"/>
  <c r="H360" i="1"/>
  <c r="I360" i="1" s="1"/>
  <c r="H350" i="1"/>
  <c r="I350" i="1" s="1"/>
  <c r="H346" i="1"/>
  <c r="I346" i="1" s="1"/>
  <c r="H341" i="1"/>
  <c r="I341" i="1" s="1"/>
  <c r="H333" i="1"/>
  <c r="I333" i="1" s="1"/>
  <c r="H327" i="1"/>
  <c r="I327" i="1" s="1"/>
  <c r="H315" i="1"/>
  <c r="I315" i="1" s="1"/>
  <c r="H310" i="1"/>
  <c r="I310" i="1" s="1"/>
  <c r="H302" i="1"/>
  <c r="I302" i="1" s="1"/>
  <c r="H290" i="1"/>
  <c r="I290" i="1" s="1"/>
  <c r="H282" i="1"/>
  <c r="I282" i="1" s="1"/>
  <c r="H275" i="1"/>
  <c r="I275" i="1" s="1"/>
  <c r="H266" i="1"/>
  <c r="I266" i="1" s="1"/>
  <c r="H222" i="1"/>
  <c r="I222" i="1" s="1"/>
  <c r="H205" i="1"/>
  <c r="I205" i="1" s="1"/>
  <c r="H199" i="1"/>
  <c r="I199" i="1" s="1"/>
  <c r="H186" i="1"/>
  <c r="I186" i="1" s="1"/>
  <c r="H163" i="1"/>
  <c r="I163" i="1" s="1"/>
  <c r="H156" i="1"/>
  <c r="I156" i="1" s="1"/>
  <c r="H146" i="1"/>
  <c r="I146" i="1" s="1"/>
  <c r="H76" i="1"/>
  <c r="I76" i="1" s="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3" i="11"/>
  <c r="B8" i="8"/>
  <c r="I6" i="7"/>
  <c r="H6" i="7"/>
  <c r="D412" i="1"/>
  <c r="E412" i="1"/>
  <c r="H3" i="1"/>
  <c r="F412" i="1" l="1"/>
  <c r="I3" i="1"/>
  <c r="B2" i="8"/>
  <c r="B9" i="8" l="1"/>
  <c r="I5" i="7"/>
  <c r="I4" i="7"/>
  <c r="I3" i="7"/>
  <c r="AA113" i="2"/>
  <c r="AA100" i="2"/>
  <c r="AA87" i="2"/>
  <c r="AA76" i="2"/>
  <c r="AA75" i="2"/>
  <c r="AA74" i="2"/>
  <c r="AA73" i="2"/>
  <c r="AA71" i="2"/>
  <c r="AA67" i="2"/>
  <c r="AA66" i="2"/>
  <c r="AA65" i="2"/>
  <c r="AA53" i="2"/>
  <c r="AA52" i="2"/>
  <c r="AA51" i="2"/>
  <c r="AA48" i="2"/>
  <c r="AA47" i="2"/>
  <c r="AA46" i="2"/>
  <c r="AA45" i="2"/>
  <c r="AA44" i="2"/>
  <c r="AA43" i="2"/>
  <c r="AA42" i="2"/>
  <c r="AA41" i="2"/>
  <c r="AA40" i="2"/>
  <c r="AA39" i="2"/>
  <c r="AA35" i="2"/>
  <c r="AA34" i="2"/>
  <c r="AA32" i="2"/>
  <c r="AA30" i="2"/>
  <c r="AA29" i="2"/>
  <c r="AA28" i="2"/>
  <c r="AA27" i="2"/>
  <c r="AA26" i="2"/>
  <c r="AA25" i="2"/>
  <c r="AA24" i="2"/>
  <c r="AA23" i="2"/>
  <c r="AA22" i="2"/>
  <c r="AA21" i="2"/>
  <c r="AA20" i="2"/>
  <c r="AA15" i="2"/>
  <c r="AA14" i="2"/>
  <c r="AA13" i="2"/>
  <c r="AA12" i="2"/>
  <c r="AA11" i="2"/>
  <c r="AA9" i="2"/>
  <c r="AA8" i="2"/>
  <c r="AA7" i="2"/>
  <c r="AA6" i="2"/>
  <c r="AA5" i="2"/>
  <c r="AA4" i="2"/>
  <c r="AA3" i="2"/>
  <c r="AA2" i="2"/>
  <c r="H261" i="1"/>
  <c r="I261" i="1" s="1"/>
  <c r="H256" i="1"/>
  <c r="I256" i="1" s="1"/>
  <c r="H251" i="1"/>
  <c r="I251" i="1" s="1"/>
  <c r="H245" i="1"/>
  <c r="I245" i="1" s="1"/>
  <c r="H236" i="1"/>
  <c r="I236" i="1" s="1"/>
  <c r="H231" i="1"/>
  <c r="I231" i="1" s="1"/>
  <c r="H225" i="1"/>
  <c r="I225" i="1" s="1"/>
  <c r="H219" i="1"/>
  <c r="I219" i="1" s="1"/>
  <c r="H213" i="1"/>
  <c r="I213" i="1" s="1"/>
  <c r="H193" i="1"/>
  <c r="I193" i="1" s="1"/>
  <c r="H178" i="1"/>
  <c r="I178" i="1" s="1"/>
  <c r="H172" i="1"/>
  <c r="I172" i="1" s="1"/>
  <c r="H140" i="1"/>
  <c r="I140" i="1" s="1"/>
  <c r="H133" i="1"/>
  <c r="I133" i="1" s="1"/>
  <c r="H127" i="1"/>
  <c r="I127" i="1" s="1"/>
  <c r="H120" i="1"/>
  <c r="I120" i="1" s="1"/>
  <c r="H114" i="1"/>
  <c r="I114" i="1" s="1"/>
  <c r="H109" i="1"/>
  <c r="I109" i="1" s="1"/>
  <c r="H103" i="1"/>
  <c r="I103" i="1" s="1"/>
  <c r="H95" i="1"/>
  <c r="I95" i="1" s="1"/>
  <c r="H90" i="1"/>
  <c r="I90" i="1" s="1"/>
  <c r="H86" i="1"/>
  <c r="I86" i="1" s="1"/>
  <c r="H81" i="1"/>
  <c r="I81" i="1" s="1"/>
  <c r="H71" i="1"/>
  <c r="I71" i="1" s="1"/>
  <c r="H66" i="1"/>
  <c r="I66" i="1" s="1"/>
  <c r="H61" i="1"/>
  <c r="I61" i="1" s="1"/>
  <c r="H56" i="1"/>
  <c r="I56" i="1" s="1"/>
  <c r="H50" i="1"/>
  <c r="I50" i="1" s="1"/>
  <c r="H45" i="1"/>
  <c r="I45" i="1" s="1"/>
  <c r="H39" i="1"/>
  <c r="I39" i="1" s="1"/>
  <c r="H33" i="1"/>
  <c r="I33" i="1" s="1"/>
  <c r="H26" i="1"/>
  <c r="I26" i="1" s="1"/>
  <c r="H19" i="1"/>
  <c r="I19" i="1" s="1"/>
  <c r="H13" i="1"/>
  <c r="I13" i="1" s="1"/>
  <c r="H8" i="1"/>
  <c r="L39" i="6"/>
  <c r="K39" i="6"/>
  <c r="J39" i="6"/>
  <c r="F39" i="6"/>
  <c r="L71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32" i="5"/>
  <c r="L33" i="5"/>
  <c r="L34" i="5"/>
  <c r="L35" i="5"/>
  <c r="L36" i="5"/>
  <c r="L37" i="5"/>
  <c r="L38" i="5"/>
  <c r="L39" i="5"/>
  <c r="L27" i="5"/>
  <c r="L28" i="5"/>
  <c r="L29" i="5"/>
  <c r="L30" i="5"/>
  <c r="L31" i="5"/>
  <c r="L25" i="5"/>
  <c r="L26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F404" i="1"/>
  <c r="G404" i="1" s="1"/>
  <c r="F399" i="1"/>
  <c r="G399" i="1" s="1"/>
  <c r="F389" i="1"/>
  <c r="G389" i="1" s="1"/>
  <c r="F384" i="1"/>
  <c r="G384" i="1" s="1"/>
  <c r="F377" i="1"/>
  <c r="G377" i="1" s="1"/>
  <c r="F370" i="1"/>
  <c r="G370" i="1" s="1"/>
  <c r="F365" i="1"/>
  <c r="G365" i="1" s="1"/>
  <c r="F360" i="1"/>
  <c r="G360" i="1" s="1"/>
  <c r="F350" i="1"/>
  <c r="G350" i="1" s="1"/>
  <c r="F346" i="1"/>
  <c r="G346" i="1" s="1"/>
  <c r="F341" i="1"/>
  <c r="G341" i="1" s="1"/>
  <c r="F333" i="1"/>
  <c r="G333" i="1" s="1"/>
  <c r="F327" i="1"/>
  <c r="G327" i="1" s="1"/>
  <c r="F322" i="1"/>
  <c r="G322" i="1" s="1"/>
  <c r="F315" i="1"/>
  <c r="G315" i="1" s="1"/>
  <c r="F310" i="1"/>
  <c r="G310" i="1" s="1"/>
  <c r="F302" i="1"/>
  <c r="G302" i="1" s="1"/>
  <c r="F290" i="1"/>
  <c r="G290" i="1" s="1"/>
  <c r="F282" i="1"/>
  <c r="G282" i="1" s="1"/>
  <c r="F275" i="1"/>
  <c r="G275" i="1" s="1"/>
  <c r="F266" i="1"/>
  <c r="G266" i="1" s="1"/>
  <c r="F261" i="1"/>
  <c r="G261" i="1" s="1"/>
  <c r="F256" i="1"/>
  <c r="G256" i="1" s="1"/>
  <c r="F251" i="1"/>
  <c r="G251" i="1" s="1"/>
  <c r="F245" i="1"/>
  <c r="G245" i="1" s="1"/>
  <c r="F236" i="1"/>
  <c r="G236" i="1" s="1"/>
  <c r="F231" i="1"/>
  <c r="G231" i="1" s="1"/>
  <c r="F225" i="1"/>
  <c r="G225" i="1" s="1"/>
  <c r="F222" i="1"/>
  <c r="G222" i="1" s="1"/>
  <c r="F219" i="1"/>
  <c r="G219" i="1" s="1"/>
  <c r="F213" i="1"/>
  <c r="G213" i="1" s="1"/>
  <c r="F205" i="1"/>
  <c r="G205" i="1" s="1"/>
  <c r="F199" i="1"/>
  <c r="G199" i="1" s="1"/>
  <c r="F193" i="1"/>
  <c r="G193" i="1" s="1"/>
  <c r="F186" i="1"/>
  <c r="G186" i="1" s="1"/>
  <c r="F178" i="1"/>
  <c r="G178" i="1" s="1"/>
  <c r="F172" i="1"/>
  <c r="G172" i="1" s="1"/>
  <c r="F163" i="1"/>
  <c r="G163" i="1" s="1"/>
  <c r="F156" i="1"/>
  <c r="G156" i="1" s="1"/>
  <c r="F146" i="1"/>
  <c r="G146" i="1" s="1"/>
  <c r="F140" i="1"/>
  <c r="G140" i="1" s="1"/>
  <c r="F133" i="1"/>
  <c r="G133" i="1" s="1"/>
  <c r="F127" i="1"/>
  <c r="G127" i="1" s="1"/>
  <c r="F120" i="1"/>
  <c r="G120" i="1" s="1"/>
  <c r="F114" i="1"/>
  <c r="G114" i="1" s="1"/>
  <c r="F109" i="1"/>
  <c r="G109" i="1" s="1"/>
  <c r="F103" i="1"/>
  <c r="G103" i="1" s="1"/>
  <c r="F95" i="1"/>
  <c r="G95" i="1" s="1"/>
  <c r="F90" i="1"/>
  <c r="G90" i="1" s="1"/>
  <c r="F86" i="1"/>
  <c r="G86" i="1" s="1"/>
  <c r="F81" i="1"/>
  <c r="G81" i="1" s="1"/>
  <c r="F76" i="1"/>
  <c r="G76" i="1" s="1"/>
  <c r="F71" i="1"/>
  <c r="G71" i="1" s="1"/>
  <c r="F66" i="1"/>
  <c r="G66" i="1" s="1"/>
  <c r="F61" i="1"/>
  <c r="G61" i="1" s="1"/>
  <c r="F56" i="1"/>
  <c r="G56" i="1" s="1"/>
  <c r="F50" i="1"/>
  <c r="G50" i="1" s="1"/>
  <c r="F45" i="1"/>
  <c r="G45" i="1" s="1"/>
  <c r="F39" i="1"/>
  <c r="G39" i="1" s="1"/>
  <c r="F33" i="1"/>
  <c r="G33" i="1" s="1"/>
  <c r="F26" i="1"/>
  <c r="G26" i="1" s="1"/>
  <c r="F19" i="1"/>
  <c r="G19" i="1" s="1"/>
  <c r="F13" i="1"/>
  <c r="G13" i="1" s="1"/>
  <c r="F8" i="1"/>
  <c r="G8" i="1" s="1"/>
  <c r="F3" i="1"/>
  <c r="E1" i="1"/>
  <c r="D1" i="1"/>
  <c r="G3" i="1" l="1"/>
  <c r="V16" i="2" a="1"/>
  <c r="V16" i="2" s="1"/>
  <c r="I8" i="1"/>
  <c r="V55" i="2" a="1"/>
  <c r="V55" i="2" s="1"/>
  <c r="V74" i="2" a="1"/>
  <c r="V74" i="2" s="1"/>
  <c r="V34" i="2" a="1"/>
  <c r="V34" i="2" s="1"/>
  <c r="V97" i="2" a="1"/>
  <c r="V97" i="2" s="1"/>
  <c r="V18" i="2" a="1"/>
  <c r="V18" i="2" s="1"/>
  <c r="V98" i="2" a="1"/>
  <c r="V98" i="2" s="1"/>
  <c r="V70" i="2" a="1"/>
  <c r="V70" i="2" s="1"/>
  <c r="V39" i="2" a="1"/>
  <c r="V39" i="2" s="1"/>
  <c r="V83" i="2" a="1"/>
  <c r="V83" i="2" s="1"/>
  <c r="V50" i="2" a="1"/>
  <c r="V50" i="2" s="1"/>
  <c r="V46" i="2" a="1"/>
  <c r="V46" i="2" s="1"/>
  <c r="V47" i="2" a="1"/>
  <c r="V47" i="2" s="1"/>
  <c r="V86" i="2" a="1"/>
  <c r="V86" i="2" s="1"/>
  <c r="V11" i="2" a="1"/>
  <c r="V11" i="2" s="1"/>
  <c r="V85" i="2" a="1"/>
  <c r="V85" i="2" s="1"/>
  <c r="V41" i="2" a="1"/>
  <c r="V41" i="2" s="1"/>
  <c r="V13" i="2" a="1"/>
  <c r="V13" i="2" s="1"/>
  <c r="V56" i="2" a="1"/>
  <c r="V56" i="2" s="1"/>
  <c r="V9" i="2" a="1"/>
  <c r="V9" i="2" s="1"/>
  <c r="V73" i="2" a="1"/>
  <c r="V73" i="2" s="1"/>
  <c r="V103" i="2" a="1"/>
  <c r="V103" i="2" s="1"/>
  <c r="V90" i="2" a="1"/>
  <c r="V90" i="2" s="1"/>
  <c r="V32" i="2" a="1"/>
  <c r="V32" i="2" s="1"/>
  <c r="V78" i="2" a="1"/>
  <c r="V78" i="2" s="1"/>
  <c r="V20" i="2" a="1"/>
  <c r="V20" i="2" s="1"/>
  <c r="V7" i="2" a="1"/>
  <c r="V7" i="2" s="1"/>
  <c r="V64" i="2" a="1"/>
  <c r="V64" i="2" s="1"/>
  <c r="V42" i="2" a="1"/>
  <c r="V42" i="2" s="1"/>
  <c r="V36" i="2" a="1"/>
  <c r="V36" i="2" s="1"/>
  <c r="V58" i="2" a="1"/>
  <c r="V58" i="2" s="1"/>
  <c r="V75" i="2" a="1"/>
  <c r="V75" i="2" s="1"/>
  <c r="V104" i="2" a="1"/>
  <c r="V104" i="2" s="1"/>
  <c r="V43" i="2" a="1"/>
  <c r="V43" i="2" s="1"/>
  <c r="V38" i="2" a="1"/>
  <c r="V38" i="2" s="1"/>
  <c r="V105" i="2" a="1"/>
  <c r="V105" i="2" s="1"/>
  <c r="V12" i="2" a="1"/>
  <c r="V12" i="2" s="1"/>
  <c r="V6" i="2" a="1"/>
  <c r="V6" i="2" s="1"/>
  <c r="V110" i="2" a="1"/>
  <c r="V110" i="2" s="1"/>
  <c r="V101" i="2" a="1"/>
  <c r="V101" i="2" s="1"/>
  <c r="V26" i="2" a="1"/>
  <c r="V26" i="2" s="1"/>
  <c r="V102" i="2" a="1"/>
  <c r="V102" i="2" s="1"/>
  <c r="V53" i="2" a="1"/>
  <c r="V53" i="2" s="1"/>
  <c r="V37" i="2" a="1"/>
  <c r="V37" i="2" s="1"/>
  <c r="V76" i="2" a="1"/>
  <c r="V76" i="2" s="1"/>
  <c r="V52" i="2" a="1"/>
  <c r="V52" i="2" s="1"/>
  <c r="V84" i="2" a="1"/>
  <c r="V84" i="2" s="1"/>
  <c r="V111" i="2" a="1"/>
  <c r="V111" i="2" s="1"/>
  <c r="V87" i="2" a="1"/>
  <c r="V87" i="2" s="1"/>
  <c r="V79" i="2" a="1"/>
  <c r="V79" i="2" s="1"/>
  <c r="V94" i="2" a="1"/>
  <c r="V94" i="2" s="1"/>
  <c r="V92" i="2" a="1"/>
  <c r="V92" i="2" s="1"/>
  <c r="V31" i="2" a="1"/>
  <c r="V31" i="2" s="1"/>
  <c r="V2" i="2" a="1"/>
  <c r="V2" i="2" s="1"/>
  <c r="V93" i="2" a="1"/>
  <c r="V93" i="2" s="1"/>
  <c r="V82" i="2" a="1"/>
  <c r="V82" i="2" s="1"/>
  <c r="V89" i="2" a="1"/>
  <c r="V89" i="2" s="1"/>
  <c r="V14" i="2" a="1"/>
  <c r="V14" i="2" s="1"/>
  <c r="V22" i="2" a="1"/>
  <c r="V22" i="2" s="1"/>
  <c r="V69" i="2" a="1"/>
  <c r="V69" i="2" s="1"/>
  <c r="V57" i="2" a="1"/>
  <c r="V57" i="2" s="1"/>
  <c r="V77" i="2" a="1"/>
  <c r="V77" i="2" s="1"/>
  <c r="V29" i="2" a="1"/>
  <c r="V29" i="2" s="1"/>
  <c r="V44" i="2" a="1"/>
  <c r="V44" i="2" s="1"/>
  <c r="V112" i="2" a="1"/>
  <c r="V112" i="2" s="1"/>
  <c r="V95" i="2" a="1"/>
  <c r="V95" i="2" s="1"/>
  <c r="V108" i="2" a="1"/>
  <c r="V108" i="2" s="1"/>
  <c r="V28" i="2" a="1"/>
  <c r="V28" i="2" s="1"/>
  <c r="V99" i="2" a="1"/>
  <c r="V99" i="2" s="1"/>
  <c r="V71" i="2" a="1"/>
  <c r="V71" i="2" s="1"/>
  <c r="V106" i="2" a="1"/>
  <c r="V106" i="2" s="1"/>
  <c r="V4" i="2" a="1"/>
  <c r="V4" i="2" s="1"/>
  <c r="V27" i="2" a="1"/>
  <c r="V27" i="2" s="1"/>
  <c r="V107" i="2" a="1"/>
  <c r="V107" i="2" s="1"/>
  <c r="V80" i="2" a="1"/>
  <c r="V80" i="2" s="1"/>
  <c r="V19" i="2" a="1"/>
  <c r="V19" i="2" s="1"/>
  <c r="V109" i="2" a="1"/>
  <c r="V109" i="2" s="1"/>
  <c r="V81" i="2" a="1"/>
  <c r="V81" i="2" s="1"/>
  <c r="V10" i="2" a="1"/>
  <c r="V10" i="2" s="1"/>
  <c r="V65" i="2" a="1"/>
  <c r="V65" i="2" s="1"/>
  <c r="V61" i="2" a="1"/>
  <c r="V61" i="2" s="1"/>
  <c r="V33" i="2" a="1"/>
  <c r="V33" i="2" s="1"/>
  <c r="V62" i="2" a="1"/>
  <c r="V62" i="2" s="1"/>
  <c r="V45" i="2" a="1"/>
  <c r="V45" i="2" s="1"/>
  <c r="V113" i="2" a="1"/>
  <c r="V113" i="2" s="1"/>
  <c r="V49" i="2" a="1"/>
  <c r="V49" i="2" s="1"/>
  <c r="V96" i="2" a="1"/>
  <c r="V96" i="2" s="1"/>
  <c r="V72" i="2" a="1"/>
  <c r="V72" i="2" s="1"/>
  <c r="V17" i="2" a="1"/>
  <c r="V17" i="2" s="1"/>
  <c r="V48" i="2" a="1"/>
  <c r="V48" i="2" s="1"/>
  <c r="V59" i="2" a="1"/>
  <c r="V59" i="2" s="1"/>
  <c r="V24" i="2" a="1"/>
  <c r="V24" i="2" s="1"/>
  <c r="V8" i="2" a="1"/>
  <c r="V8" i="2" s="1"/>
  <c r="V54" i="2" a="1"/>
  <c r="V54" i="2" s="1"/>
  <c r="V60" i="2" a="1"/>
  <c r="V60" i="2" s="1"/>
  <c r="V51" i="2" a="1"/>
  <c r="V51" i="2" s="1"/>
  <c r="V63" i="2" a="1"/>
  <c r="V63" i="2" s="1"/>
  <c r="V15" i="2" a="1"/>
  <c r="V15" i="2" s="1"/>
  <c r="V3" i="2" a="1"/>
  <c r="V3" i="2" s="1"/>
  <c r="V68" i="2" a="1"/>
  <c r="V68" i="2" s="1"/>
  <c r="V21" i="2" a="1"/>
  <c r="V21" i="2" s="1"/>
  <c r="V5" i="2" a="1"/>
  <c r="V5" i="2" s="1"/>
  <c r="V25" i="2" a="1"/>
  <c r="V25" i="2" s="1"/>
  <c r="V100" i="2" a="1"/>
  <c r="V100" i="2" s="1"/>
  <c r="V67" i="2" a="1"/>
  <c r="V67" i="2" s="1"/>
  <c r="V88" i="2" a="1"/>
  <c r="V88" i="2" s="1"/>
  <c r="V66" i="2" a="1"/>
  <c r="V66" i="2" s="1"/>
  <c r="V23" i="2" a="1"/>
  <c r="V23" i="2" s="1"/>
  <c r="V40" i="2" a="1"/>
  <c r="V40" i="2" s="1"/>
  <c r="V91" i="2" a="1"/>
  <c r="V91" i="2" s="1"/>
  <c r="V35" i="2" a="1"/>
  <c r="V35" i="2" s="1"/>
  <c r="V30" i="2" a="1"/>
  <c r="V30" i="2" s="1"/>
  <c r="F1" i="1"/>
  <c r="AA72" i="2" l="1"/>
  <c r="AA33" i="2"/>
  <c r="AA112" i="2"/>
  <c r="AA60" i="2"/>
  <c r="AA109" i="2"/>
  <c r="AA104" i="2"/>
  <c r="AA92" i="2"/>
  <c r="AA97" i="2"/>
  <c r="AA110" i="2"/>
  <c r="AA107" i="2"/>
  <c r="AA91" i="2"/>
  <c r="AA105" i="2"/>
  <c r="AA93" i="2"/>
  <c r="AA106" i="2"/>
  <c r="AA59" i="2"/>
  <c r="AA108" i="2"/>
  <c r="AA38" i="2"/>
  <c r="AA102" i="2"/>
  <c r="AA70" i="2"/>
  <c r="AA103" i="2"/>
  <c r="AA101" i="2"/>
  <c r="AA111" i="2"/>
  <c r="AA90" i="2"/>
  <c r="AA58" i="2"/>
  <c r="AA88" i="2"/>
  <c r="AA84" i="2"/>
  <c r="AA99" i="2"/>
  <c r="AA78" i="2"/>
  <c r="AA19" i="2"/>
  <c r="AA54" i="2"/>
  <c r="AA17" i="2"/>
  <c r="AA63" i="2"/>
  <c r="AA36" i="2"/>
  <c r="AA85" i="2"/>
  <c r="AA10" i="2"/>
  <c r="AA80" i="2"/>
  <c r="AA98" i="2"/>
  <c r="AA68" i="2"/>
  <c r="AA64" i="2"/>
  <c r="AA86" i="2"/>
  <c r="AA61" i="2"/>
  <c r="AA18" i="2"/>
  <c r="AA95" i="2"/>
  <c r="AA56" i="2"/>
  <c r="AA79" i="2"/>
  <c r="AA49" i="2"/>
  <c r="AA83" i="2"/>
  <c r="AA62" i="2"/>
  <c r="AA37" i="2"/>
  <c r="AA55" i="2"/>
  <c r="AA81" i="2"/>
  <c r="AA94" i="2"/>
  <c r="AA89" i="2"/>
  <c r="AA16" i="2"/>
  <c r="AA69" i="2"/>
  <c r="AA82" i="2"/>
  <c r="AA96" i="2"/>
  <c r="AA57" i="2"/>
  <c r="AA77" i="2"/>
  <c r="AA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<sst xmlns="http://schemas.openxmlformats.org/spreadsheetml/2006/main" count="3349" uniqueCount="574">
  <si>
    <t>Date</t>
  </si>
  <si>
    <t>Particulars</t>
  </si>
  <si>
    <t>Transaction No.</t>
  </si>
  <si>
    <t>Debit (INR)</t>
  </si>
  <si>
    <t>Credit (INR)</t>
  </si>
  <si>
    <t>Balance (INR)</t>
  </si>
  <si>
    <t>As per details</t>
  </si>
  <si>
    <t>PUR/MU/031685</t>
  </si>
  <si>
    <t>Outbond Handling Charges Exp | 368.43 DR</t>
  </si>
  <si>
    <t>IGST Receivable | 66.32 DR</t>
  </si>
  <si>
    <t>Rounding off | 0.25 DR</t>
  </si>
  <si>
    <t>TDS on Contractor(P)</t>
  </si>
  <si>
    <t>PUR/MU/031686</t>
  </si>
  <si>
    <t>IGST Receivable | 254.82 DR</t>
  </si>
  <si>
    <t>Miscellaneous Expenses (IB-Mumbai Air Division) | 1,415.66 DR</t>
  </si>
  <si>
    <t>Rounding off | 0.48 CR</t>
  </si>
  <si>
    <t>PUR/MU/031687</t>
  </si>
  <si>
    <t>Storage Charges Exp | 12,519.39 DR</t>
  </si>
  <si>
    <t>Storage Charges Exp | 7,793.24 DR</t>
  </si>
  <si>
    <t>IGST Receivable | 3,656.27 DR</t>
  </si>
  <si>
    <t>Rounding off | 0.10 DR</t>
  </si>
  <si>
    <t>PUR/MU/031688</t>
  </si>
  <si>
    <t>Storage Charges Exp | 9,008.95 DR</t>
  </si>
  <si>
    <t>Storage Charges Exp | 8,440.00 DR</t>
  </si>
  <si>
    <t>Storage Charges Exp | 1,200.94 DR</t>
  </si>
  <si>
    <t>IGST Receivable | 3,356.98 DR</t>
  </si>
  <si>
    <t>Rounding off | 0.13 DR</t>
  </si>
  <si>
    <t>PUR/MU/031689</t>
  </si>
  <si>
    <t>Storage Charges Exp | 16,128.00 DR</t>
  </si>
  <si>
    <t>Storage Charges Exp | 811.00 DR</t>
  </si>
  <si>
    <t>IGST Receivable | 3,742.88 DR</t>
  </si>
  <si>
    <t>Storage Charges Exp (IB-Mumbai Air Division) | 3,854.76 DR</t>
  </si>
  <si>
    <t>Rounding off | 0.36 DR</t>
  </si>
  <si>
    <t>PUR/MU/031690</t>
  </si>
  <si>
    <t>Storage Charges Exp | 15,607.89 DR</t>
  </si>
  <si>
    <t>IGST Receivable | 4,221.93 DR</t>
  </si>
  <si>
    <t>Storage Charges Exp (IB-Mumbai Air Division) | 7,847.29 DR</t>
  </si>
  <si>
    <t>Rounding off | 0.11 CR</t>
  </si>
  <si>
    <t>PUR/MU/031691</t>
  </si>
  <si>
    <t>IGST Receivable | 4,362.66 DR</t>
  </si>
  <si>
    <t>Storage Charges Exp (IB-Mumbai Air Division) | 8,109.00 DR</t>
  </si>
  <si>
    <t>Rounding off | 0.34 DR</t>
  </si>
  <si>
    <t>PUR/MU/031692</t>
  </si>
  <si>
    <t>Outbond Handling Charges Exp | 286.00 DR</t>
  </si>
  <si>
    <t>IGST Receivable | 51.48 DR</t>
  </si>
  <si>
    <t>PUR/MU/031684</t>
  </si>
  <si>
    <t>Handling Charges Exp | 4,941.40 DR</t>
  </si>
  <si>
    <t>Handling Charges Exp | 84.08 DR</t>
  </si>
  <si>
    <t>IGST Receivable | 904.59 DR</t>
  </si>
  <si>
    <t>Rounding off | 0.07 CR</t>
  </si>
  <si>
    <t>PUR/MU/031693</t>
  </si>
  <si>
    <t>IGST Receivable | 177.84 DR</t>
  </si>
  <si>
    <t>Handling Charges Exp (IB-Mumbai Air Division) | 988.00 DR</t>
  </si>
  <si>
    <t>Rounding off | 0.16 DR</t>
  </si>
  <si>
    <t>PUR/MU/031694</t>
  </si>
  <si>
    <t>IGST Receivable | 54.15 DR</t>
  </si>
  <si>
    <t>Handling Charges Exp (IB-Mumbai Air Division) | 300.81 DR</t>
  </si>
  <si>
    <t>Rounding off | 0.04 DR</t>
  </si>
  <si>
    <t>PUR/MU/031695</t>
  </si>
  <si>
    <t>IGST Receivable | 432.54 DR</t>
  </si>
  <si>
    <t>Handling Charges Exp (IB-Mumbai Air Division) | 2,403.00 DR</t>
  </si>
  <si>
    <t>Rounding off | 0.46 DR</t>
  </si>
  <si>
    <t>PUR/MU/002086</t>
  </si>
  <si>
    <t>Miscellaneous Expenses | 1,748.00 DR</t>
  </si>
  <si>
    <t>IGST Receivable | 314.64 DR</t>
  </si>
  <si>
    <t>PUR/MU/002088</t>
  </si>
  <si>
    <t>IGST Receivable | 488.00 DR</t>
  </si>
  <si>
    <t>Handling Charges Exp (IB-Mumbai Air Division) | 2,711.09 DR</t>
  </si>
  <si>
    <t>Rounding off | 0.09 CR</t>
  </si>
  <si>
    <t>PUR/MU/002089</t>
  </si>
  <si>
    <t>Handling Charges Exp | 286.84 DR</t>
  </si>
  <si>
    <t>IGST Receivable | 51.63 DR</t>
  </si>
  <si>
    <t>Rounding off | 0.47 CR</t>
  </si>
  <si>
    <t>PUR/MU/002514</t>
  </si>
  <si>
    <t>Outbond Handling Charges Exp | 5,079.11 DR</t>
  </si>
  <si>
    <t>IGST Receivable | 914.24 DR</t>
  </si>
  <si>
    <t>PUR/MU/002519</t>
  </si>
  <si>
    <t>Handling Charges Exp | 2,868.00 DR</t>
  </si>
  <si>
    <t>IGST Receivable | 516.24 DR</t>
  </si>
  <si>
    <t>Rounding off | 0.24 CR</t>
  </si>
  <si>
    <t>PUR/MU/002087</t>
  </si>
  <si>
    <t>Handling Charges Exp | 4,317.24 DR</t>
  </si>
  <si>
    <t>Handling Charges Exp | 3,072.12 DR</t>
  </si>
  <si>
    <t>Handling Charges Exp | 2,842.00 DR</t>
  </si>
  <si>
    <t>IGST Receivable | 2,301.31 DR</t>
  </si>
  <si>
    <t>Handling Charges Exp (IB-Mumbai Air Division) | 2,553.72 DR</t>
  </si>
  <si>
    <t>Rounding off | 0.39 CR</t>
  </si>
  <si>
    <t>TDS on Contractor F Y 2025-26</t>
  </si>
  <si>
    <t>PUR/MU/00004031</t>
  </si>
  <si>
    <t>Outbond Handling Charges Exp | 2,047.27 DR</t>
  </si>
  <si>
    <t>Outbond Handling Charges Exp | 567.49 DR</t>
  </si>
  <si>
    <t>IGST Receivable | 470.66 DR</t>
  </si>
  <si>
    <t>Rounding off | 0.42 CR</t>
  </si>
  <si>
    <t>PUR/MU/00005634</t>
  </si>
  <si>
    <t>Outbond Handling Charges Exp | 802.39 DR</t>
  </si>
  <si>
    <t>IGST Receivable | 144.43 DR</t>
  </si>
  <si>
    <t>Rounding off | 0.18 DR</t>
  </si>
  <si>
    <t>PUR/MU/00005635</t>
  </si>
  <si>
    <t>Handling Charges Exp | 552.98 DR</t>
  </si>
  <si>
    <t>CGST Receivable | 49.77 DR</t>
  </si>
  <si>
    <t>SGST Receivable | 49.77 DR</t>
  </si>
  <si>
    <t>Rounding off | 0.48 DR</t>
  </si>
  <si>
    <t>PUR/MU/00005871</t>
  </si>
  <si>
    <t>Handling Charges Exp | 47,300.57 DR</t>
  </si>
  <si>
    <t>Handling Charges Exp | 6,968.43 DR</t>
  </si>
  <si>
    <t>CGST Receivable | 4,884.21 DR</t>
  </si>
  <si>
    <t>SGST Receivable | 4,884.21 DR</t>
  </si>
  <si>
    <t>PUR/MU/00006708</t>
  </si>
  <si>
    <t>Outbond Handling Charges Exp | 939.98 DR</t>
  </si>
  <si>
    <t>Outbond Handling Charges Exp | 939.13 DR</t>
  </si>
  <si>
    <t>CGST Receivable | 169.12 DR</t>
  </si>
  <si>
    <t>SGST Receivable | 169.12 DR</t>
  </si>
  <si>
    <t>Rounding off | 0.35 CR</t>
  </si>
  <si>
    <t>PUR/MU/00005872</t>
  </si>
  <si>
    <t>Storage Charges Exp | 28,369.04 DR</t>
  </si>
  <si>
    <t>Storage Charges Exp | 1,986.61 DR</t>
  </si>
  <si>
    <t>CGST Receivable | 2,732.01 DR</t>
  </si>
  <si>
    <t>SGST Receivable | 2,732.01 DR</t>
  </si>
  <si>
    <t>Rounding off | 0.33 DR</t>
  </si>
  <si>
    <t>PUR/MU/00006706</t>
  </si>
  <si>
    <t>CMC charges Exp | 400.76 DR</t>
  </si>
  <si>
    <t>CGST Receivable | 36.07 DR</t>
  </si>
  <si>
    <t>SGST Receivable | 36.07 DR</t>
  </si>
  <si>
    <t>HDFC 50200011233100 (IB-HO)</t>
  </si>
  <si>
    <t>HDFC-3100P003931</t>
  </si>
  <si>
    <t>PUR/MU/00006901</t>
  </si>
  <si>
    <t>Outbond Handling Charges Exp | 6,813.57 DR</t>
  </si>
  <si>
    <t>Outbond Handling Charges Exp | 2,271.20 DR</t>
  </si>
  <si>
    <t>Handling Charges Exp | 52,500.67 DR</t>
  </si>
  <si>
    <t>Handling Charges Exp | 14,104.29 DR</t>
  </si>
  <si>
    <t>Handling Charges Exp | 4,307.14 DR</t>
  </si>
  <si>
    <t>CGST Receivable | 7,199.72 DR</t>
  </si>
  <si>
    <t>SGST Receivable | 7,199.72 DR</t>
  </si>
  <si>
    <t>Rounding off | 0.31 CR</t>
  </si>
  <si>
    <t>PUR/MU/00006902</t>
  </si>
  <si>
    <t>Storage Charges Exp | 19,688.83 DR</t>
  </si>
  <si>
    <t>Storage Charges Exp | 78,757.02 DR</t>
  </si>
  <si>
    <t>CGST Receivable | 8,860.13 DR</t>
  </si>
  <si>
    <t>SGST Receivable | 8,860.13 DR</t>
  </si>
  <si>
    <t>PUR/MU/00006903</t>
  </si>
  <si>
    <t>Storage Charges Exp | 28,617.06 DR</t>
  </si>
  <si>
    <t>Storage Charges Exp | 5,961.89 DR</t>
  </si>
  <si>
    <t>Storage Charges Exp | 301.78 DR</t>
  </si>
  <si>
    <t>Storage Charges Exp | 1,192.51 DR</t>
  </si>
  <si>
    <t>CGST Receivable | 3,246.59 DR</t>
  </si>
  <si>
    <t>SGST Receivable | 3,246.59 DR</t>
  </si>
  <si>
    <t>PUR/MU/00006906</t>
  </si>
  <si>
    <t>Handling Charges Exp | 3,235.58 DR</t>
  </si>
  <si>
    <t>CGST Receivable | 291.20 DR</t>
  </si>
  <si>
    <t>SGST Receivable | 291.20 DR</t>
  </si>
  <si>
    <t>Rounding off | 0.02 DR</t>
  </si>
  <si>
    <t>PUR/MU/00006909</t>
  </si>
  <si>
    <t>Outbond Handling Charges Exp | 964.40 DR</t>
  </si>
  <si>
    <t>CGST Receivable | 86.80 DR</t>
  </si>
  <si>
    <t>SGST Receivable | 86.80 DR</t>
  </si>
  <si>
    <t>JV/MU/001311</t>
  </si>
  <si>
    <t>JV/MU/001312</t>
  </si>
  <si>
    <t>HDFC-3100P004550</t>
  </si>
  <si>
    <t>PUR/MU/00009570</t>
  </si>
  <si>
    <t>Storage Charges Exp | 26,113.75 DR</t>
  </si>
  <si>
    <t>Storage Charges Exp | 5,497.55 DR</t>
  </si>
  <si>
    <t>Storage Charges Exp | 1,391.44 DR</t>
  </si>
  <si>
    <t>IGST Receivable | 5,940.49 DR</t>
  </si>
  <si>
    <t>Rounding off | 0.23 CR</t>
  </si>
  <si>
    <t>PUR/MU/00009566</t>
  </si>
  <si>
    <t>Handling Charges Exp | 9,700.98 DR</t>
  </si>
  <si>
    <t>CGST Receivable | 873.09 DR</t>
  </si>
  <si>
    <t>SGST Receivable | 873.09 DR</t>
  </si>
  <si>
    <t>Rounding off | 0.16 CR</t>
  </si>
  <si>
    <t>PUR/MU/00009567</t>
  </si>
  <si>
    <t>PUR/MU/00009572</t>
  </si>
  <si>
    <t>Storage Charges Exp | 30,600.13 DR</t>
  </si>
  <si>
    <t>Storage Charges Exp | 2,576.81 DR</t>
  </si>
  <si>
    <t>Storage Charges Exp | 1,630.49 DR</t>
  </si>
  <si>
    <t>Storage Charges Exp | 1,042.99 DR</t>
  </si>
  <si>
    <t>IGST Receivable | 6,453.08 DR</t>
  </si>
  <si>
    <t>Rounding off | 0.50 DR</t>
  </si>
  <si>
    <t>PUR/MU/00009574</t>
  </si>
  <si>
    <t>Handling Charges Exp | 2,910.28 DR</t>
  </si>
  <si>
    <t>CGST Receivable | 261.93 DR</t>
  </si>
  <si>
    <t>SGST Receivable | 261.93 DR</t>
  </si>
  <si>
    <t>Rounding off | 0.14 CR</t>
  </si>
  <si>
    <t>PUR/MU/00011621</t>
  </si>
  <si>
    <t>Handling Charges Exp | 198.48 DR</t>
  </si>
  <si>
    <t>IGST Receivable | 35.73 DR</t>
  </si>
  <si>
    <t>PUR/MU/00011626</t>
  </si>
  <si>
    <t>Printing &amp; Stationery | 39,616.49 DR</t>
  </si>
  <si>
    <t>IGST Receivable | 7,130.97 DR</t>
  </si>
  <si>
    <t>PUR/MU/00008471</t>
  </si>
  <si>
    <t>Handling Charges Exp | 198.65 DR</t>
  </si>
  <si>
    <t>CGST Receivable | 17.88 DR</t>
  </si>
  <si>
    <t>SGST Receivable | 17.88 DR</t>
  </si>
  <si>
    <t>Rounding off | 0.28 DR</t>
  </si>
  <si>
    <t>PUR/MU/00011012</t>
  </si>
  <si>
    <t>Storage Charges Exp | 2,798.51 DR</t>
  </si>
  <si>
    <t>IGST Receivable | 503.73 DR</t>
  </si>
  <si>
    <t>PUR/MU/00011010</t>
  </si>
  <si>
    <t>Storage Charges Exp | 30,694.69 DR</t>
  </si>
  <si>
    <t>Storage Charges Exp | 2,576.74 DR</t>
  </si>
  <si>
    <t>Storage Charges Exp | 1,630.70 DR</t>
  </si>
  <si>
    <t>Storage Charges Exp | 2,234.46 DR</t>
  </si>
  <si>
    <t>Storage Charges Exp | 688.19 DR</t>
  </si>
  <si>
    <t>IGST Receivable | 6,808.46 DR</t>
  </si>
  <si>
    <t>PUR/MU/00011011</t>
  </si>
  <si>
    <t>Handling Charges Exp | 594.90 DR</t>
  </si>
  <si>
    <t>Handling Charges Exp | 2,380.49 DR</t>
  </si>
  <si>
    <t>IGST Receivable | 535.57 DR</t>
  </si>
  <si>
    <t>Rounding off | 0.26 DR</t>
  </si>
  <si>
    <t>PUR/MU/00011013</t>
  </si>
  <si>
    <t>Handling Charges Exp | 11,208.99 DR</t>
  </si>
  <si>
    <t>IGST Receivable | 2,017.62 DR</t>
  </si>
  <si>
    <t>Rounding off | 0.39 DR</t>
  </si>
  <si>
    <t>PUR/MU/00011014</t>
  </si>
  <si>
    <t>Handling Charges Exp | 3,134.68 DR</t>
  </si>
  <si>
    <t>IGST Receivable | 564.24 DR</t>
  </si>
  <si>
    <t>Rounding off | 0.08 DR</t>
  </si>
  <si>
    <t>PUR/MU/00011015</t>
  </si>
  <si>
    <t>Outbond Handling Charges Exp | 737.47 DR</t>
  </si>
  <si>
    <t>IGST Receivable | 132.74 DR</t>
  </si>
  <si>
    <t>Rounding off | 0.21 CR</t>
  </si>
  <si>
    <t>PUR/MU/00008472</t>
  </si>
  <si>
    <t>Handling Charges Exp | 1,155.19 DR</t>
  </si>
  <si>
    <t>Handling Charges Exp | 1,838.68 DR</t>
  </si>
  <si>
    <t>CGST Receivable | 538.90 DR</t>
  </si>
  <si>
    <t>SGST Receivable | 538.90 DR</t>
  </si>
  <si>
    <t>PUR/MU/00008473</t>
  </si>
  <si>
    <t>Storage Charges Exp | 78,993.93 DR</t>
  </si>
  <si>
    <t>Storage Charges Exp | 26,158.03 DR</t>
  </si>
  <si>
    <t>CGST Receivable | 9,463.68 DR</t>
  </si>
  <si>
    <t>SGST Receivable | 9,463.68 DR</t>
  </si>
  <si>
    <t>Rounding off | 0.32 CR</t>
  </si>
  <si>
    <t>PUR/MU/00008474</t>
  </si>
  <si>
    <t>Outbond Handling Charges Exp | 1,838.68 DR</t>
  </si>
  <si>
    <t>CGST Receivable | 573.55 DR</t>
  </si>
  <si>
    <t>SGST Receivable | 573.55 DR</t>
  </si>
  <si>
    <t>Outbond Handling Charges Exp (IB-Mumbai Air Division) | 2,695.44 DR</t>
  </si>
  <si>
    <t>PUR/MU/00008475</t>
  </si>
  <si>
    <t>Storage Charges Exp | 28,807.97 DR</t>
  </si>
  <si>
    <t>Storage Charges Exp | 6,064.74 DR</t>
  </si>
  <si>
    <t>Storage Charges Exp | 1,535.00 DR</t>
  </si>
  <si>
    <t>Storage Charges Exp | 460.33 DR</t>
  </si>
  <si>
    <t>CGST Receivable | 3,359.55 DR</t>
  </si>
  <si>
    <t>SGST Receivable | 3,359.55 DR</t>
  </si>
  <si>
    <t>JV/MU/002547</t>
  </si>
  <si>
    <t>JV/MU/002548</t>
  </si>
  <si>
    <t>PUR/MU/00014312</t>
  </si>
  <si>
    <t>Storage Charges Exp | 31,363.66 DR</t>
  </si>
  <si>
    <t>Storage Charges Exp | 1,671.47 DR</t>
  </si>
  <si>
    <t>Storage Charges Exp | 2,620.40 DR</t>
  </si>
  <si>
    <t>Storage Charges Exp | 880.38 DR</t>
  </si>
  <si>
    <t>IGST Receivable | 6,576.46 DR</t>
  </si>
  <si>
    <t>Rounding off | 0.37 CR</t>
  </si>
  <si>
    <t>PUR/MU/00014303</t>
  </si>
  <si>
    <t>Storage Charges Exp | 8,655.99 DR</t>
  </si>
  <si>
    <t>IGST Receivable | 1,558.08 DR</t>
  </si>
  <si>
    <t>PUR/MU/00014306</t>
  </si>
  <si>
    <t>Storage Charges Exp | 31,363.81 DR</t>
  </si>
  <si>
    <t>Storage Charges Exp | 2,620.42 DR</t>
  </si>
  <si>
    <t>IGST Receivable | 6,418.03 DR</t>
  </si>
  <si>
    <t>Rounding off | 0.27 DR</t>
  </si>
  <si>
    <t>PUR/MU/00013439</t>
  </si>
  <si>
    <t>Storage Charges Exp | 9,233.11 DR</t>
  </si>
  <si>
    <t>IGST Receivable | 1,661.96 DR</t>
  </si>
  <si>
    <t>PUR/MU/00013442</t>
  </si>
  <si>
    <t>Handling Charges Exp | 2,395.62 DR</t>
  </si>
  <si>
    <t>Handling Charges Exp | 771.31 DR</t>
  </si>
  <si>
    <t>IGST Receivable | 570.05 DR</t>
  </si>
  <si>
    <t>PUR/MU/00013445</t>
  </si>
  <si>
    <t>Storage Charges Exp | 33,654.82 DR</t>
  </si>
  <si>
    <t>Storage Charges Exp | 1,793.08 DR</t>
  </si>
  <si>
    <t>Storage Charges Exp | 2,812.13 DR</t>
  </si>
  <si>
    <t>Storage Charges Exp | 676.03 DR</t>
  </si>
  <si>
    <t>IGST Receivable | 7,008.49 DR</t>
  </si>
  <si>
    <t>Rounding off | 0.45 DR</t>
  </si>
  <si>
    <t>PUR/MU/00013150</t>
  </si>
  <si>
    <t>Storage Charges Exp | 8,461.11 DR</t>
  </si>
  <si>
    <t>IGST Receivable | 1,523.00 DR</t>
  </si>
  <si>
    <t>PUR/MU/00013152</t>
  </si>
  <si>
    <t>Outbond Handling Charges Exp | 532.20 DR</t>
  </si>
  <si>
    <t>IGST Receivable | 95.80 DR</t>
  </si>
  <si>
    <t>PUR/MU/00014343</t>
  </si>
  <si>
    <t>Storage Charges Exp | 31,363.74 DR</t>
  </si>
  <si>
    <t>Storage Charges Exp | 2,620.41 DR</t>
  </si>
  <si>
    <t>Storage Charges Exp | 373.44 DR</t>
  </si>
  <si>
    <t>Storage Charges Exp | 1,320.58 DR</t>
  </si>
  <si>
    <t>IGST Receivable | 6,770.51 DR</t>
  </si>
  <si>
    <t>Storage Charges Exp (IB-Mumbai Air Division) | 264.30 DR</t>
  </si>
  <si>
    <t>Rounding off | 0.45 CR</t>
  </si>
  <si>
    <t>PUR/MU/00014338</t>
  </si>
  <si>
    <t>PUR/MU/00014340</t>
  </si>
  <si>
    <t>Outbond Handling Charges Exp | 701.44 DR</t>
  </si>
  <si>
    <t>IGST Receivable | 126.26 DR</t>
  </si>
  <si>
    <t>Rounding off | 0.30 DR</t>
  </si>
  <si>
    <t>PUR/MU/00014342</t>
  </si>
  <si>
    <t>Handling Charges Exp | 2,695.07 DR</t>
  </si>
  <si>
    <t>IGST Receivable | 970.22 DR</t>
  </si>
  <si>
    <t>Handling Charges Exp (IB-Mumbai Air Division) | 2,695.07 DR</t>
  </si>
  <si>
    <t>Rounding off | 0.36 CR</t>
  </si>
  <si>
    <t>HDFC-3100P006799</t>
  </si>
  <si>
    <t>PUR/MU/00015482</t>
  </si>
  <si>
    <t>Carting Charges Exp | 271.01 DR</t>
  </si>
  <si>
    <t>Carting Charges Exp | 965.32 DR</t>
  </si>
  <si>
    <t>IGST Receivable | 271.32 DR</t>
  </si>
  <si>
    <t>PUR/MU/00015484</t>
  </si>
  <si>
    <t>Handling Charges Exp | 3,446.29 DR</t>
  </si>
  <si>
    <t>IGST Receivable | 620.33 DR</t>
  </si>
  <si>
    <t>Rounding off | 0.38 DR</t>
  </si>
  <si>
    <t>PUR/MU/00015441</t>
  </si>
  <si>
    <t>Storage Charges Exp | 33,304.05 DR</t>
  </si>
  <si>
    <t>Storage Charges Exp | 1,774.40 DR</t>
  </si>
  <si>
    <t>Storage Charges Exp | 2,782.82 DR</t>
  </si>
  <si>
    <t>Storage Charges Exp | 526.21 DR</t>
  </si>
  <si>
    <t>Storage Charges Exp | 438.21 DR</t>
  </si>
  <si>
    <t>IGST Receivable | 7,004.46 DR</t>
  </si>
  <si>
    <t>Storage Charges Exp (IB-Mumbai Air Division) | 88.00 DR</t>
  </si>
  <si>
    <t>Rounding off | 0.15 CR</t>
  </si>
  <si>
    <t>PUR/MU/00015442</t>
  </si>
  <si>
    <t>Storage Charges Exp | 9,191.61 DR</t>
  </si>
  <si>
    <t>IGST Receivable | 1,654.49 DR</t>
  </si>
  <si>
    <t>Rounding off | 0.10 CR</t>
  </si>
  <si>
    <t>PUR/MU/00015781</t>
  </si>
  <si>
    <t>Storage Charges Exp | 31,222.66 DR</t>
  </si>
  <si>
    <t>Storage Charges Exp | 1,663.95 DR</t>
  </si>
  <si>
    <t>Storage Charges Exp | 2,608.62 DR</t>
  </si>
  <si>
    <t>IGST Receivable | 6,546.90 DR</t>
  </si>
  <si>
    <t>Storage Charges Exp (IB-Mumbai Air Division) | 876.43 DR</t>
  </si>
  <si>
    <t>Rounding off | 0.44 DR</t>
  </si>
  <si>
    <t/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</si>
  <si>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</si>
  <si>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</si>
  <si>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</si>
  <si>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</si>
  <si>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</si>
  <si>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</si>
  <si>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</si>
  <si>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</si>
  <si>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</si>
  <si>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</si>
  <si>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</si>
  <si>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</si>
  <si>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</si>
  <si>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</si>
  <si>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</si>
  <si>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</si>
  <si>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</si>
  <si>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</si>
  <si>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</si>
  <si>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</si>
  <si>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</si>
  <si>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</si>
  <si>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</si>
  <si>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</si>
  <si>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</si>
  <si>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</si>
  <si>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</si>
  <si>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</si>
  <si>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</si>
  <si>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DELIGHT LOGISTICS PRIVATE LIMITED</t>
  </si>
  <si>
    <t>212100</t>
  </si>
  <si>
    <t>Trade Debtors (Ctrl)</t>
  </si>
  <si>
    <t>INR</t>
  </si>
  <si>
    <t>DZ</t>
  </si>
  <si>
    <t>HDFCN52025072572586434</t>
  </si>
  <si>
    <t>D7GGNWPD499Z</t>
  </si>
  <si>
    <t>HDFCN52025090451794665</t>
  </si>
  <si>
    <t>DR</t>
  </si>
  <si>
    <t>NA</t>
  </si>
  <si>
    <t>USD</t>
  </si>
  <si>
    <t>CODC Out chgs - 16 - 31 Jul 25</t>
  </si>
  <si>
    <t>DY</t>
  </si>
  <si>
    <t>KNOCK OFF ENTRY</t>
  </si>
  <si>
    <t>Bond Stamp Paper Chgs</t>
  </si>
  <si>
    <t>Storage charges for March 2025</t>
  </si>
  <si>
    <t>Storage charges for Jan 2025</t>
  </si>
  <si>
    <t>Storage charges for Feb 2025</t>
  </si>
  <si>
    <t>DG</t>
  </si>
  <si>
    <t>CN issued against 256779416251</t>
  </si>
  <si>
    <t>Outbound Handling for Sep 2024</t>
  </si>
  <si>
    <t>VAS Activity Charges for the month of November, 24</t>
  </si>
  <si>
    <t>VAS -1-15 Sept-25</t>
  </si>
  <si>
    <t>Storage WH-03-1-15 NOV 25</t>
  </si>
  <si>
    <t>Storage 16-31 May-25,WH-3</t>
  </si>
  <si>
    <t>Storage 16-30 April-25</t>
  </si>
  <si>
    <t>LCL Charges Aug 2024</t>
  </si>
  <si>
    <t>Inbound Handling Charges Aug 24</t>
  </si>
  <si>
    <t>Outbound Handling Charges Aug 24</t>
  </si>
  <si>
    <t>Loose Unloading Charges Aug 24</t>
  </si>
  <si>
    <t>VAS 16-31 May 25 Ex.85.48</t>
  </si>
  <si>
    <t>Storage- CODC-1-15 NOV 25</t>
  </si>
  <si>
    <t>CODC Storage - 16-31 Aug 25</t>
  </si>
  <si>
    <t>WH 03 - Storage 16-31 Aug  25</t>
  </si>
  <si>
    <t>VAS - 16-31 Aug 25</t>
  </si>
  <si>
    <t>Storage 16-30 Jun 25-WH 03</t>
  </si>
  <si>
    <t>Outbound chgs - 16 - 30 Jun 25</t>
  </si>
  <si>
    <t>VAS-16 -31 Oct 25</t>
  </si>
  <si>
    <t>Storage WH-03-16-31 OCT 25</t>
  </si>
  <si>
    <t>LCL Chgs - 16 - 31 JUL 25</t>
  </si>
  <si>
    <t>VAS 16-31 July 25</t>
  </si>
  <si>
    <t>Empty Lolo Chgs - 01 - 31 JUL 25</t>
  </si>
  <si>
    <t>Outbound chgs - 16 - 31 Jul 25</t>
  </si>
  <si>
    <t>CODC Transportation IN chgs - 16 - 31 Jul 25</t>
  </si>
  <si>
    <t>CODC-Storage-16-31 Jul 25</t>
  </si>
  <si>
    <t>Storage 16-31 Jul 25-WH 03</t>
  </si>
  <si>
    <t>PORT SSR Chgs July 25</t>
  </si>
  <si>
    <t>Outbound chgs - 16 - 31 MAY 25</t>
  </si>
  <si>
    <t>LCL Chgs - 16-31 MAY 25</t>
  </si>
  <si>
    <t>Transportation In Chgs -  01 - 15 JUL 25</t>
  </si>
  <si>
    <t>Outbound chgs - 01 - 15 Jul 25</t>
  </si>
  <si>
    <t>Bond Stamp Paper Chgs - 01 to 15 JUL 25</t>
  </si>
  <si>
    <t>Inbound Handling charges for Oct 2024</t>
  </si>
  <si>
    <t>Inbound Handling charges for Feb 2025</t>
  </si>
  <si>
    <t>LCL Movement Charges for Feb 2025</t>
  </si>
  <si>
    <t>Outbound Handling charges for Feb 2025</t>
  </si>
  <si>
    <t>CODC LCL Chgs - 1-15 Aug 25</t>
  </si>
  <si>
    <t>Storage 1-15 Aug-25 -CODC</t>
  </si>
  <si>
    <t>Storage 1-15 Aug-25,WH-3</t>
  </si>
  <si>
    <t>LCL Chgs - 01 - 15 AUG 25</t>
  </si>
  <si>
    <t>Outbound chgs - 01 - 15 Aug 25</t>
  </si>
  <si>
    <t>Outbound chgs - 01 - 15 MAY 25</t>
  </si>
  <si>
    <t>LCL Chgs - 01-15 MAY 25</t>
  </si>
  <si>
    <t>Credit note raised against 256779415558</t>
  </si>
  <si>
    <t>Credit note raised against 256779415722</t>
  </si>
  <si>
    <t>Credit note raised against 256779415784</t>
  </si>
  <si>
    <t>VAS Activity -1 -15 Mar 25, Ex Rate. 87.01</t>
  </si>
  <si>
    <t>LCL Chgs - 01 - 15 OCT 25</t>
  </si>
  <si>
    <t>Storage -CODC 16-30 Nov 25</t>
  </si>
  <si>
    <t>Storage 16-31 Jul 25-CODC</t>
  </si>
  <si>
    <t>Storage WH-03-1-15 Sep 25</t>
  </si>
  <si>
    <t>Storage 1-15 May-25,WH-3</t>
  </si>
  <si>
    <t>VAS 1-15 April-25,Ex.Rate-85.69</t>
  </si>
  <si>
    <t>Storage 1-15 April-25</t>
  </si>
  <si>
    <t>Storage 1-15 June-25,WH-3</t>
  </si>
  <si>
    <t>Storage charges for Aug 2024</t>
  </si>
  <si>
    <t>Storage charges for Sept 2024</t>
  </si>
  <si>
    <t>Storage charges for Oct 2024</t>
  </si>
  <si>
    <t>Storage charges for Nov 2024</t>
  </si>
  <si>
    <t>Storage charges for Dec 2024</t>
  </si>
  <si>
    <t>Outbound Handling charges for Oct 2024</t>
  </si>
  <si>
    <t>VAS-Nov 1-15, 2025</t>
  </si>
  <si>
    <t>CODC LCL Chgs -1-15 Nov 25</t>
  </si>
  <si>
    <t>LCL Chgs - 01 - 15 NOV 25</t>
  </si>
  <si>
    <t>Outbound chgs - 01 - 15 Nov 25</t>
  </si>
  <si>
    <t>Outbound Handling charges for 31 Mar 25</t>
  </si>
  <si>
    <t>Outbound chgs - 01 - 15 Sep 25</t>
  </si>
  <si>
    <t>LCL Chgs - 01 - 15 SEP 25</t>
  </si>
  <si>
    <t>Storage -CODC 1-15 Sep 25</t>
  </si>
  <si>
    <t>Outbound chgs - 16 - 30 Nov 25</t>
  </si>
  <si>
    <t>LCL Chgs - 01 - 15 Apr 25</t>
  </si>
  <si>
    <t>Outbound chgs - 01 - 15 Apr 25</t>
  </si>
  <si>
    <t>Intra - SEZ-16-30 Sept 25</t>
  </si>
  <si>
    <t>Storage 1-15 July-25,WH-3</t>
  </si>
  <si>
    <t>VAS - 1-15 July 25</t>
  </si>
  <si>
    <t>VAS - 16-30 April 25, Ex.Rate-85.05</t>
  </si>
  <si>
    <t>Storage WH-03-1-15 OCT 25</t>
  </si>
  <si>
    <t>Storage WH-03-16-30 Sep 25</t>
  </si>
  <si>
    <t>Storage WH-03-16-30 Nov 25</t>
  </si>
  <si>
    <t>Storage- CODC-1-15 DEC 25</t>
  </si>
  <si>
    <t>Storage WH-03-1-15 DEC 25</t>
  </si>
  <si>
    <t>Storage -CODC 16-31 DEC 25</t>
  </si>
  <si>
    <t>LCL chgs - 16 - 31 DEC 25</t>
  </si>
  <si>
    <t>Storage WH-03-16-31 DEC 25</t>
  </si>
  <si>
    <t>Storage- CODC-1-15 JAN 26</t>
  </si>
  <si>
    <t>Storage WH-03-1-15 Jan 26</t>
  </si>
  <si>
    <t>LCL chgs - 01 - 15 JAN 26</t>
  </si>
  <si>
    <t>Outbound chgs - 01 - 15 JAN 26</t>
  </si>
  <si>
    <t>GTTV1CW7JDGR</t>
  </si>
  <si>
    <t>TDS</t>
  </si>
  <si>
    <t>Rate</t>
  </si>
  <si>
    <r>
      <rPr>
        <b/>
        <sz val="14"/>
        <rFont val="Calibri"/>
        <family val="2"/>
      </rPr>
      <t>Delight Logistics Pvt. Ltd.
Accounts Bills Payable as on date 14-Mar-2026</t>
    </r>
  </si>
  <si>
    <t>Location</t>
  </si>
  <si>
    <t>Transaction No</t>
  </si>
  <si>
    <t>Vendor Inv No.</t>
  </si>
  <si>
    <t>Vendor Inv Date</t>
  </si>
  <si>
    <t>Bill Amount (INR)</t>
  </si>
  <si>
    <t>Payment Date</t>
  </si>
  <si>
    <t>Payment No.</t>
  </si>
  <si>
    <t>Payment Type</t>
  </si>
  <si>
    <t>Paid/Settled (INR)</t>
  </si>
  <si>
    <t>Total Paid/Settled (INR)</t>
  </si>
  <si>
    <t>Overdue Days</t>
  </si>
  <si>
    <t>Remarks</t>
  </si>
  <si>
    <t>Reference No.</t>
  </si>
  <si>
    <t>Mumbai Sea Division</t>
  </si>
  <si>
    <t>TDS 2880</t>
  </si>
  <si>
    <t>tds 8</t>
  </si>
  <si>
    <t>x</t>
  </si>
  <si>
    <t>tds 29</t>
  </si>
  <si>
    <t>AI/C/MU/241024829</t>
  </si>
  <si>
    <t>tds 407</t>
  </si>
  <si>
    <t>SE/C/MU/240532333,SI/C/MU/241113607</t>
  </si>
  <si>
    <t>tds 416</t>
  </si>
  <si>
    <t>AI/C/MU/241024829,SE/C/MU/240532333,SI/C/MU/241113607</t>
  </si>
  <si>
    <t>tds 470</t>
  </si>
  <si>
    <t>SE/C/MU/240532333,AI/C/MU/241024829</t>
  </si>
  <si>
    <t>tds 485</t>
  </si>
  <si>
    <t>tds 6</t>
  </si>
  <si>
    <t>SI/C/MU/241113607</t>
  </si>
  <si>
    <t>tds 373</t>
  </si>
  <si>
    <t>SE/C/MU/240532333,SI/C/MU/241113607,SI/C/MU/250315427</t>
  </si>
  <si>
    <t>tds 101</t>
  </si>
  <si>
    <t>SE/C/MU/250242306,SE/C/MU/250242692</t>
  </si>
  <si>
    <t>tds 20</t>
  </si>
  <si>
    <t>tds 7</t>
  </si>
  <si>
    <t>AI/C/MU/250228084</t>
  </si>
  <si>
    <t>tds 49</t>
  </si>
  <si>
    <t xml:space="preserve">tds 35 </t>
  </si>
  <si>
    <t>SE/C/MU/240532333</t>
  </si>
  <si>
    <t>SE/C/MU/250243310</t>
  </si>
  <si>
    <t>TDS 102</t>
  </si>
  <si>
    <t>SI/C/MU/250315427</t>
  </si>
  <si>
    <t>tds 57</t>
  </si>
  <si>
    <t>SI/C/MU/250315424</t>
  </si>
  <si>
    <t>TDS 52</t>
  </si>
  <si>
    <t>SE/C/MU/250431170,SE/C/MU/250344089</t>
  </si>
  <si>
    <t>TDS 256</t>
  </si>
  <si>
    <t>SI/C/MU/250410262,SI/C/MU/250410470,SI/C/MU/250510498,AI/C/MU/250420664</t>
  </si>
  <si>
    <t>tds 1765</t>
  </si>
  <si>
    <t>TDS 16</t>
  </si>
  <si>
    <t>SE/C/MU/250531699</t>
  </si>
  <si>
    <t>tds 11</t>
  </si>
  <si>
    <t>SI/C/MU/250611341</t>
  </si>
  <si>
    <t>tds 1085</t>
  </si>
  <si>
    <t>SI/C/MU/250611341,SI/C/MU/250611572</t>
  </si>
  <si>
    <t>ADJ/MU/002638/25-26</t>
  </si>
  <si>
    <t>Settlement</t>
  </si>
  <si>
    <t>TDS 38</t>
  </si>
  <si>
    <t>SE/C/MU/250734119,SE/C/MU/250734120</t>
  </si>
  <si>
    <t>TDS 607</t>
  </si>
  <si>
    <t>SE/C/MU/250734119</t>
  </si>
  <si>
    <t>Bank Payment</t>
  </si>
  <si>
    <t>TDS 65</t>
  </si>
  <si>
    <t>SI/C/MU/250712112</t>
  </si>
  <si>
    <t>TDS 19</t>
  </si>
  <si>
    <t>SE/C/MU/250835467</t>
  </si>
  <si>
    <t>TDS 194</t>
  </si>
  <si>
    <t>SE/C/MU/250735020</t>
  </si>
  <si>
    <t>TDS 58</t>
  </si>
  <si>
    <t>SI/C/MU/250913157</t>
  </si>
  <si>
    <t>SE/C/MU/251037875</t>
  </si>
  <si>
    <t>TDS 4</t>
  </si>
  <si>
    <t>SE/C/MU/250936610</t>
  </si>
  <si>
    <t>TDS 55</t>
  </si>
  <si>
    <t>SI/C/MU/251013410</t>
  </si>
  <si>
    <t>TDS 756</t>
  </si>
  <si>
    <t>SI/C/MU/250611341,SI/C/MU/250611572,SI/C/MU/250712112,SI/C/MU/250913157,SI/C/MU/251013540</t>
  </si>
  <si>
    <t>TDS 59</t>
  </si>
  <si>
    <t>SE/C/MU/251038697/FORBES,SE/C/MU/250735020</t>
  </si>
  <si>
    <t>TDS 224</t>
  </si>
  <si>
    <t>TDS 62</t>
  </si>
  <si>
    <t>SI/C/MU/251013540</t>
  </si>
  <si>
    <t>TDS 14</t>
  </si>
  <si>
    <t>SE/C/MU/251038697/FORBES</t>
  </si>
  <si>
    <t>Total</t>
  </si>
  <si>
    <t>Vender IN No</t>
  </si>
  <si>
    <t>Vlookup</t>
  </si>
  <si>
    <t>Customer Name</t>
  </si>
  <si>
    <t>Recd Amount</t>
  </si>
  <si>
    <t>Bank Reference</t>
  </si>
  <si>
    <t>DELIGHT LOGISTICS PVT LTD</t>
  </si>
  <si>
    <t>Sum of Company Code Currency Value</t>
  </si>
  <si>
    <t>As Per Bank Details</t>
  </si>
  <si>
    <t>As per Ascendus Ledger</t>
  </si>
  <si>
    <t>Difference</t>
  </si>
  <si>
    <t>Foreign Exchange Gain / Loss</t>
  </si>
  <si>
    <t>TDS Booked</t>
  </si>
  <si>
    <t>Amount in Rs.</t>
  </si>
  <si>
    <t>Add: Invoices / CN not recorded in customer books</t>
  </si>
  <si>
    <t>Derived balance</t>
  </si>
  <si>
    <t>Balance as per Ascent</t>
  </si>
  <si>
    <t>Balance as per Delight Logistic Pvt Ltd</t>
  </si>
  <si>
    <t>Add: TDS To booked in Capital land's books</t>
  </si>
  <si>
    <t>Less: Invoices not in Capital land's books</t>
  </si>
  <si>
    <t>Less: TDS Already Booked in Capital land's Books</t>
  </si>
  <si>
    <t>Date+A1:A2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</si>
</sst>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_);\(#,##0.00\);\ "/>
    <numFmt numFmtId="165" formatCode="#,##0.00\ \D\R;#,##0.00\ \C\R;;"/>
    <numFmt numFmtId="166" formatCode="_ * #,##0_ ;_ * \-#,##0_ ;_ * &quot;-&quot;??_ ;_ @_ "/>
    <numFmt numFmtId="167" formatCode="dd\-mmm\-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3C5D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7F9DB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166" fontId="0" fillId="0" borderId="0" xfId="1" applyNumberFormat="1" applyFont="1"/>
    <xf numFmtId="9" fontId="0" fillId="0" borderId="0" xfId="2" applyFont="1"/>
    <xf numFmtId="0" fontId="2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left" vertical="top" wrapText="1"/>
    </xf>
    <xf numFmtId="166" fontId="0" fillId="0" borderId="2" xfId="1" applyNumberFormat="1" applyFont="1" applyBorder="1" applyAlignment="1">
      <alignment horizontal="right" vertical="top" wrapText="1"/>
    </xf>
    <xf numFmtId="43" fontId="0" fillId="0" borderId="0" xfId="1" applyFont="1"/>
    <xf numFmtId="14" fontId="2" fillId="2" borderId="2" xfId="0" applyNumberFormat="1" applyFont="1" applyFill="1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4" fontId="0" fillId="0" borderId="2" xfId="0" applyNumberFormat="1" applyBorder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14" fontId="0" fillId="4" borderId="2" xfId="0" applyNumberFormat="1" applyFill="1" applyBorder="1" applyAlignment="1">
      <alignment horizontal="right" vertical="top"/>
    </xf>
    <xf numFmtId="4" fontId="0" fillId="4" borderId="2" xfId="0" applyNumberFormat="1" applyFill="1" applyBorder="1" applyAlignment="1">
      <alignment horizontal="right" vertical="top"/>
    </xf>
    <xf numFmtId="3" fontId="0" fillId="4" borderId="2" xfId="0" applyNumberFormat="1" applyFill="1" applyBorder="1" applyAlignment="1">
      <alignment horizontal="right" vertical="top"/>
    </xf>
    <xf numFmtId="0" fontId="0" fillId="5" borderId="2" xfId="0" applyFill="1" applyBorder="1" applyAlignment="1">
      <alignment vertical="top"/>
    </xf>
    <xf numFmtId="14" fontId="0" fillId="5" borderId="2" xfId="0" applyNumberFormat="1" applyFill="1" applyBorder="1" applyAlignment="1">
      <alignment horizontal="right" vertical="top"/>
    </xf>
    <xf numFmtId="4" fontId="0" fillId="5" borderId="2" xfId="0" applyNumberFormat="1" applyFill="1" applyBorder="1" applyAlignment="1">
      <alignment horizontal="right" vertical="top"/>
    </xf>
    <xf numFmtId="3" fontId="0" fillId="5" borderId="2" xfId="0" applyNumberFormat="1" applyFill="1" applyBorder="1" applyAlignment="1">
      <alignment horizontal="right" vertical="top"/>
    </xf>
    <xf numFmtId="1" fontId="0" fillId="4" borderId="2" xfId="0" applyNumberFormat="1" applyFill="1" applyBorder="1" applyAlignment="1">
      <alignment vertical="top"/>
    </xf>
    <xf numFmtId="1" fontId="0" fillId="5" borderId="2" xfId="0" applyNumberFormat="1" applyFill="1" applyBorder="1" applyAlignment="1">
      <alignment vertical="top"/>
    </xf>
    <xf numFmtId="1" fontId="0" fillId="0" borderId="0" xfId="0" applyNumberFormat="1"/>
    <xf numFmtId="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horizontal="right" vertical="top"/>
    </xf>
    <xf numFmtId="14" fontId="2" fillId="2" borderId="2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4" fontId="0" fillId="0" borderId="2" xfId="0" applyNumberFormat="1" applyBorder="1" applyAlignment="1">
      <alignment horizontal="right" vertical="top" wrapText="1"/>
    </xf>
    <xf numFmtId="166" fontId="0" fillId="0" borderId="2" xfId="1" applyNumberFormat="1" applyFont="1" applyBorder="1" applyAlignment="1">
      <alignment horizontal="right" vertical="top"/>
    </xf>
    <xf numFmtId="0" fontId="0" fillId="0" borderId="0" xfId="0" applyAlignment="1"/>
    <xf numFmtId="166" fontId="0" fillId="0" borderId="0" xfId="1" applyNumberFormat="1" applyFont="1" applyAlignment="1"/>
    <xf numFmtId="14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6" fontId="0" fillId="0" borderId="0" xfId="1" applyNumberFormat="1" applyFont="1" applyAlignment="1">
      <alignment wrapText="1"/>
    </xf>
    <xf numFmtId="9" fontId="0" fillId="0" borderId="0" xfId="2" applyFont="1" applyAlignment="1">
      <alignment wrapText="1"/>
    </xf>
    <xf numFmtId="14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wrapText="1"/>
    </xf>
    <xf numFmtId="166" fontId="0" fillId="0" borderId="2" xfId="1" applyNumberFormat="1" applyFont="1" applyBorder="1" applyAlignment="1">
      <alignment wrapText="1"/>
    </xf>
    <xf numFmtId="14" fontId="0" fillId="0" borderId="3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9" fontId="0" fillId="0" borderId="2" xfId="2" applyFont="1" applyBorder="1" applyAlignment="1">
      <alignment wrapText="1"/>
    </xf>
    <xf numFmtId="43" fontId="0" fillId="0" borderId="0" xfId="0" applyNumberFormat="1" applyAlignment="1"/>
    <xf numFmtId="9" fontId="0" fillId="0" borderId="2" xfId="2" applyFont="1" applyBorder="1" applyAlignment="1"/>
    <xf numFmtId="43" fontId="0" fillId="0" borderId="2" xfId="1" applyFont="1" applyBorder="1" applyAlignment="1">
      <alignment horizontal="right" vertical="top"/>
    </xf>
    <xf numFmtId="43" fontId="0" fillId="0" borderId="2" xfId="1" applyFont="1" applyBorder="1" applyAlignment="1"/>
    <xf numFmtId="43" fontId="0" fillId="0" borderId="0" xfId="0" applyNumberFormat="1"/>
    <xf numFmtId="0" fontId="3" fillId="0" borderId="2" xfId="0" applyFont="1" applyBorder="1" applyAlignment="1">
      <alignment wrapText="1"/>
    </xf>
    <xf numFmtId="167" fontId="0" fillId="0" borderId="2" xfId="0" applyNumberFormat="1" applyBorder="1" applyAlignment="1">
      <alignment horizontal="left" vertical="top"/>
    </xf>
    <xf numFmtId="1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4" fillId="6" borderId="2" xfId="0" applyFont="1" applyFill="1" applyBorder="1" applyAlignment="1">
      <alignment horizontal="left" vertical="top"/>
    </xf>
    <xf numFmtId="167" fontId="5" fillId="6" borderId="2" xfId="0" applyNumberFormat="1" applyFont="1" applyFill="1" applyBorder="1" applyAlignment="1">
      <alignment horizontal="left" vertical="top"/>
    </xf>
    <xf numFmtId="164" fontId="4" fillId="6" borderId="2" xfId="0" applyNumberFormat="1" applyFont="1" applyFill="1" applyBorder="1" applyAlignment="1">
      <alignment horizontal="right" vertical="top"/>
    </xf>
    <xf numFmtId="0" fontId="4" fillId="6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vertical="top" wrapText="1"/>
    </xf>
    <xf numFmtId="1" fontId="0" fillId="3" borderId="2" xfId="0" applyNumberFormat="1" applyFill="1" applyBorder="1" applyAlignment="1">
      <alignment vertical="top" wrapText="1"/>
    </xf>
    <xf numFmtId="0" fontId="6" fillId="7" borderId="2" xfId="0" applyFont="1" applyFill="1" applyBorder="1"/>
    <xf numFmtId="14" fontId="0" fillId="0" borderId="2" xfId="0" applyNumberFormat="1" applyBorder="1"/>
    <xf numFmtId="0" fontId="0" fillId="0" borderId="2" xfId="0" applyBorder="1"/>
    <xf numFmtId="0" fontId="0" fillId="8" borderId="2" xfId="0" applyFill="1" applyBorder="1"/>
    <xf numFmtId="0" fontId="0" fillId="9" borderId="2" xfId="0" applyFill="1" applyBorder="1"/>
    <xf numFmtId="166" fontId="0" fillId="0" borderId="2" xfId="1" applyNumberFormat="1" applyFont="1" applyBorder="1"/>
    <xf numFmtId="3" fontId="0" fillId="0" borderId="2" xfId="0" applyNumberFormat="1" applyBorder="1"/>
    <xf numFmtId="166" fontId="0" fillId="0" borderId="2" xfId="0" applyNumberFormat="1" applyBorder="1"/>
    <xf numFmtId="9" fontId="0" fillId="0" borderId="2" xfId="2" applyFont="1" applyBorder="1" applyAlignment="1">
      <alignment vertical="top"/>
    </xf>
    <xf numFmtId="0" fontId="6" fillId="0" borderId="4" xfId="0" applyFont="1" applyBorder="1"/>
    <xf numFmtId="0" fontId="6" fillId="0" borderId="5" xfId="0" applyFont="1" applyBorder="1"/>
    <xf numFmtId="43" fontId="0" fillId="0" borderId="6" xfId="1" applyFont="1" applyBorder="1"/>
    <xf numFmtId="43" fontId="0" fillId="0" borderId="7" xfId="1" applyFont="1" applyBorder="1"/>
    <xf numFmtId="43" fontId="0" fillId="0" borderId="8" xfId="1" applyFont="1" applyBorder="1"/>
    <xf numFmtId="43" fontId="0" fillId="0" borderId="9" xfId="1" applyFont="1" applyBorder="1"/>
    <xf numFmtId="43" fontId="6" fillId="0" borderId="4" xfId="1" applyFont="1" applyBorder="1"/>
    <xf numFmtId="43" fontId="6" fillId="0" borderId="5" xfId="1" applyFont="1" applyBorder="1"/>
    <xf numFmtId="1" fontId="2" fillId="2" borderId="2" xfId="0" applyNumberFormat="1" applyFont="1" applyFill="1" applyBorder="1" applyAlignment="1">
      <alignment horizontal="left" vertical="top" wrapText="1"/>
    </xf>
    <xf numFmtId="1" fontId="0" fillId="0" borderId="2" xfId="0" applyNumberFormat="1" applyBorder="1"/>
    <xf numFmtId="43" fontId="0" fillId="0" borderId="0" xfId="1" applyFont="1" applyAlignment="1"/>
    <xf numFmtId="1" fontId="0" fillId="3" borderId="2" xfId="0" applyNumberFormat="1" applyFill="1" applyBorder="1" applyAlignment="1">
      <alignment vertical="top"/>
    </xf>
    <xf numFmtId="166" fontId="2" fillId="2" borderId="2" xfId="1" applyNumberFormat="1" applyFont="1" applyFill="1" applyBorder="1" applyAlignment="1">
      <alignment horizontal="left" vertical="top"/>
    </xf>
    <xf numFmtId="0" fontId="0" fillId="7" borderId="2" xfId="0" applyNumberFormat="1" applyFill="1" applyBorder="1" applyAlignment="1">
      <alignment vertical="top"/>
    </xf>
    <xf numFmtId="0" fontId="0" fillId="7" borderId="2" xfId="0" applyFill="1" applyBorder="1" applyAlignment="1">
      <alignment vertical="top"/>
    </xf>
    <xf numFmtId="14" fontId="0" fillId="7" borderId="2" xfId="0" applyNumberFormat="1" applyFill="1" applyBorder="1" applyAlignment="1">
      <alignment horizontal="right" vertical="top"/>
    </xf>
    <xf numFmtId="1" fontId="0" fillId="7" borderId="2" xfId="0" applyNumberFormat="1" applyFill="1" applyBorder="1" applyAlignment="1">
      <alignment vertical="top"/>
    </xf>
    <xf numFmtId="4" fontId="0" fillId="7" borderId="2" xfId="0" applyNumberFormat="1" applyFill="1" applyBorder="1" applyAlignment="1">
      <alignment horizontal="right" vertical="top"/>
    </xf>
    <xf numFmtId="0" fontId="0" fillId="0" borderId="0" xfId="0" applyFill="1" applyAlignment="1"/>
    <xf numFmtId="43" fontId="0" fillId="0" borderId="0" xfId="0" applyNumberFormat="1" applyFill="1" applyAlignment="1"/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166" fontId="0" fillId="0" borderId="2" xfId="1" applyNumberFormat="1" applyFont="1" applyFill="1" applyBorder="1" applyAlignment="1">
      <alignment horizontal="right" vertical="top"/>
    </xf>
    <xf numFmtId="166" fontId="0" fillId="0" borderId="2" xfId="1" applyNumberFormat="1" applyFont="1" applyFill="1" applyBorder="1" applyAlignment="1"/>
    <xf numFmtId="9" fontId="0" fillId="0" borderId="2" xfId="2" applyFont="1" applyFill="1" applyBorder="1" applyAlignment="1"/>
    <xf numFmtId="0" fontId="0" fillId="0" borderId="0" xfId="0" applyAlignment="1">
      <alignment horizontal="left" vertical="center"/>
    </xf>
    <xf numFmtId="43" fontId="0" fillId="0" borderId="0" xfId="1" applyFont="1" applyAlignment="1">
      <alignment horizontal="left" vertical="center"/>
    </xf>
    <xf numFmtId="166" fontId="0" fillId="0" borderId="0" xfId="1" applyNumberFormat="1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1" fontId="0" fillId="3" borderId="2" xfId="0" applyNumberForma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6" fontId="2" fillId="2" borderId="2" xfId="1" applyNumberFormat="1" applyFon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left" vertical="center"/>
    </xf>
    <xf numFmtId="166" fontId="0" fillId="0" borderId="2" xfId="1" applyNumberFormat="1" applyFont="1" applyBorder="1" applyAlignment="1">
      <alignment horizontal="left" vertical="center"/>
    </xf>
    <xf numFmtId="9" fontId="0" fillId="0" borderId="2" xfId="2" applyFont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top"/>
    </xf>
    <xf numFmtId="1" fontId="0" fillId="0" borderId="2" xfId="0" applyNumberFormat="1" applyFill="1" applyBorder="1" applyAlignment="1">
      <alignment horizontal="left" vertical="top"/>
    </xf>
    <xf numFmtId="4" fontId="0" fillId="0" borderId="2" xfId="0" applyNumberFormat="1" applyFill="1" applyBorder="1" applyAlignment="1">
      <alignment horizontal="left" vertical="top"/>
    </xf>
    <xf numFmtId="166" fontId="0" fillId="0" borderId="2" xfId="1" applyNumberFormat="1" applyFont="1" applyFill="1" applyBorder="1" applyAlignment="1">
      <alignment horizontal="left" vertical="top"/>
    </xf>
    <xf numFmtId="166" fontId="0" fillId="0" borderId="2" xfId="1" applyNumberFormat="1" applyFont="1" applyFill="1" applyBorder="1" applyAlignment="1">
      <alignment horizontal="left"/>
    </xf>
    <xf numFmtId="9" fontId="0" fillId="0" borderId="2" xfId="2" applyFont="1" applyFill="1" applyBorder="1" applyAlignment="1">
      <alignment horizontal="left"/>
    </xf>
    <xf numFmtId="43" fontId="0" fillId="0" borderId="0" xfId="1" applyFont="1" applyAlignment="1">
      <alignment horizontal="left" vertical="top"/>
    </xf>
    <xf numFmtId="0" fontId="0" fillId="0" borderId="0" xfId="0" applyFill="1"/>
    <xf numFmtId="43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43" fontId="0" fillId="0" borderId="2" xfId="0" applyNumberFormat="1" applyFill="1" applyBorder="1" applyAlignment="1">
      <alignment horizontal="left" vertical="center"/>
    </xf>
    <xf numFmtId="166" fontId="0" fillId="0" borderId="0" xfId="0" applyNumberFormat="1"/>
    <xf numFmtId="4" fontId="0" fillId="0" borderId="0" xfId="0" applyNumberFormat="1" applyAlignment="1"/>
    <xf numFmtId="166" fontId="0" fillId="0" borderId="2" xfId="1" applyNumberFormat="1" applyFont="1" applyBorder="1" applyAlignment="1">
      <alignment vertical="top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7BA9-E6AA-43E0-92FC-85E7B9879D44}">
  <dimension ref="A1:C9"/>
  <sheetViews>
    <sheetView workbookViewId="0">
      <selection activeCell="B7" sqref="B7"/>
    </sheetView>
  </sheetViews>
  <sheetFormatPr defaultRowHeight="14.5" x14ac:dyDescent="0.35"/>
  <cols>
    <col min="1" max="1" width="44.6328125" bestFit="1" customWidth="1"/>
    <col min="2" max="2" width="12.54296875" bestFit="1" customWidth="1"/>
    <col min="3" max="3" width="12.1796875" bestFit="1" customWidth="1"/>
  </cols>
  <sheetData>
    <row r="1" spans="1:3" ht="15" thickBot="1" x14ac:dyDescent="0.4">
      <c r="A1" s="77" t="s">
        <v>1</v>
      </c>
      <c r="B1" s="78" t="s">
        <v>565</v>
      </c>
    </row>
    <row r="2" spans="1:3" x14ac:dyDescent="0.35">
      <c r="A2" s="79" t="s">
        <v>569</v>
      </c>
      <c r="B2" s="80">
        <f>'Customer Data'!F412</f>
        <v>896920.80999999971</v>
      </c>
    </row>
    <row r="3" spans="1:3" x14ac:dyDescent="0.35">
      <c r="A3" s="81" t="s">
        <v>570</v>
      </c>
      <c r="B3" s="82">
        <f>TDS!D1</f>
        <v>20804.91</v>
      </c>
    </row>
    <row r="4" spans="1:3" x14ac:dyDescent="0.35">
      <c r="A4" s="81" t="s">
        <v>572</v>
      </c>
      <c r="B4" s="82">
        <f>-'Payment Reco'!H6</f>
        <v>-4599</v>
      </c>
    </row>
    <row r="5" spans="1:3" x14ac:dyDescent="0.35">
      <c r="A5" s="81" t="s">
        <v>566</v>
      </c>
      <c r="B5" s="82">
        <f>'Invoices Not in customer books'!H39</f>
        <v>416781.42000000004</v>
      </c>
      <c r="C5" s="57"/>
    </row>
    <row r="6" spans="1:3" x14ac:dyDescent="0.35">
      <c r="A6" s="81" t="s">
        <v>571</v>
      </c>
      <c r="B6" s="82">
        <f>-'Invoices not in Ascendus books'!F5</f>
        <v>-48765</v>
      </c>
    </row>
    <row r="7" spans="1:3" x14ac:dyDescent="0.35">
      <c r="A7" s="81" t="s">
        <v>567</v>
      </c>
      <c r="B7" s="82">
        <f>SUM(B2:B6)</f>
        <v>1281143.1399999997</v>
      </c>
    </row>
    <row r="8" spans="1:3" ht="15" thickBot="1" x14ac:dyDescent="0.4">
      <c r="A8" s="81" t="s">
        <v>568</v>
      </c>
      <c r="B8" s="82">
        <f>'Ascendus Data'!T114</f>
        <v>1270668.6000000001</v>
      </c>
    </row>
    <row r="9" spans="1:3" ht="15" thickBot="1" x14ac:dyDescent="0.4">
      <c r="A9" s="83" t="s">
        <v>562</v>
      </c>
      <c r="B9" s="84">
        <f>B7-B8</f>
        <v>10474.539999999572</v>
      </c>
      <c r="C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1CEB-9423-4E79-B573-9DE4A083DFC8}">
  <dimension ref="A2:J40"/>
  <sheetViews>
    <sheetView topLeftCell="A8" workbookViewId="0">
      <selection activeCell="F40" sqref="F40"/>
    </sheetView>
  </sheetViews>
  <sheetFormatPr defaultRowHeight="14.5" x14ac:dyDescent="0.35"/>
  <cols>
    <col min="1" max="1" width="11.7265625" style="41" bestFit="1" customWidth="1"/>
    <col min="2" max="2" width="3.36328125" style="41" customWidth="1"/>
    <col min="3" max="3" width="11.7265625" style="41" bestFit="1" customWidth="1"/>
    <col min="4" max="4" width="12.90625" style="41" bestFit="1" customWidth="1"/>
    <col min="5" max="5" width="3.81640625" style="41" customWidth="1"/>
    <col min="6" max="6" width="8.26953125" style="41" customWidth="1"/>
    <col min="7" max="7" width="4.36328125" style="41" customWidth="1"/>
    <col min="8" max="8" width="12.1796875" style="41" bestFit="1" customWidth="1"/>
    <col min="9" max="9" width="37.7265625" style="41" bestFit="1" customWidth="1"/>
    <col min="10" max="10" width="11.81640625" style="95" bestFit="1" customWidth="1"/>
    <col min="11" max="16384" width="8.7265625" style="95"/>
  </cols>
  <sheetData>
    <row r="2" spans="1:10" x14ac:dyDescent="0.35">
      <c r="H2" s="87"/>
    </row>
    <row r="3" spans="1:10" x14ac:dyDescent="0.35">
      <c r="A3" s="20" t="s">
        <v>334</v>
      </c>
      <c r="B3" s="20" t="s">
        <v>335</v>
      </c>
      <c r="C3" s="20" t="s">
        <v>336</v>
      </c>
      <c r="D3" s="88" t="s">
        <v>339</v>
      </c>
      <c r="E3" s="20" t="s">
        <v>344</v>
      </c>
      <c r="F3" s="20" t="s">
        <v>345</v>
      </c>
      <c r="G3" s="20" t="s">
        <v>346</v>
      </c>
      <c r="H3" s="20" t="s">
        <v>347</v>
      </c>
      <c r="I3" s="20" t="s">
        <v>350</v>
      </c>
    </row>
    <row r="4" spans="1:10" x14ac:dyDescent="0.35">
      <c r="A4" s="90">
        <v>1800012317</v>
      </c>
      <c r="B4" s="91" t="s">
        <v>365</v>
      </c>
      <c r="C4" s="92">
        <v>45904</v>
      </c>
      <c r="D4" s="93">
        <v>256779416940</v>
      </c>
      <c r="E4" s="91" t="s">
        <v>367</v>
      </c>
      <c r="F4" s="94">
        <v>1440.32</v>
      </c>
      <c r="G4" s="91" t="s">
        <v>360</v>
      </c>
      <c r="H4" s="94">
        <v>126048.64</v>
      </c>
      <c r="I4" s="91" t="s">
        <v>389</v>
      </c>
      <c r="J4" s="96"/>
    </row>
    <row r="5" spans="1:10" x14ac:dyDescent="0.35">
      <c r="A5" s="90">
        <v>1800011529</v>
      </c>
      <c r="B5" s="91" t="s">
        <v>365</v>
      </c>
      <c r="C5" s="92">
        <v>45877</v>
      </c>
      <c r="D5" s="93">
        <v>256779416379</v>
      </c>
      <c r="E5" s="91" t="s">
        <v>367</v>
      </c>
      <c r="F5" s="94">
        <v>546.72</v>
      </c>
      <c r="G5" s="91" t="s">
        <v>360</v>
      </c>
      <c r="H5" s="94">
        <v>47034.39</v>
      </c>
      <c r="I5" s="91" t="s">
        <v>402</v>
      </c>
      <c r="J5" s="96"/>
    </row>
    <row r="6" spans="1:10" x14ac:dyDescent="0.35">
      <c r="A6" s="90">
        <v>1800005794</v>
      </c>
      <c r="B6" s="91" t="s">
        <v>365</v>
      </c>
      <c r="C6" s="92">
        <v>45751</v>
      </c>
      <c r="D6" s="93">
        <v>256779410686</v>
      </c>
      <c r="E6" s="91" t="s">
        <v>367</v>
      </c>
      <c r="F6" s="94">
        <v>447.59</v>
      </c>
      <c r="G6" s="91" t="s">
        <v>360</v>
      </c>
      <c r="H6" s="94">
        <v>38905.339999999997</v>
      </c>
      <c r="I6" s="91" t="s">
        <v>374</v>
      </c>
      <c r="J6" s="96"/>
    </row>
    <row r="7" spans="1:10" x14ac:dyDescent="0.35">
      <c r="A7" s="90">
        <v>1800005668</v>
      </c>
      <c r="B7" s="91" t="s">
        <v>365</v>
      </c>
      <c r="C7" s="92">
        <v>45751</v>
      </c>
      <c r="D7" s="93">
        <v>256779410560</v>
      </c>
      <c r="E7" s="91" t="s">
        <v>367</v>
      </c>
      <c r="F7" s="94">
        <v>392.93</v>
      </c>
      <c r="G7" s="91" t="s">
        <v>360</v>
      </c>
      <c r="H7" s="94">
        <v>34154.19</v>
      </c>
      <c r="I7" s="91" t="s">
        <v>373</v>
      </c>
      <c r="J7" s="96"/>
    </row>
    <row r="8" spans="1:10" x14ac:dyDescent="0.35">
      <c r="A8" s="90">
        <v>1800011853</v>
      </c>
      <c r="B8" s="91" t="s">
        <v>365</v>
      </c>
      <c r="C8" s="92">
        <v>45877</v>
      </c>
      <c r="D8" s="93">
        <v>256779416504</v>
      </c>
      <c r="E8" s="91" t="s">
        <v>367</v>
      </c>
      <c r="F8" s="94">
        <v>269.8</v>
      </c>
      <c r="G8" s="91" t="s">
        <v>360</v>
      </c>
      <c r="H8" s="94">
        <v>23210.93</v>
      </c>
      <c r="I8" s="91" t="s">
        <v>403</v>
      </c>
      <c r="J8" s="96"/>
    </row>
    <row r="9" spans="1:10" x14ac:dyDescent="0.35">
      <c r="A9" s="90">
        <v>1800005578</v>
      </c>
      <c r="B9" s="91" t="s">
        <v>365</v>
      </c>
      <c r="C9" s="92">
        <v>45751</v>
      </c>
      <c r="D9" s="93">
        <v>256779410470</v>
      </c>
      <c r="E9" s="91" t="s">
        <v>367</v>
      </c>
      <c r="F9" s="94">
        <v>206.48</v>
      </c>
      <c r="G9" s="91" t="s">
        <v>360</v>
      </c>
      <c r="H9" s="94">
        <v>17947.62</v>
      </c>
      <c r="I9" s="91" t="s">
        <v>372</v>
      </c>
      <c r="J9" s="96"/>
    </row>
    <row r="10" spans="1:10" x14ac:dyDescent="0.35">
      <c r="A10" s="90">
        <v>1800006043</v>
      </c>
      <c r="B10" s="91" t="s">
        <v>365</v>
      </c>
      <c r="C10" s="92">
        <v>45763</v>
      </c>
      <c r="D10" s="93">
        <v>256779410934</v>
      </c>
      <c r="E10" s="91" t="s">
        <v>367</v>
      </c>
      <c r="F10" s="94">
        <v>204.98</v>
      </c>
      <c r="G10" s="91" t="s">
        <v>360</v>
      </c>
      <c r="H10" s="94">
        <v>17817.23</v>
      </c>
      <c r="I10" s="91" t="s">
        <v>372</v>
      </c>
      <c r="J10" s="96"/>
    </row>
    <row r="11" spans="1:10" x14ac:dyDescent="0.35">
      <c r="A11" s="90">
        <v>1800011389</v>
      </c>
      <c r="B11" s="91" t="s">
        <v>365</v>
      </c>
      <c r="C11" s="92">
        <v>45877</v>
      </c>
      <c r="D11" s="93">
        <v>256779416239</v>
      </c>
      <c r="E11" s="91" t="s">
        <v>367</v>
      </c>
      <c r="F11" s="94">
        <v>132.4</v>
      </c>
      <c r="G11" s="91" t="s">
        <v>360</v>
      </c>
      <c r="H11" s="94">
        <v>11390.39</v>
      </c>
      <c r="I11" s="91" t="s">
        <v>400</v>
      </c>
      <c r="J11" s="96"/>
    </row>
    <row r="12" spans="1:10" x14ac:dyDescent="0.35">
      <c r="A12" s="90">
        <v>1800008919</v>
      </c>
      <c r="B12" s="91" t="s">
        <v>365</v>
      </c>
      <c r="C12" s="92">
        <v>45798</v>
      </c>
      <c r="D12" s="93">
        <v>256779413683</v>
      </c>
      <c r="E12" s="91" t="s">
        <v>367</v>
      </c>
      <c r="F12" s="94">
        <v>112.44</v>
      </c>
      <c r="G12" s="91" t="s">
        <v>360</v>
      </c>
      <c r="H12" s="94">
        <v>9668.01</v>
      </c>
      <c r="I12" s="91" t="s">
        <v>428</v>
      </c>
      <c r="J12" s="96"/>
    </row>
    <row r="13" spans="1:10" x14ac:dyDescent="0.35">
      <c r="A13" s="90">
        <v>1800007596</v>
      </c>
      <c r="B13" s="91" t="s">
        <v>365</v>
      </c>
      <c r="C13" s="92">
        <v>45769</v>
      </c>
      <c r="D13" s="93">
        <v>256779412487</v>
      </c>
      <c r="E13" s="91" t="s">
        <v>367</v>
      </c>
      <c r="F13" s="94">
        <v>104.6</v>
      </c>
      <c r="G13" s="91" t="s">
        <v>360</v>
      </c>
      <c r="H13" s="94">
        <v>9092.02</v>
      </c>
      <c r="I13" s="91" t="s">
        <v>410</v>
      </c>
      <c r="J13" s="96"/>
    </row>
    <row r="14" spans="1:10" x14ac:dyDescent="0.35">
      <c r="A14" s="90">
        <v>1800011825</v>
      </c>
      <c r="B14" s="91" t="s">
        <v>365</v>
      </c>
      <c r="C14" s="92">
        <v>45877</v>
      </c>
      <c r="D14" s="93">
        <v>256779416134</v>
      </c>
      <c r="E14" s="91" t="s">
        <v>367</v>
      </c>
      <c r="F14" s="94">
        <v>102.45</v>
      </c>
      <c r="G14" s="91" t="s">
        <v>360</v>
      </c>
      <c r="H14" s="94">
        <v>8813.7900000000009</v>
      </c>
      <c r="I14" s="91" t="s">
        <v>398</v>
      </c>
      <c r="J14" s="96"/>
    </row>
    <row r="15" spans="1:10" x14ac:dyDescent="0.35">
      <c r="A15" s="90">
        <v>1800009285</v>
      </c>
      <c r="B15" s="91" t="s">
        <v>365</v>
      </c>
      <c r="C15" s="92">
        <v>45813</v>
      </c>
      <c r="D15" s="93">
        <v>256779414049</v>
      </c>
      <c r="E15" s="91" t="s">
        <v>367</v>
      </c>
      <c r="F15" s="94">
        <v>92.68</v>
      </c>
      <c r="G15" s="91" t="s">
        <v>360</v>
      </c>
      <c r="H15" s="94">
        <v>7923.29</v>
      </c>
      <c r="I15" s="91" t="s">
        <v>381</v>
      </c>
      <c r="J15" s="96"/>
    </row>
    <row r="16" spans="1:10" x14ac:dyDescent="0.35">
      <c r="A16" s="90">
        <v>1800007927</v>
      </c>
      <c r="B16" s="91" t="s">
        <v>365</v>
      </c>
      <c r="C16" s="92">
        <v>45771</v>
      </c>
      <c r="D16" s="93">
        <v>256779412818</v>
      </c>
      <c r="E16" s="91" t="s">
        <v>367</v>
      </c>
      <c r="F16" s="94">
        <v>86</v>
      </c>
      <c r="G16" s="91" t="s">
        <v>360</v>
      </c>
      <c r="H16" s="94">
        <v>7475.28</v>
      </c>
      <c r="I16" s="91" t="s">
        <v>430</v>
      </c>
      <c r="J16" s="96"/>
    </row>
    <row r="17" spans="1:10" x14ac:dyDescent="0.35">
      <c r="A17" s="90">
        <v>1800011630</v>
      </c>
      <c r="B17" s="91" t="s">
        <v>365</v>
      </c>
      <c r="C17" s="92">
        <v>45877</v>
      </c>
      <c r="D17" s="93">
        <v>256779416480</v>
      </c>
      <c r="E17" s="91" t="s">
        <v>367</v>
      </c>
      <c r="F17" s="94">
        <v>86.26</v>
      </c>
      <c r="G17" s="91" t="s">
        <v>360</v>
      </c>
      <c r="H17" s="94">
        <v>7420.96</v>
      </c>
      <c r="I17" s="91" t="s">
        <v>397</v>
      </c>
      <c r="J17" s="96"/>
    </row>
    <row r="18" spans="1:10" x14ac:dyDescent="0.35">
      <c r="A18" s="90">
        <v>1800008771</v>
      </c>
      <c r="B18" s="91" t="s">
        <v>365</v>
      </c>
      <c r="C18" s="92">
        <v>45785</v>
      </c>
      <c r="D18" s="93">
        <v>256779413535</v>
      </c>
      <c r="E18" s="91" t="s">
        <v>367</v>
      </c>
      <c r="F18" s="94">
        <v>81.77</v>
      </c>
      <c r="G18" s="91" t="s">
        <v>360</v>
      </c>
      <c r="H18" s="94">
        <v>7030.89</v>
      </c>
      <c r="I18" s="91" t="s">
        <v>382</v>
      </c>
      <c r="J18" s="96"/>
    </row>
    <row r="19" spans="1:10" x14ac:dyDescent="0.35">
      <c r="A19" s="90">
        <v>1800010324</v>
      </c>
      <c r="B19" s="91" t="s">
        <v>365</v>
      </c>
      <c r="C19" s="92">
        <v>45842</v>
      </c>
      <c r="D19" s="93">
        <v>256779415084</v>
      </c>
      <c r="E19" s="91" t="s">
        <v>367</v>
      </c>
      <c r="F19" s="94">
        <v>68.69</v>
      </c>
      <c r="G19" s="91" t="s">
        <v>360</v>
      </c>
      <c r="H19" s="94">
        <v>5907.39</v>
      </c>
      <c r="I19" s="91" t="s">
        <v>392</v>
      </c>
      <c r="J19" s="96"/>
    </row>
    <row r="20" spans="1:10" x14ac:dyDescent="0.35">
      <c r="A20" s="90">
        <v>1800011768</v>
      </c>
      <c r="B20" s="91" t="s">
        <v>365</v>
      </c>
      <c r="C20" s="92">
        <v>45877</v>
      </c>
      <c r="D20" s="93">
        <v>256779416159</v>
      </c>
      <c r="E20" s="91" t="s">
        <v>367</v>
      </c>
      <c r="F20" s="94">
        <v>67.34</v>
      </c>
      <c r="G20" s="91" t="s">
        <v>360</v>
      </c>
      <c r="H20" s="94">
        <v>5793.27</v>
      </c>
      <c r="I20" s="91" t="s">
        <v>396</v>
      </c>
      <c r="J20" s="96"/>
    </row>
    <row r="21" spans="1:10" x14ac:dyDescent="0.35">
      <c r="A21" s="90">
        <v>1800009856</v>
      </c>
      <c r="B21" s="91" t="s">
        <v>365</v>
      </c>
      <c r="C21" s="92">
        <v>45826</v>
      </c>
      <c r="D21" s="93">
        <v>256779414620</v>
      </c>
      <c r="E21" s="91" t="s">
        <v>367</v>
      </c>
      <c r="F21" s="94">
        <v>65.42</v>
      </c>
      <c r="G21" s="91" t="s">
        <v>360</v>
      </c>
      <c r="H21" s="94">
        <v>5592.81</v>
      </c>
      <c r="I21" s="91" t="s">
        <v>431</v>
      </c>
      <c r="J21" s="96"/>
    </row>
    <row r="22" spans="1:10" x14ac:dyDescent="0.35">
      <c r="A22" s="90">
        <v>1800007894</v>
      </c>
      <c r="B22" s="91" t="s">
        <v>365</v>
      </c>
      <c r="C22" s="92">
        <v>45771</v>
      </c>
      <c r="D22" s="93">
        <v>256779412785</v>
      </c>
      <c r="E22" s="91" t="s">
        <v>367</v>
      </c>
      <c r="F22" s="94">
        <v>60.31</v>
      </c>
      <c r="G22" s="91" t="s">
        <v>360</v>
      </c>
      <c r="H22" s="94">
        <v>5242.25</v>
      </c>
      <c r="I22" s="91" t="s">
        <v>429</v>
      </c>
      <c r="J22" s="96"/>
    </row>
    <row r="23" spans="1:10" x14ac:dyDescent="0.35">
      <c r="A23" s="90">
        <v>1800011682</v>
      </c>
      <c r="B23" s="91" t="s">
        <v>365</v>
      </c>
      <c r="C23" s="92">
        <v>45877</v>
      </c>
      <c r="D23" s="93">
        <v>256779416200</v>
      </c>
      <c r="E23" s="91" t="s">
        <v>367</v>
      </c>
      <c r="F23" s="94">
        <v>36.19</v>
      </c>
      <c r="G23" s="91" t="s">
        <v>360</v>
      </c>
      <c r="H23" s="94">
        <v>3113.43</v>
      </c>
      <c r="I23" s="91" t="s">
        <v>399</v>
      </c>
      <c r="J23" s="96"/>
    </row>
    <row r="24" spans="1:10" x14ac:dyDescent="0.35">
      <c r="A24" s="90">
        <v>1800009538</v>
      </c>
      <c r="B24" s="91" t="s">
        <v>365</v>
      </c>
      <c r="C24" s="92">
        <v>45812</v>
      </c>
      <c r="D24" s="93">
        <v>256779414302</v>
      </c>
      <c r="E24" s="91" t="s">
        <v>367</v>
      </c>
      <c r="F24" s="94">
        <v>35.04</v>
      </c>
      <c r="G24" s="91" t="s">
        <v>360</v>
      </c>
      <c r="H24" s="94">
        <v>2995.6</v>
      </c>
      <c r="I24" s="91" t="s">
        <v>405</v>
      </c>
      <c r="J24" s="96"/>
    </row>
    <row r="25" spans="1:10" x14ac:dyDescent="0.35">
      <c r="A25" s="90">
        <v>1800006794</v>
      </c>
      <c r="B25" s="91" t="s">
        <v>365</v>
      </c>
      <c r="C25" s="92">
        <v>45763</v>
      </c>
      <c r="D25" s="93">
        <v>256779411685</v>
      </c>
      <c r="E25" s="91" t="s">
        <v>367</v>
      </c>
      <c r="F25" s="94">
        <v>31.15</v>
      </c>
      <c r="G25" s="91" t="s">
        <v>360</v>
      </c>
      <c r="H25" s="94">
        <v>2707.61</v>
      </c>
      <c r="I25" s="91" t="s">
        <v>383</v>
      </c>
      <c r="J25" s="96"/>
    </row>
    <row r="26" spans="1:10" x14ac:dyDescent="0.35">
      <c r="A26" s="90">
        <v>1800006795</v>
      </c>
      <c r="B26" s="91" t="s">
        <v>365</v>
      </c>
      <c r="C26" s="92">
        <v>45763</v>
      </c>
      <c r="D26" s="93">
        <v>256779411686</v>
      </c>
      <c r="E26" s="91" t="s">
        <v>367</v>
      </c>
      <c r="F26" s="94">
        <v>31.15</v>
      </c>
      <c r="G26" s="91" t="s">
        <v>360</v>
      </c>
      <c r="H26" s="94">
        <v>2707.61</v>
      </c>
      <c r="I26" s="91" t="s">
        <v>383</v>
      </c>
      <c r="J26" s="96"/>
    </row>
    <row r="27" spans="1:10" x14ac:dyDescent="0.35">
      <c r="A27" s="90">
        <v>1800012752</v>
      </c>
      <c r="B27" s="91" t="s">
        <v>365</v>
      </c>
      <c r="C27" s="92">
        <v>45910</v>
      </c>
      <c r="D27" s="93">
        <v>256779417385</v>
      </c>
      <c r="E27" s="91" t="s">
        <v>367</v>
      </c>
      <c r="F27" s="94">
        <v>16.350000000000001</v>
      </c>
      <c r="G27" s="91" t="s">
        <v>360</v>
      </c>
      <c r="H27" s="94">
        <v>1430.86</v>
      </c>
      <c r="I27" s="91" t="s">
        <v>368</v>
      </c>
      <c r="J27" s="96"/>
    </row>
    <row r="28" spans="1:10" x14ac:dyDescent="0.35">
      <c r="A28" s="90">
        <v>1800009428</v>
      </c>
      <c r="B28" s="91" t="s">
        <v>365</v>
      </c>
      <c r="C28" s="92">
        <v>45812</v>
      </c>
      <c r="D28" s="93">
        <v>256779414192</v>
      </c>
      <c r="E28" s="91" t="s">
        <v>367</v>
      </c>
      <c r="F28" s="94">
        <v>15.64</v>
      </c>
      <c r="G28" s="91" t="s">
        <v>360</v>
      </c>
      <c r="H28" s="94">
        <v>1337.08</v>
      </c>
      <c r="I28" s="91" t="s">
        <v>404</v>
      </c>
      <c r="J28" s="96"/>
    </row>
    <row r="29" spans="1:10" x14ac:dyDescent="0.35">
      <c r="A29" s="90">
        <v>1800006809</v>
      </c>
      <c r="B29" s="91" t="s">
        <v>365</v>
      </c>
      <c r="C29" s="92">
        <v>45763</v>
      </c>
      <c r="D29" s="93">
        <v>256779411700</v>
      </c>
      <c r="E29" s="91" t="s">
        <v>367</v>
      </c>
      <c r="F29" s="94">
        <v>14.04</v>
      </c>
      <c r="G29" s="91" t="s">
        <v>360</v>
      </c>
      <c r="H29" s="94">
        <v>1220.3800000000001</v>
      </c>
      <c r="I29" s="91" t="s">
        <v>385</v>
      </c>
      <c r="J29" s="96"/>
    </row>
    <row r="30" spans="1:10" x14ac:dyDescent="0.35">
      <c r="A30" s="90">
        <v>1800011248</v>
      </c>
      <c r="B30" s="91" t="s">
        <v>365</v>
      </c>
      <c r="C30" s="92">
        <v>45863</v>
      </c>
      <c r="D30" s="93">
        <v>256779415980</v>
      </c>
      <c r="E30" s="91" t="s">
        <v>367</v>
      </c>
      <c r="F30" s="94">
        <v>11.04</v>
      </c>
      <c r="G30" s="91" t="s">
        <v>360</v>
      </c>
      <c r="H30" s="94">
        <v>949.45</v>
      </c>
      <c r="I30" s="91" t="s">
        <v>387</v>
      </c>
      <c r="J30" s="96"/>
    </row>
    <row r="31" spans="1:10" x14ac:dyDescent="0.35">
      <c r="A31" s="90">
        <v>1800008314</v>
      </c>
      <c r="B31" s="91" t="s">
        <v>365</v>
      </c>
      <c r="C31" s="92">
        <v>45787</v>
      </c>
      <c r="D31" s="93">
        <v>256779413197</v>
      </c>
      <c r="E31" s="91" t="s">
        <v>367</v>
      </c>
      <c r="F31" s="94">
        <v>8.32</v>
      </c>
      <c r="G31" s="91" t="s">
        <v>360</v>
      </c>
      <c r="H31" s="94">
        <v>715.38</v>
      </c>
      <c r="I31" s="91" t="s">
        <v>452</v>
      </c>
      <c r="J31" s="96"/>
    </row>
    <row r="32" spans="1:10" x14ac:dyDescent="0.35">
      <c r="A32" s="90">
        <v>1800012487</v>
      </c>
      <c r="B32" s="91" t="s">
        <v>365</v>
      </c>
      <c r="C32" s="92">
        <v>45904</v>
      </c>
      <c r="D32" s="93">
        <v>256779417095</v>
      </c>
      <c r="E32" s="91" t="s">
        <v>367</v>
      </c>
      <c r="F32" s="94">
        <v>8.06</v>
      </c>
      <c r="G32" s="91" t="s">
        <v>360</v>
      </c>
      <c r="H32" s="94">
        <v>705.37</v>
      </c>
      <c r="I32" s="91" t="s">
        <v>391</v>
      </c>
      <c r="J32" s="96"/>
    </row>
    <row r="33" spans="1:10" x14ac:dyDescent="0.35">
      <c r="A33" s="90">
        <v>1800006803</v>
      </c>
      <c r="B33" s="91" t="s">
        <v>365</v>
      </c>
      <c r="C33" s="92">
        <v>45763</v>
      </c>
      <c r="D33" s="93">
        <v>256779411694</v>
      </c>
      <c r="E33" s="91" t="s">
        <v>367</v>
      </c>
      <c r="F33" s="94">
        <v>7.85</v>
      </c>
      <c r="G33" s="91" t="s">
        <v>360</v>
      </c>
      <c r="H33" s="94">
        <v>682.34</v>
      </c>
      <c r="I33" s="91" t="s">
        <v>384</v>
      </c>
      <c r="J33" s="96"/>
    </row>
    <row r="34" spans="1:10" x14ac:dyDescent="0.35">
      <c r="A34" s="90">
        <v>1800006810</v>
      </c>
      <c r="B34" s="91" t="s">
        <v>365</v>
      </c>
      <c r="C34" s="92">
        <v>45763</v>
      </c>
      <c r="D34" s="93">
        <v>256779411701</v>
      </c>
      <c r="E34" s="91" t="s">
        <v>367</v>
      </c>
      <c r="F34" s="94">
        <v>7.85</v>
      </c>
      <c r="G34" s="91" t="s">
        <v>360</v>
      </c>
      <c r="H34" s="94">
        <v>682.34</v>
      </c>
      <c r="I34" s="91" t="s">
        <v>385</v>
      </c>
      <c r="J34" s="96"/>
    </row>
    <row r="35" spans="1:10" x14ac:dyDescent="0.35">
      <c r="A35" s="90">
        <v>1800006802</v>
      </c>
      <c r="B35" s="91" t="s">
        <v>365</v>
      </c>
      <c r="C35" s="92">
        <v>45763</v>
      </c>
      <c r="D35" s="93">
        <v>256779411693</v>
      </c>
      <c r="E35" s="91" t="s">
        <v>367</v>
      </c>
      <c r="F35" s="94">
        <v>3.89</v>
      </c>
      <c r="G35" s="91" t="s">
        <v>360</v>
      </c>
      <c r="H35" s="94">
        <v>338.13</v>
      </c>
      <c r="I35" s="91" t="s">
        <v>384</v>
      </c>
      <c r="J35" s="96"/>
    </row>
    <row r="36" spans="1:10" x14ac:dyDescent="0.35">
      <c r="A36" s="90">
        <v>1800011920</v>
      </c>
      <c r="B36" s="91" t="s">
        <v>365</v>
      </c>
      <c r="C36" s="92">
        <v>45888</v>
      </c>
      <c r="D36" s="93">
        <v>256779416570</v>
      </c>
      <c r="E36" s="91" t="s">
        <v>367</v>
      </c>
      <c r="F36" s="94">
        <v>3.63</v>
      </c>
      <c r="G36" s="91" t="s">
        <v>360</v>
      </c>
      <c r="H36" s="94">
        <v>312.29000000000002</v>
      </c>
      <c r="I36" s="91" t="s">
        <v>426</v>
      </c>
      <c r="J36" s="96"/>
    </row>
    <row r="37" spans="1:10" x14ac:dyDescent="0.35">
      <c r="A37" s="90">
        <v>1800011445</v>
      </c>
      <c r="B37" s="91" t="s">
        <v>365</v>
      </c>
      <c r="C37" s="92">
        <v>45877</v>
      </c>
      <c r="D37" s="93">
        <v>256779416295</v>
      </c>
      <c r="E37" s="91" t="s">
        <v>367</v>
      </c>
      <c r="F37" s="94">
        <v>3.63</v>
      </c>
      <c r="G37" s="91" t="s">
        <v>360</v>
      </c>
      <c r="H37" s="94">
        <v>312.29000000000002</v>
      </c>
      <c r="I37" s="91" t="s">
        <v>401</v>
      </c>
      <c r="J37" s="96"/>
    </row>
    <row r="38" spans="1:10" x14ac:dyDescent="0.35">
      <c r="A38" s="90">
        <v>1800006806</v>
      </c>
      <c r="B38" s="91" t="s">
        <v>365</v>
      </c>
      <c r="C38" s="92">
        <v>45763</v>
      </c>
      <c r="D38" s="93">
        <v>256779411697</v>
      </c>
      <c r="E38" s="91" t="s">
        <v>367</v>
      </c>
      <c r="F38" s="94">
        <v>1.18</v>
      </c>
      <c r="G38" s="91" t="s">
        <v>360</v>
      </c>
      <c r="H38" s="94">
        <v>102.57</v>
      </c>
      <c r="I38" s="91" t="s">
        <v>386</v>
      </c>
      <c r="J38" s="96"/>
    </row>
    <row r="39" spans="1:10" x14ac:dyDescent="0.35">
      <c r="H39" s="135">
        <f>SUM(H4:H38)</f>
        <v>416781.42000000004</v>
      </c>
    </row>
    <row r="40" spans="1:10" x14ac:dyDescent="0.35">
      <c r="H40" s="135"/>
      <c r="I40" s="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7B20-2AED-471A-B162-E99ACFE78C15}">
  <dimension ref="A1:P28"/>
  <sheetViews>
    <sheetView workbookViewId="0">
      <selection activeCell="M30" sqref="M30"/>
    </sheetView>
  </sheetViews>
  <sheetFormatPr defaultRowHeight="14.5" x14ac:dyDescent="0.35"/>
  <cols>
    <col min="1" max="1" width="16.81640625" style="107" bestFit="1" customWidth="1"/>
    <col min="2" max="2" width="4.453125" style="107" customWidth="1"/>
    <col min="3" max="3" width="13.90625" style="107" bestFit="1" customWidth="1"/>
    <col min="4" max="4" width="12.90625" style="107" bestFit="1" customWidth="1"/>
    <col min="5" max="5" width="4.36328125" style="107" customWidth="1"/>
    <col min="6" max="6" width="8.7265625" style="107" customWidth="1"/>
    <col min="7" max="7" width="3.6328125" style="107" customWidth="1"/>
    <col min="8" max="8" width="13" style="107" customWidth="1"/>
    <col min="9" max="9" width="27.54296875" style="99" customWidth="1"/>
    <col min="10" max="10" width="10.08984375" style="98" bestFit="1" customWidth="1"/>
    <col min="11" max="11" width="12" style="98" bestFit="1" customWidth="1"/>
    <col min="12" max="12" width="17" style="98" bestFit="1" customWidth="1"/>
    <col min="13" max="13" width="11.36328125" style="98" bestFit="1" customWidth="1"/>
    <col min="14" max="14" width="6.1796875" style="98" bestFit="1" customWidth="1"/>
    <col min="15" max="15" width="4.54296875" style="98" bestFit="1" customWidth="1"/>
    <col min="16" max="16" width="9.36328125" style="98" bestFit="1" customWidth="1"/>
    <col min="17" max="16384" width="8.7265625" style="98"/>
  </cols>
  <sheetData>
    <row r="1" spans="1:16" x14ac:dyDescent="0.35">
      <c r="H1" s="108">
        <v>716867.69</v>
      </c>
      <c r="J1" s="107"/>
      <c r="K1" s="107"/>
      <c r="L1" s="107"/>
      <c r="M1" s="109"/>
      <c r="N1" s="109"/>
      <c r="O1" s="107"/>
      <c r="P1" s="110"/>
    </row>
    <row r="2" spans="1:16" x14ac:dyDescent="0.35">
      <c r="A2" s="111" t="s">
        <v>334</v>
      </c>
      <c r="B2" s="111" t="s">
        <v>335</v>
      </c>
      <c r="C2" s="111" t="s">
        <v>336</v>
      </c>
      <c r="D2" s="112" t="s">
        <v>339</v>
      </c>
      <c r="E2" s="111" t="s">
        <v>344</v>
      </c>
      <c r="F2" s="111" t="s">
        <v>345</v>
      </c>
      <c r="G2" s="111" t="s">
        <v>346</v>
      </c>
      <c r="H2" s="111" t="s">
        <v>347</v>
      </c>
      <c r="I2" s="100" t="s">
        <v>350</v>
      </c>
      <c r="J2" s="113" t="s">
        <v>0</v>
      </c>
      <c r="K2" s="114" t="s">
        <v>1</v>
      </c>
      <c r="L2" s="114" t="s">
        <v>2</v>
      </c>
      <c r="M2" s="115" t="s">
        <v>4</v>
      </c>
      <c r="N2" s="115" t="s">
        <v>466</v>
      </c>
      <c r="O2" s="114" t="s">
        <v>467</v>
      </c>
      <c r="P2" s="132"/>
    </row>
    <row r="3" spans="1:16" x14ac:dyDescent="0.35">
      <c r="A3" s="116">
        <v>1800017085</v>
      </c>
      <c r="B3" s="117" t="s">
        <v>365</v>
      </c>
      <c r="C3" s="118">
        <v>46045</v>
      </c>
      <c r="D3" s="119">
        <v>256779450977</v>
      </c>
      <c r="E3" s="117" t="s">
        <v>367</v>
      </c>
      <c r="F3" s="120">
        <v>9.1199999999999992</v>
      </c>
      <c r="G3" s="117" t="s">
        <v>360</v>
      </c>
      <c r="H3" s="120">
        <v>827.58</v>
      </c>
      <c r="I3" s="101" t="s">
        <v>464</v>
      </c>
      <c r="J3" s="118">
        <v>46045</v>
      </c>
      <c r="K3" s="117" t="s">
        <v>6</v>
      </c>
      <c r="L3" s="117" t="s">
        <v>289</v>
      </c>
      <c r="M3" s="121">
        <v>828</v>
      </c>
      <c r="N3" s="121">
        <v>14</v>
      </c>
      <c r="O3" s="122">
        <v>1.6908212560386472E-2</v>
      </c>
      <c r="P3" s="133">
        <f>M3-H3</f>
        <v>0.41999999999995907</v>
      </c>
    </row>
    <row r="4" spans="1:16" x14ac:dyDescent="0.35">
      <c r="A4" s="116">
        <v>1800017051</v>
      </c>
      <c r="B4" s="117" t="s">
        <v>365</v>
      </c>
      <c r="C4" s="118">
        <v>46045</v>
      </c>
      <c r="D4" s="119">
        <v>256779450956</v>
      </c>
      <c r="E4" s="117" t="s">
        <v>367</v>
      </c>
      <c r="F4" s="120">
        <v>70.09</v>
      </c>
      <c r="G4" s="117" t="s">
        <v>360</v>
      </c>
      <c r="H4" s="120">
        <v>6360.19</v>
      </c>
      <c r="I4" s="101" t="s">
        <v>463</v>
      </c>
      <c r="J4" s="118">
        <v>46045</v>
      </c>
      <c r="K4" s="117" t="s">
        <v>6</v>
      </c>
      <c r="L4" s="117" t="s">
        <v>293</v>
      </c>
      <c r="M4" s="121">
        <v>6360</v>
      </c>
      <c r="N4" s="121">
        <v>108</v>
      </c>
      <c r="O4" s="122">
        <v>1.6981132075471698E-2</v>
      </c>
      <c r="P4" s="133">
        <f t="shared" ref="P4:P27" si="0">M4-H4</f>
        <v>-0.18999999999959982</v>
      </c>
    </row>
    <row r="5" spans="1:16" x14ac:dyDescent="0.35">
      <c r="A5" s="116">
        <v>1800016863</v>
      </c>
      <c r="B5" s="117" t="s">
        <v>365</v>
      </c>
      <c r="C5" s="118">
        <v>46045</v>
      </c>
      <c r="D5" s="119">
        <v>256779450805</v>
      </c>
      <c r="E5" s="117" t="s">
        <v>367</v>
      </c>
      <c r="F5" s="120">
        <v>112.56</v>
      </c>
      <c r="G5" s="117" t="s">
        <v>360</v>
      </c>
      <c r="H5" s="120">
        <v>10214.049999999999</v>
      </c>
      <c r="I5" s="101" t="s">
        <v>461</v>
      </c>
      <c r="J5" s="118">
        <v>46045</v>
      </c>
      <c r="K5" s="117" t="s">
        <v>6</v>
      </c>
      <c r="L5" s="117" t="s">
        <v>288</v>
      </c>
      <c r="M5" s="121">
        <v>10214</v>
      </c>
      <c r="N5" s="121">
        <v>173</v>
      </c>
      <c r="O5" s="122">
        <v>1.6937536714313688E-2</v>
      </c>
      <c r="P5" s="133">
        <f t="shared" si="0"/>
        <v>-4.9999999999272404E-2</v>
      </c>
    </row>
    <row r="6" spans="1:16" x14ac:dyDescent="0.35">
      <c r="A6" s="116">
        <v>1800016893</v>
      </c>
      <c r="B6" s="117" t="s">
        <v>365</v>
      </c>
      <c r="C6" s="118">
        <v>46042</v>
      </c>
      <c r="D6" s="119">
        <v>256779450822</v>
      </c>
      <c r="E6" s="117" t="s">
        <v>367</v>
      </c>
      <c r="F6" s="120">
        <v>489.12</v>
      </c>
      <c r="G6" s="117" t="s">
        <v>360</v>
      </c>
      <c r="H6" s="120">
        <v>44384.28</v>
      </c>
      <c r="I6" s="101" t="s">
        <v>462</v>
      </c>
      <c r="J6" s="118">
        <v>46042</v>
      </c>
      <c r="K6" s="117" t="s">
        <v>6</v>
      </c>
      <c r="L6" s="117" t="s">
        <v>280</v>
      </c>
      <c r="M6" s="121">
        <v>44384</v>
      </c>
      <c r="N6" s="121">
        <v>752</v>
      </c>
      <c r="O6" s="122">
        <v>1.6943042537851477E-2</v>
      </c>
      <c r="P6" s="133">
        <f t="shared" si="0"/>
        <v>-0.27999999999883585</v>
      </c>
    </row>
    <row r="7" spans="1:16" x14ac:dyDescent="0.35">
      <c r="A7" s="116">
        <v>1800016481</v>
      </c>
      <c r="B7" s="117" t="s">
        <v>365</v>
      </c>
      <c r="C7" s="118">
        <v>46028</v>
      </c>
      <c r="D7" s="119">
        <v>256779450523</v>
      </c>
      <c r="E7" s="117" t="s">
        <v>367</v>
      </c>
      <c r="F7" s="120">
        <v>41.18</v>
      </c>
      <c r="G7" s="117" t="s">
        <v>360</v>
      </c>
      <c r="H7" s="120">
        <v>3736.8</v>
      </c>
      <c r="I7" s="101" t="s">
        <v>459</v>
      </c>
      <c r="J7" s="118">
        <v>46028</v>
      </c>
      <c r="K7" s="117" t="s">
        <v>6</v>
      </c>
      <c r="L7" s="117" t="s">
        <v>263</v>
      </c>
      <c r="M7" s="121">
        <v>3737</v>
      </c>
      <c r="N7" s="121">
        <v>63</v>
      </c>
      <c r="O7" s="122">
        <v>1.6858442601016859E-2</v>
      </c>
      <c r="P7" s="133">
        <f t="shared" si="0"/>
        <v>0.1999999999998181</v>
      </c>
    </row>
    <row r="8" spans="1:16" x14ac:dyDescent="0.35">
      <c r="A8" s="116">
        <v>1800016455</v>
      </c>
      <c r="B8" s="117" t="s">
        <v>365</v>
      </c>
      <c r="C8" s="118">
        <v>46028</v>
      </c>
      <c r="D8" s="119">
        <v>256779450495</v>
      </c>
      <c r="E8" s="117" t="s">
        <v>367</v>
      </c>
      <c r="F8" s="120">
        <v>120.07</v>
      </c>
      <c r="G8" s="117" t="s">
        <v>360</v>
      </c>
      <c r="H8" s="120">
        <v>10895.53</v>
      </c>
      <c r="I8" s="101" t="s">
        <v>458</v>
      </c>
      <c r="J8" s="118">
        <v>46065</v>
      </c>
      <c r="K8" s="117" t="s">
        <v>6</v>
      </c>
      <c r="L8" s="117" t="s">
        <v>316</v>
      </c>
      <c r="M8" s="121">
        <v>10846</v>
      </c>
      <c r="N8" s="121">
        <v>184</v>
      </c>
      <c r="O8" s="122">
        <v>1.6964779642264428E-2</v>
      </c>
      <c r="P8" s="133">
        <f t="shared" si="0"/>
        <v>-49.530000000000655</v>
      </c>
    </row>
    <row r="9" spans="1:16" x14ac:dyDescent="0.35">
      <c r="A9" s="116">
        <v>1800016027</v>
      </c>
      <c r="B9" s="117" t="s">
        <v>365</v>
      </c>
      <c r="C9" s="118">
        <v>46027</v>
      </c>
      <c r="D9" s="119">
        <v>256779450231</v>
      </c>
      <c r="E9" s="117" t="s">
        <v>367</v>
      </c>
      <c r="F9" s="120">
        <v>112.56</v>
      </c>
      <c r="G9" s="117" t="s">
        <v>360</v>
      </c>
      <c r="H9" s="120">
        <v>10214.049999999999</v>
      </c>
      <c r="I9" s="101" t="s">
        <v>456</v>
      </c>
      <c r="J9" s="118">
        <v>46027</v>
      </c>
      <c r="K9" s="117" t="s">
        <v>6</v>
      </c>
      <c r="L9" s="117" t="s">
        <v>252</v>
      </c>
      <c r="M9" s="121">
        <v>10214</v>
      </c>
      <c r="N9" s="121">
        <v>173</v>
      </c>
      <c r="O9" s="122">
        <v>1.6937536714313688E-2</v>
      </c>
      <c r="P9" s="133">
        <f t="shared" si="0"/>
        <v>-4.9999999999272404E-2</v>
      </c>
    </row>
    <row r="10" spans="1:16" x14ac:dyDescent="0.35">
      <c r="A10" s="116">
        <v>1800016108</v>
      </c>
      <c r="B10" s="117" t="s">
        <v>365</v>
      </c>
      <c r="C10" s="118">
        <v>46027</v>
      </c>
      <c r="D10" s="119">
        <v>256779450329</v>
      </c>
      <c r="E10" s="117" t="s">
        <v>367</v>
      </c>
      <c r="F10" s="120">
        <v>463.66</v>
      </c>
      <c r="G10" s="117" t="s">
        <v>360</v>
      </c>
      <c r="H10" s="120">
        <v>42073.96</v>
      </c>
      <c r="I10" s="101" t="s">
        <v>457</v>
      </c>
      <c r="J10" s="118">
        <v>46027</v>
      </c>
      <c r="K10" s="117" t="s">
        <v>6</v>
      </c>
      <c r="L10" s="117" t="s">
        <v>255</v>
      </c>
      <c r="M10" s="121">
        <v>42074</v>
      </c>
      <c r="N10" s="121">
        <v>713</v>
      </c>
      <c r="O10" s="122">
        <v>1.6946332651994106E-2</v>
      </c>
      <c r="P10" s="133">
        <f t="shared" si="0"/>
        <v>4.0000000000873115E-2</v>
      </c>
    </row>
    <row r="11" spans="1:16" x14ac:dyDescent="0.35">
      <c r="A11" s="116">
        <v>1800015756</v>
      </c>
      <c r="B11" s="117" t="s">
        <v>365</v>
      </c>
      <c r="C11" s="118">
        <v>46024</v>
      </c>
      <c r="D11" s="119">
        <v>256779450032</v>
      </c>
      <c r="E11" s="117" t="s">
        <v>367</v>
      </c>
      <c r="F11" s="120">
        <v>475.1</v>
      </c>
      <c r="G11" s="117" t="s">
        <v>360</v>
      </c>
      <c r="H11" s="120">
        <v>43112.07</v>
      </c>
      <c r="I11" s="101" t="s">
        <v>455</v>
      </c>
      <c r="J11" s="118">
        <v>46024</v>
      </c>
      <c r="K11" s="117" t="s">
        <v>6</v>
      </c>
      <c r="L11" s="117" t="s">
        <v>245</v>
      </c>
      <c r="M11" s="121">
        <v>43112</v>
      </c>
      <c r="N11" s="121">
        <v>731</v>
      </c>
      <c r="O11" s="122">
        <v>1.6955835962145109E-2</v>
      </c>
      <c r="P11" s="133">
        <f t="shared" si="0"/>
        <v>-6.9999999999708962E-2</v>
      </c>
    </row>
    <row r="12" spans="1:16" x14ac:dyDescent="0.35">
      <c r="A12" s="116">
        <v>1800015267</v>
      </c>
      <c r="B12" s="117" t="s">
        <v>365</v>
      </c>
      <c r="C12" s="118">
        <v>45996</v>
      </c>
      <c r="D12" s="119">
        <v>256779419896</v>
      </c>
      <c r="E12" s="117" t="s">
        <v>367</v>
      </c>
      <c r="F12" s="120">
        <v>7.08</v>
      </c>
      <c r="G12" s="117" t="s">
        <v>360</v>
      </c>
      <c r="H12" s="120">
        <v>628</v>
      </c>
      <c r="I12" s="101" t="s">
        <v>446</v>
      </c>
      <c r="J12" s="118">
        <v>46039</v>
      </c>
      <c r="K12" s="117" t="s">
        <v>6</v>
      </c>
      <c r="L12" s="117" t="s">
        <v>277</v>
      </c>
      <c r="M12" s="121">
        <v>628</v>
      </c>
      <c r="N12" s="121">
        <v>11</v>
      </c>
      <c r="O12" s="122">
        <v>1.751592356687898E-2</v>
      </c>
      <c r="P12" s="133">
        <f t="shared" si="0"/>
        <v>0</v>
      </c>
    </row>
    <row r="13" spans="1:16" x14ac:dyDescent="0.35">
      <c r="A13" s="116">
        <v>1800015335</v>
      </c>
      <c r="B13" s="117" t="s">
        <v>365</v>
      </c>
      <c r="C13" s="118">
        <v>45995</v>
      </c>
      <c r="D13" s="119">
        <v>256779419781</v>
      </c>
      <c r="E13" s="117" t="s">
        <v>367</v>
      </c>
      <c r="F13" s="120">
        <v>112.56</v>
      </c>
      <c r="G13" s="117" t="s">
        <v>360</v>
      </c>
      <c r="H13" s="120">
        <v>9984.09</v>
      </c>
      <c r="I13" s="101" t="s">
        <v>425</v>
      </c>
      <c r="J13" s="118">
        <v>46039</v>
      </c>
      <c r="K13" s="117" t="s">
        <v>6</v>
      </c>
      <c r="L13" s="117" t="s">
        <v>274</v>
      </c>
      <c r="M13" s="121">
        <v>9984</v>
      </c>
      <c r="N13" s="121">
        <v>169</v>
      </c>
      <c r="O13" s="122">
        <v>1.6927083333333332E-2</v>
      </c>
      <c r="P13" s="133">
        <f t="shared" si="0"/>
        <v>-9.0000000000145519E-2</v>
      </c>
    </row>
    <row r="14" spans="1:16" x14ac:dyDescent="0.35">
      <c r="A14" s="116">
        <v>1800014656</v>
      </c>
      <c r="B14" s="117" t="s">
        <v>365</v>
      </c>
      <c r="C14" s="118">
        <v>45966</v>
      </c>
      <c r="D14" s="119">
        <v>256779418961</v>
      </c>
      <c r="E14" s="117" t="s">
        <v>367</v>
      </c>
      <c r="F14" s="120">
        <v>531.20000000000005</v>
      </c>
      <c r="G14" s="117" t="s">
        <v>360</v>
      </c>
      <c r="H14" s="120">
        <v>46747.4</v>
      </c>
      <c r="I14" s="101" t="s">
        <v>395</v>
      </c>
      <c r="J14" s="118">
        <v>45966</v>
      </c>
      <c r="K14" s="117" t="s">
        <v>6</v>
      </c>
      <c r="L14" s="117" t="s">
        <v>185</v>
      </c>
      <c r="M14" s="121">
        <v>46747.46</v>
      </c>
      <c r="N14" s="121">
        <v>0</v>
      </c>
      <c r="O14" s="122">
        <v>0</v>
      </c>
      <c r="P14" s="133">
        <f t="shared" si="0"/>
        <v>5.9999999997671694E-2</v>
      </c>
    </row>
    <row r="15" spans="1:16" x14ac:dyDescent="0.35">
      <c r="A15" s="116">
        <v>1800014028</v>
      </c>
      <c r="B15" s="117" t="s">
        <v>365</v>
      </c>
      <c r="C15" s="118">
        <v>45948</v>
      </c>
      <c r="D15" s="119">
        <v>256779418512</v>
      </c>
      <c r="E15" s="117" t="s">
        <v>367</v>
      </c>
      <c r="F15" s="120">
        <v>479.68</v>
      </c>
      <c r="G15" s="117" t="s">
        <v>360</v>
      </c>
      <c r="H15" s="120">
        <v>42303.35</v>
      </c>
      <c r="I15" s="101" t="s">
        <v>453</v>
      </c>
      <c r="J15" s="118">
        <v>45948</v>
      </c>
      <c r="K15" s="117" t="s">
        <v>6</v>
      </c>
      <c r="L15" s="117" t="s">
        <v>170</v>
      </c>
      <c r="M15" s="121">
        <v>42304</v>
      </c>
      <c r="N15" s="121">
        <v>717</v>
      </c>
      <c r="O15" s="122">
        <v>1.6948751891074129E-2</v>
      </c>
      <c r="P15" s="133">
        <f t="shared" si="0"/>
        <v>0.65000000000145519</v>
      </c>
    </row>
    <row r="16" spans="1:16" x14ac:dyDescent="0.35">
      <c r="A16" s="116">
        <v>1800013584</v>
      </c>
      <c r="B16" s="117" t="s">
        <v>365</v>
      </c>
      <c r="C16" s="118">
        <v>45937</v>
      </c>
      <c r="D16" s="119">
        <v>256779418108</v>
      </c>
      <c r="E16" s="117" t="s">
        <v>367</v>
      </c>
      <c r="F16" s="120">
        <v>129.80000000000001</v>
      </c>
      <c r="G16" s="117" t="s">
        <v>360</v>
      </c>
      <c r="H16" s="120">
        <v>11447.16</v>
      </c>
      <c r="I16" s="101" t="s">
        <v>449</v>
      </c>
      <c r="J16" s="118">
        <v>45937</v>
      </c>
      <c r="K16" s="117" t="s">
        <v>6</v>
      </c>
      <c r="L16" s="117" t="s">
        <v>169</v>
      </c>
      <c r="M16" s="121">
        <v>11447</v>
      </c>
      <c r="N16" s="121">
        <v>194</v>
      </c>
      <c r="O16" s="122">
        <v>1.6947671879094961E-2</v>
      </c>
      <c r="P16" s="133">
        <f t="shared" si="0"/>
        <v>-0.15999999999985448</v>
      </c>
    </row>
    <row r="17" spans="1:16" x14ac:dyDescent="0.35">
      <c r="A17" s="116">
        <v>1800013696</v>
      </c>
      <c r="B17" s="117" t="s">
        <v>365</v>
      </c>
      <c r="C17" s="118">
        <v>45936</v>
      </c>
      <c r="D17" s="119">
        <v>256779418232</v>
      </c>
      <c r="E17" s="117" t="s">
        <v>367</v>
      </c>
      <c r="F17" s="120">
        <v>441.58</v>
      </c>
      <c r="G17" s="117" t="s">
        <v>360</v>
      </c>
      <c r="H17" s="120">
        <v>38943.279999999999</v>
      </c>
      <c r="I17" s="101" t="s">
        <v>454</v>
      </c>
      <c r="J17" s="118">
        <v>45936</v>
      </c>
      <c r="K17" s="117" t="s">
        <v>6</v>
      </c>
      <c r="L17" s="117" t="s">
        <v>158</v>
      </c>
      <c r="M17" s="121">
        <v>38943</v>
      </c>
      <c r="N17" s="121">
        <v>660</v>
      </c>
      <c r="O17" s="122">
        <v>1.6947846853092981E-2</v>
      </c>
      <c r="P17" s="133">
        <f t="shared" si="0"/>
        <v>-0.27999999999883585</v>
      </c>
    </row>
    <row r="18" spans="1:16" x14ac:dyDescent="0.35">
      <c r="A18" s="116">
        <v>1800012905</v>
      </c>
      <c r="B18" s="117" t="s">
        <v>365</v>
      </c>
      <c r="C18" s="118">
        <v>45918</v>
      </c>
      <c r="D18" s="119">
        <v>256779417544</v>
      </c>
      <c r="E18" s="117" t="s">
        <v>367</v>
      </c>
      <c r="F18" s="120">
        <v>80.75</v>
      </c>
      <c r="G18" s="117" t="s">
        <v>360</v>
      </c>
      <c r="H18" s="120">
        <v>7066.78</v>
      </c>
      <c r="I18" s="101" t="s">
        <v>444</v>
      </c>
      <c r="J18" s="118">
        <v>45990</v>
      </c>
      <c r="K18" s="117" t="s">
        <v>6</v>
      </c>
      <c r="L18" s="117" t="s">
        <v>220</v>
      </c>
      <c r="M18" s="121">
        <v>7066</v>
      </c>
      <c r="N18" s="121">
        <v>119</v>
      </c>
      <c r="O18" s="122">
        <v>1.6841211435041043E-2</v>
      </c>
      <c r="P18" s="133">
        <f t="shared" si="0"/>
        <v>-0.77999999999974534</v>
      </c>
    </row>
    <row r="19" spans="1:16" x14ac:dyDescent="0.35">
      <c r="A19" s="116">
        <v>1800012968</v>
      </c>
      <c r="B19" s="117" t="s">
        <v>365</v>
      </c>
      <c r="C19" s="118">
        <v>45918</v>
      </c>
      <c r="D19" s="119">
        <v>256779417503</v>
      </c>
      <c r="E19" s="117" t="s">
        <v>367</v>
      </c>
      <c r="F19" s="120">
        <v>85.93</v>
      </c>
      <c r="G19" s="117" t="s">
        <v>360</v>
      </c>
      <c r="H19" s="120">
        <v>7520.11</v>
      </c>
      <c r="I19" s="101" t="s">
        <v>443</v>
      </c>
      <c r="J19" s="118">
        <v>45990</v>
      </c>
      <c r="K19" s="117" t="s">
        <v>6</v>
      </c>
      <c r="L19" s="117" t="s">
        <v>231</v>
      </c>
      <c r="M19" s="121">
        <v>7520</v>
      </c>
      <c r="N19" s="121">
        <v>127</v>
      </c>
      <c r="O19" s="122">
        <v>1.6888297872340426E-2</v>
      </c>
      <c r="P19" s="133">
        <f t="shared" si="0"/>
        <v>-0.10999999999967258</v>
      </c>
    </row>
    <row r="20" spans="1:16" x14ac:dyDescent="0.35">
      <c r="A20" s="116">
        <v>1800012896</v>
      </c>
      <c r="B20" s="117" t="s">
        <v>365</v>
      </c>
      <c r="C20" s="118">
        <v>45918</v>
      </c>
      <c r="D20" s="119">
        <v>256779417623</v>
      </c>
      <c r="E20" s="117" t="s">
        <v>367</v>
      </c>
      <c r="F20" s="120">
        <v>1417.82</v>
      </c>
      <c r="G20" s="117" t="s">
        <v>360</v>
      </c>
      <c r="H20" s="120">
        <v>124079.57</v>
      </c>
      <c r="I20" s="101" t="s">
        <v>445</v>
      </c>
      <c r="J20" s="118">
        <v>45990</v>
      </c>
      <c r="K20" s="117" t="s">
        <v>6</v>
      </c>
      <c r="L20" s="117" t="s">
        <v>225</v>
      </c>
      <c r="M20" s="121">
        <v>124079</v>
      </c>
      <c r="N20" s="121">
        <v>2103</v>
      </c>
      <c r="O20" s="122">
        <v>1.6948879342999219E-2</v>
      </c>
      <c r="P20" s="133">
        <f t="shared" si="0"/>
        <v>-0.57000000000698492</v>
      </c>
    </row>
    <row r="21" spans="1:16" x14ac:dyDescent="0.35">
      <c r="A21" s="116">
        <v>1800012114</v>
      </c>
      <c r="B21" s="117" t="s">
        <v>365</v>
      </c>
      <c r="C21" s="118">
        <v>45889</v>
      </c>
      <c r="D21" s="119">
        <v>256779416664</v>
      </c>
      <c r="E21" s="117" t="s">
        <v>367</v>
      </c>
      <c r="F21" s="120">
        <v>494.79</v>
      </c>
      <c r="G21" s="117" t="s">
        <v>360</v>
      </c>
      <c r="H21" s="120">
        <v>42566.84</v>
      </c>
      <c r="I21" s="101" t="s">
        <v>415</v>
      </c>
      <c r="J21" s="118">
        <v>45889</v>
      </c>
      <c r="K21" s="117" t="s">
        <v>6</v>
      </c>
      <c r="L21" s="117" t="s">
        <v>139</v>
      </c>
      <c r="M21" s="121">
        <v>42566</v>
      </c>
      <c r="N21" s="121">
        <v>721</v>
      </c>
      <c r="O21" s="122">
        <v>1.6938401541136117E-2</v>
      </c>
      <c r="P21" s="133">
        <f t="shared" si="0"/>
        <v>-0.83999999999650754</v>
      </c>
    </row>
    <row r="22" spans="1:16" x14ac:dyDescent="0.35">
      <c r="A22" s="116">
        <v>1800012062</v>
      </c>
      <c r="B22" s="117" t="s">
        <v>365</v>
      </c>
      <c r="C22" s="118">
        <v>45889</v>
      </c>
      <c r="D22" s="119">
        <v>256779416597</v>
      </c>
      <c r="E22" s="117" t="s">
        <v>367</v>
      </c>
      <c r="F22" s="120">
        <v>1097.26</v>
      </c>
      <c r="G22" s="117" t="s">
        <v>360</v>
      </c>
      <c r="H22" s="120">
        <v>94397.41</v>
      </c>
      <c r="I22" s="101" t="s">
        <v>413</v>
      </c>
      <c r="J22" s="118">
        <v>45889</v>
      </c>
      <c r="K22" s="117" t="s">
        <v>6</v>
      </c>
      <c r="L22" s="117" t="s">
        <v>125</v>
      </c>
      <c r="M22" s="121">
        <v>94396</v>
      </c>
      <c r="N22" s="121">
        <v>1600</v>
      </c>
      <c r="O22" s="122">
        <v>1.6949870757235475E-2</v>
      </c>
      <c r="P22" s="133">
        <f t="shared" si="0"/>
        <v>-1.4100000000034925</v>
      </c>
    </row>
    <row r="23" spans="1:16" x14ac:dyDescent="0.35">
      <c r="A23" s="116">
        <v>1800011971</v>
      </c>
      <c r="B23" s="117" t="s">
        <v>365</v>
      </c>
      <c r="C23" s="118">
        <v>45889</v>
      </c>
      <c r="D23" s="119">
        <v>256779416620</v>
      </c>
      <c r="E23" s="117" t="s">
        <v>367</v>
      </c>
      <c r="F23" s="120">
        <v>1350.3</v>
      </c>
      <c r="G23" s="117" t="s">
        <v>360</v>
      </c>
      <c r="H23" s="120">
        <v>116166.47</v>
      </c>
      <c r="I23" s="101" t="s">
        <v>414</v>
      </c>
      <c r="J23" s="118">
        <v>45889</v>
      </c>
      <c r="K23" s="117" t="s">
        <v>6</v>
      </c>
      <c r="L23" s="117" t="s">
        <v>134</v>
      </c>
      <c r="M23" s="121">
        <v>116166</v>
      </c>
      <c r="N23" s="121">
        <v>1969</v>
      </c>
      <c r="O23" s="122">
        <v>1.6949882065320318E-2</v>
      </c>
      <c r="P23" s="133">
        <f t="shared" si="0"/>
        <v>-0.47000000000116415</v>
      </c>
    </row>
    <row r="24" spans="1:16" ht="29" x14ac:dyDescent="0.35">
      <c r="A24" s="116">
        <v>1800007606</v>
      </c>
      <c r="B24" s="117" t="s">
        <v>365</v>
      </c>
      <c r="C24" s="118">
        <v>45769</v>
      </c>
      <c r="D24" s="119">
        <v>256779412497</v>
      </c>
      <c r="E24" s="117" t="s">
        <v>367</v>
      </c>
      <c r="F24" s="120">
        <v>36.799999999999997</v>
      </c>
      <c r="G24" s="117" t="s">
        <v>360</v>
      </c>
      <c r="H24" s="120">
        <v>3198.72</v>
      </c>
      <c r="I24" s="101" t="s">
        <v>410</v>
      </c>
      <c r="J24" s="118">
        <v>45769</v>
      </c>
      <c r="K24" s="117" t="s">
        <v>6</v>
      </c>
      <c r="L24" s="117" t="s">
        <v>65</v>
      </c>
      <c r="M24" s="121">
        <v>3199</v>
      </c>
      <c r="N24" s="121">
        <v>54</v>
      </c>
      <c r="O24" s="122">
        <v>1.6880275085964364E-2</v>
      </c>
      <c r="P24" s="133">
        <f t="shared" si="0"/>
        <v>0.28000000000020009</v>
      </c>
    </row>
    <row r="25" spans="1:16" s="97" customFormat="1" x14ac:dyDescent="0.35">
      <c r="A25" s="123">
        <v>1800016652</v>
      </c>
      <c r="B25" s="103" t="s">
        <v>365</v>
      </c>
      <c r="C25" s="102">
        <v>46034</v>
      </c>
      <c r="D25" s="124">
        <v>256779450589</v>
      </c>
      <c r="E25" s="103" t="s">
        <v>367</v>
      </c>
      <c r="F25" s="125">
        <v>503.31</v>
      </c>
      <c r="G25" s="103" t="s">
        <v>360</v>
      </c>
      <c r="H25" s="125">
        <v>45671.93</v>
      </c>
      <c r="I25" s="103" t="s">
        <v>460</v>
      </c>
      <c r="J25" s="102">
        <v>46034</v>
      </c>
      <c r="K25" s="103" t="s">
        <v>6</v>
      </c>
      <c r="L25" s="103" t="s">
        <v>267</v>
      </c>
      <c r="M25" s="126">
        <v>45945</v>
      </c>
      <c r="N25" s="127">
        <v>779</v>
      </c>
      <c r="O25" s="128">
        <v>1.695505495701382E-2</v>
      </c>
      <c r="P25" s="133">
        <f t="shared" si="0"/>
        <v>273.06999999999971</v>
      </c>
    </row>
    <row r="26" spans="1:16" x14ac:dyDescent="0.35">
      <c r="A26" s="123">
        <v>1800012352</v>
      </c>
      <c r="B26" s="103" t="s">
        <v>365</v>
      </c>
      <c r="C26" s="102">
        <v>45904</v>
      </c>
      <c r="D26" s="124">
        <v>256779416975</v>
      </c>
      <c r="E26" s="103" t="s">
        <v>367</v>
      </c>
      <c r="F26" s="125">
        <v>523.35</v>
      </c>
      <c r="G26" s="103" t="s">
        <v>360</v>
      </c>
      <c r="H26" s="125">
        <v>45800.62</v>
      </c>
      <c r="I26" s="103" t="s">
        <v>390</v>
      </c>
      <c r="J26" s="102">
        <v>46065</v>
      </c>
      <c r="K26" s="103" t="s">
        <v>6</v>
      </c>
      <c r="L26" s="103" t="s">
        <v>307</v>
      </c>
      <c r="M26" s="126">
        <v>45918</v>
      </c>
      <c r="N26" s="127">
        <v>778</v>
      </c>
      <c r="O26" s="128">
        <v>1.6943246657084368E-2</v>
      </c>
      <c r="P26" s="133">
        <f t="shared" si="0"/>
        <v>117.37999999999738</v>
      </c>
    </row>
    <row r="27" spans="1:16" x14ac:dyDescent="0.35">
      <c r="A27" s="123">
        <v>1800013017</v>
      </c>
      <c r="B27" s="103" t="s">
        <v>365</v>
      </c>
      <c r="C27" s="102">
        <v>45919</v>
      </c>
      <c r="D27" s="124">
        <v>256779417643</v>
      </c>
      <c r="E27" s="103" t="s">
        <v>367</v>
      </c>
      <c r="F27" s="125">
        <v>503.06</v>
      </c>
      <c r="G27" s="103" t="s">
        <v>360</v>
      </c>
      <c r="H27" s="125">
        <v>44024.959999999999</v>
      </c>
      <c r="I27" s="103" t="s">
        <v>427</v>
      </c>
      <c r="J27" s="102">
        <v>45990</v>
      </c>
      <c r="K27" s="103" t="s">
        <v>6</v>
      </c>
      <c r="L27" s="103" t="s">
        <v>236</v>
      </c>
      <c r="M27" s="126">
        <v>44047</v>
      </c>
      <c r="N27" s="127">
        <v>746</v>
      </c>
      <c r="O27" s="128">
        <v>1.6936454242059619E-2</v>
      </c>
      <c r="P27" s="133">
        <f t="shared" si="0"/>
        <v>22.040000000000873</v>
      </c>
    </row>
    <row r="28" spans="1:16" x14ac:dyDescent="0.35">
      <c r="P28" s="131">
        <f>SUM(P3:P27)</f>
        <v>359.25999999999419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5F58A-8FBE-4814-8C0A-3FA904894C24}">
  <dimension ref="A1:I750"/>
  <sheetViews>
    <sheetView workbookViewId="0">
      <selection activeCell="H377" sqref="H377"/>
    </sheetView>
  </sheetViews>
  <sheetFormatPr defaultRowHeight="14.5" x14ac:dyDescent="0.35"/>
  <cols>
    <col min="1" max="1" width="10.08984375" style="19" bestFit="1" customWidth="1"/>
    <col min="2" max="2" width="60.1796875" bestFit="1" customWidth="1"/>
    <col min="3" max="3" width="17.1796875" bestFit="1" customWidth="1"/>
    <col min="4" max="4" width="12.1796875" style="5" bestFit="1" customWidth="1"/>
    <col min="5" max="5" width="12.7265625" style="5" bestFit="1" customWidth="1"/>
    <col min="6" max="6" width="11.1796875" bestFit="1" customWidth="1"/>
    <col min="7" max="7" width="6.81640625" style="6" bestFit="1" customWidth="1"/>
    <col min="8" max="8" width="15.453125" bestFit="1" customWidth="1"/>
  </cols>
  <sheetData>
    <row r="1" spans="1:9" x14ac:dyDescent="0.35">
      <c r="A1" s="43"/>
      <c r="B1" s="44"/>
      <c r="C1" s="44"/>
      <c r="D1" s="45">
        <f>SUBTOTAL(9,D3:D411)</f>
        <v>378627.12</v>
      </c>
      <c r="E1" s="45">
        <f>SUBTOTAL(9,E3:E411)</f>
        <v>1275547.9299999997</v>
      </c>
      <c r="F1" s="45">
        <f>SUBTOTAL(9,F3:F404)</f>
        <v>20788.91</v>
      </c>
      <c r="G1" s="46"/>
      <c r="H1" s="57"/>
    </row>
    <row r="2" spans="1:9" x14ac:dyDescent="0.35">
      <c r="A2" s="37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466</v>
      </c>
      <c r="G2" s="38" t="s">
        <v>467</v>
      </c>
      <c r="H2" s="85" t="s">
        <v>553</v>
      </c>
    </row>
    <row r="3" spans="1:9" x14ac:dyDescent="0.35">
      <c r="A3" s="16">
        <v>45719</v>
      </c>
      <c r="B3" s="11" t="s">
        <v>6</v>
      </c>
      <c r="C3" s="11" t="s">
        <v>7</v>
      </c>
      <c r="D3" s="39">
        <v>0</v>
      </c>
      <c r="E3" s="39">
        <v>435</v>
      </c>
      <c r="F3" s="48">
        <f>_xlfn.XLOOKUP(C3,TDS!$C:$C,TDS!$D:$D,0,0)</f>
        <v>8</v>
      </c>
      <c r="G3" s="52">
        <f>F3/E3</f>
        <v>1.8390804597701149E-2</v>
      </c>
      <c r="H3" s="86">
        <f>_xlfn.XLOOKUP(C3,'Customer Payments'!$C:$C,'Customer Payments'!$D:$D,,0)</f>
        <v>246779410574</v>
      </c>
      <c r="I3">
        <f>_xlfn.XLOOKUP(H3,'Ascendus Data'!$L:$L,'Ascendus Data'!$T:$T,,0)</f>
        <v>435.19</v>
      </c>
    </row>
    <row r="4" spans="1:9" x14ac:dyDescent="0.35">
      <c r="A4" s="50">
        <v>45719</v>
      </c>
      <c r="B4" s="51" t="s">
        <v>8</v>
      </c>
      <c r="C4" s="11" t="s">
        <v>7</v>
      </c>
      <c r="D4" s="39">
        <v>0</v>
      </c>
      <c r="E4" s="39">
        <v>0</v>
      </c>
      <c r="F4" s="48"/>
      <c r="G4" s="48"/>
      <c r="H4" s="70"/>
    </row>
    <row r="5" spans="1:9" x14ac:dyDescent="0.35">
      <c r="A5" s="16">
        <v>45719</v>
      </c>
      <c r="B5" s="11" t="s">
        <v>9</v>
      </c>
      <c r="C5" s="11" t="s">
        <v>7</v>
      </c>
      <c r="D5" s="39">
        <v>0</v>
      </c>
      <c r="E5" s="39">
        <v>0</v>
      </c>
      <c r="F5" s="48"/>
      <c r="G5" s="48"/>
      <c r="H5" s="70"/>
    </row>
    <row r="6" spans="1:9" x14ac:dyDescent="0.35">
      <c r="A6" s="16">
        <v>45719</v>
      </c>
      <c r="B6" s="11" t="s">
        <v>10</v>
      </c>
      <c r="C6" s="11" t="s">
        <v>7</v>
      </c>
      <c r="D6" s="39">
        <v>0</v>
      </c>
      <c r="E6" s="39">
        <v>0</v>
      </c>
      <c r="F6" s="48"/>
      <c r="G6" s="48"/>
      <c r="H6" s="70"/>
    </row>
    <row r="7" spans="1:9" x14ac:dyDescent="0.35">
      <c r="A7" s="16">
        <v>45719</v>
      </c>
      <c r="B7" s="11" t="s">
        <v>11</v>
      </c>
      <c r="C7" s="11" t="s">
        <v>7</v>
      </c>
      <c r="D7" s="39">
        <v>8</v>
      </c>
      <c r="E7" s="39">
        <v>0</v>
      </c>
      <c r="F7" s="48"/>
      <c r="G7" s="48"/>
      <c r="H7" s="70"/>
    </row>
    <row r="8" spans="1:9" x14ac:dyDescent="0.35">
      <c r="A8" s="16">
        <v>45733</v>
      </c>
      <c r="B8" s="11" t="s">
        <v>6</v>
      </c>
      <c r="C8" s="11" t="s">
        <v>12</v>
      </c>
      <c r="D8" s="39">
        <v>0</v>
      </c>
      <c r="E8" s="39">
        <v>1670</v>
      </c>
      <c r="F8" s="48">
        <f>_xlfn.XLOOKUP(C8,TDS!$C:$C,TDS!$D:$D,0,0)</f>
        <v>29</v>
      </c>
      <c r="G8" s="52">
        <f>F8/E8</f>
        <v>1.7365269461077845E-2</v>
      </c>
      <c r="H8" s="86">
        <f>_xlfn.XLOOKUP(C8,'Customer Payments'!$C:$C,'Customer Payments'!$D:$D,,0)</f>
        <v>246779411950</v>
      </c>
      <c r="I8">
        <f>_xlfn.XLOOKUP(H8,'Ascendus Data'!$L:$L,'Ascendus Data'!$T:$T,,0)</f>
        <v>1670.54</v>
      </c>
    </row>
    <row r="9" spans="1:9" x14ac:dyDescent="0.35">
      <c r="A9" s="50">
        <v>45733</v>
      </c>
      <c r="B9" s="51" t="s">
        <v>13</v>
      </c>
      <c r="C9" s="11" t="s">
        <v>12</v>
      </c>
      <c r="D9" s="39">
        <v>0</v>
      </c>
      <c r="E9" s="39">
        <v>0</v>
      </c>
      <c r="F9" s="48"/>
      <c r="G9" s="48"/>
      <c r="H9" s="70"/>
    </row>
    <row r="10" spans="1:9" x14ac:dyDescent="0.35">
      <c r="A10" s="16">
        <v>45733</v>
      </c>
      <c r="B10" s="11" t="s">
        <v>14</v>
      </c>
      <c r="C10" s="11" t="s">
        <v>12</v>
      </c>
      <c r="D10" s="39">
        <v>0</v>
      </c>
      <c r="E10" s="39">
        <v>0</v>
      </c>
      <c r="F10" s="48"/>
      <c r="G10" s="48"/>
      <c r="H10" s="70"/>
    </row>
    <row r="11" spans="1:9" x14ac:dyDescent="0.35">
      <c r="A11" s="16">
        <v>45733</v>
      </c>
      <c r="B11" s="11" t="s">
        <v>15</v>
      </c>
      <c r="C11" s="11" t="s">
        <v>12</v>
      </c>
      <c r="D11" s="39">
        <v>0</v>
      </c>
      <c r="E11" s="39">
        <v>0</v>
      </c>
      <c r="F11" s="48"/>
      <c r="G11" s="48"/>
      <c r="H11" s="70"/>
    </row>
    <row r="12" spans="1:9" x14ac:dyDescent="0.35">
      <c r="A12" s="16">
        <v>45733</v>
      </c>
      <c r="B12" s="11" t="s">
        <v>11</v>
      </c>
      <c r="C12" s="11" t="s">
        <v>12</v>
      </c>
      <c r="D12" s="39">
        <v>29</v>
      </c>
      <c r="E12" s="39">
        <v>0</v>
      </c>
      <c r="F12" s="48"/>
      <c r="G12" s="48"/>
      <c r="H12" s="70"/>
    </row>
    <row r="13" spans="1:9" x14ac:dyDescent="0.35">
      <c r="A13" s="16">
        <v>45735</v>
      </c>
      <c r="B13" s="11" t="s">
        <v>6</v>
      </c>
      <c r="C13" s="11" t="s">
        <v>16</v>
      </c>
      <c r="D13" s="39">
        <v>0</v>
      </c>
      <c r="E13" s="39">
        <v>23969</v>
      </c>
      <c r="F13" s="48">
        <f>_xlfn.XLOOKUP(C13,TDS!$C:$C,TDS!$D:$D,0,0)</f>
        <v>407</v>
      </c>
      <c r="G13" s="52">
        <f>F13/E13</f>
        <v>1.698026617714548E-2</v>
      </c>
      <c r="H13" s="86">
        <f>_xlfn.XLOOKUP(C13,'Customer Payments'!$C:$C,'Customer Payments'!$D:$D,,0)</f>
        <v>246779412626</v>
      </c>
      <c r="I13">
        <f>_xlfn.XLOOKUP(H13,'Ascendus Data'!$L:$L,'Ascendus Data'!$T:$T,,0)</f>
        <v>23969.27</v>
      </c>
    </row>
    <row r="14" spans="1:9" x14ac:dyDescent="0.35">
      <c r="A14" s="50">
        <v>45735</v>
      </c>
      <c r="B14" s="51" t="s">
        <v>17</v>
      </c>
      <c r="C14" s="11" t="s">
        <v>16</v>
      </c>
      <c r="D14" s="39">
        <v>0</v>
      </c>
      <c r="E14" s="39">
        <v>0</v>
      </c>
      <c r="F14" s="48"/>
      <c r="G14" s="48"/>
      <c r="H14" s="70"/>
    </row>
    <row r="15" spans="1:9" x14ac:dyDescent="0.35">
      <c r="A15" s="16">
        <v>45735</v>
      </c>
      <c r="B15" s="11" t="s">
        <v>18</v>
      </c>
      <c r="C15" s="11" t="s">
        <v>16</v>
      </c>
      <c r="D15" s="39">
        <v>0</v>
      </c>
      <c r="E15" s="39">
        <v>0</v>
      </c>
      <c r="F15" s="48"/>
      <c r="G15" s="48"/>
      <c r="H15" s="70"/>
    </row>
    <row r="16" spans="1:9" x14ac:dyDescent="0.35">
      <c r="A16" s="16">
        <v>45735</v>
      </c>
      <c r="B16" s="11" t="s">
        <v>19</v>
      </c>
      <c r="C16" s="11" t="s">
        <v>16</v>
      </c>
      <c r="D16" s="39">
        <v>0</v>
      </c>
      <c r="E16" s="39">
        <v>0</v>
      </c>
      <c r="F16" s="48"/>
      <c r="G16" s="48"/>
      <c r="H16" s="70"/>
    </row>
    <row r="17" spans="1:9" x14ac:dyDescent="0.35">
      <c r="A17" s="16">
        <v>45735</v>
      </c>
      <c r="B17" s="11" t="s">
        <v>20</v>
      </c>
      <c r="C17" s="11" t="s">
        <v>16</v>
      </c>
      <c r="D17" s="39">
        <v>0</v>
      </c>
      <c r="E17" s="39">
        <v>0</v>
      </c>
      <c r="F17" s="48"/>
      <c r="G17" s="48"/>
      <c r="H17" s="70"/>
    </row>
    <row r="18" spans="1:9" x14ac:dyDescent="0.35">
      <c r="A18" s="16">
        <v>45735</v>
      </c>
      <c r="B18" s="11" t="s">
        <v>11</v>
      </c>
      <c r="C18" s="11" t="s">
        <v>16</v>
      </c>
      <c r="D18" s="39">
        <v>407</v>
      </c>
      <c r="E18" s="39">
        <v>0</v>
      </c>
      <c r="F18" s="48"/>
      <c r="G18" s="48"/>
      <c r="H18" s="70"/>
    </row>
    <row r="19" spans="1:9" x14ac:dyDescent="0.35">
      <c r="A19" s="16">
        <v>45735</v>
      </c>
      <c r="B19" s="11" t="s">
        <v>6</v>
      </c>
      <c r="C19" s="11" t="s">
        <v>21</v>
      </c>
      <c r="D19" s="39">
        <v>0</v>
      </c>
      <c r="E19" s="39">
        <v>22007</v>
      </c>
      <c r="F19" s="48">
        <f>_xlfn.XLOOKUP(C19,TDS!$C:$C,TDS!$D:$D,0,0)</f>
        <v>373</v>
      </c>
      <c r="G19" s="52">
        <f>F19/E19</f>
        <v>1.6949152542372881E-2</v>
      </c>
      <c r="H19" s="86">
        <f>_xlfn.XLOOKUP(C19,'Customer Payments'!$C:$C,'Customer Payments'!$D:$D,,0)</f>
        <v>246779412712</v>
      </c>
      <c r="I19">
        <f>_xlfn.XLOOKUP(H19,'Ascendus Data'!$L:$L,'Ascendus Data'!$T:$T,,0)</f>
        <v>22006.58</v>
      </c>
    </row>
    <row r="20" spans="1:9" x14ac:dyDescent="0.35">
      <c r="A20" s="50">
        <v>45735</v>
      </c>
      <c r="B20" s="51" t="s">
        <v>22</v>
      </c>
      <c r="C20" s="11" t="s">
        <v>21</v>
      </c>
      <c r="D20" s="39">
        <v>0</v>
      </c>
      <c r="E20" s="39">
        <v>0</v>
      </c>
      <c r="F20" s="48"/>
      <c r="G20" s="48"/>
      <c r="H20" s="70"/>
    </row>
    <row r="21" spans="1:9" x14ac:dyDescent="0.35">
      <c r="A21" s="16">
        <v>45735</v>
      </c>
      <c r="B21" s="11" t="s">
        <v>23</v>
      </c>
      <c r="C21" s="11" t="s">
        <v>21</v>
      </c>
      <c r="D21" s="39">
        <v>0</v>
      </c>
      <c r="E21" s="39">
        <v>0</v>
      </c>
      <c r="F21" s="48"/>
      <c r="G21" s="48"/>
      <c r="H21" s="70"/>
    </row>
    <row r="22" spans="1:9" x14ac:dyDescent="0.35">
      <c r="A22" s="16">
        <v>45735</v>
      </c>
      <c r="B22" s="11" t="s">
        <v>24</v>
      </c>
      <c r="C22" s="11" t="s">
        <v>21</v>
      </c>
      <c r="D22" s="39">
        <v>0</v>
      </c>
      <c r="E22" s="39">
        <v>0</v>
      </c>
      <c r="F22" s="48"/>
      <c r="G22" s="48"/>
      <c r="H22" s="70"/>
    </row>
    <row r="23" spans="1:9" x14ac:dyDescent="0.35">
      <c r="A23" s="16">
        <v>45735</v>
      </c>
      <c r="B23" s="11" t="s">
        <v>25</v>
      </c>
      <c r="C23" s="11" t="s">
        <v>21</v>
      </c>
      <c r="D23" s="39">
        <v>0</v>
      </c>
      <c r="E23" s="39">
        <v>0</v>
      </c>
      <c r="F23" s="48"/>
      <c r="G23" s="48"/>
      <c r="H23" s="70"/>
    </row>
    <row r="24" spans="1:9" x14ac:dyDescent="0.35">
      <c r="A24" s="16">
        <v>45735</v>
      </c>
      <c r="B24" s="11" t="s">
        <v>26</v>
      </c>
      <c r="C24" s="11" t="s">
        <v>21</v>
      </c>
      <c r="D24" s="39">
        <v>0</v>
      </c>
      <c r="E24" s="39">
        <v>0</v>
      </c>
      <c r="F24" s="48"/>
      <c r="G24" s="48"/>
      <c r="H24" s="70"/>
    </row>
    <row r="25" spans="1:9" x14ac:dyDescent="0.35">
      <c r="A25" s="16">
        <v>45735</v>
      </c>
      <c r="B25" s="11" t="s">
        <v>11</v>
      </c>
      <c r="C25" s="11" t="s">
        <v>21</v>
      </c>
      <c r="D25" s="39">
        <v>373</v>
      </c>
      <c r="E25" s="39">
        <v>0</v>
      </c>
      <c r="F25" s="48"/>
      <c r="G25" s="48"/>
      <c r="H25" s="70"/>
    </row>
    <row r="26" spans="1:9" x14ac:dyDescent="0.35">
      <c r="A26" s="16">
        <v>45735</v>
      </c>
      <c r="B26" s="11" t="s">
        <v>6</v>
      </c>
      <c r="C26" s="11" t="s">
        <v>27</v>
      </c>
      <c r="D26" s="39">
        <v>0</v>
      </c>
      <c r="E26" s="39">
        <v>24537</v>
      </c>
      <c r="F26" s="48">
        <f>_xlfn.XLOOKUP(C26,TDS!$C:$C,TDS!$D:$D,0,0)</f>
        <v>416</v>
      </c>
      <c r="G26" s="52">
        <f>F26/E26</f>
        <v>1.6953987855076007E-2</v>
      </c>
      <c r="H26" s="86">
        <f>_xlfn.XLOOKUP(C26,'Customer Payments'!$C:$C,'Customer Payments'!$D:$D,,0)</f>
        <v>246779412785</v>
      </c>
      <c r="I26">
        <f>_xlfn.XLOOKUP(H26,'Ascendus Data'!$L:$L,'Ascendus Data'!$T:$T,,0)</f>
        <v>24536.23</v>
      </c>
    </row>
    <row r="27" spans="1:9" x14ac:dyDescent="0.35">
      <c r="A27" s="50">
        <v>45735</v>
      </c>
      <c r="B27" s="51" t="s">
        <v>28</v>
      </c>
      <c r="C27" s="11" t="s">
        <v>27</v>
      </c>
      <c r="D27" s="39">
        <v>0</v>
      </c>
      <c r="E27" s="39">
        <v>0</v>
      </c>
      <c r="F27" s="48"/>
      <c r="G27" s="48"/>
      <c r="H27" s="70"/>
    </row>
    <row r="28" spans="1:9" x14ac:dyDescent="0.35">
      <c r="A28" s="16">
        <v>45735</v>
      </c>
      <c r="B28" s="11" t="s">
        <v>29</v>
      </c>
      <c r="C28" s="11" t="s">
        <v>27</v>
      </c>
      <c r="D28" s="39">
        <v>0</v>
      </c>
      <c r="E28" s="39">
        <v>0</v>
      </c>
      <c r="F28" s="48"/>
      <c r="G28" s="48"/>
      <c r="H28" s="70"/>
    </row>
    <row r="29" spans="1:9" x14ac:dyDescent="0.35">
      <c r="A29" s="16">
        <v>45735</v>
      </c>
      <c r="B29" s="11" t="s">
        <v>30</v>
      </c>
      <c r="C29" s="11" t="s">
        <v>27</v>
      </c>
      <c r="D29" s="39">
        <v>0</v>
      </c>
      <c r="E29" s="39">
        <v>0</v>
      </c>
      <c r="F29" s="48"/>
      <c r="G29" s="48"/>
      <c r="H29" s="70"/>
    </row>
    <row r="30" spans="1:9" x14ac:dyDescent="0.35">
      <c r="A30" s="16">
        <v>45735</v>
      </c>
      <c r="B30" s="11" t="s">
        <v>31</v>
      </c>
      <c r="C30" s="11" t="s">
        <v>27</v>
      </c>
      <c r="D30" s="39">
        <v>0</v>
      </c>
      <c r="E30" s="39">
        <v>0</v>
      </c>
      <c r="F30" s="48"/>
      <c r="G30" s="48"/>
      <c r="H30" s="70"/>
    </row>
    <row r="31" spans="1:9" x14ac:dyDescent="0.35">
      <c r="A31" s="16">
        <v>45735</v>
      </c>
      <c r="B31" s="11" t="s">
        <v>32</v>
      </c>
      <c r="C31" s="11" t="s">
        <v>27</v>
      </c>
      <c r="D31" s="39">
        <v>0</v>
      </c>
      <c r="E31" s="39">
        <v>0</v>
      </c>
      <c r="F31" s="48"/>
      <c r="G31" s="48"/>
      <c r="H31" s="70"/>
    </row>
    <row r="32" spans="1:9" x14ac:dyDescent="0.35">
      <c r="A32" s="16">
        <v>45735</v>
      </c>
      <c r="B32" s="11" t="s">
        <v>11</v>
      </c>
      <c r="C32" s="11" t="s">
        <v>27</v>
      </c>
      <c r="D32" s="39">
        <v>416</v>
      </c>
      <c r="E32" s="39">
        <v>0</v>
      </c>
      <c r="F32" s="48"/>
      <c r="G32" s="48"/>
      <c r="H32" s="70"/>
    </row>
    <row r="33" spans="1:9" x14ac:dyDescent="0.35">
      <c r="A33" s="16">
        <v>45735</v>
      </c>
      <c r="B33" s="11" t="s">
        <v>6</v>
      </c>
      <c r="C33" s="11" t="s">
        <v>33</v>
      </c>
      <c r="D33" s="39">
        <v>0</v>
      </c>
      <c r="E33" s="39">
        <v>27677</v>
      </c>
      <c r="F33" s="48">
        <f>_xlfn.XLOOKUP(C33,TDS!$C:$C,TDS!$D:$D,0,0)</f>
        <v>470</v>
      </c>
      <c r="G33" s="52">
        <f>F33/E33</f>
        <v>1.6981609278462262E-2</v>
      </c>
      <c r="H33" s="86">
        <f>_xlfn.XLOOKUP(C33,'Customer Payments'!$C:$C,'Customer Payments'!$D:$D,,0)</f>
        <v>246779412863</v>
      </c>
      <c r="I33">
        <f>_xlfn.XLOOKUP(H33,'Ascendus Data'!$L:$L,'Ascendus Data'!$T:$T,,0)</f>
        <v>27677.919999999998</v>
      </c>
    </row>
    <row r="34" spans="1:9" x14ac:dyDescent="0.35">
      <c r="A34" s="50">
        <v>45735</v>
      </c>
      <c r="B34" s="51" t="s">
        <v>34</v>
      </c>
      <c r="C34" s="11" t="s">
        <v>33</v>
      </c>
      <c r="D34" s="39">
        <v>0</v>
      </c>
      <c r="E34" s="39">
        <v>0</v>
      </c>
      <c r="F34" s="48"/>
      <c r="G34" s="48"/>
      <c r="H34" s="70"/>
    </row>
    <row r="35" spans="1:9" x14ac:dyDescent="0.35">
      <c r="A35" s="16">
        <v>45735</v>
      </c>
      <c r="B35" s="11" t="s">
        <v>35</v>
      </c>
      <c r="C35" s="11" t="s">
        <v>33</v>
      </c>
      <c r="D35" s="39">
        <v>0</v>
      </c>
      <c r="E35" s="39">
        <v>0</v>
      </c>
      <c r="F35" s="48"/>
      <c r="G35" s="48"/>
      <c r="H35" s="70"/>
    </row>
    <row r="36" spans="1:9" x14ac:dyDescent="0.35">
      <c r="A36" s="16">
        <v>45735</v>
      </c>
      <c r="B36" s="11" t="s">
        <v>36</v>
      </c>
      <c r="C36" s="11" t="s">
        <v>33</v>
      </c>
      <c r="D36" s="39">
        <v>0</v>
      </c>
      <c r="E36" s="39">
        <v>0</v>
      </c>
      <c r="F36" s="48"/>
      <c r="G36" s="48"/>
      <c r="H36" s="70"/>
    </row>
    <row r="37" spans="1:9" x14ac:dyDescent="0.35">
      <c r="A37" s="16">
        <v>45735</v>
      </c>
      <c r="B37" s="11" t="s">
        <v>37</v>
      </c>
      <c r="C37" s="11" t="s">
        <v>33</v>
      </c>
      <c r="D37" s="39">
        <v>0</v>
      </c>
      <c r="E37" s="39">
        <v>0</v>
      </c>
      <c r="F37" s="48"/>
      <c r="G37" s="48"/>
      <c r="H37" s="70"/>
    </row>
    <row r="38" spans="1:9" x14ac:dyDescent="0.35">
      <c r="A38" s="16">
        <v>45735</v>
      </c>
      <c r="B38" s="11" t="s">
        <v>11</v>
      </c>
      <c r="C38" s="11" t="s">
        <v>33</v>
      </c>
      <c r="D38" s="39">
        <v>470</v>
      </c>
      <c r="E38" s="39">
        <v>0</v>
      </c>
      <c r="F38" s="48"/>
      <c r="G38" s="48"/>
      <c r="H38" s="70"/>
    </row>
    <row r="39" spans="1:9" x14ac:dyDescent="0.35">
      <c r="A39" s="16">
        <v>45735</v>
      </c>
      <c r="B39" s="11" t="s">
        <v>6</v>
      </c>
      <c r="C39" s="11" t="s">
        <v>38</v>
      </c>
      <c r="D39" s="39">
        <v>0</v>
      </c>
      <c r="E39" s="39">
        <v>28600</v>
      </c>
      <c r="F39" s="48">
        <f>_xlfn.XLOOKUP(C39,TDS!$C:$C,TDS!$D:$D,0,0)</f>
        <v>485</v>
      </c>
      <c r="G39" s="52">
        <f>F39/E39</f>
        <v>1.6958041958041958E-2</v>
      </c>
      <c r="H39" s="86">
        <f>_xlfn.XLOOKUP(C39,'Customer Payments'!$C:$C,'Customer Payments'!$D:$D,,0)</f>
        <v>246779412934</v>
      </c>
      <c r="I39">
        <f>_xlfn.XLOOKUP(H39,'Ascendus Data'!$L:$L,'Ascendus Data'!$T:$T,,0)</f>
        <v>28598.58</v>
      </c>
    </row>
    <row r="40" spans="1:9" x14ac:dyDescent="0.35">
      <c r="A40" s="50">
        <v>45735</v>
      </c>
      <c r="B40" s="51" t="s">
        <v>28</v>
      </c>
      <c r="C40" s="11" t="s">
        <v>38</v>
      </c>
      <c r="D40" s="39">
        <v>0</v>
      </c>
      <c r="E40" s="39">
        <v>0</v>
      </c>
      <c r="F40" s="48"/>
      <c r="G40" s="48"/>
      <c r="H40" s="70"/>
    </row>
    <row r="41" spans="1:9" x14ac:dyDescent="0.35">
      <c r="A41" s="16">
        <v>45735</v>
      </c>
      <c r="B41" s="11" t="s">
        <v>39</v>
      </c>
      <c r="C41" s="11" t="s">
        <v>38</v>
      </c>
      <c r="D41" s="39">
        <v>0</v>
      </c>
      <c r="E41" s="39">
        <v>0</v>
      </c>
      <c r="F41" s="48"/>
      <c r="G41" s="48"/>
      <c r="H41" s="70"/>
    </row>
    <row r="42" spans="1:9" x14ac:dyDescent="0.35">
      <c r="A42" s="16">
        <v>45735</v>
      </c>
      <c r="B42" s="11" t="s">
        <v>40</v>
      </c>
      <c r="C42" s="11" t="s">
        <v>38</v>
      </c>
      <c r="D42" s="39">
        <v>0</v>
      </c>
      <c r="E42" s="39">
        <v>0</v>
      </c>
      <c r="F42" s="48"/>
      <c r="G42" s="48"/>
      <c r="H42" s="70"/>
    </row>
    <row r="43" spans="1:9" x14ac:dyDescent="0.35">
      <c r="A43" s="16">
        <v>45735</v>
      </c>
      <c r="B43" s="11" t="s">
        <v>41</v>
      </c>
      <c r="C43" s="11" t="s">
        <v>38</v>
      </c>
      <c r="D43" s="39">
        <v>0</v>
      </c>
      <c r="E43" s="39">
        <v>0</v>
      </c>
      <c r="F43" s="48"/>
      <c r="G43" s="48"/>
      <c r="H43" s="70"/>
    </row>
    <row r="44" spans="1:9" x14ac:dyDescent="0.35">
      <c r="A44" s="16">
        <v>45735</v>
      </c>
      <c r="B44" s="11" t="s">
        <v>11</v>
      </c>
      <c r="C44" s="11" t="s">
        <v>38</v>
      </c>
      <c r="D44" s="39">
        <v>485</v>
      </c>
      <c r="E44" s="39">
        <v>0</v>
      </c>
      <c r="F44" s="48"/>
      <c r="G44" s="48"/>
      <c r="H44" s="70"/>
    </row>
    <row r="45" spans="1:9" x14ac:dyDescent="0.35">
      <c r="A45" s="16">
        <v>45735</v>
      </c>
      <c r="B45" s="11" t="s">
        <v>6</v>
      </c>
      <c r="C45" s="11" t="s">
        <v>42</v>
      </c>
      <c r="D45" s="39">
        <v>0</v>
      </c>
      <c r="E45" s="39">
        <v>337</v>
      </c>
      <c r="F45" s="48">
        <f>_xlfn.XLOOKUP(C45,TDS!$C:$C,TDS!$D:$D,0,0)</f>
        <v>6</v>
      </c>
      <c r="G45" s="52">
        <f>F45/E45</f>
        <v>1.7804154302670624E-2</v>
      </c>
      <c r="H45" s="86">
        <f>_xlfn.XLOOKUP(C45,'Customer Payments'!$C:$C,'Customer Payments'!$D:$D,,0)</f>
        <v>246779413379</v>
      </c>
      <c r="I45">
        <f>_xlfn.XLOOKUP(H45,'Ascendus Data'!$L:$L,'Ascendus Data'!$T:$T,,0)</f>
        <v>337.23</v>
      </c>
    </row>
    <row r="46" spans="1:9" x14ac:dyDescent="0.35">
      <c r="A46" s="50">
        <v>45735</v>
      </c>
      <c r="B46" s="51" t="s">
        <v>43</v>
      </c>
      <c r="C46" s="11" t="s">
        <v>42</v>
      </c>
      <c r="D46" s="39">
        <v>0</v>
      </c>
      <c r="E46" s="39">
        <v>0</v>
      </c>
      <c r="F46" s="48"/>
      <c r="G46" s="48"/>
      <c r="H46" s="70"/>
    </row>
    <row r="47" spans="1:9" x14ac:dyDescent="0.35">
      <c r="A47" s="16">
        <v>45735</v>
      </c>
      <c r="B47" s="11" t="s">
        <v>44</v>
      </c>
      <c r="C47" s="11" t="s">
        <v>42</v>
      </c>
      <c r="D47" s="39">
        <v>0</v>
      </c>
      <c r="E47" s="39">
        <v>0</v>
      </c>
      <c r="F47" s="48"/>
      <c r="G47" s="48"/>
      <c r="H47" s="70"/>
    </row>
    <row r="48" spans="1:9" x14ac:dyDescent="0.35">
      <c r="A48" s="16">
        <v>45735</v>
      </c>
      <c r="B48" s="11" t="s">
        <v>15</v>
      </c>
      <c r="C48" s="11" t="s">
        <v>42</v>
      </c>
      <c r="D48" s="39">
        <v>0</v>
      </c>
      <c r="E48" s="39">
        <v>0</v>
      </c>
      <c r="F48" s="48"/>
      <c r="G48" s="48"/>
      <c r="H48" s="70"/>
    </row>
    <row r="49" spans="1:9" x14ac:dyDescent="0.35">
      <c r="A49" s="16">
        <v>45735</v>
      </c>
      <c r="B49" s="11" t="s">
        <v>11</v>
      </c>
      <c r="C49" s="11" t="s">
        <v>42</v>
      </c>
      <c r="D49" s="39">
        <v>6</v>
      </c>
      <c r="E49" s="39">
        <v>0</v>
      </c>
      <c r="F49" s="48"/>
      <c r="G49" s="48"/>
      <c r="H49" s="70"/>
    </row>
    <row r="50" spans="1:9" x14ac:dyDescent="0.35">
      <c r="A50" s="16">
        <v>45736</v>
      </c>
      <c r="B50" s="11" t="s">
        <v>6</v>
      </c>
      <c r="C50" s="11" t="s">
        <v>45</v>
      </c>
      <c r="D50" s="39">
        <v>0</v>
      </c>
      <c r="E50" s="39">
        <v>5930</v>
      </c>
      <c r="F50" s="48">
        <f>_xlfn.XLOOKUP(C50,TDS!$C:$C,TDS!$D:$D,0,0)</f>
        <v>101</v>
      </c>
      <c r="G50" s="52">
        <f>F50/E50</f>
        <v>1.703204047217538E-2</v>
      </c>
      <c r="H50" s="86">
        <f>_xlfn.XLOOKUP(C50,'Customer Payments'!$C:$C,'Customer Payments'!$D:$D,,0)</f>
        <v>246779414768</v>
      </c>
      <c r="I50">
        <f>_xlfn.XLOOKUP(H50,'Ascendus Data'!$L:$L,'Ascendus Data'!$T:$T,,0)</f>
        <v>5929.68</v>
      </c>
    </row>
    <row r="51" spans="1:9" x14ac:dyDescent="0.35">
      <c r="A51" s="50">
        <v>45736</v>
      </c>
      <c r="B51" s="51" t="s">
        <v>46</v>
      </c>
      <c r="C51" s="11" t="s">
        <v>45</v>
      </c>
      <c r="D51" s="39">
        <v>0</v>
      </c>
      <c r="E51" s="39">
        <v>0</v>
      </c>
      <c r="F51" s="48"/>
      <c r="G51" s="48"/>
      <c r="H51" s="70"/>
    </row>
    <row r="52" spans="1:9" x14ac:dyDescent="0.35">
      <c r="A52" s="16">
        <v>45736</v>
      </c>
      <c r="B52" s="11" t="s">
        <v>47</v>
      </c>
      <c r="C52" s="11" t="s">
        <v>45</v>
      </c>
      <c r="D52" s="39">
        <v>0</v>
      </c>
      <c r="E52" s="39">
        <v>0</v>
      </c>
      <c r="F52" s="48"/>
      <c r="G52" s="48"/>
      <c r="H52" s="70"/>
    </row>
    <row r="53" spans="1:9" x14ac:dyDescent="0.35">
      <c r="A53" s="16">
        <v>45736</v>
      </c>
      <c r="B53" s="11" t="s">
        <v>48</v>
      </c>
      <c r="C53" s="11" t="s">
        <v>45</v>
      </c>
      <c r="D53" s="39">
        <v>0</v>
      </c>
      <c r="E53" s="39">
        <v>0</v>
      </c>
      <c r="F53" s="48"/>
      <c r="G53" s="48"/>
      <c r="H53" s="70"/>
    </row>
    <row r="54" spans="1:9" x14ac:dyDescent="0.35">
      <c r="A54" s="16">
        <v>45736</v>
      </c>
      <c r="B54" s="11" t="s">
        <v>49</v>
      </c>
      <c r="C54" s="11" t="s">
        <v>45</v>
      </c>
      <c r="D54" s="39">
        <v>0</v>
      </c>
      <c r="E54" s="39">
        <v>0</v>
      </c>
      <c r="F54" s="48"/>
      <c r="G54" s="48"/>
      <c r="H54" s="70"/>
    </row>
    <row r="55" spans="1:9" x14ac:dyDescent="0.35">
      <c r="A55" s="16">
        <v>45736</v>
      </c>
      <c r="B55" s="11" t="s">
        <v>11</v>
      </c>
      <c r="C55" s="11" t="s">
        <v>45</v>
      </c>
      <c r="D55" s="39">
        <v>101</v>
      </c>
      <c r="E55" s="39">
        <v>0</v>
      </c>
      <c r="F55" s="48"/>
      <c r="G55" s="48"/>
      <c r="H55" s="70"/>
    </row>
    <row r="56" spans="1:9" x14ac:dyDescent="0.35">
      <c r="A56" s="16">
        <v>45736</v>
      </c>
      <c r="B56" s="11" t="s">
        <v>6</v>
      </c>
      <c r="C56" s="11" t="s">
        <v>50</v>
      </c>
      <c r="D56" s="39">
        <v>0</v>
      </c>
      <c r="E56" s="39">
        <v>1166</v>
      </c>
      <c r="F56" s="48">
        <f>_xlfn.XLOOKUP(C56,TDS!$C:$C,TDS!$D:$D,0,0)</f>
        <v>20</v>
      </c>
      <c r="G56" s="52">
        <f>F56/E56</f>
        <v>1.7152658662092625E-2</v>
      </c>
      <c r="H56" s="86">
        <f>_xlfn.XLOOKUP(C56,'Customer Payments'!$C:$C,'Customer Payments'!$D:$D,,0)</f>
        <v>246779413500</v>
      </c>
      <c r="I56">
        <f>_xlfn.XLOOKUP(H56,'Ascendus Data'!$L:$L,'Ascendus Data'!$T:$T,,0)</f>
        <v>1166</v>
      </c>
    </row>
    <row r="57" spans="1:9" x14ac:dyDescent="0.35">
      <c r="A57" s="50">
        <v>45736</v>
      </c>
      <c r="B57" s="51" t="s">
        <v>51</v>
      </c>
      <c r="C57" s="11" t="s">
        <v>50</v>
      </c>
      <c r="D57" s="39">
        <v>0</v>
      </c>
      <c r="E57" s="39">
        <v>0</v>
      </c>
      <c r="F57" s="48"/>
      <c r="G57" s="48"/>
      <c r="H57" s="70"/>
    </row>
    <row r="58" spans="1:9" x14ac:dyDescent="0.35">
      <c r="A58" s="16">
        <v>45736</v>
      </c>
      <c r="B58" s="11" t="s">
        <v>52</v>
      </c>
      <c r="C58" s="11" t="s">
        <v>50</v>
      </c>
      <c r="D58" s="39">
        <v>0</v>
      </c>
      <c r="E58" s="39">
        <v>0</v>
      </c>
      <c r="F58" s="48"/>
      <c r="G58" s="48"/>
      <c r="H58" s="70"/>
    </row>
    <row r="59" spans="1:9" x14ac:dyDescent="0.35">
      <c r="A59" s="16">
        <v>45736</v>
      </c>
      <c r="B59" s="11" t="s">
        <v>53</v>
      </c>
      <c r="C59" s="11" t="s">
        <v>50</v>
      </c>
      <c r="D59" s="39">
        <v>0</v>
      </c>
      <c r="E59" s="39">
        <v>0</v>
      </c>
      <c r="F59" s="48"/>
      <c r="G59" s="48"/>
      <c r="H59" s="70"/>
    </row>
    <row r="60" spans="1:9" x14ac:dyDescent="0.35">
      <c r="A60" s="16">
        <v>45736</v>
      </c>
      <c r="B60" s="11" t="s">
        <v>11</v>
      </c>
      <c r="C60" s="11" t="s">
        <v>50</v>
      </c>
      <c r="D60" s="39">
        <v>20</v>
      </c>
      <c r="E60" s="39">
        <v>0</v>
      </c>
      <c r="F60" s="48"/>
      <c r="G60" s="48"/>
      <c r="H60" s="70"/>
    </row>
    <row r="61" spans="1:9" x14ac:dyDescent="0.35">
      <c r="A61" s="16">
        <v>45736</v>
      </c>
      <c r="B61" s="11" t="s">
        <v>6</v>
      </c>
      <c r="C61" s="11" t="s">
        <v>54</v>
      </c>
      <c r="D61" s="39">
        <v>0</v>
      </c>
      <c r="E61" s="39">
        <v>355</v>
      </c>
      <c r="F61" s="48">
        <f>_xlfn.XLOOKUP(C61,TDS!$C:$C,TDS!$D:$D,0,0)</f>
        <v>7</v>
      </c>
      <c r="G61" s="52">
        <f>F61/E61</f>
        <v>1.9718309859154931E-2</v>
      </c>
      <c r="H61" s="86">
        <f>_xlfn.XLOOKUP(C61,'Customer Payments'!$C:$C,'Customer Payments'!$D:$D,,0)</f>
        <v>246779414508</v>
      </c>
      <c r="I61">
        <f>_xlfn.XLOOKUP(H61,'Ascendus Data'!$L:$L,'Ascendus Data'!$T:$T,,0)</f>
        <v>354.57</v>
      </c>
    </row>
    <row r="62" spans="1:9" x14ac:dyDescent="0.35">
      <c r="A62" s="50">
        <v>45736</v>
      </c>
      <c r="B62" s="51" t="s">
        <v>55</v>
      </c>
      <c r="C62" s="11" t="s">
        <v>54</v>
      </c>
      <c r="D62" s="39">
        <v>0</v>
      </c>
      <c r="E62" s="39">
        <v>0</v>
      </c>
      <c r="F62" s="48"/>
      <c r="G62" s="48"/>
      <c r="H62" s="70"/>
    </row>
    <row r="63" spans="1:9" x14ac:dyDescent="0.35">
      <c r="A63" s="16">
        <v>45736</v>
      </c>
      <c r="B63" s="11" t="s">
        <v>56</v>
      </c>
      <c r="C63" s="11" t="s">
        <v>54</v>
      </c>
      <c r="D63" s="39">
        <v>0</v>
      </c>
      <c r="E63" s="39">
        <v>0</v>
      </c>
      <c r="F63" s="48"/>
      <c r="G63" s="48"/>
      <c r="H63" s="70"/>
    </row>
    <row r="64" spans="1:9" x14ac:dyDescent="0.35">
      <c r="A64" s="16">
        <v>45736</v>
      </c>
      <c r="B64" s="11" t="s">
        <v>57</v>
      </c>
      <c r="C64" s="11" t="s">
        <v>54</v>
      </c>
      <c r="D64" s="39">
        <v>0</v>
      </c>
      <c r="E64" s="39">
        <v>0</v>
      </c>
      <c r="F64" s="48"/>
      <c r="G64" s="48"/>
      <c r="H64" s="70"/>
    </row>
    <row r="65" spans="1:9" x14ac:dyDescent="0.35">
      <c r="A65" s="16">
        <v>45736</v>
      </c>
      <c r="B65" s="11" t="s">
        <v>11</v>
      </c>
      <c r="C65" s="11" t="s">
        <v>54</v>
      </c>
      <c r="D65" s="39">
        <v>7</v>
      </c>
      <c r="E65" s="39">
        <v>0</v>
      </c>
      <c r="F65" s="48"/>
      <c r="G65" s="48"/>
      <c r="H65" s="70"/>
    </row>
    <row r="66" spans="1:9" x14ac:dyDescent="0.35">
      <c r="A66" s="16">
        <v>45736</v>
      </c>
      <c r="B66" s="11" t="s">
        <v>6</v>
      </c>
      <c r="C66" s="11" t="s">
        <v>58</v>
      </c>
      <c r="D66" s="39">
        <v>0</v>
      </c>
      <c r="E66" s="39">
        <v>2836</v>
      </c>
      <c r="F66" s="48">
        <f>_xlfn.XLOOKUP(C66,TDS!$C:$C,TDS!$D:$D,0,0)</f>
        <v>49</v>
      </c>
      <c r="G66" s="52">
        <f>F66/E66</f>
        <v>1.7277856135401976E-2</v>
      </c>
      <c r="H66" s="86">
        <f>_xlfn.XLOOKUP(C66,'Customer Payments'!$C:$C,'Customer Payments'!$D:$D,,0)</f>
        <v>246779414509</v>
      </c>
      <c r="I66">
        <f>_xlfn.XLOOKUP(H66,'Ascendus Data'!$L:$L,'Ascendus Data'!$T:$T,,0)</f>
        <v>2835.67</v>
      </c>
    </row>
    <row r="67" spans="1:9" x14ac:dyDescent="0.35">
      <c r="A67" s="50">
        <v>45736</v>
      </c>
      <c r="B67" s="51" t="s">
        <v>59</v>
      </c>
      <c r="C67" s="11" t="s">
        <v>58</v>
      </c>
      <c r="D67" s="39">
        <v>0</v>
      </c>
      <c r="E67" s="39">
        <v>0</v>
      </c>
      <c r="F67" s="48"/>
      <c r="G67" s="48"/>
      <c r="H67" s="70"/>
    </row>
    <row r="68" spans="1:9" x14ac:dyDescent="0.35">
      <c r="A68" s="16">
        <v>45736</v>
      </c>
      <c r="B68" s="11" t="s">
        <v>60</v>
      </c>
      <c r="C68" s="11" t="s">
        <v>58</v>
      </c>
      <c r="D68" s="39">
        <v>0</v>
      </c>
      <c r="E68" s="39">
        <v>0</v>
      </c>
      <c r="F68" s="48"/>
      <c r="G68" s="48"/>
      <c r="H68" s="70"/>
    </row>
    <row r="69" spans="1:9" x14ac:dyDescent="0.35">
      <c r="A69" s="16">
        <v>45736</v>
      </c>
      <c r="B69" s="11" t="s">
        <v>61</v>
      </c>
      <c r="C69" s="11" t="s">
        <v>58</v>
      </c>
      <c r="D69" s="39">
        <v>0</v>
      </c>
      <c r="E69" s="39">
        <v>0</v>
      </c>
      <c r="F69" s="48"/>
      <c r="G69" s="48"/>
      <c r="H69" s="70"/>
    </row>
    <row r="70" spans="1:9" x14ac:dyDescent="0.35">
      <c r="A70" s="16">
        <v>45736</v>
      </c>
      <c r="B70" s="11" t="s">
        <v>11</v>
      </c>
      <c r="C70" s="11" t="s">
        <v>58</v>
      </c>
      <c r="D70" s="39">
        <v>49</v>
      </c>
      <c r="E70" s="39">
        <v>0</v>
      </c>
      <c r="F70" s="48"/>
      <c r="G70" s="48"/>
      <c r="H70" s="70"/>
    </row>
    <row r="71" spans="1:9" x14ac:dyDescent="0.35">
      <c r="A71" s="16">
        <v>45750</v>
      </c>
      <c r="B71" s="11" t="s">
        <v>6</v>
      </c>
      <c r="C71" s="11" t="s">
        <v>62</v>
      </c>
      <c r="D71" s="39">
        <v>0</v>
      </c>
      <c r="E71" s="39">
        <v>2063</v>
      </c>
      <c r="F71" s="48">
        <f>_xlfn.XLOOKUP(C71,TDS!$C:$C,TDS!$D:$D,0,0)</f>
        <v>35</v>
      </c>
      <c r="G71" s="52">
        <f>F71/E71</f>
        <v>1.6965584100824042E-2</v>
      </c>
      <c r="H71" s="86">
        <f>_xlfn.XLOOKUP(C71,'Customer Payments'!$C:$C,'Customer Payments'!$D:$D,,0)</f>
        <v>256779410187</v>
      </c>
      <c r="I71">
        <f>_xlfn.XLOOKUP(H71,'Ascendus Data'!$L:$L,'Ascendus Data'!$T:$T,,0)</f>
        <v>2062.65</v>
      </c>
    </row>
    <row r="72" spans="1:9" x14ac:dyDescent="0.35">
      <c r="A72" s="50">
        <v>45750</v>
      </c>
      <c r="B72" s="51" t="s">
        <v>63</v>
      </c>
      <c r="C72" s="11" t="s">
        <v>62</v>
      </c>
      <c r="D72" s="39">
        <v>0</v>
      </c>
      <c r="E72" s="39">
        <v>0</v>
      </c>
      <c r="F72" s="48"/>
      <c r="G72" s="48"/>
      <c r="H72" s="70"/>
    </row>
    <row r="73" spans="1:9" x14ac:dyDescent="0.35">
      <c r="A73" s="16">
        <v>45750</v>
      </c>
      <c r="B73" s="11" t="s">
        <v>64</v>
      </c>
      <c r="C73" s="11" t="s">
        <v>62</v>
      </c>
      <c r="D73" s="39">
        <v>0</v>
      </c>
      <c r="E73" s="39">
        <v>0</v>
      </c>
      <c r="F73" s="48"/>
      <c r="G73" s="48"/>
      <c r="H73" s="70"/>
    </row>
    <row r="74" spans="1:9" x14ac:dyDescent="0.35">
      <c r="A74" s="16">
        <v>45750</v>
      </c>
      <c r="B74" s="11" t="s">
        <v>32</v>
      </c>
      <c r="C74" s="11" t="s">
        <v>62</v>
      </c>
      <c r="D74" s="39">
        <v>0</v>
      </c>
      <c r="E74" s="39">
        <v>0</v>
      </c>
      <c r="F74" s="48"/>
      <c r="G74" s="48"/>
      <c r="H74" s="70"/>
    </row>
    <row r="75" spans="1:9" x14ac:dyDescent="0.35">
      <c r="A75" s="16">
        <v>45750</v>
      </c>
      <c r="B75" s="11" t="s">
        <v>11</v>
      </c>
      <c r="C75" s="11" t="s">
        <v>62</v>
      </c>
      <c r="D75" s="39">
        <v>35</v>
      </c>
      <c r="E75" s="39">
        <v>0</v>
      </c>
      <c r="F75" s="48"/>
      <c r="G75" s="48"/>
      <c r="H75" s="70"/>
    </row>
    <row r="76" spans="1:9" x14ac:dyDescent="0.35">
      <c r="A76" s="16">
        <v>45769</v>
      </c>
      <c r="B76" s="11" t="s">
        <v>6</v>
      </c>
      <c r="C76" s="11" t="s">
        <v>65</v>
      </c>
      <c r="D76" s="39">
        <v>0</v>
      </c>
      <c r="E76" s="39">
        <v>3199</v>
      </c>
      <c r="F76" s="48">
        <f>_xlfn.XLOOKUP(C76,TDS!$C:$C,TDS!$D:$D,0,0)</f>
        <v>54</v>
      </c>
      <c r="G76" s="52">
        <f>F76/E76</f>
        <v>1.6880275085964364E-2</v>
      </c>
      <c r="H76" s="86">
        <f>_xlfn.XLOOKUP(C76,'Invoice no ref in cutomer books'!$L:$L,'Invoice no ref in cutomer books'!$D:$D,,0)</f>
        <v>256779412497</v>
      </c>
      <c r="I76">
        <f>_xlfn.XLOOKUP(H76,'Ascendus Data'!$L:$L,'Ascendus Data'!$T:$T,,0)</f>
        <v>3198.72</v>
      </c>
    </row>
    <row r="77" spans="1:9" x14ac:dyDescent="0.35">
      <c r="A77" s="50">
        <v>45769</v>
      </c>
      <c r="B77" s="51" t="s">
        <v>66</v>
      </c>
      <c r="C77" s="11" t="s">
        <v>65</v>
      </c>
      <c r="D77" s="39">
        <v>0</v>
      </c>
      <c r="E77" s="39">
        <v>0</v>
      </c>
      <c r="F77" s="48"/>
      <c r="G77" s="48"/>
      <c r="H77" s="70"/>
    </row>
    <row r="78" spans="1:9" x14ac:dyDescent="0.35">
      <c r="A78" s="16">
        <v>45769</v>
      </c>
      <c r="B78" s="11" t="s">
        <v>67</v>
      </c>
      <c r="C78" s="11" t="s">
        <v>65</v>
      </c>
      <c r="D78" s="39">
        <v>0</v>
      </c>
      <c r="E78" s="39">
        <v>0</v>
      </c>
      <c r="F78" s="48"/>
      <c r="G78" s="48"/>
      <c r="H78" s="70"/>
    </row>
    <row r="79" spans="1:9" x14ac:dyDescent="0.35">
      <c r="A79" s="16">
        <v>45769</v>
      </c>
      <c r="B79" s="11" t="s">
        <v>68</v>
      </c>
      <c r="C79" s="11" t="s">
        <v>65</v>
      </c>
      <c r="D79" s="39">
        <v>0</v>
      </c>
      <c r="E79" s="39">
        <v>0</v>
      </c>
      <c r="F79" s="48"/>
      <c r="G79" s="48"/>
      <c r="H79" s="70"/>
    </row>
    <row r="80" spans="1:9" x14ac:dyDescent="0.35">
      <c r="A80" s="16">
        <v>45769</v>
      </c>
      <c r="B80" s="11" t="s">
        <v>11</v>
      </c>
      <c r="C80" s="11" t="s">
        <v>65</v>
      </c>
      <c r="D80" s="39">
        <v>54</v>
      </c>
      <c r="E80" s="39">
        <v>0</v>
      </c>
      <c r="F80" s="48"/>
      <c r="G80" s="48"/>
      <c r="H80" s="70"/>
    </row>
    <row r="81" spans="1:9" x14ac:dyDescent="0.35">
      <c r="A81" s="16">
        <v>45769</v>
      </c>
      <c r="B81" s="11" t="s">
        <v>6</v>
      </c>
      <c r="C81" s="11" t="s">
        <v>69</v>
      </c>
      <c r="D81" s="39">
        <v>0</v>
      </c>
      <c r="E81" s="39">
        <v>338</v>
      </c>
      <c r="F81" s="48">
        <f>_xlfn.XLOOKUP(C81,TDS!$C:$C,TDS!$D:$D,0,0)</f>
        <v>6</v>
      </c>
      <c r="G81" s="52">
        <f>F81/E81</f>
        <v>1.7751479289940829E-2</v>
      </c>
      <c r="H81" s="86">
        <f>_xlfn.XLOOKUP(C81,'Customer Payments'!$C:$C,'Customer Payments'!$D:$D,,0)</f>
        <v>256779412638</v>
      </c>
      <c r="I81">
        <f>_xlfn.XLOOKUP(H81,'Ascendus Data'!$L:$L,'Ascendus Data'!$T:$T,,0)</f>
        <v>338.13</v>
      </c>
    </row>
    <row r="82" spans="1:9" x14ac:dyDescent="0.35">
      <c r="A82" s="50">
        <v>45769</v>
      </c>
      <c r="B82" s="51" t="s">
        <v>70</v>
      </c>
      <c r="C82" s="11" t="s">
        <v>69</v>
      </c>
      <c r="D82" s="39">
        <v>0</v>
      </c>
      <c r="E82" s="39">
        <v>0</v>
      </c>
      <c r="F82" s="48"/>
      <c r="G82" s="48"/>
      <c r="H82" s="70"/>
    </row>
    <row r="83" spans="1:9" x14ac:dyDescent="0.35">
      <c r="A83" s="16">
        <v>45769</v>
      </c>
      <c r="B83" s="11" t="s">
        <v>71</v>
      </c>
      <c r="C83" s="11" t="s">
        <v>69</v>
      </c>
      <c r="D83" s="39">
        <v>0</v>
      </c>
      <c r="E83" s="39">
        <v>0</v>
      </c>
      <c r="F83" s="48"/>
      <c r="G83" s="48"/>
      <c r="H83" s="70"/>
    </row>
    <row r="84" spans="1:9" x14ac:dyDescent="0.35">
      <c r="A84" s="16">
        <v>45769</v>
      </c>
      <c r="B84" s="11" t="s">
        <v>72</v>
      </c>
      <c r="C84" s="11" t="s">
        <v>69</v>
      </c>
      <c r="D84" s="39">
        <v>0</v>
      </c>
      <c r="E84" s="39">
        <v>0</v>
      </c>
      <c r="F84" s="48"/>
      <c r="G84" s="48"/>
      <c r="H84" s="70"/>
    </row>
    <row r="85" spans="1:9" x14ac:dyDescent="0.35">
      <c r="A85" s="16">
        <v>45769</v>
      </c>
      <c r="B85" s="11" t="s">
        <v>11</v>
      </c>
      <c r="C85" s="11" t="s">
        <v>69</v>
      </c>
      <c r="D85" s="39">
        <v>6</v>
      </c>
      <c r="E85" s="39">
        <v>0</v>
      </c>
      <c r="F85" s="48"/>
      <c r="G85" s="48"/>
      <c r="H85" s="70"/>
    </row>
    <row r="86" spans="1:9" x14ac:dyDescent="0.35">
      <c r="A86" s="16">
        <v>45770</v>
      </c>
      <c r="B86" s="11" t="s">
        <v>6</v>
      </c>
      <c r="C86" s="11" t="s">
        <v>73</v>
      </c>
      <c r="D86" s="39">
        <v>0</v>
      </c>
      <c r="E86" s="39">
        <v>5993.35</v>
      </c>
      <c r="F86" s="48">
        <f>_xlfn.XLOOKUP(C86,TDS!$C:$C,TDS!$D:$D,0,0)</f>
        <v>102</v>
      </c>
      <c r="G86" s="52">
        <f>F86/E86</f>
        <v>1.7018862572684725E-2</v>
      </c>
      <c r="H86" s="86">
        <f>_xlfn.XLOOKUP(C86,'Customer Payments'!$C:$C,'Customer Payments'!$D:$D,,0)</f>
        <v>256779412910</v>
      </c>
      <c r="I86">
        <f>_xlfn.XLOOKUP(H86,'Ascendus Data'!$L:$L,'Ascendus Data'!$T:$T,,0)</f>
        <v>5994.13</v>
      </c>
    </row>
    <row r="87" spans="1:9" x14ac:dyDescent="0.35">
      <c r="A87" s="50">
        <v>45770</v>
      </c>
      <c r="B87" s="51" t="s">
        <v>74</v>
      </c>
      <c r="C87" s="11" t="s">
        <v>73</v>
      </c>
      <c r="D87" s="39">
        <v>0</v>
      </c>
      <c r="E87" s="39">
        <v>0</v>
      </c>
      <c r="F87" s="48"/>
      <c r="G87" s="48"/>
      <c r="H87" s="70"/>
    </row>
    <row r="88" spans="1:9" x14ac:dyDescent="0.35">
      <c r="A88" s="16">
        <v>45770</v>
      </c>
      <c r="B88" s="11" t="s">
        <v>75</v>
      </c>
      <c r="C88" s="11" t="s">
        <v>73</v>
      </c>
      <c r="D88" s="39">
        <v>0</v>
      </c>
      <c r="E88" s="39">
        <v>0</v>
      </c>
      <c r="F88" s="48"/>
      <c r="G88" s="48"/>
      <c r="H88" s="70"/>
    </row>
    <row r="89" spans="1:9" x14ac:dyDescent="0.35">
      <c r="A89" s="16">
        <v>45770</v>
      </c>
      <c r="B89" s="11" t="s">
        <v>11</v>
      </c>
      <c r="C89" s="11" t="s">
        <v>73</v>
      </c>
      <c r="D89" s="39">
        <v>102</v>
      </c>
      <c r="E89" s="39">
        <v>0</v>
      </c>
      <c r="F89" s="48"/>
      <c r="G89" s="48"/>
      <c r="H89" s="70"/>
    </row>
    <row r="90" spans="1:9" x14ac:dyDescent="0.35">
      <c r="A90" s="16">
        <v>45770</v>
      </c>
      <c r="B90" s="11" t="s">
        <v>6</v>
      </c>
      <c r="C90" s="11" t="s">
        <v>76</v>
      </c>
      <c r="D90" s="39">
        <v>0</v>
      </c>
      <c r="E90" s="39">
        <v>3384</v>
      </c>
      <c r="F90" s="48">
        <f>_xlfn.XLOOKUP(C90,TDS!$C:$C,TDS!$D:$D,0,0)</f>
        <v>58</v>
      </c>
      <c r="G90" s="52">
        <f>F90/E90</f>
        <v>1.7139479905437353E-2</v>
      </c>
      <c r="H90" s="86">
        <f>_xlfn.XLOOKUP(C90,'Customer Payments'!$C:$C,'Customer Payments'!$D:$D,,0)</f>
        <v>256779412880</v>
      </c>
      <c r="I90">
        <f>_xlfn.XLOOKUP(H90,'Ascendus Data'!$L:$L,'Ascendus Data'!$T:$T,,0)</f>
        <v>3384.74</v>
      </c>
    </row>
    <row r="91" spans="1:9" x14ac:dyDescent="0.35">
      <c r="A91" s="50">
        <v>45770</v>
      </c>
      <c r="B91" s="51" t="s">
        <v>77</v>
      </c>
      <c r="C91" s="11" t="s">
        <v>76</v>
      </c>
      <c r="D91" s="39">
        <v>0</v>
      </c>
      <c r="E91" s="39">
        <v>0</v>
      </c>
      <c r="F91" s="48"/>
      <c r="G91" s="48"/>
      <c r="H91" s="70"/>
    </row>
    <row r="92" spans="1:9" x14ac:dyDescent="0.35">
      <c r="A92" s="16">
        <v>45770</v>
      </c>
      <c r="B92" s="11" t="s">
        <v>78</v>
      </c>
      <c r="C92" s="11" t="s">
        <v>76</v>
      </c>
      <c r="D92" s="39">
        <v>0</v>
      </c>
      <c r="E92" s="39">
        <v>0</v>
      </c>
      <c r="F92" s="48"/>
      <c r="G92" s="48"/>
      <c r="H92" s="70"/>
    </row>
    <row r="93" spans="1:9" x14ac:dyDescent="0.35">
      <c r="A93" s="16">
        <v>45770</v>
      </c>
      <c r="B93" s="11" t="s">
        <v>79</v>
      </c>
      <c r="C93" s="11" t="s">
        <v>76</v>
      </c>
      <c r="D93" s="39">
        <v>0</v>
      </c>
      <c r="E93" s="39">
        <v>0</v>
      </c>
      <c r="F93" s="48"/>
      <c r="G93" s="48"/>
      <c r="H93" s="70"/>
    </row>
    <row r="94" spans="1:9" x14ac:dyDescent="0.35">
      <c r="A94" s="16">
        <v>45770</v>
      </c>
      <c r="B94" s="11" t="s">
        <v>11</v>
      </c>
      <c r="C94" s="11" t="s">
        <v>76</v>
      </c>
      <c r="D94" s="39">
        <v>58</v>
      </c>
      <c r="E94" s="39">
        <v>0</v>
      </c>
      <c r="F94" s="48"/>
      <c r="G94" s="48"/>
      <c r="H94" s="70"/>
    </row>
    <row r="95" spans="1:9" x14ac:dyDescent="0.35">
      <c r="A95" s="16">
        <v>45797</v>
      </c>
      <c r="B95" s="11" t="s">
        <v>6</v>
      </c>
      <c r="C95" s="11" t="s">
        <v>80</v>
      </c>
      <c r="D95" s="39">
        <v>0</v>
      </c>
      <c r="E95" s="39">
        <v>15086</v>
      </c>
      <c r="F95" s="48">
        <f>_xlfn.XLOOKUP(C95,TDS!$C:$C,TDS!$D:$D,0,0)</f>
        <v>256</v>
      </c>
      <c r="G95" s="52">
        <f>F95/E95</f>
        <v>1.6969375580007953E-2</v>
      </c>
      <c r="H95" s="86">
        <f>_xlfn.XLOOKUP(C95,'Customer Payments'!$C:$C,'Customer Payments'!$D:$D,,0)</f>
        <v>256779413875</v>
      </c>
      <c r="I95">
        <f>_xlfn.XLOOKUP(H95,'Ascendus Data'!$L:$L,'Ascendus Data'!$T:$T,,0)</f>
        <v>15086.7</v>
      </c>
    </row>
    <row r="96" spans="1:9" x14ac:dyDescent="0.35">
      <c r="A96" s="50">
        <v>45797</v>
      </c>
      <c r="B96" s="51" t="s">
        <v>81</v>
      </c>
      <c r="C96" s="11" t="s">
        <v>80</v>
      </c>
      <c r="D96" s="39">
        <v>0</v>
      </c>
      <c r="E96" s="39">
        <v>0</v>
      </c>
      <c r="F96" s="48"/>
      <c r="G96" s="48"/>
      <c r="H96" s="70"/>
    </row>
    <row r="97" spans="1:9" x14ac:dyDescent="0.35">
      <c r="A97" s="16">
        <v>45797</v>
      </c>
      <c r="B97" s="11" t="s">
        <v>82</v>
      </c>
      <c r="C97" s="11" t="s">
        <v>80</v>
      </c>
      <c r="D97" s="39">
        <v>0</v>
      </c>
      <c r="E97" s="39">
        <v>0</v>
      </c>
      <c r="F97" s="48"/>
      <c r="G97" s="48"/>
      <c r="H97" s="70"/>
    </row>
    <row r="98" spans="1:9" x14ac:dyDescent="0.35">
      <c r="A98" s="16">
        <v>45797</v>
      </c>
      <c r="B98" s="11" t="s">
        <v>83</v>
      </c>
      <c r="C98" s="11" t="s">
        <v>80</v>
      </c>
      <c r="D98" s="39">
        <v>0</v>
      </c>
      <c r="E98" s="39">
        <v>0</v>
      </c>
      <c r="F98" s="48"/>
      <c r="G98" s="48"/>
      <c r="H98" s="70"/>
    </row>
    <row r="99" spans="1:9" x14ac:dyDescent="0.35">
      <c r="A99" s="16">
        <v>45797</v>
      </c>
      <c r="B99" s="11" t="s">
        <v>84</v>
      </c>
      <c r="C99" s="11" t="s">
        <v>80</v>
      </c>
      <c r="D99" s="39">
        <v>0</v>
      </c>
      <c r="E99" s="39">
        <v>0</v>
      </c>
      <c r="F99" s="48"/>
      <c r="G99" s="48"/>
      <c r="H99" s="70"/>
    </row>
    <row r="100" spans="1:9" x14ac:dyDescent="0.35">
      <c r="A100" s="16">
        <v>45797</v>
      </c>
      <c r="B100" s="11" t="s">
        <v>85</v>
      </c>
      <c r="C100" s="11" t="s">
        <v>80</v>
      </c>
      <c r="D100" s="39">
        <v>0</v>
      </c>
      <c r="E100" s="39">
        <v>0</v>
      </c>
      <c r="F100" s="48"/>
      <c r="G100" s="48"/>
      <c r="H100" s="70"/>
    </row>
    <row r="101" spans="1:9" x14ac:dyDescent="0.35">
      <c r="A101" s="16">
        <v>45797</v>
      </c>
      <c r="B101" s="11" t="s">
        <v>86</v>
      </c>
      <c r="C101" s="11" t="s">
        <v>80</v>
      </c>
      <c r="D101" s="39">
        <v>0</v>
      </c>
      <c r="E101" s="39">
        <v>0</v>
      </c>
      <c r="F101" s="48"/>
      <c r="G101" s="48"/>
      <c r="H101" s="70"/>
    </row>
    <row r="102" spans="1:9" x14ac:dyDescent="0.35">
      <c r="A102" s="16">
        <v>45797</v>
      </c>
      <c r="B102" s="11" t="s">
        <v>87</v>
      </c>
      <c r="C102" s="11" t="s">
        <v>80</v>
      </c>
      <c r="D102" s="39">
        <v>256</v>
      </c>
      <c r="E102" s="39">
        <v>0</v>
      </c>
      <c r="F102" s="48"/>
      <c r="G102" s="48"/>
      <c r="H102" s="70"/>
    </row>
    <row r="103" spans="1:9" x14ac:dyDescent="0.35">
      <c r="A103" s="16">
        <v>45797</v>
      </c>
      <c r="B103" s="11" t="s">
        <v>6</v>
      </c>
      <c r="C103" s="11" t="s">
        <v>88</v>
      </c>
      <c r="D103" s="39">
        <v>0</v>
      </c>
      <c r="E103" s="39">
        <v>3085</v>
      </c>
      <c r="F103" s="48">
        <f>_xlfn.XLOOKUP(C103,TDS!$C:$C,TDS!$D:$D,0,0)</f>
        <v>52</v>
      </c>
      <c r="G103" s="52">
        <f>F103/E103</f>
        <v>1.6855753646677473E-2</v>
      </c>
      <c r="H103" s="86">
        <f>_xlfn.XLOOKUP(C103,'Customer Payments'!$C:$C,'Customer Payments'!$D:$D,,0)</f>
        <v>256779413473</v>
      </c>
      <c r="I103">
        <f>_xlfn.XLOOKUP(H103,'Ascendus Data'!$L:$L,'Ascendus Data'!$T:$T,,0)</f>
        <v>3085.1</v>
      </c>
    </row>
    <row r="104" spans="1:9" x14ac:dyDescent="0.35">
      <c r="A104" s="50">
        <v>45797</v>
      </c>
      <c r="B104" s="51" t="s">
        <v>89</v>
      </c>
      <c r="C104" s="11" t="s">
        <v>88</v>
      </c>
      <c r="D104" s="39">
        <v>0</v>
      </c>
      <c r="E104" s="39">
        <v>0</v>
      </c>
      <c r="F104" s="48"/>
      <c r="G104" s="48"/>
      <c r="H104" s="70"/>
    </row>
    <row r="105" spans="1:9" x14ac:dyDescent="0.35">
      <c r="A105" s="16">
        <v>45797</v>
      </c>
      <c r="B105" s="11" t="s">
        <v>90</v>
      </c>
      <c r="C105" s="11" t="s">
        <v>88</v>
      </c>
      <c r="D105" s="39">
        <v>0</v>
      </c>
      <c r="E105" s="39">
        <v>0</v>
      </c>
      <c r="F105" s="48"/>
      <c r="G105" s="48"/>
      <c r="H105" s="70"/>
    </row>
    <row r="106" spans="1:9" x14ac:dyDescent="0.35">
      <c r="A106" s="16">
        <v>45797</v>
      </c>
      <c r="B106" s="11" t="s">
        <v>91</v>
      </c>
      <c r="C106" s="11" t="s">
        <v>88</v>
      </c>
      <c r="D106" s="39">
        <v>0</v>
      </c>
      <c r="E106" s="39">
        <v>0</v>
      </c>
      <c r="F106" s="48"/>
      <c r="G106" s="48"/>
      <c r="H106" s="70"/>
    </row>
    <row r="107" spans="1:9" x14ac:dyDescent="0.35">
      <c r="A107" s="16">
        <v>45797</v>
      </c>
      <c r="B107" s="11" t="s">
        <v>92</v>
      </c>
      <c r="C107" s="11" t="s">
        <v>88</v>
      </c>
      <c r="D107" s="39">
        <v>0</v>
      </c>
      <c r="E107" s="39">
        <v>0</v>
      </c>
      <c r="F107" s="48"/>
      <c r="G107" s="48"/>
      <c r="H107" s="70"/>
    </row>
    <row r="108" spans="1:9" x14ac:dyDescent="0.35">
      <c r="A108" s="16">
        <v>45797</v>
      </c>
      <c r="B108" s="11" t="s">
        <v>87</v>
      </c>
      <c r="C108" s="11" t="s">
        <v>88</v>
      </c>
      <c r="D108" s="39">
        <v>52</v>
      </c>
      <c r="E108" s="39">
        <v>0</v>
      </c>
      <c r="F108" s="48"/>
      <c r="G108" s="48"/>
      <c r="H108" s="70"/>
    </row>
    <row r="109" spans="1:9" x14ac:dyDescent="0.35">
      <c r="A109" s="16">
        <v>45842</v>
      </c>
      <c r="B109" s="11" t="s">
        <v>6</v>
      </c>
      <c r="C109" s="11" t="s">
        <v>93</v>
      </c>
      <c r="D109" s="39">
        <v>0</v>
      </c>
      <c r="E109" s="39">
        <v>947</v>
      </c>
      <c r="F109" s="48">
        <f>_xlfn.XLOOKUP(C109,TDS!$C:$C,TDS!$D:$D,0,0)</f>
        <v>16</v>
      </c>
      <c r="G109" s="52">
        <f>F109/E109</f>
        <v>1.6895459345300949E-2</v>
      </c>
      <c r="H109" s="86">
        <f>_xlfn.XLOOKUP(C109,'Customer Payments'!$C:$C,'Customer Payments'!$D:$D,,0)</f>
        <v>256779415007</v>
      </c>
      <c r="I109">
        <f>_xlfn.XLOOKUP(H109,'Ascendus Data'!$L:$L,'Ascendus Data'!$T:$T,,0)</f>
        <v>946.87</v>
      </c>
    </row>
    <row r="110" spans="1:9" x14ac:dyDescent="0.35">
      <c r="A110" s="50">
        <v>45842</v>
      </c>
      <c r="B110" s="51" t="s">
        <v>94</v>
      </c>
      <c r="C110" s="11" t="s">
        <v>93</v>
      </c>
      <c r="D110" s="39">
        <v>0</v>
      </c>
      <c r="E110" s="39">
        <v>0</v>
      </c>
      <c r="F110" s="48"/>
      <c r="G110" s="48"/>
      <c r="H110" s="70"/>
    </row>
    <row r="111" spans="1:9" x14ac:dyDescent="0.35">
      <c r="A111" s="16">
        <v>45842</v>
      </c>
      <c r="B111" s="11" t="s">
        <v>95</v>
      </c>
      <c r="C111" s="11" t="s">
        <v>93</v>
      </c>
      <c r="D111" s="39">
        <v>0</v>
      </c>
      <c r="E111" s="39">
        <v>0</v>
      </c>
      <c r="F111" s="48"/>
      <c r="G111" s="48"/>
      <c r="H111" s="70"/>
    </row>
    <row r="112" spans="1:9" x14ac:dyDescent="0.35">
      <c r="A112" s="16">
        <v>45842</v>
      </c>
      <c r="B112" s="11" t="s">
        <v>96</v>
      </c>
      <c r="C112" s="11" t="s">
        <v>93</v>
      </c>
      <c r="D112" s="39">
        <v>0</v>
      </c>
      <c r="E112" s="39">
        <v>0</v>
      </c>
      <c r="F112" s="48"/>
      <c r="G112" s="48"/>
      <c r="H112" s="70"/>
    </row>
    <row r="113" spans="1:9" x14ac:dyDescent="0.35">
      <c r="A113" s="16">
        <v>45842</v>
      </c>
      <c r="B113" s="11" t="s">
        <v>87</v>
      </c>
      <c r="C113" s="11" t="s">
        <v>93</v>
      </c>
      <c r="D113" s="39">
        <v>16</v>
      </c>
      <c r="E113" s="39">
        <v>0</v>
      </c>
      <c r="F113" s="48"/>
      <c r="G113" s="48"/>
      <c r="H113" s="70"/>
    </row>
    <row r="114" spans="1:9" x14ac:dyDescent="0.35">
      <c r="A114" s="16">
        <v>45842</v>
      </c>
      <c r="B114" s="11" t="s">
        <v>6</v>
      </c>
      <c r="C114" s="11" t="s">
        <v>97</v>
      </c>
      <c r="D114" s="39">
        <v>0</v>
      </c>
      <c r="E114" s="39">
        <v>653</v>
      </c>
      <c r="F114" s="48">
        <f>_xlfn.XLOOKUP(C114,TDS!$C:$C,TDS!$D:$D,0,0)</f>
        <v>11</v>
      </c>
      <c r="G114" s="52">
        <f>F114/E114</f>
        <v>1.6845329249617153E-2</v>
      </c>
      <c r="H114" s="86">
        <f>_xlfn.XLOOKUP(C114,'Customer Payments'!$C:$C,'Customer Payments'!$D:$D,,0)</f>
        <v>256779415044</v>
      </c>
      <c r="I114">
        <f>_xlfn.XLOOKUP(H114,'Ascendus Data'!$L:$L,'Ascendus Data'!$T:$T,,0)</f>
        <v>652.75</v>
      </c>
    </row>
    <row r="115" spans="1:9" x14ac:dyDescent="0.35">
      <c r="A115" s="50">
        <v>45842</v>
      </c>
      <c r="B115" s="51" t="s">
        <v>98</v>
      </c>
      <c r="C115" s="11" t="s">
        <v>97</v>
      </c>
      <c r="D115" s="39">
        <v>0</v>
      </c>
      <c r="E115" s="39">
        <v>0</v>
      </c>
      <c r="F115" s="48"/>
      <c r="G115" s="48"/>
      <c r="H115" s="70"/>
    </row>
    <row r="116" spans="1:9" x14ac:dyDescent="0.35">
      <c r="A116" s="16">
        <v>45842</v>
      </c>
      <c r="B116" s="11" t="s">
        <v>99</v>
      </c>
      <c r="C116" s="11" t="s">
        <v>97</v>
      </c>
      <c r="D116" s="39">
        <v>0</v>
      </c>
      <c r="E116" s="39">
        <v>0</v>
      </c>
      <c r="F116" s="48"/>
      <c r="G116" s="48"/>
      <c r="H116" s="70"/>
    </row>
    <row r="117" spans="1:9" x14ac:dyDescent="0.35">
      <c r="A117" s="16">
        <v>45842</v>
      </c>
      <c r="B117" s="11" t="s">
        <v>100</v>
      </c>
      <c r="C117" s="11" t="s">
        <v>97</v>
      </c>
      <c r="D117" s="39">
        <v>0</v>
      </c>
      <c r="E117" s="39">
        <v>0</v>
      </c>
      <c r="F117" s="48"/>
      <c r="G117" s="48"/>
      <c r="H117" s="70"/>
    </row>
    <row r="118" spans="1:9" x14ac:dyDescent="0.35">
      <c r="A118" s="16">
        <v>45842</v>
      </c>
      <c r="B118" s="11" t="s">
        <v>101</v>
      </c>
      <c r="C118" s="11" t="s">
        <v>97</v>
      </c>
      <c r="D118" s="39">
        <v>0</v>
      </c>
      <c r="E118" s="39">
        <v>0</v>
      </c>
      <c r="F118" s="48"/>
      <c r="G118" s="48"/>
      <c r="H118" s="70"/>
    </row>
    <row r="119" spans="1:9" x14ac:dyDescent="0.35">
      <c r="A119" s="16">
        <v>45842</v>
      </c>
      <c r="B119" s="11" t="s">
        <v>87</v>
      </c>
      <c r="C119" s="11" t="s">
        <v>97</v>
      </c>
      <c r="D119" s="39">
        <v>11</v>
      </c>
      <c r="E119" s="39">
        <v>0</v>
      </c>
      <c r="F119" s="48"/>
      <c r="G119" s="48"/>
      <c r="H119" s="70"/>
    </row>
    <row r="120" spans="1:9" x14ac:dyDescent="0.35">
      <c r="A120" s="16">
        <v>45856</v>
      </c>
      <c r="B120" s="11" t="s">
        <v>6</v>
      </c>
      <c r="C120" s="11" t="s">
        <v>102</v>
      </c>
      <c r="D120" s="39">
        <v>0</v>
      </c>
      <c r="E120" s="39">
        <v>64037</v>
      </c>
      <c r="F120" s="48">
        <f>_xlfn.XLOOKUP(C120,TDS!$C:$C,TDS!$D:$D,0,0)</f>
        <v>1085</v>
      </c>
      <c r="G120" s="52">
        <f>F120/E120</f>
        <v>1.6943329637553288E-2</v>
      </c>
      <c r="H120" s="86">
        <f>_xlfn.XLOOKUP(C120,'Customer Payments'!$C:$C,'Customer Payments'!$D:$D,,0)</f>
        <v>256779415466</v>
      </c>
      <c r="I120">
        <f>_xlfn.XLOOKUP(H120,'Ascendus Data'!$L:$L,'Ascendus Data'!$T:$T,,0)</f>
        <v>64036.959999999999</v>
      </c>
    </row>
    <row r="121" spans="1:9" x14ac:dyDescent="0.35">
      <c r="A121" s="50">
        <v>45856</v>
      </c>
      <c r="B121" s="51" t="s">
        <v>103</v>
      </c>
      <c r="C121" s="11" t="s">
        <v>102</v>
      </c>
      <c r="D121" s="39">
        <v>0</v>
      </c>
      <c r="E121" s="39">
        <v>0</v>
      </c>
      <c r="F121" s="48"/>
      <c r="G121" s="48"/>
      <c r="H121" s="70"/>
    </row>
    <row r="122" spans="1:9" x14ac:dyDescent="0.35">
      <c r="A122" s="16">
        <v>45856</v>
      </c>
      <c r="B122" s="11" t="s">
        <v>104</v>
      </c>
      <c r="C122" s="11" t="s">
        <v>102</v>
      </c>
      <c r="D122" s="39">
        <v>0</v>
      </c>
      <c r="E122" s="39">
        <v>0</v>
      </c>
      <c r="F122" s="48"/>
      <c r="G122" s="48"/>
      <c r="H122" s="70"/>
    </row>
    <row r="123" spans="1:9" x14ac:dyDescent="0.35">
      <c r="A123" s="16">
        <v>45856</v>
      </c>
      <c r="B123" s="11" t="s">
        <v>105</v>
      </c>
      <c r="C123" s="11" t="s">
        <v>102</v>
      </c>
      <c r="D123" s="39">
        <v>0</v>
      </c>
      <c r="E123" s="39">
        <v>0</v>
      </c>
      <c r="F123" s="48"/>
      <c r="G123" s="48"/>
      <c r="H123" s="70"/>
    </row>
    <row r="124" spans="1:9" x14ac:dyDescent="0.35">
      <c r="A124" s="16">
        <v>45856</v>
      </c>
      <c r="B124" s="11" t="s">
        <v>106</v>
      </c>
      <c r="C124" s="11" t="s">
        <v>102</v>
      </c>
      <c r="D124" s="39">
        <v>0</v>
      </c>
      <c r="E124" s="39">
        <v>0</v>
      </c>
      <c r="F124" s="48"/>
      <c r="G124" s="48"/>
      <c r="H124" s="70"/>
    </row>
    <row r="125" spans="1:9" x14ac:dyDescent="0.35">
      <c r="A125" s="16">
        <v>45856</v>
      </c>
      <c r="B125" s="11" t="s">
        <v>92</v>
      </c>
      <c r="C125" s="11" t="s">
        <v>102</v>
      </c>
      <c r="D125" s="39">
        <v>0</v>
      </c>
      <c r="E125" s="39">
        <v>0</v>
      </c>
      <c r="F125" s="48"/>
      <c r="G125" s="48"/>
      <c r="H125" s="70"/>
    </row>
    <row r="126" spans="1:9" x14ac:dyDescent="0.35">
      <c r="A126" s="16">
        <v>45856</v>
      </c>
      <c r="B126" s="11" t="s">
        <v>87</v>
      </c>
      <c r="C126" s="11" t="s">
        <v>102</v>
      </c>
      <c r="D126" s="39">
        <v>1085</v>
      </c>
      <c r="E126" s="39">
        <v>0</v>
      </c>
      <c r="F126" s="48"/>
      <c r="G126" s="48"/>
      <c r="H126" s="70"/>
    </row>
    <row r="127" spans="1:9" x14ac:dyDescent="0.35">
      <c r="A127" s="16">
        <v>45856</v>
      </c>
      <c r="B127" s="11" t="s">
        <v>6</v>
      </c>
      <c r="C127" s="11" t="s">
        <v>107</v>
      </c>
      <c r="D127" s="39">
        <v>0</v>
      </c>
      <c r="E127" s="39">
        <v>2217</v>
      </c>
      <c r="F127" s="48">
        <f>_xlfn.XLOOKUP(C127,TDS!$C:$C,TDS!$D:$D,0,0)</f>
        <v>0</v>
      </c>
      <c r="G127" s="52">
        <f>F127/E127</f>
        <v>0</v>
      </c>
      <c r="H127" s="86">
        <f>_xlfn.XLOOKUP(C127,'Customer Payments'!$C:$C,'Customer Payments'!$D:$D,,0)</f>
        <v>256779415504</v>
      </c>
      <c r="I127">
        <f>_xlfn.XLOOKUP(H127,'Ascendus Data'!$L:$L,'Ascendus Data'!$T:$T,,0)</f>
        <v>2217.1</v>
      </c>
    </row>
    <row r="128" spans="1:9" x14ac:dyDescent="0.35">
      <c r="A128" s="50">
        <v>45856</v>
      </c>
      <c r="B128" s="51" t="s">
        <v>108</v>
      </c>
      <c r="C128" s="11" t="s">
        <v>107</v>
      </c>
      <c r="D128" s="39">
        <v>0</v>
      </c>
      <c r="E128" s="39">
        <v>0</v>
      </c>
      <c r="F128" s="48"/>
      <c r="G128" s="48"/>
      <c r="H128" s="70"/>
    </row>
    <row r="129" spans="1:9" x14ac:dyDescent="0.35">
      <c r="A129" s="16">
        <v>45856</v>
      </c>
      <c r="B129" s="11" t="s">
        <v>109</v>
      </c>
      <c r="C129" s="11" t="s">
        <v>107</v>
      </c>
      <c r="D129" s="39">
        <v>0</v>
      </c>
      <c r="E129" s="39">
        <v>0</v>
      </c>
      <c r="F129" s="48"/>
      <c r="G129" s="48"/>
      <c r="H129" s="70"/>
    </row>
    <row r="130" spans="1:9" x14ac:dyDescent="0.35">
      <c r="A130" s="16">
        <v>45856</v>
      </c>
      <c r="B130" s="11" t="s">
        <v>110</v>
      </c>
      <c r="C130" s="11" t="s">
        <v>107</v>
      </c>
      <c r="D130" s="39">
        <v>0</v>
      </c>
      <c r="E130" s="39">
        <v>0</v>
      </c>
      <c r="F130" s="48"/>
      <c r="G130" s="48"/>
      <c r="H130" s="70"/>
    </row>
    <row r="131" spans="1:9" x14ac:dyDescent="0.35">
      <c r="A131" s="16">
        <v>45856</v>
      </c>
      <c r="B131" s="11" t="s">
        <v>111</v>
      </c>
      <c r="C131" s="11" t="s">
        <v>107</v>
      </c>
      <c r="D131" s="39">
        <v>0</v>
      </c>
      <c r="E131" s="39">
        <v>0</v>
      </c>
      <c r="F131" s="48"/>
      <c r="G131" s="48"/>
      <c r="H131" s="70"/>
    </row>
    <row r="132" spans="1:9" x14ac:dyDescent="0.35">
      <c r="A132" s="16">
        <v>45856</v>
      </c>
      <c r="B132" s="11" t="s">
        <v>112</v>
      </c>
      <c r="C132" s="11" t="s">
        <v>107</v>
      </c>
      <c r="D132" s="39">
        <v>0</v>
      </c>
      <c r="E132" s="39">
        <v>0</v>
      </c>
      <c r="F132" s="48"/>
      <c r="G132" s="48"/>
      <c r="H132" s="70"/>
    </row>
    <row r="133" spans="1:9" x14ac:dyDescent="0.35">
      <c r="A133" s="16">
        <v>45857</v>
      </c>
      <c r="B133" s="11" t="s">
        <v>6</v>
      </c>
      <c r="C133" s="11" t="s">
        <v>113</v>
      </c>
      <c r="D133" s="39">
        <v>0</v>
      </c>
      <c r="E133" s="39">
        <v>35820</v>
      </c>
      <c r="F133" s="48">
        <f>_xlfn.XLOOKUP(C133,TDS!$C:$C,TDS!$D:$D,0,0)</f>
        <v>607</v>
      </c>
      <c r="G133" s="52">
        <f>F133/E133</f>
        <v>1.6945840312674484E-2</v>
      </c>
      <c r="H133" s="86">
        <f>_xlfn.XLOOKUP(C133,'Customer Payments'!$C:$C,'Customer Payments'!$D:$D,,0)</f>
        <v>256779415604</v>
      </c>
      <c r="I133">
        <f>_xlfn.XLOOKUP(H133,'Ascendus Data'!$L:$L,'Ascendus Data'!$T:$T,,0)</f>
        <v>35819.279999999999</v>
      </c>
    </row>
    <row r="134" spans="1:9" x14ac:dyDescent="0.35">
      <c r="A134" s="50">
        <v>45857</v>
      </c>
      <c r="B134" s="51" t="s">
        <v>114</v>
      </c>
      <c r="C134" s="11" t="s">
        <v>113</v>
      </c>
      <c r="D134" s="39">
        <v>0</v>
      </c>
      <c r="E134" s="39">
        <v>0</v>
      </c>
      <c r="F134" s="48"/>
      <c r="G134" s="48"/>
      <c r="H134" s="70"/>
    </row>
    <row r="135" spans="1:9" x14ac:dyDescent="0.35">
      <c r="A135" s="16">
        <v>45857</v>
      </c>
      <c r="B135" s="11" t="s">
        <v>115</v>
      </c>
      <c r="C135" s="11" t="s">
        <v>113</v>
      </c>
      <c r="D135" s="39">
        <v>0</v>
      </c>
      <c r="E135" s="39">
        <v>0</v>
      </c>
      <c r="F135" s="48"/>
      <c r="G135" s="48"/>
      <c r="H135" s="70"/>
    </row>
    <row r="136" spans="1:9" x14ac:dyDescent="0.35">
      <c r="A136" s="16">
        <v>45857</v>
      </c>
      <c r="B136" s="11" t="s">
        <v>116</v>
      </c>
      <c r="C136" s="11" t="s">
        <v>113</v>
      </c>
      <c r="D136" s="39">
        <v>0</v>
      </c>
      <c r="E136" s="39">
        <v>0</v>
      </c>
      <c r="F136" s="48"/>
      <c r="G136" s="48"/>
      <c r="H136" s="70"/>
    </row>
    <row r="137" spans="1:9" x14ac:dyDescent="0.35">
      <c r="A137" s="16">
        <v>45857</v>
      </c>
      <c r="B137" s="11" t="s">
        <v>117</v>
      </c>
      <c r="C137" s="11" t="s">
        <v>113</v>
      </c>
      <c r="D137" s="39">
        <v>0</v>
      </c>
      <c r="E137" s="39">
        <v>0</v>
      </c>
      <c r="F137" s="48"/>
      <c r="G137" s="48"/>
      <c r="H137" s="70"/>
    </row>
    <row r="138" spans="1:9" x14ac:dyDescent="0.35">
      <c r="A138" s="16">
        <v>45857</v>
      </c>
      <c r="B138" s="11" t="s">
        <v>118</v>
      </c>
      <c r="C138" s="11" t="s">
        <v>113</v>
      </c>
      <c r="D138" s="39">
        <v>0</v>
      </c>
      <c r="E138" s="39">
        <v>0</v>
      </c>
      <c r="F138" s="48"/>
      <c r="G138" s="48"/>
      <c r="H138" s="70"/>
    </row>
    <row r="139" spans="1:9" x14ac:dyDescent="0.35">
      <c r="A139" s="16">
        <v>45857</v>
      </c>
      <c r="B139" s="11" t="s">
        <v>87</v>
      </c>
      <c r="C139" s="11" t="s">
        <v>113</v>
      </c>
      <c r="D139" s="39">
        <v>607</v>
      </c>
      <c r="E139" s="39">
        <v>0</v>
      </c>
      <c r="F139" s="48"/>
      <c r="G139" s="48"/>
      <c r="H139" s="70"/>
    </row>
    <row r="140" spans="1:9" x14ac:dyDescent="0.35">
      <c r="A140" s="16">
        <v>45857</v>
      </c>
      <c r="B140" s="11" t="s">
        <v>6</v>
      </c>
      <c r="C140" s="11" t="s">
        <v>119</v>
      </c>
      <c r="D140" s="39">
        <v>0</v>
      </c>
      <c r="E140" s="39">
        <v>473</v>
      </c>
      <c r="F140" s="48">
        <f>_xlfn.XLOOKUP(C140,TDS!$C:$C,TDS!$D:$D,0,0)</f>
        <v>0</v>
      </c>
      <c r="G140" s="52">
        <f>F140/E140</f>
        <v>0</v>
      </c>
      <c r="H140" s="86">
        <f>_xlfn.XLOOKUP(C140,'Customer Payments'!$C:$C,'Customer Payments'!$D:$D,,0)</f>
        <v>256779415733</v>
      </c>
      <c r="I140">
        <f>_xlfn.XLOOKUP(H140,'Ascendus Data'!$L:$L,'Ascendus Data'!$T:$T,,0)</f>
        <v>473</v>
      </c>
    </row>
    <row r="141" spans="1:9" x14ac:dyDescent="0.35">
      <c r="A141" s="50">
        <v>45857</v>
      </c>
      <c r="B141" s="51" t="s">
        <v>120</v>
      </c>
      <c r="C141" s="11" t="s">
        <v>119</v>
      </c>
      <c r="D141" s="39">
        <v>0</v>
      </c>
      <c r="E141" s="39">
        <v>0</v>
      </c>
      <c r="F141" s="48"/>
      <c r="G141" s="48"/>
      <c r="H141" s="70"/>
    </row>
    <row r="142" spans="1:9" x14ac:dyDescent="0.35">
      <c r="A142" s="16">
        <v>45857</v>
      </c>
      <c r="B142" s="11" t="s">
        <v>121</v>
      </c>
      <c r="C142" s="11" t="s">
        <v>119</v>
      </c>
      <c r="D142" s="39">
        <v>0</v>
      </c>
      <c r="E142" s="39">
        <v>0</v>
      </c>
      <c r="F142" s="48"/>
      <c r="G142" s="48"/>
      <c r="H142" s="70"/>
    </row>
    <row r="143" spans="1:9" x14ac:dyDescent="0.35">
      <c r="A143" s="16">
        <v>45857</v>
      </c>
      <c r="B143" s="11" t="s">
        <v>122</v>
      </c>
      <c r="C143" s="11" t="s">
        <v>119</v>
      </c>
      <c r="D143" s="39">
        <v>0</v>
      </c>
      <c r="E143" s="39">
        <v>0</v>
      </c>
      <c r="F143" s="48"/>
      <c r="G143" s="48"/>
      <c r="H143" s="70"/>
    </row>
    <row r="144" spans="1:9" x14ac:dyDescent="0.35">
      <c r="A144" s="16">
        <v>45857</v>
      </c>
      <c r="B144" s="11" t="s">
        <v>20</v>
      </c>
      <c r="C144" s="11" t="s">
        <v>119</v>
      </c>
      <c r="D144" s="39">
        <v>0</v>
      </c>
      <c r="E144" s="39">
        <v>0</v>
      </c>
      <c r="F144" s="48"/>
      <c r="G144" s="48"/>
      <c r="H144" s="70"/>
    </row>
    <row r="145" spans="1:9" x14ac:dyDescent="0.35">
      <c r="A145" s="16">
        <v>45863</v>
      </c>
      <c r="B145" s="11" t="s">
        <v>123</v>
      </c>
      <c r="C145" s="11" t="s">
        <v>124</v>
      </c>
      <c r="D145" s="39">
        <v>166588</v>
      </c>
      <c r="E145" s="39">
        <v>0</v>
      </c>
      <c r="F145" s="48"/>
      <c r="G145" s="48"/>
      <c r="H145" s="70"/>
    </row>
    <row r="146" spans="1:9" x14ac:dyDescent="0.35">
      <c r="A146" s="16">
        <v>45889</v>
      </c>
      <c r="B146" s="11" t="s">
        <v>6</v>
      </c>
      <c r="C146" s="11" t="s">
        <v>125</v>
      </c>
      <c r="D146" s="39">
        <v>0</v>
      </c>
      <c r="E146" s="39">
        <v>94396</v>
      </c>
      <c r="F146" s="48">
        <f>_xlfn.XLOOKUP(C146,TDS!$C:$C,TDS!$D:$D,0,0)</f>
        <v>1600</v>
      </c>
      <c r="G146" s="52">
        <f>F146/E146</f>
        <v>1.6949870757235475E-2</v>
      </c>
      <c r="H146" s="86">
        <f>_xlfn.XLOOKUP(C146,'Invoice no ref in cutomer books'!$L:$L,'Invoice no ref in cutomer books'!$D:$D,,0)</f>
        <v>256779416597</v>
      </c>
      <c r="I146">
        <f>_xlfn.XLOOKUP(H146,'Ascendus Data'!$L:$L,'Ascendus Data'!$T:$T,,0)</f>
        <v>94397.41</v>
      </c>
    </row>
    <row r="147" spans="1:9" x14ac:dyDescent="0.35">
      <c r="A147" s="50">
        <v>45889</v>
      </c>
      <c r="B147" s="51" t="s">
        <v>126</v>
      </c>
      <c r="C147" s="11" t="s">
        <v>125</v>
      </c>
      <c r="D147" s="39">
        <v>0</v>
      </c>
      <c r="E147" s="39">
        <v>0</v>
      </c>
      <c r="F147" s="48"/>
      <c r="G147" s="48"/>
      <c r="H147" s="70"/>
    </row>
    <row r="148" spans="1:9" x14ac:dyDescent="0.35">
      <c r="A148" s="16">
        <v>45889</v>
      </c>
      <c r="B148" s="11" t="s">
        <v>127</v>
      </c>
      <c r="C148" s="11" t="s">
        <v>125</v>
      </c>
      <c r="D148" s="39">
        <v>0</v>
      </c>
      <c r="E148" s="39">
        <v>0</v>
      </c>
      <c r="F148" s="48"/>
      <c r="G148" s="48"/>
      <c r="H148" s="70"/>
    </row>
    <row r="149" spans="1:9" x14ac:dyDescent="0.35">
      <c r="A149" s="16">
        <v>45889</v>
      </c>
      <c r="B149" s="11" t="s">
        <v>128</v>
      </c>
      <c r="C149" s="11" t="s">
        <v>125</v>
      </c>
      <c r="D149" s="39">
        <v>0</v>
      </c>
      <c r="E149" s="39">
        <v>0</v>
      </c>
      <c r="F149" s="48"/>
      <c r="G149" s="48"/>
      <c r="H149" s="70"/>
    </row>
    <row r="150" spans="1:9" x14ac:dyDescent="0.35">
      <c r="A150" s="16">
        <v>45889</v>
      </c>
      <c r="B150" s="11" t="s">
        <v>129</v>
      </c>
      <c r="C150" s="11" t="s">
        <v>125</v>
      </c>
      <c r="D150" s="39">
        <v>0</v>
      </c>
      <c r="E150" s="39">
        <v>0</v>
      </c>
      <c r="F150" s="48"/>
      <c r="G150" s="48"/>
      <c r="H150" s="70"/>
    </row>
    <row r="151" spans="1:9" x14ac:dyDescent="0.35">
      <c r="A151" s="16">
        <v>45889</v>
      </c>
      <c r="B151" s="11" t="s">
        <v>130</v>
      </c>
      <c r="C151" s="11" t="s">
        <v>125</v>
      </c>
      <c r="D151" s="39">
        <v>0</v>
      </c>
      <c r="E151" s="39">
        <v>0</v>
      </c>
      <c r="F151" s="48"/>
      <c r="G151" s="48"/>
      <c r="H151" s="70"/>
    </row>
    <row r="152" spans="1:9" x14ac:dyDescent="0.35">
      <c r="A152" s="16">
        <v>45889</v>
      </c>
      <c r="B152" s="11" t="s">
        <v>131</v>
      </c>
      <c r="C152" s="11" t="s">
        <v>125</v>
      </c>
      <c r="D152" s="39">
        <v>0</v>
      </c>
      <c r="E152" s="39">
        <v>0</v>
      </c>
      <c r="F152" s="48"/>
      <c r="G152" s="48"/>
      <c r="H152" s="70"/>
    </row>
    <row r="153" spans="1:9" x14ac:dyDescent="0.35">
      <c r="A153" s="16">
        <v>45889</v>
      </c>
      <c r="B153" s="11" t="s">
        <v>132</v>
      </c>
      <c r="C153" s="11" t="s">
        <v>125</v>
      </c>
      <c r="D153" s="39">
        <v>0</v>
      </c>
      <c r="E153" s="39">
        <v>0</v>
      </c>
      <c r="F153" s="48"/>
      <c r="G153" s="48"/>
      <c r="H153" s="70"/>
    </row>
    <row r="154" spans="1:9" x14ac:dyDescent="0.35">
      <c r="A154" s="16">
        <v>45889</v>
      </c>
      <c r="B154" s="11" t="s">
        <v>133</v>
      </c>
      <c r="C154" s="11" t="s">
        <v>125</v>
      </c>
      <c r="D154" s="39">
        <v>0</v>
      </c>
      <c r="E154" s="39">
        <v>0</v>
      </c>
      <c r="F154" s="48"/>
      <c r="G154" s="48"/>
      <c r="H154" s="70"/>
    </row>
    <row r="155" spans="1:9" x14ac:dyDescent="0.35">
      <c r="A155" s="16">
        <v>45889</v>
      </c>
      <c r="B155" s="11" t="s">
        <v>87</v>
      </c>
      <c r="C155" s="11" t="s">
        <v>125</v>
      </c>
      <c r="D155" s="39">
        <v>1600</v>
      </c>
      <c r="E155" s="39">
        <v>0</v>
      </c>
      <c r="F155" s="48"/>
      <c r="G155" s="48"/>
      <c r="H155" s="70"/>
    </row>
    <row r="156" spans="1:9" x14ac:dyDescent="0.35">
      <c r="A156" s="16">
        <v>45889</v>
      </c>
      <c r="B156" s="11" t="s">
        <v>6</v>
      </c>
      <c r="C156" s="11" t="s">
        <v>134</v>
      </c>
      <c r="D156" s="39">
        <v>0</v>
      </c>
      <c r="E156" s="39">
        <v>116166</v>
      </c>
      <c r="F156" s="48">
        <f>_xlfn.XLOOKUP(C156,TDS!$C:$C,TDS!$D:$D,0,0)</f>
        <v>1969</v>
      </c>
      <c r="G156" s="52">
        <f>F156/E156</f>
        <v>1.6949882065320318E-2</v>
      </c>
      <c r="H156" s="86">
        <f>_xlfn.XLOOKUP(C156,'Invoice no ref in cutomer books'!$L:$L,'Invoice no ref in cutomer books'!$D:$D,,0)</f>
        <v>256779416620</v>
      </c>
      <c r="I156">
        <f>_xlfn.XLOOKUP(H156,'Ascendus Data'!$L:$L,'Ascendus Data'!$T:$T,,0)</f>
        <v>116166.47</v>
      </c>
    </row>
    <row r="157" spans="1:9" x14ac:dyDescent="0.35">
      <c r="A157" s="50">
        <v>45889</v>
      </c>
      <c r="B157" s="51" t="s">
        <v>135</v>
      </c>
      <c r="C157" s="11" t="s">
        <v>134</v>
      </c>
      <c r="D157" s="39">
        <v>0</v>
      </c>
      <c r="E157" s="39">
        <v>0</v>
      </c>
      <c r="F157" s="48"/>
      <c r="G157" s="48"/>
      <c r="H157" s="70"/>
    </row>
    <row r="158" spans="1:9" x14ac:dyDescent="0.35">
      <c r="A158" s="16">
        <v>45889</v>
      </c>
      <c r="B158" s="11" t="s">
        <v>136</v>
      </c>
      <c r="C158" s="11" t="s">
        <v>134</v>
      </c>
      <c r="D158" s="39">
        <v>0</v>
      </c>
      <c r="E158" s="39">
        <v>0</v>
      </c>
      <c r="F158" s="48"/>
      <c r="G158" s="48"/>
      <c r="H158" s="70"/>
    </row>
    <row r="159" spans="1:9" x14ac:dyDescent="0.35">
      <c r="A159" s="16">
        <v>45889</v>
      </c>
      <c r="B159" s="11" t="s">
        <v>137</v>
      </c>
      <c r="C159" s="11" t="s">
        <v>134</v>
      </c>
      <c r="D159" s="39">
        <v>0</v>
      </c>
      <c r="E159" s="39">
        <v>0</v>
      </c>
      <c r="F159" s="48"/>
      <c r="G159" s="48"/>
      <c r="H159" s="70"/>
    </row>
    <row r="160" spans="1:9" x14ac:dyDescent="0.35">
      <c r="A160" s="16">
        <v>45889</v>
      </c>
      <c r="B160" s="11" t="s">
        <v>138</v>
      </c>
      <c r="C160" s="11" t="s">
        <v>134</v>
      </c>
      <c r="D160" s="39">
        <v>0</v>
      </c>
      <c r="E160" s="39">
        <v>0</v>
      </c>
      <c r="F160" s="48"/>
      <c r="G160" s="48"/>
      <c r="H160" s="70"/>
    </row>
    <row r="161" spans="1:9" x14ac:dyDescent="0.35">
      <c r="A161" s="16">
        <v>45889</v>
      </c>
      <c r="B161" s="11" t="s">
        <v>37</v>
      </c>
      <c r="C161" s="11" t="s">
        <v>134</v>
      </c>
      <c r="D161" s="39">
        <v>0</v>
      </c>
      <c r="E161" s="39">
        <v>0</v>
      </c>
      <c r="F161" s="48"/>
      <c r="G161" s="48"/>
      <c r="H161" s="70"/>
    </row>
    <row r="162" spans="1:9" x14ac:dyDescent="0.35">
      <c r="A162" s="16">
        <v>45889</v>
      </c>
      <c r="B162" s="11" t="s">
        <v>87</v>
      </c>
      <c r="C162" s="11" t="s">
        <v>134</v>
      </c>
      <c r="D162" s="39">
        <v>1969</v>
      </c>
      <c r="E162" s="39">
        <v>0</v>
      </c>
      <c r="F162" s="48"/>
      <c r="G162" s="48"/>
      <c r="H162" s="70"/>
    </row>
    <row r="163" spans="1:9" x14ac:dyDescent="0.35">
      <c r="A163" s="16">
        <v>45889</v>
      </c>
      <c r="B163" s="11" t="s">
        <v>6</v>
      </c>
      <c r="C163" s="11" t="s">
        <v>139</v>
      </c>
      <c r="D163" s="39">
        <v>0</v>
      </c>
      <c r="E163" s="39">
        <v>42566</v>
      </c>
      <c r="F163" s="48">
        <f>_xlfn.XLOOKUP(C163,TDS!$C:$C,TDS!$D:$D,0,0)</f>
        <v>721</v>
      </c>
      <c r="G163" s="52">
        <f>F163/E163</f>
        <v>1.6938401541136117E-2</v>
      </c>
      <c r="H163" s="86">
        <f>_xlfn.XLOOKUP(C163,'Invoice no ref in cutomer books'!$L:$L,'Invoice no ref in cutomer books'!$D:$D,,0)</f>
        <v>256779416664</v>
      </c>
      <c r="I163">
        <f>_xlfn.XLOOKUP(H163,'Ascendus Data'!$L:$L,'Ascendus Data'!$T:$T,,0)</f>
        <v>42566.84</v>
      </c>
    </row>
    <row r="164" spans="1:9" x14ac:dyDescent="0.35">
      <c r="A164" s="50">
        <v>45889</v>
      </c>
      <c r="B164" s="51" t="s">
        <v>140</v>
      </c>
      <c r="C164" s="11" t="s">
        <v>139</v>
      </c>
      <c r="D164" s="39">
        <v>0</v>
      </c>
      <c r="E164" s="39">
        <v>0</v>
      </c>
      <c r="F164" s="48"/>
      <c r="G164" s="48"/>
      <c r="H164" s="70"/>
    </row>
    <row r="165" spans="1:9" x14ac:dyDescent="0.35">
      <c r="A165" s="16">
        <v>45889</v>
      </c>
      <c r="B165" s="11" t="s">
        <v>141</v>
      </c>
      <c r="C165" s="11" t="s">
        <v>139</v>
      </c>
      <c r="D165" s="39">
        <v>0</v>
      </c>
      <c r="E165" s="39">
        <v>0</v>
      </c>
      <c r="F165" s="48"/>
      <c r="G165" s="48"/>
      <c r="H165" s="70"/>
    </row>
    <row r="166" spans="1:9" x14ac:dyDescent="0.35">
      <c r="A166" s="16">
        <v>45889</v>
      </c>
      <c r="B166" s="11" t="s">
        <v>142</v>
      </c>
      <c r="C166" s="11" t="s">
        <v>139</v>
      </c>
      <c r="D166" s="39">
        <v>0</v>
      </c>
      <c r="E166" s="39">
        <v>0</v>
      </c>
      <c r="F166" s="48"/>
      <c r="G166" s="48"/>
      <c r="H166" s="70"/>
    </row>
    <row r="167" spans="1:9" x14ac:dyDescent="0.35">
      <c r="A167" s="16">
        <v>45889</v>
      </c>
      <c r="B167" s="11" t="s">
        <v>143</v>
      </c>
      <c r="C167" s="11" t="s">
        <v>139</v>
      </c>
      <c r="D167" s="39">
        <v>0</v>
      </c>
      <c r="E167" s="39">
        <v>0</v>
      </c>
      <c r="F167" s="48"/>
      <c r="G167" s="48"/>
      <c r="H167" s="70"/>
    </row>
    <row r="168" spans="1:9" x14ac:dyDescent="0.35">
      <c r="A168" s="16">
        <v>45889</v>
      </c>
      <c r="B168" s="11" t="s">
        <v>144</v>
      </c>
      <c r="C168" s="11" t="s">
        <v>139</v>
      </c>
      <c r="D168" s="39">
        <v>0</v>
      </c>
      <c r="E168" s="39">
        <v>0</v>
      </c>
      <c r="F168" s="48"/>
      <c r="G168" s="48"/>
      <c r="H168" s="70"/>
    </row>
    <row r="169" spans="1:9" x14ac:dyDescent="0.35">
      <c r="A169" s="16">
        <v>45889</v>
      </c>
      <c r="B169" s="11" t="s">
        <v>145</v>
      </c>
      <c r="C169" s="11" t="s">
        <v>139</v>
      </c>
      <c r="D169" s="39">
        <v>0</v>
      </c>
      <c r="E169" s="39">
        <v>0</v>
      </c>
      <c r="F169" s="48"/>
      <c r="G169" s="48"/>
      <c r="H169" s="70"/>
    </row>
    <row r="170" spans="1:9" x14ac:dyDescent="0.35">
      <c r="A170" s="16">
        <v>45889</v>
      </c>
      <c r="B170" s="11" t="s">
        <v>92</v>
      </c>
      <c r="C170" s="11" t="s">
        <v>139</v>
      </c>
      <c r="D170" s="39">
        <v>0</v>
      </c>
      <c r="E170" s="39">
        <v>0</v>
      </c>
      <c r="F170" s="48"/>
      <c r="G170" s="48"/>
      <c r="H170" s="70"/>
    </row>
    <row r="171" spans="1:9" x14ac:dyDescent="0.35">
      <c r="A171" s="16">
        <v>45889</v>
      </c>
      <c r="B171" s="11" t="s">
        <v>87</v>
      </c>
      <c r="C171" s="11" t="s">
        <v>139</v>
      </c>
      <c r="D171" s="39">
        <v>721</v>
      </c>
      <c r="E171" s="39">
        <v>0</v>
      </c>
      <c r="F171" s="48"/>
      <c r="G171" s="48"/>
      <c r="H171" s="70"/>
    </row>
    <row r="172" spans="1:9" x14ac:dyDescent="0.35">
      <c r="A172" s="16">
        <v>45889</v>
      </c>
      <c r="B172" s="11" t="s">
        <v>6</v>
      </c>
      <c r="C172" s="11" t="s">
        <v>146</v>
      </c>
      <c r="D172" s="39">
        <v>0</v>
      </c>
      <c r="E172" s="39">
        <v>3818</v>
      </c>
      <c r="F172" s="48">
        <f>_xlfn.XLOOKUP(C172,TDS!$C:$C,TDS!$D:$D,0,0)</f>
        <v>65</v>
      </c>
      <c r="G172" s="52">
        <f>F172/E172</f>
        <v>1.7024620220010476E-2</v>
      </c>
      <c r="H172" s="86">
        <f>_xlfn.XLOOKUP(C172,'Customer Payments'!$C:$C,'Customer Payments'!$D:$D,,0)</f>
        <v>256779416831</v>
      </c>
      <c r="I172">
        <f>_xlfn.XLOOKUP(H172,'Ascendus Data'!$L:$L,'Ascendus Data'!$T:$T,,0)</f>
        <v>3818.02</v>
      </c>
    </row>
    <row r="173" spans="1:9" x14ac:dyDescent="0.35">
      <c r="A173" s="50">
        <v>45889</v>
      </c>
      <c r="B173" s="51" t="s">
        <v>147</v>
      </c>
      <c r="C173" s="11" t="s">
        <v>146</v>
      </c>
      <c r="D173" s="39">
        <v>0</v>
      </c>
      <c r="E173" s="39">
        <v>0</v>
      </c>
      <c r="F173" s="48"/>
      <c r="G173" s="48"/>
      <c r="H173" s="70"/>
    </row>
    <row r="174" spans="1:9" x14ac:dyDescent="0.35">
      <c r="A174" s="16">
        <v>45889</v>
      </c>
      <c r="B174" s="11" t="s">
        <v>148</v>
      </c>
      <c r="C174" s="11" t="s">
        <v>146</v>
      </c>
      <c r="D174" s="39">
        <v>0</v>
      </c>
      <c r="E174" s="39">
        <v>0</v>
      </c>
      <c r="F174" s="48"/>
      <c r="G174" s="48"/>
      <c r="H174" s="70"/>
    </row>
    <row r="175" spans="1:9" x14ac:dyDescent="0.35">
      <c r="A175" s="16">
        <v>45889</v>
      </c>
      <c r="B175" s="11" t="s">
        <v>149</v>
      </c>
      <c r="C175" s="11" t="s">
        <v>146</v>
      </c>
      <c r="D175" s="39">
        <v>0</v>
      </c>
      <c r="E175" s="39">
        <v>0</v>
      </c>
      <c r="F175" s="48"/>
      <c r="G175" s="48"/>
      <c r="H175" s="70"/>
    </row>
    <row r="176" spans="1:9" x14ac:dyDescent="0.35">
      <c r="A176" s="16">
        <v>45889</v>
      </c>
      <c r="B176" s="11" t="s">
        <v>150</v>
      </c>
      <c r="C176" s="11" t="s">
        <v>146</v>
      </c>
      <c r="D176" s="39">
        <v>0</v>
      </c>
      <c r="E176" s="39">
        <v>0</v>
      </c>
      <c r="F176" s="48"/>
      <c r="G176" s="48"/>
      <c r="H176" s="70"/>
    </row>
    <row r="177" spans="1:9" x14ac:dyDescent="0.35">
      <c r="A177" s="16">
        <v>45889</v>
      </c>
      <c r="B177" s="11" t="s">
        <v>87</v>
      </c>
      <c r="C177" s="11" t="s">
        <v>146</v>
      </c>
      <c r="D177" s="39">
        <v>65</v>
      </c>
      <c r="E177" s="39">
        <v>0</v>
      </c>
      <c r="F177" s="48"/>
      <c r="G177" s="48"/>
      <c r="H177" s="70"/>
    </row>
    <row r="178" spans="1:9" x14ac:dyDescent="0.35">
      <c r="A178" s="16">
        <v>45889</v>
      </c>
      <c r="B178" s="11" t="s">
        <v>6</v>
      </c>
      <c r="C178" s="11" t="s">
        <v>151</v>
      </c>
      <c r="D178" s="39">
        <v>0</v>
      </c>
      <c r="E178" s="39">
        <v>1138</v>
      </c>
      <c r="F178" s="48">
        <f>_xlfn.XLOOKUP(C178,TDS!$C:$C,TDS!$D:$D,0,0)</f>
        <v>19</v>
      </c>
      <c r="G178" s="52">
        <f>F178/E178</f>
        <v>1.6695957820738138E-2</v>
      </c>
      <c r="H178" s="86">
        <f>_xlfn.XLOOKUP(C178,'Customer Payments'!$C:$C,'Customer Payments'!$D:$D,,0)</f>
        <v>256779416861</v>
      </c>
      <c r="I178">
        <f>_xlfn.XLOOKUP(H178,'Ascendus Data'!$L:$L,'Ascendus Data'!$T:$T,,0)</f>
        <v>1138.18</v>
      </c>
    </row>
    <row r="179" spans="1:9" x14ac:dyDescent="0.35">
      <c r="A179" s="50">
        <v>45889</v>
      </c>
      <c r="B179" s="51" t="s">
        <v>152</v>
      </c>
      <c r="C179" s="11" t="s">
        <v>151</v>
      </c>
      <c r="D179" s="39">
        <v>0</v>
      </c>
      <c r="E179" s="39">
        <v>0</v>
      </c>
      <c r="F179" s="48"/>
      <c r="G179" s="48"/>
      <c r="H179" s="70"/>
    </row>
    <row r="180" spans="1:9" x14ac:dyDescent="0.35">
      <c r="A180" s="16">
        <v>45889</v>
      </c>
      <c r="B180" s="11" t="s">
        <v>153</v>
      </c>
      <c r="C180" s="11" t="s">
        <v>151</v>
      </c>
      <c r="D180" s="39">
        <v>0</v>
      </c>
      <c r="E180" s="39">
        <v>0</v>
      </c>
      <c r="F180" s="48"/>
      <c r="G180" s="48"/>
      <c r="H180" s="70"/>
    </row>
    <row r="181" spans="1:9" x14ac:dyDescent="0.35">
      <c r="A181" s="16">
        <v>45889</v>
      </c>
      <c r="B181" s="11" t="s">
        <v>154</v>
      </c>
      <c r="C181" s="11" t="s">
        <v>151</v>
      </c>
      <c r="D181" s="39">
        <v>0</v>
      </c>
      <c r="E181" s="39">
        <v>0</v>
      </c>
      <c r="F181" s="48"/>
      <c r="G181" s="48"/>
      <c r="H181" s="70"/>
    </row>
    <row r="182" spans="1:9" x14ac:dyDescent="0.35">
      <c r="A182" s="16">
        <v>45889</v>
      </c>
      <c r="B182" s="11" t="s">
        <v>87</v>
      </c>
      <c r="C182" s="11" t="s">
        <v>151</v>
      </c>
      <c r="D182" s="39">
        <v>19</v>
      </c>
      <c r="E182" s="39">
        <v>0</v>
      </c>
      <c r="F182" s="48"/>
      <c r="G182" s="48"/>
      <c r="H182" s="70"/>
    </row>
    <row r="183" spans="1:9" x14ac:dyDescent="0.35">
      <c r="A183" s="16">
        <v>45892</v>
      </c>
      <c r="B183" s="11" t="s">
        <v>87</v>
      </c>
      <c r="C183" s="11" t="s">
        <v>155</v>
      </c>
      <c r="D183" s="39">
        <v>8</v>
      </c>
      <c r="E183" s="39">
        <v>0</v>
      </c>
      <c r="F183" s="48"/>
      <c r="G183" s="48"/>
      <c r="H183" s="70"/>
    </row>
    <row r="184" spans="1:9" x14ac:dyDescent="0.35">
      <c r="A184" s="16">
        <v>45892</v>
      </c>
      <c r="B184" s="11" t="s">
        <v>87</v>
      </c>
      <c r="C184" s="11" t="s">
        <v>156</v>
      </c>
      <c r="D184" s="39">
        <v>38</v>
      </c>
      <c r="E184" s="39">
        <v>0</v>
      </c>
      <c r="F184" s="48"/>
      <c r="G184" s="48"/>
      <c r="H184" s="70"/>
    </row>
    <row r="185" spans="1:9" x14ac:dyDescent="0.35">
      <c r="A185" s="16">
        <v>45904</v>
      </c>
      <c r="B185" s="11" t="s">
        <v>123</v>
      </c>
      <c r="C185" s="11" t="s">
        <v>157</v>
      </c>
      <c r="D185" s="39">
        <v>102382</v>
      </c>
      <c r="E185" s="39">
        <v>0</v>
      </c>
      <c r="F185" s="48"/>
      <c r="G185" s="48"/>
      <c r="H185" s="70"/>
    </row>
    <row r="186" spans="1:9" x14ac:dyDescent="0.35">
      <c r="A186" s="16">
        <v>45936</v>
      </c>
      <c r="B186" s="11" t="s">
        <v>6</v>
      </c>
      <c r="C186" s="11" t="s">
        <v>158</v>
      </c>
      <c r="D186" s="39">
        <v>0</v>
      </c>
      <c r="E186" s="39">
        <v>38943</v>
      </c>
      <c r="F186" s="48">
        <f>_xlfn.XLOOKUP(C186,TDS!$C:$C,TDS!$D:$D,0,0)</f>
        <v>660</v>
      </c>
      <c r="G186" s="52">
        <f>F186/E186</f>
        <v>1.6947846853092981E-2</v>
      </c>
      <c r="H186" s="86">
        <f>_xlfn.XLOOKUP(C186,'Invoice no ref in cutomer books'!$L:$L,'Invoice no ref in cutomer books'!$D:$D,,0)</f>
        <v>256779418232</v>
      </c>
      <c r="I186">
        <f>_xlfn.XLOOKUP(H186,'Ascendus Data'!$L:$L,'Ascendus Data'!$T:$T,,0)</f>
        <v>38943.279999999999</v>
      </c>
    </row>
    <row r="187" spans="1:9" x14ac:dyDescent="0.35">
      <c r="A187" s="50">
        <v>45936</v>
      </c>
      <c r="B187" s="51" t="s">
        <v>159</v>
      </c>
      <c r="C187" s="11" t="s">
        <v>158</v>
      </c>
      <c r="D187" s="39">
        <v>0</v>
      </c>
      <c r="E187" s="39">
        <v>0</v>
      </c>
      <c r="F187" s="48"/>
      <c r="G187" s="48"/>
      <c r="H187" s="70"/>
    </row>
    <row r="188" spans="1:9" x14ac:dyDescent="0.35">
      <c r="A188" s="16">
        <v>45936</v>
      </c>
      <c r="B188" s="11" t="s">
        <v>160</v>
      </c>
      <c r="C188" s="11" t="s">
        <v>158</v>
      </c>
      <c r="D188" s="39">
        <v>0</v>
      </c>
      <c r="E188" s="39">
        <v>0</v>
      </c>
      <c r="F188" s="48"/>
      <c r="G188" s="48"/>
      <c r="H188" s="70"/>
    </row>
    <row r="189" spans="1:9" x14ac:dyDescent="0.35">
      <c r="A189" s="16">
        <v>45936</v>
      </c>
      <c r="B189" s="11" t="s">
        <v>161</v>
      </c>
      <c r="C189" s="11" t="s">
        <v>158</v>
      </c>
      <c r="D189" s="39">
        <v>0</v>
      </c>
      <c r="E189" s="39">
        <v>0</v>
      </c>
      <c r="F189" s="48"/>
      <c r="G189" s="48"/>
      <c r="H189" s="70"/>
    </row>
    <row r="190" spans="1:9" x14ac:dyDescent="0.35">
      <c r="A190" s="16">
        <v>45936</v>
      </c>
      <c r="B190" s="11" t="s">
        <v>162</v>
      </c>
      <c r="C190" s="11" t="s">
        <v>158</v>
      </c>
      <c r="D190" s="39">
        <v>0</v>
      </c>
      <c r="E190" s="39">
        <v>0</v>
      </c>
      <c r="F190" s="48"/>
      <c r="G190" s="48"/>
      <c r="H190" s="70"/>
    </row>
    <row r="191" spans="1:9" x14ac:dyDescent="0.35">
      <c r="A191" s="16">
        <v>45936</v>
      </c>
      <c r="B191" s="11" t="s">
        <v>163</v>
      </c>
      <c r="C191" s="11" t="s">
        <v>158</v>
      </c>
      <c r="D191" s="39">
        <v>0</v>
      </c>
      <c r="E191" s="39">
        <v>0</v>
      </c>
      <c r="F191" s="48"/>
      <c r="G191" s="48"/>
      <c r="H191" s="70"/>
    </row>
    <row r="192" spans="1:9" x14ac:dyDescent="0.35">
      <c r="A192" s="16">
        <v>45936</v>
      </c>
      <c r="B192" s="11" t="s">
        <v>87</v>
      </c>
      <c r="C192" s="11" t="s">
        <v>158</v>
      </c>
      <c r="D192" s="39">
        <v>660</v>
      </c>
      <c r="E192" s="39">
        <v>0</v>
      </c>
      <c r="F192" s="48"/>
      <c r="G192" s="48"/>
      <c r="H192" s="70"/>
    </row>
    <row r="193" spans="1:9" x14ac:dyDescent="0.35">
      <c r="A193" s="16">
        <v>45937</v>
      </c>
      <c r="B193" s="11" t="s">
        <v>6</v>
      </c>
      <c r="C193" s="11" t="s">
        <v>164</v>
      </c>
      <c r="D193" s="39">
        <v>0</v>
      </c>
      <c r="E193" s="39">
        <v>11447</v>
      </c>
      <c r="F193" s="48">
        <f>_xlfn.XLOOKUP(C193,TDS!$C:$C,TDS!$D:$D,0,0)</f>
        <v>194</v>
      </c>
      <c r="G193" s="52">
        <f>F193/E193</f>
        <v>1.6947671879094961E-2</v>
      </c>
      <c r="H193" s="86">
        <f>_xlfn.XLOOKUP(C193,'Customer Payments'!$C:$C,'Customer Payments'!$D:$D,,0)</f>
        <v>256779418107</v>
      </c>
      <c r="I193">
        <f>_xlfn.XLOOKUP(H193,'Ascendus Data'!$L:$L,'Ascendus Data'!$T:$T,,0)</f>
        <v>11447.16</v>
      </c>
    </row>
    <row r="194" spans="1:9" x14ac:dyDescent="0.35">
      <c r="A194" s="50">
        <v>45937</v>
      </c>
      <c r="B194" s="51" t="s">
        <v>165</v>
      </c>
      <c r="C194" s="11" t="s">
        <v>164</v>
      </c>
      <c r="D194" s="39">
        <v>0</v>
      </c>
      <c r="E194" s="39">
        <v>0</v>
      </c>
      <c r="F194" s="48"/>
      <c r="G194" s="48"/>
      <c r="H194" s="70"/>
    </row>
    <row r="195" spans="1:9" x14ac:dyDescent="0.35">
      <c r="A195" s="16">
        <v>45937</v>
      </c>
      <c r="B195" s="11" t="s">
        <v>166</v>
      </c>
      <c r="C195" s="11" t="s">
        <v>164</v>
      </c>
      <c r="D195" s="39">
        <v>0</v>
      </c>
      <c r="E195" s="39">
        <v>0</v>
      </c>
      <c r="F195" s="48"/>
      <c r="G195" s="48"/>
      <c r="H195" s="70"/>
    </row>
    <row r="196" spans="1:9" x14ac:dyDescent="0.35">
      <c r="A196" s="16">
        <v>45937</v>
      </c>
      <c r="B196" s="11" t="s">
        <v>167</v>
      </c>
      <c r="C196" s="11" t="s">
        <v>164</v>
      </c>
      <c r="D196" s="39">
        <v>0</v>
      </c>
      <c r="E196" s="39">
        <v>0</v>
      </c>
      <c r="F196" s="48"/>
      <c r="G196" s="48"/>
      <c r="H196" s="70"/>
    </row>
    <row r="197" spans="1:9" x14ac:dyDescent="0.35">
      <c r="A197" s="16">
        <v>45937</v>
      </c>
      <c r="B197" s="11" t="s">
        <v>168</v>
      </c>
      <c r="C197" s="11" t="s">
        <v>164</v>
      </c>
      <c r="D197" s="39">
        <v>0</v>
      </c>
      <c r="E197" s="39">
        <v>0</v>
      </c>
      <c r="F197" s="48"/>
      <c r="G197" s="48"/>
      <c r="H197" s="70"/>
    </row>
    <row r="198" spans="1:9" x14ac:dyDescent="0.35">
      <c r="A198" s="16">
        <v>45937</v>
      </c>
      <c r="B198" s="11" t="s">
        <v>87</v>
      </c>
      <c r="C198" s="11" t="s">
        <v>164</v>
      </c>
      <c r="D198" s="39">
        <v>194</v>
      </c>
      <c r="E198" s="39">
        <v>0</v>
      </c>
      <c r="F198" s="48"/>
      <c r="G198" s="48"/>
      <c r="H198" s="70"/>
    </row>
    <row r="199" spans="1:9" x14ac:dyDescent="0.35">
      <c r="A199" s="16">
        <v>45937</v>
      </c>
      <c r="B199" s="11" t="s">
        <v>6</v>
      </c>
      <c r="C199" s="11" t="s">
        <v>169</v>
      </c>
      <c r="D199" s="39">
        <v>0</v>
      </c>
      <c r="E199" s="39">
        <v>11447</v>
      </c>
      <c r="F199" s="48">
        <f>_xlfn.XLOOKUP(C199,TDS!$C:$C,TDS!$D:$D,0,0)</f>
        <v>194</v>
      </c>
      <c r="G199" s="52">
        <f>F199/E199</f>
        <v>1.6947671879094961E-2</v>
      </c>
      <c r="H199" s="86">
        <f>_xlfn.XLOOKUP(C199,'Invoice no ref in cutomer books'!$L:$L,'Invoice no ref in cutomer books'!$D:$D,,0)</f>
        <v>256779418108</v>
      </c>
      <c r="I199">
        <f>_xlfn.XLOOKUP(H199,'Ascendus Data'!$L:$L,'Ascendus Data'!$T:$T,,0)</f>
        <v>11447.16</v>
      </c>
    </row>
    <row r="200" spans="1:9" x14ac:dyDescent="0.35">
      <c r="A200" s="50">
        <v>45937</v>
      </c>
      <c r="B200" s="51" t="s">
        <v>165</v>
      </c>
      <c r="C200" s="11" t="s">
        <v>169</v>
      </c>
      <c r="D200" s="39">
        <v>0</v>
      </c>
      <c r="E200" s="39">
        <v>0</v>
      </c>
      <c r="F200" s="48"/>
      <c r="G200" s="48"/>
      <c r="H200" s="70"/>
    </row>
    <row r="201" spans="1:9" x14ac:dyDescent="0.35">
      <c r="A201" s="16">
        <v>45937</v>
      </c>
      <c r="B201" s="11" t="s">
        <v>166</v>
      </c>
      <c r="C201" s="11" t="s">
        <v>169</v>
      </c>
      <c r="D201" s="39">
        <v>0</v>
      </c>
      <c r="E201" s="39">
        <v>0</v>
      </c>
      <c r="F201" s="48"/>
      <c r="G201" s="48"/>
      <c r="H201" s="70"/>
    </row>
    <row r="202" spans="1:9" x14ac:dyDescent="0.35">
      <c r="A202" s="16">
        <v>45937</v>
      </c>
      <c r="B202" s="11" t="s">
        <v>167</v>
      </c>
      <c r="C202" s="11" t="s">
        <v>169</v>
      </c>
      <c r="D202" s="39">
        <v>0</v>
      </c>
      <c r="E202" s="39">
        <v>0</v>
      </c>
      <c r="F202" s="48"/>
      <c r="G202" s="48"/>
      <c r="H202" s="70"/>
    </row>
    <row r="203" spans="1:9" x14ac:dyDescent="0.35">
      <c r="A203" s="16">
        <v>45937</v>
      </c>
      <c r="B203" s="11" t="s">
        <v>168</v>
      </c>
      <c r="C203" s="11" t="s">
        <v>169</v>
      </c>
      <c r="D203" s="39">
        <v>0</v>
      </c>
      <c r="E203" s="39">
        <v>0</v>
      </c>
      <c r="F203" s="48"/>
      <c r="G203" s="48"/>
      <c r="H203" s="70"/>
    </row>
    <row r="204" spans="1:9" x14ac:dyDescent="0.35">
      <c r="A204" s="16">
        <v>45937</v>
      </c>
      <c r="B204" s="11" t="s">
        <v>87</v>
      </c>
      <c r="C204" s="11" t="s">
        <v>169</v>
      </c>
      <c r="D204" s="39">
        <v>194</v>
      </c>
      <c r="E204" s="39">
        <v>0</v>
      </c>
      <c r="F204" s="48"/>
      <c r="G204" s="48"/>
      <c r="H204" s="70"/>
    </row>
    <row r="205" spans="1:9" x14ac:dyDescent="0.35">
      <c r="A205" s="16">
        <v>45948</v>
      </c>
      <c r="B205" s="11" t="s">
        <v>6</v>
      </c>
      <c r="C205" s="11" t="s">
        <v>170</v>
      </c>
      <c r="D205" s="39">
        <v>0</v>
      </c>
      <c r="E205" s="39">
        <v>42304</v>
      </c>
      <c r="F205" s="48">
        <f>_xlfn.XLOOKUP(C205,TDS!$C:$C,TDS!$D:$D,0,0)</f>
        <v>717</v>
      </c>
      <c r="G205" s="52">
        <f>F205/E205</f>
        <v>1.6948751891074129E-2</v>
      </c>
      <c r="H205" s="86">
        <f>_xlfn.XLOOKUP(C205,'Invoice no ref in cutomer books'!$L:$L,'Invoice no ref in cutomer books'!$D:$D,,0)</f>
        <v>256779418512</v>
      </c>
      <c r="I205">
        <f>_xlfn.XLOOKUP(H205,'Ascendus Data'!$L:$L,'Ascendus Data'!$T:$T,,0)</f>
        <v>42303.35</v>
      </c>
    </row>
    <row r="206" spans="1:9" x14ac:dyDescent="0.35">
      <c r="A206" s="50">
        <v>45948</v>
      </c>
      <c r="B206" s="51" t="s">
        <v>171</v>
      </c>
      <c r="C206" s="11" t="s">
        <v>170</v>
      </c>
      <c r="D206" s="39">
        <v>0</v>
      </c>
      <c r="E206" s="39">
        <v>0</v>
      </c>
      <c r="F206" s="48"/>
      <c r="G206" s="48"/>
      <c r="H206" s="70"/>
    </row>
    <row r="207" spans="1:9" x14ac:dyDescent="0.35">
      <c r="A207" s="16">
        <v>45948</v>
      </c>
      <c r="B207" s="11" t="s">
        <v>172</v>
      </c>
      <c r="C207" s="11" t="s">
        <v>170</v>
      </c>
      <c r="D207" s="39">
        <v>0</v>
      </c>
      <c r="E207" s="39">
        <v>0</v>
      </c>
      <c r="F207" s="48"/>
      <c r="G207" s="48"/>
      <c r="H207" s="70"/>
    </row>
    <row r="208" spans="1:9" x14ac:dyDescent="0.35">
      <c r="A208" s="16">
        <v>45948</v>
      </c>
      <c r="B208" s="11" t="s">
        <v>173</v>
      </c>
      <c r="C208" s="11" t="s">
        <v>170</v>
      </c>
      <c r="D208" s="39">
        <v>0</v>
      </c>
      <c r="E208" s="39">
        <v>0</v>
      </c>
      <c r="F208" s="48"/>
      <c r="G208" s="48"/>
      <c r="H208" s="70"/>
    </row>
    <row r="209" spans="1:9" x14ac:dyDescent="0.35">
      <c r="A209" s="16">
        <v>45948</v>
      </c>
      <c r="B209" s="11" t="s">
        <v>174</v>
      </c>
      <c r="C209" s="11" t="s">
        <v>170</v>
      </c>
      <c r="D209" s="39">
        <v>0</v>
      </c>
      <c r="E209" s="39">
        <v>0</v>
      </c>
      <c r="F209" s="48"/>
      <c r="G209" s="48"/>
      <c r="H209" s="70"/>
    </row>
    <row r="210" spans="1:9" x14ac:dyDescent="0.35">
      <c r="A210" s="16">
        <v>45948</v>
      </c>
      <c r="B210" s="11" t="s">
        <v>175</v>
      </c>
      <c r="C210" s="11" t="s">
        <v>170</v>
      </c>
      <c r="D210" s="39">
        <v>0</v>
      </c>
      <c r="E210" s="39">
        <v>0</v>
      </c>
      <c r="F210" s="48"/>
      <c r="G210" s="48"/>
      <c r="H210" s="70"/>
    </row>
    <row r="211" spans="1:9" x14ac:dyDescent="0.35">
      <c r="A211" s="16">
        <v>45948</v>
      </c>
      <c r="B211" s="11" t="s">
        <v>176</v>
      </c>
      <c r="C211" s="11" t="s">
        <v>170</v>
      </c>
      <c r="D211" s="39">
        <v>0</v>
      </c>
      <c r="E211" s="39">
        <v>0</v>
      </c>
      <c r="F211" s="48"/>
      <c r="G211" s="48"/>
      <c r="H211" s="70"/>
    </row>
    <row r="212" spans="1:9" x14ac:dyDescent="0.35">
      <c r="A212" s="16">
        <v>45948</v>
      </c>
      <c r="B212" s="11" t="s">
        <v>87</v>
      </c>
      <c r="C212" s="11" t="s">
        <v>170</v>
      </c>
      <c r="D212" s="39">
        <v>717</v>
      </c>
      <c r="E212" s="39">
        <v>0</v>
      </c>
      <c r="F212" s="48"/>
      <c r="G212" s="48"/>
      <c r="H212" s="70"/>
    </row>
    <row r="213" spans="1:9" x14ac:dyDescent="0.35">
      <c r="A213" s="16">
        <v>45950</v>
      </c>
      <c r="B213" s="11" t="s">
        <v>6</v>
      </c>
      <c r="C213" s="11" t="s">
        <v>177</v>
      </c>
      <c r="D213" s="39">
        <v>0</v>
      </c>
      <c r="E213" s="39">
        <v>3434</v>
      </c>
      <c r="F213" s="48">
        <f>_xlfn.XLOOKUP(C213,TDS!$C:$C,TDS!$D:$D,0,0)</f>
        <v>58</v>
      </c>
      <c r="G213" s="52">
        <f>F213/E213</f>
        <v>1.6889924286546301E-2</v>
      </c>
      <c r="H213" s="86">
        <f>_xlfn.XLOOKUP(C213,'Customer Payments'!$C:$C,'Customer Payments'!$D:$D,,0)</f>
        <v>256779418643</v>
      </c>
      <c r="I213">
        <f>_xlfn.XLOOKUP(H213,'Ascendus Data'!$L:$L,'Ascendus Data'!$T:$T,,0)</f>
        <v>3434.15</v>
      </c>
    </row>
    <row r="214" spans="1:9" x14ac:dyDescent="0.35">
      <c r="A214" s="50">
        <v>45950</v>
      </c>
      <c r="B214" s="51" t="s">
        <v>178</v>
      </c>
      <c r="C214" s="11" t="s">
        <v>177</v>
      </c>
      <c r="D214" s="39">
        <v>0</v>
      </c>
      <c r="E214" s="39">
        <v>0</v>
      </c>
      <c r="F214" s="48"/>
      <c r="G214" s="48"/>
      <c r="H214" s="70"/>
    </row>
    <row r="215" spans="1:9" x14ac:dyDescent="0.35">
      <c r="A215" s="16">
        <v>45950</v>
      </c>
      <c r="B215" s="11" t="s">
        <v>179</v>
      </c>
      <c r="C215" s="11" t="s">
        <v>177</v>
      </c>
      <c r="D215" s="39">
        <v>0</v>
      </c>
      <c r="E215" s="39">
        <v>0</v>
      </c>
      <c r="F215" s="48"/>
      <c r="G215" s="48"/>
      <c r="H215" s="70"/>
    </row>
    <row r="216" spans="1:9" x14ac:dyDescent="0.35">
      <c r="A216" s="16">
        <v>45950</v>
      </c>
      <c r="B216" s="11" t="s">
        <v>180</v>
      </c>
      <c r="C216" s="11" t="s">
        <v>177</v>
      </c>
      <c r="D216" s="39">
        <v>0</v>
      </c>
      <c r="E216" s="39">
        <v>0</v>
      </c>
      <c r="F216" s="48"/>
      <c r="G216" s="48"/>
      <c r="H216" s="70"/>
    </row>
    <row r="217" spans="1:9" x14ac:dyDescent="0.35">
      <c r="A217" s="16">
        <v>45950</v>
      </c>
      <c r="B217" s="11" t="s">
        <v>181</v>
      </c>
      <c r="C217" s="11" t="s">
        <v>177</v>
      </c>
      <c r="D217" s="39">
        <v>0</v>
      </c>
      <c r="E217" s="39">
        <v>0</v>
      </c>
      <c r="F217" s="48"/>
      <c r="G217" s="48"/>
      <c r="H217" s="70"/>
    </row>
    <row r="218" spans="1:9" x14ac:dyDescent="0.35">
      <c r="A218" s="16">
        <v>45950</v>
      </c>
      <c r="B218" s="11" t="s">
        <v>87</v>
      </c>
      <c r="C218" s="11" t="s">
        <v>177</v>
      </c>
      <c r="D218" s="39">
        <v>58</v>
      </c>
      <c r="E218" s="39">
        <v>0</v>
      </c>
      <c r="F218" s="48"/>
      <c r="G218" s="48"/>
      <c r="H218" s="70"/>
    </row>
    <row r="219" spans="1:9" x14ac:dyDescent="0.35">
      <c r="A219" s="16">
        <v>45966</v>
      </c>
      <c r="B219" s="11" t="s">
        <v>6</v>
      </c>
      <c r="C219" s="11" t="s">
        <v>182</v>
      </c>
      <c r="D219" s="39">
        <v>0</v>
      </c>
      <c r="E219" s="39">
        <v>234.21</v>
      </c>
      <c r="F219" s="48">
        <f>_xlfn.XLOOKUP(C219,TDS!$C:$C,TDS!$D:$D,0,0)</f>
        <v>0</v>
      </c>
      <c r="G219" s="52">
        <f>F219/E219</f>
        <v>0</v>
      </c>
      <c r="H219" s="86">
        <f>_xlfn.XLOOKUP(C219,'Customer Payments'!$C:$C,'Customer Payments'!$D:$D,,0)</f>
        <v>256779418846</v>
      </c>
      <c r="I219">
        <f>_xlfn.XLOOKUP(H219,'Ascendus Data'!$L:$L,'Ascendus Data'!$T:$T,,0)</f>
        <v>234.09</v>
      </c>
    </row>
    <row r="220" spans="1:9" x14ac:dyDescent="0.35">
      <c r="A220" s="50">
        <v>45966</v>
      </c>
      <c r="B220" s="51" t="s">
        <v>183</v>
      </c>
      <c r="C220" s="11" t="s">
        <v>182</v>
      </c>
      <c r="D220" s="39">
        <v>0</v>
      </c>
      <c r="E220" s="39">
        <v>0</v>
      </c>
      <c r="F220" s="48"/>
      <c r="G220" s="48"/>
      <c r="H220" s="70"/>
    </row>
    <row r="221" spans="1:9" x14ac:dyDescent="0.35">
      <c r="A221" s="16">
        <v>45966</v>
      </c>
      <c r="B221" s="11" t="s">
        <v>184</v>
      </c>
      <c r="C221" s="11" t="s">
        <v>182</v>
      </c>
      <c r="D221" s="39">
        <v>0</v>
      </c>
      <c r="E221" s="39">
        <v>0</v>
      </c>
      <c r="F221" s="48"/>
      <c r="G221" s="48"/>
      <c r="H221" s="70"/>
    </row>
    <row r="222" spans="1:9" x14ac:dyDescent="0.35">
      <c r="A222" s="16">
        <v>45966</v>
      </c>
      <c r="B222" s="11" t="s">
        <v>6</v>
      </c>
      <c r="C222" s="11" t="s">
        <v>185</v>
      </c>
      <c r="D222" s="39">
        <v>0</v>
      </c>
      <c r="E222" s="39">
        <v>46747.46</v>
      </c>
      <c r="F222" s="48">
        <f>_xlfn.XLOOKUP(C222,TDS!$C:$C,TDS!$D:$D,0,0)</f>
        <v>0</v>
      </c>
      <c r="G222" s="52">
        <f>F222/E222</f>
        <v>0</v>
      </c>
      <c r="H222" s="86">
        <f>_xlfn.XLOOKUP(C222,'Invoice no ref in cutomer books'!$L:$L,'Invoice no ref in cutomer books'!$D:$D,,0)</f>
        <v>256779418961</v>
      </c>
      <c r="I222">
        <f>_xlfn.XLOOKUP(H222,'Ascendus Data'!$L:$L,'Ascendus Data'!$T:$T,,0)</f>
        <v>46747.4</v>
      </c>
    </row>
    <row r="223" spans="1:9" x14ac:dyDescent="0.35">
      <c r="A223" s="50">
        <v>45966</v>
      </c>
      <c r="B223" s="51" t="s">
        <v>186</v>
      </c>
      <c r="C223" s="11" t="s">
        <v>185</v>
      </c>
      <c r="D223" s="39">
        <v>0</v>
      </c>
      <c r="E223" s="39">
        <v>0</v>
      </c>
      <c r="F223" s="48"/>
      <c r="G223" s="48"/>
      <c r="H223" s="70"/>
    </row>
    <row r="224" spans="1:9" x14ac:dyDescent="0.35">
      <c r="A224" s="16">
        <v>45966</v>
      </c>
      <c r="B224" s="11" t="s">
        <v>187</v>
      </c>
      <c r="C224" s="11" t="s">
        <v>185</v>
      </c>
      <c r="D224" s="39">
        <v>0</v>
      </c>
      <c r="E224" s="39">
        <v>0</v>
      </c>
      <c r="F224" s="48"/>
      <c r="G224" s="48"/>
      <c r="H224" s="70"/>
    </row>
    <row r="225" spans="1:9" x14ac:dyDescent="0.35">
      <c r="A225" s="16">
        <v>45978</v>
      </c>
      <c r="B225" s="11" t="s">
        <v>6</v>
      </c>
      <c r="C225" s="11" t="s">
        <v>188</v>
      </c>
      <c r="D225" s="39">
        <v>0</v>
      </c>
      <c r="E225" s="39">
        <v>234.69</v>
      </c>
      <c r="F225" s="48">
        <f>_xlfn.XLOOKUP(C225,TDS!$C:$C,TDS!$D:$D,0,0)</f>
        <v>4.6900000000000004</v>
      </c>
      <c r="G225" s="52">
        <f>F225/E225</f>
        <v>1.9983808428139248E-2</v>
      </c>
      <c r="H225" s="86">
        <f>_xlfn.XLOOKUP(C225,'Customer Payments'!$C:$C,'Customer Payments'!$D:$D,,0)</f>
        <v>256779417464</v>
      </c>
      <c r="I225">
        <f>_xlfn.XLOOKUP(H225,'Ascendus Data'!$L:$L,'Ascendus Data'!$T:$T,,0)</f>
        <v>234.54</v>
      </c>
    </row>
    <row r="226" spans="1:9" x14ac:dyDescent="0.35">
      <c r="A226" s="50">
        <v>45978</v>
      </c>
      <c r="B226" s="51" t="s">
        <v>189</v>
      </c>
      <c r="C226" s="11" t="s">
        <v>188</v>
      </c>
      <c r="D226" s="39">
        <v>0</v>
      </c>
      <c r="E226" s="39">
        <v>0</v>
      </c>
      <c r="F226" s="48"/>
      <c r="G226" s="48"/>
      <c r="H226" s="70"/>
    </row>
    <row r="227" spans="1:9" x14ac:dyDescent="0.35">
      <c r="A227" s="16">
        <v>45978</v>
      </c>
      <c r="B227" s="11" t="s">
        <v>190</v>
      </c>
      <c r="C227" s="11" t="s">
        <v>188</v>
      </c>
      <c r="D227" s="39">
        <v>0</v>
      </c>
      <c r="E227" s="39">
        <v>0</v>
      </c>
      <c r="F227" s="48"/>
      <c r="G227" s="48"/>
      <c r="H227" s="70"/>
    </row>
    <row r="228" spans="1:9" x14ac:dyDescent="0.35">
      <c r="A228" s="16">
        <v>45978</v>
      </c>
      <c r="B228" s="11" t="s">
        <v>191</v>
      </c>
      <c r="C228" s="11" t="s">
        <v>188</v>
      </c>
      <c r="D228" s="39">
        <v>0</v>
      </c>
      <c r="E228" s="39">
        <v>0</v>
      </c>
      <c r="F228" s="48"/>
      <c r="G228" s="48"/>
      <c r="H228" s="70"/>
    </row>
    <row r="229" spans="1:9" x14ac:dyDescent="0.35">
      <c r="A229" s="16">
        <v>45978</v>
      </c>
      <c r="B229" s="11" t="s">
        <v>192</v>
      </c>
      <c r="C229" s="11" t="s">
        <v>188</v>
      </c>
      <c r="D229" s="39">
        <v>0</v>
      </c>
      <c r="E229" s="39">
        <v>0</v>
      </c>
      <c r="F229" s="48"/>
      <c r="G229" s="48"/>
      <c r="H229" s="70"/>
    </row>
    <row r="230" spans="1:9" x14ac:dyDescent="0.35">
      <c r="A230" s="16">
        <v>45978</v>
      </c>
      <c r="B230" s="11" t="s">
        <v>87</v>
      </c>
      <c r="C230" s="11" t="s">
        <v>188</v>
      </c>
      <c r="D230" s="39">
        <v>4.6900000000000004</v>
      </c>
      <c r="E230" s="39">
        <v>0</v>
      </c>
      <c r="F230" s="48"/>
      <c r="G230" s="48"/>
      <c r="H230" s="70"/>
    </row>
    <row r="231" spans="1:9" x14ac:dyDescent="0.35">
      <c r="A231" s="16">
        <v>45979</v>
      </c>
      <c r="B231" s="11" t="s">
        <v>6</v>
      </c>
      <c r="C231" s="11" t="s">
        <v>193</v>
      </c>
      <c r="D231" s="39">
        <v>0</v>
      </c>
      <c r="E231" s="39">
        <v>3302</v>
      </c>
      <c r="F231" s="48">
        <f>_xlfn.XLOOKUP(C231,TDS!$C:$C,TDS!$D:$D,0,0)</f>
        <v>55</v>
      </c>
      <c r="G231" s="52">
        <f>F231/E231</f>
        <v>1.6656571774682011E-2</v>
      </c>
      <c r="H231" s="86">
        <f>_xlfn.XLOOKUP(C231,'Customer Payments'!$C:$C,'Customer Payments'!$D:$D,,0)</f>
        <v>256779419351</v>
      </c>
      <c r="I231">
        <f>_xlfn.XLOOKUP(H231,'Ascendus Data'!$L:$L,'Ascendus Data'!$T:$T,,0)</f>
        <v>3301.89</v>
      </c>
    </row>
    <row r="232" spans="1:9" x14ac:dyDescent="0.35">
      <c r="A232" s="50">
        <v>45979</v>
      </c>
      <c r="B232" s="51" t="s">
        <v>194</v>
      </c>
      <c r="C232" s="11" t="s">
        <v>193</v>
      </c>
      <c r="D232" s="39">
        <v>0</v>
      </c>
      <c r="E232" s="39">
        <v>0</v>
      </c>
      <c r="F232" s="48"/>
      <c r="G232" s="48"/>
      <c r="H232" s="70"/>
    </row>
    <row r="233" spans="1:9" x14ac:dyDescent="0.35">
      <c r="A233" s="16">
        <v>45979</v>
      </c>
      <c r="B233" s="11" t="s">
        <v>195</v>
      </c>
      <c r="C233" s="11" t="s">
        <v>193</v>
      </c>
      <c r="D233" s="39">
        <v>0</v>
      </c>
      <c r="E233" s="39">
        <v>0</v>
      </c>
      <c r="F233" s="48"/>
      <c r="G233" s="48"/>
      <c r="H233" s="70"/>
    </row>
    <row r="234" spans="1:9" x14ac:dyDescent="0.35">
      <c r="A234" s="16">
        <v>45979</v>
      </c>
      <c r="B234" s="11" t="s">
        <v>79</v>
      </c>
      <c r="C234" s="11" t="s">
        <v>193</v>
      </c>
      <c r="D234" s="39">
        <v>0</v>
      </c>
      <c r="E234" s="39">
        <v>0</v>
      </c>
      <c r="F234" s="48"/>
      <c r="G234" s="48"/>
      <c r="H234" s="70"/>
    </row>
    <row r="235" spans="1:9" x14ac:dyDescent="0.35">
      <c r="A235" s="16">
        <v>45979</v>
      </c>
      <c r="B235" s="11" t="s">
        <v>87</v>
      </c>
      <c r="C235" s="11" t="s">
        <v>193</v>
      </c>
      <c r="D235" s="39">
        <v>55</v>
      </c>
      <c r="E235" s="39">
        <v>0</v>
      </c>
      <c r="F235" s="48"/>
      <c r="G235" s="48"/>
      <c r="H235" s="70"/>
    </row>
    <row r="236" spans="1:9" x14ac:dyDescent="0.35">
      <c r="A236" s="16">
        <v>45980</v>
      </c>
      <c r="B236" s="11" t="s">
        <v>6</v>
      </c>
      <c r="C236" s="11" t="s">
        <v>196</v>
      </c>
      <c r="D236" s="39">
        <v>0</v>
      </c>
      <c r="E236" s="39">
        <v>44633</v>
      </c>
      <c r="F236" s="48">
        <f>_xlfn.XLOOKUP(C236,TDS!$C:$C,TDS!$D:$D,0,0)</f>
        <v>756</v>
      </c>
      <c r="G236" s="52">
        <f>F236/E236</f>
        <v>1.693813994129904E-2</v>
      </c>
      <c r="H236" s="86">
        <f>_xlfn.XLOOKUP(C236,'Customer Payments'!$C:$C,'Customer Payments'!$D:$D,,0)</f>
        <v>256779419490</v>
      </c>
      <c r="I236">
        <f>_xlfn.XLOOKUP(H236,'Ascendus Data'!$L:$L,'Ascendus Data'!$T:$T,,0)</f>
        <v>44633.56</v>
      </c>
    </row>
    <row r="237" spans="1:9" x14ac:dyDescent="0.35">
      <c r="A237" s="50">
        <v>45980</v>
      </c>
      <c r="B237" s="51" t="s">
        <v>197</v>
      </c>
      <c r="C237" s="11" t="s">
        <v>196</v>
      </c>
      <c r="D237" s="39">
        <v>0</v>
      </c>
      <c r="E237" s="39">
        <v>0</v>
      </c>
      <c r="F237" s="48"/>
      <c r="G237" s="48"/>
      <c r="H237" s="70"/>
    </row>
    <row r="238" spans="1:9" x14ac:dyDescent="0.35">
      <c r="A238" s="16">
        <v>45980</v>
      </c>
      <c r="B238" s="11" t="s">
        <v>198</v>
      </c>
      <c r="C238" s="11" t="s">
        <v>196</v>
      </c>
      <c r="D238" s="39">
        <v>0</v>
      </c>
      <c r="E238" s="39">
        <v>0</v>
      </c>
      <c r="F238" s="48"/>
      <c r="G238" s="48"/>
      <c r="H238" s="70"/>
    </row>
    <row r="239" spans="1:9" x14ac:dyDescent="0.35">
      <c r="A239" s="16">
        <v>45980</v>
      </c>
      <c r="B239" s="11" t="s">
        <v>199</v>
      </c>
      <c r="C239" s="11" t="s">
        <v>196</v>
      </c>
      <c r="D239" s="39">
        <v>0</v>
      </c>
      <c r="E239" s="39">
        <v>0</v>
      </c>
      <c r="F239" s="48"/>
      <c r="G239" s="48"/>
      <c r="H239" s="70"/>
    </row>
    <row r="240" spans="1:9" x14ac:dyDescent="0.35">
      <c r="A240" s="16">
        <v>45980</v>
      </c>
      <c r="B240" s="11" t="s">
        <v>200</v>
      </c>
      <c r="C240" s="11" t="s">
        <v>196</v>
      </c>
      <c r="D240" s="39">
        <v>0</v>
      </c>
      <c r="E240" s="39">
        <v>0</v>
      </c>
      <c r="F240" s="48"/>
      <c r="G240" s="48"/>
      <c r="H240" s="70"/>
    </row>
    <row r="241" spans="1:9" x14ac:dyDescent="0.35">
      <c r="A241" s="16">
        <v>45980</v>
      </c>
      <c r="B241" s="11" t="s">
        <v>201</v>
      </c>
      <c r="C241" s="11" t="s">
        <v>196</v>
      </c>
      <c r="D241" s="39">
        <v>0</v>
      </c>
      <c r="E241" s="39">
        <v>0</v>
      </c>
      <c r="F241" s="48"/>
      <c r="G241" s="48"/>
      <c r="H241" s="70"/>
    </row>
    <row r="242" spans="1:9" x14ac:dyDescent="0.35">
      <c r="A242" s="16">
        <v>45980</v>
      </c>
      <c r="B242" s="11" t="s">
        <v>202</v>
      </c>
      <c r="C242" s="11" t="s">
        <v>196</v>
      </c>
      <c r="D242" s="39">
        <v>0</v>
      </c>
      <c r="E242" s="39">
        <v>0</v>
      </c>
      <c r="F242" s="48"/>
      <c r="G242" s="48"/>
      <c r="H242" s="70"/>
    </row>
    <row r="243" spans="1:9" x14ac:dyDescent="0.35">
      <c r="A243" s="16">
        <v>45980</v>
      </c>
      <c r="B243" s="11" t="s">
        <v>79</v>
      </c>
      <c r="C243" s="11" t="s">
        <v>196</v>
      </c>
      <c r="D243" s="39">
        <v>0</v>
      </c>
      <c r="E243" s="39">
        <v>0</v>
      </c>
      <c r="F243" s="48"/>
      <c r="G243" s="48"/>
      <c r="H243" s="70"/>
    </row>
    <row r="244" spans="1:9" x14ac:dyDescent="0.35">
      <c r="A244" s="16">
        <v>45980</v>
      </c>
      <c r="B244" s="11" t="s">
        <v>87</v>
      </c>
      <c r="C244" s="11" t="s">
        <v>196</v>
      </c>
      <c r="D244" s="39">
        <v>756</v>
      </c>
      <c r="E244" s="39">
        <v>0</v>
      </c>
      <c r="F244" s="48"/>
      <c r="G244" s="48"/>
      <c r="H244" s="70"/>
    </row>
    <row r="245" spans="1:9" x14ac:dyDescent="0.35">
      <c r="A245" s="16">
        <v>45981</v>
      </c>
      <c r="B245" s="11" t="s">
        <v>6</v>
      </c>
      <c r="C245" s="11" t="s">
        <v>203</v>
      </c>
      <c r="D245" s="39">
        <v>0</v>
      </c>
      <c r="E245" s="39">
        <v>3511.22</v>
      </c>
      <c r="F245" s="48">
        <f>_xlfn.XLOOKUP(C245,TDS!$C:$C,TDS!$D:$D,0,0)</f>
        <v>70.22</v>
      </c>
      <c r="G245" s="52">
        <f>F245/E245</f>
        <v>1.9998746874305799E-2</v>
      </c>
      <c r="H245" s="86">
        <f>_xlfn.XLOOKUP(C245,'Customer Payments'!$C:$C,'Customer Payments'!$D:$D,,0)</f>
        <v>256779419447</v>
      </c>
      <c r="I245">
        <f>_xlfn.XLOOKUP(H245,'Ascendus Data'!$L:$L,'Ascendus Data'!$T:$T,,0)</f>
        <v>3511.34</v>
      </c>
    </row>
    <row r="246" spans="1:9" x14ac:dyDescent="0.35">
      <c r="A246" s="50">
        <v>45981</v>
      </c>
      <c r="B246" s="51" t="s">
        <v>204</v>
      </c>
      <c r="C246" s="11" t="s">
        <v>203</v>
      </c>
      <c r="D246" s="39">
        <v>0</v>
      </c>
      <c r="E246" s="39">
        <v>0</v>
      </c>
      <c r="F246" s="48"/>
      <c r="G246" s="48"/>
      <c r="H246" s="70"/>
    </row>
    <row r="247" spans="1:9" x14ac:dyDescent="0.35">
      <c r="A247" s="16">
        <v>45981</v>
      </c>
      <c r="B247" s="11" t="s">
        <v>205</v>
      </c>
      <c r="C247" s="11" t="s">
        <v>203</v>
      </c>
      <c r="D247" s="39">
        <v>0</v>
      </c>
      <c r="E247" s="39">
        <v>0</v>
      </c>
      <c r="F247" s="48"/>
      <c r="G247" s="48"/>
      <c r="H247" s="70"/>
    </row>
    <row r="248" spans="1:9" x14ac:dyDescent="0.35">
      <c r="A248" s="16">
        <v>45981</v>
      </c>
      <c r="B248" s="11" t="s">
        <v>206</v>
      </c>
      <c r="C248" s="11" t="s">
        <v>203</v>
      </c>
      <c r="D248" s="39">
        <v>0</v>
      </c>
      <c r="E248" s="39">
        <v>0</v>
      </c>
      <c r="F248" s="48"/>
      <c r="G248" s="48"/>
      <c r="H248" s="70"/>
    </row>
    <row r="249" spans="1:9" x14ac:dyDescent="0.35">
      <c r="A249" s="16">
        <v>45981</v>
      </c>
      <c r="B249" s="11" t="s">
        <v>207</v>
      </c>
      <c r="C249" s="11" t="s">
        <v>203</v>
      </c>
      <c r="D249" s="39">
        <v>0</v>
      </c>
      <c r="E249" s="39">
        <v>0</v>
      </c>
      <c r="F249" s="48"/>
      <c r="G249" s="48"/>
      <c r="H249" s="70"/>
    </row>
    <row r="250" spans="1:9" x14ac:dyDescent="0.35">
      <c r="A250" s="16">
        <v>45981</v>
      </c>
      <c r="B250" s="11" t="s">
        <v>87</v>
      </c>
      <c r="C250" s="11" t="s">
        <v>203</v>
      </c>
      <c r="D250" s="39">
        <v>70.22</v>
      </c>
      <c r="E250" s="39">
        <v>0</v>
      </c>
      <c r="F250" s="48"/>
      <c r="G250" s="48"/>
      <c r="H250" s="70"/>
    </row>
    <row r="251" spans="1:9" x14ac:dyDescent="0.35">
      <c r="A251" s="16">
        <v>45981</v>
      </c>
      <c r="B251" s="11" t="s">
        <v>6</v>
      </c>
      <c r="C251" s="11" t="s">
        <v>208</v>
      </c>
      <c r="D251" s="39">
        <v>0</v>
      </c>
      <c r="E251" s="39">
        <v>13227</v>
      </c>
      <c r="F251" s="48">
        <f>_xlfn.XLOOKUP(C251,TDS!$C:$C,TDS!$D:$D,0,0)</f>
        <v>224</v>
      </c>
      <c r="G251" s="52">
        <f>F251/E251</f>
        <v>1.6935057080214713E-2</v>
      </c>
      <c r="H251" s="86">
        <f>_xlfn.XLOOKUP(C251,'Customer Payments'!$C:$C,'Customer Payments'!$D:$D,,0)</f>
        <v>256779419526</v>
      </c>
      <c r="I251">
        <f>_xlfn.XLOOKUP(H251,'Ascendus Data'!$L:$L,'Ascendus Data'!$T:$T,,0)</f>
        <v>13226.03</v>
      </c>
    </row>
    <row r="252" spans="1:9" x14ac:dyDescent="0.35">
      <c r="A252" s="50">
        <v>45981</v>
      </c>
      <c r="B252" s="51" t="s">
        <v>209</v>
      </c>
      <c r="C252" s="11" t="s">
        <v>208</v>
      </c>
      <c r="D252" s="39">
        <v>0</v>
      </c>
      <c r="E252" s="39">
        <v>0</v>
      </c>
      <c r="F252" s="48"/>
      <c r="G252" s="48"/>
      <c r="H252" s="70"/>
    </row>
    <row r="253" spans="1:9" x14ac:dyDescent="0.35">
      <c r="A253" s="16">
        <v>45981</v>
      </c>
      <c r="B253" s="11" t="s">
        <v>210</v>
      </c>
      <c r="C253" s="11" t="s">
        <v>208</v>
      </c>
      <c r="D253" s="39">
        <v>0</v>
      </c>
      <c r="E253" s="39">
        <v>0</v>
      </c>
      <c r="F253" s="48"/>
      <c r="G253" s="48"/>
      <c r="H253" s="70"/>
    </row>
    <row r="254" spans="1:9" x14ac:dyDescent="0.35">
      <c r="A254" s="16">
        <v>45981</v>
      </c>
      <c r="B254" s="11" t="s">
        <v>211</v>
      </c>
      <c r="C254" s="11" t="s">
        <v>208</v>
      </c>
      <c r="D254" s="39">
        <v>0</v>
      </c>
      <c r="E254" s="39">
        <v>0</v>
      </c>
      <c r="F254" s="48"/>
      <c r="G254" s="48"/>
      <c r="H254" s="70"/>
    </row>
    <row r="255" spans="1:9" x14ac:dyDescent="0.35">
      <c r="A255" s="16">
        <v>45981</v>
      </c>
      <c r="B255" s="11" t="s">
        <v>87</v>
      </c>
      <c r="C255" s="11" t="s">
        <v>208</v>
      </c>
      <c r="D255" s="39">
        <v>224</v>
      </c>
      <c r="E255" s="39">
        <v>0</v>
      </c>
      <c r="F255" s="48"/>
      <c r="G255" s="48"/>
      <c r="H255" s="70"/>
    </row>
    <row r="256" spans="1:9" x14ac:dyDescent="0.35">
      <c r="A256" s="16">
        <v>45981</v>
      </c>
      <c r="B256" s="11" t="s">
        <v>6</v>
      </c>
      <c r="C256" s="11" t="s">
        <v>212</v>
      </c>
      <c r="D256" s="39">
        <v>0</v>
      </c>
      <c r="E256" s="39">
        <v>3699</v>
      </c>
      <c r="F256" s="48">
        <f>_xlfn.XLOOKUP(C256,TDS!$C:$C,TDS!$D:$D,0,0)</f>
        <v>62</v>
      </c>
      <c r="G256" s="52">
        <f>F256/E256</f>
        <v>1.6761286834279535E-2</v>
      </c>
      <c r="H256" s="86">
        <f>_xlfn.XLOOKUP(C256,'Customer Payments'!$C:$C,'Customer Payments'!$D:$D,,0)</f>
        <v>256779419571</v>
      </c>
      <c r="I256">
        <f>_xlfn.XLOOKUP(H256,'Ascendus Data'!$L:$L,'Ascendus Data'!$T:$T,,0)</f>
        <v>3698.78</v>
      </c>
    </row>
    <row r="257" spans="1:9" x14ac:dyDescent="0.35">
      <c r="A257" s="50">
        <v>45981</v>
      </c>
      <c r="B257" s="51" t="s">
        <v>213</v>
      </c>
      <c r="C257" s="11" t="s">
        <v>212</v>
      </c>
      <c r="D257" s="39">
        <v>0</v>
      </c>
      <c r="E257" s="39">
        <v>0</v>
      </c>
      <c r="F257" s="48"/>
      <c r="G257" s="48"/>
      <c r="H257" s="70"/>
    </row>
    <row r="258" spans="1:9" x14ac:dyDescent="0.35">
      <c r="A258" s="16">
        <v>45981</v>
      </c>
      <c r="B258" s="11" t="s">
        <v>214</v>
      </c>
      <c r="C258" s="11" t="s">
        <v>212</v>
      </c>
      <c r="D258" s="39">
        <v>0</v>
      </c>
      <c r="E258" s="39">
        <v>0</v>
      </c>
      <c r="F258" s="48"/>
      <c r="G258" s="48"/>
      <c r="H258" s="70"/>
    </row>
    <row r="259" spans="1:9" x14ac:dyDescent="0.35">
      <c r="A259" s="16">
        <v>45981</v>
      </c>
      <c r="B259" s="11" t="s">
        <v>215</v>
      </c>
      <c r="C259" s="11" t="s">
        <v>212</v>
      </c>
      <c r="D259" s="39">
        <v>0</v>
      </c>
      <c r="E259" s="39">
        <v>0</v>
      </c>
      <c r="F259" s="48"/>
      <c r="G259" s="48"/>
      <c r="H259" s="70"/>
    </row>
    <row r="260" spans="1:9" x14ac:dyDescent="0.35">
      <c r="A260" s="16">
        <v>45981</v>
      </c>
      <c r="B260" s="11" t="s">
        <v>87</v>
      </c>
      <c r="C260" s="11" t="s">
        <v>212</v>
      </c>
      <c r="D260" s="39">
        <v>62</v>
      </c>
      <c r="E260" s="39">
        <v>0</v>
      </c>
      <c r="F260" s="48"/>
      <c r="G260" s="48"/>
      <c r="H260" s="70"/>
    </row>
    <row r="261" spans="1:9" x14ac:dyDescent="0.35">
      <c r="A261" s="16">
        <v>45981</v>
      </c>
      <c r="B261" s="11" t="s">
        <v>6</v>
      </c>
      <c r="C261" s="11" t="s">
        <v>216</v>
      </c>
      <c r="D261" s="39">
        <v>0</v>
      </c>
      <c r="E261" s="39">
        <v>870</v>
      </c>
      <c r="F261" s="48">
        <f>_xlfn.XLOOKUP(C261,TDS!$C:$C,TDS!$D:$D,0,0)</f>
        <v>14</v>
      </c>
      <c r="G261" s="52">
        <f>F261/E261</f>
        <v>1.6091954022988506E-2</v>
      </c>
      <c r="H261" s="86">
        <f>_xlfn.XLOOKUP(C261,'Customer Payments'!$C:$C,'Customer Payments'!$D:$D,,0)</f>
        <v>256779419609</v>
      </c>
      <c r="I261">
        <f>_xlfn.XLOOKUP(H261,'Ascendus Data'!$L:$L,'Ascendus Data'!$T:$T,,0)</f>
        <v>870.35</v>
      </c>
    </row>
    <row r="262" spans="1:9" x14ac:dyDescent="0.35">
      <c r="A262" s="50">
        <v>45981</v>
      </c>
      <c r="B262" s="51" t="s">
        <v>217</v>
      </c>
      <c r="C262" s="11" t="s">
        <v>216</v>
      </c>
      <c r="D262" s="39">
        <v>0</v>
      </c>
      <c r="E262" s="39">
        <v>0</v>
      </c>
      <c r="F262" s="48"/>
      <c r="G262" s="48"/>
      <c r="H262" s="70"/>
    </row>
    <row r="263" spans="1:9" x14ac:dyDescent="0.35">
      <c r="A263" s="16">
        <v>45981</v>
      </c>
      <c r="B263" s="11" t="s">
        <v>218</v>
      </c>
      <c r="C263" s="11" t="s">
        <v>216</v>
      </c>
      <c r="D263" s="39">
        <v>0</v>
      </c>
      <c r="E263" s="39">
        <v>0</v>
      </c>
      <c r="F263" s="48"/>
      <c r="G263" s="48"/>
      <c r="H263" s="70"/>
    </row>
    <row r="264" spans="1:9" x14ac:dyDescent="0.35">
      <c r="A264" s="16">
        <v>45981</v>
      </c>
      <c r="B264" s="11" t="s">
        <v>219</v>
      </c>
      <c r="C264" s="11" t="s">
        <v>216</v>
      </c>
      <c r="D264" s="39">
        <v>0</v>
      </c>
      <c r="E264" s="39">
        <v>0</v>
      </c>
      <c r="F264" s="48"/>
      <c r="G264" s="48"/>
      <c r="H264" s="70"/>
    </row>
    <row r="265" spans="1:9" x14ac:dyDescent="0.35">
      <c r="A265" s="16">
        <v>45981</v>
      </c>
      <c r="B265" s="11" t="s">
        <v>87</v>
      </c>
      <c r="C265" s="11" t="s">
        <v>216</v>
      </c>
      <c r="D265" s="39">
        <v>14</v>
      </c>
      <c r="E265" s="39">
        <v>0</v>
      </c>
      <c r="F265" s="48"/>
      <c r="G265" s="48"/>
      <c r="H265" s="70"/>
    </row>
    <row r="266" spans="1:9" x14ac:dyDescent="0.35">
      <c r="A266" s="16">
        <v>45990</v>
      </c>
      <c r="B266" s="11" t="s">
        <v>6</v>
      </c>
      <c r="C266" s="11" t="s">
        <v>220</v>
      </c>
      <c r="D266" s="39">
        <v>0</v>
      </c>
      <c r="E266" s="39">
        <v>7066</v>
      </c>
      <c r="F266" s="48">
        <f>_xlfn.XLOOKUP(C266,TDS!$C:$C,TDS!$D:$D,0,0)</f>
        <v>119</v>
      </c>
      <c r="G266" s="52">
        <f>F266/E266</f>
        <v>1.6841211435041043E-2</v>
      </c>
      <c r="H266" s="86">
        <f>_xlfn.XLOOKUP(C266,'Invoice no ref in cutomer books'!$L:$L,'Invoice no ref in cutomer books'!$D:$D,,0)</f>
        <v>256779417544</v>
      </c>
      <c r="I266">
        <f>_xlfn.XLOOKUP(H266,'Ascendus Data'!$L:$L,'Ascendus Data'!$T:$T,,0)</f>
        <v>7066.78</v>
      </c>
    </row>
    <row r="267" spans="1:9" x14ac:dyDescent="0.35">
      <c r="A267" s="50">
        <v>45990</v>
      </c>
      <c r="B267" s="51" t="s">
        <v>221</v>
      </c>
      <c r="C267" s="11" t="s">
        <v>220</v>
      </c>
      <c r="D267" s="39">
        <v>0</v>
      </c>
      <c r="E267" s="39">
        <v>0</v>
      </c>
      <c r="F267" s="48"/>
      <c r="G267" s="48"/>
      <c r="H267" s="70"/>
    </row>
    <row r="268" spans="1:9" x14ac:dyDescent="0.35">
      <c r="A268" s="16">
        <v>45990</v>
      </c>
      <c r="B268" s="11" t="s">
        <v>221</v>
      </c>
      <c r="C268" s="11" t="s">
        <v>220</v>
      </c>
      <c r="D268" s="39">
        <v>0</v>
      </c>
      <c r="E268" s="39">
        <v>0</v>
      </c>
      <c r="F268" s="48"/>
      <c r="G268" s="48"/>
      <c r="H268" s="70"/>
    </row>
    <row r="269" spans="1:9" x14ac:dyDescent="0.35">
      <c r="A269" s="16">
        <v>45990</v>
      </c>
      <c r="B269" s="11" t="s">
        <v>222</v>
      </c>
      <c r="C269" s="11" t="s">
        <v>220</v>
      </c>
      <c r="D269" s="39">
        <v>0</v>
      </c>
      <c r="E269" s="39">
        <v>0</v>
      </c>
      <c r="F269" s="48"/>
      <c r="G269" s="48"/>
      <c r="H269" s="70"/>
    </row>
    <row r="270" spans="1:9" x14ac:dyDescent="0.35">
      <c r="A270" s="16">
        <v>45990</v>
      </c>
      <c r="B270" s="11" t="s">
        <v>222</v>
      </c>
      <c r="C270" s="11" t="s">
        <v>220</v>
      </c>
      <c r="D270" s="39">
        <v>0</v>
      </c>
      <c r="E270" s="39">
        <v>0</v>
      </c>
      <c r="F270" s="48"/>
      <c r="G270" s="48"/>
      <c r="H270" s="70"/>
    </row>
    <row r="271" spans="1:9" x14ac:dyDescent="0.35">
      <c r="A271" s="16">
        <v>45990</v>
      </c>
      <c r="B271" s="11" t="s">
        <v>223</v>
      </c>
      <c r="C271" s="11" t="s">
        <v>220</v>
      </c>
      <c r="D271" s="39">
        <v>0</v>
      </c>
      <c r="E271" s="39">
        <v>0</v>
      </c>
      <c r="F271" s="48"/>
      <c r="G271" s="48"/>
      <c r="H271" s="70"/>
    </row>
    <row r="272" spans="1:9" x14ac:dyDescent="0.35">
      <c r="A272" s="16">
        <v>45990</v>
      </c>
      <c r="B272" s="11" t="s">
        <v>224</v>
      </c>
      <c r="C272" s="11" t="s">
        <v>220</v>
      </c>
      <c r="D272" s="39">
        <v>0</v>
      </c>
      <c r="E272" s="39">
        <v>0</v>
      </c>
      <c r="F272" s="48"/>
      <c r="G272" s="48"/>
      <c r="H272" s="70"/>
    </row>
    <row r="273" spans="1:9" x14ac:dyDescent="0.35">
      <c r="A273" s="16">
        <v>45990</v>
      </c>
      <c r="B273" s="11" t="s">
        <v>61</v>
      </c>
      <c r="C273" s="11" t="s">
        <v>220</v>
      </c>
      <c r="D273" s="39">
        <v>0</v>
      </c>
      <c r="E273" s="39">
        <v>0</v>
      </c>
      <c r="F273" s="48"/>
      <c r="G273" s="48"/>
      <c r="H273" s="70"/>
    </row>
    <row r="274" spans="1:9" x14ac:dyDescent="0.35">
      <c r="A274" s="16">
        <v>45990</v>
      </c>
      <c r="B274" s="11" t="s">
        <v>87</v>
      </c>
      <c r="C274" s="11" t="s">
        <v>220</v>
      </c>
      <c r="D274" s="39">
        <v>119</v>
      </c>
      <c r="E274" s="39">
        <v>0</v>
      </c>
      <c r="F274" s="48"/>
      <c r="G274" s="48"/>
      <c r="H274" s="70"/>
    </row>
    <row r="275" spans="1:9" x14ac:dyDescent="0.35">
      <c r="A275" s="16">
        <v>45990</v>
      </c>
      <c r="B275" s="11" t="s">
        <v>6</v>
      </c>
      <c r="C275" s="11" t="s">
        <v>225</v>
      </c>
      <c r="D275" s="39">
        <v>0</v>
      </c>
      <c r="E275" s="39">
        <v>124079</v>
      </c>
      <c r="F275" s="48">
        <f>_xlfn.XLOOKUP(C275,TDS!$C:$C,TDS!$D:$D,0,0)</f>
        <v>2103</v>
      </c>
      <c r="G275" s="52">
        <f>F275/E275</f>
        <v>1.6948879342999219E-2</v>
      </c>
      <c r="H275" s="86">
        <f>_xlfn.XLOOKUP(C275,'Invoice no ref in cutomer books'!$L:$L,'Invoice no ref in cutomer books'!$D:$D,,0)</f>
        <v>256779417623</v>
      </c>
      <c r="I275">
        <f>_xlfn.XLOOKUP(H275,'Ascendus Data'!$L:$L,'Ascendus Data'!$T:$T,,0)</f>
        <v>124079.57</v>
      </c>
    </row>
    <row r="276" spans="1:9" x14ac:dyDescent="0.35">
      <c r="A276" s="50">
        <v>45990</v>
      </c>
      <c r="B276" s="51" t="s">
        <v>226</v>
      </c>
      <c r="C276" s="11" t="s">
        <v>225</v>
      </c>
      <c r="D276" s="39">
        <v>0</v>
      </c>
      <c r="E276" s="39">
        <v>0</v>
      </c>
      <c r="F276" s="48"/>
      <c r="G276" s="48"/>
      <c r="H276" s="70"/>
    </row>
    <row r="277" spans="1:9" x14ac:dyDescent="0.35">
      <c r="A277" s="16">
        <v>45990</v>
      </c>
      <c r="B277" s="11" t="s">
        <v>227</v>
      </c>
      <c r="C277" s="11" t="s">
        <v>225</v>
      </c>
      <c r="D277" s="39">
        <v>0</v>
      </c>
      <c r="E277" s="39">
        <v>0</v>
      </c>
      <c r="F277" s="48"/>
      <c r="G277" s="48"/>
      <c r="H277" s="70"/>
    </row>
    <row r="278" spans="1:9" x14ac:dyDescent="0.35">
      <c r="A278" s="16">
        <v>45990</v>
      </c>
      <c r="B278" s="11" t="s">
        <v>228</v>
      </c>
      <c r="C278" s="11" t="s">
        <v>225</v>
      </c>
      <c r="D278" s="39">
        <v>0</v>
      </c>
      <c r="E278" s="39">
        <v>0</v>
      </c>
      <c r="F278" s="48"/>
      <c r="G278" s="48"/>
      <c r="H278" s="70"/>
    </row>
    <row r="279" spans="1:9" x14ac:dyDescent="0.35">
      <c r="A279" s="16">
        <v>45990</v>
      </c>
      <c r="B279" s="11" t="s">
        <v>229</v>
      </c>
      <c r="C279" s="11" t="s">
        <v>225</v>
      </c>
      <c r="D279" s="39">
        <v>0</v>
      </c>
      <c r="E279" s="39">
        <v>0</v>
      </c>
      <c r="F279" s="48"/>
      <c r="G279" s="48"/>
      <c r="H279" s="70"/>
    </row>
    <row r="280" spans="1:9" x14ac:dyDescent="0.35">
      <c r="A280" s="16">
        <v>45990</v>
      </c>
      <c r="B280" s="11" t="s">
        <v>230</v>
      </c>
      <c r="C280" s="11" t="s">
        <v>225</v>
      </c>
      <c r="D280" s="39">
        <v>0</v>
      </c>
      <c r="E280" s="39">
        <v>0</v>
      </c>
      <c r="F280" s="48"/>
      <c r="G280" s="48"/>
      <c r="H280" s="70"/>
    </row>
    <row r="281" spans="1:9" x14ac:dyDescent="0.35">
      <c r="A281" s="16">
        <v>45990</v>
      </c>
      <c r="B281" s="11" t="s">
        <v>87</v>
      </c>
      <c r="C281" s="11" t="s">
        <v>225</v>
      </c>
      <c r="D281" s="39">
        <v>2103</v>
      </c>
      <c r="E281" s="39">
        <v>0</v>
      </c>
      <c r="F281" s="48"/>
      <c r="G281" s="48"/>
      <c r="H281" s="70"/>
    </row>
    <row r="282" spans="1:9" x14ac:dyDescent="0.35">
      <c r="A282" s="16">
        <v>45990</v>
      </c>
      <c r="B282" s="11" t="s">
        <v>6</v>
      </c>
      <c r="C282" s="11" t="s">
        <v>231</v>
      </c>
      <c r="D282" s="39">
        <v>0</v>
      </c>
      <c r="E282" s="39">
        <v>7520</v>
      </c>
      <c r="F282" s="48">
        <f>_xlfn.XLOOKUP(C282,TDS!$C:$C,TDS!$D:$D,0,0)</f>
        <v>127</v>
      </c>
      <c r="G282" s="52">
        <f>F282/E282</f>
        <v>1.6888297872340426E-2</v>
      </c>
      <c r="H282" s="86">
        <f>_xlfn.XLOOKUP(C282,'Invoice no ref in cutomer books'!$L:$L,'Invoice no ref in cutomer books'!$D:$D,,0)</f>
        <v>256779417503</v>
      </c>
      <c r="I282">
        <f>_xlfn.XLOOKUP(H282,'Ascendus Data'!$L:$L,'Ascendus Data'!$T:$T,,0)</f>
        <v>7520.11</v>
      </c>
    </row>
    <row r="283" spans="1:9" x14ac:dyDescent="0.35">
      <c r="A283" s="50">
        <v>45990</v>
      </c>
      <c r="B283" s="51" t="s">
        <v>232</v>
      </c>
      <c r="C283" s="11" t="s">
        <v>231</v>
      </c>
      <c r="D283" s="39">
        <v>0</v>
      </c>
      <c r="E283" s="39">
        <v>0</v>
      </c>
      <c r="F283" s="48"/>
      <c r="G283" s="48"/>
      <c r="H283" s="70"/>
    </row>
    <row r="284" spans="1:9" x14ac:dyDescent="0.35">
      <c r="A284" s="16">
        <v>45990</v>
      </c>
      <c r="B284" s="11" t="s">
        <v>232</v>
      </c>
      <c r="C284" s="11" t="s">
        <v>231</v>
      </c>
      <c r="D284" s="39">
        <v>0</v>
      </c>
      <c r="E284" s="39">
        <v>0</v>
      </c>
      <c r="F284" s="48"/>
      <c r="G284" s="48"/>
      <c r="H284" s="70"/>
    </row>
    <row r="285" spans="1:9" x14ac:dyDescent="0.35">
      <c r="A285" s="16">
        <v>45990</v>
      </c>
      <c r="B285" s="11" t="s">
        <v>233</v>
      </c>
      <c r="C285" s="11" t="s">
        <v>231</v>
      </c>
      <c r="D285" s="39">
        <v>0</v>
      </c>
      <c r="E285" s="39">
        <v>0</v>
      </c>
      <c r="F285" s="48"/>
      <c r="G285" s="48"/>
      <c r="H285" s="70"/>
    </row>
    <row r="286" spans="1:9" x14ac:dyDescent="0.35">
      <c r="A286" s="16">
        <v>45990</v>
      </c>
      <c r="B286" s="11" t="s">
        <v>234</v>
      </c>
      <c r="C286" s="11" t="s">
        <v>231</v>
      </c>
      <c r="D286" s="39">
        <v>0</v>
      </c>
      <c r="E286" s="39">
        <v>0</v>
      </c>
      <c r="F286" s="48"/>
      <c r="G286" s="48"/>
      <c r="H286" s="70"/>
    </row>
    <row r="287" spans="1:9" x14ac:dyDescent="0.35">
      <c r="A287" s="16">
        <v>45990</v>
      </c>
      <c r="B287" s="11" t="s">
        <v>235</v>
      </c>
      <c r="C287" s="11" t="s">
        <v>231</v>
      </c>
      <c r="D287" s="39">
        <v>0</v>
      </c>
      <c r="E287" s="39">
        <v>0</v>
      </c>
      <c r="F287" s="48"/>
      <c r="G287" s="48"/>
      <c r="H287" s="70"/>
    </row>
    <row r="288" spans="1:9" x14ac:dyDescent="0.35">
      <c r="A288" s="16">
        <v>45990</v>
      </c>
      <c r="B288" s="11" t="s">
        <v>20</v>
      </c>
      <c r="C288" s="11" t="s">
        <v>231</v>
      </c>
      <c r="D288" s="39">
        <v>0</v>
      </c>
      <c r="E288" s="39">
        <v>0</v>
      </c>
      <c r="F288" s="48"/>
      <c r="G288" s="48"/>
      <c r="H288" s="70"/>
    </row>
    <row r="289" spans="1:9" x14ac:dyDescent="0.35">
      <c r="A289" s="16">
        <v>45990</v>
      </c>
      <c r="B289" s="11" t="s">
        <v>87</v>
      </c>
      <c r="C289" s="11" t="s">
        <v>231</v>
      </c>
      <c r="D289" s="39">
        <v>127</v>
      </c>
      <c r="E289" s="39">
        <v>0</v>
      </c>
      <c r="F289" s="48"/>
      <c r="G289" s="48"/>
      <c r="H289" s="70"/>
    </row>
    <row r="290" spans="1:9" x14ac:dyDescent="0.35">
      <c r="A290" s="16">
        <v>45990</v>
      </c>
      <c r="B290" s="11" t="s">
        <v>6</v>
      </c>
      <c r="C290" s="11" t="s">
        <v>236</v>
      </c>
      <c r="D290" s="39">
        <v>0</v>
      </c>
      <c r="E290" s="39">
        <v>44047</v>
      </c>
      <c r="F290" s="48">
        <f>_xlfn.XLOOKUP(C290,TDS!$C:$C,TDS!$D:$D,0,0)</f>
        <v>746</v>
      </c>
      <c r="G290" s="52">
        <f>F290/E290</f>
        <v>1.6936454242059619E-2</v>
      </c>
      <c r="H290" s="86">
        <f>_xlfn.XLOOKUP(C290,'Invoice no ref in cutomer books'!$L:$L,'Invoice no ref in cutomer books'!$D:$D,,0)</f>
        <v>256779417643</v>
      </c>
      <c r="I290">
        <f>_xlfn.XLOOKUP(H290,'Ascendus Data'!$L:$L,'Ascendus Data'!$T:$T,,0)</f>
        <v>44024.959999999999</v>
      </c>
    </row>
    <row r="291" spans="1:9" x14ac:dyDescent="0.35">
      <c r="A291" s="50">
        <v>45990</v>
      </c>
      <c r="B291" s="51" t="s">
        <v>237</v>
      </c>
      <c r="C291" s="11" t="s">
        <v>236</v>
      </c>
      <c r="D291" s="39">
        <v>0</v>
      </c>
      <c r="E291" s="39">
        <v>0</v>
      </c>
      <c r="F291" s="48"/>
      <c r="G291" s="48"/>
      <c r="H291" s="70"/>
    </row>
    <row r="292" spans="1:9" x14ac:dyDescent="0.35">
      <c r="A292" s="16">
        <v>45990</v>
      </c>
      <c r="B292" s="11" t="s">
        <v>238</v>
      </c>
      <c r="C292" s="11" t="s">
        <v>236</v>
      </c>
      <c r="D292" s="39">
        <v>0</v>
      </c>
      <c r="E292" s="39">
        <v>0</v>
      </c>
      <c r="F292" s="48"/>
      <c r="G292" s="48"/>
      <c r="H292" s="70"/>
    </row>
    <row r="293" spans="1:9" x14ac:dyDescent="0.35">
      <c r="A293" s="16">
        <v>45990</v>
      </c>
      <c r="B293" s="11" t="s">
        <v>239</v>
      </c>
      <c r="C293" s="11" t="s">
        <v>236</v>
      </c>
      <c r="D293" s="39">
        <v>0</v>
      </c>
      <c r="E293" s="39">
        <v>0</v>
      </c>
      <c r="F293" s="48"/>
      <c r="G293" s="48"/>
      <c r="H293" s="70"/>
    </row>
    <row r="294" spans="1:9" x14ac:dyDescent="0.35">
      <c r="A294" s="16">
        <v>45990</v>
      </c>
      <c r="B294" s="11" t="s">
        <v>240</v>
      </c>
      <c r="C294" s="11" t="s">
        <v>236</v>
      </c>
      <c r="D294" s="39">
        <v>0</v>
      </c>
      <c r="E294" s="39">
        <v>0</v>
      </c>
      <c r="F294" s="48"/>
      <c r="G294" s="48"/>
      <c r="H294" s="70"/>
    </row>
    <row r="295" spans="1:9" x14ac:dyDescent="0.35">
      <c r="A295" s="16">
        <v>45990</v>
      </c>
      <c r="B295" s="11" t="s">
        <v>240</v>
      </c>
      <c r="C295" s="11" t="s">
        <v>236</v>
      </c>
      <c r="D295" s="39">
        <v>0</v>
      </c>
      <c r="E295" s="39">
        <v>0</v>
      </c>
      <c r="F295" s="48"/>
      <c r="G295" s="48"/>
      <c r="H295" s="70"/>
    </row>
    <row r="296" spans="1:9" x14ac:dyDescent="0.35">
      <c r="A296" s="16">
        <v>45990</v>
      </c>
      <c r="B296" s="11" t="s">
        <v>241</v>
      </c>
      <c r="C296" s="11" t="s">
        <v>236</v>
      </c>
      <c r="D296" s="39">
        <v>0</v>
      </c>
      <c r="E296" s="39">
        <v>0</v>
      </c>
      <c r="F296" s="48"/>
      <c r="G296" s="48"/>
      <c r="H296" s="70"/>
    </row>
    <row r="297" spans="1:9" x14ac:dyDescent="0.35">
      <c r="A297" s="16">
        <v>45990</v>
      </c>
      <c r="B297" s="11" t="s">
        <v>242</v>
      </c>
      <c r="C297" s="11" t="s">
        <v>236</v>
      </c>
      <c r="D297" s="39">
        <v>0</v>
      </c>
      <c r="E297" s="39">
        <v>0</v>
      </c>
      <c r="F297" s="48"/>
      <c r="G297" s="48"/>
      <c r="H297" s="70"/>
    </row>
    <row r="298" spans="1:9" x14ac:dyDescent="0.35">
      <c r="A298" s="16">
        <v>45990</v>
      </c>
      <c r="B298" s="11" t="s">
        <v>72</v>
      </c>
      <c r="C298" s="11" t="s">
        <v>236</v>
      </c>
      <c r="D298" s="39">
        <v>0</v>
      </c>
      <c r="E298" s="39">
        <v>0</v>
      </c>
      <c r="F298" s="48"/>
      <c r="G298" s="48"/>
      <c r="H298" s="70"/>
    </row>
    <row r="299" spans="1:9" x14ac:dyDescent="0.35">
      <c r="A299" s="16">
        <v>45990</v>
      </c>
      <c r="B299" s="11" t="s">
        <v>87</v>
      </c>
      <c r="C299" s="11" t="s">
        <v>236</v>
      </c>
      <c r="D299" s="39">
        <v>746</v>
      </c>
      <c r="E299" s="39">
        <v>0</v>
      </c>
      <c r="F299" s="48"/>
      <c r="G299" s="48"/>
      <c r="H299" s="70"/>
    </row>
    <row r="300" spans="1:9" x14ac:dyDescent="0.35">
      <c r="A300" s="16">
        <v>46010</v>
      </c>
      <c r="B300" s="11" t="s">
        <v>87</v>
      </c>
      <c r="C300" s="11" t="s">
        <v>243</v>
      </c>
      <c r="D300" s="39">
        <v>4</v>
      </c>
      <c r="E300" s="39">
        <v>0</v>
      </c>
      <c r="F300" s="48"/>
      <c r="G300" s="48"/>
      <c r="H300" s="70"/>
    </row>
    <row r="301" spans="1:9" x14ac:dyDescent="0.35">
      <c r="A301" s="16">
        <v>46010</v>
      </c>
      <c r="B301" s="11" t="s">
        <v>87</v>
      </c>
      <c r="C301" s="11" t="s">
        <v>244</v>
      </c>
      <c r="D301" s="39">
        <v>792</v>
      </c>
      <c r="E301" s="39">
        <v>0</v>
      </c>
      <c r="F301" s="48"/>
      <c r="G301" s="48"/>
      <c r="H301" s="70"/>
    </row>
    <row r="302" spans="1:9" x14ac:dyDescent="0.35">
      <c r="A302" s="16">
        <v>46024</v>
      </c>
      <c r="B302" s="11" t="s">
        <v>6</v>
      </c>
      <c r="C302" s="11" t="s">
        <v>245</v>
      </c>
      <c r="D302" s="39">
        <v>0</v>
      </c>
      <c r="E302" s="39">
        <v>43112</v>
      </c>
      <c r="F302" s="48">
        <f>_xlfn.XLOOKUP(C302,TDS!$C:$C,TDS!$D:$D,0,0)</f>
        <v>731</v>
      </c>
      <c r="G302" s="52">
        <f>F302/E302</f>
        <v>1.6955835962145109E-2</v>
      </c>
      <c r="H302" s="86">
        <f>_xlfn.XLOOKUP(C302,'Invoice no ref in cutomer books'!$L:$L,'Invoice no ref in cutomer books'!$D:$D,,0)</f>
        <v>256779450032</v>
      </c>
      <c r="I302">
        <f>_xlfn.XLOOKUP(H302,'Ascendus Data'!$L:$L,'Ascendus Data'!$T:$T,,0)</f>
        <v>43112.07</v>
      </c>
    </row>
    <row r="303" spans="1:9" x14ac:dyDescent="0.35">
      <c r="A303" s="50">
        <v>46024</v>
      </c>
      <c r="B303" s="51" t="s">
        <v>246</v>
      </c>
      <c r="C303" s="11" t="s">
        <v>245</v>
      </c>
      <c r="D303" s="39">
        <v>0</v>
      </c>
      <c r="E303" s="39">
        <v>0</v>
      </c>
      <c r="F303" s="48"/>
      <c r="G303" s="48"/>
      <c r="H303" s="70"/>
    </row>
    <row r="304" spans="1:9" x14ac:dyDescent="0.35">
      <c r="A304" s="16">
        <v>46024</v>
      </c>
      <c r="B304" s="11" t="s">
        <v>247</v>
      </c>
      <c r="C304" s="11" t="s">
        <v>245</v>
      </c>
      <c r="D304" s="39">
        <v>0</v>
      </c>
      <c r="E304" s="39">
        <v>0</v>
      </c>
      <c r="F304" s="48"/>
      <c r="G304" s="48"/>
      <c r="H304" s="70"/>
    </row>
    <row r="305" spans="1:9" x14ac:dyDescent="0.35">
      <c r="A305" s="16">
        <v>46024</v>
      </c>
      <c r="B305" s="11" t="s">
        <v>248</v>
      </c>
      <c r="C305" s="11" t="s">
        <v>245</v>
      </c>
      <c r="D305" s="39">
        <v>0</v>
      </c>
      <c r="E305" s="39">
        <v>0</v>
      </c>
      <c r="F305" s="48"/>
      <c r="G305" s="48"/>
      <c r="H305" s="70"/>
    </row>
    <row r="306" spans="1:9" x14ac:dyDescent="0.35">
      <c r="A306" s="16">
        <v>46024</v>
      </c>
      <c r="B306" s="11" t="s">
        <v>249</v>
      </c>
      <c r="C306" s="11" t="s">
        <v>245</v>
      </c>
      <c r="D306" s="39">
        <v>0</v>
      </c>
      <c r="E306" s="39">
        <v>0</v>
      </c>
      <c r="F306" s="48"/>
      <c r="G306" s="48"/>
      <c r="H306" s="70"/>
    </row>
    <row r="307" spans="1:9" x14ac:dyDescent="0.35">
      <c r="A307" s="16">
        <v>46024</v>
      </c>
      <c r="B307" s="11" t="s">
        <v>250</v>
      </c>
      <c r="C307" s="11" t="s">
        <v>245</v>
      </c>
      <c r="D307" s="39">
        <v>0</v>
      </c>
      <c r="E307" s="39">
        <v>0</v>
      </c>
      <c r="F307" s="48"/>
      <c r="G307" s="48"/>
      <c r="H307" s="70"/>
    </row>
    <row r="308" spans="1:9" x14ac:dyDescent="0.35">
      <c r="A308" s="16">
        <v>46024</v>
      </c>
      <c r="B308" s="11" t="s">
        <v>251</v>
      </c>
      <c r="C308" s="11" t="s">
        <v>245</v>
      </c>
      <c r="D308" s="39">
        <v>0</v>
      </c>
      <c r="E308" s="39">
        <v>0</v>
      </c>
      <c r="F308" s="48"/>
      <c r="G308" s="48"/>
      <c r="H308" s="70"/>
    </row>
    <row r="309" spans="1:9" x14ac:dyDescent="0.35">
      <c r="A309" s="16">
        <v>46024</v>
      </c>
      <c r="B309" s="11" t="s">
        <v>87</v>
      </c>
      <c r="C309" s="11" t="s">
        <v>245</v>
      </c>
      <c r="D309" s="39">
        <v>731</v>
      </c>
      <c r="E309" s="39">
        <v>0</v>
      </c>
      <c r="F309" s="48"/>
      <c r="G309" s="48"/>
      <c r="H309" s="70"/>
    </row>
    <row r="310" spans="1:9" x14ac:dyDescent="0.35">
      <c r="A310" s="16">
        <v>46027</v>
      </c>
      <c r="B310" s="11" t="s">
        <v>6</v>
      </c>
      <c r="C310" s="11" t="s">
        <v>252</v>
      </c>
      <c r="D310" s="39">
        <v>0</v>
      </c>
      <c r="E310" s="39">
        <v>10214</v>
      </c>
      <c r="F310" s="48">
        <f>_xlfn.XLOOKUP(C310,TDS!$C:$C,TDS!$D:$D,0,0)</f>
        <v>173</v>
      </c>
      <c r="G310" s="52">
        <f>F310/E310</f>
        <v>1.6937536714313688E-2</v>
      </c>
      <c r="H310" s="86">
        <f>_xlfn.XLOOKUP(C310,'Invoice no ref in cutomer books'!$L:$L,'Invoice no ref in cutomer books'!$D:$D,,0)</f>
        <v>256779450231</v>
      </c>
      <c r="I310">
        <f>_xlfn.XLOOKUP(H310,'Ascendus Data'!$L:$L,'Ascendus Data'!$T:$T,,0)</f>
        <v>10214.049999999999</v>
      </c>
    </row>
    <row r="311" spans="1:9" x14ac:dyDescent="0.35">
      <c r="A311" s="50">
        <v>46027</v>
      </c>
      <c r="B311" s="51" t="s">
        <v>253</v>
      </c>
      <c r="C311" s="11" t="s">
        <v>252</v>
      </c>
      <c r="D311" s="39">
        <v>0</v>
      </c>
      <c r="E311" s="39">
        <v>0</v>
      </c>
      <c r="F311" s="48"/>
      <c r="G311" s="48"/>
      <c r="H311" s="70"/>
    </row>
    <row r="312" spans="1:9" x14ac:dyDescent="0.35">
      <c r="A312" s="16">
        <v>46027</v>
      </c>
      <c r="B312" s="11" t="s">
        <v>254</v>
      </c>
      <c r="C312" s="11" t="s">
        <v>252</v>
      </c>
      <c r="D312" s="39">
        <v>0</v>
      </c>
      <c r="E312" s="39">
        <v>0</v>
      </c>
      <c r="F312" s="48"/>
      <c r="G312" s="48"/>
      <c r="H312" s="70"/>
    </row>
    <row r="313" spans="1:9" x14ac:dyDescent="0.35">
      <c r="A313" s="16">
        <v>46027</v>
      </c>
      <c r="B313" s="11" t="s">
        <v>49</v>
      </c>
      <c r="C313" s="11" t="s">
        <v>252</v>
      </c>
      <c r="D313" s="39">
        <v>0</v>
      </c>
      <c r="E313" s="39">
        <v>0</v>
      </c>
      <c r="F313" s="48"/>
      <c r="G313" s="48"/>
      <c r="H313" s="70"/>
    </row>
    <row r="314" spans="1:9" x14ac:dyDescent="0.35">
      <c r="A314" s="16">
        <v>46027</v>
      </c>
      <c r="B314" s="11" t="s">
        <v>87</v>
      </c>
      <c r="C314" s="11" t="s">
        <v>252</v>
      </c>
      <c r="D314" s="39">
        <v>173</v>
      </c>
      <c r="E314" s="39">
        <v>0</v>
      </c>
      <c r="F314" s="48"/>
      <c r="G314" s="48"/>
      <c r="H314" s="70"/>
    </row>
    <row r="315" spans="1:9" x14ac:dyDescent="0.35">
      <c r="A315" s="16">
        <v>46027</v>
      </c>
      <c r="B315" s="11" t="s">
        <v>6</v>
      </c>
      <c r="C315" s="11" t="s">
        <v>255</v>
      </c>
      <c r="D315" s="39">
        <v>0</v>
      </c>
      <c r="E315" s="39">
        <v>42074</v>
      </c>
      <c r="F315" s="48">
        <f>_xlfn.XLOOKUP(C315,TDS!$C:$C,TDS!$D:$D,0,0)</f>
        <v>713</v>
      </c>
      <c r="G315" s="52">
        <f>F315/E315</f>
        <v>1.6946332651994106E-2</v>
      </c>
      <c r="H315" s="86">
        <f>_xlfn.XLOOKUP(C315,'Invoice no ref in cutomer books'!$L:$L,'Invoice no ref in cutomer books'!$D:$D,,0)</f>
        <v>256779450329</v>
      </c>
      <c r="I315">
        <f>_xlfn.XLOOKUP(H315,'Ascendus Data'!$L:$L,'Ascendus Data'!$T:$T,,0)</f>
        <v>42073.96</v>
      </c>
    </row>
    <row r="316" spans="1:9" x14ac:dyDescent="0.35">
      <c r="A316" s="50">
        <v>46027</v>
      </c>
      <c r="B316" s="51" t="s">
        <v>256</v>
      </c>
      <c r="C316" s="11" t="s">
        <v>255</v>
      </c>
      <c r="D316" s="39">
        <v>0</v>
      </c>
      <c r="E316" s="39">
        <v>0</v>
      </c>
      <c r="F316" s="48"/>
      <c r="G316" s="48"/>
      <c r="H316" s="70"/>
    </row>
    <row r="317" spans="1:9" x14ac:dyDescent="0.35">
      <c r="A317" s="16">
        <v>46027</v>
      </c>
      <c r="B317" s="11" t="s">
        <v>247</v>
      </c>
      <c r="C317" s="11" t="s">
        <v>255</v>
      </c>
      <c r="D317" s="39">
        <v>0</v>
      </c>
      <c r="E317" s="39">
        <v>0</v>
      </c>
      <c r="F317" s="48"/>
      <c r="G317" s="48"/>
      <c r="H317" s="70"/>
    </row>
    <row r="318" spans="1:9" x14ac:dyDescent="0.35">
      <c r="A318" s="16">
        <v>46027</v>
      </c>
      <c r="B318" s="11" t="s">
        <v>257</v>
      </c>
      <c r="C318" s="11" t="s">
        <v>255</v>
      </c>
      <c r="D318" s="39">
        <v>0</v>
      </c>
      <c r="E318" s="39">
        <v>0</v>
      </c>
      <c r="F318" s="48"/>
      <c r="G318" s="48"/>
      <c r="H318" s="70"/>
    </row>
    <row r="319" spans="1:9" x14ac:dyDescent="0.35">
      <c r="A319" s="16">
        <v>46027</v>
      </c>
      <c r="B319" s="11" t="s">
        <v>258</v>
      </c>
      <c r="C319" s="11" t="s">
        <v>255</v>
      </c>
      <c r="D319" s="39">
        <v>0</v>
      </c>
      <c r="E319" s="39">
        <v>0</v>
      </c>
      <c r="F319" s="48"/>
      <c r="G319" s="48"/>
      <c r="H319" s="70"/>
    </row>
    <row r="320" spans="1:9" x14ac:dyDescent="0.35">
      <c r="A320" s="16">
        <v>46027</v>
      </c>
      <c r="B320" s="11" t="s">
        <v>259</v>
      </c>
      <c r="C320" s="11" t="s">
        <v>255</v>
      </c>
      <c r="D320" s="39">
        <v>0</v>
      </c>
      <c r="E320" s="39">
        <v>0</v>
      </c>
      <c r="F320" s="48"/>
      <c r="G320" s="48"/>
      <c r="H320" s="70"/>
    </row>
    <row r="321" spans="1:9" x14ac:dyDescent="0.35">
      <c r="A321" s="16">
        <v>46027</v>
      </c>
      <c r="B321" s="11" t="s">
        <v>87</v>
      </c>
      <c r="C321" s="11" t="s">
        <v>255</v>
      </c>
      <c r="D321" s="39">
        <v>713</v>
      </c>
      <c r="E321" s="39">
        <v>0</v>
      </c>
      <c r="F321" s="48"/>
      <c r="G321" s="48"/>
      <c r="H321" s="70"/>
    </row>
    <row r="322" spans="1:9" x14ac:dyDescent="0.35">
      <c r="A322" s="16">
        <v>46028</v>
      </c>
      <c r="B322" s="11" t="s">
        <v>6</v>
      </c>
      <c r="C322" s="11" t="s">
        <v>260</v>
      </c>
      <c r="D322" s="39">
        <v>0</v>
      </c>
      <c r="E322" s="39">
        <v>10895</v>
      </c>
      <c r="F322" s="48">
        <f>_xlfn.XLOOKUP(C322,TDS!$C:$C,TDS!$D:$D,0,0)</f>
        <v>184</v>
      </c>
      <c r="G322" s="52">
        <f>F322/E322</f>
        <v>1.6888480954566316E-2</v>
      </c>
      <c r="H322" s="86">
        <v>256779450495</v>
      </c>
      <c r="I322">
        <f>_xlfn.XLOOKUP(H322,'Ascendus Data'!$L:$L,'Ascendus Data'!$T:$T,,0)</f>
        <v>10895.53</v>
      </c>
    </row>
    <row r="323" spans="1:9" x14ac:dyDescent="0.35">
      <c r="A323" s="50">
        <v>46028</v>
      </c>
      <c r="B323" s="51" t="s">
        <v>261</v>
      </c>
      <c r="C323" s="11" t="s">
        <v>260</v>
      </c>
      <c r="D323" s="39">
        <v>0</v>
      </c>
      <c r="E323" s="39">
        <v>0</v>
      </c>
      <c r="F323" s="48"/>
      <c r="G323" s="48"/>
      <c r="H323" s="70"/>
    </row>
    <row r="324" spans="1:9" x14ac:dyDescent="0.35">
      <c r="A324" s="16">
        <v>46028</v>
      </c>
      <c r="B324" s="11" t="s">
        <v>262</v>
      </c>
      <c r="C324" s="11" t="s">
        <v>260</v>
      </c>
      <c r="D324" s="39">
        <v>0</v>
      </c>
      <c r="E324" s="39">
        <v>0</v>
      </c>
      <c r="F324" s="48"/>
      <c r="G324" s="48"/>
      <c r="H324" s="70"/>
    </row>
    <row r="325" spans="1:9" x14ac:dyDescent="0.35">
      <c r="A325" s="16">
        <v>46028</v>
      </c>
      <c r="B325" s="11" t="s">
        <v>49</v>
      </c>
      <c r="C325" s="11" t="s">
        <v>260</v>
      </c>
      <c r="D325" s="39">
        <v>0</v>
      </c>
      <c r="E325" s="39">
        <v>0</v>
      </c>
      <c r="F325" s="48"/>
      <c r="G325" s="48"/>
      <c r="H325" s="70"/>
    </row>
    <row r="326" spans="1:9" x14ac:dyDescent="0.35">
      <c r="A326" s="16">
        <v>46028</v>
      </c>
      <c r="B326" s="11" t="s">
        <v>87</v>
      </c>
      <c r="C326" s="11" t="s">
        <v>260</v>
      </c>
      <c r="D326" s="39">
        <v>184</v>
      </c>
      <c r="E326" s="39">
        <v>0</v>
      </c>
      <c r="F326" s="48"/>
      <c r="G326" s="48"/>
      <c r="H326" s="70"/>
    </row>
    <row r="327" spans="1:9" x14ac:dyDescent="0.35">
      <c r="A327" s="16">
        <v>46028</v>
      </c>
      <c r="B327" s="11" t="s">
        <v>6</v>
      </c>
      <c r="C327" s="11" t="s">
        <v>263</v>
      </c>
      <c r="D327" s="39">
        <v>0</v>
      </c>
      <c r="E327" s="39">
        <v>3737</v>
      </c>
      <c r="F327" s="48">
        <f>_xlfn.XLOOKUP(C327,TDS!$C:$C,TDS!$D:$D,0,0)</f>
        <v>63</v>
      </c>
      <c r="G327" s="52">
        <f>F327/E327</f>
        <v>1.6858442601016859E-2</v>
      </c>
      <c r="H327" s="86">
        <f>_xlfn.XLOOKUP(C327,'Invoice no ref in cutomer books'!$L:$L,'Invoice no ref in cutomer books'!$D:$D,,0)</f>
        <v>256779450523</v>
      </c>
      <c r="I327">
        <f>_xlfn.XLOOKUP(H327,'Ascendus Data'!$L:$L,'Ascendus Data'!$T:$T,,0)</f>
        <v>3736.8</v>
      </c>
    </row>
    <row r="328" spans="1:9" x14ac:dyDescent="0.35">
      <c r="A328" s="50">
        <v>46028</v>
      </c>
      <c r="B328" s="51" t="s">
        <v>264</v>
      </c>
      <c r="C328" s="11" t="s">
        <v>263</v>
      </c>
      <c r="D328" s="39">
        <v>0</v>
      </c>
      <c r="E328" s="39">
        <v>0</v>
      </c>
      <c r="F328" s="48"/>
      <c r="G328" s="48"/>
      <c r="H328" s="70"/>
    </row>
    <row r="329" spans="1:9" x14ac:dyDescent="0.35">
      <c r="A329" s="16">
        <v>46028</v>
      </c>
      <c r="B329" s="11" t="s">
        <v>265</v>
      </c>
      <c r="C329" s="11" t="s">
        <v>263</v>
      </c>
      <c r="D329" s="39">
        <v>0</v>
      </c>
      <c r="E329" s="39">
        <v>0</v>
      </c>
      <c r="F329" s="48"/>
      <c r="G329" s="48"/>
      <c r="H329" s="70"/>
    </row>
    <row r="330" spans="1:9" x14ac:dyDescent="0.35">
      <c r="A330" s="16">
        <v>46028</v>
      </c>
      <c r="B330" s="11" t="s">
        <v>266</v>
      </c>
      <c r="C330" s="11" t="s">
        <v>263</v>
      </c>
      <c r="D330" s="39">
        <v>0</v>
      </c>
      <c r="E330" s="39">
        <v>0</v>
      </c>
      <c r="F330" s="48"/>
      <c r="G330" s="48"/>
      <c r="H330" s="70"/>
    </row>
    <row r="331" spans="1:9" x14ac:dyDescent="0.35">
      <c r="A331" s="16">
        <v>46028</v>
      </c>
      <c r="B331" s="11" t="s">
        <v>150</v>
      </c>
      <c r="C331" s="11" t="s">
        <v>263</v>
      </c>
      <c r="D331" s="39">
        <v>0</v>
      </c>
      <c r="E331" s="39">
        <v>0</v>
      </c>
      <c r="F331" s="48"/>
      <c r="G331" s="48"/>
      <c r="H331" s="70"/>
    </row>
    <row r="332" spans="1:9" x14ac:dyDescent="0.35">
      <c r="A332" s="16">
        <v>46028</v>
      </c>
      <c r="B332" s="11" t="s">
        <v>87</v>
      </c>
      <c r="C332" s="11" t="s">
        <v>263</v>
      </c>
      <c r="D332" s="39">
        <v>63</v>
      </c>
      <c r="E332" s="39">
        <v>0</v>
      </c>
      <c r="F332" s="48"/>
      <c r="G332" s="48"/>
      <c r="H332" s="70"/>
    </row>
    <row r="333" spans="1:9" x14ac:dyDescent="0.35">
      <c r="A333" s="16">
        <v>46034</v>
      </c>
      <c r="B333" s="11" t="s">
        <v>6</v>
      </c>
      <c r="C333" s="11" t="s">
        <v>267</v>
      </c>
      <c r="D333" s="39">
        <v>0</v>
      </c>
      <c r="E333" s="39">
        <v>45945</v>
      </c>
      <c r="F333" s="48">
        <f>_xlfn.XLOOKUP(C333,TDS!$C:$C,TDS!$D:$D,0,0)</f>
        <v>779</v>
      </c>
      <c r="G333" s="52">
        <f>F333/E333</f>
        <v>1.695505495701382E-2</v>
      </c>
      <c r="H333" s="86">
        <f>_xlfn.XLOOKUP(C333,'Invoice no ref in cutomer books'!$L:$L,'Invoice no ref in cutomer books'!$D:$D,,0)</f>
        <v>256779450589</v>
      </c>
      <c r="I333">
        <f>_xlfn.XLOOKUP(H333,'Ascendus Data'!$L:$L,'Ascendus Data'!$T:$T,,0)</f>
        <v>45671.93</v>
      </c>
    </row>
    <row r="334" spans="1:9" x14ac:dyDescent="0.35">
      <c r="A334" s="50">
        <v>46034</v>
      </c>
      <c r="B334" s="51" t="s">
        <v>268</v>
      </c>
      <c r="C334" s="11" t="s">
        <v>267</v>
      </c>
      <c r="D334" s="39">
        <v>0</v>
      </c>
      <c r="E334" s="39">
        <v>0</v>
      </c>
      <c r="F334" s="48"/>
      <c r="G334" s="48"/>
      <c r="H334" s="70"/>
    </row>
    <row r="335" spans="1:9" x14ac:dyDescent="0.35">
      <c r="A335" s="16">
        <v>46034</v>
      </c>
      <c r="B335" s="11" t="s">
        <v>269</v>
      </c>
      <c r="C335" s="11" t="s">
        <v>267</v>
      </c>
      <c r="D335" s="39">
        <v>0</v>
      </c>
      <c r="E335" s="39">
        <v>0</v>
      </c>
      <c r="F335" s="48"/>
      <c r="G335" s="48"/>
      <c r="H335" s="70"/>
    </row>
    <row r="336" spans="1:9" x14ac:dyDescent="0.35">
      <c r="A336" s="16">
        <v>46034</v>
      </c>
      <c r="B336" s="11" t="s">
        <v>270</v>
      </c>
      <c r="C336" s="11" t="s">
        <v>267</v>
      </c>
      <c r="D336" s="39">
        <v>0</v>
      </c>
      <c r="E336" s="39">
        <v>0</v>
      </c>
      <c r="F336" s="48"/>
      <c r="G336" s="48"/>
      <c r="H336" s="70"/>
    </row>
    <row r="337" spans="1:9" x14ac:dyDescent="0.35">
      <c r="A337" s="16">
        <v>46034</v>
      </c>
      <c r="B337" s="11" t="s">
        <v>271</v>
      </c>
      <c r="C337" s="11" t="s">
        <v>267</v>
      </c>
      <c r="D337" s="39">
        <v>0</v>
      </c>
      <c r="E337" s="39">
        <v>0</v>
      </c>
      <c r="F337" s="48"/>
      <c r="G337" s="48"/>
      <c r="H337" s="70"/>
    </row>
    <row r="338" spans="1:9" x14ac:dyDescent="0.35">
      <c r="A338" s="16">
        <v>46034</v>
      </c>
      <c r="B338" s="11" t="s">
        <v>272</v>
      </c>
      <c r="C338" s="11" t="s">
        <v>267</v>
      </c>
      <c r="D338" s="39">
        <v>0</v>
      </c>
      <c r="E338" s="39">
        <v>0</v>
      </c>
      <c r="F338" s="48"/>
      <c r="G338" s="48"/>
      <c r="H338" s="70"/>
    </row>
    <row r="339" spans="1:9" x14ac:dyDescent="0.35">
      <c r="A339" s="16">
        <v>46034</v>
      </c>
      <c r="B339" s="11" t="s">
        <v>273</v>
      </c>
      <c r="C339" s="11" t="s">
        <v>267</v>
      </c>
      <c r="D339" s="39">
        <v>0</v>
      </c>
      <c r="E339" s="39">
        <v>0</v>
      </c>
      <c r="F339" s="48"/>
      <c r="G339" s="48"/>
      <c r="H339" s="70"/>
    </row>
    <row r="340" spans="1:9" x14ac:dyDescent="0.35">
      <c r="A340" s="16">
        <v>46034</v>
      </c>
      <c r="B340" s="11" t="s">
        <v>87</v>
      </c>
      <c r="C340" s="11" t="s">
        <v>267</v>
      </c>
      <c r="D340" s="39">
        <v>779</v>
      </c>
      <c r="E340" s="39">
        <v>0</v>
      </c>
      <c r="F340" s="48"/>
      <c r="G340" s="48"/>
      <c r="H340" s="70"/>
    </row>
    <row r="341" spans="1:9" x14ac:dyDescent="0.35">
      <c r="A341" s="16">
        <v>46039</v>
      </c>
      <c r="B341" s="11" t="s">
        <v>6</v>
      </c>
      <c r="C341" s="11" t="s">
        <v>274</v>
      </c>
      <c r="D341" s="12">
        <v>0</v>
      </c>
      <c r="E341" s="12">
        <v>9984</v>
      </c>
      <c r="F341" s="48">
        <f>_xlfn.XLOOKUP(C341,TDS!$C:$C,TDS!$D:$D,0,0)</f>
        <v>169</v>
      </c>
      <c r="G341" s="52">
        <f>F341/E341</f>
        <v>1.6927083333333332E-2</v>
      </c>
      <c r="H341" s="86">
        <f>_xlfn.XLOOKUP(C341,'Invoice no ref in cutomer books'!$L:$L,'Invoice no ref in cutomer books'!$D:$D,,0)</f>
        <v>256779419781</v>
      </c>
      <c r="I341">
        <f>_xlfn.XLOOKUP(H341,'Ascendus Data'!$L:$L,'Ascendus Data'!$T:$T,,0)</f>
        <v>9984.09</v>
      </c>
    </row>
    <row r="342" spans="1:9" x14ac:dyDescent="0.35">
      <c r="A342" s="50">
        <v>46039</v>
      </c>
      <c r="B342" s="51" t="s">
        <v>275</v>
      </c>
      <c r="C342" s="11" t="s">
        <v>274</v>
      </c>
      <c r="D342" s="12">
        <v>0</v>
      </c>
      <c r="E342" s="12">
        <v>0</v>
      </c>
      <c r="F342" s="48"/>
      <c r="G342" s="48"/>
      <c r="H342" s="70"/>
    </row>
    <row r="343" spans="1:9" x14ac:dyDescent="0.35">
      <c r="A343" s="16">
        <v>46039</v>
      </c>
      <c r="B343" s="11" t="s">
        <v>276</v>
      </c>
      <c r="C343" s="11" t="s">
        <v>274</v>
      </c>
      <c r="D343" s="12">
        <v>0</v>
      </c>
      <c r="E343" s="12">
        <v>0</v>
      </c>
      <c r="F343" s="48"/>
      <c r="G343" s="48"/>
      <c r="H343" s="70"/>
    </row>
    <row r="344" spans="1:9" x14ac:dyDescent="0.35">
      <c r="A344" s="16">
        <v>46039</v>
      </c>
      <c r="B344" s="11" t="s">
        <v>37</v>
      </c>
      <c r="C344" s="11" t="s">
        <v>274</v>
      </c>
      <c r="D344" s="12">
        <v>0</v>
      </c>
      <c r="E344" s="12">
        <v>0</v>
      </c>
      <c r="F344" s="48"/>
      <c r="G344" s="48"/>
      <c r="H344" s="70"/>
    </row>
    <row r="345" spans="1:9" x14ac:dyDescent="0.35">
      <c r="A345" s="16">
        <v>46039</v>
      </c>
      <c r="B345" s="11" t="s">
        <v>87</v>
      </c>
      <c r="C345" s="11" t="s">
        <v>274</v>
      </c>
      <c r="D345" s="12">
        <v>169</v>
      </c>
      <c r="E345" s="12">
        <v>0</v>
      </c>
      <c r="F345" s="48"/>
      <c r="G345" s="48"/>
      <c r="H345" s="70"/>
    </row>
    <row r="346" spans="1:9" x14ac:dyDescent="0.35">
      <c r="A346" s="16">
        <v>46039</v>
      </c>
      <c r="B346" s="11" t="s">
        <v>6</v>
      </c>
      <c r="C346" s="11" t="s">
        <v>277</v>
      </c>
      <c r="D346" s="12">
        <v>0</v>
      </c>
      <c r="E346" s="12">
        <v>628</v>
      </c>
      <c r="F346" s="48">
        <f>_xlfn.XLOOKUP(C346,TDS!$C:$C,TDS!$D:$D,0,0)</f>
        <v>11</v>
      </c>
      <c r="G346" s="52">
        <f>F346/E346</f>
        <v>1.751592356687898E-2</v>
      </c>
      <c r="H346" s="86">
        <f>_xlfn.XLOOKUP(C346,'Invoice no ref in cutomer books'!$L:$L,'Invoice no ref in cutomer books'!$D:$D,,0)</f>
        <v>256779419896</v>
      </c>
      <c r="I346">
        <f>_xlfn.XLOOKUP(H346,'Ascendus Data'!$L:$L,'Ascendus Data'!$T:$T,,0)</f>
        <v>628</v>
      </c>
    </row>
    <row r="347" spans="1:9" x14ac:dyDescent="0.35">
      <c r="A347" s="50">
        <v>46039</v>
      </c>
      <c r="B347" s="51" t="s">
        <v>278</v>
      </c>
      <c r="C347" s="11" t="s">
        <v>277</v>
      </c>
      <c r="D347" s="12">
        <v>0</v>
      </c>
      <c r="E347" s="12">
        <v>0</v>
      </c>
      <c r="F347" s="48"/>
      <c r="G347" s="48"/>
      <c r="H347" s="70"/>
    </row>
    <row r="348" spans="1:9" x14ac:dyDescent="0.35">
      <c r="A348" s="16">
        <v>46039</v>
      </c>
      <c r="B348" s="11" t="s">
        <v>279</v>
      </c>
      <c r="C348" s="11" t="s">
        <v>277</v>
      </c>
      <c r="D348" s="12">
        <v>0</v>
      </c>
      <c r="E348" s="12">
        <v>0</v>
      </c>
      <c r="F348" s="48"/>
      <c r="G348" s="48"/>
      <c r="H348" s="70"/>
    </row>
    <row r="349" spans="1:9" x14ac:dyDescent="0.35">
      <c r="A349" s="16">
        <v>46039</v>
      </c>
      <c r="B349" s="11" t="s">
        <v>87</v>
      </c>
      <c r="C349" s="11" t="s">
        <v>277</v>
      </c>
      <c r="D349" s="12">
        <v>11</v>
      </c>
      <c r="E349" s="12">
        <v>0</v>
      </c>
      <c r="F349" s="48"/>
      <c r="G349" s="48"/>
      <c r="H349" s="70"/>
    </row>
    <row r="350" spans="1:9" x14ac:dyDescent="0.35">
      <c r="A350" s="16">
        <v>46042</v>
      </c>
      <c r="B350" s="11" t="s">
        <v>6</v>
      </c>
      <c r="C350" s="11" t="s">
        <v>280</v>
      </c>
      <c r="D350" s="12">
        <v>0</v>
      </c>
      <c r="E350" s="12">
        <v>44384</v>
      </c>
      <c r="F350" s="48">
        <f>_xlfn.XLOOKUP(C350,TDS!$C:$C,TDS!$D:$D,0,0)</f>
        <v>752</v>
      </c>
      <c r="G350" s="52">
        <f>F350/E350</f>
        <v>1.6943042537851477E-2</v>
      </c>
      <c r="H350" s="86">
        <f>_xlfn.XLOOKUP(C350,'Invoice no ref in cutomer books'!$L:$L,'Invoice no ref in cutomer books'!$D:$D,,0)</f>
        <v>256779450822</v>
      </c>
      <c r="I350">
        <f>_xlfn.XLOOKUP(H350,'Ascendus Data'!$L:$L,'Ascendus Data'!$T:$T,,0)</f>
        <v>44384.28</v>
      </c>
    </row>
    <row r="351" spans="1:9" x14ac:dyDescent="0.35">
      <c r="A351" s="50">
        <v>46042</v>
      </c>
      <c r="B351" s="51" t="s">
        <v>281</v>
      </c>
      <c r="C351" s="11" t="s">
        <v>280</v>
      </c>
      <c r="D351" s="12">
        <v>0</v>
      </c>
      <c r="E351" s="12">
        <v>0</v>
      </c>
      <c r="F351" s="48"/>
      <c r="G351" s="48"/>
      <c r="H351" s="70"/>
    </row>
    <row r="352" spans="1:9" x14ac:dyDescent="0.35">
      <c r="A352" s="16">
        <v>46042</v>
      </c>
      <c r="B352" s="11" t="s">
        <v>247</v>
      </c>
      <c r="C352" s="11" t="s">
        <v>280</v>
      </c>
      <c r="D352" s="12">
        <v>0</v>
      </c>
      <c r="E352" s="12">
        <v>0</v>
      </c>
      <c r="F352" s="48"/>
      <c r="G352" s="48"/>
      <c r="H352" s="70"/>
    </row>
    <row r="353" spans="1:9" x14ac:dyDescent="0.35">
      <c r="A353" s="16">
        <v>46042</v>
      </c>
      <c r="B353" s="11" t="s">
        <v>282</v>
      </c>
      <c r="C353" s="11" t="s">
        <v>280</v>
      </c>
      <c r="D353" s="12">
        <v>0</v>
      </c>
      <c r="E353" s="12">
        <v>0</v>
      </c>
      <c r="F353" s="48"/>
      <c r="G353" s="48"/>
      <c r="H353" s="70"/>
    </row>
    <row r="354" spans="1:9" x14ac:dyDescent="0.35">
      <c r="A354" s="16">
        <v>46042</v>
      </c>
      <c r="B354" s="11" t="s">
        <v>283</v>
      </c>
      <c r="C354" s="11" t="s">
        <v>280</v>
      </c>
      <c r="D354" s="12">
        <v>0</v>
      </c>
      <c r="E354" s="12">
        <v>0</v>
      </c>
      <c r="F354" s="48"/>
      <c r="G354" s="48"/>
      <c r="H354" s="70"/>
    </row>
    <row r="355" spans="1:9" x14ac:dyDescent="0.35">
      <c r="A355" s="16">
        <v>46042</v>
      </c>
      <c r="B355" s="11" t="s">
        <v>284</v>
      </c>
      <c r="C355" s="11" t="s">
        <v>280</v>
      </c>
      <c r="D355" s="12">
        <v>0</v>
      </c>
      <c r="E355" s="12">
        <v>0</v>
      </c>
      <c r="F355" s="48"/>
      <c r="G355" s="48"/>
      <c r="H355" s="70"/>
    </row>
    <row r="356" spans="1:9" x14ac:dyDescent="0.35">
      <c r="A356" s="16">
        <v>46042</v>
      </c>
      <c r="B356" s="11" t="s">
        <v>285</v>
      </c>
      <c r="C356" s="11" t="s">
        <v>280</v>
      </c>
      <c r="D356" s="12">
        <v>0</v>
      </c>
      <c r="E356" s="12">
        <v>0</v>
      </c>
      <c r="F356" s="48"/>
      <c r="G356" s="48"/>
      <c r="H356" s="70"/>
    </row>
    <row r="357" spans="1:9" x14ac:dyDescent="0.35">
      <c r="A357" s="16">
        <v>46042</v>
      </c>
      <c r="B357" s="11" t="s">
        <v>286</v>
      </c>
      <c r="C357" s="11" t="s">
        <v>280</v>
      </c>
      <c r="D357" s="12">
        <v>0</v>
      </c>
      <c r="E357" s="12">
        <v>0</v>
      </c>
      <c r="F357" s="48"/>
      <c r="G357" s="48"/>
      <c r="H357" s="70"/>
    </row>
    <row r="358" spans="1:9" x14ac:dyDescent="0.35">
      <c r="A358" s="16">
        <v>46042</v>
      </c>
      <c r="B358" s="11" t="s">
        <v>287</v>
      </c>
      <c r="C358" s="11" t="s">
        <v>280</v>
      </c>
      <c r="D358" s="12">
        <v>0</v>
      </c>
      <c r="E358" s="12">
        <v>0</v>
      </c>
      <c r="F358" s="48"/>
      <c r="G358" s="48"/>
      <c r="H358" s="70"/>
    </row>
    <row r="359" spans="1:9" x14ac:dyDescent="0.35">
      <c r="A359" s="16">
        <v>46042</v>
      </c>
      <c r="B359" s="11" t="s">
        <v>87</v>
      </c>
      <c r="C359" s="11" t="s">
        <v>280</v>
      </c>
      <c r="D359" s="12">
        <v>752</v>
      </c>
      <c r="E359" s="12">
        <v>0</v>
      </c>
      <c r="F359" s="48"/>
      <c r="G359" s="48"/>
      <c r="H359" s="70"/>
    </row>
    <row r="360" spans="1:9" x14ac:dyDescent="0.35">
      <c r="A360" s="16">
        <v>46045</v>
      </c>
      <c r="B360" s="11" t="s">
        <v>6</v>
      </c>
      <c r="C360" s="11" t="s">
        <v>288</v>
      </c>
      <c r="D360" s="12">
        <v>0</v>
      </c>
      <c r="E360" s="12">
        <v>10214</v>
      </c>
      <c r="F360" s="48">
        <f>_xlfn.XLOOKUP(C360,TDS!$C:$C,TDS!$D:$D,0,0)</f>
        <v>173</v>
      </c>
      <c r="G360" s="52">
        <f>F360/E360</f>
        <v>1.6937536714313688E-2</v>
      </c>
      <c r="H360" s="86">
        <f>_xlfn.XLOOKUP(C360,'Invoice no ref in cutomer books'!$L:$L,'Invoice no ref in cutomer books'!$D:$D,,0)</f>
        <v>256779450805</v>
      </c>
      <c r="I360">
        <f>_xlfn.XLOOKUP(H360,'Ascendus Data'!$L:$L,'Ascendus Data'!$T:$T,,0)</f>
        <v>10214.049999999999</v>
      </c>
    </row>
    <row r="361" spans="1:9" x14ac:dyDescent="0.35">
      <c r="A361" s="50">
        <v>46045</v>
      </c>
      <c r="B361" s="51" t="s">
        <v>253</v>
      </c>
      <c r="C361" s="11" t="s">
        <v>288</v>
      </c>
      <c r="D361" s="12">
        <v>0</v>
      </c>
      <c r="E361" s="12">
        <v>0</v>
      </c>
      <c r="F361" s="48"/>
      <c r="G361" s="48"/>
      <c r="H361" s="70"/>
    </row>
    <row r="362" spans="1:9" x14ac:dyDescent="0.35">
      <c r="A362" s="16">
        <v>46045</v>
      </c>
      <c r="B362" s="11" t="s">
        <v>254</v>
      </c>
      <c r="C362" s="11" t="s">
        <v>288</v>
      </c>
      <c r="D362" s="12">
        <v>0</v>
      </c>
      <c r="E362" s="12">
        <v>0</v>
      </c>
      <c r="F362" s="48"/>
      <c r="G362" s="48"/>
      <c r="H362" s="70"/>
    </row>
    <row r="363" spans="1:9" x14ac:dyDescent="0.35">
      <c r="A363" s="16">
        <v>46045</v>
      </c>
      <c r="B363" s="11" t="s">
        <v>49</v>
      </c>
      <c r="C363" s="11" t="s">
        <v>288</v>
      </c>
      <c r="D363" s="12">
        <v>0</v>
      </c>
      <c r="E363" s="12">
        <v>0</v>
      </c>
      <c r="F363" s="48"/>
      <c r="G363" s="48"/>
      <c r="H363" s="70"/>
    </row>
    <row r="364" spans="1:9" x14ac:dyDescent="0.35">
      <c r="A364" s="16">
        <v>46045</v>
      </c>
      <c r="B364" s="11" t="s">
        <v>87</v>
      </c>
      <c r="C364" s="11" t="s">
        <v>288</v>
      </c>
      <c r="D364" s="12">
        <v>173</v>
      </c>
      <c r="E364" s="12">
        <v>0</v>
      </c>
      <c r="F364" s="48"/>
      <c r="G364" s="48"/>
      <c r="H364" s="70"/>
    </row>
    <row r="365" spans="1:9" x14ac:dyDescent="0.35">
      <c r="A365" s="16">
        <v>46045</v>
      </c>
      <c r="B365" s="11" t="s">
        <v>6</v>
      </c>
      <c r="C365" s="11" t="s">
        <v>289</v>
      </c>
      <c r="D365" s="12">
        <v>0</v>
      </c>
      <c r="E365" s="12">
        <v>828</v>
      </c>
      <c r="F365" s="48">
        <f>_xlfn.XLOOKUP(C365,TDS!$C:$C,TDS!$D:$D,0,0)</f>
        <v>14</v>
      </c>
      <c r="G365" s="52">
        <f>F365/E365</f>
        <v>1.6908212560386472E-2</v>
      </c>
      <c r="H365" s="86">
        <f>_xlfn.XLOOKUP(C365,'Invoice no ref in cutomer books'!$L:$L,'Invoice no ref in cutomer books'!$D:$D,,0)</f>
        <v>256779450977</v>
      </c>
      <c r="I365">
        <f>_xlfn.XLOOKUP(H365,'Ascendus Data'!$L:$L,'Ascendus Data'!$T:$T,,0)</f>
        <v>827.58</v>
      </c>
    </row>
    <row r="366" spans="1:9" x14ac:dyDescent="0.35">
      <c r="A366" s="50">
        <v>46045</v>
      </c>
      <c r="B366" s="51" t="s">
        <v>290</v>
      </c>
      <c r="C366" s="11" t="s">
        <v>289</v>
      </c>
      <c r="D366" s="12">
        <v>0</v>
      </c>
      <c r="E366" s="12">
        <v>0</v>
      </c>
      <c r="F366" s="48"/>
      <c r="G366" s="48"/>
      <c r="H366" s="70"/>
    </row>
    <row r="367" spans="1:9" x14ac:dyDescent="0.35">
      <c r="A367" s="16">
        <v>46045</v>
      </c>
      <c r="B367" s="11" t="s">
        <v>291</v>
      </c>
      <c r="C367" s="11" t="s">
        <v>289</v>
      </c>
      <c r="D367" s="12">
        <v>0</v>
      </c>
      <c r="E367" s="12">
        <v>0</v>
      </c>
      <c r="F367" s="48"/>
      <c r="G367" s="48"/>
      <c r="H367" s="70"/>
    </row>
    <row r="368" spans="1:9" x14ac:dyDescent="0.35">
      <c r="A368" s="16">
        <v>46045</v>
      </c>
      <c r="B368" s="11" t="s">
        <v>292</v>
      </c>
      <c r="C368" s="11" t="s">
        <v>289</v>
      </c>
      <c r="D368" s="12">
        <v>0</v>
      </c>
      <c r="E368" s="12">
        <v>0</v>
      </c>
      <c r="F368" s="48"/>
      <c r="G368" s="48"/>
      <c r="H368" s="70"/>
    </row>
    <row r="369" spans="1:9" x14ac:dyDescent="0.35">
      <c r="A369" s="16">
        <v>46045</v>
      </c>
      <c r="B369" s="11" t="s">
        <v>87</v>
      </c>
      <c r="C369" s="11" t="s">
        <v>289</v>
      </c>
      <c r="D369" s="12">
        <v>14</v>
      </c>
      <c r="E369" s="12">
        <v>0</v>
      </c>
      <c r="F369" s="48"/>
      <c r="G369" s="48"/>
      <c r="H369" s="70"/>
    </row>
    <row r="370" spans="1:9" x14ac:dyDescent="0.35">
      <c r="A370" s="16">
        <v>46045</v>
      </c>
      <c r="B370" s="11" t="s">
        <v>6</v>
      </c>
      <c r="C370" s="11" t="s">
        <v>293</v>
      </c>
      <c r="D370" s="12">
        <v>0</v>
      </c>
      <c r="E370" s="12">
        <v>6360</v>
      </c>
      <c r="F370" s="48">
        <f>_xlfn.XLOOKUP(C370,TDS!$C:$C,TDS!$D:$D,0,0)</f>
        <v>108</v>
      </c>
      <c r="G370" s="52">
        <f>F370/E370</f>
        <v>1.6981132075471698E-2</v>
      </c>
      <c r="H370" s="86">
        <f>_xlfn.XLOOKUP(C370,'Invoice no ref in cutomer books'!$L:$L,'Invoice no ref in cutomer books'!$D:$D,,0)</f>
        <v>256779450956</v>
      </c>
      <c r="I370">
        <f>_xlfn.XLOOKUP(H370,'Ascendus Data'!$L:$L,'Ascendus Data'!$T:$T,,0)</f>
        <v>6360.19</v>
      </c>
    </row>
    <row r="371" spans="1:9" x14ac:dyDescent="0.35">
      <c r="A371" s="50">
        <v>46045</v>
      </c>
      <c r="B371" s="51" t="s">
        <v>294</v>
      </c>
      <c r="C371" s="11" t="s">
        <v>293</v>
      </c>
      <c r="D371" s="12">
        <v>0</v>
      </c>
      <c r="E371" s="12">
        <v>0</v>
      </c>
      <c r="F371" s="48"/>
      <c r="G371" s="48"/>
      <c r="H371" s="70"/>
    </row>
    <row r="372" spans="1:9" x14ac:dyDescent="0.35">
      <c r="A372" s="16">
        <v>46045</v>
      </c>
      <c r="B372" s="11" t="s">
        <v>295</v>
      </c>
      <c r="C372" s="11" t="s">
        <v>293</v>
      </c>
      <c r="D372" s="12">
        <v>0</v>
      </c>
      <c r="E372" s="12">
        <v>0</v>
      </c>
      <c r="F372" s="48"/>
      <c r="G372" s="48"/>
      <c r="H372" s="70"/>
    </row>
    <row r="373" spans="1:9" x14ac:dyDescent="0.35">
      <c r="A373" s="16">
        <v>46045</v>
      </c>
      <c r="B373" s="11" t="s">
        <v>296</v>
      </c>
      <c r="C373" s="11" t="s">
        <v>293</v>
      </c>
      <c r="D373" s="12">
        <v>0</v>
      </c>
      <c r="E373" s="12">
        <v>0</v>
      </c>
      <c r="F373" s="48"/>
      <c r="G373" s="48"/>
      <c r="H373" s="70"/>
    </row>
    <row r="374" spans="1:9" x14ac:dyDescent="0.35">
      <c r="A374" s="16">
        <v>46045</v>
      </c>
      <c r="B374" s="11" t="s">
        <v>297</v>
      </c>
      <c r="C374" s="11" t="s">
        <v>293</v>
      </c>
      <c r="D374" s="12">
        <v>0</v>
      </c>
      <c r="E374" s="12">
        <v>0</v>
      </c>
      <c r="F374" s="48"/>
      <c r="G374" s="48"/>
      <c r="H374" s="70"/>
    </row>
    <row r="375" spans="1:9" x14ac:dyDescent="0.35">
      <c r="A375" s="16">
        <v>46045</v>
      </c>
      <c r="B375" s="11" t="s">
        <v>87</v>
      </c>
      <c r="C375" s="11" t="s">
        <v>293</v>
      </c>
      <c r="D375" s="12">
        <v>108</v>
      </c>
      <c r="E375" s="12">
        <v>0</v>
      </c>
      <c r="F375" s="48"/>
      <c r="G375" s="48"/>
      <c r="H375" s="70"/>
    </row>
    <row r="376" spans="1:9" x14ac:dyDescent="0.35">
      <c r="A376" s="16">
        <v>46046</v>
      </c>
      <c r="B376" s="11" t="s">
        <v>123</v>
      </c>
      <c r="C376" s="11" t="s">
        <v>298</v>
      </c>
      <c r="D376" s="12">
        <v>88026.21</v>
      </c>
      <c r="E376" s="12">
        <v>0</v>
      </c>
      <c r="F376" s="48"/>
      <c r="G376" s="48"/>
      <c r="H376" s="70"/>
    </row>
    <row r="377" spans="1:9" x14ac:dyDescent="0.35">
      <c r="A377" s="16">
        <v>46064</v>
      </c>
      <c r="B377" s="11" t="s">
        <v>6</v>
      </c>
      <c r="C377" s="11" t="s">
        <v>299</v>
      </c>
      <c r="D377" s="12">
        <v>0</v>
      </c>
      <c r="E377" s="12">
        <v>1779</v>
      </c>
      <c r="F377" s="48">
        <f>_xlfn.XLOOKUP(C377,TDS!$C:$C,TDS!$D:$D,0,0)</f>
        <v>30</v>
      </c>
      <c r="G377" s="52">
        <f>F377/E377</f>
        <v>1.6863406408094434E-2</v>
      </c>
      <c r="H377" s="86" t="e">
        <f>_xlfn.XLOOKUP(C377,'Invoice no ref in cutomer books'!$L:$L,'Invoice no ref in cutomer books'!$D:$D,,0)</f>
        <v>#N/A</v>
      </c>
      <c r="I377" t="e">
        <f>_xlfn.XLOOKUP(H377,'Ascendus Data'!$L:$L,'Ascendus Data'!$T:$T,,0)</f>
        <v>#N/A</v>
      </c>
    </row>
    <row r="378" spans="1:9" x14ac:dyDescent="0.35">
      <c r="A378" s="50">
        <v>46064</v>
      </c>
      <c r="B378" s="51" t="s">
        <v>300</v>
      </c>
      <c r="C378" s="11" t="s">
        <v>299</v>
      </c>
      <c r="D378" s="12">
        <v>0</v>
      </c>
      <c r="E378" s="12">
        <v>0</v>
      </c>
      <c r="F378" s="48"/>
      <c r="G378" s="48"/>
      <c r="H378" s="70"/>
    </row>
    <row r="379" spans="1:9" x14ac:dyDescent="0.35">
      <c r="A379" s="16">
        <v>46064</v>
      </c>
      <c r="B379" s="11" t="s">
        <v>300</v>
      </c>
      <c r="C379" s="11" t="s">
        <v>299</v>
      </c>
      <c r="D379" s="12">
        <v>0</v>
      </c>
      <c r="E379" s="12">
        <v>0</v>
      </c>
      <c r="F379" s="48"/>
      <c r="G379" s="48"/>
      <c r="H379" s="70"/>
    </row>
    <row r="380" spans="1:9" x14ac:dyDescent="0.35">
      <c r="A380" s="16">
        <v>46064</v>
      </c>
      <c r="B380" s="11" t="s">
        <v>301</v>
      </c>
      <c r="C380" s="11" t="s">
        <v>299</v>
      </c>
      <c r="D380" s="12">
        <v>0</v>
      </c>
      <c r="E380" s="12">
        <v>0</v>
      </c>
      <c r="F380" s="48"/>
      <c r="G380" s="48"/>
      <c r="H380" s="70"/>
    </row>
    <row r="381" spans="1:9" x14ac:dyDescent="0.35">
      <c r="A381" s="16">
        <v>46064</v>
      </c>
      <c r="B381" s="11" t="s">
        <v>302</v>
      </c>
      <c r="C381" s="11" t="s">
        <v>299</v>
      </c>
      <c r="D381" s="12">
        <v>0</v>
      </c>
      <c r="E381" s="12">
        <v>0</v>
      </c>
      <c r="F381" s="48"/>
      <c r="G381" s="48"/>
      <c r="H381" s="70"/>
    </row>
    <row r="382" spans="1:9" x14ac:dyDescent="0.35">
      <c r="A382" s="16">
        <v>46064</v>
      </c>
      <c r="B382" s="11" t="s">
        <v>41</v>
      </c>
      <c r="C382" s="11" t="s">
        <v>299</v>
      </c>
      <c r="D382" s="12">
        <v>0</v>
      </c>
      <c r="E382" s="12">
        <v>0</v>
      </c>
      <c r="F382" s="48"/>
      <c r="G382" s="48"/>
      <c r="H382" s="70"/>
    </row>
    <row r="383" spans="1:9" x14ac:dyDescent="0.35">
      <c r="A383" s="16">
        <v>46064</v>
      </c>
      <c r="B383" s="11" t="s">
        <v>87</v>
      </c>
      <c r="C383" s="11" t="s">
        <v>299</v>
      </c>
      <c r="D383" s="12">
        <v>30</v>
      </c>
      <c r="E383" s="12">
        <v>0</v>
      </c>
      <c r="F383" s="48"/>
      <c r="G383" s="48"/>
      <c r="H383" s="70"/>
    </row>
    <row r="384" spans="1:9" x14ac:dyDescent="0.35">
      <c r="A384" s="16">
        <v>46064</v>
      </c>
      <c r="B384" s="11" t="s">
        <v>6</v>
      </c>
      <c r="C384" s="11" t="s">
        <v>303</v>
      </c>
      <c r="D384" s="12">
        <v>0</v>
      </c>
      <c r="E384" s="12">
        <v>4067</v>
      </c>
      <c r="F384" s="48">
        <f>_xlfn.XLOOKUP(C384,TDS!$C:$C,TDS!$D:$D,0,0)</f>
        <v>69</v>
      </c>
      <c r="G384" s="52">
        <f>F384/E384</f>
        <v>1.6965822473567739E-2</v>
      </c>
      <c r="H384" s="86" t="e">
        <f>_xlfn.XLOOKUP(C384,'Invoice no ref in cutomer books'!$L:$L,'Invoice no ref in cutomer books'!$D:$D,,0)</f>
        <v>#N/A</v>
      </c>
      <c r="I384" t="e">
        <f>_xlfn.XLOOKUP(H384,'Ascendus Data'!$L:$L,'Ascendus Data'!$T:$T,,0)</f>
        <v>#N/A</v>
      </c>
    </row>
    <row r="385" spans="1:9" x14ac:dyDescent="0.35">
      <c r="A385" s="50">
        <v>46064</v>
      </c>
      <c r="B385" s="51" t="s">
        <v>304</v>
      </c>
      <c r="C385" s="11" t="s">
        <v>303</v>
      </c>
      <c r="D385" s="12">
        <v>0</v>
      </c>
      <c r="E385" s="12">
        <v>0</v>
      </c>
      <c r="F385" s="48"/>
      <c r="G385" s="48"/>
      <c r="H385" s="70"/>
    </row>
    <row r="386" spans="1:9" x14ac:dyDescent="0.35">
      <c r="A386" s="16">
        <v>46064</v>
      </c>
      <c r="B386" s="11" t="s">
        <v>305</v>
      </c>
      <c r="C386" s="11" t="s">
        <v>303</v>
      </c>
      <c r="D386" s="12">
        <v>0</v>
      </c>
      <c r="E386" s="12">
        <v>0</v>
      </c>
      <c r="F386" s="48"/>
      <c r="G386" s="48"/>
      <c r="H386" s="70"/>
    </row>
    <row r="387" spans="1:9" x14ac:dyDescent="0.35">
      <c r="A387" s="16">
        <v>46064</v>
      </c>
      <c r="B387" s="11" t="s">
        <v>306</v>
      </c>
      <c r="C387" s="11" t="s">
        <v>303</v>
      </c>
      <c r="D387" s="12">
        <v>0</v>
      </c>
      <c r="E387" s="12">
        <v>0</v>
      </c>
      <c r="F387" s="48"/>
      <c r="G387" s="48"/>
      <c r="H387" s="70"/>
    </row>
    <row r="388" spans="1:9" x14ac:dyDescent="0.35">
      <c r="A388" s="16">
        <v>46064</v>
      </c>
      <c r="B388" s="11" t="s">
        <v>87</v>
      </c>
      <c r="C388" s="11" t="s">
        <v>303</v>
      </c>
      <c r="D388" s="12">
        <v>69</v>
      </c>
      <c r="E388" s="12">
        <v>0</v>
      </c>
      <c r="F388" s="48"/>
      <c r="G388" s="48"/>
      <c r="H388" s="70"/>
    </row>
    <row r="389" spans="1:9" x14ac:dyDescent="0.35">
      <c r="A389" s="16">
        <v>46065</v>
      </c>
      <c r="B389" s="11" t="s">
        <v>6</v>
      </c>
      <c r="C389" s="11" t="s">
        <v>307</v>
      </c>
      <c r="D389" s="12">
        <v>0</v>
      </c>
      <c r="E389" s="12">
        <v>45918</v>
      </c>
      <c r="F389" s="48">
        <f>_xlfn.XLOOKUP(C389,TDS!$C:$C,TDS!$D:$D,0,0)</f>
        <v>778</v>
      </c>
      <c r="G389" s="52">
        <f>F389/E389</f>
        <v>1.6943246657084368E-2</v>
      </c>
      <c r="H389" s="86">
        <f>_xlfn.XLOOKUP(C389,'Invoice no ref in cutomer books'!$L:$L,'Invoice no ref in cutomer books'!$D:$D,,0)</f>
        <v>256779416975</v>
      </c>
      <c r="I389">
        <f>_xlfn.XLOOKUP(H389,'Ascendus Data'!$L:$L,'Ascendus Data'!$T:$T,,0)</f>
        <v>45800.62</v>
      </c>
    </row>
    <row r="390" spans="1:9" x14ac:dyDescent="0.35">
      <c r="A390" s="50">
        <v>46065</v>
      </c>
      <c r="B390" s="51" t="s">
        <v>308</v>
      </c>
      <c r="C390" s="11" t="s">
        <v>307</v>
      </c>
      <c r="D390" s="12">
        <v>0</v>
      </c>
      <c r="E390" s="12">
        <v>0</v>
      </c>
      <c r="F390" s="48"/>
      <c r="G390" s="48"/>
      <c r="H390" s="70"/>
    </row>
    <row r="391" spans="1:9" x14ac:dyDescent="0.35">
      <c r="A391" s="16">
        <v>46065</v>
      </c>
      <c r="B391" s="11" t="s">
        <v>309</v>
      </c>
      <c r="C391" s="11" t="s">
        <v>307</v>
      </c>
      <c r="D391" s="12">
        <v>0</v>
      </c>
      <c r="E391" s="12">
        <v>0</v>
      </c>
      <c r="F391" s="48"/>
      <c r="G391" s="48"/>
      <c r="H391" s="70"/>
    </row>
    <row r="392" spans="1:9" x14ac:dyDescent="0.35">
      <c r="A392" s="16">
        <v>46065</v>
      </c>
      <c r="B392" s="11" t="s">
        <v>310</v>
      </c>
      <c r="C392" s="11" t="s">
        <v>307</v>
      </c>
      <c r="D392" s="12">
        <v>0</v>
      </c>
      <c r="E392" s="12">
        <v>0</v>
      </c>
      <c r="F392" s="48"/>
      <c r="G392" s="48"/>
      <c r="H392" s="70"/>
    </row>
    <row r="393" spans="1:9" x14ac:dyDescent="0.35">
      <c r="A393" s="16">
        <v>46065</v>
      </c>
      <c r="B393" s="11" t="s">
        <v>311</v>
      </c>
      <c r="C393" s="11" t="s">
        <v>307</v>
      </c>
      <c r="D393" s="12">
        <v>0</v>
      </c>
      <c r="E393" s="12">
        <v>0</v>
      </c>
      <c r="F393" s="48"/>
      <c r="G393" s="48"/>
      <c r="H393" s="70"/>
    </row>
    <row r="394" spans="1:9" x14ac:dyDescent="0.35">
      <c r="A394" s="16">
        <v>46065</v>
      </c>
      <c r="B394" s="11" t="s">
        <v>312</v>
      </c>
      <c r="C394" s="11" t="s">
        <v>307</v>
      </c>
      <c r="D394" s="12">
        <v>0</v>
      </c>
      <c r="E394" s="12">
        <v>0</v>
      </c>
      <c r="F394" s="48"/>
      <c r="G394" s="48"/>
      <c r="H394" s="70"/>
    </row>
    <row r="395" spans="1:9" x14ac:dyDescent="0.35">
      <c r="A395" s="16">
        <v>46065</v>
      </c>
      <c r="B395" s="11" t="s">
        <v>313</v>
      </c>
      <c r="C395" s="11" t="s">
        <v>307</v>
      </c>
      <c r="D395" s="12">
        <v>0</v>
      </c>
      <c r="E395" s="12">
        <v>0</v>
      </c>
      <c r="F395" s="48"/>
      <c r="G395" s="48"/>
      <c r="H395" s="70"/>
    </row>
    <row r="396" spans="1:9" x14ac:dyDescent="0.35">
      <c r="A396" s="16">
        <v>46065</v>
      </c>
      <c r="B396" s="11" t="s">
        <v>314</v>
      </c>
      <c r="C396" s="11" t="s">
        <v>307</v>
      </c>
      <c r="D396" s="12">
        <v>0</v>
      </c>
      <c r="E396" s="12">
        <v>0</v>
      </c>
      <c r="F396" s="48"/>
      <c r="G396" s="48"/>
      <c r="H396" s="70"/>
    </row>
    <row r="397" spans="1:9" x14ac:dyDescent="0.35">
      <c r="A397" s="16">
        <v>46065</v>
      </c>
      <c r="B397" s="11" t="s">
        <v>315</v>
      </c>
      <c r="C397" s="11" t="s">
        <v>307</v>
      </c>
      <c r="D397" s="12">
        <v>0</v>
      </c>
      <c r="E397" s="12">
        <v>0</v>
      </c>
      <c r="F397" s="48"/>
      <c r="G397" s="48"/>
      <c r="H397" s="70"/>
    </row>
    <row r="398" spans="1:9" x14ac:dyDescent="0.35">
      <c r="A398" s="16">
        <v>46065</v>
      </c>
      <c r="B398" s="11" t="s">
        <v>87</v>
      </c>
      <c r="C398" s="11" t="s">
        <v>307</v>
      </c>
      <c r="D398" s="12">
        <v>778</v>
      </c>
      <c r="E398" s="12">
        <v>0</v>
      </c>
      <c r="F398" s="48"/>
      <c r="G398" s="48"/>
      <c r="H398" s="70"/>
    </row>
    <row r="399" spans="1:9" x14ac:dyDescent="0.35">
      <c r="A399" s="16">
        <v>46065</v>
      </c>
      <c r="B399" s="11" t="s">
        <v>6</v>
      </c>
      <c r="C399" s="11" t="s">
        <v>316</v>
      </c>
      <c r="D399" s="12">
        <v>0</v>
      </c>
      <c r="E399" s="12">
        <v>10846</v>
      </c>
      <c r="F399" s="48">
        <f>_xlfn.XLOOKUP(C399,TDS!$C:$C,TDS!$D:$D,0,0)</f>
        <v>184</v>
      </c>
      <c r="G399" s="52">
        <f>F399/E399</f>
        <v>1.6964779642264428E-2</v>
      </c>
      <c r="H399" s="86">
        <f>_xlfn.XLOOKUP(C399,'Invoice no ref in cutomer books'!$L:$L,'Invoice no ref in cutomer books'!$D:$D,,0)</f>
        <v>256779450495</v>
      </c>
      <c r="I399">
        <f>_xlfn.XLOOKUP(H399,'Ascendus Data'!$L:$L,'Ascendus Data'!$T:$T,,0)</f>
        <v>10895.53</v>
      </c>
    </row>
    <row r="400" spans="1:9" x14ac:dyDescent="0.35">
      <c r="A400" s="50">
        <v>46065</v>
      </c>
      <c r="B400" s="51" t="s">
        <v>317</v>
      </c>
      <c r="C400" s="11" t="s">
        <v>316</v>
      </c>
      <c r="D400" s="12">
        <v>0</v>
      </c>
      <c r="E400" s="12">
        <v>0</v>
      </c>
      <c r="F400" s="48"/>
      <c r="G400" s="48"/>
      <c r="H400" s="70"/>
    </row>
    <row r="401" spans="1:9" x14ac:dyDescent="0.35">
      <c r="A401" s="16">
        <v>46065</v>
      </c>
      <c r="B401" s="11" t="s">
        <v>318</v>
      </c>
      <c r="C401" s="11" t="s">
        <v>316</v>
      </c>
      <c r="D401" s="12">
        <v>0</v>
      </c>
      <c r="E401" s="12">
        <v>0</v>
      </c>
      <c r="F401" s="48"/>
      <c r="G401" s="48"/>
      <c r="H401" s="70"/>
    </row>
    <row r="402" spans="1:9" x14ac:dyDescent="0.35">
      <c r="A402" s="16">
        <v>46065</v>
      </c>
      <c r="B402" s="11" t="s">
        <v>319</v>
      </c>
      <c r="C402" s="11" t="s">
        <v>316</v>
      </c>
      <c r="D402" s="12">
        <v>0</v>
      </c>
      <c r="E402" s="12">
        <v>0</v>
      </c>
      <c r="F402" s="48"/>
      <c r="G402" s="48"/>
      <c r="H402" s="70"/>
    </row>
    <row r="403" spans="1:9" x14ac:dyDescent="0.35">
      <c r="A403" s="16">
        <v>46065</v>
      </c>
      <c r="B403" s="11" t="s">
        <v>87</v>
      </c>
      <c r="C403" s="11" t="s">
        <v>316</v>
      </c>
      <c r="D403" s="12">
        <v>184</v>
      </c>
      <c r="E403" s="12">
        <v>0</v>
      </c>
      <c r="F403" s="48"/>
      <c r="G403" s="48"/>
      <c r="H403" s="70"/>
    </row>
    <row r="404" spans="1:9" x14ac:dyDescent="0.35">
      <c r="A404" s="16">
        <v>46076</v>
      </c>
      <c r="B404" s="11" t="s">
        <v>6</v>
      </c>
      <c r="C404" s="11" t="s">
        <v>320</v>
      </c>
      <c r="D404" s="12">
        <v>0</v>
      </c>
      <c r="E404" s="12">
        <v>42919</v>
      </c>
      <c r="F404" s="48">
        <f>_xlfn.XLOOKUP(C404,TDS!$C:$C,TDS!$D:$D,0,0)</f>
        <v>727</v>
      </c>
      <c r="G404" s="52">
        <f>F404/E404</f>
        <v>1.6938884876162071E-2</v>
      </c>
      <c r="H404" s="86" t="e">
        <f>_xlfn.XLOOKUP(C404,'Invoice no ref in cutomer books'!$L:$L,'Invoice no ref in cutomer books'!$D:$D,,0)</f>
        <v>#N/A</v>
      </c>
      <c r="I404" t="e">
        <f>_xlfn.XLOOKUP(H404,'Ascendus Data'!$L:$L,'Ascendus Data'!$T:$T,,0)</f>
        <v>#N/A</v>
      </c>
    </row>
    <row r="405" spans="1:9" x14ac:dyDescent="0.35">
      <c r="A405" s="50">
        <v>46076</v>
      </c>
      <c r="B405" s="51" t="s">
        <v>321</v>
      </c>
      <c r="C405" s="11" t="s">
        <v>320</v>
      </c>
      <c r="D405" s="12">
        <v>0</v>
      </c>
      <c r="E405" s="12">
        <v>0</v>
      </c>
      <c r="F405" s="48"/>
      <c r="G405" s="48"/>
      <c r="H405" s="70"/>
    </row>
    <row r="406" spans="1:9" x14ac:dyDescent="0.35">
      <c r="A406" s="16">
        <v>46076</v>
      </c>
      <c r="B406" s="11" t="s">
        <v>322</v>
      </c>
      <c r="C406" s="11" t="s">
        <v>320</v>
      </c>
      <c r="D406" s="12">
        <v>0</v>
      </c>
      <c r="E406" s="12">
        <v>0</v>
      </c>
      <c r="F406" s="48"/>
      <c r="G406" s="48"/>
      <c r="H406" s="70"/>
    </row>
    <row r="407" spans="1:9" x14ac:dyDescent="0.35">
      <c r="A407" s="16">
        <v>46076</v>
      </c>
      <c r="B407" s="11" t="s">
        <v>323</v>
      </c>
      <c r="C407" s="11" t="s">
        <v>320</v>
      </c>
      <c r="D407" s="12">
        <v>0</v>
      </c>
      <c r="E407" s="12">
        <v>0</v>
      </c>
      <c r="F407" s="48"/>
      <c r="G407" s="48"/>
      <c r="H407" s="70"/>
    </row>
    <row r="408" spans="1:9" x14ac:dyDescent="0.35">
      <c r="A408" s="16">
        <v>46076</v>
      </c>
      <c r="B408" s="11" t="s">
        <v>324</v>
      </c>
      <c r="C408" s="11" t="s">
        <v>320</v>
      </c>
      <c r="D408" s="12">
        <v>0</v>
      </c>
      <c r="E408" s="12">
        <v>0</v>
      </c>
      <c r="F408" s="48"/>
      <c r="G408" s="48"/>
      <c r="H408" s="70"/>
    </row>
    <row r="409" spans="1:9" x14ac:dyDescent="0.35">
      <c r="A409" s="47">
        <v>46076</v>
      </c>
      <c r="B409" s="48" t="s">
        <v>325</v>
      </c>
      <c r="C409" s="48" t="s">
        <v>320</v>
      </c>
      <c r="D409" s="49">
        <v>0</v>
      </c>
      <c r="E409" s="49">
        <v>0</v>
      </c>
      <c r="F409" s="48"/>
      <c r="G409" s="48"/>
      <c r="H409" s="70"/>
    </row>
    <row r="410" spans="1:9" x14ac:dyDescent="0.35">
      <c r="A410" s="16">
        <v>46076</v>
      </c>
      <c r="B410" s="11" t="s">
        <v>326</v>
      </c>
      <c r="C410" s="11" t="s">
        <v>320</v>
      </c>
      <c r="D410" s="39">
        <v>0</v>
      </c>
      <c r="E410" s="39">
        <v>0</v>
      </c>
      <c r="F410" s="48"/>
      <c r="G410" s="48"/>
      <c r="H410" s="70"/>
    </row>
    <row r="411" spans="1:9" x14ac:dyDescent="0.35">
      <c r="A411" s="16">
        <v>46076</v>
      </c>
      <c r="B411" s="11" t="s">
        <v>87</v>
      </c>
      <c r="C411" s="11" t="s">
        <v>320</v>
      </c>
      <c r="D411" s="39">
        <v>727</v>
      </c>
      <c r="E411" s="39">
        <v>0</v>
      </c>
      <c r="F411" s="48"/>
      <c r="G411" s="48"/>
      <c r="H411" s="70"/>
    </row>
    <row r="412" spans="1:9" x14ac:dyDescent="0.35">
      <c r="A412" s="17"/>
      <c r="B412" s="1"/>
      <c r="C412" s="1"/>
      <c r="D412" s="2">
        <f>SUM(D3:D411)</f>
        <v>378627.12</v>
      </c>
      <c r="E412" s="2">
        <f>SUM(E3:E411)</f>
        <v>1275547.9299999997</v>
      </c>
      <c r="F412" s="5">
        <f>E412-D412</f>
        <v>896920.80999999971</v>
      </c>
    </row>
    <row r="413" spans="1:9" x14ac:dyDescent="0.35">
      <c r="A413" s="17"/>
      <c r="B413" s="1"/>
      <c r="C413" s="1"/>
      <c r="D413" s="2"/>
      <c r="E413" s="2"/>
    </row>
    <row r="414" spans="1:9" x14ac:dyDescent="0.35">
      <c r="A414" s="17"/>
      <c r="B414" s="1"/>
      <c r="C414" s="1"/>
      <c r="D414" s="2"/>
      <c r="E414" s="2"/>
    </row>
    <row r="415" spans="1:9" x14ac:dyDescent="0.35">
      <c r="A415" s="17"/>
      <c r="B415" s="1"/>
      <c r="C415" s="1"/>
      <c r="D415" s="2"/>
      <c r="E415" s="2"/>
    </row>
    <row r="416" spans="1:9" x14ac:dyDescent="0.35">
      <c r="A416" s="17"/>
      <c r="B416" s="1"/>
      <c r="C416" s="1"/>
      <c r="D416" s="2"/>
      <c r="E416" s="2"/>
    </row>
    <row r="417" spans="1:5" x14ac:dyDescent="0.35">
      <c r="A417" s="17"/>
      <c r="B417" s="1"/>
      <c r="C417" s="1"/>
      <c r="D417" s="2"/>
      <c r="E417" s="2"/>
    </row>
    <row r="418" spans="1:5" x14ac:dyDescent="0.35">
      <c r="A418" s="17"/>
      <c r="B418" s="1"/>
      <c r="C418" s="1"/>
      <c r="D418" s="2"/>
      <c r="E418" s="2"/>
    </row>
    <row r="419" spans="1:5" x14ac:dyDescent="0.35">
      <c r="A419" s="17"/>
      <c r="B419" s="1"/>
      <c r="C419" s="1"/>
      <c r="D419" s="2"/>
      <c r="E419" s="2"/>
    </row>
    <row r="420" spans="1:5" x14ac:dyDescent="0.35">
      <c r="A420" s="17"/>
      <c r="B420" s="1"/>
      <c r="C420" s="1"/>
      <c r="D420" s="2"/>
      <c r="E420" s="2"/>
    </row>
    <row r="421" spans="1:5" x14ac:dyDescent="0.35">
      <c r="A421" s="17"/>
      <c r="B421" s="1"/>
      <c r="C421" s="1"/>
      <c r="D421" s="2"/>
      <c r="E421" s="2"/>
    </row>
    <row r="422" spans="1:5" x14ac:dyDescent="0.35">
      <c r="A422" s="17"/>
      <c r="B422" s="129"/>
      <c r="C422" s="1"/>
      <c r="D422" s="2"/>
      <c r="E422" s="2"/>
    </row>
    <row r="423" spans="1:5" x14ac:dyDescent="0.35">
      <c r="A423" s="17"/>
      <c r="B423" s="1"/>
      <c r="C423" s="1"/>
      <c r="D423" s="2"/>
      <c r="E423" s="2"/>
    </row>
    <row r="424" spans="1:5" x14ac:dyDescent="0.35">
      <c r="A424" s="17"/>
      <c r="B424" s="1"/>
      <c r="C424" s="1"/>
      <c r="D424" s="2"/>
      <c r="E424" s="2"/>
    </row>
    <row r="425" spans="1:5" x14ac:dyDescent="0.35">
      <c r="A425" s="17"/>
      <c r="B425" s="1"/>
      <c r="C425" s="1"/>
      <c r="D425" s="2"/>
      <c r="E425" s="2"/>
    </row>
    <row r="426" spans="1:5" x14ac:dyDescent="0.35">
      <c r="A426" s="17"/>
      <c r="B426" s="1"/>
      <c r="C426" s="1"/>
      <c r="D426" s="2"/>
      <c r="E426" s="2"/>
    </row>
    <row r="427" spans="1:5" x14ac:dyDescent="0.35">
      <c r="A427" s="17"/>
      <c r="B427" s="1"/>
      <c r="C427" s="1"/>
      <c r="D427" s="2"/>
      <c r="E427" s="2"/>
    </row>
    <row r="428" spans="1:5" x14ac:dyDescent="0.35">
      <c r="A428" s="17"/>
      <c r="B428" s="1"/>
      <c r="C428" s="1"/>
      <c r="D428" s="2"/>
      <c r="E428" s="2"/>
    </row>
    <row r="429" spans="1:5" x14ac:dyDescent="0.35">
      <c r="A429" s="17"/>
      <c r="B429" s="1"/>
      <c r="C429" s="1"/>
      <c r="D429" s="2"/>
      <c r="E429" s="2"/>
    </row>
    <row r="430" spans="1:5" x14ac:dyDescent="0.35">
      <c r="A430" s="17"/>
      <c r="B430" s="1"/>
      <c r="C430" s="1"/>
      <c r="D430" s="2"/>
      <c r="E430" s="2"/>
    </row>
    <row r="431" spans="1:5" x14ac:dyDescent="0.35">
      <c r="A431" s="17"/>
      <c r="B431" s="1"/>
      <c r="C431" s="1"/>
      <c r="D431" s="2"/>
      <c r="E431" s="2"/>
    </row>
    <row r="432" spans="1:5" x14ac:dyDescent="0.35">
      <c r="A432" s="17"/>
      <c r="B432" s="1"/>
      <c r="C432" s="1"/>
      <c r="D432" s="2"/>
      <c r="E432" s="2"/>
    </row>
    <row r="433" spans="1:5" x14ac:dyDescent="0.35">
      <c r="A433" s="17"/>
      <c r="B433" s="1"/>
      <c r="C433" s="1"/>
      <c r="D433" s="2"/>
      <c r="E433" s="2"/>
    </row>
    <row r="434" spans="1:5" x14ac:dyDescent="0.35">
      <c r="A434" s="17"/>
      <c r="B434" s="1"/>
      <c r="C434" s="1"/>
      <c r="D434" s="2"/>
      <c r="E434" s="2"/>
    </row>
    <row r="435" spans="1:5" x14ac:dyDescent="0.35">
      <c r="A435" s="17"/>
      <c r="B435" s="1"/>
      <c r="C435" s="1"/>
      <c r="D435" s="2"/>
      <c r="E435" s="2"/>
    </row>
    <row r="436" spans="1:5" x14ac:dyDescent="0.35">
      <c r="A436" s="17"/>
      <c r="B436" s="1"/>
      <c r="C436" s="1"/>
      <c r="D436" s="2"/>
      <c r="E436" s="2"/>
    </row>
    <row r="437" spans="1:5" x14ac:dyDescent="0.35">
      <c r="A437" s="17"/>
      <c r="B437" s="1"/>
      <c r="C437" s="1"/>
      <c r="D437" s="2"/>
      <c r="E437" s="2"/>
    </row>
    <row r="438" spans="1:5" x14ac:dyDescent="0.35">
      <c r="A438" s="17"/>
      <c r="B438" s="1"/>
      <c r="C438" s="1"/>
      <c r="D438" s="2"/>
      <c r="E438" s="2"/>
    </row>
    <row r="439" spans="1:5" x14ac:dyDescent="0.35">
      <c r="A439" s="17"/>
      <c r="B439" s="1"/>
      <c r="C439" s="1"/>
      <c r="D439" s="2"/>
      <c r="E439" s="2"/>
    </row>
    <row r="440" spans="1:5" x14ac:dyDescent="0.35">
      <c r="A440" s="17"/>
      <c r="B440" s="1"/>
      <c r="C440" s="1"/>
      <c r="D440" s="2"/>
      <c r="E440" s="2"/>
    </row>
    <row r="441" spans="1:5" x14ac:dyDescent="0.35">
      <c r="A441" s="17"/>
      <c r="B441" s="1"/>
      <c r="C441" s="1"/>
      <c r="D441" s="2"/>
      <c r="E441" s="2"/>
    </row>
    <row r="442" spans="1:5" x14ac:dyDescent="0.35">
      <c r="A442" s="17"/>
      <c r="B442" s="1"/>
      <c r="C442" s="1"/>
      <c r="D442" s="2"/>
      <c r="E442" s="2"/>
    </row>
    <row r="443" spans="1:5" x14ac:dyDescent="0.35">
      <c r="A443" s="17"/>
      <c r="B443" s="1"/>
      <c r="C443" s="1"/>
      <c r="D443" s="2"/>
      <c r="E443" s="2"/>
    </row>
    <row r="444" spans="1:5" x14ac:dyDescent="0.35">
      <c r="A444" s="17"/>
      <c r="B444" s="1"/>
      <c r="C444" s="1"/>
      <c r="D444" s="2"/>
      <c r="E444" s="2"/>
    </row>
    <row r="445" spans="1:5" x14ac:dyDescent="0.35">
      <c r="A445" s="17"/>
      <c r="B445" s="1"/>
      <c r="C445" s="1"/>
      <c r="D445" s="2"/>
      <c r="E445" s="2"/>
    </row>
    <row r="446" spans="1:5" x14ac:dyDescent="0.35">
      <c r="A446" s="17"/>
      <c r="B446" s="1"/>
      <c r="C446" s="1"/>
      <c r="D446" s="2"/>
      <c r="E446" s="2"/>
    </row>
    <row r="447" spans="1:5" x14ac:dyDescent="0.35">
      <c r="A447" s="17"/>
      <c r="B447" s="1"/>
      <c r="C447" s="1"/>
      <c r="D447" s="2"/>
      <c r="E447" s="2"/>
    </row>
    <row r="448" spans="1:5" x14ac:dyDescent="0.35">
      <c r="A448" s="17"/>
      <c r="B448" s="1"/>
      <c r="C448" s="1"/>
      <c r="D448" s="2"/>
      <c r="E448" s="2"/>
    </row>
    <row r="449" spans="1:5" x14ac:dyDescent="0.35">
      <c r="A449" s="17"/>
      <c r="B449" s="1"/>
      <c r="C449" s="1"/>
      <c r="D449" s="2"/>
      <c r="E449" s="2"/>
    </row>
    <row r="450" spans="1:5" x14ac:dyDescent="0.35">
      <c r="A450" s="17"/>
      <c r="B450" s="1"/>
      <c r="C450" s="1"/>
      <c r="D450" s="2"/>
      <c r="E450" s="2"/>
    </row>
    <row r="451" spans="1:5" x14ac:dyDescent="0.35">
      <c r="A451" s="17"/>
      <c r="B451" s="1"/>
      <c r="C451" s="1"/>
      <c r="D451" s="2"/>
      <c r="E451" s="2"/>
    </row>
    <row r="452" spans="1:5" x14ac:dyDescent="0.35">
      <c r="A452" s="17"/>
      <c r="B452" s="1"/>
      <c r="C452" s="1"/>
      <c r="D452" s="2"/>
      <c r="E452" s="2"/>
    </row>
    <row r="453" spans="1:5" x14ac:dyDescent="0.35">
      <c r="A453" s="17"/>
      <c r="B453" s="1"/>
      <c r="C453" s="1"/>
      <c r="D453" s="2"/>
      <c r="E453" s="2"/>
    </row>
    <row r="454" spans="1:5" x14ac:dyDescent="0.35">
      <c r="A454" s="17"/>
      <c r="B454" s="1"/>
      <c r="C454" s="1"/>
      <c r="D454" s="2"/>
      <c r="E454" s="2"/>
    </row>
    <row r="455" spans="1:5" x14ac:dyDescent="0.35">
      <c r="A455" s="17"/>
      <c r="B455" s="1"/>
      <c r="C455" s="1"/>
      <c r="D455" s="2"/>
      <c r="E455" s="2"/>
    </row>
    <row r="456" spans="1:5" x14ac:dyDescent="0.35">
      <c r="A456" s="17"/>
      <c r="B456" s="1"/>
      <c r="C456" s="1"/>
      <c r="D456" s="2"/>
      <c r="E456" s="2"/>
    </row>
    <row r="457" spans="1:5" x14ac:dyDescent="0.35">
      <c r="A457" s="17"/>
      <c r="B457" s="1"/>
      <c r="C457" s="1"/>
      <c r="D457" s="2"/>
      <c r="E457" s="2"/>
    </row>
    <row r="458" spans="1:5" x14ac:dyDescent="0.35">
      <c r="A458" s="17"/>
      <c r="B458" s="1"/>
      <c r="C458" s="1"/>
      <c r="D458" s="2"/>
      <c r="E458" s="2"/>
    </row>
    <row r="459" spans="1:5" x14ac:dyDescent="0.35">
      <c r="A459" s="17"/>
      <c r="B459" s="1"/>
      <c r="C459" s="1"/>
      <c r="D459" s="2"/>
      <c r="E459" s="2"/>
    </row>
    <row r="460" spans="1:5" x14ac:dyDescent="0.35">
      <c r="A460" s="17"/>
      <c r="B460" s="1"/>
      <c r="C460" s="1"/>
      <c r="D460" s="2"/>
      <c r="E460" s="2"/>
    </row>
    <row r="461" spans="1:5" x14ac:dyDescent="0.35">
      <c r="A461" s="17"/>
      <c r="B461" s="1"/>
      <c r="C461" s="1"/>
      <c r="D461" s="2"/>
      <c r="E461" s="2"/>
    </row>
    <row r="462" spans="1:5" x14ac:dyDescent="0.35">
      <c r="A462" s="17"/>
      <c r="B462" s="1"/>
      <c r="C462" s="1"/>
      <c r="D462" s="2"/>
      <c r="E462" s="2"/>
    </row>
    <row r="463" spans="1:5" x14ac:dyDescent="0.35">
      <c r="A463" s="17"/>
      <c r="B463" s="1"/>
      <c r="C463" s="1"/>
      <c r="D463" s="2"/>
      <c r="E463" s="2"/>
    </row>
    <row r="464" spans="1:5" x14ac:dyDescent="0.35">
      <c r="A464" s="17"/>
      <c r="B464" s="1"/>
      <c r="C464" s="1"/>
      <c r="D464" s="2"/>
      <c r="E464" s="2"/>
    </row>
    <row r="465" spans="1:5" x14ac:dyDescent="0.35">
      <c r="A465" s="17"/>
      <c r="B465" s="1"/>
      <c r="C465" s="1"/>
      <c r="D465" s="2"/>
      <c r="E465" s="2"/>
    </row>
    <row r="466" spans="1:5" x14ac:dyDescent="0.35">
      <c r="A466" s="17"/>
      <c r="B466" s="1"/>
      <c r="C466" s="1"/>
      <c r="D466" s="2"/>
      <c r="E466" s="2"/>
    </row>
    <row r="467" spans="1:5" x14ac:dyDescent="0.35">
      <c r="A467" s="17"/>
      <c r="B467" s="1"/>
      <c r="C467" s="1"/>
      <c r="D467" s="2"/>
      <c r="E467" s="2"/>
    </row>
    <row r="468" spans="1:5" x14ac:dyDescent="0.35">
      <c r="A468" s="17"/>
      <c r="B468" s="1"/>
      <c r="C468" s="1"/>
      <c r="D468" s="2"/>
      <c r="E468" s="2"/>
    </row>
    <row r="469" spans="1:5" x14ac:dyDescent="0.35">
      <c r="A469" s="17"/>
      <c r="B469" s="1"/>
      <c r="C469" s="1"/>
      <c r="D469" s="2"/>
      <c r="E469" s="2"/>
    </row>
    <row r="470" spans="1:5" x14ac:dyDescent="0.35">
      <c r="A470" s="17"/>
      <c r="B470" s="1"/>
      <c r="C470" s="1"/>
      <c r="D470" s="2"/>
      <c r="E470" s="2"/>
    </row>
    <row r="471" spans="1:5" x14ac:dyDescent="0.35">
      <c r="A471" s="17"/>
      <c r="B471" s="1"/>
      <c r="C471" s="1"/>
      <c r="D471" s="2"/>
      <c r="E471" s="2"/>
    </row>
    <row r="472" spans="1:5" x14ac:dyDescent="0.35">
      <c r="A472" s="17"/>
      <c r="B472" s="1"/>
      <c r="C472" s="1"/>
      <c r="D472" s="2"/>
      <c r="E472" s="2"/>
    </row>
    <row r="473" spans="1:5" x14ac:dyDescent="0.35">
      <c r="A473" s="17"/>
      <c r="B473" s="1"/>
      <c r="C473" s="1"/>
      <c r="D473" s="2"/>
      <c r="E473" s="2"/>
    </row>
    <row r="474" spans="1:5" x14ac:dyDescent="0.35">
      <c r="A474" s="17"/>
      <c r="B474" s="1"/>
      <c r="C474" s="1"/>
      <c r="D474" s="2"/>
      <c r="E474" s="2"/>
    </row>
    <row r="475" spans="1:5" x14ac:dyDescent="0.35">
      <c r="A475" s="17"/>
      <c r="B475" s="1"/>
      <c r="C475" s="1"/>
      <c r="D475" s="2"/>
      <c r="E475" s="2"/>
    </row>
    <row r="476" spans="1:5" x14ac:dyDescent="0.35">
      <c r="A476" s="17"/>
      <c r="B476" s="1"/>
      <c r="C476" s="1"/>
      <c r="D476" s="2"/>
      <c r="E476" s="2"/>
    </row>
    <row r="477" spans="1:5" x14ac:dyDescent="0.35">
      <c r="A477" s="17"/>
      <c r="B477" s="1"/>
      <c r="C477" s="1"/>
      <c r="D477" s="2"/>
      <c r="E477" s="2"/>
    </row>
    <row r="478" spans="1:5" x14ac:dyDescent="0.35">
      <c r="A478" s="17"/>
      <c r="B478" s="1"/>
      <c r="C478" s="1"/>
      <c r="D478" s="2"/>
      <c r="E478" s="2"/>
    </row>
    <row r="479" spans="1:5" x14ac:dyDescent="0.35">
      <c r="A479" s="17"/>
      <c r="B479" s="1"/>
      <c r="C479" s="1"/>
      <c r="D479" s="2"/>
      <c r="E479" s="2"/>
    </row>
    <row r="480" spans="1:5" x14ac:dyDescent="0.35">
      <c r="A480" s="17"/>
      <c r="B480" s="1"/>
      <c r="C480" s="1"/>
      <c r="D480" s="2"/>
      <c r="E480" s="2"/>
    </row>
    <row r="481" spans="1:5" x14ac:dyDescent="0.35">
      <c r="A481" s="17"/>
      <c r="B481" s="1"/>
      <c r="C481" s="1"/>
      <c r="D481" s="2"/>
      <c r="E481" s="2"/>
    </row>
    <row r="482" spans="1:5" x14ac:dyDescent="0.35">
      <c r="A482" s="17"/>
      <c r="B482" s="1"/>
      <c r="C482" s="1"/>
      <c r="D482" s="2"/>
      <c r="E482" s="2"/>
    </row>
    <row r="483" spans="1:5" x14ac:dyDescent="0.35">
      <c r="A483" s="17"/>
      <c r="B483" s="1"/>
      <c r="C483" s="1"/>
      <c r="D483" s="2"/>
      <c r="E483" s="2"/>
    </row>
    <row r="484" spans="1:5" x14ac:dyDescent="0.35">
      <c r="A484" s="17"/>
      <c r="B484" s="1"/>
      <c r="C484" s="1"/>
      <c r="D484" s="2"/>
      <c r="E484" s="2"/>
    </row>
    <row r="485" spans="1:5" x14ac:dyDescent="0.35">
      <c r="A485" s="17"/>
      <c r="B485" s="1"/>
      <c r="C485" s="1"/>
      <c r="D485" s="2"/>
      <c r="E485" s="2"/>
    </row>
    <row r="486" spans="1:5" x14ac:dyDescent="0.35">
      <c r="A486" s="17"/>
      <c r="B486" s="1"/>
      <c r="C486" s="1"/>
      <c r="D486" s="2"/>
      <c r="E486" s="2"/>
    </row>
    <row r="487" spans="1:5" x14ac:dyDescent="0.35">
      <c r="A487" s="17"/>
      <c r="B487" s="1"/>
      <c r="C487" s="1"/>
      <c r="D487" s="2"/>
      <c r="E487" s="2"/>
    </row>
    <row r="488" spans="1:5" x14ac:dyDescent="0.35">
      <c r="A488" s="17"/>
      <c r="B488" s="1"/>
      <c r="C488" s="1"/>
      <c r="D488" s="2"/>
      <c r="E488" s="2"/>
    </row>
    <row r="489" spans="1:5" x14ac:dyDescent="0.35">
      <c r="A489" s="17"/>
      <c r="B489" s="1"/>
      <c r="C489" s="1"/>
      <c r="D489" s="2"/>
      <c r="E489" s="2"/>
    </row>
    <row r="490" spans="1:5" x14ac:dyDescent="0.35">
      <c r="A490" s="17"/>
      <c r="B490" s="1"/>
      <c r="C490" s="1"/>
      <c r="D490" s="2"/>
      <c r="E490" s="2"/>
    </row>
    <row r="491" spans="1:5" x14ac:dyDescent="0.35">
      <c r="A491" s="17"/>
      <c r="B491" s="1"/>
      <c r="C491" s="1"/>
      <c r="D491" s="2"/>
      <c r="E491" s="2"/>
    </row>
    <row r="492" spans="1:5" x14ac:dyDescent="0.35">
      <c r="A492" s="17"/>
      <c r="B492" s="1"/>
      <c r="C492" s="1"/>
      <c r="D492" s="2"/>
      <c r="E492" s="2"/>
    </row>
    <row r="493" spans="1:5" x14ac:dyDescent="0.35">
      <c r="A493" s="17"/>
      <c r="B493" s="1"/>
      <c r="C493" s="1"/>
      <c r="D493" s="2"/>
      <c r="E493" s="2"/>
    </row>
    <row r="494" spans="1:5" x14ac:dyDescent="0.35">
      <c r="A494" s="17"/>
      <c r="B494" s="1"/>
      <c r="C494" s="1"/>
      <c r="D494" s="2"/>
      <c r="E494" s="2"/>
    </row>
    <row r="495" spans="1:5" x14ac:dyDescent="0.35">
      <c r="A495" s="17"/>
      <c r="B495" s="1"/>
      <c r="C495" s="1"/>
      <c r="D495" s="2"/>
      <c r="E495" s="2"/>
    </row>
    <row r="496" spans="1:5" x14ac:dyDescent="0.35">
      <c r="A496" s="17"/>
      <c r="B496" s="1"/>
      <c r="C496" s="1"/>
      <c r="D496" s="2"/>
      <c r="E496" s="2"/>
    </row>
    <row r="497" spans="1:5" x14ac:dyDescent="0.35">
      <c r="A497" s="17"/>
      <c r="B497" s="1"/>
      <c r="C497" s="1"/>
      <c r="D497" s="2"/>
      <c r="E497" s="2"/>
    </row>
    <row r="498" spans="1:5" x14ac:dyDescent="0.35">
      <c r="A498" s="17"/>
      <c r="B498" s="1"/>
      <c r="C498" s="1"/>
      <c r="D498" s="2"/>
      <c r="E498" s="2"/>
    </row>
    <row r="499" spans="1:5" x14ac:dyDescent="0.35">
      <c r="A499" s="17"/>
      <c r="B499" s="1"/>
      <c r="C499" s="1"/>
      <c r="D499" s="2"/>
      <c r="E499" s="2"/>
    </row>
    <row r="500" spans="1:5" x14ac:dyDescent="0.35">
      <c r="A500" s="17"/>
      <c r="B500" s="1"/>
      <c r="C500" s="1"/>
      <c r="D500" s="2"/>
      <c r="E500" s="2"/>
    </row>
    <row r="501" spans="1:5" x14ac:dyDescent="0.35">
      <c r="A501" s="17"/>
      <c r="B501" s="1"/>
      <c r="C501" s="1"/>
      <c r="D501" s="2"/>
      <c r="E501" s="2"/>
    </row>
    <row r="502" spans="1:5" x14ac:dyDescent="0.35">
      <c r="A502" s="17"/>
      <c r="B502" s="1"/>
      <c r="C502" s="1"/>
      <c r="D502" s="2"/>
      <c r="E502" s="2"/>
    </row>
    <row r="503" spans="1:5" x14ac:dyDescent="0.35">
      <c r="A503" s="17"/>
      <c r="B503" s="1"/>
      <c r="C503" s="1"/>
      <c r="D503" s="2"/>
      <c r="E503" s="2"/>
    </row>
    <row r="504" spans="1:5" x14ac:dyDescent="0.35">
      <c r="A504" s="17"/>
      <c r="B504" s="1"/>
      <c r="C504" s="1"/>
      <c r="D504" s="2"/>
      <c r="E504" s="2"/>
    </row>
    <row r="505" spans="1:5" x14ac:dyDescent="0.35">
      <c r="A505" s="17"/>
      <c r="B505" s="1"/>
      <c r="C505" s="1"/>
      <c r="D505" s="2"/>
      <c r="E505" s="2"/>
    </row>
    <row r="506" spans="1:5" x14ac:dyDescent="0.35">
      <c r="A506" s="17"/>
      <c r="B506" s="1"/>
      <c r="C506" s="1"/>
      <c r="D506" s="2"/>
      <c r="E506" s="2"/>
    </row>
    <row r="507" spans="1:5" x14ac:dyDescent="0.35">
      <c r="A507" s="17"/>
      <c r="B507" s="1"/>
      <c r="C507" s="1"/>
      <c r="D507" s="2"/>
      <c r="E507" s="2"/>
    </row>
    <row r="508" spans="1:5" x14ac:dyDescent="0.35">
      <c r="A508" s="17"/>
      <c r="B508" s="1"/>
      <c r="C508" s="1"/>
      <c r="D508" s="2"/>
      <c r="E508" s="2"/>
    </row>
    <row r="509" spans="1:5" x14ac:dyDescent="0.35">
      <c r="A509" s="17"/>
      <c r="B509" s="1"/>
      <c r="C509" s="1"/>
      <c r="D509" s="2"/>
      <c r="E509" s="2"/>
    </row>
    <row r="510" spans="1:5" x14ac:dyDescent="0.35">
      <c r="A510" s="17"/>
      <c r="B510" s="1"/>
      <c r="C510" s="1"/>
      <c r="D510" s="2"/>
      <c r="E510" s="2"/>
    </row>
    <row r="511" spans="1:5" x14ac:dyDescent="0.35">
      <c r="A511" s="17"/>
      <c r="B511" s="1"/>
      <c r="C511" s="1"/>
      <c r="D511" s="2"/>
      <c r="E511" s="2"/>
    </row>
    <row r="512" spans="1:5" x14ac:dyDescent="0.35">
      <c r="A512" s="17"/>
      <c r="B512" s="1"/>
      <c r="C512" s="1"/>
      <c r="D512" s="2"/>
      <c r="E512" s="2"/>
    </row>
    <row r="513" spans="1:5" x14ac:dyDescent="0.35">
      <c r="A513" s="17"/>
      <c r="B513" s="1"/>
      <c r="C513" s="1"/>
      <c r="D513" s="2"/>
      <c r="E513" s="2"/>
    </row>
    <row r="514" spans="1:5" x14ac:dyDescent="0.35">
      <c r="A514" s="17"/>
      <c r="B514" s="1"/>
      <c r="C514" s="1"/>
      <c r="D514" s="2"/>
      <c r="E514" s="2"/>
    </row>
    <row r="515" spans="1:5" x14ac:dyDescent="0.35">
      <c r="A515" s="17"/>
      <c r="B515" s="1"/>
      <c r="C515" s="1"/>
      <c r="D515" s="2"/>
      <c r="E515" s="2"/>
    </row>
    <row r="516" spans="1:5" x14ac:dyDescent="0.35">
      <c r="A516" s="17"/>
      <c r="B516" s="1"/>
      <c r="C516" s="1"/>
      <c r="D516" s="2"/>
      <c r="E516" s="2"/>
    </row>
    <row r="517" spans="1:5" x14ac:dyDescent="0.35">
      <c r="A517" s="17"/>
      <c r="B517" s="1"/>
      <c r="C517" s="1"/>
      <c r="D517" s="2"/>
      <c r="E517" s="2"/>
    </row>
    <row r="518" spans="1:5" x14ac:dyDescent="0.35">
      <c r="A518" s="17"/>
      <c r="B518" s="1"/>
      <c r="C518" s="1"/>
      <c r="D518" s="2"/>
      <c r="E518" s="2"/>
    </row>
    <row r="519" spans="1:5" x14ac:dyDescent="0.35">
      <c r="A519" s="17"/>
      <c r="B519" s="1"/>
      <c r="C519" s="1"/>
      <c r="D519" s="2"/>
      <c r="E519" s="2"/>
    </row>
    <row r="520" spans="1:5" x14ac:dyDescent="0.35">
      <c r="A520" s="17"/>
      <c r="B520" s="1"/>
      <c r="C520" s="1"/>
      <c r="D520" s="2"/>
      <c r="E520" s="2"/>
    </row>
    <row r="521" spans="1:5" x14ac:dyDescent="0.35">
      <c r="A521" s="17"/>
      <c r="B521" s="1"/>
      <c r="C521" s="1"/>
      <c r="D521" s="2"/>
      <c r="E521" s="2"/>
    </row>
    <row r="522" spans="1:5" x14ac:dyDescent="0.35">
      <c r="A522" s="17"/>
      <c r="B522" s="1"/>
      <c r="C522" s="1"/>
      <c r="D522" s="2"/>
      <c r="E522" s="2"/>
    </row>
    <row r="523" spans="1:5" x14ac:dyDescent="0.35">
      <c r="A523" s="17"/>
      <c r="B523" s="1"/>
      <c r="C523" s="1"/>
      <c r="D523" s="2"/>
      <c r="E523" s="2"/>
    </row>
    <row r="524" spans="1:5" x14ac:dyDescent="0.35">
      <c r="A524" s="17"/>
      <c r="B524" s="1"/>
      <c r="C524" s="1"/>
      <c r="D524" s="2"/>
      <c r="E524" s="2"/>
    </row>
    <row r="525" spans="1:5" x14ac:dyDescent="0.35">
      <c r="A525" s="17"/>
      <c r="B525" s="1"/>
      <c r="C525" s="1"/>
      <c r="D525" s="2"/>
      <c r="E525" s="2"/>
    </row>
    <row r="526" spans="1:5" x14ac:dyDescent="0.35">
      <c r="A526" s="17"/>
      <c r="B526" s="1"/>
      <c r="C526" s="1"/>
      <c r="D526" s="2"/>
      <c r="E526" s="2"/>
    </row>
    <row r="527" spans="1:5" x14ac:dyDescent="0.35">
      <c r="A527" s="17"/>
      <c r="B527" s="1"/>
      <c r="C527" s="1"/>
      <c r="D527" s="2"/>
      <c r="E527" s="2"/>
    </row>
    <row r="528" spans="1:5" x14ac:dyDescent="0.35">
      <c r="A528" s="17"/>
      <c r="B528" s="1"/>
      <c r="C528" s="1"/>
      <c r="D528" s="2"/>
      <c r="E528" s="2"/>
    </row>
    <row r="529" spans="1:5" x14ac:dyDescent="0.35">
      <c r="A529" s="17"/>
      <c r="B529" s="1"/>
      <c r="C529" s="1"/>
      <c r="D529" s="2"/>
      <c r="E529" s="2"/>
    </row>
    <row r="530" spans="1:5" x14ac:dyDescent="0.35">
      <c r="A530" s="17"/>
      <c r="B530" s="1"/>
      <c r="C530" s="1"/>
      <c r="D530" s="2"/>
      <c r="E530" s="2"/>
    </row>
    <row r="531" spans="1:5" x14ac:dyDescent="0.35">
      <c r="A531" s="17"/>
      <c r="B531" s="1"/>
      <c r="C531" s="1"/>
      <c r="D531" s="2"/>
      <c r="E531" s="2"/>
    </row>
    <row r="532" spans="1:5" x14ac:dyDescent="0.35">
      <c r="A532" s="17"/>
      <c r="B532" s="1"/>
      <c r="C532" s="1"/>
      <c r="D532" s="2"/>
      <c r="E532" s="2"/>
    </row>
    <row r="533" spans="1:5" x14ac:dyDescent="0.35">
      <c r="A533" s="17"/>
      <c r="B533" s="1"/>
      <c r="C533" s="1"/>
      <c r="D533" s="2"/>
      <c r="E533" s="2"/>
    </row>
    <row r="534" spans="1:5" x14ac:dyDescent="0.35">
      <c r="A534" s="17"/>
      <c r="B534" s="1"/>
      <c r="C534" s="1"/>
      <c r="D534" s="2"/>
      <c r="E534" s="2"/>
    </row>
    <row r="535" spans="1:5" x14ac:dyDescent="0.35">
      <c r="A535" s="17"/>
      <c r="B535" s="1"/>
      <c r="C535" s="1"/>
      <c r="D535" s="2"/>
      <c r="E535" s="2"/>
    </row>
    <row r="536" spans="1:5" x14ac:dyDescent="0.35">
      <c r="A536" s="17"/>
      <c r="B536" s="1"/>
      <c r="C536" s="1"/>
      <c r="D536" s="2"/>
      <c r="E536" s="2"/>
    </row>
    <row r="537" spans="1:5" x14ac:dyDescent="0.35">
      <c r="A537" s="17"/>
      <c r="B537" s="1"/>
      <c r="C537" s="1"/>
      <c r="D537" s="2"/>
      <c r="E537" s="2"/>
    </row>
    <row r="538" spans="1:5" x14ac:dyDescent="0.35">
      <c r="A538" s="17"/>
      <c r="B538" s="1"/>
      <c r="C538" s="1"/>
      <c r="D538" s="2"/>
      <c r="E538" s="2"/>
    </row>
    <row r="539" spans="1:5" x14ac:dyDescent="0.35">
      <c r="A539" s="17"/>
      <c r="B539" s="1"/>
      <c r="C539" s="1"/>
      <c r="D539" s="2"/>
      <c r="E539" s="2"/>
    </row>
    <row r="540" spans="1:5" x14ac:dyDescent="0.35">
      <c r="A540" s="17"/>
      <c r="B540" s="1"/>
      <c r="C540" s="1"/>
      <c r="D540" s="2"/>
      <c r="E540" s="2"/>
    </row>
    <row r="541" spans="1:5" x14ac:dyDescent="0.35">
      <c r="A541" s="17"/>
      <c r="B541" s="1"/>
      <c r="C541" s="1"/>
      <c r="D541" s="2"/>
      <c r="E541" s="2"/>
    </row>
    <row r="542" spans="1:5" x14ac:dyDescent="0.35">
      <c r="A542" s="17"/>
      <c r="B542" s="1"/>
      <c r="C542" s="1"/>
      <c r="D542" s="2"/>
      <c r="E542" s="2"/>
    </row>
    <row r="543" spans="1:5" x14ac:dyDescent="0.35">
      <c r="A543" s="17"/>
      <c r="B543" s="1"/>
      <c r="C543" s="1"/>
      <c r="D543" s="2"/>
      <c r="E543" s="2"/>
    </row>
    <row r="544" spans="1:5" x14ac:dyDescent="0.35">
      <c r="A544" s="17"/>
      <c r="B544" s="1"/>
      <c r="C544" s="1"/>
      <c r="D544" s="2"/>
      <c r="E544" s="2"/>
    </row>
    <row r="545" spans="1:5" x14ac:dyDescent="0.35">
      <c r="A545" s="17"/>
      <c r="B545" s="1"/>
      <c r="C545" s="1"/>
      <c r="D545" s="2"/>
      <c r="E545" s="2"/>
    </row>
    <row r="546" spans="1:5" x14ac:dyDescent="0.35">
      <c r="A546" s="17"/>
      <c r="B546" s="1"/>
      <c r="C546" s="1"/>
      <c r="D546" s="2"/>
      <c r="E546" s="2"/>
    </row>
    <row r="547" spans="1:5" x14ac:dyDescent="0.35">
      <c r="A547" s="17"/>
      <c r="B547" s="1"/>
      <c r="C547" s="1"/>
      <c r="D547" s="2"/>
      <c r="E547" s="2"/>
    </row>
    <row r="548" spans="1:5" x14ac:dyDescent="0.35">
      <c r="A548" s="17"/>
      <c r="B548" s="1"/>
      <c r="C548" s="1"/>
      <c r="D548" s="2"/>
      <c r="E548" s="2"/>
    </row>
    <row r="549" spans="1:5" x14ac:dyDescent="0.35">
      <c r="A549" s="17"/>
      <c r="B549" s="1"/>
      <c r="C549" s="1"/>
      <c r="D549" s="2"/>
      <c r="E549" s="2"/>
    </row>
    <row r="550" spans="1:5" x14ac:dyDescent="0.35">
      <c r="A550" s="17"/>
      <c r="B550" s="1"/>
      <c r="C550" s="1"/>
      <c r="D550" s="2"/>
      <c r="E550" s="2"/>
    </row>
    <row r="551" spans="1:5" x14ac:dyDescent="0.35">
      <c r="A551" s="17"/>
      <c r="B551" s="1"/>
      <c r="C551" s="1"/>
      <c r="D551" s="2"/>
      <c r="E551" s="2"/>
    </row>
    <row r="552" spans="1:5" x14ac:dyDescent="0.35">
      <c r="A552" s="17"/>
      <c r="B552" s="1"/>
      <c r="C552" s="1"/>
      <c r="D552" s="2"/>
      <c r="E552" s="2"/>
    </row>
    <row r="553" spans="1:5" x14ac:dyDescent="0.35">
      <c r="A553" s="17"/>
      <c r="B553" s="1"/>
      <c r="C553" s="1"/>
      <c r="D553" s="2"/>
      <c r="E553" s="2"/>
    </row>
    <row r="554" spans="1:5" x14ac:dyDescent="0.35">
      <c r="A554" s="17"/>
      <c r="B554" s="1"/>
      <c r="C554" s="1"/>
      <c r="D554" s="2"/>
      <c r="E554" s="2"/>
    </row>
    <row r="555" spans="1:5" x14ac:dyDescent="0.35">
      <c r="A555" s="17"/>
      <c r="B555" s="1"/>
      <c r="C555" s="1"/>
      <c r="D555" s="2"/>
      <c r="E555" s="2"/>
    </row>
    <row r="556" spans="1:5" x14ac:dyDescent="0.35">
      <c r="A556" s="17"/>
      <c r="B556" s="1"/>
      <c r="C556" s="1"/>
      <c r="D556" s="2"/>
      <c r="E556" s="2"/>
    </row>
    <row r="557" spans="1:5" x14ac:dyDescent="0.35">
      <c r="A557" s="17"/>
      <c r="B557" s="1"/>
      <c r="C557" s="1"/>
      <c r="D557" s="2"/>
      <c r="E557" s="2"/>
    </row>
    <row r="558" spans="1:5" x14ac:dyDescent="0.35">
      <c r="A558" s="17"/>
      <c r="B558" s="1"/>
      <c r="C558" s="1"/>
      <c r="D558" s="2"/>
      <c r="E558" s="2"/>
    </row>
    <row r="559" spans="1:5" x14ac:dyDescent="0.35">
      <c r="A559" s="17"/>
      <c r="B559" s="1"/>
      <c r="C559" s="1"/>
      <c r="D559" s="2"/>
      <c r="E559" s="2"/>
    </row>
    <row r="560" spans="1:5" x14ac:dyDescent="0.35">
      <c r="A560" s="17"/>
      <c r="B560" s="1"/>
      <c r="C560" s="1"/>
      <c r="D560" s="2"/>
      <c r="E560" s="2"/>
    </row>
    <row r="561" spans="1:5" x14ac:dyDescent="0.35">
      <c r="A561" s="17"/>
      <c r="B561" s="1"/>
      <c r="C561" s="1"/>
      <c r="D561" s="2"/>
      <c r="E561" s="2"/>
    </row>
    <row r="562" spans="1:5" x14ac:dyDescent="0.35">
      <c r="A562" s="17"/>
      <c r="B562" s="1"/>
      <c r="C562" s="1"/>
      <c r="D562" s="2"/>
      <c r="E562" s="2"/>
    </row>
    <row r="563" spans="1:5" x14ac:dyDescent="0.35">
      <c r="A563" s="17"/>
      <c r="B563" s="1"/>
      <c r="C563" s="1"/>
      <c r="D563" s="2"/>
      <c r="E563" s="2"/>
    </row>
    <row r="564" spans="1:5" x14ac:dyDescent="0.35">
      <c r="A564" s="17"/>
      <c r="B564" s="1"/>
      <c r="C564" s="1"/>
      <c r="D564" s="2"/>
      <c r="E564" s="2"/>
    </row>
    <row r="565" spans="1:5" x14ac:dyDescent="0.35">
      <c r="A565" s="17"/>
      <c r="B565" s="1"/>
      <c r="C565" s="1"/>
      <c r="D565" s="2"/>
      <c r="E565" s="2"/>
    </row>
    <row r="566" spans="1:5" x14ac:dyDescent="0.35">
      <c r="A566" s="17"/>
      <c r="B566" s="1"/>
      <c r="C566" s="1"/>
      <c r="D566" s="2"/>
      <c r="E566" s="2"/>
    </row>
    <row r="567" spans="1:5" x14ac:dyDescent="0.35">
      <c r="A567" s="17"/>
      <c r="B567" s="1"/>
      <c r="C567" s="1"/>
      <c r="D567" s="2"/>
      <c r="E567" s="2"/>
    </row>
    <row r="568" spans="1:5" x14ac:dyDescent="0.35">
      <c r="A568" s="17"/>
      <c r="B568" s="1"/>
      <c r="C568" s="1"/>
      <c r="D568" s="2"/>
      <c r="E568" s="2"/>
    </row>
    <row r="569" spans="1:5" x14ac:dyDescent="0.35">
      <c r="A569" s="17"/>
      <c r="B569" s="1"/>
      <c r="C569" s="1"/>
      <c r="D569" s="2"/>
      <c r="E569" s="2"/>
    </row>
    <row r="570" spans="1:5" x14ac:dyDescent="0.35">
      <c r="A570" s="17"/>
      <c r="B570" s="1"/>
      <c r="C570" s="1"/>
      <c r="D570" s="2"/>
      <c r="E570" s="2"/>
    </row>
    <row r="571" spans="1:5" x14ac:dyDescent="0.35">
      <c r="A571" s="17"/>
      <c r="B571" s="1"/>
      <c r="C571" s="1"/>
      <c r="D571" s="2"/>
      <c r="E571" s="2"/>
    </row>
    <row r="572" spans="1:5" x14ac:dyDescent="0.35">
      <c r="A572" s="17"/>
      <c r="B572" s="1"/>
      <c r="C572" s="1"/>
      <c r="D572" s="2"/>
      <c r="E572" s="2"/>
    </row>
    <row r="573" spans="1:5" x14ac:dyDescent="0.35">
      <c r="A573" s="17"/>
      <c r="B573" s="1"/>
      <c r="C573" s="1"/>
      <c r="D573" s="2"/>
      <c r="E573" s="2"/>
    </row>
    <row r="574" spans="1:5" x14ac:dyDescent="0.35">
      <c r="A574" s="17"/>
      <c r="B574" s="1"/>
      <c r="C574" s="1"/>
      <c r="D574" s="2"/>
      <c r="E574" s="2"/>
    </row>
    <row r="575" spans="1:5" x14ac:dyDescent="0.35">
      <c r="A575" s="17"/>
      <c r="B575" s="1"/>
      <c r="C575" s="1"/>
      <c r="D575" s="2"/>
      <c r="E575" s="2"/>
    </row>
    <row r="576" spans="1:5" x14ac:dyDescent="0.35">
      <c r="A576" s="17"/>
      <c r="B576" s="1"/>
      <c r="C576" s="1"/>
      <c r="D576" s="2"/>
      <c r="E576" s="2"/>
    </row>
    <row r="577" spans="1:5" x14ac:dyDescent="0.35">
      <c r="A577" s="17"/>
      <c r="B577" s="1"/>
      <c r="C577" s="1"/>
      <c r="D577" s="2"/>
      <c r="E577" s="2"/>
    </row>
    <row r="578" spans="1:5" x14ac:dyDescent="0.35">
      <c r="A578" s="17"/>
      <c r="B578" s="1"/>
      <c r="C578" s="1"/>
      <c r="D578" s="2"/>
      <c r="E578" s="2"/>
    </row>
    <row r="579" spans="1:5" x14ac:dyDescent="0.35">
      <c r="A579" s="17"/>
      <c r="B579" s="1"/>
      <c r="C579" s="1"/>
      <c r="D579" s="2"/>
      <c r="E579" s="2"/>
    </row>
    <row r="580" spans="1:5" x14ac:dyDescent="0.35">
      <c r="A580" s="17"/>
      <c r="B580" s="1"/>
      <c r="C580" s="1"/>
      <c r="D580" s="2"/>
      <c r="E580" s="2"/>
    </row>
    <row r="581" spans="1:5" x14ac:dyDescent="0.35">
      <c r="A581" s="17"/>
      <c r="B581" s="1"/>
      <c r="C581" s="1"/>
      <c r="D581" s="2"/>
      <c r="E581" s="2"/>
    </row>
    <row r="582" spans="1:5" x14ac:dyDescent="0.35">
      <c r="A582" s="17"/>
      <c r="B582" s="1"/>
      <c r="C582" s="1"/>
      <c r="D582" s="2"/>
      <c r="E582" s="2"/>
    </row>
    <row r="583" spans="1:5" x14ac:dyDescent="0.35">
      <c r="A583" s="17"/>
      <c r="B583" s="1"/>
      <c r="C583" s="1"/>
      <c r="D583" s="2"/>
      <c r="E583" s="2"/>
    </row>
    <row r="584" spans="1:5" x14ac:dyDescent="0.35">
      <c r="A584" s="17"/>
      <c r="B584" s="1"/>
      <c r="C584" s="1"/>
      <c r="D584" s="2"/>
      <c r="E584" s="2"/>
    </row>
    <row r="585" spans="1:5" x14ac:dyDescent="0.35">
      <c r="A585" s="17"/>
      <c r="B585" s="1"/>
      <c r="C585" s="1"/>
      <c r="D585" s="2"/>
      <c r="E585" s="2"/>
    </row>
    <row r="586" spans="1:5" x14ac:dyDescent="0.35">
      <c r="A586" s="17"/>
      <c r="B586" s="1"/>
      <c r="C586" s="1"/>
      <c r="D586" s="2"/>
      <c r="E586" s="2"/>
    </row>
    <row r="587" spans="1:5" x14ac:dyDescent="0.35">
      <c r="A587" s="17"/>
      <c r="B587" s="1"/>
      <c r="C587" s="1"/>
      <c r="D587" s="2"/>
      <c r="E587" s="2"/>
    </row>
    <row r="588" spans="1:5" x14ac:dyDescent="0.35">
      <c r="A588" s="17"/>
      <c r="B588" s="1"/>
      <c r="C588" s="1"/>
      <c r="D588" s="2"/>
      <c r="E588" s="2"/>
    </row>
    <row r="589" spans="1:5" x14ac:dyDescent="0.35">
      <c r="A589" s="17"/>
      <c r="B589" s="1"/>
      <c r="C589" s="1"/>
      <c r="D589" s="2"/>
      <c r="E589" s="2"/>
    </row>
    <row r="590" spans="1:5" x14ac:dyDescent="0.35">
      <c r="A590" s="17"/>
      <c r="B590" s="1"/>
      <c r="C590" s="1"/>
      <c r="D590" s="2"/>
      <c r="E590" s="2"/>
    </row>
    <row r="591" spans="1:5" x14ac:dyDescent="0.35">
      <c r="A591" s="17"/>
      <c r="B591" s="1"/>
      <c r="C591" s="1"/>
      <c r="D591" s="2"/>
      <c r="E591" s="2"/>
    </row>
    <row r="592" spans="1:5" x14ac:dyDescent="0.35">
      <c r="A592" s="17"/>
      <c r="B592" s="1"/>
      <c r="C592" s="1"/>
      <c r="D592" s="2"/>
      <c r="E592" s="2"/>
    </row>
    <row r="593" spans="1:5" x14ac:dyDescent="0.35">
      <c r="A593" s="17"/>
      <c r="B593" s="1"/>
      <c r="C593" s="1"/>
      <c r="D593" s="2"/>
      <c r="E593" s="2"/>
    </row>
    <row r="594" spans="1:5" x14ac:dyDescent="0.35">
      <c r="A594" s="17"/>
      <c r="B594" s="1"/>
      <c r="C594" s="1"/>
      <c r="D594" s="2"/>
      <c r="E594" s="2"/>
    </row>
    <row r="595" spans="1:5" x14ac:dyDescent="0.35">
      <c r="A595" s="17"/>
      <c r="B595" s="1"/>
      <c r="C595" s="1"/>
      <c r="D595" s="2"/>
      <c r="E595" s="2"/>
    </row>
    <row r="596" spans="1:5" x14ac:dyDescent="0.35">
      <c r="A596" s="17"/>
      <c r="B596" s="1"/>
      <c r="C596" s="1"/>
      <c r="D596" s="2"/>
      <c r="E596" s="2"/>
    </row>
    <row r="597" spans="1:5" x14ac:dyDescent="0.35">
      <c r="A597" s="17"/>
      <c r="B597" s="1"/>
      <c r="C597" s="1"/>
      <c r="D597" s="2"/>
      <c r="E597" s="2"/>
    </row>
    <row r="598" spans="1:5" x14ac:dyDescent="0.35">
      <c r="A598" s="17"/>
      <c r="B598" s="1"/>
      <c r="C598" s="1"/>
      <c r="D598" s="2"/>
      <c r="E598" s="2"/>
    </row>
    <row r="599" spans="1:5" x14ac:dyDescent="0.35">
      <c r="A599" s="17"/>
      <c r="B599" s="1"/>
      <c r="C599" s="1"/>
      <c r="D599" s="2"/>
      <c r="E599" s="2"/>
    </row>
    <row r="600" spans="1:5" x14ac:dyDescent="0.35">
      <c r="A600" s="17"/>
      <c r="B600" s="1"/>
      <c r="C600" s="1"/>
      <c r="D600" s="2"/>
      <c r="E600" s="2"/>
    </row>
    <row r="601" spans="1:5" x14ac:dyDescent="0.35">
      <c r="A601" s="17"/>
      <c r="B601" s="1"/>
      <c r="C601" s="1"/>
      <c r="D601" s="2"/>
      <c r="E601" s="2"/>
    </row>
    <row r="602" spans="1:5" x14ac:dyDescent="0.35">
      <c r="A602" s="17"/>
      <c r="B602" s="1"/>
      <c r="C602" s="1"/>
      <c r="D602" s="2"/>
      <c r="E602" s="2"/>
    </row>
    <row r="603" spans="1:5" x14ac:dyDescent="0.35">
      <c r="A603" s="17"/>
      <c r="B603" s="1"/>
      <c r="C603" s="1"/>
      <c r="D603" s="2"/>
      <c r="E603" s="2"/>
    </row>
    <row r="604" spans="1:5" x14ac:dyDescent="0.35">
      <c r="A604" s="17"/>
      <c r="B604" s="1"/>
      <c r="C604" s="1"/>
      <c r="D604" s="2"/>
      <c r="E604" s="2"/>
    </row>
    <row r="605" spans="1:5" x14ac:dyDescent="0.35">
      <c r="A605" s="17"/>
      <c r="B605" s="1"/>
      <c r="C605" s="1"/>
      <c r="D605" s="2"/>
      <c r="E605" s="2"/>
    </row>
    <row r="606" spans="1:5" x14ac:dyDescent="0.35">
      <c r="A606" s="17"/>
      <c r="B606" s="1"/>
      <c r="C606" s="1"/>
      <c r="D606" s="2"/>
      <c r="E606" s="2"/>
    </row>
    <row r="607" spans="1:5" x14ac:dyDescent="0.35">
      <c r="A607" s="17"/>
      <c r="B607" s="1"/>
      <c r="C607" s="1"/>
      <c r="D607" s="2"/>
      <c r="E607" s="2"/>
    </row>
    <row r="608" spans="1:5" x14ac:dyDescent="0.35">
      <c r="A608" s="17"/>
      <c r="B608" s="1"/>
      <c r="C608" s="1"/>
      <c r="D608" s="2"/>
      <c r="E608" s="2"/>
    </row>
    <row r="609" spans="1:5" x14ac:dyDescent="0.35">
      <c r="A609" s="17"/>
      <c r="B609" s="1"/>
      <c r="C609" s="1"/>
      <c r="D609" s="2"/>
      <c r="E609" s="2"/>
    </row>
    <row r="610" spans="1:5" x14ac:dyDescent="0.35">
      <c r="A610" s="17"/>
      <c r="B610" s="1"/>
      <c r="C610" s="1"/>
      <c r="D610" s="2"/>
      <c r="E610" s="2"/>
    </row>
    <row r="611" spans="1:5" x14ac:dyDescent="0.35">
      <c r="A611" s="17"/>
      <c r="B611" s="1"/>
      <c r="C611" s="1"/>
      <c r="D611" s="2"/>
      <c r="E611" s="2"/>
    </row>
    <row r="612" spans="1:5" x14ac:dyDescent="0.35">
      <c r="A612" s="17"/>
      <c r="B612" s="1"/>
      <c r="C612" s="1"/>
      <c r="D612" s="2"/>
      <c r="E612" s="2"/>
    </row>
    <row r="613" spans="1:5" x14ac:dyDescent="0.35">
      <c r="A613" s="17"/>
      <c r="B613" s="1"/>
      <c r="C613" s="1"/>
      <c r="D613" s="2"/>
      <c r="E613" s="2"/>
    </row>
    <row r="614" spans="1:5" x14ac:dyDescent="0.35">
      <c r="A614" s="17"/>
      <c r="B614" s="1"/>
      <c r="C614" s="1"/>
      <c r="D614" s="2"/>
      <c r="E614" s="2"/>
    </row>
    <row r="615" spans="1:5" x14ac:dyDescent="0.35">
      <c r="A615" s="17"/>
      <c r="B615" s="1"/>
      <c r="C615" s="1"/>
      <c r="D615" s="2"/>
      <c r="E615" s="2"/>
    </row>
    <row r="616" spans="1:5" x14ac:dyDescent="0.35">
      <c r="A616" s="17"/>
      <c r="B616" s="1"/>
      <c r="C616" s="1"/>
      <c r="D616" s="2"/>
      <c r="E616" s="2"/>
    </row>
    <row r="617" spans="1:5" x14ac:dyDescent="0.35">
      <c r="A617" s="17"/>
      <c r="B617" s="1"/>
      <c r="C617" s="1"/>
      <c r="D617" s="2"/>
      <c r="E617" s="2"/>
    </row>
    <row r="618" spans="1:5" x14ac:dyDescent="0.35">
      <c r="A618" s="17"/>
      <c r="B618" s="1"/>
      <c r="C618" s="1"/>
      <c r="D618" s="2"/>
      <c r="E618" s="2"/>
    </row>
    <row r="619" spans="1:5" x14ac:dyDescent="0.35">
      <c r="A619" s="17"/>
      <c r="B619" s="1"/>
      <c r="C619" s="1"/>
      <c r="D619" s="2"/>
      <c r="E619" s="2"/>
    </row>
    <row r="620" spans="1:5" x14ac:dyDescent="0.35">
      <c r="A620" s="17"/>
      <c r="B620" s="1"/>
      <c r="C620" s="1"/>
      <c r="D620" s="2"/>
      <c r="E620" s="2"/>
    </row>
    <row r="621" spans="1:5" x14ac:dyDescent="0.35">
      <c r="A621" s="17"/>
      <c r="B621" s="1"/>
      <c r="C621" s="1"/>
      <c r="D621" s="2"/>
      <c r="E621" s="2"/>
    </row>
    <row r="622" spans="1:5" x14ac:dyDescent="0.35">
      <c r="A622" s="17"/>
      <c r="B622" s="1"/>
      <c r="C622" s="1"/>
      <c r="D622" s="2"/>
      <c r="E622" s="2"/>
    </row>
    <row r="623" spans="1:5" x14ac:dyDescent="0.35">
      <c r="A623" s="17"/>
      <c r="B623" s="1"/>
      <c r="C623" s="1"/>
      <c r="D623" s="2"/>
      <c r="E623" s="2"/>
    </row>
    <row r="624" spans="1:5" x14ac:dyDescent="0.35">
      <c r="A624" s="17"/>
      <c r="B624" s="1"/>
      <c r="C624" s="1"/>
      <c r="D624" s="2"/>
      <c r="E624" s="2"/>
    </row>
    <row r="625" spans="1:5" x14ac:dyDescent="0.35">
      <c r="A625" s="17"/>
      <c r="B625" s="1"/>
      <c r="C625" s="1"/>
      <c r="D625" s="2"/>
      <c r="E625" s="2"/>
    </row>
    <row r="626" spans="1:5" x14ac:dyDescent="0.35">
      <c r="A626" s="17"/>
      <c r="B626" s="1"/>
      <c r="C626" s="1"/>
      <c r="D626" s="2"/>
      <c r="E626" s="2"/>
    </row>
    <row r="627" spans="1:5" x14ac:dyDescent="0.35">
      <c r="A627" s="17"/>
      <c r="B627" s="1"/>
      <c r="C627" s="1"/>
      <c r="D627" s="2"/>
      <c r="E627" s="2"/>
    </row>
    <row r="628" spans="1:5" x14ac:dyDescent="0.35">
      <c r="A628" s="17"/>
      <c r="B628" s="1"/>
      <c r="C628" s="1"/>
      <c r="D628" s="2"/>
      <c r="E628" s="2"/>
    </row>
    <row r="629" spans="1:5" x14ac:dyDescent="0.35">
      <c r="A629" s="17"/>
      <c r="B629" s="1"/>
      <c r="C629" s="1"/>
      <c r="D629" s="2"/>
      <c r="E629" s="2"/>
    </row>
    <row r="630" spans="1:5" x14ac:dyDescent="0.35">
      <c r="A630" s="17"/>
      <c r="B630" s="1"/>
      <c r="C630" s="1"/>
      <c r="D630" s="2"/>
      <c r="E630" s="2"/>
    </row>
    <row r="631" spans="1:5" x14ac:dyDescent="0.35">
      <c r="A631" s="17"/>
      <c r="B631" s="1"/>
      <c r="C631" s="1"/>
      <c r="D631" s="2"/>
      <c r="E631" s="2"/>
    </row>
    <row r="632" spans="1:5" x14ac:dyDescent="0.35">
      <c r="A632" s="17"/>
      <c r="B632" s="1"/>
      <c r="C632" s="1"/>
      <c r="D632" s="2"/>
      <c r="E632" s="2"/>
    </row>
    <row r="633" spans="1:5" x14ac:dyDescent="0.35">
      <c r="A633" s="17"/>
      <c r="B633" s="1"/>
      <c r="C633" s="1"/>
      <c r="D633" s="2"/>
      <c r="E633" s="2"/>
    </row>
    <row r="634" spans="1:5" x14ac:dyDescent="0.35">
      <c r="A634" s="17"/>
      <c r="B634" s="1"/>
      <c r="C634" s="1"/>
      <c r="D634" s="2"/>
      <c r="E634" s="2"/>
    </row>
    <row r="635" spans="1:5" x14ac:dyDescent="0.35">
      <c r="A635" s="17"/>
      <c r="B635" s="1"/>
      <c r="C635" s="1"/>
      <c r="D635" s="2"/>
      <c r="E635" s="2"/>
    </row>
    <row r="636" spans="1:5" x14ac:dyDescent="0.35">
      <c r="A636" s="17"/>
      <c r="B636" s="1"/>
      <c r="C636" s="1"/>
      <c r="D636" s="2"/>
      <c r="E636" s="2"/>
    </row>
    <row r="637" spans="1:5" x14ac:dyDescent="0.35">
      <c r="A637" s="17"/>
      <c r="B637" s="1"/>
      <c r="C637" s="1"/>
      <c r="D637" s="2"/>
      <c r="E637" s="2"/>
    </row>
    <row r="638" spans="1:5" x14ac:dyDescent="0.35">
      <c r="A638" s="17"/>
      <c r="B638" s="1"/>
      <c r="C638" s="1"/>
      <c r="D638" s="2"/>
      <c r="E638" s="2"/>
    </row>
    <row r="639" spans="1:5" x14ac:dyDescent="0.35">
      <c r="A639" s="17"/>
      <c r="B639" s="1"/>
      <c r="C639" s="1"/>
      <c r="D639" s="2"/>
      <c r="E639" s="2"/>
    </row>
    <row r="640" spans="1:5" x14ac:dyDescent="0.35">
      <c r="A640" s="17"/>
      <c r="B640" s="1"/>
      <c r="C640" s="1"/>
      <c r="D640" s="2"/>
      <c r="E640" s="2"/>
    </row>
    <row r="641" spans="1:5" x14ac:dyDescent="0.35">
      <c r="A641" s="17"/>
      <c r="B641" s="1"/>
      <c r="C641" s="1"/>
      <c r="D641" s="2"/>
      <c r="E641" s="2"/>
    </row>
    <row r="642" spans="1:5" x14ac:dyDescent="0.35">
      <c r="A642" s="17"/>
      <c r="B642" s="1"/>
      <c r="C642" s="1"/>
      <c r="D642" s="2"/>
      <c r="E642" s="2"/>
    </row>
    <row r="643" spans="1:5" x14ac:dyDescent="0.35">
      <c r="A643" s="17"/>
      <c r="B643" s="1"/>
      <c r="C643" s="1"/>
      <c r="D643" s="2"/>
      <c r="E643" s="2"/>
    </row>
    <row r="644" spans="1:5" x14ac:dyDescent="0.35">
      <c r="A644" s="17"/>
      <c r="B644" s="1"/>
      <c r="C644" s="1"/>
      <c r="D644" s="2"/>
      <c r="E644" s="2"/>
    </row>
    <row r="645" spans="1:5" x14ac:dyDescent="0.35">
      <c r="A645" s="17"/>
      <c r="B645" s="1"/>
      <c r="C645" s="1"/>
      <c r="D645" s="2"/>
      <c r="E645" s="2"/>
    </row>
    <row r="646" spans="1:5" x14ac:dyDescent="0.35">
      <c r="A646" s="17"/>
      <c r="B646" s="1"/>
      <c r="C646" s="1"/>
      <c r="D646" s="2"/>
      <c r="E646" s="2"/>
    </row>
    <row r="647" spans="1:5" x14ac:dyDescent="0.35">
      <c r="A647" s="17"/>
      <c r="B647" s="1"/>
      <c r="C647" s="1"/>
      <c r="D647" s="2"/>
      <c r="E647" s="2"/>
    </row>
    <row r="648" spans="1:5" x14ac:dyDescent="0.35">
      <c r="A648" s="17"/>
      <c r="B648" s="1"/>
      <c r="C648" s="1"/>
      <c r="D648" s="2"/>
      <c r="E648" s="2"/>
    </row>
    <row r="649" spans="1:5" x14ac:dyDescent="0.35">
      <c r="A649" s="17"/>
      <c r="B649" s="1"/>
      <c r="C649" s="1"/>
      <c r="D649" s="2"/>
      <c r="E649" s="2"/>
    </row>
    <row r="650" spans="1:5" x14ac:dyDescent="0.35">
      <c r="A650" s="17"/>
      <c r="B650" s="1"/>
      <c r="C650" s="1"/>
      <c r="D650" s="2"/>
      <c r="E650" s="2"/>
    </row>
    <row r="651" spans="1:5" x14ac:dyDescent="0.35">
      <c r="A651" s="17"/>
      <c r="B651" s="1"/>
      <c r="C651" s="1"/>
      <c r="D651" s="2"/>
      <c r="E651" s="2"/>
    </row>
    <row r="652" spans="1:5" x14ac:dyDescent="0.35">
      <c r="A652" s="17"/>
      <c r="B652" s="1"/>
      <c r="C652" s="1"/>
      <c r="D652" s="2"/>
      <c r="E652" s="2"/>
    </row>
    <row r="653" spans="1:5" x14ac:dyDescent="0.35">
      <c r="A653" s="17"/>
      <c r="B653" s="1"/>
      <c r="C653" s="1"/>
      <c r="D653" s="2"/>
      <c r="E653" s="2"/>
    </row>
    <row r="654" spans="1:5" x14ac:dyDescent="0.35">
      <c r="A654" s="17"/>
      <c r="B654" s="1"/>
      <c r="C654" s="1"/>
      <c r="D654" s="2"/>
      <c r="E654" s="2"/>
    </row>
    <row r="655" spans="1:5" x14ac:dyDescent="0.35">
      <c r="A655" s="17"/>
      <c r="B655" s="1"/>
      <c r="C655" s="1"/>
      <c r="D655" s="2"/>
      <c r="E655" s="2"/>
    </row>
    <row r="656" spans="1:5" x14ac:dyDescent="0.35">
      <c r="A656" s="17"/>
      <c r="B656" s="1"/>
      <c r="C656" s="1"/>
      <c r="D656" s="2"/>
      <c r="E656" s="2"/>
    </row>
    <row r="657" spans="1:5" x14ac:dyDescent="0.35">
      <c r="A657" s="17"/>
      <c r="B657" s="1"/>
      <c r="C657" s="1"/>
      <c r="D657" s="2"/>
      <c r="E657" s="2"/>
    </row>
    <row r="658" spans="1:5" x14ac:dyDescent="0.35">
      <c r="A658" s="17"/>
      <c r="B658" s="1"/>
      <c r="C658" s="1"/>
      <c r="D658" s="2"/>
      <c r="E658" s="2"/>
    </row>
    <row r="659" spans="1:5" x14ac:dyDescent="0.35">
      <c r="A659" s="17"/>
      <c r="B659" s="1"/>
      <c r="C659" s="1"/>
      <c r="D659" s="2"/>
      <c r="E659" s="2"/>
    </row>
    <row r="660" spans="1:5" x14ac:dyDescent="0.35">
      <c r="A660" s="17"/>
      <c r="B660" s="1"/>
      <c r="C660" s="1"/>
      <c r="D660" s="2"/>
      <c r="E660" s="2"/>
    </row>
    <row r="661" spans="1:5" x14ac:dyDescent="0.35">
      <c r="A661" s="17"/>
      <c r="B661" s="1"/>
      <c r="C661" s="1"/>
      <c r="D661" s="2"/>
      <c r="E661" s="2"/>
    </row>
    <row r="662" spans="1:5" x14ac:dyDescent="0.35">
      <c r="A662" s="17"/>
      <c r="B662" s="1"/>
      <c r="C662" s="1"/>
      <c r="D662" s="2"/>
      <c r="E662" s="2"/>
    </row>
    <row r="663" spans="1:5" x14ac:dyDescent="0.35">
      <c r="A663" s="17"/>
      <c r="B663" s="1"/>
      <c r="C663" s="1"/>
      <c r="D663" s="2"/>
      <c r="E663" s="2"/>
    </row>
    <row r="664" spans="1:5" x14ac:dyDescent="0.35">
      <c r="A664" s="17"/>
      <c r="B664" s="1"/>
      <c r="C664" s="1"/>
      <c r="D664" s="2"/>
      <c r="E664" s="2"/>
    </row>
    <row r="665" spans="1:5" x14ac:dyDescent="0.35">
      <c r="A665" s="17"/>
      <c r="B665" s="1"/>
      <c r="C665" s="1"/>
      <c r="D665" s="2"/>
      <c r="E665" s="2"/>
    </row>
    <row r="666" spans="1:5" x14ac:dyDescent="0.35">
      <c r="A666" s="17"/>
      <c r="B666" s="1"/>
      <c r="C666" s="1"/>
      <c r="D666" s="2"/>
      <c r="E666" s="2"/>
    </row>
    <row r="667" spans="1:5" x14ac:dyDescent="0.35">
      <c r="A667" s="17"/>
      <c r="B667" s="1"/>
      <c r="C667" s="1"/>
      <c r="D667" s="2"/>
      <c r="E667" s="2"/>
    </row>
    <row r="668" spans="1:5" x14ac:dyDescent="0.35">
      <c r="A668" s="17"/>
      <c r="B668" s="1"/>
      <c r="C668" s="1"/>
      <c r="D668" s="2"/>
      <c r="E668" s="2"/>
    </row>
    <row r="669" spans="1:5" x14ac:dyDescent="0.35">
      <c r="A669" s="17"/>
      <c r="B669" s="1"/>
      <c r="C669" s="1"/>
      <c r="D669" s="2"/>
      <c r="E669" s="2"/>
    </row>
    <row r="670" spans="1:5" x14ac:dyDescent="0.35">
      <c r="A670" s="17"/>
      <c r="B670" s="1"/>
      <c r="C670" s="1"/>
      <c r="D670" s="2"/>
      <c r="E670" s="2"/>
    </row>
    <row r="671" spans="1:5" x14ac:dyDescent="0.35">
      <c r="A671" s="17"/>
      <c r="B671" s="1"/>
      <c r="C671" s="1"/>
      <c r="D671" s="2"/>
      <c r="E671" s="2"/>
    </row>
    <row r="672" spans="1:5" x14ac:dyDescent="0.35">
      <c r="A672" s="17"/>
      <c r="B672" s="1"/>
      <c r="C672" s="1"/>
      <c r="D672" s="2"/>
      <c r="E672" s="2"/>
    </row>
    <row r="673" spans="1:5" x14ac:dyDescent="0.35">
      <c r="A673" s="17"/>
      <c r="B673" s="1"/>
      <c r="C673" s="1"/>
      <c r="D673" s="2"/>
      <c r="E673" s="2"/>
    </row>
    <row r="674" spans="1:5" x14ac:dyDescent="0.35">
      <c r="A674" s="17"/>
      <c r="B674" s="1"/>
      <c r="C674" s="1"/>
      <c r="D674" s="2"/>
      <c r="E674" s="2"/>
    </row>
    <row r="675" spans="1:5" x14ac:dyDescent="0.35">
      <c r="A675" s="17"/>
      <c r="B675" s="1"/>
      <c r="C675" s="1"/>
      <c r="D675" s="2"/>
      <c r="E675" s="2"/>
    </row>
    <row r="676" spans="1:5" x14ac:dyDescent="0.35">
      <c r="A676" s="17"/>
      <c r="B676" s="1"/>
      <c r="C676" s="1"/>
      <c r="D676" s="2"/>
      <c r="E676" s="2"/>
    </row>
    <row r="677" spans="1:5" x14ac:dyDescent="0.35">
      <c r="A677" s="17"/>
      <c r="B677" s="1"/>
      <c r="C677" s="1"/>
      <c r="D677" s="2"/>
      <c r="E677" s="2"/>
    </row>
    <row r="678" spans="1:5" x14ac:dyDescent="0.35">
      <c r="A678" s="17"/>
      <c r="B678" s="1"/>
      <c r="C678" s="1"/>
      <c r="D678" s="2"/>
      <c r="E678" s="2"/>
    </row>
    <row r="679" spans="1:5" x14ac:dyDescent="0.35">
      <c r="A679" s="17"/>
      <c r="B679" s="1"/>
      <c r="C679" s="1"/>
      <c r="D679" s="2"/>
      <c r="E679" s="2"/>
    </row>
    <row r="680" spans="1:5" x14ac:dyDescent="0.35">
      <c r="A680" s="17"/>
      <c r="B680" s="1"/>
      <c r="C680" s="1"/>
      <c r="D680" s="2"/>
      <c r="E680" s="2"/>
    </row>
    <row r="681" spans="1:5" x14ac:dyDescent="0.35">
      <c r="A681" s="17"/>
      <c r="B681" s="1"/>
      <c r="C681" s="1"/>
      <c r="D681" s="2"/>
      <c r="E681" s="2"/>
    </row>
    <row r="682" spans="1:5" x14ac:dyDescent="0.35">
      <c r="A682" s="17"/>
      <c r="B682" s="1"/>
      <c r="C682" s="1"/>
      <c r="D682" s="2"/>
      <c r="E682" s="2"/>
    </row>
    <row r="683" spans="1:5" x14ac:dyDescent="0.35">
      <c r="A683" s="17"/>
      <c r="B683" s="1"/>
      <c r="C683" s="1"/>
      <c r="D683" s="2"/>
      <c r="E683" s="2"/>
    </row>
    <row r="684" spans="1:5" x14ac:dyDescent="0.35">
      <c r="A684" s="17"/>
      <c r="B684" s="1"/>
      <c r="C684" s="1"/>
      <c r="D684" s="2"/>
      <c r="E684" s="2"/>
    </row>
    <row r="685" spans="1:5" x14ac:dyDescent="0.35">
      <c r="A685" s="17"/>
      <c r="B685" s="1"/>
      <c r="C685" s="1"/>
      <c r="D685" s="2"/>
      <c r="E685" s="2"/>
    </row>
    <row r="686" spans="1:5" x14ac:dyDescent="0.35">
      <c r="A686" s="17"/>
      <c r="B686" s="1"/>
      <c r="C686" s="1"/>
      <c r="D686" s="2"/>
      <c r="E686" s="2"/>
    </row>
    <row r="687" spans="1:5" x14ac:dyDescent="0.35">
      <c r="A687" s="17"/>
      <c r="B687" s="1"/>
      <c r="C687" s="1"/>
      <c r="D687" s="2"/>
      <c r="E687" s="2"/>
    </row>
    <row r="688" spans="1:5" x14ac:dyDescent="0.35">
      <c r="A688" s="17"/>
      <c r="B688" s="1"/>
      <c r="C688" s="1"/>
      <c r="D688" s="2"/>
      <c r="E688" s="2"/>
    </row>
    <row r="689" spans="1:5" x14ac:dyDescent="0.35">
      <c r="A689" s="17"/>
      <c r="B689" s="1"/>
      <c r="C689" s="1"/>
      <c r="D689" s="2"/>
      <c r="E689" s="2"/>
    </row>
    <row r="690" spans="1:5" x14ac:dyDescent="0.35">
      <c r="A690" s="17"/>
      <c r="B690" s="1"/>
      <c r="C690" s="1"/>
      <c r="D690" s="2"/>
      <c r="E690" s="2"/>
    </row>
    <row r="691" spans="1:5" x14ac:dyDescent="0.35">
      <c r="A691" s="17"/>
      <c r="B691" s="1"/>
      <c r="C691" s="1"/>
      <c r="D691" s="2"/>
      <c r="E691" s="2"/>
    </row>
    <row r="692" spans="1:5" x14ac:dyDescent="0.35">
      <c r="A692" s="17"/>
      <c r="B692" s="1"/>
      <c r="C692" s="1"/>
      <c r="D692" s="2"/>
      <c r="E692" s="2"/>
    </row>
    <row r="693" spans="1:5" x14ac:dyDescent="0.35">
      <c r="A693" s="17"/>
      <c r="B693" s="1"/>
      <c r="C693" s="1"/>
      <c r="D693" s="2"/>
      <c r="E693" s="2"/>
    </row>
    <row r="694" spans="1:5" x14ac:dyDescent="0.35">
      <c r="A694" s="17"/>
      <c r="B694" s="1"/>
      <c r="C694" s="1"/>
      <c r="D694" s="2"/>
      <c r="E694" s="2"/>
    </row>
    <row r="695" spans="1:5" x14ac:dyDescent="0.35">
      <c r="A695" s="17"/>
      <c r="B695" s="1"/>
      <c r="C695" s="1"/>
      <c r="D695" s="2"/>
      <c r="E695" s="2"/>
    </row>
    <row r="696" spans="1:5" x14ac:dyDescent="0.35">
      <c r="A696" s="17"/>
      <c r="B696" s="1"/>
      <c r="C696" s="1"/>
      <c r="D696" s="2"/>
      <c r="E696" s="2"/>
    </row>
    <row r="697" spans="1:5" x14ac:dyDescent="0.35">
      <c r="A697" s="17"/>
      <c r="B697" s="1"/>
      <c r="C697" s="1"/>
      <c r="D697" s="2"/>
      <c r="E697" s="2"/>
    </row>
    <row r="698" spans="1:5" x14ac:dyDescent="0.35">
      <c r="A698" s="17"/>
      <c r="B698" s="1"/>
      <c r="C698" s="1"/>
      <c r="D698" s="2"/>
      <c r="E698" s="2"/>
    </row>
    <row r="699" spans="1:5" x14ac:dyDescent="0.35">
      <c r="A699" s="17"/>
      <c r="B699" s="1"/>
      <c r="C699" s="1"/>
      <c r="D699" s="2"/>
      <c r="E699" s="2"/>
    </row>
    <row r="700" spans="1:5" x14ac:dyDescent="0.35">
      <c r="A700" s="17"/>
      <c r="B700" s="1"/>
      <c r="C700" s="1"/>
      <c r="D700" s="2"/>
      <c r="E700" s="2"/>
    </row>
    <row r="701" spans="1:5" x14ac:dyDescent="0.35">
      <c r="A701" s="17"/>
      <c r="B701" s="1"/>
      <c r="C701" s="1"/>
      <c r="D701" s="2"/>
      <c r="E701" s="2"/>
    </row>
    <row r="702" spans="1:5" x14ac:dyDescent="0.35">
      <c r="A702" s="17"/>
      <c r="B702" s="1"/>
      <c r="C702" s="1"/>
      <c r="D702" s="2"/>
      <c r="E702" s="2"/>
    </row>
    <row r="703" spans="1:5" x14ac:dyDescent="0.35">
      <c r="A703" s="17"/>
      <c r="B703" s="1"/>
      <c r="C703" s="1"/>
      <c r="D703" s="2"/>
      <c r="E703" s="2"/>
    </row>
    <row r="704" spans="1:5" x14ac:dyDescent="0.35">
      <c r="A704" s="17"/>
      <c r="B704" s="1"/>
      <c r="C704" s="1"/>
      <c r="D704" s="2"/>
      <c r="E704" s="2"/>
    </row>
    <row r="705" spans="1:5" x14ac:dyDescent="0.35">
      <c r="A705" s="17"/>
      <c r="B705" s="1"/>
      <c r="C705" s="1"/>
      <c r="D705" s="2"/>
      <c r="E705" s="2"/>
    </row>
    <row r="706" spans="1:5" x14ac:dyDescent="0.35">
      <c r="A706" s="17"/>
      <c r="B706" s="1"/>
      <c r="C706" s="1"/>
      <c r="D706" s="2"/>
      <c r="E706" s="2"/>
    </row>
    <row r="707" spans="1:5" x14ac:dyDescent="0.35">
      <c r="A707" s="17"/>
      <c r="B707" s="1"/>
      <c r="C707" s="1"/>
      <c r="D707" s="2"/>
      <c r="E707" s="2"/>
    </row>
    <row r="708" spans="1:5" x14ac:dyDescent="0.35">
      <c r="A708" s="17"/>
      <c r="B708" s="1"/>
      <c r="C708" s="1"/>
      <c r="D708" s="2"/>
      <c r="E708" s="2"/>
    </row>
    <row r="709" spans="1:5" x14ac:dyDescent="0.35">
      <c r="A709" s="17"/>
      <c r="B709" s="1"/>
      <c r="C709" s="1"/>
      <c r="D709" s="2"/>
      <c r="E709" s="2"/>
    </row>
    <row r="710" spans="1:5" x14ac:dyDescent="0.35">
      <c r="A710" s="17"/>
      <c r="B710" s="1"/>
      <c r="C710" s="1"/>
      <c r="D710" s="2"/>
      <c r="E710" s="2"/>
    </row>
    <row r="711" spans="1:5" x14ac:dyDescent="0.35">
      <c r="A711" s="17"/>
      <c r="B711" s="1"/>
      <c r="C711" s="1"/>
      <c r="D711" s="2"/>
      <c r="E711" s="2"/>
    </row>
    <row r="712" spans="1:5" x14ac:dyDescent="0.35">
      <c r="A712" s="17"/>
      <c r="B712" s="1"/>
      <c r="C712" s="1"/>
      <c r="D712" s="2"/>
      <c r="E712" s="2"/>
    </row>
    <row r="713" spans="1:5" x14ac:dyDescent="0.35">
      <c r="A713" s="17"/>
      <c r="B713" s="1"/>
      <c r="C713" s="1"/>
      <c r="D713" s="2"/>
      <c r="E713" s="2"/>
    </row>
    <row r="714" spans="1:5" x14ac:dyDescent="0.35">
      <c r="A714" s="17"/>
      <c r="B714" s="1"/>
      <c r="C714" s="1"/>
      <c r="D714" s="2"/>
      <c r="E714" s="2"/>
    </row>
    <row r="715" spans="1:5" x14ac:dyDescent="0.35">
      <c r="A715" s="17"/>
      <c r="B715" s="1"/>
      <c r="C715" s="1"/>
      <c r="D715" s="2"/>
      <c r="E715" s="2"/>
    </row>
    <row r="716" spans="1:5" x14ac:dyDescent="0.35">
      <c r="A716" s="17"/>
      <c r="B716" s="1"/>
      <c r="C716" s="1"/>
      <c r="D716" s="2"/>
      <c r="E716" s="2"/>
    </row>
    <row r="717" spans="1:5" x14ac:dyDescent="0.35">
      <c r="A717" s="17"/>
      <c r="B717" s="1"/>
      <c r="C717" s="1"/>
      <c r="D717" s="2"/>
      <c r="E717" s="2"/>
    </row>
    <row r="718" spans="1:5" x14ac:dyDescent="0.35">
      <c r="A718" s="17"/>
      <c r="B718" s="1"/>
      <c r="C718" s="1"/>
      <c r="D718" s="2"/>
      <c r="E718" s="2"/>
    </row>
    <row r="719" spans="1:5" x14ac:dyDescent="0.35">
      <c r="A719" s="17"/>
      <c r="B719" s="1"/>
      <c r="C719" s="1"/>
      <c r="D719" s="2"/>
      <c r="E719" s="2"/>
    </row>
    <row r="720" spans="1:5" x14ac:dyDescent="0.35">
      <c r="A720" s="17"/>
      <c r="B720" s="1"/>
      <c r="C720" s="1"/>
      <c r="D720" s="2"/>
      <c r="E720" s="2"/>
    </row>
    <row r="721" spans="1:5" x14ac:dyDescent="0.35">
      <c r="A721" s="17"/>
      <c r="B721" s="1"/>
      <c r="C721" s="1"/>
      <c r="D721" s="2"/>
      <c r="E721" s="2"/>
    </row>
    <row r="722" spans="1:5" x14ac:dyDescent="0.35">
      <c r="A722" s="17"/>
      <c r="B722" s="1"/>
      <c r="C722" s="1"/>
      <c r="D722" s="2"/>
      <c r="E722" s="2"/>
    </row>
    <row r="723" spans="1:5" x14ac:dyDescent="0.35">
      <c r="A723" s="17"/>
      <c r="B723" s="1"/>
      <c r="C723" s="1"/>
      <c r="D723" s="2"/>
      <c r="E723" s="2"/>
    </row>
    <row r="724" spans="1:5" x14ac:dyDescent="0.35">
      <c r="A724" s="17"/>
      <c r="B724" s="1"/>
      <c r="C724" s="1"/>
      <c r="D724" s="2"/>
      <c r="E724" s="2"/>
    </row>
    <row r="725" spans="1:5" x14ac:dyDescent="0.35">
      <c r="A725" s="17"/>
      <c r="B725" s="1"/>
      <c r="C725" s="1"/>
      <c r="D725" s="2"/>
      <c r="E725" s="2"/>
    </row>
    <row r="726" spans="1:5" x14ac:dyDescent="0.35">
      <c r="A726" s="17"/>
      <c r="B726" s="1"/>
      <c r="C726" s="1"/>
      <c r="D726" s="2"/>
      <c r="E726" s="2"/>
    </row>
    <row r="727" spans="1:5" x14ac:dyDescent="0.35">
      <c r="A727" s="17"/>
      <c r="B727" s="1"/>
      <c r="C727" s="1"/>
      <c r="D727" s="2"/>
      <c r="E727" s="2"/>
    </row>
    <row r="728" spans="1:5" x14ac:dyDescent="0.35">
      <c r="A728" s="17"/>
      <c r="B728" s="1"/>
      <c r="C728" s="1"/>
      <c r="D728" s="2"/>
      <c r="E728" s="2"/>
    </row>
    <row r="729" spans="1:5" x14ac:dyDescent="0.35">
      <c r="A729" s="17"/>
      <c r="B729" s="1"/>
      <c r="C729" s="1"/>
      <c r="D729" s="2"/>
      <c r="E729" s="2"/>
    </row>
    <row r="730" spans="1:5" x14ac:dyDescent="0.35">
      <c r="A730" s="17"/>
      <c r="B730" s="1"/>
      <c r="C730" s="1"/>
      <c r="D730" s="2"/>
      <c r="E730" s="2"/>
    </row>
    <row r="731" spans="1:5" x14ac:dyDescent="0.35">
      <c r="A731" s="17"/>
      <c r="B731" s="1"/>
      <c r="C731" s="1"/>
      <c r="D731" s="2"/>
      <c r="E731" s="2"/>
    </row>
    <row r="732" spans="1:5" x14ac:dyDescent="0.35">
      <c r="A732" s="17"/>
      <c r="B732" s="1"/>
      <c r="C732" s="1"/>
      <c r="D732" s="2"/>
      <c r="E732" s="2"/>
    </row>
    <row r="733" spans="1:5" x14ac:dyDescent="0.35">
      <c r="A733" s="17"/>
      <c r="B733" s="1"/>
      <c r="C733" s="1"/>
      <c r="D733" s="2"/>
      <c r="E733" s="2"/>
    </row>
    <row r="734" spans="1:5" x14ac:dyDescent="0.35">
      <c r="A734" s="17"/>
      <c r="B734" s="1"/>
      <c r="C734" s="1"/>
      <c r="D734" s="2"/>
      <c r="E734" s="2"/>
    </row>
    <row r="735" spans="1:5" x14ac:dyDescent="0.35">
      <c r="A735" s="17"/>
      <c r="B735" s="1"/>
      <c r="C735" s="1"/>
      <c r="D735" s="2"/>
      <c r="E735" s="2"/>
    </row>
    <row r="736" spans="1:5" x14ac:dyDescent="0.35">
      <c r="A736" s="17"/>
      <c r="B736" s="1"/>
      <c r="C736" s="1"/>
      <c r="D736" s="2"/>
      <c r="E736" s="2"/>
    </row>
    <row r="737" spans="1:6" x14ac:dyDescent="0.35">
      <c r="A737" s="17"/>
      <c r="B737" s="1"/>
      <c r="C737" s="1"/>
      <c r="D737" s="2"/>
      <c r="E737" s="2"/>
    </row>
    <row r="738" spans="1:6" x14ac:dyDescent="0.35">
      <c r="A738" s="17"/>
      <c r="B738" s="1"/>
      <c r="C738" s="1"/>
      <c r="D738" s="2"/>
      <c r="E738" s="2"/>
    </row>
    <row r="739" spans="1:6" x14ac:dyDescent="0.35">
      <c r="A739" s="17"/>
      <c r="B739" s="1"/>
      <c r="C739" s="1"/>
      <c r="D739" s="2"/>
      <c r="E739" s="2"/>
    </row>
    <row r="740" spans="1:6" x14ac:dyDescent="0.35">
      <c r="A740" s="17"/>
      <c r="B740" s="1"/>
      <c r="C740" s="1"/>
      <c r="D740" s="2"/>
      <c r="E740" s="2"/>
    </row>
    <row r="741" spans="1:6" x14ac:dyDescent="0.35">
      <c r="A741" s="17"/>
      <c r="B741" s="1"/>
      <c r="C741" s="1"/>
      <c r="D741" s="2"/>
      <c r="E741" s="2"/>
    </row>
    <row r="742" spans="1:6" x14ac:dyDescent="0.35">
      <c r="A742" s="17"/>
      <c r="B742" s="1"/>
      <c r="C742" s="1"/>
      <c r="D742" s="2"/>
      <c r="E742" s="2"/>
    </row>
    <row r="743" spans="1:6" x14ac:dyDescent="0.35">
      <c r="A743" s="17"/>
      <c r="B743" s="1"/>
      <c r="C743" s="1"/>
      <c r="D743" s="2"/>
      <c r="E743" s="2"/>
      <c r="F743" s="6"/>
    </row>
    <row r="744" spans="1:6" x14ac:dyDescent="0.35">
      <c r="A744" s="17"/>
      <c r="B744" s="1"/>
      <c r="C744" s="1"/>
      <c r="D744" s="2"/>
      <c r="E744" s="2"/>
    </row>
    <row r="745" spans="1:6" x14ac:dyDescent="0.35">
      <c r="A745" s="17"/>
      <c r="B745" s="1"/>
      <c r="C745" s="1"/>
      <c r="D745" s="2"/>
      <c r="E745" s="2"/>
    </row>
    <row r="746" spans="1:6" x14ac:dyDescent="0.35">
      <c r="A746" s="17"/>
      <c r="B746" s="1"/>
      <c r="C746" s="1"/>
      <c r="D746" s="2"/>
      <c r="E746" s="2"/>
    </row>
    <row r="747" spans="1:6" x14ac:dyDescent="0.35">
      <c r="A747" s="17"/>
      <c r="B747" s="1"/>
      <c r="C747" s="1"/>
      <c r="D747" s="2"/>
      <c r="E747" s="2"/>
    </row>
    <row r="748" spans="1:6" x14ac:dyDescent="0.35">
      <c r="A748" s="17"/>
      <c r="B748" s="1"/>
      <c r="C748" s="1"/>
      <c r="D748" s="2"/>
      <c r="E748" s="2"/>
    </row>
    <row r="749" spans="1:6" x14ac:dyDescent="0.35">
      <c r="A749" s="17"/>
      <c r="B749" s="1"/>
      <c r="C749" s="1"/>
      <c r="D749" s="2"/>
      <c r="E749" s="2"/>
    </row>
    <row r="750" spans="1:6" x14ac:dyDescent="0.35">
      <c r="A750" s="18"/>
      <c r="B750" s="3"/>
      <c r="C750" s="3"/>
      <c r="D750" s="4"/>
      <c r="E750" s="4"/>
    </row>
  </sheetData>
  <autoFilter ref="A2:I414" xr:uid="{B9A5F58A-8FBE-4814-8C0A-3FA904894C2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A391-6BF2-4A23-BC7D-12824831C870}">
  <dimension ref="A1:G5"/>
  <sheetViews>
    <sheetView workbookViewId="0">
      <selection activeCell="E3" sqref="A3:XFD3"/>
    </sheetView>
  </sheetViews>
  <sheetFormatPr defaultRowHeight="14.5" x14ac:dyDescent="0.35"/>
  <cols>
    <col min="1" max="1" width="10.08984375" bestFit="1" customWidth="1"/>
    <col min="2" max="2" width="12" bestFit="1" customWidth="1"/>
    <col min="3" max="3" width="17" bestFit="1" customWidth="1"/>
    <col min="4" max="4" width="11.36328125" bestFit="1" customWidth="1"/>
    <col min="5" max="5" width="6.1796875" bestFit="1" customWidth="1"/>
    <col min="6" max="6" width="7.1796875" bestFit="1" customWidth="1"/>
  </cols>
  <sheetData>
    <row r="1" spans="1:7" x14ac:dyDescent="0.35">
      <c r="A1" s="14" t="s">
        <v>0</v>
      </c>
      <c r="B1" s="7" t="s">
        <v>1</v>
      </c>
      <c r="C1" s="7" t="s">
        <v>2</v>
      </c>
      <c r="D1" s="89" t="s">
        <v>4</v>
      </c>
      <c r="E1" s="89" t="s">
        <v>466</v>
      </c>
      <c r="F1" s="7" t="s">
        <v>467</v>
      </c>
    </row>
    <row r="2" spans="1:7" x14ac:dyDescent="0.35">
      <c r="A2" s="102">
        <v>46076</v>
      </c>
      <c r="B2" s="103" t="s">
        <v>6</v>
      </c>
      <c r="C2" s="103" t="s">
        <v>320</v>
      </c>
      <c r="D2" s="104">
        <v>42919</v>
      </c>
      <c r="E2" s="105">
        <v>727</v>
      </c>
      <c r="F2" s="106">
        <v>1.6938884876162071E-2</v>
      </c>
      <c r="G2" s="130"/>
    </row>
    <row r="3" spans="1:7" x14ac:dyDescent="0.35">
      <c r="A3" s="102">
        <v>46064</v>
      </c>
      <c r="B3" s="103" t="s">
        <v>6</v>
      </c>
      <c r="C3" s="103" t="s">
        <v>303</v>
      </c>
      <c r="D3" s="104">
        <v>4067</v>
      </c>
      <c r="E3" s="105">
        <v>69</v>
      </c>
      <c r="F3" s="106">
        <v>1.6965822473567739E-2</v>
      </c>
      <c r="G3" s="130"/>
    </row>
    <row r="4" spans="1:7" x14ac:dyDescent="0.35">
      <c r="A4" s="102">
        <v>46064</v>
      </c>
      <c r="B4" s="103" t="s">
        <v>6</v>
      </c>
      <c r="C4" s="103" t="s">
        <v>299</v>
      </c>
      <c r="D4" s="104">
        <v>1779</v>
      </c>
      <c r="E4" s="105">
        <v>30</v>
      </c>
      <c r="F4" s="106">
        <v>1.6863406408094434E-2</v>
      </c>
      <c r="G4" s="130"/>
    </row>
    <row r="5" spans="1:7" x14ac:dyDescent="0.35">
      <c r="D5" s="134">
        <f>SUM(D2:D4)</f>
        <v>48765</v>
      </c>
      <c r="E5" s="134">
        <f>SUM(E2:E4)</f>
        <v>826</v>
      </c>
      <c r="F5" s="134">
        <f>D5</f>
        <v>48765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4CA8-4971-492A-9EFD-A075091ABA3B}">
  <dimension ref="A1:F67"/>
  <sheetViews>
    <sheetView workbookViewId="0">
      <selection activeCell="D3" sqref="D3:D67"/>
    </sheetView>
  </sheetViews>
  <sheetFormatPr defaultRowHeight="14.5" x14ac:dyDescent="0.35"/>
  <cols>
    <col min="1" max="1" width="10.08984375" bestFit="1" customWidth="1"/>
    <col min="2" max="2" width="26.26953125" bestFit="1" customWidth="1"/>
    <col min="3" max="3" width="17" bestFit="1" customWidth="1"/>
    <col min="4" max="4" width="12.1796875" bestFit="1" customWidth="1"/>
    <col min="5" max="5" width="12.7265625" bestFit="1" customWidth="1"/>
    <col min="6" max="6" width="14.1796875" bestFit="1" customWidth="1"/>
  </cols>
  <sheetData>
    <row r="1" spans="1:6" x14ac:dyDescent="0.35">
      <c r="D1" s="13">
        <f>SUBTOTAL(9,D3:D67)-'Invoices not in Ascendus books'!E5</f>
        <v>20804.91</v>
      </c>
    </row>
    <row r="2" spans="1:6" x14ac:dyDescent="0.35">
      <c r="A2" s="14" t="s">
        <v>573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x14ac:dyDescent="0.35">
      <c r="A3" s="15">
        <v>45736</v>
      </c>
      <c r="B3" s="8" t="s">
        <v>11</v>
      </c>
      <c r="C3" s="8" t="s">
        <v>58</v>
      </c>
      <c r="D3" s="9">
        <v>49</v>
      </c>
      <c r="E3" s="9">
        <v>0</v>
      </c>
      <c r="F3" s="10">
        <v>-137148</v>
      </c>
    </row>
    <row r="4" spans="1:6" x14ac:dyDescent="0.35">
      <c r="A4" s="15">
        <v>45736</v>
      </c>
      <c r="B4" s="8" t="s">
        <v>11</v>
      </c>
      <c r="C4" s="8" t="s">
        <v>54</v>
      </c>
      <c r="D4" s="9">
        <v>7</v>
      </c>
      <c r="E4" s="9">
        <v>0</v>
      </c>
      <c r="F4" s="10">
        <v>-134361</v>
      </c>
    </row>
    <row r="5" spans="1:6" x14ac:dyDescent="0.35">
      <c r="A5" s="15">
        <v>45736</v>
      </c>
      <c r="B5" s="8" t="s">
        <v>11</v>
      </c>
      <c r="C5" s="8" t="s">
        <v>50</v>
      </c>
      <c r="D5" s="9">
        <v>20</v>
      </c>
      <c r="E5" s="9">
        <v>0</v>
      </c>
      <c r="F5" s="10">
        <v>-134013</v>
      </c>
    </row>
    <row r="6" spans="1:6" x14ac:dyDescent="0.35">
      <c r="A6" s="15">
        <v>45735</v>
      </c>
      <c r="B6" s="8" t="s">
        <v>11</v>
      </c>
      <c r="C6" s="8" t="s">
        <v>42</v>
      </c>
      <c r="D6" s="9">
        <v>6</v>
      </c>
      <c r="E6" s="9">
        <v>0</v>
      </c>
      <c r="F6" s="10">
        <v>-127038</v>
      </c>
    </row>
    <row r="7" spans="1:6" x14ac:dyDescent="0.35">
      <c r="A7" s="15">
        <v>45735</v>
      </c>
      <c r="B7" s="8" t="s">
        <v>11</v>
      </c>
      <c r="C7" s="8" t="s">
        <v>38</v>
      </c>
      <c r="D7" s="9">
        <v>485</v>
      </c>
      <c r="E7" s="9">
        <v>0</v>
      </c>
      <c r="F7" s="10">
        <v>-126707</v>
      </c>
    </row>
    <row r="8" spans="1:6" x14ac:dyDescent="0.35">
      <c r="A8" s="15">
        <v>45735</v>
      </c>
      <c r="B8" s="8" t="s">
        <v>11</v>
      </c>
      <c r="C8" s="8" t="s">
        <v>33</v>
      </c>
      <c r="D8" s="9">
        <v>470</v>
      </c>
      <c r="E8" s="9">
        <v>0</v>
      </c>
      <c r="F8" s="10">
        <v>-98592</v>
      </c>
    </row>
    <row r="9" spans="1:6" x14ac:dyDescent="0.35">
      <c r="A9" s="15">
        <v>45735</v>
      </c>
      <c r="B9" s="8" t="s">
        <v>11</v>
      </c>
      <c r="C9" s="8" t="s">
        <v>27</v>
      </c>
      <c r="D9" s="9">
        <v>416</v>
      </c>
      <c r="E9" s="9">
        <v>0</v>
      </c>
      <c r="F9" s="10">
        <v>-71385</v>
      </c>
    </row>
    <row r="10" spans="1:6" x14ac:dyDescent="0.35">
      <c r="A10" s="15">
        <v>45735</v>
      </c>
      <c r="B10" s="8" t="s">
        <v>11</v>
      </c>
      <c r="C10" s="8" t="s">
        <v>21</v>
      </c>
      <c r="D10" s="9">
        <v>373</v>
      </c>
      <c r="E10" s="9">
        <v>0</v>
      </c>
      <c r="F10" s="10">
        <v>-47264</v>
      </c>
    </row>
    <row r="11" spans="1:6" x14ac:dyDescent="0.35">
      <c r="A11" s="15">
        <v>45735</v>
      </c>
      <c r="B11" s="8" t="s">
        <v>11</v>
      </c>
      <c r="C11" s="8" t="s">
        <v>16</v>
      </c>
      <c r="D11" s="9">
        <v>407</v>
      </c>
      <c r="E11" s="9">
        <v>0</v>
      </c>
      <c r="F11" s="10">
        <v>-25630</v>
      </c>
    </row>
    <row r="12" spans="1:6" x14ac:dyDescent="0.35">
      <c r="A12" s="15">
        <v>45733</v>
      </c>
      <c r="B12" s="8" t="s">
        <v>11</v>
      </c>
      <c r="C12" s="8" t="s">
        <v>12</v>
      </c>
      <c r="D12" s="9">
        <v>29</v>
      </c>
      <c r="E12" s="9">
        <v>0</v>
      </c>
      <c r="F12" s="10">
        <v>-2068</v>
      </c>
    </row>
    <row r="13" spans="1:6" x14ac:dyDescent="0.35">
      <c r="A13" s="15">
        <v>45719</v>
      </c>
      <c r="B13" s="8" t="s">
        <v>11</v>
      </c>
      <c r="C13" s="8" t="s">
        <v>7</v>
      </c>
      <c r="D13" s="9">
        <v>8</v>
      </c>
      <c r="E13" s="9">
        <v>0</v>
      </c>
      <c r="F13" s="10">
        <v>-427</v>
      </c>
    </row>
    <row r="14" spans="1:6" x14ac:dyDescent="0.35">
      <c r="A14" s="15">
        <v>45736</v>
      </c>
      <c r="B14" s="8" t="s">
        <v>11</v>
      </c>
      <c r="C14" s="8" t="s">
        <v>45</v>
      </c>
      <c r="D14" s="9">
        <v>101</v>
      </c>
      <c r="E14" s="9">
        <v>0</v>
      </c>
      <c r="F14" s="10">
        <v>-132867</v>
      </c>
    </row>
    <row r="15" spans="1:6" x14ac:dyDescent="0.35">
      <c r="A15" s="15">
        <v>45770</v>
      </c>
      <c r="B15" s="8" t="s">
        <v>11</v>
      </c>
      <c r="C15" s="8" t="s">
        <v>76</v>
      </c>
      <c r="D15" s="9">
        <v>58</v>
      </c>
      <c r="E15" s="9">
        <v>0</v>
      </c>
      <c r="F15" s="10">
        <v>-151870.35</v>
      </c>
    </row>
    <row r="16" spans="1:6" x14ac:dyDescent="0.35">
      <c r="A16" s="15">
        <v>45770</v>
      </c>
      <c r="B16" s="8" t="s">
        <v>11</v>
      </c>
      <c r="C16" s="8" t="s">
        <v>73</v>
      </c>
      <c r="D16" s="9">
        <v>102</v>
      </c>
      <c r="E16" s="9">
        <v>0</v>
      </c>
      <c r="F16" s="10">
        <v>-148544.35</v>
      </c>
    </row>
    <row r="17" spans="1:6" x14ac:dyDescent="0.35">
      <c r="A17" s="15">
        <v>45769</v>
      </c>
      <c r="B17" s="8" t="s">
        <v>11</v>
      </c>
      <c r="C17" s="8" t="s">
        <v>69</v>
      </c>
      <c r="D17" s="9">
        <v>6</v>
      </c>
      <c r="E17" s="9">
        <v>0</v>
      </c>
      <c r="F17" s="10">
        <v>-142653</v>
      </c>
    </row>
    <row r="18" spans="1:6" x14ac:dyDescent="0.35">
      <c r="A18" s="15">
        <v>45769</v>
      </c>
      <c r="B18" s="8" t="s">
        <v>11</v>
      </c>
      <c r="C18" s="8" t="s">
        <v>65</v>
      </c>
      <c r="D18" s="9">
        <v>54</v>
      </c>
      <c r="E18" s="9">
        <v>0</v>
      </c>
      <c r="F18" s="10">
        <v>-142321</v>
      </c>
    </row>
    <row r="19" spans="1:6" x14ac:dyDescent="0.35">
      <c r="A19" s="15">
        <v>45797</v>
      </c>
      <c r="B19" s="8" t="s">
        <v>87</v>
      </c>
      <c r="C19" s="8" t="s">
        <v>80</v>
      </c>
      <c r="D19" s="9">
        <v>256</v>
      </c>
      <c r="E19" s="9">
        <v>0</v>
      </c>
      <c r="F19" s="10">
        <v>-166700.35</v>
      </c>
    </row>
    <row r="20" spans="1:6" x14ac:dyDescent="0.35">
      <c r="A20" s="15">
        <v>45750</v>
      </c>
      <c r="B20" s="8" t="s">
        <v>11</v>
      </c>
      <c r="C20" s="8" t="s">
        <v>62</v>
      </c>
      <c r="D20" s="9">
        <v>35</v>
      </c>
      <c r="E20" s="9">
        <v>0</v>
      </c>
      <c r="F20" s="10">
        <v>-139176</v>
      </c>
    </row>
    <row r="21" spans="1:6" x14ac:dyDescent="0.35">
      <c r="A21" s="15">
        <v>46076</v>
      </c>
      <c r="B21" s="8" t="s">
        <v>87</v>
      </c>
      <c r="C21" s="8" t="s">
        <v>320</v>
      </c>
      <c r="D21" s="9">
        <v>727</v>
      </c>
      <c r="E21" s="9">
        <v>0</v>
      </c>
      <c r="F21" s="10">
        <v>-896920.81</v>
      </c>
    </row>
    <row r="22" spans="1:6" x14ac:dyDescent="0.35">
      <c r="A22" s="15">
        <v>46064</v>
      </c>
      <c r="B22" s="8" t="s">
        <v>87</v>
      </c>
      <c r="C22" s="8" t="s">
        <v>303</v>
      </c>
      <c r="D22" s="40">
        <v>69</v>
      </c>
      <c r="E22" s="40">
        <v>0</v>
      </c>
      <c r="F22" s="10">
        <v>-798926.81</v>
      </c>
    </row>
    <row r="23" spans="1:6" x14ac:dyDescent="0.35">
      <c r="A23" s="15">
        <v>46064</v>
      </c>
      <c r="B23" s="8" t="s">
        <v>87</v>
      </c>
      <c r="C23" s="8" t="s">
        <v>299</v>
      </c>
      <c r="D23" s="40">
        <v>30</v>
      </c>
      <c r="E23" s="40">
        <v>0</v>
      </c>
      <c r="F23" s="10">
        <v>-794928.81</v>
      </c>
    </row>
    <row r="24" spans="1:6" x14ac:dyDescent="0.35">
      <c r="A24" s="15">
        <v>46065</v>
      </c>
      <c r="B24" s="8" t="s">
        <v>87</v>
      </c>
      <c r="C24" s="8" t="s">
        <v>316</v>
      </c>
      <c r="D24" s="40">
        <v>184</v>
      </c>
      <c r="E24" s="40">
        <v>0</v>
      </c>
      <c r="F24" s="10">
        <v>-854728.81</v>
      </c>
    </row>
    <row r="25" spans="1:6" x14ac:dyDescent="0.35">
      <c r="A25" s="15">
        <v>46065</v>
      </c>
      <c r="B25" s="8" t="s">
        <v>87</v>
      </c>
      <c r="C25" s="8" t="s">
        <v>307</v>
      </c>
      <c r="D25" s="40">
        <v>778</v>
      </c>
      <c r="E25" s="40">
        <v>0</v>
      </c>
      <c r="F25" s="10">
        <v>-844066.81</v>
      </c>
    </row>
    <row r="26" spans="1:6" x14ac:dyDescent="0.35">
      <c r="A26" s="15">
        <v>46042</v>
      </c>
      <c r="B26" s="8" t="s">
        <v>87</v>
      </c>
      <c r="C26" s="8" t="s">
        <v>280</v>
      </c>
      <c r="D26" s="40">
        <v>752</v>
      </c>
      <c r="E26" s="40">
        <v>0</v>
      </c>
      <c r="F26" s="10">
        <v>-864099.02</v>
      </c>
    </row>
    <row r="27" spans="1:6" x14ac:dyDescent="0.35">
      <c r="A27" s="15">
        <v>46045</v>
      </c>
      <c r="B27" s="8" t="s">
        <v>87</v>
      </c>
      <c r="C27" s="8" t="s">
        <v>293</v>
      </c>
      <c r="D27" s="40">
        <v>108</v>
      </c>
      <c r="E27" s="40">
        <v>0</v>
      </c>
      <c r="F27" s="10">
        <v>-881206.02</v>
      </c>
    </row>
    <row r="28" spans="1:6" x14ac:dyDescent="0.35">
      <c r="A28" s="15">
        <v>46045</v>
      </c>
      <c r="B28" s="8" t="s">
        <v>87</v>
      </c>
      <c r="C28" s="8" t="s">
        <v>289</v>
      </c>
      <c r="D28" s="40">
        <v>14</v>
      </c>
      <c r="E28" s="40">
        <v>0</v>
      </c>
      <c r="F28" s="10">
        <v>-874954.02</v>
      </c>
    </row>
    <row r="29" spans="1:6" x14ac:dyDescent="0.35">
      <c r="A29" s="15">
        <v>46045</v>
      </c>
      <c r="B29" s="8" t="s">
        <v>87</v>
      </c>
      <c r="C29" s="8" t="s">
        <v>288</v>
      </c>
      <c r="D29" s="40">
        <v>173</v>
      </c>
      <c r="E29" s="40">
        <v>0</v>
      </c>
      <c r="F29" s="10">
        <v>-874140.02</v>
      </c>
    </row>
    <row r="30" spans="1:6" x14ac:dyDescent="0.35">
      <c r="A30" s="15">
        <v>46024</v>
      </c>
      <c r="B30" s="8" t="s">
        <v>87</v>
      </c>
      <c r="C30" s="8" t="s">
        <v>245</v>
      </c>
      <c r="D30" s="9">
        <v>731</v>
      </c>
      <c r="E30" s="9">
        <v>0</v>
      </c>
      <c r="F30" s="10">
        <v>-699082.02</v>
      </c>
    </row>
    <row r="31" spans="1:6" x14ac:dyDescent="0.35">
      <c r="A31" s="15">
        <v>46027</v>
      </c>
      <c r="B31" s="8" t="s">
        <v>87</v>
      </c>
      <c r="C31" s="8" t="s">
        <v>255</v>
      </c>
      <c r="D31" s="9">
        <v>713</v>
      </c>
      <c r="E31" s="9">
        <v>0</v>
      </c>
      <c r="F31" s="10">
        <v>-750484.02</v>
      </c>
    </row>
    <row r="32" spans="1:6" x14ac:dyDescent="0.35">
      <c r="A32" s="15">
        <v>46027</v>
      </c>
      <c r="B32" s="8" t="s">
        <v>87</v>
      </c>
      <c r="C32" s="8" t="s">
        <v>252</v>
      </c>
      <c r="D32" s="9">
        <v>173</v>
      </c>
      <c r="E32" s="9">
        <v>0</v>
      </c>
      <c r="F32" s="10">
        <v>-709123.02</v>
      </c>
    </row>
    <row r="33" spans="1:6" x14ac:dyDescent="0.35">
      <c r="A33" s="15">
        <v>46034</v>
      </c>
      <c r="B33" s="8" t="s">
        <v>87</v>
      </c>
      <c r="C33" s="8" t="s">
        <v>267</v>
      </c>
      <c r="D33" s="9">
        <v>779</v>
      </c>
      <c r="E33" s="9">
        <v>0</v>
      </c>
      <c r="F33" s="10">
        <v>-810035.02</v>
      </c>
    </row>
    <row r="34" spans="1:6" x14ac:dyDescent="0.35">
      <c r="A34" s="15">
        <v>46028</v>
      </c>
      <c r="B34" s="8" t="s">
        <v>87</v>
      </c>
      <c r="C34" s="8" t="s">
        <v>263</v>
      </c>
      <c r="D34" s="9">
        <v>63</v>
      </c>
      <c r="E34" s="9">
        <v>0</v>
      </c>
      <c r="F34" s="10">
        <v>-764869.02</v>
      </c>
    </row>
    <row r="35" spans="1:6" x14ac:dyDescent="0.35">
      <c r="A35" s="15">
        <v>46028</v>
      </c>
      <c r="B35" s="8" t="s">
        <v>87</v>
      </c>
      <c r="C35" s="8" t="s">
        <v>260</v>
      </c>
      <c r="D35" s="9">
        <v>184</v>
      </c>
      <c r="E35" s="9">
        <v>0</v>
      </c>
      <c r="F35" s="10">
        <v>-761195.02</v>
      </c>
    </row>
    <row r="36" spans="1:6" x14ac:dyDescent="0.35">
      <c r="A36" s="15">
        <v>46039</v>
      </c>
      <c r="B36" s="8" t="s">
        <v>87</v>
      </c>
      <c r="C36" s="8" t="s">
        <v>277</v>
      </c>
      <c r="D36" s="40">
        <v>11</v>
      </c>
      <c r="E36" s="40">
        <v>0</v>
      </c>
      <c r="F36" s="10">
        <v>-820467.02</v>
      </c>
    </row>
    <row r="37" spans="1:6" x14ac:dyDescent="0.35">
      <c r="A37" s="15">
        <v>46039</v>
      </c>
      <c r="B37" s="8" t="s">
        <v>87</v>
      </c>
      <c r="C37" s="8" t="s">
        <v>274</v>
      </c>
      <c r="D37" s="40">
        <v>169</v>
      </c>
      <c r="E37" s="40">
        <v>0</v>
      </c>
      <c r="F37" s="10">
        <v>-819850.02</v>
      </c>
    </row>
    <row r="38" spans="1:6" x14ac:dyDescent="0.35">
      <c r="A38" s="15">
        <v>45981</v>
      </c>
      <c r="B38" s="8" t="s">
        <v>87</v>
      </c>
      <c r="C38" s="8" t="s">
        <v>216</v>
      </c>
      <c r="D38" s="9">
        <v>14</v>
      </c>
      <c r="E38" s="9">
        <v>0</v>
      </c>
      <c r="F38" s="10">
        <v>-477880.02</v>
      </c>
    </row>
    <row r="39" spans="1:6" x14ac:dyDescent="0.35">
      <c r="A39" s="15">
        <v>45981</v>
      </c>
      <c r="B39" s="8" t="s">
        <v>87</v>
      </c>
      <c r="C39" s="8" t="s">
        <v>212</v>
      </c>
      <c r="D39" s="9">
        <v>62</v>
      </c>
      <c r="E39" s="9">
        <v>0</v>
      </c>
      <c r="F39" s="10">
        <v>-477024.02</v>
      </c>
    </row>
    <row r="40" spans="1:6" x14ac:dyDescent="0.35">
      <c r="A40" s="15">
        <v>45981</v>
      </c>
      <c r="B40" s="8" t="s">
        <v>87</v>
      </c>
      <c r="C40" s="8" t="s">
        <v>208</v>
      </c>
      <c r="D40" s="9">
        <v>224</v>
      </c>
      <c r="E40" s="9">
        <v>0</v>
      </c>
      <c r="F40" s="10">
        <v>-473387.02</v>
      </c>
    </row>
    <row r="41" spans="1:6" x14ac:dyDescent="0.35">
      <c r="A41" s="15">
        <v>45979</v>
      </c>
      <c r="B41" s="8" t="s">
        <v>87</v>
      </c>
      <c r="C41" s="8" t="s">
        <v>193</v>
      </c>
      <c r="D41" s="9">
        <v>55</v>
      </c>
      <c r="E41" s="9">
        <v>0</v>
      </c>
      <c r="F41" s="10">
        <v>-413066.02</v>
      </c>
    </row>
    <row r="42" spans="1:6" x14ac:dyDescent="0.35">
      <c r="A42" s="15">
        <v>45981</v>
      </c>
      <c r="B42" s="8" t="s">
        <v>87</v>
      </c>
      <c r="C42" s="8" t="s">
        <v>203</v>
      </c>
      <c r="D42" s="9">
        <v>70.22</v>
      </c>
      <c r="E42" s="9">
        <v>0</v>
      </c>
      <c r="F42" s="10">
        <v>-460384.02</v>
      </c>
    </row>
    <row r="43" spans="1:6" x14ac:dyDescent="0.35">
      <c r="A43" s="15">
        <v>45980</v>
      </c>
      <c r="B43" s="8" t="s">
        <v>87</v>
      </c>
      <c r="C43" s="8" t="s">
        <v>196</v>
      </c>
      <c r="D43" s="9">
        <v>756</v>
      </c>
      <c r="E43" s="9">
        <v>0</v>
      </c>
      <c r="F43" s="10">
        <v>-456943.02</v>
      </c>
    </row>
    <row r="44" spans="1:6" x14ac:dyDescent="0.35">
      <c r="A44" s="15">
        <v>45950</v>
      </c>
      <c r="B44" s="8" t="s">
        <v>87</v>
      </c>
      <c r="C44" s="8" t="s">
        <v>177</v>
      </c>
      <c r="D44" s="9">
        <v>58</v>
      </c>
      <c r="E44" s="9">
        <v>0</v>
      </c>
      <c r="F44" s="10">
        <v>-362607.35</v>
      </c>
    </row>
    <row r="45" spans="1:6" x14ac:dyDescent="0.35">
      <c r="A45" s="15">
        <v>45948</v>
      </c>
      <c r="B45" s="8" t="s">
        <v>87</v>
      </c>
      <c r="C45" s="8" t="s">
        <v>170</v>
      </c>
      <c r="D45" s="9">
        <v>717</v>
      </c>
      <c r="E45" s="9">
        <v>0</v>
      </c>
      <c r="F45" s="10">
        <v>-359231.35</v>
      </c>
    </row>
    <row r="46" spans="1:6" x14ac:dyDescent="0.35">
      <c r="A46" s="15">
        <v>45936</v>
      </c>
      <c r="B46" s="8" t="s">
        <v>87</v>
      </c>
      <c r="C46" s="8" t="s">
        <v>158</v>
      </c>
      <c r="D46" s="9">
        <v>660</v>
      </c>
      <c r="E46" s="9">
        <v>0</v>
      </c>
      <c r="F46" s="10">
        <v>-295138.34999999998</v>
      </c>
    </row>
    <row r="47" spans="1:6" x14ac:dyDescent="0.35">
      <c r="A47" s="15">
        <v>45937</v>
      </c>
      <c r="B47" s="8" t="s">
        <v>87</v>
      </c>
      <c r="C47" s="8" t="s">
        <v>169</v>
      </c>
      <c r="D47" s="9">
        <v>194</v>
      </c>
      <c r="E47" s="9">
        <v>0</v>
      </c>
      <c r="F47" s="10">
        <v>-317644.34999999998</v>
      </c>
    </row>
    <row r="48" spans="1:6" x14ac:dyDescent="0.35">
      <c r="A48" s="15">
        <v>45937</v>
      </c>
      <c r="B48" s="8" t="s">
        <v>87</v>
      </c>
      <c r="C48" s="8" t="s">
        <v>164</v>
      </c>
      <c r="D48" s="9">
        <v>194</v>
      </c>
      <c r="E48" s="9">
        <v>0</v>
      </c>
      <c r="F48" s="10">
        <v>-306391.34999999998</v>
      </c>
    </row>
    <row r="49" spans="1:6" x14ac:dyDescent="0.35">
      <c r="A49" s="15">
        <v>45990</v>
      </c>
      <c r="B49" s="8" t="s">
        <v>87</v>
      </c>
      <c r="C49" s="8" t="s">
        <v>236</v>
      </c>
      <c r="D49" s="9">
        <v>746</v>
      </c>
      <c r="E49" s="9">
        <v>0</v>
      </c>
      <c r="F49" s="10">
        <v>-657497.02</v>
      </c>
    </row>
    <row r="50" spans="1:6" x14ac:dyDescent="0.35">
      <c r="A50" s="15">
        <v>45990</v>
      </c>
      <c r="B50" s="8" t="s">
        <v>87</v>
      </c>
      <c r="C50" s="8" t="s">
        <v>231</v>
      </c>
      <c r="D50" s="9">
        <v>127</v>
      </c>
      <c r="E50" s="9">
        <v>0</v>
      </c>
      <c r="F50" s="10">
        <v>-614196.02</v>
      </c>
    </row>
    <row r="51" spans="1:6" x14ac:dyDescent="0.35">
      <c r="A51" s="15">
        <v>45990</v>
      </c>
      <c r="B51" s="8" t="s">
        <v>87</v>
      </c>
      <c r="C51" s="8" t="s">
        <v>225</v>
      </c>
      <c r="D51" s="9">
        <v>2103</v>
      </c>
      <c r="E51" s="9">
        <v>0</v>
      </c>
      <c r="F51" s="10">
        <v>-606803.02</v>
      </c>
    </row>
    <row r="52" spans="1:6" x14ac:dyDescent="0.35">
      <c r="A52" s="15">
        <v>45990</v>
      </c>
      <c r="B52" s="8" t="s">
        <v>87</v>
      </c>
      <c r="C52" s="8" t="s">
        <v>220</v>
      </c>
      <c r="D52" s="9">
        <v>119</v>
      </c>
      <c r="E52" s="9">
        <v>0</v>
      </c>
      <c r="F52" s="10">
        <v>-484827.02</v>
      </c>
    </row>
    <row r="53" spans="1:6" x14ac:dyDescent="0.35">
      <c r="A53" s="15">
        <v>45978</v>
      </c>
      <c r="B53" s="8" t="s">
        <v>87</v>
      </c>
      <c r="C53" s="8" t="s">
        <v>188</v>
      </c>
      <c r="D53" s="9">
        <v>4.6900000000000004</v>
      </c>
      <c r="E53" s="9">
        <v>0</v>
      </c>
      <c r="F53" s="10">
        <v>-409819.02</v>
      </c>
    </row>
    <row r="54" spans="1:6" x14ac:dyDescent="0.35">
      <c r="A54" s="15">
        <v>45889</v>
      </c>
      <c r="B54" s="8" t="s">
        <v>87</v>
      </c>
      <c r="C54" s="8" t="s">
        <v>151</v>
      </c>
      <c r="D54" s="9">
        <v>19</v>
      </c>
      <c r="E54" s="9">
        <v>0</v>
      </c>
      <c r="F54" s="10">
        <v>-359283.35</v>
      </c>
    </row>
    <row r="55" spans="1:6" x14ac:dyDescent="0.35">
      <c r="A55" s="15">
        <v>45889</v>
      </c>
      <c r="B55" s="8" t="s">
        <v>87</v>
      </c>
      <c r="C55" s="8" t="s">
        <v>146</v>
      </c>
      <c r="D55" s="9">
        <v>65</v>
      </c>
      <c r="E55" s="9">
        <v>0</v>
      </c>
      <c r="F55" s="10">
        <v>-358164.35</v>
      </c>
    </row>
    <row r="56" spans="1:6" x14ac:dyDescent="0.35">
      <c r="A56" s="15">
        <v>45889</v>
      </c>
      <c r="B56" s="8" t="s">
        <v>87</v>
      </c>
      <c r="C56" s="8" t="s">
        <v>139</v>
      </c>
      <c r="D56" s="9">
        <v>721</v>
      </c>
      <c r="E56" s="9">
        <v>0</v>
      </c>
      <c r="F56" s="10">
        <v>-354411.35</v>
      </c>
    </row>
    <row r="57" spans="1:6" x14ac:dyDescent="0.35">
      <c r="A57" s="15">
        <v>45889</v>
      </c>
      <c r="B57" s="8" t="s">
        <v>87</v>
      </c>
      <c r="C57" s="8" t="s">
        <v>134</v>
      </c>
      <c r="D57" s="9">
        <v>1969</v>
      </c>
      <c r="E57" s="9">
        <v>0</v>
      </c>
      <c r="F57" s="10">
        <v>-312566.34999999998</v>
      </c>
    </row>
    <row r="58" spans="1:6" x14ac:dyDescent="0.35">
      <c r="A58" s="15">
        <v>45889</v>
      </c>
      <c r="B58" s="8" t="s">
        <v>87</v>
      </c>
      <c r="C58" s="8" t="s">
        <v>125</v>
      </c>
      <c r="D58" s="9">
        <v>1600</v>
      </c>
      <c r="E58" s="9">
        <v>0</v>
      </c>
      <c r="F58" s="10">
        <v>-198369.35</v>
      </c>
    </row>
    <row r="59" spans="1:6" x14ac:dyDescent="0.35">
      <c r="A59" s="15">
        <v>45857</v>
      </c>
      <c r="B59" s="8" t="s">
        <v>87</v>
      </c>
      <c r="C59" s="8" t="s">
        <v>113</v>
      </c>
      <c r="D59" s="9">
        <v>607</v>
      </c>
      <c r="E59" s="9">
        <v>0</v>
      </c>
      <c r="F59" s="10">
        <v>-271688.34999999998</v>
      </c>
    </row>
    <row r="60" spans="1:6" x14ac:dyDescent="0.35">
      <c r="A60" s="15">
        <v>45856</v>
      </c>
      <c r="B60" s="8" t="s">
        <v>87</v>
      </c>
      <c r="C60" s="8" t="s">
        <v>102</v>
      </c>
      <c r="D60" s="9">
        <v>1085</v>
      </c>
      <c r="E60" s="9">
        <v>0</v>
      </c>
      <c r="F60" s="10">
        <v>-234258.35</v>
      </c>
    </row>
    <row r="61" spans="1:6" x14ac:dyDescent="0.35">
      <c r="A61" s="15">
        <v>45842</v>
      </c>
      <c r="B61" s="8" t="s">
        <v>87</v>
      </c>
      <c r="C61" s="8" t="s">
        <v>97</v>
      </c>
      <c r="D61" s="9">
        <v>11</v>
      </c>
      <c r="E61" s="9">
        <v>0</v>
      </c>
      <c r="F61" s="10">
        <v>-171306.35</v>
      </c>
    </row>
    <row r="62" spans="1:6" x14ac:dyDescent="0.35">
      <c r="A62" s="15">
        <v>45842</v>
      </c>
      <c r="B62" s="8" t="s">
        <v>87</v>
      </c>
      <c r="C62" s="8" t="s">
        <v>93</v>
      </c>
      <c r="D62" s="9">
        <v>16</v>
      </c>
      <c r="E62" s="9">
        <v>0</v>
      </c>
      <c r="F62" s="10">
        <v>-170664.35</v>
      </c>
    </row>
    <row r="63" spans="1:6" x14ac:dyDescent="0.35">
      <c r="A63" s="15">
        <v>45797</v>
      </c>
      <c r="B63" s="8" t="s">
        <v>87</v>
      </c>
      <c r="C63" s="8" t="s">
        <v>88</v>
      </c>
      <c r="D63" s="9">
        <v>52</v>
      </c>
      <c r="E63" s="9">
        <v>0</v>
      </c>
      <c r="F63" s="10">
        <v>-169733.35</v>
      </c>
    </row>
    <row r="64" spans="1:6" x14ac:dyDescent="0.35">
      <c r="A64" s="15">
        <v>46010</v>
      </c>
      <c r="B64" s="8" t="s">
        <v>87</v>
      </c>
      <c r="C64" s="8" t="s">
        <v>244</v>
      </c>
      <c r="D64" s="9">
        <v>792</v>
      </c>
      <c r="E64" s="9">
        <v>0</v>
      </c>
      <c r="F64" s="10">
        <v>-656701.02</v>
      </c>
    </row>
    <row r="65" spans="1:6" x14ac:dyDescent="0.35">
      <c r="A65" s="15">
        <v>46010</v>
      </c>
      <c r="B65" s="8" t="s">
        <v>87</v>
      </c>
      <c r="C65" s="8" t="s">
        <v>243</v>
      </c>
      <c r="D65" s="9">
        <v>4</v>
      </c>
      <c r="E65" s="9">
        <v>0</v>
      </c>
      <c r="F65" s="10">
        <v>-657493.02</v>
      </c>
    </row>
    <row r="66" spans="1:6" x14ac:dyDescent="0.35">
      <c r="A66" s="15">
        <v>45892</v>
      </c>
      <c r="B66" s="8" t="s">
        <v>87</v>
      </c>
      <c r="C66" s="8" t="s">
        <v>156</v>
      </c>
      <c r="D66" s="9">
        <v>38</v>
      </c>
      <c r="E66" s="9">
        <v>0</v>
      </c>
      <c r="F66" s="10">
        <v>-359237.35</v>
      </c>
    </row>
    <row r="67" spans="1:6" x14ac:dyDescent="0.35">
      <c r="A67" s="15">
        <v>45892</v>
      </c>
      <c r="B67" s="8" t="s">
        <v>87</v>
      </c>
      <c r="C67" s="8" t="s">
        <v>155</v>
      </c>
      <c r="D67" s="9">
        <v>8</v>
      </c>
      <c r="E67" s="9">
        <v>0</v>
      </c>
      <c r="F67" s="10">
        <v>-359275.35</v>
      </c>
    </row>
  </sheetData>
  <autoFilter ref="A2:F67" xr:uid="{27234CA8-4971-492A-9EFD-A075091ABA3B}">
    <sortState xmlns:xlrd2="http://schemas.microsoft.com/office/spreadsheetml/2017/richdata2" ref="A3:F67">
      <sortCondition descending="1" ref="C2:C6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BED2-7260-4905-99F9-8CC27CE1AABB}">
  <sheetPr filterMode="1"/>
  <dimension ref="A1:L71"/>
  <sheetViews>
    <sheetView workbookViewId="0">
      <selection activeCell="C53" sqref="C53"/>
    </sheetView>
  </sheetViews>
  <sheetFormatPr defaultRowHeight="14.5" x14ac:dyDescent="0.35"/>
  <cols>
    <col min="1" max="1" width="10.08984375" style="41" bestFit="1" customWidth="1"/>
    <col min="2" max="2" width="26.26953125" style="41" bestFit="1" customWidth="1"/>
    <col min="3" max="3" width="17" style="41" bestFit="1" customWidth="1"/>
    <col min="4" max="4" width="9.90625" style="41" bestFit="1" customWidth="1"/>
    <col min="5" max="5" width="8.7265625" style="41"/>
    <col min="6" max="6" width="10.08984375" style="41" bestFit="1" customWidth="1"/>
    <col min="7" max="7" width="12" style="41" bestFit="1" customWidth="1"/>
    <col min="8" max="8" width="17" style="41" bestFit="1" customWidth="1"/>
    <col min="9" max="9" width="11.1796875" style="41" bestFit="1" customWidth="1"/>
    <col min="10" max="10" width="8.7265625" style="41" bestFit="1" customWidth="1"/>
    <col min="11" max="11" width="4.54296875" style="41" bestFit="1" customWidth="1"/>
    <col min="12" max="12" width="9.36328125" style="41" bestFit="1" customWidth="1"/>
    <col min="13" max="16384" width="8.7265625" style="41"/>
  </cols>
  <sheetData>
    <row r="1" spans="1:12" x14ac:dyDescent="0.35">
      <c r="A1" s="19"/>
      <c r="D1" s="42">
        <v>21630.91</v>
      </c>
    </row>
    <row r="2" spans="1:12" x14ac:dyDescent="0.35">
      <c r="A2" s="14" t="s">
        <v>0</v>
      </c>
      <c r="B2" s="7" t="s">
        <v>1</v>
      </c>
      <c r="C2" s="7" t="s">
        <v>2</v>
      </c>
      <c r="D2" s="7" t="s">
        <v>3</v>
      </c>
      <c r="F2" s="14" t="s">
        <v>0</v>
      </c>
      <c r="G2" s="7" t="s">
        <v>1</v>
      </c>
      <c r="H2" s="7" t="s">
        <v>2</v>
      </c>
      <c r="I2" s="7" t="s">
        <v>4</v>
      </c>
      <c r="J2" s="7" t="s">
        <v>466</v>
      </c>
      <c r="K2" s="7" t="s">
        <v>467</v>
      </c>
    </row>
    <row r="3" spans="1:12" hidden="1" x14ac:dyDescent="0.35">
      <c r="A3" s="15">
        <v>45719</v>
      </c>
      <c r="B3" s="8" t="s">
        <v>11</v>
      </c>
      <c r="C3" s="8" t="s">
        <v>7</v>
      </c>
      <c r="D3" s="55">
        <v>8</v>
      </c>
      <c r="F3" s="15">
        <v>45719</v>
      </c>
      <c r="G3" s="8" t="s">
        <v>6</v>
      </c>
      <c r="H3" s="8" t="s">
        <v>7</v>
      </c>
      <c r="I3" s="55">
        <v>435</v>
      </c>
      <c r="J3" s="56">
        <v>8</v>
      </c>
      <c r="K3" s="54">
        <v>1.8390804597701149E-2</v>
      </c>
      <c r="L3" s="53">
        <f t="shared" ref="L3:L24" si="0">J3-D3</f>
        <v>0</v>
      </c>
    </row>
    <row r="4" spans="1:12" hidden="1" x14ac:dyDescent="0.35">
      <c r="A4" s="15">
        <v>45733</v>
      </c>
      <c r="B4" s="8" t="s">
        <v>11</v>
      </c>
      <c r="C4" s="8" t="s">
        <v>12</v>
      </c>
      <c r="D4" s="55">
        <v>29</v>
      </c>
      <c r="F4" s="15">
        <v>45733</v>
      </c>
      <c r="G4" s="8" t="s">
        <v>6</v>
      </c>
      <c r="H4" s="8" t="s">
        <v>12</v>
      </c>
      <c r="I4" s="55">
        <v>1670</v>
      </c>
      <c r="J4" s="56">
        <v>29</v>
      </c>
      <c r="K4" s="54">
        <v>1.7365269461077845E-2</v>
      </c>
      <c r="L4" s="53">
        <f t="shared" si="0"/>
        <v>0</v>
      </c>
    </row>
    <row r="5" spans="1:12" hidden="1" x14ac:dyDescent="0.35">
      <c r="A5" s="15">
        <v>45735</v>
      </c>
      <c r="B5" s="8" t="s">
        <v>11</v>
      </c>
      <c r="C5" s="8" t="s">
        <v>16</v>
      </c>
      <c r="D5" s="55">
        <v>407</v>
      </c>
      <c r="F5" s="15">
        <v>45735</v>
      </c>
      <c r="G5" s="8" t="s">
        <v>6</v>
      </c>
      <c r="H5" s="8" t="s">
        <v>16</v>
      </c>
      <c r="I5" s="55">
        <v>23969</v>
      </c>
      <c r="J5" s="56">
        <v>407</v>
      </c>
      <c r="K5" s="54">
        <v>1.698026617714548E-2</v>
      </c>
      <c r="L5" s="53">
        <f t="shared" si="0"/>
        <v>0</v>
      </c>
    </row>
    <row r="6" spans="1:12" hidden="1" x14ac:dyDescent="0.35">
      <c r="A6" s="15">
        <v>45735</v>
      </c>
      <c r="B6" s="8" t="s">
        <v>11</v>
      </c>
      <c r="C6" s="8" t="s">
        <v>21</v>
      </c>
      <c r="D6" s="55">
        <v>373</v>
      </c>
      <c r="F6" s="15">
        <v>45735</v>
      </c>
      <c r="G6" s="8" t="s">
        <v>6</v>
      </c>
      <c r="H6" s="8" t="s">
        <v>21</v>
      </c>
      <c r="I6" s="55">
        <v>22007</v>
      </c>
      <c r="J6" s="56">
        <v>373</v>
      </c>
      <c r="K6" s="54">
        <v>1.6949152542372881E-2</v>
      </c>
      <c r="L6" s="53">
        <f t="shared" si="0"/>
        <v>0</v>
      </c>
    </row>
    <row r="7" spans="1:12" hidden="1" x14ac:dyDescent="0.35">
      <c r="A7" s="15">
        <v>45735</v>
      </c>
      <c r="B7" s="8" t="s">
        <v>11</v>
      </c>
      <c r="C7" s="8" t="s">
        <v>27</v>
      </c>
      <c r="D7" s="55">
        <v>416</v>
      </c>
      <c r="F7" s="15">
        <v>45735</v>
      </c>
      <c r="G7" s="8" t="s">
        <v>6</v>
      </c>
      <c r="H7" s="8" t="s">
        <v>27</v>
      </c>
      <c r="I7" s="55">
        <v>24537</v>
      </c>
      <c r="J7" s="56">
        <v>416</v>
      </c>
      <c r="K7" s="54">
        <v>1.6953987855076007E-2</v>
      </c>
      <c r="L7" s="53">
        <f t="shared" si="0"/>
        <v>0</v>
      </c>
    </row>
    <row r="8" spans="1:12" hidden="1" x14ac:dyDescent="0.35">
      <c r="A8" s="15">
        <v>45735</v>
      </c>
      <c r="B8" s="8" t="s">
        <v>11</v>
      </c>
      <c r="C8" s="8" t="s">
        <v>33</v>
      </c>
      <c r="D8" s="55">
        <v>470</v>
      </c>
      <c r="F8" s="15">
        <v>45735</v>
      </c>
      <c r="G8" s="8" t="s">
        <v>6</v>
      </c>
      <c r="H8" s="8" t="s">
        <v>33</v>
      </c>
      <c r="I8" s="55">
        <v>27677</v>
      </c>
      <c r="J8" s="56">
        <v>470</v>
      </c>
      <c r="K8" s="54">
        <v>1.6981609278462262E-2</v>
      </c>
      <c r="L8" s="53">
        <f t="shared" si="0"/>
        <v>0</v>
      </c>
    </row>
    <row r="9" spans="1:12" hidden="1" x14ac:dyDescent="0.35">
      <c r="A9" s="15">
        <v>45735</v>
      </c>
      <c r="B9" s="8" t="s">
        <v>11</v>
      </c>
      <c r="C9" s="8" t="s">
        <v>38</v>
      </c>
      <c r="D9" s="55">
        <v>485</v>
      </c>
      <c r="F9" s="15">
        <v>45735</v>
      </c>
      <c r="G9" s="8" t="s">
        <v>6</v>
      </c>
      <c r="H9" s="8" t="s">
        <v>38</v>
      </c>
      <c r="I9" s="55">
        <v>28600</v>
      </c>
      <c r="J9" s="56">
        <v>485</v>
      </c>
      <c r="K9" s="54">
        <v>1.6958041958041958E-2</v>
      </c>
      <c r="L9" s="53">
        <f t="shared" si="0"/>
        <v>0</v>
      </c>
    </row>
    <row r="10" spans="1:12" hidden="1" x14ac:dyDescent="0.35">
      <c r="A10" s="15">
        <v>45735</v>
      </c>
      <c r="B10" s="8" t="s">
        <v>11</v>
      </c>
      <c r="C10" s="8" t="s">
        <v>42</v>
      </c>
      <c r="D10" s="55">
        <v>6</v>
      </c>
      <c r="F10" s="15">
        <v>45735</v>
      </c>
      <c r="G10" s="8" t="s">
        <v>6</v>
      </c>
      <c r="H10" s="8" t="s">
        <v>42</v>
      </c>
      <c r="I10" s="55">
        <v>337</v>
      </c>
      <c r="J10" s="56">
        <v>6</v>
      </c>
      <c r="K10" s="54">
        <v>1.7804154302670624E-2</v>
      </c>
      <c r="L10" s="53">
        <f t="shared" si="0"/>
        <v>0</v>
      </c>
    </row>
    <row r="11" spans="1:12" hidden="1" x14ac:dyDescent="0.35">
      <c r="A11" s="15">
        <v>45736</v>
      </c>
      <c r="B11" s="8" t="s">
        <v>11</v>
      </c>
      <c r="C11" s="8" t="s">
        <v>45</v>
      </c>
      <c r="D11" s="55">
        <v>101</v>
      </c>
      <c r="F11" s="15">
        <v>45736</v>
      </c>
      <c r="G11" s="8" t="s">
        <v>6</v>
      </c>
      <c r="H11" s="8" t="s">
        <v>45</v>
      </c>
      <c r="I11" s="55">
        <v>5930</v>
      </c>
      <c r="J11" s="56">
        <v>101</v>
      </c>
      <c r="K11" s="54">
        <v>1.703204047217538E-2</v>
      </c>
      <c r="L11" s="53">
        <f t="shared" si="0"/>
        <v>0</v>
      </c>
    </row>
    <row r="12" spans="1:12" hidden="1" x14ac:dyDescent="0.35">
      <c r="A12" s="15">
        <v>45736</v>
      </c>
      <c r="B12" s="8" t="s">
        <v>11</v>
      </c>
      <c r="C12" s="8" t="s">
        <v>50</v>
      </c>
      <c r="D12" s="55">
        <v>20</v>
      </c>
      <c r="F12" s="15">
        <v>45736</v>
      </c>
      <c r="G12" s="8" t="s">
        <v>6</v>
      </c>
      <c r="H12" s="8" t="s">
        <v>50</v>
      </c>
      <c r="I12" s="55">
        <v>1166</v>
      </c>
      <c r="J12" s="56">
        <v>20</v>
      </c>
      <c r="K12" s="54">
        <v>1.7152658662092625E-2</v>
      </c>
      <c r="L12" s="53">
        <f t="shared" si="0"/>
        <v>0</v>
      </c>
    </row>
    <row r="13" spans="1:12" hidden="1" x14ac:dyDescent="0.35">
      <c r="A13" s="15">
        <v>45736</v>
      </c>
      <c r="B13" s="8" t="s">
        <v>11</v>
      </c>
      <c r="C13" s="8" t="s">
        <v>54</v>
      </c>
      <c r="D13" s="55">
        <v>7</v>
      </c>
      <c r="F13" s="15">
        <v>45736</v>
      </c>
      <c r="G13" s="8" t="s">
        <v>6</v>
      </c>
      <c r="H13" s="8" t="s">
        <v>54</v>
      </c>
      <c r="I13" s="55">
        <v>355</v>
      </c>
      <c r="J13" s="56">
        <v>7</v>
      </c>
      <c r="K13" s="54">
        <v>1.9718309859154931E-2</v>
      </c>
      <c r="L13" s="53">
        <f t="shared" si="0"/>
        <v>0</v>
      </c>
    </row>
    <row r="14" spans="1:12" hidden="1" x14ac:dyDescent="0.35">
      <c r="A14" s="15">
        <v>45736</v>
      </c>
      <c r="B14" s="8" t="s">
        <v>11</v>
      </c>
      <c r="C14" s="8" t="s">
        <v>58</v>
      </c>
      <c r="D14" s="55">
        <v>49</v>
      </c>
      <c r="F14" s="15">
        <v>45736</v>
      </c>
      <c r="G14" s="8" t="s">
        <v>6</v>
      </c>
      <c r="H14" s="8" t="s">
        <v>58</v>
      </c>
      <c r="I14" s="55">
        <v>2836</v>
      </c>
      <c r="J14" s="56">
        <v>49</v>
      </c>
      <c r="K14" s="54">
        <v>1.7277856135401976E-2</v>
      </c>
      <c r="L14" s="53">
        <f t="shared" si="0"/>
        <v>0</v>
      </c>
    </row>
    <row r="15" spans="1:12" hidden="1" x14ac:dyDescent="0.35">
      <c r="A15" s="15">
        <v>45750</v>
      </c>
      <c r="B15" s="8" t="s">
        <v>11</v>
      </c>
      <c r="C15" s="8" t="s">
        <v>62</v>
      </c>
      <c r="D15" s="55">
        <v>35</v>
      </c>
      <c r="F15" s="15">
        <v>45750</v>
      </c>
      <c r="G15" s="8" t="s">
        <v>6</v>
      </c>
      <c r="H15" s="8" t="s">
        <v>62</v>
      </c>
      <c r="I15" s="55">
        <v>2063</v>
      </c>
      <c r="J15" s="56">
        <v>35</v>
      </c>
      <c r="K15" s="54">
        <v>1.6965584100824042E-2</v>
      </c>
      <c r="L15" s="53">
        <f t="shared" si="0"/>
        <v>0</v>
      </c>
    </row>
    <row r="16" spans="1:12" hidden="1" x14ac:dyDescent="0.35">
      <c r="A16" s="15">
        <v>45769</v>
      </c>
      <c r="B16" s="8" t="s">
        <v>11</v>
      </c>
      <c r="C16" s="8" t="s">
        <v>65</v>
      </c>
      <c r="D16" s="55">
        <v>54</v>
      </c>
      <c r="F16" s="15">
        <v>45769</v>
      </c>
      <c r="G16" s="8" t="s">
        <v>6</v>
      </c>
      <c r="H16" s="8" t="s">
        <v>65</v>
      </c>
      <c r="I16" s="55">
        <v>3199</v>
      </c>
      <c r="J16" s="56">
        <v>54</v>
      </c>
      <c r="K16" s="54">
        <v>1.6880275085964364E-2</v>
      </c>
      <c r="L16" s="53">
        <f t="shared" si="0"/>
        <v>0</v>
      </c>
    </row>
    <row r="17" spans="1:12" hidden="1" x14ac:dyDescent="0.35">
      <c r="A17" s="15">
        <v>45769</v>
      </c>
      <c r="B17" s="8" t="s">
        <v>11</v>
      </c>
      <c r="C17" s="8" t="s">
        <v>69</v>
      </c>
      <c r="D17" s="55">
        <v>6</v>
      </c>
      <c r="F17" s="15">
        <v>45769</v>
      </c>
      <c r="G17" s="8" t="s">
        <v>6</v>
      </c>
      <c r="H17" s="8" t="s">
        <v>69</v>
      </c>
      <c r="I17" s="55">
        <v>338</v>
      </c>
      <c r="J17" s="56">
        <v>6</v>
      </c>
      <c r="K17" s="54">
        <v>1.7751479289940829E-2</v>
      </c>
      <c r="L17" s="53">
        <f t="shared" si="0"/>
        <v>0</v>
      </c>
    </row>
    <row r="18" spans="1:12" hidden="1" x14ac:dyDescent="0.35">
      <c r="A18" s="15">
        <v>45770</v>
      </c>
      <c r="B18" s="8" t="s">
        <v>11</v>
      </c>
      <c r="C18" s="8" t="s">
        <v>73</v>
      </c>
      <c r="D18" s="55">
        <v>102</v>
      </c>
      <c r="F18" s="15">
        <v>45770</v>
      </c>
      <c r="G18" s="8" t="s">
        <v>6</v>
      </c>
      <c r="H18" s="8" t="s">
        <v>73</v>
      </c>
      <c r="I18" s="55">
        <v>5993.35</v>
      </c>
      <c r="J18" s="56">
        <v>102</v>
      </c>
      <c r="K18" s="54">
        <v>1.7018862572684725E-2</v>
      </c>
      <c r="L18" s="53">
        <f t="shared" si="0"/>
        <v>0</v>
      </c>
    </row>
    <row r="19" spans="1:12" hidden="1" x14ac:dyDescent="0.35">
      <c r="A19" s="15">
        <v>45770</v>
      </c>
      <c r="B19" s="8" t="s">
        <v>11</v>
      </c>
      <c r="C19" s="8" t="s">
        <v>76</v>
      </c>
      <c r="D19" s="55">
        <v>58</v>
      </c>
      <c r="F19" s="15">
        <v>45770</v>
      </c>
      <c r="G19" s="8" t="s">
        <v>6</v>
      </c>
      <c r="H19" s="8" t="s">
        <v>76</v>
      </c>
      <c r="I19" s="55">
        <v>3384</v>
      </c>
      <c r="J19" s="56">
        <v>58</v>
      </c>
      <c r="K19" s="54">
        <v>1.7139479905437353E-2</v>
      </c>
      <c r="L19" s="53">
        <f t="shared" si="0"/>
        <v>0</v>
      </c>
    </row>
    <row r="20" spans="1:12" hidden="1" x14ac:dyDescent="0.35">
      <c r="A20" s="15">
        <v>45797</v>
      </c>
      <c r="B20" s="8" t="s">
        <v>87</v>
      </c>
      <c r="C20" s="8" t="s">
        <v>80</v>
      </c>
      <c r="D20" s="55">
        <v>256</v>
      </c>
      <c r="F20" s="15">
        <v>45797</v>
      </c>
      <c r="G20" s="8" t="s">
        <v>6</v>
      </c>
      <c r="H20" s="8" t="s">
        <v>80</v>
      </c>
      <c r="I20" s="55">
        <v>15086</v>
      </c>
      <c r="J20" s="56">
        <v>256</v>
      </c>
      <c r="K20" s="54">
        <v>1.6969375580007953E-2</v>
      </c>
      <c r="L20" s="53">
        <f t="shared" si="0"/>
        <v>0</v>
      </c>
    </row>
    <row r="21" spans="1:12" hidden="1" x14ac:dyDescent="0.35">
      <c r="A21" s="15">
        <v>45797</v>
      </c>
      <c r="B21" s="8" t="s">
        <v>87</v>
      </c>
      <c r="C21" s="8" t="s">
        <v>88</v>
      </c>
      <c r="D21" s="55">
        <v>52</v>
      </c>
      <c r="F21" s="15">
        <v>45797</v>
      </c>
      <c r="G21" s="8" t="s">
        <v>6</v>
      </c>
      <c r="H21" s="8" t="s">
        <v>88</v>
      </c>
      <c r="I21" s="55">
        <v>3085</v>
      </c>
      <c r="J21" s="56">
        <v>52</v>
      </c>
      <c r="K21" s="54">
        <v>1.6855753646677473E-2</v>
      </c>
      <c r="L21" s="53">
        <f t="shared" si="0"/>
        <v>0</v>
      </c>
    </row>
    <row r="22" spans="1:12" hidden="1" x14ac:dyDescent="0.35">
      <c r="A22" s="15">
        <v>45842</v>
      </c>
      <c r="B22" s="8" t="s">
        <v>87</v>
      </c>
      <c r="C22" s="8" t="s">
        <v>93</v>
      </c>
      <c r="D22" s="55">
        <v>16</v>
      </c>
      <c r="F22" s="15">
        <v>45842</v>
      </c>
      <c r="G22" s="8" t="s">
        <v>6</v>
      </c>
      <c r="H22" s="8" t="s">
        <v>93</v>
      </c>
      <c r="I22" s="55">
        <v>947</v>
      </c>
      <c r="J22" s="56">
        <v>16</v>
      </c>
      <c r="K22" s="54">
        <v>1.6895459345300949E-2</v>
      </c>
      <c r="L22" s="53">
        <f t="shared" si="0"/>
        <v>0</v>
      </c>
    </row>
    <row r="23" spans="1:12" hidden="1" x14ac:dyDescent="0.35">
      <c r="A23" s="15">
        <v>45842</v>
      </c>
      <c r="B23" s="8" t="s">
        <v>87</v>
      </c>
      <c r="C23" s="8" t="s">
        <v>97</v>
      </c>
      <c r="D23" s="55">
        <v>11</v>
      </c>
      <c r="F23" s="15">
        <v>45842</v>
      </c>
      <c r="G23" s="8" t="s">
        <v>6</v>
      </c>
      <c r="H23" s="8" t="s">
        <v>97</v>
      </c>
      <c r="I23" s="55">
        <v>653</v>
      </c>
      <c r="J23" s="56">
        <v>11</v>
      </c>
      <c r="K23" s="54">
        <v>1.6845329249617153E-2</v>
      </c>
      <c r="L23" s="53">
        <f t="shared" si="0"/>
        <v>0</v>
      </c>
    </row>
    <row r="24" spans="1:12" hidden="1" x14ac:dyDescent="0.35">
      <c r="A24" s="15">
        <v>45856</v>
      </c>
      <c r="B24" s="8" t="s">
        <v>87</v>
      </c>
      <c r="C24" s="8" t="s">
        <v>102</v>
      </c>
      <c r="D24" s="55">
        <v>1085</v>
      </c>
      <c r="F24" s="15">
        <v>45856</v>
      </c>
      <c r="G24" s="8" t="s">
        <v>6</v>
      </c>
      <c r="H24" s="8" t="s">
        <v>102</v>
      </c>
      <c r="I24" s="55">
        <v>64037</v>
      </c>
      <c r="J24" s="56">
        <v>1085</v>
      </c>
      <c r="K24" s="54">
        <v>1.6943329637553288E-2</v>
      </c>
      <c r="L24" s="53">
        <f t="shared" si="0"/>
        <v>0</v>
      </c>
    </row>
    <row r="25" spans="1:12" hidden="1" x14ac:dyDescent="0.35">
      <c r="A25" s="15"/>
      <c r="B25" s="8"/>
      <c r="C25" s="8"/>
      <c r="D25" s="55"/>
      <c r="F25" s="15">
        <v>45856</v>
      </c>
      <c r="G25" s="8" t="s">
        <v>6</v>
      </c>
      <c r="H25" s="8" t="s">
        <v>107</v>
      </c>
      <c r="I25" s="55">
        <v>2217</v>
      </c>
      <c r="J25" s="56">
        <v>0</v>
      </c>
      <c r="K25" s="54">
        <v>0</v>
      </c>
      <c r="L25" s="53">
        <f t="shared" ref="L25:L71" si="1">J25-D25</f>
        <v>0</v>
      </c>
    </row>
    <row r="26" spans="1:12" hidden="1" x14ac:dyDescent="0.35">
      <c r="A26" s="15">
        <v>45857</v>
      </c>
      <c r="B26" s="8" t="s">
        <v>87</v>
      </c>
      <c r="C26" s="8" t="s">
        <v>113</v>
      </c>
      <c r="D26" s="55">
        <v>607</v>
      </c>
      <c r="F26" s="15">
        <v>45857</v>
      </c>
      <c r="G26" s="8" t="s">
        <v>6</v>
      </c>
      <c r="H26" s="8" t="s">
        <v>113</v>
      </c>
      <c r="I26" s="55">
        <v>35820</v>
      </c>
      <c r="J26" s="56">
        <v>607</v>
      </c>
      <c r="K26" s="54">
        <v>1.6945840312674484E-2</v>
      </c>
      <c r="L26" s="53">
        <f t="shared" si="1"/>
        <v>0</v>
      </c>
    </row>
    <row r="27" spans="1:12" hidden="1" x14ac:dyDescent="0.35">
      <c r="A27" s="15"/>
      <c r="B27" s="8"/>
      <c r="C27" s="8"/>
      <c r="D27" s="55"/>
      <c r="F27" s="15">
        <v>45857</v>
      </c>
      <c r="G27" s="8" t="s">
        <v>6</v>
      </c>
      <c r="H27" s="8" t="s">
        <v>119</v>
      </c>
      <c r="I27" s="55">
        <v>473</v>
      </c>
      <c r="J27" s="56">
        <v>0</v>
      </c>
      <c r="K27" s="54">
        <v>0</v>
      </c>
      <c r="L27" s="53">
        <f t="shared" si="1"/>
        <v>0</v>
      </c>
    </row>
    <row r="28" spans="1:12" hidden="1" x14ac:dyDescent="0.35">
      <c r="A28" s="15">
        <v>45889</v>
      </c>
      <c r="B28" s="8" t="s">
        <v>87</v>
      </c>
      <c r="C28" s="8" t="s">
        <v>125</v>
      </c>
      <c r="D28" s="55">
        <v>1600</v>
      </c>
      <c r="F28" s="15">
        <v>45889</v>
      </c>
      <c r="G28" s="8" t="s">
        <v>6</v>
      </c>
      <c r="H28" s="8" t="s">
        <v>125</v>
      </c>
      <c r="I28" s="55">
        <v>94396</v>
      </c>
      <c r="J28" s="56">
        <v>1600</v>
      </c>
      <c r="K28" s="54">
        <v>1.6949870757235475E-2</v>
      </c>
      <c r="L28" s="53">
        <f t="shared" si="1"/>
        <v>0</v>
      </c>
    </row>
    <row r="29" spans="1:12" hidden="1" x14ac:dyDescent="0.35">
      <c r="A29" s="15">
        <v>45889</v>
      </c>
      <c r="B29" s="8" t="s">
        <v>87</v>
      </c>
      <c r="C29" s="8" t="s">
        <v>134</v>
      </c>
      <c r="D29" s="55">
        <v>1969</v>
      </c>
      <c r="F29" s="15">
        <v>45889</v>
      </c>
      <c r="G29" s="8" t="s">
        <v>6</v>
      </c>
      <c r="H29" s="8" t="s">
        <v>134</v>
      </c>
      <c r="I29" s="55">
        <v>116166</v>
      </c>
      <c r="J29" s="56">
        <v>1969</v>
      </c>
      <c r="K29" s="54">
        <v>1.6949882065320318E-2</v>
      </c>
      <c r="L29" s="53">
        <f t="shared" si="1"/>
        <v>0</v>
      </c>
    </row>
    <row r="30" spans="1:12" hidden="1" x14ac:dyDescent="0.35">
      <c r="A30" s="15">
        <v>45889</v>
      </c>
      <c r="B30" s="8" t="s">
        <v>87</v>
      </c>
      <c r="C30" s="8" t="s">
        <v>139</v>
      </c>
      <c r="D30" s="55">
        <v>721</v>
      </c>
      <c r="F30" s="15">
        <v>45889</v>
      </c>
      <c r="G30" s="8" t="s">
        <v>6</v>
      </c>
      <c r="H30" s="8" t="s">
        <v>139</v>
      </c>
      <c r="I30" s="55">
        <v>42566</v>
      </c>
      <c r="J30" s="56">
        <v>721</v>
      </c>
      <c r="K30" s="54">
        <v>1.6938401541136117E-2</v>
      </c>
      <c r="L30" s="53">
        <f t="shared" si="1"/>
        <v>0</v>
      </c>
    </row>
    <row r="31" spans="1:12" hidden="1" x14ac:dyDescent="0.35">
      <c r="A31" s="15">
        <v>45889</v>
      </c>
      <c r="B31" s="8" t="s">
        <v>87</v>
      </c>
      <c r="C31" s="8" t="s">
        <v>146</v>
      </c>
      <c r="D31" s="55">
        <v>65</v>
      </c>
      <c r="F31" s="15">
        <v>45889</v>
      </c>
      <c r="G31" s="8" t="s">
        <v>6</v>
      </c>
      <c r="H31" s="8" t="s">
        <v>146</v>
      </c>
      <c r="I31" s="55">
        <v>3818</v>
      </c>
      <c r="J31" s="56">
        <v>65</v>
      </c>
      <c r="K31" s="54">
        <v>1.7024620220010476E-2</v>
      </c>
      <c r="L31" s="53">
        <f t="shared" si="1"/>
        <v>0</v>
      </c>
    </row>
    <row r="32" spans="1:12" hidden="1" x14ac:dyDescent="0.35">
      <c r="A32" s="15">
        <v>45889</v>
      </c>
      <c r="B32" s="8" t="s">
        <v>87</v>
      </c>
      <c r="C32" s="8" t="s">
        <v>151</v>
      </c>
      <c r="D32" s="55">
        <v>19</v>
      </c>
      <c r="F32" s="15">
        <v>45889</v>
      </c>
      <c r="G32" s="8" t="s">
        <v>6</v>
      </c>
      <c r="H32" s="8" t="s">
        <v>151</v>
      </c>
      <c r="I32" s="55">
        <v>1138</v>
      </c>
      <c r="J32" s="56">
        <v>19</v>
      </c>
      <c r="K32" s="54">
        <v>1.6695957820738138E-2</v>
      </c>
      <c r="L32" s="53">
        <f t="shared" si="1"/>
        <v>0</v>
      </c>
    </row>
    <row r="33" spans="1:12" x14ac:dyDescent="0.35">
      <c r="A33" s="15">
        <v>45892</v>
      </c>
      <c r="B33" s="8" t="s">
        <v>87</v>
      </c>
      <c r="C33" s="8" t="s">
        <v>155</v>
      </c>
      <c r="D33" s="55">
        <v>8</v>
      </c>
      <c r="F33" s="15"/>
      <c r="G33" s="8"/>
      <c r="H33" s="8"/>
      <c r="I33" s="55"/>
      <c r="J33" s="56"/>
      <c r="K33" s="54"/>
      <c r="L33" s="53">
        <f t="shared" si="1"/>
        <v>-8</v>
      </c>
    </row>
    <row r="34" spans="1:12" x14ac:dyDescent="0.35">
      <c r="A34" s="15">
        <v>45892</v>
      </c>
      <c r="B34" s="8" t="s">
        <v>87</v>
      </c>
      <c r="C34" s="8" t="s">
        <v>156</v>
      </c>
      <c r="D34" s="55">
        <v>38</v>
      </c>
      <c r="F34" s="15"/>
      <c r="G34" s="8"/>
      <c r="H34" s="8"/>
      <c r="I34" s="55"/>
      <c r="J34" s="56"/>
      <c r="K34" s="54"/>
      <c r="L34" s="53">
        <f t="shared" si="1"/>
        <v>-38</v>
      </c>
    </row>
    <row r="35" spans="1:12" hidden="1" x14ac:dyDescent="0.35">
      <c r="A35" s="15">
        <v>45936</v>
      </c>
      <c r="B35" s="8" t="s">
        <v>87</v>
      </c>
      <c r="C35" s="8" t="s">
        <v>158</v>
      </c>
      <c r="D35" s="55">
        <v>660</v>
      </c>
      <c r="F35" s="15">
        <v>45936</v>
      </c>
      <c r="G35" s="8" t="s">
        <v>6</v>
      </c>
      <c r="H35" s="8" t="s">
        <v>158</v>
      </c>
      <c r="I35" s="55">
        <v>38943</v>
      </c>
      <c r="J35" s="56">
        <v>660</v>
      </c>
      <c r="K35" s="54">
        <v>1.6947846853092981E-2</v>
      </c>
      <c r="L35" s="53">
        <f t="shared" si="1"/>
        <v>0</v>
      </c>
    </row>
    <row r="36" spans="1:12" hidden="1" x14ac:dyDescent="0.35">
      <c r="A36" s="15">
        <v>45937</v>
      </c>
      <c r="B36" s="8" t="s">
        <v>87</v>
      </c>
      <c r="C36" s="8" t="s">
        <v>164</v>
      </c>
      <c r="D36" s="55">
        <v>194</v>
      </c>
      <c r="F36" s="15">
        <v>45937</v>
      </c>
      <c r="G36" s="8" t="s">
        <v>6</v>
      </c>
      <c r="H36" s="8" t="s">
        <v>164</v>
      </c>
      <c r="I36" s="55">
        <v>11447</v>
      </c>
      <c r="J36" s="56">
        <v>194</v>
      </c>
      <c r="K36" s="54">
        <v>1.6947671879094961E-2</v>
      </c>
      <c r="L36" s="53">
        <f t="shared" si="1"/>
        <v>0</v>
      </c>
    </row>
    <row r="37" spans="1:12" hidden="1" x14ac:dyDescent="0.35">
      <c r="A37" s="15">
        <v>45937</v>
      </c>
      <c r="B37" s="8" t="s">
        <v>87</v>
      </c>
      <c r="C37" s="8" t="s">
        <v>169</v>
      </c>
      <c r="D37" s="55">
        <v>194</v>
      </c>
      <c r="F37" s="15">
        <v>45937</v>
      </c>
      <c r="G37" s="8" t="s">
        <v>6</v>
      </c>
      <c r="H37" s="8" t="s">
        <v>169</v>
      </c>
      <c r="I37" s="55">
        <v>11447</v>
      </c>
      <c r="J37" s="56">
        <v>194</v>
      </c>
      <c r="K37" s="54">
        <v>1.6947671879094961E-2</v>
      </c>
      <c r="L37" s="53">
        <f t="shared" si="1"/>
        <v>0</v>
      </c>
    </row>
    <row r="38" spans="1:12" hidden="1" x14ac:dyDescent="0.35">
      <c r="A38" s="15">
        <v>45948</v>
      </c>
      <c r="B38" s="8" t="s">
        <v>87</v>
      </c>
      <c r="C38" s="8" t="s">
        <v>170</v>
      </c>
      <c r="D38" s="55">
        <v>717</v>
      </c>
      <c r="F38" s="15">
        <v>45948</v>
      </c>
      <c r="G38" s="8" t="s">
        <v>6</v>
      </c>
      <c r="H38" s="8" t="s">
        <v>170</v>
      </c>
      <c r="I38" s="55">
        <v>42304</v>
      </c>
      <c r="J38" s="56">
        <v>717</v>
      </c>
      <c r="K38" s="54">
        <v>1.6948751891074129E-2</v>
      </c>
      <c r="L38" s="53">
        <f t="shared" si="1"/>
        <v>0</v>
      </c>
    </row>
    <row r="39" spans="1:12" hidden="1" x14ac:dyDescent="0.35">
      <c r="A39" s="15">
        <v>45950</v>
      </c>
      <c r="B39" s="8" t="s">
        <v>87</v>
      </c>
      <c r="C39" s="8" t="s">
        <v>177</v>
      </c>
      <c r="D39" s="55">
        <v>58</v>
      </c>
      <c r="F39" s="15">
        <v>45950</v>
      </c>
      <c r="G39" s="8" t="s">
        <v>6</v>
      </c>
      <c r="H39" s="8" t="s">
        <v>177</v>
      </c>
      <c r="I39" s="55">
        <v>3434</v>
      </c>
      <c r="J39" s="56">
        <v>58</v>
      </c>
      <c r="K39" s="54">
        <v>1.6889924286546301E-2</v>
      </c>
      <c r="L39" s="53">
        <f t="shared" si="1"/>
        <v>0</v>
      </c>
    </row>
    <row r="40" spans="1:12" hidden="1" x14ac:dyDescent="0.35">
      <c r="A40" s="15"/>
      <c r="B40" s="8"/>
      <c r="C40" s="8"/>
      <c r="D40" s="55"/>
      <c r="F40" s="15">
        <v>45966</v>
      </c>
      <c r="G40" s="8" t="s">
        <v>6</v>
      </c>
      <c r="H40" s="8" t="s">
        <v>182</v>
      </c>
      <c r="I40" s="55">
        <v>234.21</v>
      </c>
      <c r="J40" s="56">
        <v>0</v>
      </c>
      <c r="K40" s="54">
        <v>0</v>
      </c>
      <c r="L40" s="53">
        <f t="shared" si="1"/>
        <v>0</v>
      </c>
    </row>
    <row r="41" spans="1:12" hidden="1" x14ac:dyDescent="0.35">
      <c r="A41" s="15"/>
      <c r="B41" s="8"/>
      <c r="C41" s="8"/>
      <c r="D41" s="55"/>
      <c r="F41" s="15">
        <v>45966</v>
      </c>
      <c r="G41" s="8" t="s">
        <v>6</v>
      </c>
      <c r="H41" s="8" t="s">
        <v>185</v>
      </c>
      <c r="I41" s="55">
        <v>46747.46</v>
      </c>
      <c r="J41" s="56">
        <v>0</v>
      </c>
      <c r="K41" s="54">
        <v>0</v>
      </c>
      <c r="L41" s="53">
        <f t="shared" si="1"/>
        <v>0</v>
      </c>
    </row>
    <row r="42" spans="1:12" hidden="1" x14ac:dyDescent="0.35">
      <c r="A42" s="15">
        <v>45978</v>
      </c>
      <c r="B42" s="8" t="s">
        <v>87</v>
      </c>
      <c r="C42" s="8" t="s">
        <v>188</v>
      </c>
      <c r="D42" s="55">
        <v>4.6900000000000004</v>
      </c>
      <c r="F42" s="15">
        <v>45978</v>
      </c>
      <c r="G42" s="8" t="s">
        <v>6</v>
      </c>
      <c r="H42" s="8" t="s">
        <v>188</v>
      </c>
      <c r="I42" s="55">
        <v>234.69</v>
      </c>
      <c r="J42" s="56">
        <v>4.6900000000000004</v>
      </c>
      <c r="K42" s="54">
        <v>1.9983808428139248E-2</v>
      </c>
      <c r="L42" s="53">
        <f t="shared" si="1"/>
        <v>0</v>
      </c>
    </row>
    <row r="43" spans="1:12" hidden="1" x14ac:dyDescent="0.35">
      <c r="A43" s="15">
        <v>45979</v>
      </c>
      <c r="B43" s="8" t="s">
        <v>87</v>
      </c>
      <c r="C43" s="8" t="s">
        <v>193</v>
      </c>
      <c r="D43" s="55">
        <v>55</v>
      </c>
      <c r="F43" s="15">
        <v>45979</v>
      </c>
      <c r="G43" s="8" t="s">
        <v>6</v>
      </c>
      <c r="H43" s="8" t="s">
        <v>193</v>
      </c>
      <c r="I43" s="55">
        <v>3302</v>
      </c>
      <c r="J43" s="56">
        <v>55</v>
      </c>
      <c r="K43" s="54">
        <v>1.6656571774682011E-2</v>
      </c>
      <c r="L43" s="53">
        <f t="shared" si="1"/>
        <v>0</v>
      </c>
    </row>
    <row r="44" spans="1:12" hidden="1" x14ac:dyDescent="0.35">
      <c r="A44" s="15">
        <v>45980</v>
      </c>
      <c r="B44" s="8" t="s">
        <v>87</v>
      </c>
      <c r="C44" s="8" t="s">
        <v>196</v>
      </c>
      <c r="D44" s="55">
        <v>756</v>
      </c>
      <c r="F44" s="15">
        <v>45980</v>
      </c>
      <c r="G44" s="8" t="s">
        <v>6</v>
      </c>
      <c r="H44" s="8" t="s">
        <v>196</v>
      </c>
      <c r="I44" s="55">
        <v>44633</v>
      </c>
      <c r="J44" s="56">
        <v>756</v>
      </c>
      <c r="K44" s="54">
        <v>1.693813994129904E-2</v>
      </c>
      <c r="L44" s="53">
        <f t="shared" si="1"/>
        <v>0</v>
      </c>
    </row>
    <row r="45" spans="1:12" hidden="1" x14ac:dyDescent="0.35">
      <c r="A45" s="15">
        <v>45981</v>
      </c>
      <c r="B45" s="8" t="s">
        <v>87</v>
      </c>
      <c r="C45" s="8" t="s">
        <v>203</v>
      </c>
      <c r="D45" s="55">
        <v>70.22</v>
      </c>
      <c r="F45" s="15">
        <v>45981</v>
      </c>
      <c r="G45" s="8" t="s">
        <v>6</v>
      </c>
      <c r="H45" s="8" t="s">
        <v>203</v>
      </c>
      <c r="I45" s="55">
        <v>3511.22</v>
      </c>
      <c r="J45" s="56">
        <v>70.22</v>
      </c>
      <c r="K45" s="54">
        <v>1.9998746874305799E-2</v>
      </c>
      <c r="L45" s="53">
        <f t="shared" si="1"/>
        <v>0</v>
      </c>
    </row>
    <row r="46" spans="1:12" hidden="1" x14ac:dyDescent="0.35">
      <c r="A46" s="15">
        <v>45981</v>
      </c>
      <c r="B46" s="8" t="s">
        <v>87</v>
      </c>
      <c r="C46" s="8" t="s">
        <v>208</v>
      </c>
      <c r="D46" s="55">
        <v>224</v>
      </c>
      <c r="F46" s="15">
        <v>45981</v>
      </c>
      <c r="G46" s="8" t="s">
        <v>6</v>
      </c>
      <c r="H46" s="8" t="s">
        <v>208</v>
      </c>
      <c r="I46" s="55">
        <v>13227</v>
      </c>
      <c r="J46" s="56">
        <v>224</v>
      </c>
      <c r="K46" s="54">
        <v>1.6935057080214713E-2</v>
      </c>
      <c r="L46" s="53">
        <f t="shared" si="1"/>
        <v>0</v>
      </c>
    </row>
    <row r="47" spans="1:12" hidden="1" x14ac:dyDescent="0.35">
      <c r="A47" s="15">
        <v>45981</v>
      </c>
      <c r="B47" s="8" t="s">
        <v>87</v>
      </c>
      <c r="C47" s="8" t="s">
        <v>212</v>
      </c>
      <c r="D47" s="55">
        <v>62</v>
      </c>
      <c r="F47" s="15">
        <v>45981</v>
      </c>
      <c r="G47" s="8" t="s">
        <v>6</v>
      </c>
      <c r="H47" s="8" t="s">
        <v>212</v>
      </c>
      <c r="I47" s="55">
        <v>3699</v>
      </c>
      <c r="J47" s="56">
        <v>62</v>
      </c>
      <c r="K47" s="54">
        <v>1.6761286834279535E-2</v>
      </c>
      <c r="L47" s="53">
        <f t="shared" si="1"/>
        <v>0</v>
      </c>
    </row>
    <row r="48" spans="1:12" hidden="1" x14ac:dyDescent="0.35">
      <c r="A48" s="15">
        <v>45981</v>
      </c>
      <c r="B48" s="8" t="s">
        <v>87</v>
      </c>
      <c r="C48" s="8" t="s">
        <v>216</v>
      </c>
      <c r="D48" s="55">
        <v>14</v>
      </c>
      <c r="F48" s="15">
        <v>45981</v>
      </c>
      <c r="G48" s="8" t="s">
        <v>6</v>
      </c>
      <c r="H48" s="8" t="s">
        <v>216</v>
      </c>
      <c r="I48" s="55">
        <v>870</v>
      </c>
      <c r="J48" s="56">
        <v>14</v>
      </c>
      <c r="K48" s="54">
        <v>1.6091954022988506E-2</v>
      </c>
      <c r="L48" s="53">
        <f t="shared" si="1"/>
        <v>0</v>
      </c>
    </row>
    <row r="49" spans="1:12" hidden="1" x14ac:dyDescent="0.35">
      <c r="A49" s="15">
        <v>45990</v>
      </c>
      <c r="B49" s="8" t="s">
        <v>87</v>
      </c>
      <c r="C49" s="8" t="s">
        <v>220</v>
      </c>
      <c r="D49" s="55">
        <v>119</v>
      </c>
      <c r="F49" s="15">
        <v>45990</v>
      </c>
      <c r="G49" s="8" t="s">
        <v>6</v>
      </c>
      <c r="H49" s="8" t="s">
        <v>220</v>
      </c>
      <c r="I49" s="55">
        <v>7066</v>
      </c>
      <c r="J49" s="56">
        <v>119</v>
      </c>
      <c r="K49" s="54">
        <v>1.6841211435041043E-2</v>
      </c>
      <c r="L49" s="53">
        <f t="shared" si="1"/>
        <v>0</v>
      </c>
    </row>
    <row r="50" spans="1:12" hidden="1" x14ac:dyDescent="0.35">
      <c r="A50" s="15">
        <v>45990</v>
      </c>
      <c r="B50" s="8" t="s">
        <v>87</v>
      </c>
      <c r="C50" s="8" t="s">
        <v>225</v>
      </c>
      <c r="D50" s="55">
        <v>2103</v>
      </c>
      <c r="F50" s="15">
        <v>45990</v>
      </c>
      <c r="G50" s="8" t="s">
        <v>6</v>
      </c>
      <c r="H50" s="8" t="s">
        <v>225</v>
      </c>
      <c r="I50" s="55">
        <v>124079</v>
      </c>
      <c r="J50" s="56">
        <v>2103</v>
      </c>
      <c r="K50" s="54">
        <v>1.6948879342999219E-2</v>
      </c>
      <c r="L50" s="53">
        <f t="shared" si="1"/>
        <v>0</v>
      </c>
    </row>
    <row r="51" spans="1:12" hidden="1" x14ac:dyDescent="0.35">
      <c r="A51" s="15">
        <v>45990</v>
      </c>
      <c r="B51" s="8" t="s">
        <v>87</v>
      </c>
      <c r="C51" s="8" t="s">
        <v>231</v>
      </c>
      <c r="D51" s="55">
        <v>127</v>
      </c>
      <c r="F51" s="15">
        <v>45990</v>
      </c>
      <c r="G51" s="8" t="s">
        <v>6</v>
      </c>
      <c r="H51" s="8" t="s">
        <v>231</v>
      </c>
      <c r="I51" s="55">
        <v>7520</v>
      </c>
      <c r="J51" s="56">
        <v>127</v>
      </c>
      <c r="K51" s="54">
        <v>1.6888297872340426E-2</v>
      </c>
      <c r="L51" s="53">
        <f t="shared" si="1"/>
        <v>0</v>
      </c>
    </row>
    <row r="52" spans="1:12" hidden="1" x14ac:dyDescent="0.35">
      <c r="A52" s="15">
        <v>45990</v>
      </c>
      <c r="B52" s="8" t="s">
        <v>87</v>
      </c>
      <c r="C52" s="8" t="s">
        <v>236</v>
      </c>
      <c r="D52" s="55">
        <v>746</v>
      </c>
      <c r="F52" s="15">
        <v>45990</v>
      </c>
      <c r="G52" s="8" t="s">
        <v>6</v>
      </c>
      <c r="H52" s="8" t="s">
        <v>236</v>
      </c>
      <c r="I52" s="55">
        <v>44047</v>
      </c>
      <c r="J52" s="56">
        <v>746</v>
      </c>
      <c r="K52" s="54">
        <v>1.6936454242059619E-2</v>
      </c>
      <c r="L52" s="53">
        <f t="shared" si="1"/>
        <v>0</v>
      </c>
    </row>
    <row r="53" spans="1:12" x14ac:dyDescent="0.35">
      <c r="A53" s="15">
        <v>46010</v>
      </c>
      <c r="B53" s="8" t="s">
        <v>87</v>
      </c>
      <c r="C53" s="8" t="s">
        <v>243</v>
      </c>
      <c r="D53" s="55">
        <v>4</v>
      </c>
      <c r="F53" s="15"/>
      <c r="G53" s="8"/>
      <c r="H53" s="8"/>
      <c r="I53" s="55"/>
      <c r="J53" s="56"/>
      <c r="K53" s="54"/>
      <c r="L53" s="53">
        <f t="shared" si="1"/>
        <v>-4</v>
      </c>
    </row>
    <row r="54" spans="1:12" x14ac:dyDescent="0.35">
      <c r="A54" s="15">
        <v>46010</v>
      </c>
      <c r="B54" s="8" t="s">
        <v>87</v>
      </c>
      <c r="C54" s="8" t="s">
        <v>244</v>
      </c>
      <c r="D54" s="55">
        <v>792</v>
      </c>
      <c r="F54" s="15"/>
      <c r="G54" s="8"/>
      <c r="H54" s="8"/>
      <c r="I54" s="55"/>
      <c r="J54" s="56"/>
      <c r="K54" s="54"/>
      <c r="L54" s="53">
        <f t="shared" si="1"/>
        <v>-792</v>
      </c>
    </row>
    <row r="55" spans="1:12" hidden="1" x14ac:dyDescent="0.35">
      <c r="A55" s="15">
        <v>46024</v>
      </c>
      <c r="B55" s="8" t="s">
        <v>87</v>
      </c>
      <c r="C55" s="8" t="s">
        <v>245</v>
      </c>
      <c r="D55" s="55">
        <v>731</v>
      </c>
      <c r="F55" s="15">
        <v>46024</v>
      </c>
      <c r="G55" s="8" t="s">
        <v>6</v>
      </c>
      <c r="H55" s="8" t="s">
        <v>245</v>
      </c>
      <c r="I55" s="55">
        <v>43112</v>
      </c>
      <c r="J55" s="56">
        <v>731</v>
      </c>
      <c r="K55" s="54">
        <v>1.6955835962145109E-2</v>
      </c>
      <c r="L55" s="53">
        <f t="shared" si="1"/>
        <v>0</v>
      </c>
    </row>
    <row r="56" spans="1:12" hidden="1" x14ac:dyDescent="0.35">
      <c r="A56" s="15">
        <v>46027</v>
      </c>
      <c r="B56" s="8" t="s">
        <v>87</v>
      </c>
      <c r="C56" s="8" t="s">
        <v>252</v>
      </c>
      <c r="D56" s="55">
        <v>173</v>
      </c>
      <c r="F56" s="15">
        <v>46027</v>
      </c>
      <c r="G56" s="8" t="s">
        <v>6</v>
      </c>
      <c r="H56" s="8" t="s">
        <v>252</v>
      </c>
      <c r="I56" s="55">
        <v>10214</v>
      </c>
      <c r="J56" s="56">
        <v>173</v>
      </c>
      <c r="K56" s="54">
        <v>1.6937536714313688E-2</v>
      </c>
      <c r="L56" s="53">
        <f t="shared" si="1"/>
        <v>0</v>
      </c>
    </row>
    <row r="57" spans="1:12" hidden="1" x14ac:dyDescent="0.35">
      <c r="A57" s="15">
        <v>46027</v>
      </c>
      <c r="B57" s="8" t="s">
        <v>87</v>
      </c>
      <c r="C57" s="8" t="s">
        <v>255</v>
      </c>
      <c r="D57" s="55">
        <v>713</v>
      </c>
      <c r="F57" s="15">
        <v>46027</v>
      </c>
      <c r="G57" s="8" t="s">
        <v>6</v>
      </c>
      <c r="H57" s="8" t="s">
        <v>255</v>
      </c>
      <c r="I57" s="55">
        <v>42074</v>
      </c>
      <c r="J57" s="56">
        <v>713</v>
      </c>
      <c r="K57" s="54">
        <v>1.6946332651994106E-2</v>
      </c>
      <c r="L57" s="53">
        <f t="shared" si="1"/>
        <v>0</v>
      </c>
    </row>
    <row r="58" spans="1:12" hidden="1" x14ac:dyDescent="0.35">
      <c r="A58" s="15">
        <v>46028</v>
      </c>
      <c r="B58" s="8" t="s">
        <v>87</v>
      </c>
      <c r="C58" s="8" t="s">
        <v>260</v>
      </c>
      <c r="D58" s="55">
        <v>184</v>
      </c>
      <c r="F58" s="15">
        <v>46028</v>
      </c>
      <c r="G58" s="8" t="s">
        <v>6</v>
      </c>
      <c r="H58" s="8" t="s">
        <v>260</v>
      </c>
      <c r="I58" s="55">
        <v>10895</v>
      </c>
      <c r="J58" s="56">
        <v>184</v>
      </c>
      <c r="K58" s="54">
        <v>1.6888480954566316E-2</v>
      </c>
      <c r="L58" s="53">
        <f t="shared" si="1"/>
        <v>0</v>
      </c>
    </row>
    <row r="59" spans="1:12" hidden="1" x14ac:dyDescent="0.35">
      <c r="A59" s="15">
        <v>46028</v>
      </c>
      <c r="B59" s="8" t="s">
        <v>87</v>
      </c>
      <c r="C59" s="8" t="s">
        <v>263</v>
      </c>
      <c r="D59" s="55">
        <v>63</v>
      </c>
      <c r="F59" s="15">
        <v>46028</v>
      </c>
      <c r="G59" s="8" t="s">
        <v>6</v>
      </c>
      <c r="H59" s="8" t="s">
        <v>263</v>
      </c>
      <c r="I59" s="55">
        <v>3737</v>
      </c>
      <c r="J59" s="56">
        <v>63</v>
      </c>
      <c r="K59" s="54">
        <v>1.6858442601016859E-2</v>
      </c>
      <c r="L59" s="53">
        <f t="shared" si="1"/>
        <v>0</v>
      </c>
    </row>
    <row r="60" spans="1:12" hidden="1" x14ac:dyDescent="0.35">
      <c r="A60" s="15">
        <v>46034</v>
      </c>
      <c r="B60" s="8" t="s">
        <v>87</v>
      </c>
      <c r="C60" s="8" t="s">
        <v>267</v>
      </c>
      <c r="D60" s="55">
        <v>779</v>
      </c>
      <c r="F60" s="15">
        <v>46034</v>
      </c>
      <c r="G60" s="8" t="s">
        <v>6</v>
      </c>
      <c r="H60" s="8" t="s">
        <v>267</v>
      </c>
      <c r="I60" s="55">
        <v>45945</v>
      </c>
      <c r="J60" s="56">
        <v>779</v>
      </c>
      <c r="K60" s="54">
        <v>1.695505495701382E-2</v>
      </c>
      <c r="L60" s="53">
        <f t="shared" si="1"/>
        <v>0</v>
      </c>
    </row>
    <row r="61" spans="1:12" hidden="1" x14ac:dyDescent="0.35">
      <c r="A61" s="15">
        <v>46039</v>
      </c>
      <c r="B61" s="8" t="s">
        <v>87</v>
      </c>
      <c r="C61" s="8" t="s">
        <v>274</v>
      </c>
      <c r="D61" s="55">
        <v>169</v>
      </c>
      <c r="F61" s="15">
        <v>46039</v>
      </c>
      <c r="G61" s="8" t="s">
        <v>6</v>
      </c>
      <c r="H61" s="8" t="s">
        <v>274</v>
      </c>
      <c r="I61" s="55">
        <v>9984</v>
      </c>
      <c r="J61" s="56">
        <v>169</v>
      </c>
      <c r="K61" s="54">
        <v>1.6927083333333332E-2</v>
      </c>
      <c r="L61" s="53">
        <f t="shared" si="1"/>
        <v>0</v>
      </c>
    </row>
    <row r="62" spans="1:12" hidden="1" x14ac:dyDescent="0.35">
      <c r="A62" s="15">
        <v>46039</v>
      </c>
      <c r="B62" s="8" t="s">
        <v>87</v>
      </c>
      <c r="C62" s="8" t="s">
        <v>277</v>
      </c>
      <c r="D62" s="55">
        <v>11</v>
      </c>
      <c r="F62" s="15">
        <v>46039</v>
      </c>
      <c r="G62" s="8" t="s">
        <v>6</v>
      </c>
      <c r="H62" s="8" t="s">
        <v>277</v>
      </c>
      <c r="I62" s="55">
        <v>628</v>
      </c>
      <c r="J62" s="56">
        <v>11</v>
      </c>
      <c r="K62" s="54">
        <v>1.751592356687898E-2</v>
      </c>
      <c r="L62" s="53">
        <f t="shared" si="1"/>
        <v>0</v>
      </c>
    </row>
    <row r="63" spans="1:12" hidden="1" x14ac:dyDescent="0.35">
      <c r="A63" s="15">
        <v>46042</v>
      </c>
      <c r="B63" s="8" t="s">
        <v>87</v>
      </c>
      <c r="C63" s="8" t="s">
        <v>280</v>
      </c>
      <c r="D63" s="55">
        <v>752</v>
      </c>
      <c r="F63" s="15">
        <v>46042</v>
      </c>
      <c r="G63" s="8" t="s">
        <v>6</v>
      </c>
      <c r="H63" s="8" t="s">
        <v>280</v>
      </c>
      <c r="I63" s="55">
        <v>44384</v>
      </c>
      <c r="J63" s="56">
        <v>752</v>
      </c>
      <c r="K63" s="54">
        <v>1.6943042537851477E-2</v>
      </c>
      <c r="L63" s="53">
        <f t="shared" si="1"/>
        <v>0</v>
      </c>
    </row>
    <row r="64" spans="1:12" hidden="1" x14ac:dyDescent="0.35">
      <c r="A64" s="15">
        <v>46045</v>
      </c>
      <c r="B64" s="8" t="s">
        <v>87</v>
      </c>
      <c r="C64" s="8" t="s">
        <v>288</v>
      </c>
      <c r="D64" s="55">
        <v>173</v>
      </c>
      <c r="F64" s="15">
        <v>46045</v>
      </c>
      <c r="G64" s="8" t="s">
        <v>6</v>
      </c>
      <c r="H64" s="8" t="s">
        <v>288</v>
      </c>
      <c r="I64" s="55">
        <v>10214</v>
      </c>
      <c r="J64" s="56">
        <v>173</v>
      </c>
      <c r="K64" s="54">
        <v>1.6937536714313688E-2</v>
      </c>
      <c r="L64" s="53">
        <f t="shared" si="1"/>
        <v>0</v>
      </c>
    </row>
    <row r="65" spans="1:12" hidden="1" x14ac:dyDescent="0.35">
      <c r="A65" s="15">
        <v>46045</v>
      </c>
      <c r="B65" s="8" t="s">
        <v>87</v>
      </c>
      <c r="C65" s="8" t="s">
        <v>289</v>
      </c>
      <c r="D65" s="55">
        <v>14</v>
      </c>
      <c r="F65" s="15">
        <v>46045</v>
      </c>
      <c r="G65" s="8" t="s">
        <v>6</v>
      </c>
      <c r="H65" s="8" t="s">
        <v>289</v>
      </c>
      <c r="I65" s="55">
        <v>828</v>
      </c>
      <c r="J65" s="56">
        <v>14</v>
      </c>
      <c r="K65" s="54">
        <v>1.6908212560386472E-2</v>
      </c>
      <c r="L65" s="53">
        <f t="shared" si="1"/>
        <v>0</v>
      </c>
    </row>
    <row r="66" spans="1:12" hidden="1" x14ac:dyDescent="0.35">
      <c r="A66" s="15">
        <v>46045</v>
      </c>
      <c r="B66" s="8" t="s">
        <v>87</v>
      </c>
      <c r="C66" s="8" t="s">
        <v>293</v>
      </c>
      <c r="D66" s="55">
        <v>108</v>
      </c>
      <c r="F66" s="15">
        <v>46045</v>
      </c>
      <c r="G66" s="8" t="s">
        <v>6</v>
      </c>
      <c r="H66" s="8" t="s">
        <v>293</v>
      </c>
      <c r="I66" s="55">
        <v>6360</v>
      </c>
      <c r="J66" s="56">
        <v>108</v>
      </c>
      <c r="K66" s="54">
        <v>1.6981132075471698E-2</v>
      </c>
      <c r="L66" s="53">
        <f t="shared" si="1"/>
        <v>0</v>
      </c>
    </row>
    <row r="67" spans="1:12" hidden="1" x14ac:dyDescent="0.35">
      <c r="A67" s="15">
        <v>46064</v>
      </c>
      <c r="B67" s="8" t="s">
        <v>87</v>
      </c>
      <c r="C67" s="8" t="s">
        <v>299</v>
      </c>
      <c r="D67" s="55">
        <v>30</v>
      </c>
      <c r="F67" s="15">
        <v>46064</v>
      </c>
      <c r="G67" s="8" t="s">
        <v>6</v>
      </c>
      <c r="H67" s="8" t="s">
        <v>299</v>
      </c>
      <c r="I67" s="55">
        <v>1779</v>
      </c>
      <c r="J67" s="56">
        <v>30</v>
      </c>
      <c r="K67" s="54">
        <v>1.6863406408094434E-2</v>
      </c>
      <c r="L67" s="53">
        <f t="shared" si="1"/>
        <v>0</v>
      </c>
    </row>
    <row r="68" spans="1:12" hidden="1" x14ac:dyDescent="0.35">
      <c r="A68" s="15">
        <v>46064</v>
      </c>
      <c r="B68" s="8" t="s">
        <v>87</v>
      </c>
      <c r="C68" s="8" t="s">
        <v>303</v>
      </c>
      <c r="D68" s="55">
        <v>69</v>
      </c>
      <c r="F68" s="15">
        <v>46064</v>
      </c>
      <c r="G68" s="8" t="s">
        <v>6</v>
      </c>
      <c r="H68" s="8" t="s">
        <v>303</v>
      </c>
      <c r="I68" s="55">
        <v>4067</v>
      </c>
      <c r="J68" s="56">
        <v>69</v>
      </c>
      <c r="K68" s="54">
        <v>1.6965822473567739E-2</v>
      </c>
      <c r="L68" s="53">
        <f t="shared" si="1"/>
        <v>0</v>
      </c>
    </row>
    <row r="69" spans="1:12" hidden="1" x14ac:dyDescent="0.35">
      <c r="A69" s="15">
        <v>46065</v>
      </c>
      <c r="B69" s="8" t="s">
        <v>87</v>
      </c>
      <c r="C69" s="8" t="s">
        <v>307</v>
      </c>
      <c r="D69" s="55">
        <v>778</v>
      </c>
      <c r="F69" s="15">
        <v>46065</v>
      </c>
      <c r="G69" s="8" t="s">
        <v>6</v>
      </c>
      <c r="H69" s="8" t="s">
        <v>307</v>
      </c>
      <c r="I69" s="55">
        <v>45918</v>
      </c>
      <c r="J69" s="56">
        <v>778</v>
      </c>
      <c r="K69" s="54">
        <v>1.6943246657084368E-2</v>
      </c>
      <c r="L69" s="53">
        <f t="shared" si="1"/>
        <v>0</v>
      </c>
    </row>
    <row r="70" spans="1:12" hidden="1" x14ac:dyDescent="0.35">
      <c r="A70" s="15">
        <v>46065</v>
      </c>
      <c r="B70" s="8" t="s">
        <v>87</v>
      </c>
      <c r="C70" s="8" t="s">
        <v>316</v>
      </c>
      <c r="D70" s="55">
        <v>184</v>
      </c>
      <c r="F70" s="15">
        <v>46065</v>
      </c>
      <c r="G70" s="8" t="s">
        <v>6</v>
      </c>
      <c r="H70" s="8" t="s">
        <v>316</v>
      </c>
      <c r="I70" s="55">
        <v>10846</v>
      </c>
      <c r="J70" s="56">
        <v>184</v>
      </c>
      <c r="K70" s="54">
        <v>1.6964779642264428E-2</v>
      </c>
      <c r="L70" s="53">
        <f t="shared" si="1"/>
        <v>0</v>
      </c>
    </row>
    <row r="71" spans="1:12" hidden="1" x14ac:dyDescent="0.35">
      <c r="A71" s="15">
        <v>46076</v>
      </c>
      <c r="B71" s="8" t="s">
        <v>87</v>
      </c>
      <c r="C71" s="8" t="s">
        <v>320</v>
      </c>
      <c r="D71" s="55">
        <v>727</v>
      </c>
      <c r="F71" s="15">
        <v>46076</v>
      </c>
      <c r="G71" s="8" t="s">
        <v>6</v>
      </c>
      <c r="H71" s="8" t="s">
        <v>320</v>
      </c>
      <c r="I71" s="55">
        <v>42919</v>
      </c>
      <c r="J71" s="56">
        <v>727</v>
      </c>
      <c r="K71" s="54">
        <v>1.6938884876162071E-2</v>
      </c>
      <c r="L71" s="53">
        <f t="shared" si="1"/>
        <v>0</v>
      </c>
    </row>
  </sheetData>
  <autoFilter ref="A2:L71" xr:uid="{1ACDBED2-7260-4905-99F9-8CC27CE1AABB}">
    <filterColumn colId="11">
      <filters>
        <filter val="-38.00"/>
        <filter val="-4.00"/>
        <filter val="-792.00"/>
        <filter val="-8.0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4412-F804-42E1-8327-F807F083EACE}">
  <dimension ref="A1:XEI6"/>
  <sheetViews>
    <sheetView topLeftCell="B1" workbookViewId="0">
      <selection activeCell="C5" sqref="C3:C5"/>
    </sheetView>
  </sheetViews>
  <sheetFormatPr defaultRowHeight="14.5" x14ac:dyDescent="0.35"/>
  <cols>
    <col min="1" max="1" width="12.7265625" bestFit="1" customWidth="1"/>
    <col min="2" max="2" width="24.26953125" bestFit="1" customWidth="1"/>
    <col min="3" max="3" width="12.08984375" bestFit="1" customWidth="1"/>
    <col min="4" max="5" width="23.90625" bestFit="1" customWidth="1"/>
    <col min="6" max="6" width="16.7265625" bestFit="1" customWidth="1"/>
    <col min="7" max="7" width="33.1796875" bestFit="1" customWidth="1"/>
    <col min="8" max="8" width="16" customWidth="1"/>
    <col min="9" max="9" width="25.1796875" bestFit="1" customWidth="1"/>
    <col min="10" max="10" width="10.90625" bestFit="1" customWidth="1"/>
    <col min="11" max="11" width="23.90625" bestFit="1" customWidth="1"/>
    <col min="12" max="12" width="10.81640625" bestFit="1" customWidth="1"/>
  </cols>
  <sheetData>
    <row r="1" spans="1:16363" x14ac:dyDescent="0.35">
      <c r="A1" s="137" t="s">
        <v>560</v>
      </c>
      <c r="B1" s="137"/>
      <c r="C1" s="137"/>
      <c r="D1" s="137"/>
      <c r="E1" s="138" t="s">
        <v>561</v>
      </c>
      <c r="F1" s="138"/>
      <c r="G1" s="138"/>
      <c r="H1" s="139" t="s">
        <v>562</v>
      </c>
      <c r="I1" s="139"/>
    </row>
    <row r="2" spans="1:16363" x14ac:dyDescent="0.35">
      <c r="A2" s="68" t="s">
        <v>474</v>
      </c>
      <c r="B2" s="68" t="s">
        <v>555</v>
      </c>
      <c r="C2" s="68" t="s">
        <v>556</v>
      </c>
      <c r="D2" s="68" t="s">
        <v>557</v>
      </c>
      <c r="E2" s="71" t="s">
        <v>350</v>
      </c>
      <c r="F2" s="71" t="s">
        <v>356</v>
      </c>
      <c r="G2" s="71" t="s">
        <v>559</v>
      </c>
      <c r="H2" s="72" t="s">
        <v>564</v>
      </c>
      <c r="I2" s="72" t="s">
        <v>563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</row>
    <row r="3" spans="1:16363" x14ac:dyDescent="0.35">
      <c r="A3" s="69">
        <v>45863</v>
      </c>
      <c r="B3" s="70" t="s">
        <v>558</v>
      </c>
      <c r="C3" s="74">
        <v>166588</v>
      </c>
      <c r="D3" s="70" t="s">
        <v>362</v>
      </c>
      <c r="E3" s="70" t="s">
        <v>362</v>
      </c>
      <c r="F3" s="70">
        <v>1400001167</v>
      </c>
      <c r="G3" s="73">
        <v>-169468.91</v>
      </c>
      <c r="H3" s="70">
        <v>2880</v>
      </c>
      <c r="I3" s="75">
        <f>C3+G3+H3</f>
        <v>-0.91000000000349246</v>
      </c>
    </row>
    <row r="4" spans="1:16363" x14ac:dyDescent="0.35">
      <c r="A4" s="69">
        <v>45904</v>
      </c>
      <c r="B4" s="70" t="s">
        <v>558</v>
      </c>
      <c r="C4" s="74">
        <v>102382</v>
      </c>
      <c r="D4" s="70" t="s">
        <v>364</v>
      </c>
      <c r="E4" s="70" t="s">
        <v>364</v>
      </c>
      <c r="F4" s="70">
        <v>1400001170</v>
      </c>
      <c r="G4" s="73">
        <v>-104145.96</v>
      </c>
      <c r="H4" s="70">
        <v>1719</v>
      </c>
      <c r="I4" s="75">
        <f t="shared" ref="I4:I5" si="0">C4+G4+H4</f>
        <v>-44.960000000006403</v>
      </c>
    </row>
    <row r="5" spans="1:16363" x14ac:dyDescent="0.35">
      <c r="A5" s="69">
        <v>46046</v>
      </c>
      <c r="B5" s="70" t="s">
        <v>558</v>
      </c>
      <c r="C5" s="74">
        <v>88026.11</v>
      </c>
      <c r="D5" s="70" t="s">
        <v>465</v>
      </c>
      <c r="E5" s="70" t="s">
        <v>327</v>
      </c>
      <c r="F5" s="70"/>
      <c r="G5" s="73">
        <v>-88026.11</v>
      </c>
      <c r="H5" s="70"/>
      <c r="I5" s="75">
        <f t="shared" si="0"/>
        <v>0</v>
      </c>
    </row>
    <row r="6" spans="1:16363" x14ac:dyDescent="0.35">
      <c r="H6">
        <f>SUM(H3:H5)</f>
        <v>4599</v>
      </c>
      <c r="I6">
        <f>SUM(I3:I5)</f>
        <v>-45.870000000009895</v>
      </c>
    </row>
  </sheetData>
  <mergeCells count="3">
    <mergeCell ref="A1:D1"/>
    <mergeCell ref="E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76A4-8428-49D9-94D5-5A5C913B8EF5}">
  <dimension ref="A1:O39"/>
  <sheetViews>
    <sheetView topLeftCell="G13" workbookViewId="0">
      <selection activeCell="K24" sqref="K24"/>
    </sheetView>
  </sheetViews>
  <sheetFormatPr defaultRowHeight="14.5" x14ac:dyDescent="0.35"/>
  <cols>
    <col min="1" max="1" width="18.36328125" bestFit="1" customWidth="1"/>
    <col min="2" max="2" width="11.7265625" bestFit="1" customWidth="1"/>
    <col min="3" max="3" width="17" bestFit="1" customWidth="1"/>
    <col min="4" max="4" width="13.36328125" bestFit="1" customWidth="1"/>
    <col min="5" max="5" width="14.36328125" bestFit="1" customWidth="1"/>
    <col min="6" max="6" width="15.1796875" bestFit="1" customWidth="1"/>
    <col min="7" max="7" width="12.453125" bestFit="1" customWidth="1"/>
    <col min="8" max="8" width="20.1796875" bestFit="1" customWidth="1"/>
    <col min="9" max="9" width="12.6328125" bestFit="1" customWidth="1"/>
    <col min="10" max="10" width="15.6328125" bestFit="1" customWidth="1"/>
    <col min="11" max="11" width="20.36328125" bestFit="1" customWidth="1"/>
    <col min="12" max="12" width="15.7265625" bestFit="1" customWidth="1"/>
    <col min="13" max="13" width="12.453125" bestFit="1" customWidth="1"/>
    <col min="14" max="14" width="8" bestFit="1" customWidth="1"/>
    <col min="15" max="15" width="89.36328125" bestFit="1" customWidth="1"/>
  </cols>
  <sheetData>
    <row r="1" spans="1:15" ht="18.5" customHeight="1" x14ac:dyDescent="0.45">
      <c r="A1" s="58" t="s">
        <v>468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x14ac:dyDescent="0.35">
      <c r="A2" s="7" t="s">
        <v>469</v>
      </c>
      <c r="B2" s="7" t="s">
        <v>0</v>
      </c>
      <c r="C2" s="7" t="s">
        <v>470</v>
      </c>
      <c r="D2" s="7" t="s">
        <v>471</v>
      </c>
      <c r="E2" s="7" t="s">
        <v>472</v>
      </c>
      <c r="F2" s="7" t="s">
        <v>473</v>
      </c>
      <c r="G2" s="7" t="s">
        <v>474</v>
      </c>
      <c r="H2" s="7" t="s">
        <v>475</v>
      </c>
      <c r="I2" s="7" t="s">
        <v>476</v>
      </c>
      <c r="J2" s="7" t="s">
        <v>477</v>
      </c>
      <c r="K2" s="7" t="s">
        <v>478</v>
      </c>
      <c r="L2" s="9" t="e">
        <f t="shared" ref="L2" si="0">J2-K2</f>
        <v>#VALUE!</v>
      </c>
      <c r="M2" s="7" t="s">
        <v>479</v>
      </c>
      <c r="N2" s="7" t="s">
        <v>480</v>
      </c>
      <c r="O2" s="7" t="s">
        <v>481</v>
      </c>
    </row>
    <row r="3" spans="1:15" x14ac:dyDescent="0.35">
      <c r="A3" s="8" t="s">
        <v>482</v>
      </c>
      <c r="B3" s="59">
        <v>45719</v>
      </c>
      <c r="C3" s="8" t="s">
        <v>7</v>
      </c>
      <c r="D3" s="60">
        <v>246779410574</v>
      </c>
      <c r="E3" s="59">
        <v>45719</v>
      </c>
      <c r="F3" s="9">
        <v>427</v>
      </c>
      <c r="G3" s="59">
        <v>45863</v>
      </c>
      <c r="H3" s="8" t="s">
        <v>124</v>
      </c>
      <c r="I3" s="8" t="s">
        <v>483</v>
      </c>
      <c r="J3" s="9">
        <v>427</v>
      </c>
      <c r="K3" s="9">
        <v>427</v>
      </c>
      <c r="L3" s="9">
        <f>J3-K3</f>
        <v>0</v>
      </c>
      <c r="M3" s="61">
        <v>144</v>
      </c>
      <c r="N3" s="8" t="s">
        <v>484</v>
      </c>
      <c r="O3" s="8" t="s">
        <v>485</v>
      </c>
    </row>
    <row r="4" spans="1:15" x14ac:dyDescent="0.35">
      <c r="A4" s="8" t="s">
        <v>482</v>
      </c>
      <c r="B4" s="59">
        <v>45733</v>
      </c>
      <c r="C4" s="8" t="s">
        <v>12</v>
      </c>
      <c r="D4" s="60">
        <v>246779411950</v>
      </c>
      <c r="E4" s="59">
        <v>45733</v>
      </c>
      <c r="F4" s="9">
        <v>1641</v>
      </c>
      <c r="G4" s="59">
        <v>45863</v>
      </c>
      <c r="H4" s="8" t="s">
        <v>124</v>
      </c>
      <c r="I4" s="8" t="s">
        <v>483</v>
      </c>
      <c r="J4" s="9">
        <v>1641</v>
      </c>
      <c r="K4" s="9">
        <v>1641</v>
      </c>
      <c r="L4" s="9">
        <f t="shared" ref="L4:L38" si="1">J4-K4</f>
        <v>0</v>
      </c>
      <c r="M4" s="61">
        <v>130</v>
      </c>
      <c r="N4" s="8" t="s">
        <v>486</v>
      </c>
      <c r="O4" s="8" t="s">
        <v>487</v>
      </c>
    </row>
    <row r="5" spans="1:15" x14ac:dyDescent="0.35">
      <c r="A5" s="8" t="s">
        <v>482</v>
      </c>
      <c r="B5" s="59">
        <v>45735</v>
      </c>
      <c r="C5" s="8" t="s">
        <v>16</v>
      </c>
      <c r="D5" s="60">
        <v>246779412626</v>
      </c>
      <c r="E5" s="59">
        <v>45735</v>
      </c>
      <c r="F5" s="9">
        <v>23562</v>
      </c>
      <c r="G5" s="59">
        <v>45863</v>
      </c>
      <c r="H5" s="8" t="s">
        <v>124</v>
      </c>
      <c r="I5" s="8" t="s">
        <v>483</v>
      </c>
      <c r="J5" s="9">
        <v>23562</v>
      </c>
      <c r="K5" s="9">
        <v>23562</v>
      </c>
      <c r="L5" s="9">
        <f t="shared" si="1"/>
        <v>0</v>
      </c>
      <c r="M5" s="61">
        <v>128</v>
      </c>
      <c r="N5" s="8" t="s">
        <v>488</v>
      </c>
      <c r="O5" s="8" t="s">
        <v>489</v>
      </c>
    </row>
    <row r="6" spans="1:15" x14ac:dyDescent="0.35">
      <c r="A6" s="8" t="s">
        <v>482</v>
      </c>
      <c r="B6" s="59">
        <v>45735</v>
      </c>
      <c r="C6" s="8" t="s">
        <v>27</v>
      </c>
      <c r="D6" s="60">
        <v>246779412785</v>
      </c>
      <c r="E6" s="59">
        <v>45735</v>
      </c>
      <c r="F6" s="9">
        <v>24121</v>
      </c>
      <c r="G6" s="59">
        <v>45863</v>
      </c>
      <c r="H6" s="8" t="s">
        <v>124</v>
      </c>
      <c r="I6" s="8" t="s">
        <v>483</v>
      </c>
      <c r="J6" s="9">
        <v>24121</v>
      </c>
      <c r="K6" s="9">
        <v>24121</v>
      </c>
      <c r="L6" s="9">
        <f t="shared" si="1"/>
        <v>0</v>
      </c>
      <c r="M6" s="61">
        <v>128</v>
      </c>
      <c r="N6" s="8" t="s">
        <v>490</v>
      </c>
      <c r="O6" s="8" t="s">
        <v>491</v>
      </c>
    </row>
    <row r="7" spans="1:15" x14ac:dyDescent="0.35">
      <c r="A7" s="8" t="s">
        <v>482</v>
      </c>
      <c r="B7" s="59">
        <v>45735</v>
      </c>
      <c r="C7" s="8" t="s">
        <v>33</v>
      </c>
      <c r="D7" s="60">
        <v>246779412863</v>
      </c>
      <c r="E7" s="59">
        <v>45735</v>
      </c>
      <c r="F7" s="9">
        <v>27207</v>
      </c>
      <c r="G7" s="59">
        <v>45863</v>
      </c>
      <c r="H7" s="8" t="s">
        <v>124</v>
      </c>
      <c r="I7" s="8" t="s">
        <v>483</v>
      </c>
      <c r="J7" s="9">
        <v>27207</v>
      </c>
      <c r="K7" s="9">
        <v>27207</v>
      </c>
      <c r="L7" s="9">
        <f t="shared" si="1"/>
        <v>0</v>
      </c>
      <c r="M7" s="61">
        <v>128</v>
      </c>
      <c r="N7" s="8" t="s">
        <v>492</v>
      </c>
      <c r="O7" s="8" t="s">
        <v>493</v>
      </c>
    </row>
    <row r="8" spans="1:15" x14ac:dyDescent="0.35">
      <c r="A8" s="8" t="s">
        <v>482</v>
      </c>
      <c r="B8" s="59">
        <v>45735</v>
      </c>
      <c r="C8" s="8" t="s">
        <v>38</v>
      </c>
      <c r="D8" s="60">
        <v>246779412934</v>
      </c>
      <c r="E8" s="59">
        <v>45735</v>
      </c>
      <c r="F8" s="9">
        <v>28115</v>
      </c>
      <c r="G8" s="59">
        <v>45863</v>
      </c>
      <c r="H8" s="8" t="s">
        <v>124</v>
      </c>
      <c r="I8" s="8" t="s">
        <v>483</v>
      </c>
      <c r="J8" s="9">
        <v>28115</v>
      </c>
      <c r="K8" s="9">
        <v>28115</v>
      </c>
      <c r="L8" s="9">
        <f t="shared" si="1"/>
        <v>0</v>
      </c>
      <c r="M8" s="61">
        <v>128</v>
      </c>
      <c r="N8" s="8" t="s">
        <v>494</v>
      </c>
      <c r="O8" s="8" t="s">
        <v>493</v>
      </c>
    </row>
    <row r="9" spans="1:15" x14ac:dyDescent="0.35">
      <c r="A9" s="8" t="s">
        <v>482</v>
      </c>
      <c r="B9" s="59">
        <v>45735</v>
      </c>
      <c r="C9" s="8" t="s">
        <v>42</v>
      </c>
      <c r="D9" s="60">
        <v>246779413379</v>
      </c>
      <c r="E9" s="59">
        <v>45735</v>
      </c>
      <c r="F9" s="9">
        <v>331</v>
      </c>
      <c r="G9" s="59">
        <v>45863</v>
      </c>
      <c r="H9" s="8" t="s">
        <v>124</v>
      </c>
      <c r="I9" s="8" t="s">
        <v>483</v>
      </c>
      <c r="J9" s="9">
        <v>331</v>
      </c>
      <c r="K9" s="9">
        <v>331</v>
      </c>
      <c r="L9" s="9">
        <f t="shared" si="1"/>
        <v>0</v>
      </c>
      <c r="M9" s="61">
        <v>128</v>
      </c>
      <c r="N9" s="8" t="s">
        <v>495</v>
      </c>
      <c r="O9" s="8" t="s">
        <v>496</v>
      </c>
    </row>
    <row r="10" spans="1:15" x14ac:dyDescent="0.35">
      <c r="A10" s="8" t="s">
        <v>482</v>
      </c>
      <c r="B10" s="59">
        <v>45735</v>
      </c>
      <c r="C10" s="8" t="s">
        <v>21</v>
      </c>
      <c r="D10" s="60">
        <v>246779412712</v>
      </c>
      <c r="E10" s="59">
        <v>45735</v>
      </c>
      <c r="F10" s="9">
        <v>21634</v>
      </c>
      <c r="G10" s="59">
        <v>45863</v>
      </c>
      <c r="H10" s="8" t="s">
        <v>124</v>
      </c>
      <c r="I10" s="8" t="s">
        <v>483</v>
      </c>
      <c r="J10" s="9">
        <v>21634</v>
      </c>
      <c r="K10" s="9">
        <v>21634</v>
      </c>
      <c r="L10" s="9">
        <f t="shared" si="1"/>
        <v>0</v>
      </c>
      <c r="M10" s="61">
        <v>128</v>
      </c>
      <c r="N10" s="8" t="s">
        <v>497</v>
      </c>
      <c r="O10" s="8" t="s">
        <v>498</v>
      </c>
    </row>
    <row r="11" spans="1:15" x14ac:dyDescent="0.35">
      <c r="A11" s="8" t="s">
        <v>482</v>
      </c>
      <c r="B11" s="59">
        <v>45736</v>
      </c>
      <c r="C11" s="8" t="s">
        <v>45</v>
      </c>
      <c r="D11" s="60">
        <v>246779414768</v>
      </c>
      <c r="E11" s="59">
        <v>45736</v>
      </c>
      <c r="F11" s="9">
        <v>5829</v>
      </c>
      <c r="G11" s="59">
        <v>45863</v>
      </c>
      <c r="H11" s="8" t="s">
        <v>124</v>
      </c>
      <c r="I11" s="8" t="s">
        <v>483</v>
      </c>
      <c r="J11" s="9">
        <v>5829</v>
      </c>
      <c r="K11" s="9">
        <v>5829</v>
      </c>
      <c r="L11" s="9">
        <f t="shared" si="1"/>
        <v>0</v>
      </c>
      <c r="M11" s="61">
        <v>127</v>
      </c>
      <c r="N11" s="8" t="s">
        <v>499</v>
      </c>
      <c r="O11" s="8" t="s">
        <v>500</v>
      </c>
    </row>
    <row r="12" spans="1:15" x14ac:dyDescent="0.35">
      <c r="A12" s="8" t="s">
        <v>482</v>
      </c>
      <c r="B12" s="59">
        <v>45736</v>
      </c>
      <c r="C12" s="8" t="s">
        <v>50</v>
      </c>
      <c r="D12" s="60">
        <v>246779413500</v>
      </c>
      <c r="E12" s="59">
        <v>45736</v>
      </c>
      <c r="F12" s="9">
        <v>1146</v>
      </c>
      <c r="G12" s="59">
        <v>45863</v>
      </c>
      <c r="H12" s="8" t="s">
        <v>124</v>
      </c>
      <c r="I12" s="8" t="s">
        <v>483</v>
      </c>
      <c r="J12" s="9">
        <v>1146</v>
      </c>
      <c r="K12" s="9">
        <v>1146</v>
      </c>
      <c r="L12" s="9">
        <f t="shared" si="1"/>
        <v>0</v>
      </c>
      <c r="M12" s="61">
        <v>127</v>
      </c>
      <c r="N12" s="8" t="s">
        <v>501</v>
      </c>
      <c r="O12" s="8" t="s">
        <v>487</v>
      </c>
    </row>
    <row r="13" spans="1:15" x14ac:dyDescent="0.35">
      <c r="A13" s="8" t="s">
        <v>482</v>
      </c>
      <c r="B13" s="59">
        <v>45736</v>
      </c>
      <c r="C13" s="8" t="s">
        <v>54</v>
      </c>
      <c r="D13" s="60">
        <v>246779414508</v>
      </c>
      <c r="E13" s="59">
        <v>45736</v>
      </c>
      <c r="F13" s="9">
        <v>348</v>
      </c>
      <c r="G13" s="59">
        <v>45863</v>
      </c>
      <c r="H13" s="8" t="s">
        <v>124</v>
      </c>
      <c r="I13" s="8" t="s">
        <v>483</v>
      </c>
      <c r="J13" s="9">
        <v>348</v>
      </c>
      <c r="K13" s="9">
        <v>348</v>
      </c>
      <c r="L13" s="9">
        <f t="shared" si="1"/>
        <v>0</v>
      </c>
      <c r="M13" s="61">
        <v>127</v>
      </c>
      <c r="N13" s="8" t="s">
        <v>502</v>
      </c>
      <c r="O13" s="8" t="s">
        <v>503</v>
      </c>
    </row>
    <row r="14" spans="1:15" x14ac:dyDescent="0.35">
      <c r="A14" s="8" t="s">
        <v>482</v>
      </c>
      <c r="B14" s="59">
        <v>45736</v>
      </c>
      <c r="C14" s="8" t="s">
        <v>58</v>
      </c>
      <c r="D14" s="60">
        <v>246779414509</v>
      </c>
      <c r="E14" s="59">
        <v>45736</v>
      </c>
      <c r="F14" s="9">
        <v>2787</v>
      </c>
      <c r="G14" s="59">
        <v>45863</v>
      </c>
      <c r="H14" s="8" t="s">
        <v>124</v>
      </c>
      <c r="I14" s="8" t="s">
        <v>483</v>
      </c>
      <c r="J14" s="9">
        <v>2787</v>
      </c>
      <c r="K14" s="9">
        <v>2787</v>
      </c>
      <c r="L14" s="9">
        <f t="shared" si="1"/>
        <v>0</v>
      </c>
      <c r="M14" s="61">
        <v>127</v>
      </c>
      <c r="N14" s="8" t="s">
        <v>504</v>
      </c>
      <c r="O14" s="8" t="s">
        <v>503</v>
      </c>
    </row>
    <row r="15" spans="1:15" x14ac:dyDescent="0.35">
      <c r="A15" s="8" t="s">
        <v>482</v>
      </c>
      <c r="B15" s="59">
        <v>45750</v>
      </c>
      <c r="C15" s="8" t="s">
        <v>62</v>
      </c>
      <c r="D15" s="60">
        <v>256779410187</v>
      </c>
      <c r="E15" s="59">
        <v>45750</v>
      </c>
      <c r="F15" s="9">
        <v>2028</v>
      </c>
      <c r="G15" s="59">
        <v>45863</v>
      </c>
      <c r="H15" s="8" t="s">
        <v>124</v>
      </c>
      <c r="I15" s="8" t="s">
        <v>483</v>
      </c>
      <c r="J15" s="9">
        <v>2028</v>
      </c>
      <c r="K15" s="9">
        <v>2028</v>
      </c>
      <c r="L15" s="9">
        <f t="shared" si="1"/>
        <v>0</v>
      </c>
      <c r="M15" s="61">
        <v>113</v>
      </c>
      <c r="N15" s="8" t="s">
        <v>505</v>
      </c>
      <c r="O15" s="8" t="s">
        <v>506</v>
      </c>
    </row>
    <row r="16" spans="1:15" x14ac:dyDescent="0.35">
      <c r="A16" s="8" t="s">
        <v>482</v>
      </c>
      <c r="B16" s="59">
        <v>45769</v>
      </c>
      <c r="C16" s="8" t="s">
        <v>69</v>
      </c>
      <c r="D16" s="60">
        <v>256779412638</v>
      </c>
      <c r="E16" s="59">
        <v>45769</v>
      </c>
      <c r="F16" s="9">
        <v>332</v>
      </c>
      <c r="G16" s="59">
        <v>45863</v>
      </c>
      <c r="H16" s="8" t="s">
        <v>124</v>
      </c>
      <c r="I16" s="8" t="s">
        <v>483</v>
      </c>
      <c r="J16" s="9">
        <v>332</v>
      </c>
      <c r="K16" s="9">
        <v>332</v>
      </c>
      <c r="L16" s="9">
        <f t="shared" si="1"/>
        <v>0</v>
      </c>
      <c r="M16" s="61">
        <v>94</v>
      </c>
      <c r="N16" s="8" t="s">
        <v>495</v>
      </c>
      <c r="O16" s="8" t="s">
        <v>507</v>
      </c>
    </row>
    <row r="17" spans="1:15" x14ac:dyDescent="0.35">
      <c r="A17" s="8" t="s">
        <v>482</v>
      </c>
      <c r="B17" s="59">
        <v>45770</v>
      </c>
      <c r="C17" s="8" t="s">
        <v>73</v>
      </c>
      <c r="D17" s="60">
        <v>256779412910</v>
      </c>
      <c r="E17" s="59">
        <v>45770</v>
      </c>
      <c r="F17" s="9">
        <v>5891.35</v>
      </c>
      <c r="G17" s="59">
        <v>45863</v>
      </c>
      <c r="H17" s="8" t="s">
        <v>124</v>
      </c>
      <c r="I17" s="8" t="s">
        <v>483</v>
      </c>
      <c r="J17" s="9">
        <v>5891</v>
      </c>
      <c r="K17" s="9">
        <v>5891</v>
      </c>
      <c r="L17" s="9">
        <f t="shared" si="1"/>
        <v>0</v>
      </c>
      <c r="M17" s="61">
        <v>325</v>
      </c>
      <c r="N17" s="8" t="s">
        <v>508</v>
      </c>
      <c r="O17" s="8" t="s">
        <v>509</v>
      </c>
    </row>
    <row r="18" spans="1:15" x14ac:dyDescent="0.35">
      <c r="A18" s="8" t="s">
        <v>482</v>
      </c>
      <c r="B18" s="59">
        <v>45770</v>
      </c>
      <c r="C18" s="8" t="s">
        <v>76</v>
      </c>
      <c r="D18" s="60">
        <v>256779412880</v>
      </c>
      <c r="E18" s="59">
        <v>45770</v>
      </c>
      <c r="F18" s="9">
        <v>3326</v>
      </c>
      <c r="G18" s="59">
        <v>45863</v>
      </c>
      <c r="H18" s="8" t="s">
        <v>124</v>
      </c>
      <c r="I18" s="8" t="s">
        <v>483</v>
      </c>
      <c r="J18" s="9">
        <v>3326</v>
      </c>
      <c r="K18" s="9">
        <v>3326</v>
      </c>
      <c r="L18" s="9">
        <f t="shared" si="1"/>
        <v>0</v>
      </c>
      <c r="M18" s="61">
        <v>93</v>
      </c>
      <c r="N18" s="8" t="s">
        <v>510</v>
      </c>
      <c r="O18" s="8" t="s">
        <v>511</v>
      </c>
    </row>
    <row r="19" spans="1:15" x14ac:dyDescent="0.35">
      <c r="A19" s="8" t="s">
        <v>482</v>
      </c>
      <c r="B19" s="59">
        <v>45797</v>
      </c>
      <c r="C19" s="8" t="s">
        <v>88</v>
      </c>
      <c r="D19" s="60">
        <v>256779413473</v>
      </c>
      <c r="E19" s="59">
        <v>45797</v>
      </c>
      <c r="F19" s="9">
        <v>3033</v>
      </c>
      <c r="G19" s="59">
        <v>45863</v>
      </c>
      <c r="H19" s="8" t="s">
        <v>124</v>
      </c>
      <c r="I19" s="8" t="s">
        <v>483</v>
      </c>
      <c r="J19" s="9">
        <v>3033</v>
      </c>
      <c r="K19" s="9">
        <v>3033</v>
      </c>
      <c r="L19" s="9">
        <f t="shared" si="1"/>
        <v>0</v>
      </c>
      <c r="M19" s="61">
        <v>66</v>
      </c>
      <c r="N19" s="8" t="s">
        <v>512</v>
      </c>
      <c r="O19" s="8" t="s">
        <v>513</v>
      </c>
    </row>
    <row r="20" spans="1:15" x14ac:dyDescent="0.35">
      <c r="A20" s="8" t="s">
        <v>482</v>
      </c>
      <c r="B20" s="59">
        <v>45797</v>
      </c>
      <c r="C20" s="8" t="s">
        <v>80</v>
      </c>
      <c r="D20" s="60">
        <v>256779413875</v>
      </c>
      <c r="E20" s="59">
        <v>45797</v>
      </c>
      <c r="F20" s="9">
        <v>14830</v>
      </c>
      <c r="G20" s="59">
        <v>45863</v>
      </c>
      <c r="H20" s="8" t="s">
        <v>124</v>
      </c>
      <c r="I20" s="8" t="s">
        <v>483</v>
      </c>
      <c r="J20" s="9">
        <v>14830</v>
      </c>
      <c r="K20" s="9">
        <v>14830</v>
      </c>
      <c r="L20" s="9">
        <f t="shared" si="1"/>
        <v>0</v>
      </c>
      <c r="M20" s="61">
        <v>66</v>
      </c>
      <c r="N20" s="8" t="s">
        <v>514</v>
      </c>
      <c r="O20" s="8" t="s">
        <v>515</v>
      </c>
    </row>
    <row r="21" spans="1:15" x14ac:dyDescent="0.35">
      <c r="A21" s="8" t="s">
        <v>482</v>
      </c>
      <c r="B21" s="59">
        <v>45842</v>
      </c>
      <c r="C21" s="8" t="s">
        <v>93</v>
      </c>
      <c r="D21" s="60">
        <v>256779415007</v>
      </c>
      <c r="E21" s="59">
        <v>45842</v>
      </c>
      <c r="F21" s="9">
        <v>931</v>
      </c>
      <c r="G21" s="59">
        <v>45904</v>
      </c>
      <c r="H21" s="8" t="s">
        <v>157</v>
      </c>
      <c r="I21" s="8" t="s">
        <v>516</v>
      </c>
      <c r="J21" s="9">
        <v>931</v>
      </c>
      <c r="K21" s="9">
        <v>931</v>
      </c>
      <c r="L21" s="9">
        <f t="shared" si="1"/>
        <v>0</v>
      </c>
      <c r="M21" s="61">
        <v>62</v>
      </c>
      <c r="N21" s="8" t="s">
        <v>517</v>
      </c>
      <c r="O21" s="8" t="s">
        <v>518</v>
      </c>
    </row>
    <row r="22" spans="1:15" x14ac:dyDescent="0.35">
      <c r="A22" s="8" t="s">
        <v>482</v>
      </c>
      <c r="B22" s="59">
        <v>45842</v>
      </c>
      <c r="C22" s="8" t="s">
        <v>97</v>
      </c>
      <c r="D22" s="60">
        <v>256779415044</v>
      </c>
      <c r="E22" s="59">
        <v>45842</v>
      </c>
      <c r="F22" s="9">
        <v>642</v>
      </c>
      <c r="G22" s="59">
        <v>45904</v>
      </c>
      <c r="H22" s="8" t="s">
        <v>157</v>
      </c>
      <c r="I22" s="8" t="s">
        <v>516</v>
      </c>
      <c r="J22" s="9">
        <v>642</v>
      </c>
      <c r="K22" s="9">
        <v>642</v>
      </c>
      <c r="L22" s="9">
        <f t="shared" si="1"/>
        <v>0</v>
      </c>
      <c r="M22" s="61">
        <v>62</v>
      </c>
      <c r="N22" s="8" t="s">
        <v>519</v>
      </c>
      <c r="O22" s="8" t="s">
        <v>520</v>
      </c>
    </row>
    <row r="23" spans="1:15" x14ac:dyDescent="0.35">
      <c r="A23" s="8" t="s">
        <v>482</v>
      </c>
      <c r="B23" s="59">
        <v>45856</v>
      </c>
      <c r="C23" s="8" t="s">
        <v>102</v>
      </c>
      <c r="D23" s="60">
        <v>256779415466</v>
      </c>
      <c r="E23" s="59">
        <v>45856</v>
      </c>
      <c r="F23" s="9">
        <v>62952</v>
      </c>
      <c r="G23" s="59">
        <v>45904</v>
      </c>
      <c r="H23" s="8" t="s">
        <v>157</v>
      </c>
      <c r="I23" s="8" t="s">
        <v>516</v>
      </c>
      <c r="J23" s="9">
        <v>62952</v>
      </c>
      <c r="K23" s="9">
        <v>62952</v>
      </c>
      <c r="L23" s="9">
        <f t="shared" si="1"/>
        <v>0</v>
      </c>
      <c r="M23" s="61">
        <v>48</v>
      </c>
      <c r="N23" s="8" t="s">
        <v>521</v>
      </c>
      <c r="O23" s="8" t="s">
        <v>522</v>
      </c>
    </row>
    <row r="24" spans="1:15" x14ac:dyDescent="0.35">
      <c r="A24" s="8" t="s">
        <v>482</v>
      </c>
      <c r="B24" s="59">
        <v>45856</v>
      </c>
      <c r="C24" s="8" t="s">
        <v>107</v>
      </c>
      <c r="D24" s="60">
        <v>256779415504</v>
      </c>
      <c r="E24" s="59">
        <v>45856</v>
      </c>
      <c r="F24" s="9">
        <v>2217</v>
      </c>
      <c r="G24" s="59">
        <v>45899</v>
      </c>
      <c r="H24" s="8" t="s">
        <v>523</v>
      </c>
      <c r="I24" s="8" t="s">
        <v>524</v>
      </c>
      <c r="J24" s="9">
        <v>38</v>
      </c>
      <c r="K24" s="9">
        <v>2217</v>
      </c>
      <c r="L24" s="9">
        <f t="shared" si="1"/>
        <v>-2179</v>
      </c>
      <c r="M24" s="61">
        <v>48</v>
      </c>
      <c r="N24" s="8" t="s">
        <v>525</v>
      </c>
      <c r="O24" s="8" t="s">
        <v>526</v>
      </c>
    </row>
    <row r="25" spans="1:15" x14ac:dyDescent="0.35">
      <c r="A25" s="8" t="s">
        <v>482</v>
      </c>
      <c r="B25" s="59">
        <v>45857</v>
      </c>
      <c r="C25" s="8" t="s">
        <v>113</v>
      </c>
      <c r="D25" s="60">
        <v>256779415604</v>
      </c>
      <c r="E25" s="59">
        <v>45857</v>
      </c>
      <c r="F25" s="9">
        <v>35213</v>
      </c>
      <c r="G25" s="59">
        <v>45904</v>
      </c>
      <c r="H25" s="8" t="s">
        <v>157</v>
      </c>
      <c r="I25" s="8" t="s">
        <v>516</v>
      </c>
      <c r="J25" s="9">
        <v>35213</v>
      </c>
      <c r="K25" s="9">
        <v>35213</v>
      </c>
      <c r="L25" s="9">
        <f t="shared" si="1"/>
        <v>0</v>
      </c>
      <c r="M25" s="61">
        <v>47</v>
      </c>
      <c r="N25" s="8" t="s">
        <v>527</v>
      </c>
      <c r="O25" s="8" t="s">
        <v>522</v>
      </c>
    </row>
    <row r="26" spans="1:15" x14ac:dyDescent="0.35">
      <c r="A26" s="8" t="s">
        <v>482</v>
      </c>
      <c r="B26" s="59">
        <v>45857</v>
      </c>
      <c r="C26" s="8" t="s">
        <v>119</v>
      </c>
      <c r="D26" s="60">
        <v>256779415733</v>
      </c>
      <c r="E26" s="59">
        <v>45857</v>
      </c>
      <c r="F26" s="9">
        <v>473</v>
      </c>
      <c r="G26" s="59">
        <v>45899</v>
      </c>
      <c r="H26" s="8" t="s">
        <v>523</v>
      </c>
      <c r="I26" s="8" t="s">
        <v>524</v>
      </c>
      <c r="J26" s="9">
        <v>8</v>
      </c>
      <c r="K26" s="9">
        <v>473</v>
      </c>
      <c r="L26" s="9">
        <f t="shared" si="1"/>
        <v>-465</v>
      </c>
      <c r="M26" s="61">
        <v>47</v>
      </c>
      <c r="N26" s="8" t="s">
        <v>484</v>
      </c>
      <c r="O26" s="8" t="s">
        <v>528</v>
      </c>
    </row>
    <row r="27" spans="1:15" x14ac:dyDescent="0.35">
      <c r="A27" s="8" t="s">
        <v>482</v>
      </c>
      <c r="B27" s="59">
        <v>45889</v>
      </c>
      <c r="C27" s="8" t="s">
        <v>146</v>
      </c>
      <c r="D27" s="60">
        <v>256779416831</v>
      </c>
      <c r="E27" s="59">
        <v>45889</v>
      </c>
      <c r="F27" s="9">
        <v>3753</v>
      </c>
      <c r="G27" s="59">
        <v>46046</v>
      </c>
      <c r="H27" s="8" t="s">
        <v>298</v>
      </c>
      <c r="I27" s="8" t="s">
        <v>529</v>
      </c>
      <c r="J27" s="9">
        <v>3753</v>
      </c>
      <c r="K27" s="9">
        <v>3753</v>
      </c>
      <c r="L27" s="9">
        <f t="shared" si="1"/>
        <v>0</v>
      </c>
      <c r="M27" s="61">
        <v>157</v>
      </c>
      <c r="N27" s="8" t="s">
        <v>530</v>
      </c>
      <c r="O27" s="8" t="s">
        <v>531</v>
      </c>
    </row>
    <row r="28" spans="1:15" x14ac:dyDescent="0.35">
      <c r="A28" s="8" t="s">
        <v>482</v>
      </c>
      <c r="B28" s="59">
        <v>45889</v>
      </c>
      <c r="C28" s="8" t="s">
        <v>151</v>
      </c>
      <c r="D28" s="60">
        <v>256779416861</v>
      </c>
      <c r="E28" s="59">
        <v>45889</v>
      </c>
      <c r="F28" s="9">
        <v>1119</v>
      </c>
      <c r="G28" s="59">
        <v>46046</v>
      </c>
      <c r="H28" s="8" t="s">
        <v>298</v>
      </c>
      <c r="I28" s="8" t="s">
        <v>529</v>
      </c>
      <c r="J28" s="9">
        <v>1119</v>
      </c>
      <c r="K28" s="9">
        <v>1119</v>
      </c>
      <c r="L28" s="9">
        <f t="shared" si="1"/>
        <v>0</v>
      </c>
      <c r="M28" s="61">
        <v>157</v>
      </c>
      <c r="N28" s="8" t="s">
        <v>532</v>
      </c>
      <c r="O28" s="8" t="s">
        <v>533</v>
      </c>
    </row>
    <row r="29" spans="1:15" x14ac:dyDescent="0.35">
      <c r="A29" s="8" t="s">
        <v>482</v>
      </c>
      <c r="B29" s="59">
        <v>45937</v>
      </c>
      <c r="C29" s="8" t="s">
        <v>164</v>
      </c>
      <c r="D29" s="60">
        <v>256779418107</v>
      </c>
      <c r="E29" s="59">
        <v>45937</v>
      </c>
      <c r="F29" s="9">
        <v>11253</v>
      </c>
      <c r="G29" s="59">
        <v>46046</v>
      </c>
      <c r="H29" s="8" t="s">
        <v>298</v>
      </c>
      <c r="I29" s="8" t="s">
        <v>529</v>
      </c>
      <c r="J29" s="9">
        <v>11253</v>
      </c>
      <c r="K29" s="9">
        <v>11253</v>
      </c>
      <c r="L29" s="9">
        <f t="shared" si="1"/>
        <v>0</v>
      </c>
      <c r="M29" s="61">
        <v>109</v>
      </c>
      <c r="N29" s="8" t="s">
        <v>534</v>
      </c>
      <c r="O29" s="8" t="s">
        <v>535</v>
      </c>
    </row>
    <row r="30" spans="1:15" x14ac:dyDescent="0.35">
      <c r="A30" s="8" t="s">
        <v>482</v>
      </c>
      <c r="B30" s="59">
        <v>45950</v>
      </c>
      <c r="C30" s="8" t="s">
        <v>177</v>
      </c>
      <c r="D30" s="60">
        <v>256779418643</v>
      </c>
      <c r="E30" s="59">
        <v>45950</v>
      </c>
      <c r="F30" s="9">
        <v>3376</v>
      </c>
      <c r="G30" s="59">
        <v>46046</v>
      </c>
      <c r="H30" s="8" t="s">
        <v>298</v>
      </c>
      <c r="I30" s="8" t="s">
        <v>529</v>
      </c>
      <c r="J30" s="9">
        <v>3376</v>
      </c>
      <c r="K30" s="9">
        <v>3376</v>
      </c>
      <c r="L30" s="9">
        <f t="shared" si="1"/>
        <v>0</v>
      </c>
      <c r="M30" s="61">
        <v>96</v>
      </c>
      <c r="N30" s="8" t="s">
        <v>536</v>
      </c>
      <c r="O30" s="8" t="s">
        <v>537</v>
      </c>
    </row>
    <row r="31" spans="1:15" x14ac:dyDescent="0.35">
      <c r="A31" s="8" t="s">
        <v>482</v>
      </c>
      <c r="B31" s="59">
        <v>45966</v>
      </c>
      <c r="C31" s="8" t="s">
        <v>182</v>
      </c>
      <c r="D31" s="60">
        <v>256779418846</v>
      </c>
      <c r="E31" s="59">
        <v>45966</v>
      </c>
      <c r="F31" s="9">
        <v>234.21</v>
      </c>
      <c r="G31" s="59">
        <v>46046</v>
      </c>
      <c r="H31" s="8" t="s">
        <v>298</v>
      </c>
      <c r="I31" s="8" t="s">
        <v>529</v>
      </c>
      <c r="J31" s="9">
        <v>234.21</v>
      </c>
      <c r="K31" s="9">
        <v>234.21</v>
      </c>
      <c r="L31" s="9">
        <f t="shared" si="1"/>
        <v>0</v>
      </c>
      <c r="M31" s="61">
        <v>80</v>
      </c>
      <c r="N31" s="8" t="s">
        <v>327</v>
      </c>
      <c r="O31" s="8" t="s">
        <v>538</v>
      </c>
    </row>
    <row r="32" spans="1:15" x14ac:dyDescent="0.35">
      <c r="A32" s="8" t="s">
        <v>482</v>
      </c>
      <c r="B32" s="59">
        <v>45978</v>
      </c>
      <c r="C32" s="8" t="s">
        <v>188</v>
      </c>
      <c r="D32" s="60">
        <v>256779417464</v>
      </c>
      <c r="E32" s="59">
        <v>45917</v>
      </c>
      <c r="F32" s="9">
        <v>230</v>
      </c>
      <c r="G32" s="59">
        <v>46046</v>
      </c>
      <c r="H32" s="8" t="s">
        <v>298</v>
      </c>
      <c r="I32" s="8" t="s">
        <v>529</v>
      </c>
      <c r="J32" s="9">
        <v>230</v>
      </c>
      <c r="K32" s="9">
        <v>230</v>
      </c>
      <c r="L32" s="9">
        <f t="shared" si="1"/>
        <v>0</v>
      </c>
      <c r="M32" s="61">
        <v>68</v>
      </c>
      <c r="N32" s="8" t="s">
        <v>539</v>
      </c>
      <c r="O32" s="8" t="s">
        <v>540</v>
      </c>
    </row>
    <row r="33" spans="1:15" x14ac:dyDescent="0.35">
      <c r="A33" s="8" t="s">
        <v>482</v>
      </c>
      <c r="B33" s="59">
        <v>45979</v>
      </c>
      <c r="C33" s="8" t="s">
        <v>193</v>
      </c>
      <c r="D33" s="60">
        <v>256779419351</v>
      </c>
      <c r="E33" s="59">
        <v>45979</v>
      </c>
      <c r="F33" s="9">
        <v>3247</v>
      </c>
      <c r="G33" s="59">
        <v>46046</v>
      </c>
      <c r="H33" s="8" t="s">
        <v>298</v>
      </c>
      <c r="I33" s="8" t="s">
        <v>529</v>
      </c>
      <c r="J33" s="9">
        <v>3247</v>
      </c>
      <c r="K33" s="9">
        <v>3247</v>
      </c>
      <c r="L33" s="9">
        <f t="shared" si="1"/>
        <v>0</v>
      </c>
      <c r="M33" s="61">
        <v>67</v>
      </c>
      <c r="N33" s="8" t="s">
        <v>541</v>
      </c>
      <c r="O33" s="8" t="s">
        <v>542</v>
      </c>
    </row>
    <row r="34" spans="1:15" x14ac:dyDescent="0.35">
      <c r="A34" s="8" t="s">
        <v>482</v>
      </c>
      <c r="B34" s="59">
        <v>45980</v>
      </c>
      <c r="C34" s="8" t="s">
        <v>196</v>
      </c>
      <c r="D34" s="60">
        <v>256779419490</v>
      </c>
      <c r="E34" s="59">
        <v>45980</v>
      </c>
      <c r="F34" s="9">
        <v>43877</v>
      </c>
      <c r="G34" s="59">
        <v>46046</v>
      </c>
      <c r="H34" s="8" t="s">
        <v>298</v>
      </c>
      <c r="I34" s="8" t="s">
        <v>529</v>
      </c>
      <c r="J34" s="9">
        <v>43877</v>
      </c>
      <c r="K34" s="9">
        <v>43877</v>
      </c>
      <c r="L34" s="9">
        <f t="shared" si="1"/>
        <v>0</v>
      </c>
      <c r="M34" s="61">
        <v>66</v>
      </c>
      <c r="N34" s="8" t="s">
        <v>543</v>
      </c>
      <c r="O34" s="8" t="s">
        <v>544</v>
      </c>
    </row>
    <row r="35" spans="1:15" x14ac:dyDescent="0.35">
      <c r="A35" s="8" t="s">
        <v>482</v>
      </c>
      <c r="B35" s="59">
        <v>45981</v>
      </c>
      <c r="C35" s="8" t="s">
        <v>203</v>
      </c>
      <c r="D35" s="60">
        <v>256779419447</v>
      </c>
      <c r="E35" s="59">
        <v>45981</v>
      </c>
      <c r="F35" s="9">
        <v>3441</v>
      </c>
      <c r="G35" s="59">
        <v>46046</v>
      </c>
      <c r="H35" s="8" t="s">
        <v>298</v>
      </c>
      <c r="I35" s="8" t="s">
        <v>529</v>
      </c>
      <c r="J35" s="9">
        <v>3441</v>
      </c>
      <c r="K35" s="9">
        <v>3441</v>
      </c>
      <c r="L35" s="9">
        <f t="shared" si="1"/>
        <v>0</v>
      </c>
      <c r="M35" s="61">
        <v>65</v>
      </c>
      <c r="N35" s="8" t="s">
        <v>545</v>
      </c>
      <c r="O35" s="8" t="s">
        <v>546</v>
      </c>
    </row>
    <row r="36" spans="1:15" x14ac:dyDescent="0.35">
      <c r="A36" s="8" t="s">
        <v>482</v>
      </c>
      <c r="B36" s="59">
        <v>45981</v>
      </c>
      <c r="C36" s="8" t="s">
        <v>208</v>
      </c>
      <c r="D36" s="60">
        <v>256779419526</v>
      </c>
      <c r="E36" s="59">
        <v>45981</v>
      </c>
      <c r="F36" s="9">
        <v>13003</v>
      </c>
      <c r="G36" s="59">
        <v>46046</v>
      </c>
      <c r="H36" s="8" t="s">
        <v>298</v>
      </c>
      <c r="I36" s="8" t="s">
        <v>529</v>
      </c>
      <c r="J36" s="9">
        <v>13003</v>
      </c>
      <c r="K36" s="9">
        <v>13003</v>
      </c>
      <c r="L36" s="9">
        <f t="shared" si="1"/>
        <v>0</v>
      </c>
      <c r="M36" s="61">
        <v>65</v>
      </c>
      <c r="N36" s="8" t="s">
        <v>547</v>
      </c>
      <c r="O36" s="8" t="s">
        <v>542</v>
      </c>
    </row>
    <row r="37" spans="1:15" x14ac:dyDescent="0.35">
      <c r="A37" s="8" t="s">
        <v>482</v>
      </c>
      <c r="B37" s="59">
        <v>45981</v>
      </c>
      <c r="C37" s="8" t="s">
        <v>212</v>
      </c>
      <c r="D37" s="60">
        <v>256779419571</v>
      </c>
      <c r="E37" s="59">
        <v>45981</v>
      </c>
      <c r="F37" s="9">
        <v>3637</v>
      </c>
      <c r="G37" s="59">
        <v>46046</v>
      </c>
      <c r="H37" s="8" t="s">
        <v>298</v>
      </c>
      <c r="I37" s="8" t="s">
        <v>529</v>
      </c>
      <c r="J37" s="9">
        <v>3637</v>
      </c>
      <c r="K37" s="9">
        <v>3637</v>
      </c>
      <c r="L37" s="9">
        <f t="shared" si="1"/>
        <v>0</v>
      </c>
      <c r="M37" s="61">
        <v>65</v>
      </c>
      <c r="N37" s="8" t="s">
        <v>548</v>
      </c>
      <c r="O37" s="8" t="s">
        <v>549</v>
      </c>
    </row>
    <row r="38" spans="1:15" x14ac:dyDescent="0.35">
      <c r="A38" s="8" t="s">
        <v>482</v>
      </c>
      <c r="B38" s="59">
        <v>45981</v>
      </c>
      <c r="C38" s="8" t="s">
        <v>216</v>
      </c>
      <c r="D38" s="60">
        <v>256779419609</v>
      </c>
      <c r="E38" s="59">
        <v>45981</v>
      </c>
      <c r="F38" s="9">
        <v>856</v>
      </c>
      <c r="G38" s="59">
        <v>46046</v>
      </c>
      <c r="H38" s="8" t="s">
        <v>298</v>
      </c>
      <c r="I38" s="8" t="s">
        <v>529</v>
      </c>
      <c r="J38" s="9">
        <v>856</v>
      </c>
      <c r="K38" s="9">
        <v>856</v>
      </c>
      <c r="L38" s="9">
        <f t="shared" si="1"/>
        <v>0</v>
      </c>
      <c r="M38" s="61">
        <v>65</v>
      </c>
      <c r="N38" s="8" t="s">
        <v>550</v>
      </c>
      <c r="O38" s="8" t="s">
        <v>551</v>
      </c>
    </row>
    <row r="39" spans="1:15" x14ac:dyDescent="0.35">
      <c r="A39" s="62" t="s">
        <v>327</v>
      </c>
      <c r="B39" s="63" t="s">
        <v>552</v>
      </c>
      <c r="C39" s="62" t="s">
        <v>327</v>
      </c>
      <c r="D39" s="62" t="s">
        <v>327</v>
      </c>
      <c r="E39" s="62" t="s">
        <v>327</v>
      </c>
      <c r="F39" s="64">
        <f>SUM(F3:F38)</f>
        <v>357042.56</v>
      </c>
      <c r="G39" s="62" t="s">
        <v>327</v>
      </c>
      <c r="H39" s="62" t="s">
        <v>327</v>
      </c>
      <c r="I39" s="62" t="s">
        <v>327</v>
      </c>
      <c r="J39" s="64">
        <f>SUM(J3:J38)</f>
        <v>354398.21</v>
      </c>
      <c r="K39" s="64">
        <f>SUM(K3:K38)</f>
        <v>357042.21</v>
      </c>
      <c r="L39" s="64">
        <f>SUM(L3:L38)</f>
        <v>-2644</v>
      </c>
      <c r="M39" s="65" t="s">
        <v>327</v>
      </c>
      <c r="N39" s="62" t="s">
        <v>327</v>
      </c>
      <c r="O39" s="62" t="s">
        <v>327</v>
      </c>
    </row>
  </sheetData>
  <autoFilter ref="A2:O39" xr:uid="{B06676A4-8428-49D9-94D5-5A5C913B8EF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40F6-2C5F-4C48-B8F6-2B6AC9D1BCC4}">
  <dimension ref="A1:AH121"/>
  <sheetViews>
    <sheetView tabSelected="1" topLeftCell="G1" workbookViewId="0">
      <selection activeCell="L1" sqref="L1"/>
    </sheetView>
  </sheetViews>
  <sheetFormatPr defaultRowHeight="14.5" x14ac:dyDescent="0.35"/>
  <cols>
    <col min="1" max="1" width="15.81640625" hidden="1" customWidth="1"/>
    <col min="2" max="2" width="11.1796875" hidden="1" customWidth="1"/>
    <col min="3" max="3" width="32.08984375" hidden="1" customWidth="1"/>
    <col min="4" max="4" width="11.7265625" hidden="1" customWidth="1"/>
    <col min="5" max="5" width="15" hidden="1" customWidth="1"/>
    <col min="6" max="6" width="13.453125" hidden="1" customWidth="1"/>
    <col min="7" max="7" width="11.7265625" bestFit="1" customWidth="1"/>
    <col min="8" max="8" width="7.453125" bestFit="1" customWidth="1"/>
    <col min="9" max="9" width="16.1796875" bestFit="1" customWidth="1"/>
    <col min="10" max="10" width="11.81640625" hidden="1" customWidth="1"/>
    <col min="11" max="11" width="23.90625" hidden="1" customWidth="1"/>
    <col min="12" max="12" width="16.08984375" style="31" bestFit="1" customWidth="1"/>
    <col min="13" max="13" width="13.1796875" hidden="1" customWidth="1"/>
    <col min="14" max="14" width="22.81640625" hidden="1" customWidth="1"/>
    <col min="15" max="15" width="16" hidden="1" customWidth="1"/>
    <col min="16" max="16" width="12.453125" hidden="1" customWidth="1"/>
    <col min="17" max="17" width="9.6328125" bestFit="1" customWidth="1"/>
    <col min="18" max="18" width="15.7265625" bestFit="1" customWidth="1"/>
    <col min="19" max="19" width="9.6328125" bestFit="1" customWidth="1"/>
    <col min="20" max="20" width="15.81640625" bestFit="1" customWidth="1"/>
    <col min="21" max="21" width="17.26953125" hidden="1" customWidth="1"/>
    <col min="22" max="22" width="12.1796875" bestFit="1" customWidth="1"/>
    <col min="23" max="23" width="8.81640625" bestFit="1" customWidth="1"/>
    <col min="24" max="24" width="17.26953125" hidden="1" customWidth="1"/>
    <col min="25" max="25" width="12.7265625" hidden="1" customWidth="1"/>
    <col min="26" max="26" width="6.90625" hidden="1" customWidth="1"/>
    <col min="27" max="27" width="6.90625" customWidth="1"/>
    <col min="28" max="28" width="44.6328125" bestFit="1" customWidth="1"/>
    <col min="29" max="31" width="16.36328125" hidden="1" customWidth="1"/>
    <col min="32" max="32" width="21.26953125" hidden="1" customWidth="1"/>
    <col min="33" max="33" width="14.1796875" hidden="1" customWidth="1"/>
    <col min="34" max="34" width="19" bestFit="1" customWidth="1"/>
  </cols>
  <sheetData>
    <row r="1" spans="1:34" s="44" customFormat="1" ht="58" x14ac:dyDescent="0.35">
      <c r="A1" s="20" t="s">
        <v>328</v>
      </c>
      <c r="B1" s="20" t="s">
        <v>329</v>
      </c>
      <c r="C1" s="20" t="s">
        <v>330</v>
      </c>
      <c r="D1" s="20" t="s">
        <v>331</v>
      </c>
      <c r="E1" s="20" t="s">
        <v>332</v>
      </c>
      <c r="F1" s="20" t="s">
        <v>333</v>
      </c>
      <c r="G1" s="66" t="s">
        <v>334</v>
      </c>
      <c r="H1" s="66" t="s">
        <v>335</v>
      </c>
      <c r="I1" s="66" t="s">
        <v>336</v>
      </c>
      <c r="J1" s="20" t="s">
        <v>337</v>
      </c>
      <c r="K1" s="66" t="s">
        <v>338</v>
      </c>
      <c r="L1" s="67" t="s">
        <v>339</v>
      </c>
      <c r="M1" s="20" t="s">
        <v>340</v>
      </c>
      <c r="N1" s="20" t="s">
        <v>341</v>
      </c>
      <c r="O1" s="20" t="s">
        <v>342</v>
      </c>
      <c r="P1" s="20" t="s">
        <v>343</v>
      </c>
      <c r="Q1" s="66" t="s">
        <v>344</v>
      </c>
      <c r="R1" s="66" t="s">
        <v>345</v>
      </c>
      <c r="S1" s="66" t="s">
        <v>346</v>
      </c>
      <c r="T1" s="66" t="s">
        <v>347</v>
      </c>
      <c r="U1" s="20"/>
      <c r="V1" s="66" t="s">
        <v>554</v>
      </c>
      <c r="W1" s="66" t="s">
        <v>466</v>
      </c>
      <c r="X1" s="66"/>
      <c r="Y1" s="66" t="s">
        <v>348</v>
      </c>
      <c r="Z1" s="20" t="s">
        <v>349</v>
      </c>
      <c r="AA1" s="20"/>
      <c r="AB1" s="66" t="s">
        <v>350</v>
      </c>
      <c r="AC1" s="20" t="s">
        <v>351</v>
      </c>
      <c r="AD1" s="20" t="s">
        <v>352</v>
      </c>
      <c r="AE1" s="20" t="s">
        <v>353</v>
      </c>
      <c r="AF1" s="20" t="s">
        <v>354</v>
      </c>
      <c r="AG1" s="20" t="s">
        <v>355</v>
      </c>
      <c r="AH1" s="66" t="s">
        <v>356</v>
      </c>
    </row>
    <row r="2" spans="1:34" x14ac:dyDescent="0.35">
      <c r="A2" s="32">
        <v>6779</v>
      </c>
      <c r="B2" s="32">
        <v>100222335</v>
      </c>
      <c r="C2" s="33" t="s">
        <v>357</v>
      </c>
      <c r="D2" s="32">
        <v>2025</v>
      </c>
      <c r="E2" s="32">
        <v>9</v>
      </c>
      <c r="F2" s="34">
        <v>45909</v>
      </c>
      <c r="G2" s="32">
        <v>1400001167</v>
      </c>
      <c r="H2" s="33" t="s">
        <v>361</v>
      </c>
      <c r="I2" s="34">
        <v>45909</v>
      </c>
      <c r="J2" s="34">
        <v>45909</v>
      </c>
      <c r="K2" s="33" t="s">
        <v>362</v>
      </c>
      <c r="L2" s="35" t="s">
        <v>327</v>
      </c>
      <c r="M2" s="32">
        <v>212100</v>
      </c>
      <c r="N2" s="33" t="s">
        <v>359</v>
      </c>
      <c r="O2" s="33" t="s">
        <v>327</v>
      </c>
      <c r="P2" s="32">
        <v>15</v>
      </c>
      <c r="Q2" s="33" t="s">
        <v>360</v>
      </c>
      <c r="R2" s="36">
        <v>-2040.8</v>
      </c>
      <c r="S2" s="33" t="s">
        <v>360</v>
      </c>
      <c r="T2" s="36">
        <v>-2062.65</v>
      </c>
      <c r="U2" s="33"/>
      <c r="V2" s="136" t="e" cm="1">
        <f t="array" ref="V2">_xlfn.XLOOKUP(L2,'Customer Data'!$H:$H,'Customer Data'!$E:$F,,0)</f>
        <v>#N/A</v>
      </c>
      <c r="W2" s="136"/>
      <c r="X2" s="33"/>
      <c r="Y2" s="33" t="s">
        <v>327</v>
      </c>
      <c r="Z2" s="32">
        <v>4</v>
      </c>
      <c r="AA2" s="76">
        <f>W2/T2</f>
        <v>0</v>
      </c>
      <c r="AB2" s="33" t="s">
        <v>362</v>
      </c>
      <c r="AC2" s="33" t="s">
        <v>327</v>
      </c>
      <c r="AD2" s="33" t="s">
        <v>327</v>
      </c>
      <c r="AE2" s="33" t="s">
        <v>327</v>
      </c>
      <c r="AF2" s="34">
        <v>45909</v>
      </c>
      <c r="AG2" s="34">
        <v>45909</v>
      </c>
      <c r="AH2" s="32">
        <v>1400001167</v>
      </c>
    </row>
    <row r="3" spans="1:34" x14ac:dyDescent="0.35">
      <c r="A3" s="32">
        <v>6779</v>
      </c>
      <c r="B3" s="32">
        <v>100222335</v>
      </c>
      <c r="C3" s="33" t="s">
        <v>357</v>
      </c>
      <c r="D3" s="32">
        <v>2025</v>
      </c>
      <c r="E3" s="32">
        <v>9</v>
      </c>
      <c r="F3" s="34">
        <v>45909</v>
      </c>
      <c r="G3" s="32">
        <v>1400001167</v>
      </c>
      <c r="H3" s="33" t="s">
        <v>361</v>
      </c>
      <c r="I3" s="34">
        <v>45909</v>
      </c>
      <c r="J3" s="34">
        <v>45909</v>
      </c>
      <c r="K3" s="33" t="s">
        <v>362</v>
      </c>
      <c r="L3" s="35" t="s">
        <v>327</v>
      </c>
      <c r="M3" s="32">
        <v>212100</v>
      </c>
      <c r="N3" s="33" t="s">
        <v>359</v>
      </c>
      <c r="O3" s="33" t="s">
        <v>327</v>
      </c>
      <c r="P3" s="32">
        <v>15</v>
      </c>
      <c r="Q3" s="33" t="s">
        <v>360</v>
      </c>
      <c r="R3" s="36">
        <v>-18175.38</v>
      </c>
      <c r="S3" s="33" t="s">
        <v>360</v>
      </c>
      <c r="T3" s="36">
        <v>-18171.8</v>
      </c>
      <c r="U3" s="33"/>
      <c r="V3" s="136" t="e" cm="1">
        <f t="array" ref="V3">_xlfn.XLOOKUP(L3,'Customer Data'!$H:$H,'Customer Data'!$E:$F,,0)</f>
        <v>#N/A</v>
      </c>
      <c r="W3" s="136"/>
      <c r="X3" s="33"/>
      <c r="Y3" s="33" t="s">
        <v>327</v>
      </c>
      <c r="Z3" s="32">
        <v>5</v>
      </c>
      <c r="AA3" s="76">
        <f t="shared" ref="AA3:AA66" si="0">W3/T3</f>
        <v>0</v>
      </c>
      <c r="AB3" s="33" t="s">
        <v>362</v>
      </c>
      <c r="AC3" s="33" t="s">
        <v>327</v>
      </c>
      <c r="AD3" s="33" t="s">
        <v>327</v>
      </c>
      <c r="AE3" s="33" t="s">
        <v>327</v>
      </c>
      <c r="AF3" s="34">
        <v>45909</v>
      </c>
      <c r="AG3" s="34">
        <v>45909</v>
      </c>
      <c r="AH3" s="32">
        <v>1400001167</v>
      </c>
    </row>
    <row r="4" spans="1:34" x14ac:dyDescent="0.35">
      <c r="A4" s="32">
        <v>6779</v>
      </c>
      <c r="B4" s="32">
        <v>100222335</v>
      </c>
      <c r="C4" s="33" t="s">
        <v>357</v>
      </c>
      <c r="D4" s="32">
        <v>2025</v>
      </c>
      <c r="E4" s="32">
        <v>9</v>
      </c>
      <c r="F4" s="34">
        <v>45909</v>
      </c>
      <c r="G4" s="32">
        <v>1400001167</v>
      </c>
      <c r="H4" s="33" t="s">
        <v>361</v>
      </c>
      <c r="I4" s="34">
        <v>45909</v>
      </c>
      <c r="J4" s="34">
        <v>45909</v>
      </c>
      <c r="K4" s="33" t="s">
        <v>362</v>
      </c>
      <c r="L4" s="35" t="s">
        <v>327</v>
      </c>
      <c r="M4" s="32">
        <v>212100</v>
      </c>
      <c r="N4" s="33" t="s">
        <v>359</v>
      </c>
      <c r="O4" s="33" t="s">
        <v>327</v>
      </c>
      <c r="P4" s="32">
        <v>15</v>
      </c>
      <c r="Q4" s="33" t="s">
        <v>360</v>
      </c>
      <c r="R4" s="36">
        <v>-148020.04999999999</v>
      </c>
      <c r="S4" s="33" t="s">
        <v>360</v>
      </c>
      <c r="T4" s="36">
        <v>-149234.46</v>
      </c>
      <c r="U4" s="33"/>
      <c r="V4" s="136" t="e" cm="1">
        <f t="array" ref="V4">_xlfn.XLOOKUP(L4,'Customer Data'!$H:$H,'Customer Data'!$E:$F,,0)</f>
        <v>#N/A</v>
      </c>
      <c r="W4" s="136"/>
      <c r="X4" s="33"/>
      <c r="Y4" s="33" t="s">
        <v>327</v>
      </c>
      <c r="Z4" s="32">
        <v>3</v>
      </c>
      <c r="AA4" s="76">
        <f t="shared" si="0"/>
        <v>0</v>
      </c>
      <c r="AB4" s="33" t="s">
        <v>362</v>
      </c>
      <c r="AC4" s="33" t="s">
        <v>327</v>
      </c>
      <c r="AD4" s="33" t="s">
        <v>327</v>
      </c>
      <c r="AE4" s="33" t="s">
        <v>327</v>
      </c>
      <c r="AF4" s="34">
        <v>45909</v>
      </c>
      <c r="AG4" s="34">
        <v>45909</v>
      </c>
      <c r="AH4" s="32">
        <v>1400001167</v>
      </c>
    </row>
    <row r="5" spans="1:34" x14ac:dyDescent="0.35">
      <c r="A5" s="32">
        <v>6779</v>
      </c>
      <c r="B5" s="32">
        <v>100222335</v>
      </c>
      <c r="C5" s="33" t="s">
        <v>357</v>
      </c>
      <c r="D5" s="32">
        <v>2025</v>
      </c>
      <c r="E5" s="32">
        <v>10</v>
      </c>
      <c r="F5" s="34">
        <v>45931</v>
      </c>
      <c r="G5" s="32">
        <v>1400001289</v>
      </c>
      <c r="H5" s="33" t="s">
        <v>361</v>
      </c>
      <c r="I5" s="34">
        <v>45890</v>
      </c>
      <c r="J5" s="34">
        <v>45926</v>
      </c>
      <c r="K5" s="33" t="s">
        <v>363</v>
      </c>
      <c r="L5" s="35" t="s">
        <v>327</v>
      </c>
      <c r="M5" s="32">
        <v>212100</v>
      </c>
      <c r="N5" s="33" t="s">
        <v>359</v>
      </c>
      <c r="O5" s="33" t="s">
        <v>327</v>
      </c>
      <c r="P5" s="32">
        <v>5</v>
      </c>
      <c r="Q5" s="33" t="s">
        <v>360</v>
      </c>
      <c r="R5" s="36">
        <v>166588</v>
      </c>
      <c r="S5" s="33" t="s">
        <v>360</v>
      </c>
      <c r="T5" s="36">
        <v>166588</v>
      </c>
      <c r="U5" s="33"/>
      <c r="V5" s="136" t="e" cm="1">
        <f t="array" ref="V5">_xlfn.XLOOKUP(L5,'Customer Data'!$H:$H,'Customer Data'!$E:$F,,0)</f>
        <v>#N/A</v>
      </c>
      <c r="W5" s="136"/>
      <c r="X5" s="33"/>
      <c r="Y5" s="33" t="s">
        <v>327</v>
      </c>
      <c r="Z5" s="32">
        <v>2</v>
      </c>
      <c r="AA5" s="76">
        <f t="shared" si="0"/>
        <v>0</v>
      </c>
      <c r="AB5" s="33" t="s">
        <v>327</v>
      </c>
      <c r="AC5" s="33" t="s">
        <v>327</v>
      </c>
      <c r="AD5" s="33" t="s">
        <v>327</v>
      </c>
      <c r="AE5" s="33" t="s">
        <v>327</v>
      </c>
      <c r="AF5" s="34">
        <v>45890</v>
      </c>
      <c r="AG5" s="34">
        <v>45931</v>
      </c>
      <c r="AH5" s="32">
        <v>1400001289</v>
      </c>
    </row>
    <row r="6" spans="1:34" x14ac:dyDescent="0.35">
      <c r="A6" s="32">
        <v>6779</v>
      </c>
      <c r="B6" s="32">
        <v>100222335</v>
      </c>
      <c r="C6" s="33" t="s">
        <v>357</v>
      </c>
      <c r="D6" s="32">
        <v>2025</v>
      </c>
      <c r="E6" s="32">
        <v>8</v>
      </c>
      <c r="F6" s="34">
        <v>45890</v>
      </c>
      <c r="G6" s="32">
        <v>1400000965</v>
      </c>
      <c r="H6" s="33" t="s">
        <v>361</v>
      </c>
      <c r="I6" s="34">
        <v>45890</v>
      </c>
      <c r="J6" s="34">
        <v>45890</v>
      </c>
      <c r="K6" s="33" t="s">
        <v>363</v>
      </c>
      <c r="L6" s="35" t="s">
        <v>327</v>
      </c>
      <c r="M6" s="32">
        <v>212100</v>
      </c>
      <c r="N6" s="33" t="s">
        <v>359</v>
      </c>
      <c r="O6" s="33" t="s">
        <v>327</v>
      </c>
      <c r="P6" s="32">
        <v>15</v>
      </c>
      <c r="Q6" s="33" t="s">
        <v>360</v>
      </c>
      <c r="R6" s="36">
        <v>-166588</v>
      </c>
      <c r="S6" s="33" t="s">
        <v>360</v>
      </c>
      <c r="T6" s="36">
        <v>-166588</v>
      </c>
      <c r="U6" s="33"/>
      <c r="V6" s="136" t="e" cm="1">
        <f t="array" ref="V6">_xlfn.XLOOKUP(L6,'Customer Data'!$H:$H,'Customer Data'!$E:$F,,0)</f>
        <v>#N/A</v>
      </c>
      <c r="W6" s="136"/>
      <c r="X6" s="33"/>
      <c r="Y6" s="33" t="s">
        <v>327</v>
      </c>
      <c r="Z6" s="32">
        <v>2</v>
      </c>
      <c r="AA6" s="76">
        <f t="shared" si="0"/>
        <v>0</v>
      </c>
      <c r="AB6" s="33" t="s">
        <v>327</v>
      </c>
      <c r="AC6" s="33" t="s">
        <v>327</v>
      </c>
      <c r="AD6" s="33" t="s">
        <v>327</v>
      </c>
      <c r="AE6" s="33" t="s">
        <v>327</v>
      </c>
      <c r="AF6" s="34">
        <v>45890</v>
      </c>
      <c r="AG6" s="34">
        <v>45931</v>
      </c>
      <c r="AH6" s="32">
        <v>1400001289</v>
      </c>
    </row>
    <row r="7" spans="1:34" x14ac:dyDescent="0.35">
      <c r="A7" s="32">
        <v>6779</v>
      </c>
      <c r="B7" s="32">
        <v>100222335</v>
      </c>
      <c r="C7" s="33" t="s">
        <v>357</v>
      </c>
      <c r="D7" s="32">
        <v>2025</v>
      </c>
      <c r="E7" s="32">
        <v>9</v>
      </c>
      <c r="F7" s="34">
        <v>45912</v>
      </c>
      <c r="G7" s="32">
        <v>1400001170</v>
      </c>
      <c r="H7" s="33" t="s">
        <v>361</v>
      </c>
      <c r="I7" s="34">
        <v>45912</v>
      </c>
      <c r="J7" s="34">
        <v>45912</v>
      </c>
      <c r="K7" s="33" t="s">
        <v>364</v>
      </c>
      <c r="L7" s="35" t="s">
        <v>327</v>
      </c>
      <c r="M7" s="32">
        <v>212100</v>
      </c>
      <c r="N7" s="33" t="s">
        <v>359</v>
      </c>
      <c r="O7" s="33" t="s">
        <v>327</v>
      </c>
      <c r="P7" s="32">
        <v>15</v>
      </c>
      <c r="Q7" s="33" t="s">
        <v>360</v>
      </c>
      <c r="R7" s="36">
        <v>-105978.98</v>
      </c>
      <c r="S7" s="33" t="s">
        <v>360</v>
      </c>
      <c r="T7" s="36">
        <v>-104145.96</v>
      </c>
      <c r="U7" s="33"/>
      <c r="V7" s="136" t="e" cm="1">
        <f t="array" ref="V7">_xlfn.XLOOKUP(L7,'Customer Data'!$H:$H,'Customer Data'!$E:$F,,0)</f>
        <v>#N/A</v>
      </c>
      <c r="W7" s="136"/>
      <c r="X7" s="33"/>
      <c r="Y7" s="33" t="s">
        <v>327</v>
      </c>
      <c r="Z7" s="32">
        <v>4</v>
      </c>
      <c r="AA7" s="76">
        <f t="shared" si="0"/>
        <v>0</v>
      </c>
      <c r="AB7" s="33" t="s">
        <v>364</v>
      </c>
      <c r="AC7" s="33" t="s">
        <v>327</v>
      </c>
      <c r="AD7" s="33" t="s">
        <v>327</v>
      </c>
      <c r="AE7" s="33" t="s">
        <v>327</v>
      </c>
      <c r="AF7" s="34">
        <v>45912</v>
      </c>
      <c r="AG7" s="34">
        <v>45912</v>
      </c>
      <c r="AH7" s="32">
        <v>1400001170</v>
      </c>
    </row>
    <row r="8" spans="1:34" x14ac:dyDescent="0.35">
      <c r="A8" s="32">
        <v>6779</v>
      </c>
      <c r="B8" s="32">
        <v>100222335</v>
      </c>
      <c r="C8" s="33" t="s">
        <v>357</v>
      </c>
      <c r="D8" s="32">
        <v>2025</v>
      </c>
      <c r="E8" s="32">
        <v>8</v>
      </c>
      <c r="F8" s="34">
        <v>45877</v>
      </c>
      <c r="G8" s="32">
        <v>1800011401</v>
      </c>
      <c r="H8" s="33" t="s">
        <v>365</v>
      </c>
      <c r="I8" s="34">
        <v>45877</v>
      </c>
      <c r="J8" s="34">
        <v>45877</v>
      </c>
      <c r="K8" s="33" t="s">
        <v>366</v>
      </c>
      <c r="L8" s="35">
        <v>256779416251</v>
      </c>
      <c r="M8" s="32">
        <v>212100</v>
      </c>
      <c r="N8" s="33" t="s">
        <v>359</v>
      </c>
      <c r="O8" s="33" t="s">
        <v>327</v>
      </c>
      <c r="P8" s="32">
        <v>1</v>
      </c>
      <c r="Q8" s="33" t="s">
        <v>367</v>
      </c>
      <c r="R8" s="36">
        <v>13.86</v>
      </c>
      <c r="S8" s="33" t="s">
        <v>360</v>
      </c>
      <c r="T8" s="36">
        <v>1192.3800000000001</v>
      </c>
      <c r="U8" s="33"/>
      <c r="V8" s="136" t="e" cm="1">
        <f t="array" ref="V8">_xlfn.XLOOKUP(L8,'Customer Data'!$H:$H,'Customer Data'!$E:$F,,0)</f>
        <v>#N/A</v>
      </c>
      <c r="W8" s="136"/>
      <c r="X8" s="33"/>
      <c r="Y8" s="33" t="s">
        <v>366</v>
      </c>
      <c r="Z8" s="32">
        <v>1</v>
      </c>
      <c r="AA8" s="76">
        <f t="shared" si="0"/>
        <v>0</v>
      </c>
      <c r="AB8" s="33" t="s">
        <v>368</v>
      </c>
      <c r="AC8" s="33" t="s">
        <v>327</v>
      </c>
      <c r="AD8" s="33" t="s">
        <v>327</v>
      </c>
      <c r="AE8" s="33" t="s">
        <v>327</v>
      </c>
      <c r="AF8" s="34">
        <v>45877</v>
      </c>
      <c r="AG8" s="34">
        <v>45976</v>
      </c>
      <c r="AH8" s="32">
        <v>1400001884</v>
      </c>
    </row>
    <row r="9" spans="1:34" x14ac:dyDescent="0.35">
      <c r="A9" s="32">
        <v>6779</v>
      </c>
      <c r="B9" s="32">
        <v>100222335</v>
      </c>
      <c r="C9" s="33" t="s">
        <v>357</v>
      </c>
      <c r="D9" s="32">
        <v>2025</v>
      </c>
      <c r="E9" s="32">
        <v>11</v>
      </c>
      <c r="F9" s="34">
        <v>45976</v>
      </c>
      <c r="G9" s="32">
        <v>1400001884</v>
      </c>
      <c r="H9" s="33" t="s">
        <v>369</v>
      </c>
      <c r="I9" s="34">
        <v>45976</v>
      </c>
      <c r="J9" s="34">
        <v>45976</v>
      </c>
      <c r="K9" s="33" t="s">
        <v>366</v>
      </c>
      <c r="L9" s="35" t="s">
        <v>370</v>
      </c>
      <c r="M9" s="32">
        <v>212100</v>
      </c>
      <c r="N9" s="33" t="s">
        <v>359</v>
      </c>
      <c r="O9" s="33" t="s">
        <v>327</v>
      </c>
      <c r="P9" s="32">
        <v>8</v>
      </c>
      <c r="Q9" s="33" t="s">
        <v>367</v>
      </c>
      <c r="R9" s="36">
        <v>0</v>
      </c>
      <c r="S9" s="33" t="s">
        <v>360</v>
      </c>
      <c r="T9" s="36">
        <v>20.57</v>
      </c>
      <c r="U9" s="33"/>
      <c r="V9" s="136" t="e" cm="1">
        <f t="array" ref="V9">_xlfn.XLOOKUP(L9,'Customer Data'!$H:$H,'Customer Data'!$E:$F,,0)</f>
        <v>#N/A</v>
      </c>
      <c r="W9" s="136"/>
      <c r="X9" s="33"/>
      <c r="Y9" s="33" t="s">
        <v>327</v>
      </c>
      <c r="Z9" s="32">
        <v>1</v>
      </c>
      <c r="AA9" s="76">
        <f t="shared" si="0"/>
        <v>0</v>
      </c>
      <c r="AB9" s="33" t="s">
        <v>327</v>
      </c>
      <c r="AC9" s="33" t="s">
        <v>327</v>
      </c>
      <c r="AD9" s="33" t="s">
        <v>327</v>
      </c>
      <c r="AE9" s="33" t="s">
        <v>327</v>
      </c>
      <c r="AF9" s="34">
        <v>45976</v>
      </c>
      <c r="AG9" s="34">
        <v>45976</v>
      </c>
      <c r="AH9" s="32">
        <v>1400001884</v>
      </c>
    </row>
    <row r="10" spans="1:34" x14ac:dyDescent="0.35">
      <c r="A10" s="32">
        <v>6779</v>
      </c>
      <c r="B10" s="32">
        <v>100222335</v>
      </c>
      <c r="C10" s="33" t="s">
        <v>357</v>
      </c>
      <c r="D10" s="32">
        <v>2025</v>
      </c>
      <c r="E10" s="32">
        <v>7</v>
      </c>
      <c r="F10" s="34">
        <v>45842</v>
      </c>
      <c r="G10" s="32">
        <v>1800010284</v>
      </c>
      <c r="H10" s="33" t="s">
        <v>365</v>
      </c>
      <c r="I10" s="34">
        <v>45842</v>
      </c>
      <c r="J10" s="34">
        <v>45847</v>
      </c>
      <c r="K10" s="33" t="s">
        <v>366</v>
      </c>
      <c r="L10" s="35">
        <v>256779415044</v>
      </c>
      <c r="M10" s="32">
        <v>212100</v>
      </c>
      <c r="N10" s="33" t="s">
        <v>359</v>
      </c>
      <c r="O10" s="33" t="s">
        <v>327</v>
      </c>
      <c r="P10" s="32">
        <v>1</v>
      </c>
      <c r="Q10" s="33" t="s">
        <v>367</v>
      </c>
      <c r="R10" s="36">
        <v>7.59</v>
      </c>
      <c r="S10" s="33" t="s">
        <v>360</v>
      </c>
      <c r="T10" s="36">
        <v>652.75</v>
      </c>
      <c r="U10" s="33"/>
      <c r="V10" s="136" cm="1">
        <f t="array" ref="V10:W10">_xlfn.XLOOKUP(L10,'Customer Data'!$H:$H,'Customer Data'!$E:$F,,0)</f>
        <v>653</v>
      </c>
      <c r="W10" s="136">
        <v>11</v>
      </c>
      <c r="X10" s="33"/>
      <c r="Y10" s="33" t="s">
        <v>366</v>
      </c>
      <c r="Z10" s="32">
        <v>1</v>
      </c>
      <c r="AA10" s="76">
        <f t="shared" si="0"/>
        <v>1.6851780926847949E-2</v>
      </c>
      <c r="AB10" s="33" t="s">
        <v>371</v>
      </c>
      <c r="AC10" s="33" t="s">
        <v>327</v>
      </c>
      <c r="AD10" s="33" t="s">
        <v>327</v>
      </c>
      <c r="AE10" s="33" t="s">
        <v>327</v>
      </c>
      <c r="AF10" s="34">
        <v>45842</v>
      </c>
      <c r="AG10" s="34">
        <v>45912</v>
      </c>
      <c r="AH10" s="32">
        <v>1400001170</v>
      </c>
    </row>
    <row r="11" spans="1:34" x14ac:dyDescent="0.35">
      <c r="A11" s="32">
        <v>6779</v>
      </c>
      <c r="B11" s="32">
        <v>100222335</v>
      </c>
      <c r="C11" s="33" t="s">
        <v>357</v>
      </c>
      <c r="D11" s="32">
        <v>2025</v>
      </c>
      <c r="E11" s="32">
        <v>4</v>
      </c>
      <c r="F11" s="34">
        <v>45751</v>
      </c>
      <c r="G11" s="32">
        <v>1800005578</v>
      </c>
      <c r="H11" s="33" t="s">
        <v>365</v>
      </c>
      <c r="I11" s="34">
        <v>45751</v>
      </c>
      <c r="J11" s="34">
        <v>45752</v>
      </c>
      <c r="K11" s="33" t="s">
        <v>366</v>
      </c>
      <c r="L11" s="35">
        <v>256779410470</v>
      </c>
      <c r="M11" s="32">
        <v>212100</v>
      </c>
      <c r="N11" s="33" t="s">
        <v>359</v>
      </c>
      <c r="O11" s="33" t="s">
        <v>327</v>
      </c>
      <c r="P11" s="32">
        <v>1</v>
      </c>
      <c r="Q11" s="33" t="s">
        <v>367</v>
      </c>
      <c r="R11" s="36">
        <v>206.48</v>
      </c>
      <c r="S11" s="33" t="s">
        <v>360</v>
      </c>
      <c r="T11" s="36">
        <v>17947.62</v>
      </c>
      <c r="U11" s="33"/>
      <c r="V11" s="136" t="e" cm="1">
        <f t="array" ref="V11">_xlfn.XLOOKUP(L11,'Customer Data'!$H:$H,'Customer Data'!$E:$F,,0)</f>
        <v>#N/A</v>
      </c>
      <c r="W11" s="136"/>
      <c r="X11" s="33"/>
      <c r="Y11" s="33" t="s">
        <v>366</v>
      </c>
      <c r="Z11" s="32">
        <v>1</v>
      </c>
      <c r="AA11" s="76">
        <f t="shared" si="0"/>
        <v>0</v>
      </c>
      <c r="AB11" s="33" t="s">
        <v>372</v>
      </c>
      <c r="AC11" s="33" t="s">
        <v>327</v>
      </c>
      <c r="AD11" s="33" t="s">
        <v>327</v>
      </c>
      <c r="AE11" s="33" t="s">
        <v>327</v>
      </c>
      <c r="AF11" s="34">
        <v>45751</v>
      </c>
      <c r="AG11" s="34"/>
      <c r="AH11" s="33" t="s">
        <v>327</v>
      </c>
    </row>
    <row r="12" spans="1:34" x14ac:dyDescent="0.35">
      <c r="A12" s="32">
        <v>6779</v>
      </c>
      <c r="B12" s="32">
        <v>100222335</v>
      </c>
      <c r="C12" s="33" t="s">
        <v>357</v>
      </c>
      <c r="D12" s="32">
        <v>2025</v>
      </c>
      <c r="E12" s="32">
        <v>4</v>
      </c>
      <c r="F12" s="34">
        <v>45751</v>
      </c>
      <c r="G12" s="32">
        <v>1800005668</v>
      </c>
      <c r="H12" s="33" t="s">
        <v>365</v>
      </c>
      <c r="I12" s="34">
        <v>45751</v>
      </c>
      <c r="J12" s="34">
        <v>45752</v>
      </c>
      <c r="K12" s="33" t="s">
        <v>366</v>
      </c>
      <c r="L12" s="35">
        <v>256779410560</v>
      </c>
      <c r="M12" s="32">
        <v>212100</v>
      </c>
      <c r="N12" s="33" t="s">
        <v>359</v>
      </c>
      <c r="O12" s="33" t="s">
        <v>327</v>
      </c>
      <c r="P12" s="32">
        <v>1</v>
      </c>
      <c r="Q12" s="33" t="s">
        <v>367</v>
      </c>
      <c r="R12" s="36">
        <v>392.93</v>
      </c>
      <c r="S12" s="33" t="s">
        <v>360</v>
      </c>
      <c r="T12" s="36">
        <v>34154.19</v>
      </c>
      <c r="U12" s="33"/>
      <c r="V12" s="136" t="e" cm="1">
        <f t="array" ref="V12">_xlfn.XLOOKUP(L12,'Customer Data'!$H:$H,'Customer Data'!$E:$F,,0)</f>
        <v>#N/A</v>
      </c>
      <c r="W12" s="136"/>
      <c r="X12" s="33"/>
      <c r="Y12" s="33" t="s">
        <v>366</v>
      </c>
      <c r="Z12" s="32">
        <v>1</v>
      </c>
      <c r="AA12" s="76">
        <f t="shared" si="0"/>
        <v>0</v>
      </c>
      <c r="AB12" s="33" t="s">
        <v>373</v>
      </c>
      <c r="AC12" s="33" t="s">
        <v>327</v>
      </c>
      <c r="AD12" s="33" t="s">
        <v>327</v>
      </c>
      <c r="AE12" s="33" t="s">
        <v>327</v>
      </c>
      <c r="AF12" s="34">
        <v>45751</v>
      </c>
      <c r="AG12" s="34"/>
      <c r="AH12" s="33" t="s">
        <v>327</v>
      </c>
    </row>
    <row r="13" spans="1:34" x14ac:dyDescent="0.35">
      <c r="A13" s="32">
        <v>6779</v>
      </c>
      <c r="B13" s="32">
        <v>100222335</v>
      </c>
      <c r="C13" s="33" t="s">
        <v>357</v>
      </c>
      <c r="D13" s="32">
        <v>2025</v>
      </c>
      <c r="E13" s="32">
        <v>4</v>
      </c>
      <c r="F13" s="34">
        <v>45751</v>
      </c>
      <c r="G13" s="32">
        <v>1800005794</v>
      </c>
      <c r="H13" s="33" t="s">
        <v>365</v>
      </c>
      <c r="I13" s="34">
        <v>45751</v>
      </c>
      <c r="J13" s="34">
        <v>45752</v>
      </c>
      <c r="K13" s="33" t="s">
        <v>366</v>
      </c>
      <c r="L13" s="35">
        <v>256779410686</v>
      </c>
      <c r="M13" s="32">
        <v>212100</v>
      </c>
      <c r="N13" s="33" t="s">
        <v>359</v>
      </c>
      <c r="O13" s="33" t="s">
        <v>327</v>
      </c>
      <c r="P13" s="32">
        <v>1</v>
      </c>
      <c r="Q13" s="33" t="s">
        <v>367</v>
      </c>
      <c r="R13" s="36">
        <v>447.59</v>
      </c>
      <c r="S13" s="33" t="s">
        <v>360</v>
      </c>
      <c r="T13" s="36">
        <v>38905.339999999997</v>
      </c>
      <c r="U13" s="33"/>
      <c r="V13" s="136" t="e" cm="1">
        <f t="array" ref="V13">_xlfn.XLOOKUP(L13,'Customer Data'!$H:$H,'Customer Data'!$E:$F,,0)</f>
        <v>#N/A</v>
      </c>
      <c r="W13" s="136"/>
      <c r="X13" s="33"/>
      <c r="Y13" s="33" t="s">
        <v>366</v>
      </c>
      <c r="Z13" s="32">
        <v>1</v>
      </c>
      <c r="AA13" s="76">
        <f t="shared" si="0"/>
        <v>0</v>
      </c>
      <c r="AB13" s="33" t="s">
        <v>374</v>
      </c>
      <c r="AC13" s="33" t="s">
        <v>327</v>
      </c>
      <c r="AD13" s="33" t="s">
        <v>327</v>
      </c>
      <c r="AE13" s="33" t="s">
        <v>327</v>
      </c>
      <c r="AF13" s="34">
        <v>45751</v>
      </c>
      <c r="AG13" s="34"/>
      <c r="AH13" s="33" t="s">
        <v>327</v>
      </c>
    </row>
    <row r="14" spans="1:34" x14ac:dyDescent="0.35">
      <c r="A14" s="32">
        <v>6779</v>
      </c>
      <c r="B14" s="32">
        <v>100222335</v>
      </c>
      <c r="C14" s="33" t="s">
        <v>357</v>
      </c>
      <c r="D14" s="32">
        <v>2025</v>
      </c>
      <c r="E14" s="32">
        <v>9</v>
      </c>
      <c r="F14" s="34">
        <v>45910</v>
      </c>
      <c r="G14" s="32">
        <v>1800012752</v>
      </c>
      <c r="H14" s="33" t="s">
        <v>365</v>
      </c>
      <c r="I14" s="34">
        <v>45910</v>
      </c>
      <c r="J14" s="34">
        <v>45912</v>
      </c>
      <c r="K14" s="33" t="s">
        <v>366</v>
      </c>
      <c r="L14" s="35">
        <v>256779417385</v>
      </c>
      <c r="M14" s="32">
        <v>212100</v>
      </c>
      <c r="N14" s="33" t="s">
        <v>359</v>
      </c>
      <c r="O14" s="33" t="s">
        <v>327</v>
      </c>
      <c r="P14" s="32">
        <v>1</v>
      </c>
      <c r="Q14" s="33" t="s">
        <v>367</v>
      </c>
      <c r="R14" s="36">
        <v>16.350000000000001</v>
      </c>
      <c r="S14" s="33" t="s">
        <v>360</v>
      </c>
      <c r="T14" s="36">
        <v>1430.86</v>
      </c>
      <c r="U14" s="33"/>
      <c r="V14" s="136" t="e" cm="1">
        <f t="array" ref="V14">_xlfn.XLOOKUP(L14,'Customer Data'!$H:$H,'Customer Data'!$E:$F,,0)</f>
        <v>#N/A</v>
      </c>
      <c r="W14" s="136"/>
      <c r="X14" s="33"/>
      <c r="Y14" s="33" t="s">
        <v>366</v>
      </c>
      <c r="Z14" s="32">
        <v>1</v>
      </c>
      <c r="AA14" s="76">
        <f t="shared" si="0"/>
        <v>0</v>
      </c>
      <c r="AB14" s="33" t="s">
        <v>368</v>
      </c>
      <c r="AC14" s="33" t="s">
        <v>327</v>
      </c>
      <c r="AD14" s="33" t="s">
        <v>327</v>
      </c>
      <c r="AE14" s="33" t="s">
        <v>327</v>
      </c>
      <c r="AF14" s="34">
        <v>45910</v>
      </c>
      <c r="AG14" s="34"/>
      <c r="AH14" s="33" t="s">
        <v>327</v>
      </c>
    </row>
    <row r="15" spans="1:34" x14ac:dyDescent="0.35">
      <c r="A15" s="32">
        <v>6779</v>
      </c>
      <c r="B15" s="32">
        <v>100222335</v>
      </c>
      <c r="C15" s="33" t="s">
        <v>357</v>
      </c>
      <c r="D15" s="32">
        <v>2025</v>
      </c>
      <c r="E15" s="32">
        <v>9</v>
      </c>
      <c r="F15" s="34">
        <v>45910</v>
      </c>
      <c r="G15" s="32">
        <v>1600002205</v>
      </c>
      <c r="H15" s="33" t="s">
        <v>375</v>
      </c>
      <c r="I15" s="34">
        <v>45910</v>
      </c>
      <c r="J15" s="34">
        <v>45912</v>
      </c>
      <c r="K15" s="33" t="s">
        <v>366</v>
      </c>
      <c r="L15" s="35">
        <v>256779421760</v>
      </c>
      <c r="M15" s="32">
        <v>212100</v>
      </c>
      <c r="N15" s="33" t="s">
        <v>359</v>
      </c>
      <c r="O15" s="33" t="s">
        <v>327</v>
      </c>
      <c r="P15" s="32">
        <v>11</v>
      </c>
      <c r="Q15" s="33" t="s">
        <v>367</v>
      </c>
      <c r="R15" s="36">
        <v>-13.86</v>
      </c>
      <c r="S15" s="33" t="s">
        <v>360</v>
      </c>
      <c r="T15" s="36">
        <v>-1212.95</v>
      </c>
      <c r="U15" s="33"/>
      <c r="V15" s="136" t="e" cm="1">
        <f t="array" ref="V15">_xlfn.XLOOKUP(L15,'Customer Data'!$H:$H,'Customer Data'!$E:$F,,0)</f>
        <v>#N/A</v>
      </c>
      <c r="W15" s="136"/>
      <c r="X15" s="33"/>
      <c r="Y15" s="32">
        <v>2099674</v>
      </c>
      <c r="Z15" s="32">
        <v>1</v>
      </c>
      <c r="AA15" s="76">
        <f t="shared" si="0"/>
        <v>0</v>
      </c>
      <c r="AB15" s="33" t="s">
        <v>376</v>
      </c>
      <c r="AC15" s="33" t="s">
        <v>327</v>
      </c>
      <c r="AD15" s="33" t="s">
        <v>327</v>
      </c>
      <c r="AE15" s="33" t="s">
        <v>327</v>
      </c>
      <c r="AF15" s="34">
        <v>45910</v>
      </c>
      <c r="AG15" s="34">
        <v>45976</v>
      </c>
      <c r="AH15" s="32">
        <v>1400001884</v>
      </c>
    </row>
    <row r="16" spans="1:34" x14ac:dyDescent="0.35">
      <c r="A16" s="32">
        <v>6779</v>
      </c>
      <c r="B16" s="32">
        <v>100222335</v>
      </c>
      <c r="C16" s="33" t="s">
        <v>357</v>
      </c>
      <c r="D16" s="32">
        <v>2025</v>
      </c>
      <c r="E16" s="32">
        <v>3</v>
      </c>
      <c r="F16" s="34">
        <v>45719</v>
      </c>
      <c r="G16" s="32">
        <v>1800000634</v>
      </c>
      <c r="H16" s="33" t="s">
        <v>365</v>
      </c>
      <c r="I16" s="34">
        <v>45719</v>
      </c>
      <c r="J16" s="34">
        <v>45720</v>
      </c>
      <c r="K16" s="33" t="s">
        <v>366</v>
      </c>
      <c r="L16" s="35">
        <v>246779410574</v>
      </c>
      <c r="M16" s="32">
        <v>212100</v>
      </c>
      <c r="N16" s="33" t="s">
        <v>359</v>
      </c>
      <c r="O16" s="33" t="s">
        <v>327</v>
      </c>
      <c r="P16" s="32">
        <v>1</v>
      </c>
      <c r="Q16" s="33" t="s">
        <v>367</v>
      </c>
      <c r="R16" s="36">
        <v>5.0199999999999996</v>
      </c>
      <c r="S16" s="33" t="s">
        <v>360</v>
      </c>
      <c r="T16" s="36">
        <v>435.19</v>
      </c>
      <c r="U16" s="33"/>
      <c r="V16" s="136" cm="1">
        <f t="array" ref="V16:W16">_xlfn.XLOOKUP(L16,'Customer Data'!$H:$H,'Customer Data'!$E:$F,,0)</f>
        <v>435</v>
      </c>
      <c r="W16" s="136">
        <v>8</v>
      </c>
      <c r="X16" s="33"/>
      <c r="Y16" s="33" t="s">
        <v>366</v>
      </c>
      <c r="Z16" s="32">
        <v>1</v>
      </c>
      <c r="AA16" s="76">
        <f t="shared" si="0"/>
        <v>1.8382775339506881E-2</v>
      </c>
      <c r="AB16" s="33" t="s">
        <v>377</v>
      </c>
      <c r="AC16" s="33" t="s">
        <v>327</v>
      </c>
      <c r="AD16" s="33" t="s">
        <v>327</v>
      </c>
      <c r="AE16" s="33" t="s">
        <v>327</v>
      </c>
      <c r="AF16" s="34">
        <v>45719</v>
      </c>
      <c r="AG16" s="34">
        <v>45909</v>
      </c>
      <c r="AH16" s="32">
        <v>1400001167</v>
      </c>
    </row>
    <row r="17" spans="1:34" x14ac:dyDescent="0.35">
      <c r="A17" s="32">
        <v>6779</v>
      </c>
      <c r="B17" s="32">
        <v>100222335</v>
      </c>
      <c r="C17" s="33" t="s">
        <v>357</v>
      </c>
      <c r="D17" s="32">
        <v>2025</v>
      </c>
      <c r="E17" s="32">
        <v>3</v>
      </c>
      <c r="F17" s="34">
        <v>45733</v>
      </c>
      <c r="G17" s="32">
        <v>1800002285</v>
      </c>
      <c r="H17" s="33" t="s">
        <v>365</v>
      </c>
      <c r="I17" s="34">
        <v>45733</v>
      </c>
      <c r="J17" s="34">
        <v>45734</v>
      </c>
      <c r="K17" s="33" t="s">
        <v>366</v>
      </c>
      <c r="L17" s="35">
        <v>246779411950</v>
      </c>
      <c r="M17" s="32">
        <v>212100</v>
      </c>
      <c r="N17" s="33" t="s">
        <v>359</v>
      </c>
      <c r="O17" s="33" t="s">
        <v>327</v>
      </c>
      <c r="P17" s="32">
        <v>1</v>
      </c>
      <c r="Q17" s="33" t="s">
        <v>367</v>
      </c>
      <c r="R17" s="36">
        <v>19.27</v>
      </c>
      <c r="S17" s="33" t="s">
        <v>360</v>
      </c>
      <c r="T17" s="36">
        <v>1670.54</v>
      </c>
      <c r="U17" s="33"/>
      <c r="V17" s="136" cm="1">
        <f t="array" ref="V17:W17">_xlfn.XLOOKUP(L17,'Customer Data'!$H:$H,'Customer Data'!$E:$F,,0)</f>
        <v>1670</v>
      </c>
      <c r="W17" s="136">
        <v>29</v>
      </c>
      <c r="X17" s="33"/>
      <c r="Y17" s="33" t="s">
        <v>366</v>
      </c>
      <c r="Z17" s="32">
        <v>1</v>
      </c>
      <c r="AA17" s="76">
        <f t="shared" si="0"/>
        <v>1.7359656159086283E-2</v>
      </c>
      <c r="AB17" s="33" t="s">
        <v>378</v>
      </c>
      <c r="AC17" s="33" t="s">
        <v>327</v>
      </c>
      <c r="AD17" s="33" t="s">
        <v>327</v>
      </c>
      <c r="AE17" s="33" t="s">
        <v>327</v>
      </c>
      <c r="AF17" s="34">
        <v>45733</v>
      </c>
      <c r="AG17" s="34">
        <v>45909</v>
      </c>
      <c r="AH17" s="32">
        <v>1400001167</v>
      </c>
    </row>
    <row r="18" spans="1:34" x14ac:dyDescent="0.35">
      <c r="A18" s="32">
        <v>6779</v>
      </c>
      <c r="B18" s="32">
        <v>100222335</v>
      </c>
      <c r="C18" s="33" t="s">
        <v>357</v>
      </c>
      <c r="D18" s="32">
        <v>2025</v>
      </c>
      <c r="E18" s="32">
        <v>9</v>
      </c>
      <c r="F18" s="34">
        <v>45917</v>
      </c>
      <c r="G18" s="32">
        <v>1800012830</v>
      </c>
      <c r="H18" s="33" t="s">
        <v>365</v>
      </c>
      <c r="I18" s="34">
        <v>45917</v>
      </c>
      <c r="J18" s="34">
        <v>45922</v>
      </c>
      <c r="K18" s="33" t="s">
        <v>366</v>
      </c>
      <c r="L18" s="35">
        <v>256779417464</v>
      </c>
      <c r="M18" s="32">
        <v>212100</v>
      </c>
      <c r="N18" s="33" t="s">
        <v>359</v>
      </c>
      <c r="O18" s="33" t="s">
        <v>327</v>
      </c>
      <c r="P18" s="32">
        <v>1</v>
      </c>
      <c r="Q18" s="33" t="s">
        <v>367</v>
      </c>
      <c r="R18" s="36">
        <v>2.68</v>
      </c>
      <c r="S18" s="33" t="s">
        <v>360</v>
      </c>
      <c r="T18" s="36">
        <v>234.54</v>
      </c>
      <c r="U18" s="33"/>
      <c r="V18" s="136" cm="1">
        <f t="array" ref="V18:W18">_xlfn.XLOOKUP(L18,'Customer Data'!$H:$H,'Customer Data'!$E:$F,,0)</f>
        <v>234.69</v>
      </c>
      <c r="W18" s="136">
        <v>4.6900000000000004</v>
      </c>
      <c r="X18" s="33"/>
      <c r="Y18" s="32">
        <v>2102532</v>
      </c>
      <c r="Z18" s="32">
        <v>1</v>
      </c>
      <c r="AA18" s="76">
        <f t="shared" si="0"/>
        <v>1.9996589067962822E-2</v>
      </c>
      <c r="AB18" s="33" t="s">
        <v>379</v>
      </c>
      <c r="AC18" s="33" t="s">
        <v>327</v>
      </c>
      <c r="AD18" s="33" t="s">
        <v>327</v>
      </c>
      <c r="AE18" s="33" t="s">
        <v>327</v>
      </c>
      <c r="AF18" s="34">
        <v>45917</v>
      </c>
      <c r="AG18" s="34"/>
      <c r="AH18" s="33" t="s">
        <v>327</v>
      </c>
    </row>
    <row r="19" spans="1:34" x14ac:dyDescent="0.35">
      <c r="A19" s="32">
        <v>6779</v>
      </c>
      <c r="B19" s="32">
        <v>100222335</v>
      </c>
      <c r="C19" s="33" t="s">
        <v>357</v>
      </c>
      <c r="D19" s="32">
        <v>2025</v>
      </c>
      <c r="E19" s="32">
        <v>11</v>
      </c>
      <c r="F19" s="34">
        <v>45980</v>
      </c>
      <c r="G19" s="32">
        <v>1800014989</v>
      </c>
      <c r="H19" s="33" t="s">
        <v>365</v>
      </c>
      <c r="I19" s="34">
        <v>45980</v>
      </c>
      <c r="J19" s="34">
        <v>45982</v>
      </c>
      <c r="K19" s="33" t="s">
        <v>366</v>
      </c>
      <c r="L19" s="35">
        <v>256779419490</v>
      </c>
      <c r="M19" s="32">
        <v>212100</v>
      </c>
      <c r="N19" s="33" t="s">
        <v>359</v>
      </c>
      <c r="O19" s="33" t="s">
        <v>327</v>
      </c>
      <c r="P19" s="32">
        <v>1</v>
      </c>
      <c r="Q19" s="33" t="s">
        <v>367</v>
      </c>
      <c r="R19" s="36">
        <v>507.18</v>
      </c>
      <c r="S19" s="33" t="s">
        <v>360</v>
      </c>
      <c r="T19" s="36">
        <v>44633.56</v>
      </c>
      <c r="U19" s="33"/>
      <c r="V19" s="136" cm="1">
        <f t="array" ref="V19:W19">_xlfn.XLOOKUP(L19,'Customer Data'!$H:$H,'Customer Data'!$E:$F,,0)</f>
        <v>44633</v>
      </c>
      <c r="W19" s="136">
        <v>756</v>
      </c>
      <c r="X19" s="33"/>
      <c r="Y19" s="33" t="s">
        <v>366</v>
      </c>
      <c r="Z19" s="32">
        <v>1</v>
      </c>
      <c r="AA19" s="76">
        <f t="shared" si="0"/>
        <v>1.6937927425013825E-2</v>
      </c>
      <c r="AB19" s="33" t="s">
        <v>380</v>
      </c>
      <c r="AC19" s="33" t="s">
        <v>327</v>
      </c>
      <c r="AD19" s="33" t="s">
        <v>327</v>
      </c>
      <c r="AE19" s="33" t="s">
        <v>327</v>
      </c>
      <c r="AF19" s="34">
        <v>45980</v>
      </c>
      <c r="AG19" s="34"/>
      <c r="AH19" s="33" t="s">
        <v>327</v>
      </c>
    </row>
    <row r="20" spans="1:34" x14ac:dyDescent="0.35">
      <c r="A20" s="32">
        <v>6779</v>
      </c>
      <c r="B20" s="32">
        <v>100222335</v>
      </c>
      <c r="C20" s="33" t="s">
        <v>357</v>
      </c>
      <c r="D20" s="32">
        <v>2025</v>
      </c>
      <c r="E20" s="32">
        <v>6</v>
      </c>
      <c r="F20" s="34">
        <v>45813</v>
      </c>
      <c r="G20" s="32">
        <v>1800009285</v>
      </c>
      <c r="H20" s="33" t="s">
        <v>365</v>
      </c>
      <c r="I20" s="34">
        <v>45813</v>
      </c>
      <c r="J20" s="34">
        <v>45817</v>
      </c>
      <c r="K20" s="33" t="s">
        <v>366</v>
      </c>
      <c r="L20" s="35">
        <v>256779414049</v>
      </c>
      <c r="M20" s="32">
        <v>212100</v>
      </c>
      <c r="N20" s="33" t="s">
        <v>359</v>
      </c>
      <c r="O20" s="33" t="s">
        <v>327</v>
      </c>
      <c r="P20" s="32">
        <v>1</v>
      </c>
      <c r="Q20" s="33" t="s">
        <v>367</v>
      </c>
      <c r="R20" s="36">
        <v>92.68</v>
      </c>
      <c r="S20" s="33" t="s">
        <v>360</v>
      </c>
      <c r="T20" s="36">
        <v>7923.29</v>
      </c>
      <c r="U20" s="33"/>
      <c r="V20" s="136" t="e" cm="1">
        <f t="array" ref="V20">_xlfn.XLOOKUP(L20,'Customer Data'!$H:$H,'Customer Data'!$E:$F,,0)</f>
        <v>#N/A</v>
      </c>
      <c r="W20" s="136"/>
      <c r="X20" s="33"/>
      <c r="Y20" s="33" t="s">
        <v>366</v>
      </c>
      <c r="Z20" s="32">
        <v>1</v>
      </c>
      <c r="AA20" s="76">
        <f t="shared" si="0"/>
        <v>0</v>
      </c>
      <c r="AB20" s="33" t="s">
        <v>381</v>
      </c>
      <c r="AC20" s="33" t="s">
        <v>327</v>
      </c>
      <c r="AD20" s="33" t="s">
        <v>327</v>
      </c>
      <c r="AE20" s="33" t="s">
        <v>327</v>
      </c>
      <c r="AF20" s="34">
        <v>45813</v>
      </c>
      <c r="AG20" s="34"/>
      <c r="AH20" s="33" t="s">
        <v>327</v>
      </c>
    </row>
    <row r="21" spans="1:34" x14ac:dyDescent="0.35">
      <c r="A21" s="32">
        <v>6779</v>
      </c>
      <c r="B21" s="32">
        <v>100222335</v>
      </c>
      <c r="C21" s="33" t="s">
        <v>357</v>
      </c>
      <c r="D21" s="32">
        <v>2025</v>
      </c>
      <c r="E21" s="32">
        <v>5</v>
      </c>
      <c r="F21" s="34">
        <v>45785</v>
      </c>
      <c r="G21" s="32">
        <v>1800008771</v>
      </c>
      <c r="H21" s="33" t="s">
        <v>365</v>
      </c>
      <c r="I21" s="34">
        <v>45785</v>
      </c>
      <c r="J21" s="34">
        <v>45805</v>
      </c>
      <c r="K21" s="33" t="s">
        <v>366</v>
      </c>
      <c r="L21" s="35">
        <v>256779413535</v>
      </c>
      <c r="M21" s="32">
        <v>212100</v>
      </c>
      <c r="N21" s="33" t="s">
        <v>359</v>
      </c>
      <c r="O21" s="33" t="s">
        <v>327</v>
      </c>
      <c r="P21" s="32">
        <v>1</v>
      </c>
      <c r="Q21" s="33" t="s">
        <v>367</v>
      </c>
      <c r="R21" s="36">
        <v>81.77</v>
      </c>
      <c r="S21" s="33" t="s">
        <v>360</v>
      </c>
      <c r="T21" s="36">
        <v>7030.89</v>
      </c>
      <c r="U21" s="33"/>
      <c r="V21" s="136" t="e" cm="1">
        <f t="array" ref="V21">_xlfn.XLOOKUP(L21,'Customer Data'!$H:$H,'Customer Data'!$E:$F,,0)</f>
        <v>#N/A</v>
      </c>
      <c r="W21" s="136"/>
      <c r="X21" s="33"/>
      <c r="Y21" s="33" t="s">
        <v>366</v>
      </c>
      <c r="Z21" s="32">
        <v>1</v>
      </c>
      <c r="AA21" s="76">
        <f t="shared" si="0"/>
        <v>0</v>
      </c>
      <c r="AB21" s="33" t="s">
        <v>382</v>
      </c>
      <c r="AC21" s="33" t="s">
        <v>327</v>
      </c>
      <c r="AD21" s="33" t="s">
        <v>327</v>
      </c>
      <c r="AE21" s="33" t="s">
        <v>327</v>
      </c>
      <c r="AF21" s="34">
        <v>45785</v>
      </c>
      <c r="AG21" s="34"/>
      <c r="AH21" s="33" t="s">
        <v>327</v>
      </c>
    </row>
    <row r="22" spans="1:34" x14ac:dyDescent="0.35">
      <c r="A22" s="32">
        <v>6779</v>
      </c>
      <c r="B22" s="32">
        <v>100222335</v>
      </c>
      <c r="C22" s="33" t="s">
        <v>357</v>
      </c>
      <c r="D22" s="32">
        <v>2025</v>
      </c>
      <c r="E22" s="32">
        <v>4</v>
      </c>
      <c r="F22" s="34">
        <v>45763</v>
      </c>
      <c r="G22" s="32">
        <v>1800006043</v>
      </c>
      <c r="H22" s="33" t="s">
        <v>365</v>
      </c>
      <c r="I22" s="34">
        <v>45763</v>
      </c>
      <c r="J22" s="34">
        <v>45763</v>
      </c>
      <c r="K22" s="33" t="s">
        <v>366</v>
      </c>
      <c r="L22" s="35">
        <v>256779410934</v>
      </c>
      <c r="M22" s="32">
        <v>212100</v>
      </c>
      <c r="N22" s="33" t="s">
        <v>359</v>
      </c>
      <c r="O22" s="33" t="s">
        <v>327</v>
      </c>
      <c r="P22" s="32">
        <v>1</v>
      </c>
      <c r="Q22" s="33" t="s">
        <v>367</v>
      </c>
      <c r="R22" s="36">
        <v>204.98</v>
      </c>
      <c r="S22" s="33" t="s">
        <v>360</v>
      </c>
      <c r="T22" s="36">
        <v>17817.23</v>
      </c>
      <c r="U22" s="33"/>
      <c r="V22" s="136" t="e" cm="1">
        <f t="array" ref="V22">_xlfn.XLOOKUP(L22,'Customer Data'!$H:$H,'Customer Data'!$E:$F,,0)</f>
        <v>#N/A</v>
      </c>
      <c r="W22" s="136"/>
      <c r="X22" s="33"/>
      <c r="Y22" s="33" t="s">
        <v>366</v>
      </c>
      <c r="Z22" s="32">
        <v>1</v>
      </c>
      <c r="AA22" s="76">
        <f t="shared" si="0"/>
        <v>0</v>
      </c>
      <c r="AB22" s="33" t="s">
        <v>372</v>
      </c>
      <c r="AC22" s="33" t="s">
        <v>327</v>
      </c>
      <c r="AD22" s="33" t="s">
        <v>327</v>
      </c>
      <c r="AE22" s="33" t="s">
        <v>327</v>
      </c>
      <c r="AF22" s="34">
        <v>45763</v>
      </c>
      <c r="AG22" s="34"/>
      <c r="AH22" s="33" t="s">
        <v>327</v>
      </c>
    </row>
    <row r="23" spans="1:34" x14ac:dyDescent="0.35">
      <c r="A23" s="32">
        <v>6779</v>
      </c>
      <c r="B23" s="32">
        <v>100222335</v>
      </c>
      <c r="C23" s="33" t="s">
        <v>357</v>
      </c>
      <c r="D23" s="32">
        <v>2025</v>
      </c>
      <c r="E23" s="32">
        <v>4</v>
      </c>
      <c r="F23" s="34">
        <v>45763</v>
      </c>
      <c r="G23" s="32">
        <v>1800006794</v>
      </c>
      <c r="H23" s="33" t="s">
        <v>365</v>
      </c>
      <c r="I23" s="34">
        <v>45763</v>
      </c>
      <c r="J23" s="34">
        <v>45763</v>
      </c>
      <c r="K23" s="33" t="s">
        <v>366</v>
      </c>
      <c r="L23" s="35">
        <v>256779411685</v>
      </c>
      <c r="M23" s="32">
        <v>212100</v>
      </c>
      <c r="N23" s="33" t="s">
        <v>359</v>
      </c>
      <c r="O23" s="33" t="s">
        <v>327</v>
      </c>
      <c r="P23" s="32">
        <v>1</v>
      </c>
      <c r="Q23" s="33" t="s">
        <v>367</v>
      </c>
      <c r="R23" s="36">
        <v>31.15</v>
      </c>
      <c r="S23" s="33" t="s">
        <v>360</v>
      </c>
      <c r="T23" s="36">
        <v>2707.61</v>
      </c>
      <c r="U23" s="33"/>
      <c r="V23" s="136" t="e" cm="1">
        <f t="array" ref="V23">_xlfn.XLOOKUP(L23,'Customer Data'!$H:$H,'Customer Data'!$E:$F,,0)</f>
        <v>#N/A</v>
      </c>
      <c r="W23" s="136"/>
      <c r="X23" s="33"/>
      <c r="Y23" s="33" t="s">
        <v>366</v>
      </c>
      <c r="Z23" s="32">
        <v>1</v>
      </c>
      <c r="AA23" s="76">
        <f t="shared" si="0"/>
        <v>0</v>
      </c>
      <c r="AB23" s="33" t="s">
        <v>383</v>
      </c>
      <c r="AC23" s="33" t="s">
        <v>327</v>
      </c>
      <c r="AD23" s="33" t="s">
        <v>327</v>
      </c>
      <c r="AE23" s="33" t="s">
        <v>327</v>
      </c>
      <c r="AF23" s="34">
        <v>45763</v>
      </c>
      <c r="AG23" s="34"/>
      <c r="AH23" s="33" t="s">
        <v>327</v>
      </c>
    </row>
    <row r="24" spans="1:34" x14ac:dyDescent="0.35">
      <c r="A24" s="32">
        <v>6779</v>
      </c>
      <c r="B24" s="32">
        <v>100222335</v>
      </c>
      <c r="C24" s="33" t="s">
        <v>357</v>
      </c>
      <c r="D24" s="32">
        <v>2025</v>
      </c>
      <c r="E24" s="32">
        <v>4</v>
      </c>
      <c r="F24" s="34">
        <v>45763</v>
      </c>
      <c r="G24" s="32">
        <v>1800006795</v>
      </c>
      <c r="H24" s="33" t="s">
        <v>365</v>
      </c>
      <c r="I24" s="34">
        <v>45763</v>
      </c>
      <c r="J24" s="34">
        <v>45763</v>
      </c>
      <c r="K24" s="33" t="s">
        <v>366</v>
      </c>
      <c r="L24" s="35">
        <v>256779411686</v>
      </c>
      <c r="M24" s="32">
        <v>212100</v>
      </c>
      <c r="N24" s="33" t="s">
        <v>359</v>
      </c>
      <c r="O24" s="33" t="s">
        <v>327</v>
      </c>
      <c r="P24" s="32">
        <v>1</v>
      </c>
      <c r="Q24" s="33" t="s">
        <v>367</v>
      </c>
      <c r="R24" s="36">
        <v>31.15</v>
      </c>
      <c r="S24" s="33" t="s">
        <v>360</v>
      </c>
      <c r="T24" s="36">
        <v>2707.61</v>
      </c>
      <c r="U24" s="33"/>
      <c r="V24" s="136" t="e" cm="1">
        <f t="array" ref="V24">_xlfn.XLOOKUP(L24,'Customer Data'!$H:$H,'Customer Data'!$E:$F,,0)</f>
        <v>#N/A</v>
      </c>
      <c r="W24" s="136"/>
      <c r="X24" s="33"/>
      <c r="Y24" s="33" t="s">
        <v>366</v>
      </c>
      <c r="Z24" s="32">
        <v>1</v>
      </c>
      <c r="AA24" s="76">
        <f t="shared" si="0"/>
        <v>0</v>
      </c>
      <c r="AB24" s="33" t="s">
        <v>383</v>
      </c>
      <c r="AC24" s="33" t="s">
        <v>327</v>
      </c>
      <c r="AD24" s="33" t="s">
        <v>327</v>
      </c>
      <c r="AE24" s="33" t="s">
        <v>327</v>
      </c>
      <c r="AF24" s="34">
        <v>45763</v>
      </c>
      <c r="AG24" s="34"/>
      <c r="AH24" s="33" t="s">
        <v>327</v>
      </c>
    </row>
    <row r="25" spans="1:34" x14ac:dyDescent="0.35">
      <c r="A25" s="32">
        <v>6779</v>
      </c>
      <c r="B25" s="32">
        <v>100222335</v>
      </c>
      <c r="C25" s="33" t="s">
        <v>357</v>
      </c>
      <c r="D25" s="32">
        <v>2025</v>
      </c>
      <c r="E25" s="32">
        <v>4</v>
      </c>
      <c r="F25" s="34">
        <v>45763</v>
      </c>
      <c r="G25" s="32">
        <v>1800006802</v>
      </c>
      <c r="H25" s="33" t="s">
        <v>365</v>
      </c>
      <c r="I25" s="34">
        <v>45763</v>
      </c>
      <c r="J25" s="34">
        <v>45763</v>
      </c>
      <c r="K25" s="33" t="s">
        <v>366</v>
      </c>
      <c r="L25" s="35">
        <v>256779411693</v>
      </c>
      <c r="M25" s="32">
        <v>212100</v>
      </c>
      <c r="N25" s="33" t="s">
        <v>359</v>
      </c>
      <c r="O25" s="33" t="s">
        <v>327</v>
      </c>
      <c r="P25" s="32">
        <v>1</v>
      </c>
      <c r="Q25" s="33" t="s">
        <v>367</v>
      </c>
      <c r="R25" s="36">
        <v>3.89</v>
      </c>
      <c r="S25" s="33" t="s">
        <v>360</v>
      </c>
      <c r="T25" s="36">
        <v>338.13</v>
      </c>
      <c r="U25" s="33"/>
      <c r="V25" s="136" t="e" cm="1">
        <f t="array" ref="V25">_xlfn.XLOOKUP(L25,'Customer Data'!$H:$H,'Customer Data'!$E:$F,,0)</f>
        <v>#N/A</v>
      </c>
      <c r="W25" s="136"/>
      <c r="X25" s="33"/>
      <c r="Y25" s="33" t="s">
        <v>366</v>
      </c>
      <c r="Z25" s="32">
        <v>1</v>
      </c>
      <c r="AA25" s="76">
        <f t="shared" si="0"/>
        <v>0</v>
      </c>
      <c r="AB25" s="33" t="s">
        <v>384</v>
      </c>
      <c r="AC25" s="33" t="s">
        <v>327</v>
      </c>
      <c r="AD25" s="33" t="s">
        <v>327</v>
      </c>
      <c r="AE25" s="33" t="s">
        <v>327</v>
      </c>
      <c r="AF25" s="34">
        <v>45763</v>
      </c>
      <c r="AG25" s="34"/>
      <c r="AH25" s="33" t="s">
        <v>327</v>
      </c>
    </row>
    <row r="26" spans="1:34" x14ac:dyDescent="0.35">
      <c r="A26" s="32">
        <v>6779</v>
      </c>
      <c r="B26" s="32">
        <v>100222335</v>
      </c>
      <c r="C26" s="33" t="s">
        <v>357</v>
      </c>
      <c r="D26" s="32">
        <v>2025</v>
      </c>
      <c r="E26" s="32">
        <v>4</v>
      </c>
      <c r="F26" s="34">
        <v>45763</v>
      </c>
      <c r="G26" s="32">
        <v>1800006803</v>
      </c>
      <c r="H26" s="33" t="s">
        <v>365</v>
      </c>
      <c r="I26" s="34">
        <v>45763</v>
      </c>
      <c r="J26" s="34">
        <v>45763</v>
      </c>
      <c r="K26" s="33" t="s">
        <v>366</v>
      </c>
      <c r="L26" s="35">
        <v>256779411694</v>
      </c>
      <c r="M26" s="32">
        <v>212100</v>
      </c>
      <c r="N26" s="33" t="s">
        <v>359</v>
      </c>
      <c r="O26" s="33" t="s">
        <v>327</v>
      </c>
      <c r="P26" s="32">
        <v>1</v>
      </c>
      <c r="Q26" s="33" t="s">
        <v>367</v>
      </c>
      <c r="R26" s="36">
        <v>7.85</v>
      </c>
      <c r="S26" s="33" t="s">
        <v>360</v>
      </c>
      <c r="T26" s="36">
        <v>682.34</v>
      </c>
      <c r="U26" s="33"/>
      <c r="V26" s="136" t="e" cm="1">
        <f t="array" ref="V26">_xlfn.XLOOKUP(L26,'Customer Data'!$H:$H,'Customer Data'!$E:$F,,0)</f>
        <v>#N/A</v>
      </c>
      <c r="W26" s="136"/>
      <c r="X26" s="33"/>
      <c r="Y26" s="33" t="s">
        <v>366</v>
      </c>
      <c r="Z26" s="32">
        <v>1</v>
      </c>
      <c r="AA26" s="76">
        <f t="shared" si="0"/>
        <v>0</v>
      </c>
      <c r="AB26" s="33" t="s">
        <v>384</v>
      </c>
      <c r="AC26" s="33" t="s">
        <v>327</v>
      </c>
      <c r="AD26" s="33" t="s">
        <v>327</v>
      </c>
      <c r="AE26" s="33" t="s">
        <v>327</v>
      </c>
      <c r="AF26" s="34">
        <v>45763</v>
      </c>
      <c r="AG26" s="34"/>
      <c r="AH26" s="33" t="s">
        <v>327</v>
      </c>
    </row>
    <row r="27" spans="1:34" x14ac:dyDescent="0.35">
      <c r="A27" s="32">
        <v>6779</v>
      </c>
      <c r="B27" s="32">
        <v>100222335</v>
      </c>
      <c r="C27" s="33" t="s">
        <v>357</v>
      </c>
      <c r="D27" s="32">
        <v>2025</v>
      </c>
      <c r="E27" s="32">
        <v>4</v>
      </c>
      <c r="F27" s="34">
        <v>45763</v>
      </c>
      <c r="G27" s="32">
        <v>1800006810</v>
      </c>
      <c r="H27" s="33" t="s">
        <v>365</v>
      </c>
      <c r="I27" s="34">
        <v>45763</v>
      </c>
      <c r="J27" s="34">
        <v>45763</v>
      </c>
      <c r="K27" s="33" t="s">
        <v>366</v>
      </c>
      <c r="L27" s="35">
        <v>256779411701</v>
      </c>
      <c r="M27" s="32">
        <v>212100</v>
      </c>
      <c r="N27" s="33" t="s">
        <v>359</v>
      </c>
      <c r="O27" s="33" t="s">
        <v>327</v>
      </c>
      <c r="P27" s="32">
        <v>1</v>
      </c>
      <c r="Q27" s="33" t="s">
        <v>367</v>
      </c>
      <c r="R27" s="36">
        <v>7.85</v>
      </c>
      <c r="S27" s="33" t="s">
        <v>360</v>
      </c>
      <c r="T27" s="36">
        <v>682.34</v>
      </c>
      <c r="U27" s="33"/>
      <c r="V27" s="136" t="e" cm="1">
        <f t="array" ref="V27">_xlfn.XLOOKUP(L27,'Customer Data'!$H:$H,'Customer Data'!$E:$F,,0)</f>
        <v>#N/A</v>
      </c>
      <c r="W27" s="136"/>
      <c r="X27" s="33"/>
      <c r="Y27" s="33" t="s">
        <v>366</v>
      </c>
      <c r="Z27" s="32">
        <v>1</v>
      </c>
      <c r="AA27" s="76">
        <f t="shared" si="0"/>
        <v>0</v>
      </c>
      <c r="AB27" s="33" t="s">
        <v>385</v>
      </c>
      <c r="AC27" s="33" t="s">
        <v>327</v>
      </c>
      <c r="AD27" s="33" t="s">
        <v>327</v>
      </c>
      <c r="AE27" s="33" t="s">
        <v>327</v>
      </c>
      <c r="AF27" s="34">
        <v>45763</v>
      </c>
      <c r="AG27" s="34"/>
      <c r="AH27" s="33" t="s">
        <v>327</v>
      </c>
    </row>
    <row r="28" spans="1:34" x14ac:dyDescent="0.35">
      <c r="A28" s="32">
        <v>6779</v>
      </c>
      <c r="B28" s="32">
        <v>100222335</v>
      </c>
      <c r="C28" s="33" t="s">
        <v>357</v>
      </c>
      <c r="D28" s="32">
        <v>2025</v>
      </c>
      <c r="E28" s="32">
        <v>4</v>
      </c>
      <c r="F28" s="34">
        <v>45763</v>
      </c>
      <c r="G28" s="32">
        <v>1800006806</v>
      </c>
      <c r="H28" s="33" t="s">
        <v>365</v>
      </c>
      <c r="I28" s="34">
        <v>45763</v>
      </c>
      <c r="J28" s="34">
        <v>45763</v>
      </c>
      <c r="K28" s="33" t="s">
        <v>366</v>
      </c>
      <c r="L28" s="35">
        <v>256779411697</v>
      </c>
      <c r="M28" s="32">
        <v>212100</v>
      </c>
      <c r="N28" s="33" t="s">
        <v>359</v>
      </c>
      <c r="O28" s="33" t="s">
        <v>327</v>
      </c>
      <c r="P28" s="32">
        <v>1</v>
      </c>
      <c r="Q28" s="33" t="s">
        <v>367</v>
      </c>
      <c r="R28" s="36">
        <v>1.18</v>
      </c>
      <c r="S28" s="33" t="s">
        <v>360</v>
      </c>
      <c r="T28" s="36">
        <v>102.57</v>
      </c>
      <c r="U28" s="33"/>
      <c r="V28" s="136" t="e" cm="1">
        <f t="array" ref="V28">_xlfn.XLOOKUP(L28,'Customer Data'!$H:$H,'Customer Data'!$E:$F,,0)</f>
        <v>#N/A</v>
      </c>
      <c r="W28" s="136"/>
      <c r="X28" s="33"/>
      <c r="Y28" s="33" t="s">
        <v>366</v>
      </c>
      <c r="Z28" s="32">
        <v>1</v>
      </c>
      <c r="AA28" s="76">
        <f t="shared" si="0"/>
        <v>0</v>
      </c>
      <c r="AB28" s="33" t="s">
        <v>386</v>
      </c>
      <c r="AC28" s="33" t="s">
        <v>327</v>
      </c>
      <c r="AD28" s="33" t="s">
        <v>327</v>
      </c>
      <c r="AE28" s="33" t="s">
        <v>327</v>
      </c>
      <c r="AF28" s="34">
        <v>45763</v>
      </c>
      <c r="AG28" s="34"/>
      <c r="AH28" s="33" t="s">
        <v>327</v>
      </c>
    </row>
    <row r="29" spans="1:34" x14ac:dyDescent="0.35">
      <c r="A29" s="32">
        <v>6779</v>
      </c>
      <c r="B29" s="32">
        <v>100222335</v>
      </c>
      <c r="C29" s="33" t="s">
        <v>357</v>
      </c>
      <c r="D29" s="32">
        <v>2025</v>
      </c>
      <c r="E29" s="32">
        <v>4</v>
      </c>
      <c r="F29" s="34">
        <v>45763</v>
      </c>
      <c r="G29" s="32">
        <v>1800006809</v>
      </c>
      <c r="H29" s="33" t="s">
        <v>365</v>
      </c>
      <c r="I29" s="34">
        <v>45763</v>
      </c>
      <c r="J29" s="34">
        <v>45763</v>
      </c>
      <c r="K29" s="33" t="s">
        <v>366</v>
      </c>
      <c r="L29" s="35">
        <v>256779411700</v>
      </c>
      <c r="M29" s="32">
        <v>212100</v>
      </c>
      <c r="N29" s="33" t="s">
        <v>359</v>
      </c>
      <c r="O29" s="33" t="s">
        <v>327</v>
      </c>
      <c r="P29" s="32">
        <v>1</v>
      </c>
      <c r="Q29" s="33" t="s">
        <v>367</v>
      </c>
      <c r="R29" s="36">
        <v>14.04</v>
      </c>
      <c r="S29" s="33" t="s">
        <v>360</v>
      </c>
      <c r="T29" s="36">
        <v>1220.3800000000001</v>
      </c>
      <c r="U29" s="33"/>
      <c r="V29" s="136" t="e" cm="1">
        <f t="array" ref="V29">_xlfn.XLOOKUP(L29,'Customer Data'!$H:$H,'Customer Data'!$E:$F,,0)</f>
        <v>#N/A</v>
      </c>
      <c r="W29" s="136"/>
      <c r="X29" s="33"/>
      <c r="Y29" s="33" t="s">
        <v>366</v>
      </c>
      <c r="Z29" s="32">
        <v>1</v>
      </c>
      <c r="AA29" s="76">
        <f t="shared" si="0"/>
        <v>0</v>
      </c>
      <c r="AB29" s="33" t="s">
        <v>385</v>
      </c>
      <c r="AC29" s="33" t="s">
        <v>327</v>
      </c>
      <c r="AD29" s="33" t="s">
        <v>327</v>
      </c>
      <c r="AE29" s="33" t="s">
        <v>327</v>
      </c>
      <c r="AF29" s="34">
        <v>45763</v>
      </c>
      <c r="AG29" s="34"/>
      <c r="AH29" s="33" t="s">
        <v>327</v>
      </c>
    </row>
    <row r="30" spans="1:34" x14ac:dyDescent="0.35">
      <c r="A30" s="32">
        <v>6779</v>
      </c>
      <c r="B30" s="32">
        <v>100222335</v>
      </c>
      <c r="C30" s="33" t="s">
        <v>357</v>
      </c>
      <c r="D30" s="32">
        <v>2025</v>
      </c>
      <c r="E30" s="32">
        <v>7</v>
      </c>
      <c r="F30" s="34">
        <v>45863</v>
      </c>
      <c r="G30" s="32">
        <v>1800011248</v>
      </c>
      <c r="H30" s="33" t="s">
        <v>365</v>
      </c>
      <c r="I30" s="34">
        <v>45863</v>
      </c>
      <c r="J30" s="34">
        <v>45863</v>
      </c>
      <c r="K30" s="33" t="s">
        <v>366</v>
      </c>
      <c r="L30" s="35">
        <v>256779415980</v>
      </c>
      <c r="M30" s="32">
        <v>212100</v>
      </c>
      <c r="N30" s="33" t="s">
        <v>359</v>
      </c>
      <c r="O30" s="33" t="s">
        <v>327</v>
      </c>
      <c r="P30" s="32">
        <v>1</v>
      </c>
      <c r="Q30" s="33" t="s">
        <v>367</v>
      </c>
      <c r="R30" s="36">
        <v>11.04</v>
      </c>
      <c r="S30" s="33" t="s">
        <v>360</v>
      </c>
      <c r="T30" s="36">
        <v>949.45</v>
      </c>
      <c r="U30" s="33"/>
      <c r="V30" s="136" t="e" cm="1">
        <f t="array" ref="V30">_xlfn.XLOOKUP(L30,'Customer Data'!$H:$H,'Customer Data'!$E:$F,,0)</f>
        <v>#N/A</v>
      </c>
      <c r="W30" s="136"/>
      <c r="X30" s="33"/>
      <c r="Y30" s="33" t="s">
        <v>366</v>
      </c>
      <c r="Z30" s="32">
        <v>1</v>
      </c>
      <c r="AA30" s="76">
        <f t="shared" si="0"/>
        <v>0</v>
      </c>
      <c r="AB30" s="33" t="s">
        <v>387</v>
      </c>
      <c r="AC30" s="33" t="s">
        <v>327</v>
      </c>
      <c r="AD30" s="33" t="s">
        <v>327</v>
      </c>
      <c r="AE30" s="33" t="s">
        <v>327</v>
      </c>
      <c r="AF30" s="34">
        <v>45863</v>
      </c>
      <c r="AG30" s="34"/>
      <c r="AH30" s="33" t="s">
        <v>327</v>
      </c>
    </row>
    <row r="31" spans="1:34" x14ac:dyDescent="0.35">
      <c r="A31" s="32">
        <v>6779</v>
      </c>
      <c r="B31" s="32">
        <v>100222335</v>
      </c>
      <c r="C31" s="33" t="s">
        <v>357</v>
      </c>
      <c r="D31" s="32">
        <v>2025</v>
      </c>
      <c r="E31" s="32">
        <v>11</v>
      </c>
      <c r="F31" s="34">
        <v>45979</v>
      </c>
      <c r="G31" s="32">
        <v>1800014853</v>
      </c>
      <c r="H31" s="33" t="s">
        <v>365</v>
      </c>
      <c r="I31" s="34">
        <v>45979</v>
      </c>
      <c r="J31" s="34">
        <v>45981</v>
      </c>
      <c r="K31" s="33" t="s">
        <v>366</v>
      </c>
      <c r="L31" s="35">
        <v>256779419351</v>
      </c>
      <c r="M31" s="32">
        <v>212100</v>
      </c>
      <c r="N31" s="33" t="s">
        <v>359</v>
      </c>
      <c r="O31" s="33" t="s">
        <v>327</v>
      </c>
      <c r="P31" s="32">
        <v>1</v>
      </c>
      <c r="Q31" s="33" t="s">
        <v>367</v>
      </c>
      <c r="R31" s="36">
        <v>37.520000000000003</v>
      </c>
      <c r="S31" s="33" t="s">
        <v>360</v>
      </c>
      <c r="T31" s="36">
        <v>3301.89</v>
      </c>
      <c r="U31" s="33"/>
      <c r="V31" s="136" cm="1">
        <f t="array" ref="V31:W31">_xlfn.XLOOKUP(L31,'Customer Data'!$H:$H,'Customer Data'!$E:$F,,0)</f>
        <v>3302</v>
      </c>
      <c r="W31" s="136">
        <v>55</v>
      </c>
      <c r="X31" s="33"/>
      <c r="Y31" s="33" t="s">
        <v>366</v>
      </c>
      <c r="Z31" s="32">
        <v>1</v>
      </c>
      <c r="AA31" s="76">
        <f t="shared" si="0"/>
        <v>1.6657126675934088E-2</v>
      </c>
      <c r="AB31" s="33" t="s">
        <v>388</v>
      </c>
      <c r="AC31" s="33" t="s">
        <v>327</v>
      </c>
      <c r="AD31" s="33" t="s">
        <v>327</v>
      </c>
      <c r="AE31" s="33" t="s">
        <v>327</v>
      </c>
      <c r="AF31" s="34">
        <v>45979</v>
      </c>
      <c r="AG31" s="34"/>
      <c r="AH31" s="33" t="s">
        <v>327</v>
      </c>
    </row>
    <row r="32" spans="1:34" x14ac:dyDescent="0.35">
      <c r="A32" s="32">
        <v>6779</v>
      </c>
      <c r="B32" s="32">
        <v>100222335</v>
      </c>
      <c r="C32" s="33" t="s">
        <v>357</v>
      </c>
      <c r="D32" s="32">
        <v>2025</v>
      </c>
      <c r="E32" s="32">
        <v>9</v>
      </c>
      <c r="F32" s="34">
        <v>45904</v>
      </c>
      <c r="G32" s="32">
        <v>1800012317</v>
      </c>
      <c r="H32" s="33" t="s">
        <v>365</v>
      </c>
      <c r="I32" s="34">
        <v>45904</v>
      </c>
      <c r="J32" s="34">
        <v>45908</v>
      </c>
      <c r="K32" s="33" t="s">
        <v>366</v>
      </c>
      <c r="L32" s="35">
        <v>256779416940</v>
      </c>
      <c r="M32" s="32">
        <v>212100</v>
      </c>
      <c r="N32" s="33" t="s">
        <v>359</v>
      </c>
      <c r="O32" s="33" t="s">
        <v>327</v>
      </c>
      <c r="P32" s="32">
        <v>1</v>
      </c>
      <c r="Q32" s="33" t="s">
        <v>367</v>
      </c>
      <c r="R32" s="36">
        <v>1440.32</v>
      </c>
      <c r="S32" s="33" t="s">
        <v>360</v>
      </c>
      <c r="T32" s="36">
        <v>126048.64</v>
      </c>
      <c r="U32" s="33"/>
      <c r="V32" s="136" t="e" cm="1">
        <f t="array" ref="V32">_xlfn.XLOOKUP(L32,'Customer Data'!$H:$H,'Customer Data'!$E:$F,,0)</f>
        <v>#N/A</v>
      </c>
      <c r="W32" s="136"/>
      <c r="X32" s="33"/>
      <c r="Y32" s="33" t="s">
        <v>366</v>
      </c>
      <c r="Z32" s="32">
        <v>1</v>
      </c>
      <c r="AA32" s="76">
        <f t="shared" si="0"/>
        <v>0</v>
      </c>
      <c r="AB32" s="33" t="s">
        <v>389</v>
      </c>
      <c r="AC32" s="33" t="s">
        <v>327</v>
      </c>
      <c r="AD32" s="33" t="s">
        <v>327</v>
      </c>
      <c r="AE32" s="33" t="s">
        <v>327</v>
      </c>
      <c r="AF32" s="34">
        <v>45904</v>
      </c>
      <c r="AG32" s="34"/>
      <c r="AH32" s="33" t="s">
        <v>327</v>
      </c>
    </row>
    <row r="33" spans="1:34" x14ac:dyDescent="0.35">
      <c r="A33" s="32">
        <v>6779</v>
      </c>
      <c r="B33" s="32">
        <v>100222335</v>
      </c>
      <c r="C33" s="33" t="s">
        <v>357</v>
      </c>
      <c r="D33" s="32">
        <v>2025</v>
      </c>
      <c r="E33" s="32">
        <v>9</v>
      </c>
      <c r="F33" s="34">
        <v>45904</v>
      </c>
      <c r="G33" s="32">
        <v>1800012352</v>
      </c>
      <c r="H33" s="33" t="s">
        <v>365</v>
      </c>
      <c r="I33" s="34">
        <v>45904</v>
      </c>
      <c r="J33" s="34">
        <v>45908</v>
      </c>
      <c r="K33" s="33" t="s">
        <v>366</v>
      </c>
      <c r="L33" s="35">
        <v>256779416975</v>
      </c>
      <c r="M33" s="32">
        <v>212100</v>
      </c>
      <c r="N33" s="33" t="s">
        <v>359</v>
      </c>
      <c r="O33" s="33" t="s">
        <v>327</v>
      </c>
      <c r="P33" s="32">
        <v>1</v>
      </c>
      <c r="Q33" s="33" t="s">
        <v>367</v>
      </c>
      <c r="R33" s="36">
        <v>523.35</v>
      </c>
      <c r="S33" s="33" t="s">
        <v>360</v>
      </c>
      <c r="T33" s="36">
        <v>45800.62</v>
      </c>
      <c r="U33" s="33"/>
      <c r="V33" s="136" cm="1">
        <f t="array" ref="V33:W33">_xlfn.XLOOKUP(L33,'Customer Data'!$H:$H,'Customer Data'!$E:$F,,0)</f>
        <v>45918</v>
      </c>
      <c r="W33" s="136">
        <v>778</v>
      </c>
      <c r="X33" s="33"/>
      <c r="Y33" s="33" t="s">
        <v>366</v>
      </c>
      <c r="Z33" s="32">
        <v>1</v>
      </c>
      <c r="AA33" s="76">
        <f t="shared" si="0"/>
        <v>1.6986669612769432E-2</v>
      </c>
      <c r="AB33" s="33" t="s">
        <v>390</v>
      </c>
      <c r="AC33" s="33" t="s">
        <v>327</v>
      </c>
      <c r="AD33" s="33" t="s">
        <v>327</v>
      </c>
      <c r="AE33" s="33" t="s">
        <v>327</v>
      </c>
      <c r="AF33" s="34">
        <v>45904</v>
      </c>
      <c r="AG33" s="34"/>
      <c r="AH33" s="33" t="s">
        <v>327</v>
      </c>
    </row>
    <row r="34" spans="1:34" x14ac:dyDescent="0.35">
      <c r="A34" s="32">
        <v>6779</v>
      </c>
      <c r="B34" s="32">
        <v>100222335</v>
      </c>
      <c r="C34" s="33" t="s">
        <v>357</v>
      </c>
      <c r="D34" s="32">
        <v>2025</v>
      </c>
      <c r="E34" s="32">
        <v>9</v>
      </c>
      <c r="F34" s="34">
        <v>45904</v>
      </c>
      <c r="G34" s="32">
        <v>1800012487</v>
      </c>
      <c r="H34" s="33" t="s">
        <v>365</v>
      </c>
      <c r="I34" s="34">
        <v>45904</v>
      </c>
      <c r="J34" s="34">
        <v>45909</v>
      </c>
      <c r="K34" s="33" t="s">
        <v>366</v>
      </c>
      <c r="L34" s="35">
        <v>256779417095</v>
      </c>
      <c r="M34" s="32">
        <v>212100</v>
      </c>
      <c r="N34" s="33" t="s">
        <v>359</v>
      </c>
      <c r="O34" s="33" t="s">
        <v>327</v>
      </c>
      <c r="P34" s="32">
        <v>1</v>
      </c>
      <c r="Q34" s="33" t="s">
        <v>367</v>
      </c>
      <c r="R34" s="36">
        <v>8.06</v>
      </c>
      <c r="S34" s="33" t="s">
        <v>360</v>
      </c>
      <c r="T34" s="36">
        <v>705.37</v>
      </c>
      <c r="U34" s="33"/>
      <c r="V34" s="136" t="e" cm="1">
        <f t="array" ref="V34">_xlfn.XLOOKUP(L34,'Customer Data'!$H:$H,'Customer Data'!$E:$F,,0)</f>
        <v>#N/A</v>
      </c>
      <c r="W34" s="136"/>
      <c r="X34" s="33"/>
      <c r="Y34" s="33" t="s">
        <v>366</v>
      </c>
      <c r="Z34" s="32">
        <v>1</v>
      </c>
      <c r="AA34" s="76">
        <f t="shared" si="0"/>
        <v>0</v>
      </c>
      <c r="AB34" s="33" t="s">
        <v>391</v>
      </c>
      <c r="AC34" s="33" t="s">
        <v>327</v>
      </c>
      <c r="AD34" s="33" t="s">
        <v>327</v>
      </c>
      <c r="AE34" s="33" t="s">
        <v>327</v>
      </c>
      <c r="AF34" s="34">
        <v>45904</v>
      </c>
      <c r="AG34" s="34"/>
      <c r="AH34" s="33" t="s">
        <v>327</v>
      </c>
    </row>
    <row r="35" spans="1:34" x14ac:dyDescent="0.35">
      <c r="A35" s="32">
        <v>6779</v>
      </c>
      <c r="B35" s="32">
        <v>100222335</v>
      </c>
      <c r="C35" s="33" t="s">
        <v>357</v>
      </c>
      <c r="D35" s="32">
        <v>2025</v>
      </c>
      <c r="E35" s="32">
        <v>7</v>
      </c>
      <c r="F35" s="34">
        <v>45842</v>
      </c>
      <c r="G35" s="32">
        <v>1800010324</v>
      </c>
      <c r="H35" s="33" t="s">
        <v>365</v>
      </c>
      <c r="I35" s="34">
        <v>45842</v>
      </c>
      <c r="J35" s="34">
        <v>45847</v>
      </c>
      <c r="K35" s="33" t="s">
        <v>366</v>
      </c>
      <c r="L35" s="35">
        <v>256779415084</v>
      </c>
      <c r="M35" s="32">
        <v>212100</v>
      </c>
      <c r="N35" s="33" t="s">
        <v>359</v>
      </c>
      <c r="O35" s="33" t="s">
        <v>327</v>
      </c>
      <c r="P35" s="32">
        <v>1</v>
      </c>
      <c r="Q35" s="33" t="s">
        <v>367</v>
      </c>
      <c r="R35" s="36">
        <v>68.69</v>
      </c>
      <c r="S35" s="33" t="s">
        <v>360</v>
      </c>
      <c r="T35" s="36">
        <v>5907.39</v>
      </c>
      <c r="U35" s="33"/>
      <c r="V35" s="136" t="e" cm="1">
        <f t="array" ref="V35">_xlfn.XLOOKUP(L35,'Customer Data'!$H:$H,'Customer Data'!$E:$F,,0)</f>
        <v>#N/A</v>
      </c>
      <c r="W35" s="136"/>
      <c r="X35" s="33"/>
      <c r="Y35" s="33" t="s">
        <v>366</v>
      </c>
      <c r="Z35" s="32">
        <v>1</v>
      </c>
      <c r="AA35" s="76">
        <f t="shared" si="0"/>
        <v>0</v>
      </c>
      <c r="AB35" s="33" t="s">
        <v>392</v>
      </c>
      <c r="AC35" s="33" t="s">
        <v>327</v>
      </c>
      <c r="AD35" s="33" t="s">
        <v>327</v>
      </c>
      <c r="AE35" s="33" t="s">
        <v>327</v>
      </c>
      <c r="AF35" s="34">
        <v>45842</v>
      </c>
      <c r="AG35" s="34"/>
      <c r="AH35" s="33" t="s">
        <v>327</v>
      </c>
    </row>
    <row r="36" spans="1:34" x14ac:dyDescent="0.35">
      <c r="A36" s="32">
        <v>6779</v>
      </c>
      <c r="B36" s="32">
        <v>100222335</v>
      </c>
      <c r="C36" s="33" t="s">
        <v>357</v>
      </c>
      <c r="D36" s="32">
        <v>2025</v>
      </c>
      <c r="E36" s="32">
        <v>7</v>
      </c>
      <c r="F36" s="34">
        <v>45842</v>
      </c>
      <c r="G36" s="32">
        <v>1800010247</v>
      </c>
      <c r="H36" s="33" t="s">
        <v>365</v>
      </c>
      <c r="I36" s="34">
        <v>45842</v>
      </c>
      <c r="J36" s="34">
        <v>45847</v>
      </c>
      <c r="K36" s="33" t="s">
        <v>366</v>
      </c>
      <c r="L36" s="35">
        <v>256779415007</v>
      </c>
      <c r="M36" s="32">
        <v>212100</v>
      </c>
      <c r="N36" s="33" t="s">
        <v>359</v>
      </c>
      <c r="O36" s="33" t="s">
        <v>327</v>
      </c>
      <c r="P36" s="32">
        <v>1</v>
      </c>
      <c r="Q36" s="33" t="s">
        <v>367</v>
      </c>
      <c r="R36" s="36">
        <v>11.01</v>
      </c>
      <c r="S36" s="33" t="s">
        <v>360</v>
      </c>
      <c r="T36" s="36">
        <v>946.87</v>
      </c>
      <c r="U36" s="33"/>
      <c r="V36" s="136" cm="1">
        <f t="array" ref="V36:W36">_xlfn.XLOOKUP(L36,'Customer Data'!$H:$H,'Customer Data'!$E:$F,,0)</f>
        <v>947</v>
      </c>
      <c r="W36" s="136">
        <v>16</v>
      </c>
      <c r="X36" s="33"/>
      <c r="Y36" s="33" t="s">
        <v>366</v>
      </c>
      <c r="Z36" s="32">
        <v>1</v>
      </c>
      <c r="AA36" s="76">
        <f t="shared" si="0"/>
        <v>1.6897778998172928E-2</v>
      </c>
      <c r="AB36" s="33" t="s">
        <v>393</v>
      </c>
      <c r="AC36" s="33" t="s">
        <v>327</v>
      </c>
      <c r="AD36" s="33" t="s">
        <v>327</v>
      </c>
      <c r="AE36" s="33" t="s">
        <v>327</v>
      </c>
      <c r="AF36" s="34">
        <v>45842</v>
      </c>
      <c r="AG36" s="34">
        <v>45912</v>
      </c>
      <c r="AH36" s="32">
        <v>1400001170</v>
      </c>
    </row>
    <row r="37" spans="1:34" x14ac:dyDescent="0.35">
      <c r="A37" s="32">
        <v>6779</v>
      </c>
      <c r="B37" s="32">
        <v>100222335</v>
      </c>
      <c r="C37" s="33" t="s">
        <v>357</v>
      </c>
      <c r="D37" s="32">
        <v>2025</v>
      </c>
      <c r="E37" s="32">
        <v>11</v>
      </c>
      <c r="F37" s="34">
        <v>45966</v>
      </c>
      <c r="G37" s="32">
        <v>1800014357</v>
      </c>
      <c r="H37" s="33" t="s">
        <v>365</v>
      </c>
      <c r="I37" s="34">
        <v>45966</v>
      </c>
      <c r="J37" s="34">
        <v>45967</v>
      </c>
      <c r="K37" s="33" t="s">
        <v>366</v>
      </c>
      <c r="L37" s="35">
        <v>256779418846</v>
      </c>
      <c r="M37" s="32">
        <v>212100</v>
      </c>
      <c r="N37" s="33" t="s">
        <v>359</v>
      </c>
      <c r="O37" s="33" t="s">
        <v>327</v>
      </c>
      <c r="P37" s="32">
        <v>1</v>
      </c>
      <c r="Q37" s="33" t="s">
        <v>367</v>
      </c>
      <c r="R37" s="36">
        <v>2.66</v>
      </c>
      <c r="S37" s="33" t="s">
        <v>360</v>
      </c>
      <c r="T37" s="36">
        <v>234.09</v>
      </c>
      <c r="U37" s="33"/>
      <c r="V37" s="136" cm="1">
        <f t="array" ref="V37:W37">_xlfn.XLOOKUP(L37,'Customer Data'!$H:$H,'Customer Data'!$E:$F,,0)</f>
        <v>234.21</v>
      </c>
      <c r="W37" s="136">
        <v>0</v>
      </c>
      <c r="X37" s="33"/>
      <c r="Y37" s="33" t="s">
        <v>366</v>
      </c>
      <c r="Z37" s="32">
        <v>1</v>
      </c>
      <c r="AA37" s="76">
        <f t="shared" si="0"/>
        <v>0</v>
      </c>
      <c r="AB37" s="33" t="s">
        <v>394</v>
      </c>
      <c r="AC37" s="33" t="s">
        <v>327</v>
      </c>
      <c r="AD37" s="33" t="s">
        <v>327</v>
      </c>
      <c r="AE37" s="33" t="s">
        <v>327</v>
      </c>
      <c r="AF37" s="34">
        <v>45966</v>
      </c>
      <c r="AG37" s="34"/>
      <c r="AH37" s="33" t="s">
        <v>327</v>
      </c>
    </row>
    <row r="38" spans="1:34" x14ac:dyDescent="0.35">
      <c r="A38" s="32">
        <v>6779</v>
      </c>
      <c r="B38" s="32">
        <v>100222335</v>
      </c>
      <c r="C38" s="33" t="s">
        <v>357</v>
      </c>
      <c r="D38" s="32">
        <v>2025</v>
      </c>
      <c r="E38" s="32">
        <v>11</v>
      </c>
      <c r="F38" s="34">
        <v>45966</v>
      </c>
      <c r="G38" s="32">
        <v>1800014656</v>
      </c>
      <c r="H38" s="33" t="s">
        <v>365</v>
      </c>
      <c r="I38" s="34">
        <v>45966</v>
      </c>
      <c r="J38" s="34">
        <v>45967</v>
      </c>
      <c r="K38" s="33" t="s">
        <v>366</v>
      </c>
      <c r="L38" s="35">
        <v>256779418961</v>
      </c>
      <c r="M38" s="32">
        <v>212100</v>
      </c>
      <c r="N38" s="33" t="s">
        <v>359</v>
      </c>
      <c r="O38" s="33" t="s">
        <v>327</v>
      </c>
      <c r="P38" s="32">
        <v>1</v>
      </c>
      <c r="Q38" s="33" t="s">
        <v>367</v>
      </c>
      <c r="R38" s="36">
        <v>531.20000000000005</v>
      </c>
      <c r="S38" s="33" t="s">
        <v>360</v>
      </c>
      <c r="T38" s="36">
        <v>46747.4</v>
      </c>
      <c r="U38" s="33"/>
      <c r="V38" s="136" cm="1">
        <f t="array" ref="V38:W38">_xlfn.XLOOKUP(L38,'Customer Data'!$H:$H,'Customer Data'!$E:$F,,0)</f>
        <v>46747.46</v>
      </c>
      <c r="W38" s="136">
        <v>0</v>
      </c>
      <c r="X38" s="33"/>
      <c r="Y38" s="33" t="s">
        <v>366</v>
      </c>
      <c r="Z38" s="32">
        <v>1</v>
      </c>
      <c r="AA38" s="76">
        <f t="shared" si="0"/>
        <v>0</v>
      </c>
      <c r="AB38" s="33" t="s">
        <v>395</v>
      </c>
      <c r="AC38" s="33" t="s">
        <v>327</v>
      </c>
      <c r="AD38" s="33" t="s">
        <v>327</v>
      </c>
      <c r="AE38" s="33" t="s">
        <v>327</v>
      </c>
      <c r="AF38" s="34">
        <v>45966</v>
      </c>
      <c r="AG38" s="34"/>
      <c r="AH38" s="33" t="s">
        <v>327</v>
      </c>
    </row>
    <row r="39" spans="1:34" x14ac:dyDescent="0.35">
      <c r="A39" s="32">
        <v>6779</v>
      </c>
      <c r="B39" s="32">
        <v>100222335</v>
      </c>
      <c r="C39" s="33" t="s">
        <v>357</v>
      </c>
      <c r="D39" s="32">
        <v>2025</v>
      </c>
      <c r="E39" s="32">
        <v>8</v>
      </c>
      <c r="F39" s="34">
        <v>45877</v>
      </c>
      <c r="G39" s="32">
        <v>1800011768</v>
      </c>
      <c r="H39" s="33" t="s">
        <v>365</v>
      </c>
      <c r="I39" s="34">
        <v>45877</v>
      </c>
      <c r="J39" s="34">
        <v>45877</v>
      </c>
      <c r="K39" s="33" t="s">
        <v>366</v>
      </c>
      <c r="L39" s="35">
        <v>256779416159</v>
      </c>
      <c r="M39" s="32">
        <v>212100</v>
      </c>
      <c r="N39" s="33" t="s">
        <v>359</v>
      </c>
      <c r="O39" s="33" t="s">
        <v>327</v>
      </c>
      <c r="P39" s="32">
        <v>1</v>
      </c>
      <c r="Q39" s="33" t="s">
        <v>367</v>
      </c>
      <c r="R39" s="36">
        <v>67.34</v>
      </c>
      <c r="S39" s="33" t="s">
        <v>360</v>
      </c>
      <c r="T39" s="36">
        <v>5793.27</v>
      </c>
      <c r="U39" s="33"/>
      <c r="V39" s="136" t="e" cm="1">
        <f t="array" ref="V39">_xlfn.XLOOKUP(L39,'Customer Data'!$H:$H,'Customer Data'!$E:$F,,0)</f>
        <v>#N/A</v>
      </c>
      <c r="W39" s="136"/>
      <c r="X39" s="33"/>
      <c r="Y39" s="33" t="s">
        <v>366</v>
      </c>
      <c r="Z39" s="32">
        <v>1</v>
      </c>
      <c r="AA39" s="76">
        <f t="shared" si="0"/>
        <v>0</v>
      </c>
      <c r="AB39" s="33" t="s">
        <v>396</v>
      </c>
      <c r="AC39" s="33" t="s">
        <v>327</v>
      </c>
      <c r="AD39" s="33" t="s">
        <v>327</v>
      </c>
      <c r="AE39" s="33" t="s">
        <v>327</v>
      </c>
      <c r="AF39" s="34">
        <v>45877</v>
      </c>
      <c r="AG39" s="34"/>
      <c r="AH39" s="33" t="s">
        <v>327</v>
      </c>
    </row>
    <row r="40" spans="1:34" x14ac:dyDescent="0.35">
      <c r="A40" s="32">
        <v>6779</v>
      </c>
      <c r="B40" s="32">
        <v>100222335</v>
      </c>
      <c r="C40" s="33" t="s">
        <v>357</v>
      </c>
      <c r="D40" s="32">
        <v>2025</v>
      </c>
      <c r="E40" s="32">
        <v>8</v>
      </c>
      <c r="F40" s="34">
        <v>45877</v>
      </c>
      <c r="G40" s="32">
        <v>1800011630</v>
      </c>
      <c r="H40" s="33" t="s">
        <v>365</v>
      </c>
      <c r="I40" s="34">
        <v>45877</v>
      </c>
      <c r="J40" s="34">
        <v>45877</v>
      </c>
      <c r="K40" s="33" t="s">
        <v>366</v>
      </c>
      <c r="L40" s="35">
        <v>256779416480</v>
      </c>
      <c r="M40" s="32">
        <v>212100</v>
      </c>
      <c r="N40" s="33" t="s">
        <v>359</v>
      </c>
      <c r="O40" s="33" t="s">
        <v>327</v>
      </c>
      <c r="P40" s="32">
        <v>1</v>
      </c>
      <c r="Q40" s="33" t="s">
        <v>367</v>
      </c>
      <c r="R40" s="36">
        <v>86.26</v>
      </c>
      <c r="S40" s="33" t="s">
        <v>360</v>
      </c>
      <c r="T40" s="36">
        <v>7420.96</v>
      </c>
      <c r="U40" s="33"/>
      <c r="V40" s="136" t="e" cm="1">
        <f t="array" ref="V40">_xlfn.XLOOKUP(L40,'Customer Data'!$H:$H,'Customer Data'!$E:$F,,0)</f>
        <v>#N/A</v>
      </c>
      <c r="W40" s="136"/>
      <c r="X40" s="33"/>
      <c r="Y40" s="33" t="s">
        <v>366</v>
      </c>
      <c r="Z40" s="32">
        <v>1</v>
      </c>
      <c r="AA40" s="76">
        <f t="shared" si="0"/>
        <v>0</v>
      </c>
      <c r="AB40" s="33" t="s">
        <v>397</v>
      </c>
      <c r="AC40" s="33" t="s">
        <v>327</v>
      </c>
      <c r="AD40" s="33" t="s">
        <v>327</v>
      </c>
      <c r="AE40" s="33" t="s">
        <v>327</v>
      </c>
      <c r="AF40" s="34">
        <v>45877</v>
      </c>
      <c r="AG40" s="34"/>
      <c r="AH40" s="33" t="s">
        <v>327</v>
      </c>
    </row>
    <row r="41" spans="1:34" x14ac:dyDescent="0.35">
      <c r="A41" s="32">
        <v>6779</v>
      </c>
      <c r="B41" s="32">
        <v>100222335</v>
      </c>
      <c r="C41" s="33" t="s">
        <v>357</v>
      </c>
      <c r="D41" s="32">
        <v>2025</v>
      </c>
      <c r="E41" s="32">
        <v>8</v>
      </c>
      <c r="F41" s="34">
        <v>45877</v>
      </c>
      <c r="G41" s="32">
        <v>1800011825</v>
      </c>
      <c r="H41" s="33" t="s">
        <v>365</v>
      </c>
      <c r="I41" s="34">
        <v>45877</v>
      </c>
      <c r="J41" s="34">
        <v>45877</v>
      </c>
      <c r="K41" s="33" t="s">
        <v>366</v>
      </c>
      <c r="L41" s="35">
        <v>256779416134</v>
      </c>
      <c r="M41" s="32">
        <v>212100</v>
      </c>
      <c r="N41" s="33" t="s">
        <v>359</v>
      </c>
      <c r="O41" s="33" t="s">
        <v>327</v>
      </c>
      <c r="P41" s="32">
        <v>1</v>
      </c>
      <c r="Q41" s="33" t="s">
        <v>367</v>
      </c>
      <c r="R41" s="36">
        <v>102.45</v>
      </c>
      <c r="S41" s="33" t="s">
        <v>360</v>
      </c>
      <c r="T41" s="36">
        <v>8813.7900000000009</v>
      </c>
      <c r="U41" s="33"/>
      <c r="V41" s="136" t="e" cm="1">
        <f t="array" ref="V41">_xlfn.XLOOKUP(L41,'Customer Data'!$H:$H,'Customer Data'!$E:$F,,0)</f>
        <v>#N/A</v>
      </c>
      <c r="W41" s="136"/>
      <c r="X41" s="33"/>
      <c r="Y41" s="33" t="s">
        <v>366</v>
      </c>
      <c r="Z41" s="32">
        <v>1</v>
      </c>
      <c r="AA41" s="76">
        <f t="shared" si="0"/>
        <v>0</v>
      </c>
      <c r="AB41" s="33" t="s">
        <v>398</v>
      </c>
      <c r="AC41" s="33" t="s">
        <v>327</v>
      </c>
      <c r="AD41" s="33" t="s">
        <v>327</v>
      </c>
      <c r="AE41" s="33" t="s">
        <v>327</v>
      </c>
      <c r="AF41" s="34">
        <v>45877</v>
      </c>
      <c r="AG41" s="34"/>
      <c r="AH41" s="33" t="s">
        <v>327</v>
      </c>
    </row>
    <row r="42" spans="1:34" x14ac:dyDescent="0.35">
      <c r="A42" s="32">
        <v>6779</v>
      </c>
      <c r="B42" s="32">
        <v>100222335</v>
      </c>
      <c r="C42" s="33" t="s">
        <v>357</v>
      </c>
      <c r="D42" s="32">
        <v>2025</v>
      </c>
      <c r="E42" s="32">
        <v>8</v>
      </c>
      <c r="F42" s="34">
        <v>45877</v>
      </c>
      <c r="G42" s="32">
        <v>1800011682</v>
      </c>
      <c r="H42" s="33" t="s">
        <v>365</v>
      </c>
      <c r="I42" s="34">
        <v>45877</v>
      </c>
      <c r="J42" s="34">
        <v>45877</v>
      </c>
      <c r="K42" s="33" t="s">
        <v>366</v>
      </c>
      <c r="L42" s="35">
        <v>256779416200</v>
      </c>
      <c r="M42" s="32">
        <v>212100</v>
      </c>
      <c r="N42" s="33" t="s">
        <v>359</v>
      </c>
      <c r="O42" s="33" t="s">
        <v>327</v>
      </c>
      <c r="P42" s="32">
        <v>1</v>
      </c>
      <c r="Q42" s="33" t="s">
        <v>367</v>
      </c>
      <c r="R42" s="36">
        <v>36.19</v>
      </c>
      <c r="S42" s="33" t="s">
        <v>360</v>
      </c>
      <c r="T42" s="36">
        <v>3113.43</v>
      </c>
      <c r="U42" s="33"/>
      <c r="V42" s="136" t="e" cm="1">
        <f t="array" ref="V42">_xlfn.XLOOKUP(L42,'Customer Data'!$H:$H,'Customer Data'!$E:$F,,0)</f>
        <v>#N/A</v>
      </c>
      <c r="W42" s="136"/>
      <c r="X42" s="33"/>
      <c r="Y42" s="33" t="s">
        <v>366</v>
      </c>
      <c r="Z42" s="32">
        <v>1</v>
      </c>
      <c r="AA42" s="76">
        <f t="shared" si="0"/>
        <v>0</v>
      </c>
      <c r="AB42" s="33" t="s">
        <v>399</v>
      </c>
      <c r="AC42" s="33" t="s">
        <v>327</v>
      </c>
      <c r="AD42" s="33" t="s">
        <v>327</v>
      </c>
      <c r="AE42" s="33" t="s">
        <v>327</v>
      </c>
      <c r="AF42" s="34">
        <v>45877</v>
      </c>
      <c r="AG42" s="34"/>
      <c r="AH42" s="33" t="s">
        <v>327</v>
      </c>
    </row>
    <row r="43" spans="1:34" x14ac:dyDescent="0.35">
      <c r="A43" s="32">
        <v>6779</v>
      </c>
      <c r="B43" s="32">
        <v>100222335</v>
      </c>
      <c r="C43" s="33" t="s">
        <v>357</v>
      </c>
      <c r="D43" s="32">
        <v>2025</v>
      </c>
      <c r="E43" s="32">
        <v>8</v>
      </c>
      <c r="F43" s="34">
        <v>45877</v>
      </c>
      <c r="G43" s="32">
        <v>1800011389</v>
      </c>
      <c r="H43" s="33" t="s">
        <v>365</v>
      </c>
      <c r="I43" s="34">
        <v>45877</v>
      </c>
      <c r="J43" s="34">
        <v>45877</v>
      </c>
      <c r="K43" s="33" t="s">
        <v>366</v>
      </c>
      <c r="L43" s="35">
        <v>256779416239</v>
      </c>
      <c r="M43" s="32">
        <v>212100</v>
      </c>
      <c r="N43" s="33" t="s">
        <v>359</v>
      </c>
      <c r="O43" s="33" t="s">
        <v>327</v>
      </c>
      <c r="P43" s="32">
        <v>1</v>
      </c>
      <c r="Q43" s="33" t="s">
        <v>367</v>
      </c>
      <c r="R43" s="36">
        <v>132.4</v>
      </c>
      <c r="S43" s="33" t="s">
        <v>360</v>
      </c>
      <c r="T43" s="36">
        <v>11390.39</v>
      </c>
      <c r="U43" s="33"/>
      <c r="V43" s="136" t="e" cm="1">
        <f t="array" ref="V43">_xlfn.XLOOKUP(L43,'Customer Data'!$H:$H,'Customer Data'!$E:$F,,0)</f>
        <v>#N/A</v>
      </c>
      <c r="W43" s="136"/>
      <c r="X43" s="33"/>
      <c r="Y43" s="33" t="s">
        <v>366</v>
      </c>
      <c r="Z43" s="32">
        <v>1</v>
      </c>
      <c r="AA43" s="76">
        <f t="shared" si="0"/>
        <v>0</v>
      </c>
      <c r="AB43" s="33" t="s">
        <v>400</v>
      </c>
      <c r="AC43" s="33" t="s">
        <v>327</v>
      </c>
      <c r="AD43" s="33" t="s">
        <v>327</v>
      </c>
      <c r="AE43" s="33" t="s">
        <v>327</v>
      </c>
      <c r="AF43" s="34">
        <v>45877</v>
      </c>
      <c r="AG43" s="34"/>
      <c r="AH43" s="33" t="s">
        <v>327</v>
      </c>
    </row>
    <row r="44" spans="1:34" x14ac:dyDescent="0.35">
      <c r="A44" s="32">
        <v>6779</v>
      </c>
      <c r="B44" s="32">
        <v>100222335</v>
      </c>
      <c r="C44" s="33" t="s">
        <v>357</v>
      </c>
      <c r="D44" s="32">
        <v>2025</v>
      </c>
      <c r="E44" s="32">
        <v>8</v>
      </c>
      <c r="F44" s="34">
        <v>45877</v>
      </c>
      <c r="G44" s="32">
        <v>1800011445</v>
      </c>
      <c r="H44" s="33" t="s">
        <v>365</v>
      </c>
      <c r="I44" s="34">
        <v>45877</v>
      </c>
      <c r="J44" s="34">
        <v>45877</v>
      </c>
      <c r="K44" s="33" t="s">
        <v>366</v>
      </c>
      <c r="L44" s="35">
        <v>256779416295</v>
      </c>
      <c r="M44" s="32">
        <v>212100</v>
      </c>
      <c r="N44" s="33" t="s">
        <v>359</v>
      </c>
      <c r="O44" s="33" t="s">
        <v>327</v>
      </c>
      <c r="P44" s="32">
        <v>1</v>
      </c>
      <c r="Q44" s="33" t="s">
        <v>367</v>
      </c>
      <c r="R44" s="36">
        <v>3.63</v>
      </c>
      <c r="S44" s="33" t="s">
        <v>360</v>
      </c>
      <c r="T44" s="36">
        <v>312.29000000000002</v>
      </c>
      <c r="U44" s="33"/>
      <c r="V44" s="136" t="e" cm="1">
        <f t="array" ref="V44">_xlfn.XLOOKUP(L44,'Customer Data'!$H:$H,'Customer Data'!$E:$F,,0)</f>
        <v>#N/A</v>
      </c>
      <c r="W44" s="136"/>
      <c r="X44" s="33"/>
      <c r="Y44" s="33" t="s">
        <v>366</v>
      </c>
      <c r="Z44" s="32">
        <v>1</v>
      </c>
      <c r="AA44" s="76">
        <f t="shared" si="0"/>
        <v>0</v>
      </c>
      <c r="AB44" s="33" t="s">
        <v>401</v>
      </c>
      <c r="AC44" s="33" t="s">
        <v>327</v>
      </c>
      <c r="AD44" s="33" t="s">
        <v>327</v>
      </c>
      <c r="AE44" s="33" t="s">
        <v>327</v>
      </c>
      <c r="AF44" s="34">
        <v>45877</v>
      </c>
      <c r="AG44" s="34"/>
      <c r="AH44" s="33" t="s">
        <v>327</v>
      </c>
    </row>
    <row r="45" spans="1:34" x14ac:dyDescent="0.35">
      <c r="A45" s="32">
        <v>6779</v>
      </c>
      <c r="B45" s="32">
        <v>100222335</v>
      </c>
      <c r="C45" s="33" t="s">
        <v>357</v>
      </c>
      <c r="D45" s="32">
        <v>2025</v>
      </c>
      <c r="E45" s="32">
        <v>8</v>
      </c>
      <c r="F45" s="34">
        <v>45877</v>
      </c>
      <c r="G45" s="32">
        <v>1800011529</v>
      </c>
      <c r="H45" s="33" t="s">
        <v>365</v>
      </c>
      <c r="I45" s="34">
        <v>45877</v>
      </c>
      <c r="J45" s="34">
        <v>45877</v>
      </c>
      <c r="K45" s="33" t="s">
        <v>366</v>
      </c>
      <c r="L45" s="35">
        <v>256779416379</v>
      </c>
      <c r="M45" s="32">
        <v>212100</v>
      </c>
      <c r="N45" s="33" t="s">
        <v>359</v>
      </c>
      <c r="O45" s="33" t="s">
        <v>327</v>
      </c>
      <c r="P45" s="32">
        <v>1</v>
      </c>
      <c r="Q45" s="33" t="s">
        <v>367</v>
      </c>
      <c r="R45" s="36">
        <v>546.72</v>
      </c>
      <c r="S45" s="33" t="s">
        <v>360</v>
      </c>
      <c r="T45" s="36">
        <v>47034.39</v>
      </c>
      <c r="U45" s="33"/>
      <c r="V45" s="136" t="e" cm="1">
        <f t="array" ref="V45">_xlfn.XLOOKUP(L45,'Customer Data'!$H:$H,'Customer Data'!$E:$F,,0)</f>
        <v>#N/A</v>
      </c>
      <c r="W45" s="136"/>
      <c r="X45" s="33"/>
      <c r="Y45" s="33" t="s">
        <v>366</v>
      </c>
      <c r="Z45" s="32">
        <v>1</v>
      </c>
      <c r="AA45" s="76">
        <f t="shared" si="0"/>
        <v>0</v>
      </c>
      <c r="AB45" s="33" t="s">
        <v>402</v>
      </c>
      <c r="AC45" s="33" t="s">
        <v>327</v>
      </c>
      <c r="AD45" s="33" t="s">
        <v>327</v>
      </c>
      <c r="AE45" s="33" t="s">
        <v>327</v>
      </c>
      <c r="AF45" s="34">
        <v>45877</v>
      </c>
      <c r="AG45" s="34"/>
      <c r="AH45" s="33" t="s">
        <v>327</v>
      </c>
    </row>
    <row r="46" spans="1:34" x14ac:dyDescent="0.35">
      <c r="A46" s="32">
        <v>6779</v>
      </c>
      <c r="B46" s="32">
        <v>100222335</v>
      </c>
      <c r="C46" s="33" t="s">
        <v>357</v>
      </c>
      <c r="D46" s="32">
        <v>2025</v>
      </c>
      <c r="E46" s="32">
        <v>8</v>
      </c>
      <c r="F46" s="34">
        <v>45877</v>
      </c>
      <c r="G46" s="32">
        <v>1800011853</v>
      </c>
      <c r="H46" s="33" t="s">
        <v>365</v>
      </c>
      <c r="I46" s="34">
        <v>45877</v>
      </c>
      <c r="J46" s="34">
        <v>45877</v>
      </c>
      <c r="K46" s="33" t="s">
        <v>366</v>
      </c>
      <c r="L46" s="35">
        <v>256779416504</v>
      </c>
      <c r="M46" s="32">
        <v>212100</v>
      </c>
      <c r="N46" s="33" t="s">
        <v>359</v>
      </c>
      <c r="O46" s="33" t="s">
        <v>327</v>
      </c>
      <c r="P46" s="32">
        <v>1</v>
      </c>
      <c r="Q46" s="33" t="s">
        <v>367</v>
      </c>
      <c r="R46" s="36">
        <v>269.8</v>
      </c>
      <c r="S46" s="33" t="s">
        <v>360</v>
      </c>
      <c r="T46" s="36">
        <v>23210.93</v>
      </c>
      <c r="U46" s="33"/>
      <c r="V46" s="136" t="e" cm="1">
        <f t="array" ref="V46">_xlfn.XLOOKUP(L46,'Customer Data'!$H:$H,'Customer Data'!$E:$F,,0)</f>
        <v>#N/A</v>
      </c>
      <c r="W46" s="136"/>
      <c r="X46" s="33"/>
      <c r="Y46" s="33" t="s">
        <v>366</v>
      </c>
      <c r="Z46" s="32">
        <v>1</v>
      </c>
      <c r="AA46" s="76">
        <f t="shared" si="0"/>
        <v>0</v>
      </c>
      <c r="AB46" s="33" t="s">
        <v>403</v>
      </c>
      <c r="AC46" s="33" t="s">
        <v>327</v>
      </c>
      <c r="AD46" s="33" t="s">
        <v>327</v>
      </c>
      <c r="AE46" s="33" t="s">
        <v>327</v>
      </c>
      <c r="AF46" s="34">
        <v>45877</v>
      </c>
      <c r="AG46" s="34"/>
      <c r="AH46" s="33" t="s">
        <v>327</v>
      </c>
    </row>
    <row r="47" spans="1:34" x14ac:dyDescent="0.35">
      <c r="A47" s="32">
        <v>6779</v>
      </c>
      <c r="B47" s="32">
        <v>100222335</v>
      </c>
      <c r="C47" s="33" t="s">
        <v>357</v>
      </c>
      <c r="D47" s="32">
        <v>2025</v>
      </c>
      <c r="E47" s="32">
        <v>6</v>
      </c>
      <c r="F47" s="34">
        <v>45812</v>
      </c>
      <c r="G47" s="32">
        <v>1800009428</v>
      </c>
      <c r="H47" s="33" t="s">
        <v>365</v>
      </c>
      <c r="I47" s="34">
        <v>45812</v>
      </c>
      <c r="J47" s="34">
        <v>45817</v>
      </c>
      <c r="K47" s="33" t="s">
        <v>366</v>
      </c>
      <c r="L47" s="35">
        <v>256779414192</v>
      </c>
      <c r="M47" s="32">
        <v>212100</v>
      </c>
      <c r="N47" s="33" t="s">
        <v>359</v>
      </c>
      <c r="O47" s="33" t="s">
        <v>327</v>
      </c>
      <c r="P47" s="32">
        <v>1</v>
      </c>
      <c r="Q47" s="33" t="s">
        <v>367</v>
      </c>
      <c r="R47" s="36">
        <v>15.64</v>
      </c>
      <c r="S47" s="33" t="s">
        <v>360</v>
      </c>
      <c r="T47" s="36">
        <v>1337.08</v>
      </c>
      <c r="U47" s="33"/>
      <c r="V47" s="136" t="e" cm="1">
        <f t="array" ref="V47">_xlfn.XLOOKUP(L47,'Customer Data'!$H:$H,'Customer Data'!$E:$F,,0)</f>
        <v>#N/A</v>
      </c>
      <c r="W47" s="136"/>
      <c r="X47" s="33"/>
      <c r="Y47" s="33" t="s">
        <v>366</v>
      </c>
      <c r="Z47" s="32">
        <v>1</v>
      </c>
      <c r="AA47" s="76">
        <f t="shared" si="0"/>
        <v>0</v>
      </c>
      <c r="AB47" s="33" t="s">
        <v>404</v>
      </c>
      <c r="AC47" s="33" t="s">
        <v>327</v>
      </c>
      <c r="AD47" s="33" t="s">
        <v>327</v>
      </c>
      <c r="AE47" s="33" t="s">
        <v>327</v>
      </c>
      <c r="AF47" s="34">
        <v>45812</v>
      </c>
      <c r="AG47" s="34"/>
      <c r="AH47" s="33" t="s">
        <v>327</v>
      </c>
    </row>
    <row r="48" spans="1:34" x14ac:dyDescent="0.35">
      <c r="A48" s="32">
        <v>6779</v>
      </c>
      <c r="B48" s="32">
        <v>100222335</v>
      </c>
      <c r="C48" s="33" t="s">
        <v>357</v>
      </c>
      <c r="D48" s="32">
        <v>2025</v>
      </c>
      <c r="E48" s="32">
        <v>6</v>
      </c>
      <c r="F48" s="34">
        <v>45812</v>
      </c>
      <c r="G48" s="32">
        <v>1800009538</v>
      </c>
      <c r="H48" s="33" t="s">
        <v>365</v>
      </c>
      <c r="I48" s="34">
        <v>45812</v>
      </c>
      <c r="J48" s="34">
        <v>45817</v>
      </c>
      <c r="K48" s="33" t="s">
        <v>366</v>
      </c>
      <c r="L48" s="35">
        <v>256779414302</v>
      </c>
      <c r="M48" s="32">
        <v>212100</v>
      </c>
      <c r="N48" s="33" t="s">
        <v>359</v>
      </c>
      <c r="O48" s="33" t="s">
        <v>327</v>
      </c>
      <c r="P48" s="32">
        <v>1</v>
      </c>
      <c r="Q48" s="33" t="s">
        <v>367</v>
      </c>
      <c r="R48" s="36">
        <v>35.04</v>
      </c>
      <c r="S48" s="33" t="s">
        <v>360</v>
      </c>
      <c r="T48" s="36">
        <v>2995.6</v>
      </c>
      <c r="U48" s="33"/>
      <c r="V48" s="136" t="e" cm="1">
        <f t="array" ref="V48">_xlfn.XLOOKUP(L48,'Customer Data'!$H:$H,'Customer Data'!$E:$F,,0)</f>
        <v>#N/A</v>
      </c>
      <c r="W48" s="136"/>
      <c r="X48" s="33"/>
      <c r="Y48" s="33" t="s">
        <v>366</v>
      </c>
      <c r="Z48" s="32">
        <v>1</v>
      </c>
      <c r="AA48" s="76">
        <f t="shared" si="0"/>
        <v>0</v>
      </c>
      <c r="AB48" s="33" t="s">
        <v>405</v>
      </c>
      <c r="AC48" s="33" t="s">
        <v>327</v>
      </c>
      <c r="AD48" s="33" t="s">
        <v>327</v>
      </c>
      <c r="AE48" s="33" t="s">
        <v>327</v>
      </c>
      <c r="AF48" s="34">
        <v>45812</v>
      </c>
      <c r="AG48" s="34"/>
      <c r="AH48" s="33" t="s">
        <v>327</v>
      </c>
    </row>
    <row r="49" spans="1:34" x14ac:dyDescent="0.35">
      <c r="A49" s="32">
        <v>6779</v>
      </c>
      <c r="B49" s="32">
        <v>100222335</v>
      </c>
      <c r="C49" s="33" t="s">
        <v>357</v>
      </c>
      <c r="D49" s="32">
        <v>2025</v>
      </c>
      <c r="E49" s="32">
        <v>7</v>
      </c>
      <c r="F49" s="34">
        <v>45856</v>
      </c>
      <c r="G49" s="32">
        <v>1800010682</v>
      </c>
      <c r="H49" s="33" t="s">
        <v>365</v>
      </c>
      <c r="I49" s="34">
        <v>45856</v>
      </c>
      <c r="J49" s="34">
        <v>45859</v>
      </c>
      <c r="K49" s="33" t="s">
        <v>366</v>
      </c>
      <c r="L49" s="35">
        <v>256779415466</v>
      </c>
      <c r="M49" s="32">
        <v>212100</v>
      </c>
      <c r="N49" s="33" t="s">
        <v>359</v>
      </c>
      <c r="O49" s="33" t="s">
        <v>327</v>
      </c>
      <c r="P49" s="32">
        <v>1</v>
      </c>
      <c r="Q49" s="33" t="s">
        <v>367</v>
      </c>
      <c r="R49" s="36">
        <v>744.61</v>
      </c>
      <c r="S49" s="33" t="s">
        <v>360</v>
      </c>
      <c r="T49" s="36">
        <v>64036.959999999999</v>
      </c>
      <c r="U49" s="33"/>
      <c r="V49" s="136" cm="1">
        <f t="array" ref="V49:W49">_xlfn.XLOOKUP(L49,'Customer Data'!$H:$H,'Customer Data'!$E:$F,,0)</f>
        <v>64037</v>
      </c>
      <c r="W49" s="136">
        <v>1085</v>
      </c>
      <c r="X49" s="33"/>
      <c r="Y49" s="33" t="s">
        <v>366</v>
      </c>
      <c r="Z49" s="32">
        <v>1</v>
      </c>
      <c r="AA49" s="76">
        <f t="shared" si="0"/>
        <v>1.6943340221022361E-2</v>
      </c>
      <c r="AB49" s="33" t="s">
        <v>406</v>
      </c>
      <c r="AC49" s="33" t="s">
        <v>327</v>
      </c>
      <c r="AD49" s="33" t="s">
        <v>327</v>
      </c>
      <c r="AE49" s="33" t="s">
        <v>327</v>
      </c>
      <c r="AF49" s="34">
        <v>45856</v>
      </c>
      <c r="AG49" s="34">
        <v>45912</v>
      </c>
      <c r="AH49" s="32">
        <v>1400001170</v>
      </c>
    </row>
    <row r="50" spans="1:34" x14ac:dyDescent="0.35">
      <c r="A50" s="32">
        <v>6779</v>
      </c>
      <c r="B50" s="32">
        <v>100222335</v>
      </c>
      <c r="C50" s="33" t="s">
        <v>357</v>
      </c>
      <c r="D50" s="32">
        <v>2025</v>
      </c>
      <c r="E50" s="32">
        <v>7</v>
      </c>
      <c r="F50" s="34">
        <v>45856</v>
      </c>
      <c r="G50" s="32">
        <v>1800010720</v>
      </c>
      <c r="H50" s="33" t="s">
        <v>365</v>
      </c>
      <c r="I50" s="34">
        <v>45856</v>
      </c>
      <c r="J50" s="34">
        <v>45859</v>
      </c>
      <c r="K50" s="33" t="s">
        <v>366</v>
      </c>
      <c r="L50" s="35">
        <v>256779415504</v>
      </c>
      <c r="M50" s="32">
        <v>212100</v>
      </c>
      <c r="N50" s="33" t="s">
        <v>359</v>
      </c>
      <c r="O50" s="33" t="s">
        <v>327</v>
      </c>
      <c r="P50" s="32">
        <v>1</v>
      </c>
      <c r="Q50" s="33" t="s">
        <v>367</v>
      </c>
      <c r="R50" s="36">
        <v>25.78</v>
      </c>
      <c r="S50" s="33" t="s">
        <v>360</v>
      </c>
      <c r="T50" s="36">
        <v>2217.1</v>
      </c>
      <c r="U50" s="33"/>
      <c r="V50" s="136" cm="1">
        <f t="array" ref="V50:W50">_xlfn.XLOOKUP(L50,'Customer Data'!$H:$H,'Customer Data'!$E:$F,,0)</f>
        <v>2217</v>
      </c>
      <c r="W50" s="136">
        <v>0</v>
      </c>
      <c r="X50" s="33"/>
      <c r="Y50" s="33" t="s">
        <v>366</v>
      </c>
      <c r="Z50" s="32">
        <v>1</v>
      </c>
      <c r="AA50" s="76"/>
      <c r="AB50" s="33" t="s">
        <v>407</v>
      </c>
      <c r="AC50" s="33" t="s">
        <v>327</v>
      </c>
      <c r="AD50" s="33" t="s">
        <v>327</v>
      </c>
      <c r="AE50" s="33" t="s">
        <v>327</v>
      </c>
      <c r="AF50" s="34">
        <v>45856</v>
      </c>
      <c r="AG50" s="34">
        <v>45912</v>
      </c>
      <c r="AH50" s="32">
        <v>1400001170</v>
      </c>
    </row>
    <row r="51" spans="1:34" x14ac:dyDescent="0.35">
      <c r="A51" s="32">
        <v>6779</v>
      </c>
      <c r="B51" s="32">
        <v>100222335</v>
      </c>
      <c r="C51" s="33" t="s">
        <v>357</v>
      </c>
      <c r="D51" s="32">
        <v>2025</v>
      </c>
      <c r="E51" s="32">
        <v>7</v>
      </c>
      <c r="F51" s="34">
        <v>45856</v>
      </c>
      <c r="G51" s="32">
        <v>1800010798</v>
      </c>
      <c r="H51" s="33" t="s">
        <v>365</v>
      </c>
      <c r="I51" s="34">
        <v>45856</v>
      </c>
      <c r="J51" s="34">
        <v>45859</v>
      </c>
      <c r="K51" s="33" t="s">
        <v>366</v>
      </c>
      <c r="L51" s="35">
        <v>256779415558</v>
      </c>
      <c r="M51" s="32">
        <v>212100</v>
      </c>
      <c r="N51" s="33" t="s">
        <v>359</v>
      </c>
      <c r="O51" s="33" t="s">
        <v>327</v>
      </c>
      <c r="P51" s="32">
        <v>1</v>
      </c>
      <c r="Q51" s="33" t="s">
        <v>367</v>
      </c>
      <c r="R51" s="36">
        <v>20.63</v>
      </c>
      <c r="S51" s="33" t="s">
        <v>360</v>
      </c>
      <c r="T51" s="36">
        <v>1774.19</v>
      </c>
      <c r="U51" s="33"/>
      <c r="V51" s="136" t="e" cm="1">
        <f t="array" ref="V51">_xlfn.XLOOKUP(L51,'Customer Data'!$H:$H,'Customer Data'!$E:$F,,0)</f>
        <v>#N/A</v>
      </c>
      <c r="W51" s="136"/>
      <c r="X51" s="33"/>
      <c r="Y51" s="33" t="s">
        <v>366</v>
      </c>
      <c r="Z51" s="32">
        <v>1</v>
      </c>
      <c r="AA51" s="76">
        <f t="shared" si="0"/>
        <v>0</v>
      </c>
      <c r="AB51" s="33" t="s">
        <v>408</v>
      </c>
      <c r="AC51" s="33" t="s">
        <v>327</v>
      </c>
      <c r="AD51" s="33" t="s">
        <v>327</v>
      </c>
      <c r="AE51" s="33" t="s">
        <v>327</v>
      </c>
      <c r="AF51" s="34">
        <v>45856</v>
      </c>
      <c r="AG51" s="34">
        <v>45976</v>
      </c>
      <c r="AH51" s="32">
        <v>1400001884</v>
      </c>
    </row>
    <row r="52" spans="1:34" x14ac:dyDescent="0.35">
      <c r="A52" s="32">
        <v>6779</v>
      </c>
      <c r="B52" s="32">
        <v>100222335</v>
      </c>
      <c r="C52" s="33" t="s">
        <v>357</v>
      </c>
      <c r="D52" s="32">
        <v>2025</v>
      </c>
      <c r="E52" s="32">
        <v>7</v>
      </c>
      <c r="F52" s="34">
        <v>45856</v>
      </c>
      <c r="G52" s="32">
        <v>1800010962</v>
      </c>
      <c r="H52" s="33" t="s">
        <v>365</v>
      </c>
      <c r="I52" s="34">
        <v>45856</v>
      </c>
      <c r="J52" s="34">
        <v>45859</v>
      </c>
      <c r="K52" s="33" t="s">
        <v>366</v>
      </c>
      <c r="L52" s="35">
        <v>256779415722</v>
      </c>
      <c r="M52" s="32">
        <v>212100</v>
      </c>
      <c r="N52" s="33" t="s">
        <v>359</v>
      </c>
      <c r="O52" s="33" t="s">
        <v>327</v>
      </c>
      <c r="P52" s="32">
        <v>1</v>
      </c>
      <c r="Q52" s="33" t="s">
        <v>367</v>
      </c>
      <c r="R52" s="36">
        <v>20.63</v>
      </c>
      <c r="S52" s="33" t="s">
        <v>360</v>
      </c>
      <c r="T52" s="36">
        <v>1774.19</v>
      </c>
      <c r="U52" s="33"/>
      <c r="V52" s="136" t="e" cm="1">
        <f t="array" ref="V52">_xlfn.XLOOKUP(L52,'Customer Data'!$H:$H,'Customer Data'!$E:$F,,0)</f>
        <v>#N/A</v>
      </c>
      <c r="W52" s="136"/>
      <c r="X52" s="33"/>
      <c r="Y52" s="33" t="s">
        <v>366</v>
      </c>
      <c r="Z52" s="32">
        <v>1</v>
      </c>
      <c r="AA52" s="76">
        <f t="shared" si="0"/>
        <v>0</v>
      </c>
      <c r="AB52" s="33" t="s">
        <v>408</v>
      </c>
      <c r="AC52" s="33" t="s">
        <v>327</v>
      </c>
      <c r="AD52" s="33" t="s">
        <v>327</v>
      </c>
      <c r="AE52" s="33" t="s">
        <v>327</v>
      </c>
      <c r="AF52" s="34">
        <v>45856</v>
      </c>
      <c r="AG52" s="34">
        <v>45976</v>
      </c>
      <c r="AH52" s="32">
        <v>1400001884</v>
      </c>
    </row>
    <row r="53" spans="1:34" x14ac:dyDescent="0.35">
      <c r="A53" s="32">
        <v>6779</v>
      </c>
      <c r="B53" s="32">
        <v>100222335</v>
      </c>
      <c r="C53" s="33" t="s">
        <v>357</v>
      </c>
      <c r="D53" s="32">
        <v>2025</v>
      </c>
      <c r="E53" s="32">
        <v>7</v>
      </c>
      <c r="F53" s="34">
        <v>45856</v>
      </c>
      <c r="G53" s="32">
        <v>1800011024</v>
      </c>
      <c r="H53" s="33" t="s">
        <v>365</v>
      </c>
      <c r="I53" s="34">
        <v>45856</v>
      </c>
      <c r="J53" s="34">
        <v>45859</v>
      </c>
      <c r="K53" s="33" t="s">
        <v>366</v>
      </c>
      <c r="L53" s="35">
        <v>256779415784</v>
      </c>
      <c r="M53" s="32">
        <v>212100</v>
      </c>
      <c r="N53" s="33" t="s">
        <v>359</v>
      </c>
      <c r="O53" s="33" t="s">
        <v>327</v>
      </c>
      <c r="P53" s="32">
        <v>1</v>
      </c>
      <c r="Q53" s="33" t="s">
        <v>367</v>
      </c>
      <c r="R53" s="36">
        <v>744.61</v>
      </c>
      <c r="S53" s="33" t="s">
        <v>360</v>
      </c>
      <c r="T53" s="36">
        <v>64036.959999999999</v>
      </c>
      <c r="U53" s="33"/>
      <c r="V53" s="136" t="e" cm="1">
        <f t="array" ref="V53">_xlfn.XLOOKUP(L53,'Customer Data'!$H:$H,'Customer Data'!$E:$F,,0)</f>
        <v>#N/A</v>
      </c>
      <c r="W53" s="136"/>
      <c r="X53" s="33"/>
      <c r="Y53" s="33" t="s">
        <v>366</v>
      </c>
      <c r="Z53" s="32">
        <v>1</v>
      </c>
      <c r="AA53" s="76">
        <f t="shared" si="0"/>
        <v>0</v>
      </c>
      <c r="AB53" s="33" t="s">
        <v>406</v>
      </c>
      <c r="AC53" s="33" t="s">
        <v>327</v>
      </c>
      <c r="AD53" s="33" t="s">
        <v>327</v>
      </c>
      <c r="AE53" s="33" t="s">
        <v>327</v>
      </c>
      <c r="AF53" s="34">
        <v>45856</v>
      </c>
      <c r="AG53" s="34">
        <v>45976</v>
      </c>
      <c r="AH53" s="32">
        <v>1400001884</v>
      </c>
    </row>
    <row r="54" spans="1:34" x14ac:dyDescent="0.35">
      <c r="A54" s="32">
        <v>6779</v>
      </c>
      <c r="B54" s="32">
        <v>100222335</v>
      </c>
      <c r="C54" s="33" t="s">
        <v>357</v>
      </c>
      <c r="D54" s="32">
        <v>2025</v>
      </c>
      <c r="E54" s="32">
        <v>3</v>
      </c>
      <c r="F54" s="34">
        <v>45736</v>
      </c>
      <c r="G54" s="32">
        <v>1800003633</v>
      </c>
      <c r="H54" s="33" t="s">
        <v>365</v>
      </c>
      <c r="I54" s="34">
        <v>45736</v>
      </c>
      <c r="J54" s="34">
        <v>45736</v>
      </c>
      <c r="K54" s="33" t="s">
        <v>366</v>
      </c>
      <c r="L54" s="35">
        <v>246779413500</v>
      </c>
      <c r="M54" s="32">
        <v>212100</v>
      </c>
      <c r="N54" s="33" t="s">
        <v>359</v>
      </c>
      <c r="O54" s="33" t="s">
        <v>327</v>
      </c>
      <c r="P54" s="32">
        <v>1</v>
      </c>
      <c r="Q54" s="33" t="s">
        <v>367</v>
      </c>
      <c r="R54" s="36">
        <v>13.45</v>
      </c>
      <c r="S54" s="33" t="s">
        <v>360</v>
      </c>
      <c r="T54" s="36">
        <v>1166</v>
      </c>
      <c r="U54" s="33"/>
      <c r="V54" s="136" cm="1">
        <f t="array" ref="V54:W54">_xlfn.XLOOKUP(L54,'Customer Data'!$H:$H,'Customer Data'!$E:$F,,0)</f>
        <v>1166</v>
      </c>
      <c r="W54" s="136">
        <v>20</v>
      </c>
      <c r="X54" s="33"/>
      <c r="Y54" s="33" t="s">
        <v>366</v>
      </c>
      <c r="Z54" s="32">
        <v>1</v>
      </c>
      <c r="AA54" s="76">
        <f t="shared" si="0"/>
        <v>1.7152658662092625E-2</v>
      </c>
      <c r="AB54" s="33" t="s">
        <v>409</v>
      </c>
      <c r="AC54" s="33" t="s">
        <v>327</v>
      </c>
      <c r="AD54" s="33" t="s">
        <v>327</v>
      </c>
      <c r="AE54" s="33" t="s">
        <v>327</v>
      </c>
      <c r="AF54" s="34">
        <v>45736</v>
      </c>
      <c r="AG54" s="34">
        <v>45909</v>
      </c>
      <c r="AH54" s="32">
        <v>1400001167</v>
      </c>
    </row>
    <row r="55" spans="1:34" x14ac:dyDescent="0.35">
      <c r="A55" s="32">
        <v>6779</v>
      </c>
      <c r="B55" s="32">
        <v>100222335</v>
      </c>
      <c r="C55" s="33" t="s">
        <v>357</v>
      </c>
      <c r="D55" s="32">
        <v>2025</v>
      </c>
      <c r="E55" s="32">
        <v>3</v>
      </c>
      <c r="F55" s="34">
        <v>45736</v>
      </c>
      <c r="G55" s="32">
        <v>1800004640</v>
      </c>
      <c r="H55" s="33" t="s">
        <v>365</v>
      </c>
      <c r="I55" s="34">
        <v>45736</v>
      </c>
      <c r="J55" s="34">
        <v>45737</v>
      </c>
      <c r="K55" s="33" t="s">
        <v>366</v>
      </c>
      <c r="L55" s="35">
        <v>246779414508</v>
      </c>
      <c r="M55" s="32">
        <v>212100</v>
      </c>
      <c r="N55" s="33" t="s">
        <v>359</v>
      </c>
      <c r="O55" s="33" t="s">
        <v>327</v>
      </c>
      <c r="P55" s="32">
        <v>1</v>
      </c>
      <c r="Q55" s="33" t="s">
        <v>367</v>
      </c>
      <c r="R55" s="36">
        <v>4.09</v>
      </c>
      <c r="S55" s="33" t="s">
        <v>360</v>
      </c>
      <c r="T55" s="36">
        <v>354.57</v>
      </c>
      <c r="U55" s="33"/>
      <c r="V55" s="136" cm="1">
        <f t="array" ref="V55:W55">_xlfn.XLOOKUP(L55,'Customer Data'!$H:$H,'Customer Data'!$E:$F,,0)</f>
        <v>355</v>
      </c>
      <c r="W55" s="136">
        <v>7</v>
      </c>
      <c r="X55" s="33"/>
      <c r="Y55" s="33" t="s">
        <v>366</v>
      </c>
      <c r="Z55" s="32">
        <v>1</v>
      </c>
      <c r="AA55" s="76">
        <f t="shared" si="0"/>
        <v>1.9742222974306906E-2</v>
      </c>
      <c r="AB55" s="33" t="s">
        <v>410</v>
      </c>
      <c r="AC55" s="33" t="s">
        <v>327</v>
      </c>
      <c r="AD55" s="33" t="s">
        <v>327</v>
      </c>
      <c r="AE55" s="33" t="s">
        <v>327</v>
      </c>
      <c r="AF55" s="34">
        <v>45736</v>
      </c>
      <c r="AG55" s="34">
        <v>45909</v>
      </c>
      <c r="AH55" s="32">
        <v>1400001167</v>
      </c>
    </row>
    <row r="56" spans="1:34" x14ac:dyDescent="0.35">
      <c r="A56" s="32">
        <v>6779</v>
      </c>
      <c r="B56" s="32">
        <v>100222335</v>
      </c>
      <c r="C56" s="33" t="s">
        <v>357</v>
      </c>
      <c r="D56" s="32">
        <v>2025</v>
      </c>
      <c r="E56" s="32">
        <v>3</v>
      </c>
      <c r="F56" s="34">
        <v>45736</v>
      </c>
      <c r="G56" s="32">
        <v>1800004641</v>
      </c>
      <c r="H56" s="33" t="s">
        <v>365</v>
      </c>
      <c r="I56" s="34">
        <v>45736</v>
      </c>
      <c r="J56" s="34">
        <v>45737</v>
      </c>
      <c r="K56" s="33" t="s">
        <v>366</v>
      </c>
      <c r="L56" s="35">
        <v>246779414509</v>
      </c>
      <c r="M56" s="32">
        <v>212100</v>
      </c>
      <c r="N56" s="33" t="s">
        <v>359</v>
      </c>
      <c r="O56" s="33" t="s">
        <v>327</v>
      </c>
      <c r="P56" s="32">
        <v>1</v>
      </c>
      <c r="Q56" s="33" t="s">
        <v>367</v>
      </c>
      <c r="R56" s="36">
        <v>32.71</v>
      </c>
      <c r="S56" s="33" t="s">
        <v>360</v>
      </c>
      <c r="T56" s="36">
        <v>2835.67</v>
      </c>
      <c r="U56" s="33"/>
      <c r="V56" s="136" cm="1">
        <f t="array" ref="V56:W56">_xlfn.XLOOKUP(L56,'Customer Data'!$H:$H,'Customer Data'!$E:$F,,0)</f>
        <v>2836</v>
      </c>
      <c r="W56" s="136">
        <v>49</v>
      </c>
      <c r="X56" s="33"/>
      <c r="Y56" s="33" t="s">
        <v>366</v>
      </c>
      <c r="Z56" s="32">
        <v>1</v>
      </c>
      <c r="AA56" s="76">
        <f t="shared" si="0"/>
        <v>1.7279866839230235E-2</v>
      </c>
      <c r="AB56" s="33" t="s">
        <v>411</v>
      </c>
      <c r="AC56" s="33" t="s">
        <v>327</v>
      </c>
      <c r="AD56" s="33" t="s">
        <v>327</v>
      </c>
      <c r="AE56" s="33" t="s">
        <v>327</v>
      </c>
      <c r="AF56" s="34">
        <v>45736</v>
      </c>
      <c r="AG56" s="34">
        <v>45909</v>
      </c>
      <c r="AH56" s="32">
        <v>1400001167</v>
      </c>
    </row>
    <row r="57" spans="1:34" x14ac:dyDescent="0.35">
      <c r="A57" s="32">
        <v>6779</v>
      </c>
      <c r="B57" s="32">
        <v>100222335</v>
      </c>
      <c r="C57" s="33" t="s">
        <v>357</v>
      </c>
      <c r="D57" s="32">
        <v>2025</v>
      </c>
      <c r="E57" s="32">
        <v>3</v>
      </c>
      <c r="F57" s="34">
        <v>45736</v>
      </c>
      <c r="G57" s="32">
        <v>1800004900</v>
      </c>
      <c r="H57" s="33" t="s">
        <v>365</v>
      </c>
      <c r="I57" s="34">
        <v>45736</v>
      </c>
      <c r="J57" s="34">
        <v>45737</v>
      </c>
      <c r="K57" s="33" t="s">
        <v>366</v>
      </c>
      <c r="L57" s="35">
        <v>246779414768</v>
      </c>
      <c r="M57" s="32">
        <v>212100</v>
      </c>
      <c r="N57" s="33" t="s">
        <v>359</v>
      </c>
      <c r="O57" s="33" t="s">
        <v>327</v>
      </c>
      <c r="P57" s="32">
        <v>1</v>
      </c>
      <c r="Q57" s="33" t="s">
        <v>367</v>
      </c>
      <c r="R57" s="36">
        <v>68.400000000000006</v>
      </c>
      <c r="S57" s="33" t="s">
        <v>360</v>
      </c>
      <c r="T57" s="36">
        <v>5929.68</v>
      </c>
      <c r="U57" s="33"/>
      <c r="V57" s="136" cm="1">
        <f t="array" ref="V57:W57">_xlfn.XLOOKUP(L57,'Customer Data'!$H:$H,'Customer Data'!$E:$F,,0)</f>
        <v>5930</v>
      </c>
      <c r="W57" s="136">
        <v>101</v>
      </c>
      <c r="X57" s="33"/>
      <c r="Y57" s="33" t="s">
        <v>366</v>
      </c>
      <c r="Z57" s="32">
        <v>1</v>
      </c>
      <c r="AA57" s="76">
        <f t="shared" si="0"/>
        <v>1.7032959620080678E-2</v>
      </c>
      <c r="AB57" s="33" t="s">
        <v>412</v>
      </c>
      <c r="AC57" s="33" t="s">
        <v>327</v>
      </c>
      <c r="AD57" s="33" t="s">
        <v>327</v>
      </c>
      <c r="AE57" s="33" t="s">
        <v>327</v>
      </c>
      <c r="AF57" s="34">
        <v>45736</v>
      </c>
      <c r="AG57" s="34">
        <v>45909</v>
      </c>
      <c r="AH57" s="32">
        <v>1400001167</v>
      </c>
    </row>
    <row r="58" spans="1:34" x14ac:dyDescent="0.35">
      <c r="A58" s="32">
        <v>6779</v>
      </c>
      <c r="B58" s="32">
        <v>100222335</v>
      </c>
      <c r="C58" s="33" t="s">
        <v>357</v>
      </c>
      <c r="D58" s="32">
        <v>2025</v>
      </c>
      <c r="E58" s="32">
        <v>8</v>
      </c>
      <c r="F58" s="34">
        <v>45889</v>
      </c>
      <c r="G58" s="32">
        <v>1800012062</v>
      </c>
      <c r="H58" s="33" t="s">
        <v>365</v>
      </c>
      <c r="I58" s="34">
        <v>45889</v>
      </c>
      <c r="J58" s="34">
        <v>45891</v>
      </c>
      <c r="K58" s="33" t="s">
        <v>366</v>
      </c>
      <c r="L58" s="35">
        <v>256779416597</v>
      </c>
      <c r="M58" s="32">
        <v>212100</v>
      </c>
      <c r="N58" s="33" t="s">
        <v>359</v>
      </c>
      <c r="O58" s="33" t="s">
        <v>327</v>
      </c>
      <c r="P58" s="32">
        <v>1</v>
      </c>
      <c r="Q58" s="33" t="s">
        <v>367</v>
      </c>
      <c r="R58" s="36">
        <v>1097.26</v>
      </c>
      <c r="S58" s="33" t="s">
        <v>360</v>
      </c>
      <c r="T58" s="36">
        <v>94397.41</v>
      </c>
      <c r="U58" s="33"/>
      <c r="V58" s="136" cm="1">
        <f t="array" ref="V58:W58">_xlfn.XLOOKUP(L58,'Customer Data'!$H:$H,'Customer Data'!$E:$F,,0)</f>
        <v>94396</v>
      </c>
      <c r="W58" s="136">
        <v>1600</v>
      </c>
      <c r="X58" s="33"/>
      <c r="Y58" s="33" t="s">
        <v>366</v>
      </c>
      <c r="Z58" s="32">
        <v>1</v>
      </c>
      <c r="AA58" s="76">
        <f t="shared" si="0"/>
        <v>1.6949617579550116E-2</v>
      </c>
      <c r="AB58" s="33" t="s">
        <v>413</v>
      </c>
      <c r="AC58" s="33" t="s">
        <v>327</v>
      </c>
      <c r="AD58" s="33" t="s">
        <v>327</v>
      </c>
      <c r="AE58" s="33" t="s">
        <v>327</v>
      </c>
      <c r="AF58" s="34">
        <v>45889</v>
      </c>
      <c r="AG58" s="34"/>
      <c r="AH58" s="33" t="s">
        <v>327</v>
      </c>
    </row>
    <row r="59" spans="1:34" x14ac:dyDescent="0.35">
      <c r="A59" s="32">
        <v>6779</v>
      </c>
      <c r="B59" s="32">
        <v>100222335</v>
      </c>
      <c r="C59" s="33" t="s">
        <v>357</v>
      </c>
      <c r="D59" s="32">
        <v>2025</v>
      </c>
      <c r="E59" s="32">
        <v>8</v>
      </c>
      <c r="F59" s="34">
        <v>45889</v>
      </c>
      <c r="G59" s="32">
        <v>1800011971</v>
      </c>
      <c r="H59" s="33" t="s">
        <v>365</v>
      </c>
      <c r="I59" s="34">
        <v>45889</v>
      </c>
      <c r="J59" s="34">
        <v>45891</v>
      </c>
      <c r="K59" s="33" t="s">
        <v>366</v>
      </c>
      <c r="L59" s="35">
        <v>256779416620</v>
      </c>
      <c r="M59" s="32">
        <v>212100</v>
      </c>
      <c r="N59" s="33" t="s">
        <v>359</v>
      </c>
      <c r="O59" s="33" t="s">
        <v>327</v>
      </c>
      <c r="P59" s="32">
        <v>1</v>
      </c>
      <c r="Q59" s="33" t="s">
        <v>367</v>
      </c>
      <c r="R59" s="36">
        <v>1350.3</v>
      </c>
      <c r="S59" s="33" t="s">
        <v>360</v>
      </c>
      <c r="T59" s="36">
        <v>116166.47</v>
      </c>
      <c r="U59" s="33"/>
      <c r="V59" s="136" cm="1">
        <f t="array" ref="V59:W59">_xlfn.XLOOKUP(L59,'Customer Data'!$H:$H,'Customer Data'!$E:$F,,0)</f>
        <v>116166</v>
      </c>
      <c r="W59" s="136">
        <v>1969</v>
      </c>
      <c r="X59" s="33"/>
      <c r="Y59" s="33" t="s">
        <v>366</v>
      </c>
      <c r="Z59" s="32">
        <v>1</v>
      </c>
      <c r="AA59" s="76">
        <f t="shared" si="0"/>
        <v>1.6949813487489116E-2</v>
      </c>
      <c r="AB59" s="33" t="s">
        <v>414</v>
      </c>
      <c r="AC59" s="33" t="s">
        <v>327</v>
      </c>
      <c r="AD59" s="33" t="s">
        <v>327</v>
      </c>
      <c r="AE59" s="33" t="s">
        <v>327</v>
      </c>
      <c r="AF59" s="34">
        <v>45889</v>
      </c>
      <c r="AG59" s="34"/>
      <c r="AH59" s="33" t="s">
        <v>327</v>
      </c>
    </row>
    <row r="60" spans="1:34" x14ac:dyDescent="0.35">
      <c r="A60" s="32">
        <v>6779</v>
      </c>
      <c r="B60" s="32">
        <v>100222335</v>
      </c>
      <c r="C60" s="33" t="s">
        <v>357</v>
      </c>
      <c r="D60" s="32">
        <v>2025</v>
      </c>
      <c r="E60" s="32">
        <v>8</v>
      </c>
      <c r="F60" s="34">
        <v>45889</v>
      </c>
      <c r="G60" s="32">
        <v>1800012114</v>
      </c>
      <c r="H60" s="33" t="s">
        <v>365</v>
      </c>
      <c r="I60" s="34">
        <v>45889</v>
      </c>
      <c r="J60" s="34">
        <v>45891</v>
      </c>
      <c r="K60" s="33" t="s">
        <v>366</v>
      </c>
      <c r="L60" s="35">
        <v>256779416664</v>
      </c>
      <c r="M60" s="32">
        <v>212100</v>
      </c>
      <c r="N60" s="33" t="s">
        <v>359</v>
      </c>
      <c r="O60" s="33" t="s">
        <v>327</v>
      </c>
      <c r="P60" s="32">
        <v>1</v>
      </c>
      <c r="Q60" s="33" t="s">
        <v>367</v>
      </c>
      <c r="R60" s="36">
        <v>494.79</v>
      </c>
      <c r="S60" s="33" t="s">
        <v>360</v>
      </c>
      <c r="T60" s="36">
        <v>42566.84</v>
      </c>
      <c r="U60" s="33"/>
      <c r="V60" s="136" cm="1">
        <f t="array" ref="V60:W60">_xlfn.XLOOKUP(L60,'Customer Data'!$H:$H,'Customer Data'!$E:$F,,0)</f>
        <v>42566</v>
      </c>
      <c r="W60" s="136">
        <v>721</v>
      </c>
      <c r="X60" s="33"/>
      <c r="Y60" s="33" t="s">
        <v>366</v>
      </c>
      <c r="Z60" s="32">
        <v>1</v>
      </c>
      <c r="AA60" s="76">
        <f t="shared" si="0"/>
        <v>1.6938067284299235E-2</v>
      </c>
      <c r="AB60" s="33" t="s">
        <v>415</v>
      </c>
      <c r="AC60" s="33" t="s">
        <v>327</v>
      </c>
      <c r="AD60" s="33" t="s">
        <v>327</v>
      </c>
      <c r="AE60" s="33" t="s">
        <v>327</v>
      </c>
      <c r="AF60" s="34">
        <v>45889</v>
      </c>
      <c r="AG60" s="34"/>
      <c r="AH60" s="33" t="s">
        <v>327</v>
      </c>
    </row>
    <row r="61" spans="1:34" x14ac:dyDescent="0.35">
      <c r="A61" s="32">
        <v>6779</v>
      </c>
      <c r="B61" s="32">
        <v>100222335</v>
      </c>
      <c r="C61" s="33" t="s">
        <v>357</v>
      </c>
      <c r="D61" s="32">
        <v>2025</v>
      </c>
      <c r="E61" s="32">
        <v>8</v>
      </c>
      <c r="F61" s="34">
        <v>45889</v>
      </c>
      <c r="G61" s="32">
        <v>1800012235</v>
      </c>
      <c r="H61" s="33" t="s">
        <v>365</v>
      </c>
      <c r="I61" s="34">
        <v>45889</v>
      </c>
      <c r="J61" s="34">
        <v>45891</v>
      </c>
      <c r="K61" s="33" t="s">
        <v>366</v>
      </c>
      <c r="L61" s="35">
        <v>256779416831</v>
      </c>
      <c r="M61" s="32">
        <v>212100</v>
      </c>
      <c r="N61" s="33" t="s">
        <v>359</v>
      </c>
      <c r="O61" s="33" t="s">
        <v>327</v>
      </c>
      <c r="P61" s="32">
        <v>1</v>
      </c>
      <c r="Q61" s="33" t="s">
        <v>367</v>
      </c>
      <c r="R61" s="36">
        <v>44.38</v>
      </c>
      <c r="S61" s="33" t="s">
        <v>360</v>
      </c>
      <c r="T61" s="36">
        <v>3818.02</v>
      </c>
      <c r="U61" s="33"/>
      <c r="V61" s="136" cm="1">
        <f t="array" ref="V61:W61">_xlfn.XLOOKUP(L61,'Customer Data'!$H:$H,'Customer Data'!$E:$F,,0)</f>
        <v>3818</v>
      </c>
      <c r="W61" s="136">
        <v>65</v>
      </c>
      <c r="X61" s="33"/>
      <c r="Y61" s="33" t="s">
        <v>366</v>
      </c>
      <c r="Z61" s="32">
        <v>1</v>
      </c>
      <c r="AA61" s="76">
        <f t="shared" si="0"/>
        <v>1.7024531039648825E-2</v>
      </c>
      <c r="AB61" s="33" t="s">
        <v>416</v>
      </c>
      <c r="AC61" s="33" t="s">
        <v>327</v>
      </c>
      <c r="AD61" s="33" t="s">
        <v>327</v>
      </c>
      <c r="AE61" s="33" t="s">
        <v>327</v>
      </c>
      <c r="AF61" s="34">
        <v>45889</v>
      </c>
      <c r="AG61" s="34"/>
      <c r="AH61" s="33" t="s">
        <v>327</v>
      </c>
    </row>
    <row r="62" spans="1:34" x14ac:dyDescent="0.35">
      <c r="A62" s="32">
        <v>6779</v>
      </c>
      <c r="B62" s="32">
        <v>100222335</v>
      </c>
      <c r="C62" s="33" t="s">
        <v>357</v>
      </c>
      <c r="D62" s="32">
        <v>2025</v>
      </c>
      <c r="E62" s="32">
        <v>8</v>
      </c>
      <c r="F62" s="34">
        <v>45889</v>
      </c>
      <c r="G62" s="32">
        <v>1800012199</v>
      </c>
      <c r="H62" s="33" t="s">
        <v>365</v>
      </c>
      <c r="I62" s="34">
        <v>45889</v>
      </c>
      <c r="J62" s="34">
        <v>45891</v>
      </c>
      <c r="K62" s="33" t="s">
        <v>366</v>
      </c>
      <c r="L62" s="35">
        <v>256779416861</v>
      </c>
      <c r="M62" s="32">
        <v>212100</v>
      </c>
      <c r="N62" s="33" t="s">
        <v>359</v>
      </c>
      <c r="O62" s="33" t="s">
        <v>327</v>
      </c>
      <c r="P62" s="32">
        <v>1</v>
      </c>
      <c r="Q62" s="33" t="s">
        <v>367</v>
      </c>
      <c r="R62" s="36">
        <v>13.23</v>
      </c>
      <c r="S62" s="33" t="s">
        <v>360</v>
      </c>
      <c r="T62" s="36">
        <v>1138.18</v>
      </c>
      <c r="U62" s="33"/>
      <c r="V62" s="136" cm="1">
        <f t="array" ref="V62:W62">_xlfn.XLOOKUP(L62,'Customer Data'!$H:$H,'Customer Data'!$E:$F,,0)</f>
        <v>1138</v>
      </c>
      <c r="W62" s="136">
        <v>19</v>
      </c>
      <c r="X62" s="33"/>
      <c r="Y62" s="33" t="s">
        <v>366</v>
      </c>
      <c r="Z62" s="32">
        <v>1</v>
      </c>
      <c r="AA62" s="76">
        <f t="shared" si="0"/>
        <v>1.6693317401465495E-2</v>
      </c>
      <c r="AB62" s="33" t="s">
        <v>417</v>
      </c>
      <c r="AC62" s="33" t="s">
        <v>327</v>
      </c>
      <c r="AD62" s="33" t="s">
        <v>327</v>
      </c>
      <c r="AE62" s="33" t="s">
        <v>327</v>
      </c>
      <c r="AF62" s="34">
        <v>45889</v>
      </c>
      <c r="AG62" s="34"/>
      <c r="AH62" s="33" t="s">
        <v>327</v>
      </c>
    </row>
    <row r="63" spans="1:34" x14ac:dyDescent="0.35">
      <c r="A63" s="32">
        <v>6779</v>
      </c>
      <c r="B63" s="32">
        <v>100222335</v>
      </c>
      <c r="C63" s="33" t="s">
        <v>357</v>
      </c>
      <c r="D63" s="32">
        <v>2025</v>
      </c>
      <c r="E63" s="32">
        <v>5</v>
      </c>
      <c r="F63" s="34">
        <v>45797</v>
      </c>
      <c r="G63" s="32">
        <v>1800008709</v>
      </c>
      <c r="H63" s="33" t="s">
        <v>365</v>
      </c>
      <c r="I63" s="34">
        <v>45797</v>
      </c>
      <c r="J63" s="34">
        <v>45805</v>
      </c>
      <c r="K63" s="33" t="s">
        <v>366</v>
      </c>
      <c r="L63" s="35">
        <v>256779413473</v>
      </c>
      <c r="M63" s="32">
        <v>212100</v>
      </c>
      <c r="N63" s="33" t="s">
        <v>359</v>
      </c>
      <c r="O63" s="33" t="s">
        <v>327</v>
      </c>
      <c r="P63" s="32">
        <v>1</v>
      </c>
      <c r="Q63" s="33" t="s">
        <v>367</v>
      </c>
      <c r="R63" s="36">
        <v>35.880000000000003</v>
      </c>
      <c r="S63" s="33" t="s">
        <v>360</v>
      </c>
      <c r="T63" s="36">
        <v>3085.1</v>
      </c>
      <c r="U63" s="33"/>
      <c r="V63" s="136" cm="1">
        <f t="array" ref="V63:W63">_xlfn.XLOOKUP(L63,'Customer Data'!$H:$H,'Customer Data'!$E:$F,,0)</f>
        <v>3085</v>
      </c>
      <c r="W63" s="136">
        <v>52</v>
      </c>
      <c r="X63" s="33"/>
      <c r="Y63" s="33" t="s">
        <v>366</v>
      </c>
      <c r="Z63" s="32">
        <v>1</v>
      </c>
      <c r="AA63" s="76">
        <f t="shared" si="0"/>
        <v>1.6855207286635764E-2</v>
      </c>
      <c r="AB63" s="33" t="s">
        <v>418</v>
      </c>
      <c r="AC63" s="33" t="s">
        <v>327</v>
      </c>
      <c r="AD63" s="33" t="s">
        <v>327</v>
      </c>
      <c r="AE63" s="33" t="s">
        <v>327</v>
      </c>
      <c r="AF63" s="34">
        <v>45797</v>
      </c>
      <c r="AG63" s="34">
        <v>45909</v>
      </c>
      <c r="AH63" s="32">
        <v>1400001167</v>
      </c>
    </row>
    <row r="64" spans="1:34" x14ac:dyDescent="0.35">
      <c r="A64" s="32">
        <v>6779</v>
      </c>
      <c r="B64" s="32">
        <v>100222335</v>
      </c>
      <c r="C64" s="33" t="s">
        <v>357</v>
      </c>
      <c r="D64" s="32">
        <v>2025</v>
      </c>
      <c r="E64" s="32">
        <v>5</v>
      </c>
      <c r="F64" s="34">
        <v>45797</v>
      </c>
      <c r="G64" s="32">
        <v>1800009111</v>
      </c>
      <c r="H64" s="33" t="s">
        <v>365</v>
      </c>
      <c r="I64" s="34">
        <v>45797</v>
      </c>
      <c r="J64" s="34">
        <v>45805</v>
      </c>
      <c r="K64" s="33" t="s">
        <v>366</v>
      </c>
      <c r="L64" s="35">
        <v>256779413875</v>
      </c>
      <c r="M64" s="32">
        <v>212100</v>
      </c>
      <c r="N64" s="33" t="s">
        <v>359</v>
      </c>
      <c r="O64" s="33" t="s">
        <v>327</v>
      </c>
      <c r="P64" s="32">
        <v>1</v>
      </c>
      <c r="Q64" s="33" t="s">
        <v>367</v>
      </c>
      <c r="R64" s="36">
        <v>175.46</v>
      </c>
      <c r="S64" s="33" t="s">
        <v>360</v>
      </c>
      <c r="T64" s="36">
        <v>15086.7</v>
      </c>
      <c r="U64" s="33"/>
      <c r="V64" s="136" cm="1">
        <f t="array" ref="V64:W64">_xlfn.XLOOKUP(L64,'Customer Data'!$H:$H,'Customer Data'!$E:$F,,0)</f>
        <v>15086</v>
      </c>
      <c r="W64" s="136">
        <v>256</v>
      </c>
      <c r="X64" s="33"/>
      <c r="Y64" s="33" t="s">
        <v>366</v>
      </c>
      <c r="Z64" s="32">
        <v>1</v>
      </c>
      <c r="AA64" s="76">
        <f t="shared" si="0"/>
        <v>1.6968588226716246E-2</v>
      </c>
      <c r="AB64" s="33" t="s">
        <v>419</v>
      </c>
      <c r="AC64" s="33" t="s">
        <v>327</v>
      </c>
      <c r="AD64" s="33" t="s">
        <v>327</v>
      </c>
      <c r="AE64" s="33" t="s">
        <v>327</v>
      </c>
      <c r="AF64" s="34">
        <v>45797</v>
      </c>
      <c r="AG64" s="34">
        <v>45909</v>
      </c>
      <c r="AH64" s="32">
        <v>1400001167</v>
      </c>
    </row>
    <row r="65" spans="1:34" x14ac:dyDescent="0.35">
      <c r="A65" s="32">
        <v>6779</v>
      </c>
      <c r="B65" s="32">
        <v>100222335</v>
      </c>
      <c r="C65" s="33" t="s">
        <v>357</v>
      </c>
      <c r="D65" s="32">
        <v>2025</v>
      </c>
      <c r="E65" s="32">
        <v>8</v>
      </c>
      <c r="F65" s="34">
        <v>45873</v>
      </c>
      <c r="G65" s="32">
        <v>1600002017</v>
      </c>
      <c r="H65" s="33" t="s">
        <v>375</v>
      </c>
      <c r="I65" s="34">
        <v>45873</v>
      </c>
      <c r="J65" s="34">
        <v>45873</v>
      </c>
      <c r="K65" s="33" t="s">
        <v>366</v>
      </c>
      <c r="L65" s="35">
        <v>256779421593</v>
      </c>
      <c r="M65" s="32">
        <v>212100</v>
      </c>
      <c r="N65" s="33" t="s">
        <v>359</v>
      </c>
      <c r="O65" s="33" t="s">
        <v>327</v>
      </c>
      <c r="P65" s="32">
        <v>11</v>
      </c>
      <c r="Q65" s="33" t="s">
        <v>367</v>
      </c>
      <c r="R65" s="36">
        <v>-20.63</v>
      </c>
      <c r="S65" s="33" t="s">
        <v>360</v>
      </c>
      <c r="T65" s="36">
        <v>-1774.19</v>
      </c>
      <c r="U65" s="33"/>
      <c r="V65" s="136" t="e" cm="1">
        <f t="array" ref="V65">_xlfn.XLOOKUP(L65,'Customer Data'!$H:$H,'Customer Data'!$E:$F,,0)</f>
        <v>#N/A</v>
      </c>
      <c r="W65" s="136"/>
      <c r="X65" s="33"/>
      <c r="Y65" s="33" t="s">
        <v>366</v>
      </c>
      <c r="Z65" s="32">
        <v>1</v>
      </c>
      <c r="AA65" s="76">
        <f t="shared" si="0"/>
        <v>0</v>
      </c>
      <c r="AB65" s="33" t="s">
        <v>420</v>
      </c>
      <c r="AC65" s="33" t="s">
        <v>327</v>
      </c>
      <c r="AD65" s="33" t="s">
        <v>327</v>
      </c>
      <c r="AE65" s="33" t="s">
        <v>327</v>
      </c>
      <c r="AF65" s="34">
        <v>45873</v>
      </c>
      <c r="AG65" s="34">
        <v>45976</v>
      </c>
      <c r="AH65" s="32">
        <v>1400001884</v>
      </c>
    </row>
    <row r="66" spans="1:34" x14ac:dyDescent="0.35">
      <c r="A66" s="32">
        <v>6779</v>
      </c>
      <c r="B66" s="32">
        <v>100222335</v>
      </c>
      <c r="C66" s="33" t="s">
        <v>357</v>
      </c>
      <c r="D66" s="32">
        <v>2025</v>
      </c>
      <c r="E66" s="32">
        <v>8</v>
      </c>
      <c r="F66" s="34">
        <v>45873</v>
      </c>
      <c r="G66" s="32">
        <v>1600002031</v>
      </c>
      <c r="H66" s="33" t="s">
        <v>375</v>
      </c>
      <c r="I66" s="34">
        <v>45873</v>
      </c>
      <c r="J66" s="34">
        <v>45873</v>
      </c>
      <c r="K66" s="33" t="s">
        <v>366</v>
      </c>
      <c r="L66" s="35">
        <v>256779421607</v>
      </c>
      <c r="M66" s="32">
        <v>212100</v>
      </c>
      <c r="N66" s="33" t="s">
        <v>359</v>
      </c>
      <c r="O66" s="33" t="s">
        <v>327</v>
      </c>
      <c r="P66" s="32">
        <v>11</v>
      </c>
      <c r="Q66" s="33" t="s">
        <v>367</v>
      </c>
      <c r="R66" s="36">
        <v>-20.63</v>
      </c>
      <c r="S66" s="33" t="s">
        <v>360</v>
      </c>
      <c r="T66" s="36">
        <v>-1774.19</v>
      </c>
      <c r="U66" s="33"/>
      <c r="V66" s="136" t="e" cm="1">
        <f t="array" ref="V66">_xlfn.XLOOKUP(L66,'Customer Data'!$H:$H,'Customer Data'!$E:$F,,0)</f>
        <v>#N/A</v>
      </c>
      <c r="W66" s="136"/>
      <c r="X66" s="33"/>
      <c r="Y66" s="33" t="s">
        <v>366</v>
      </c>
      <c r="Z66" s="32">
        <v>1</v>
      </c>
      <c r="AA66" s="76">
        <f t="shared" si="0"/>
        <v>0</v>
      </c>
      <c r="AB66" s="33" t="s">
        <v>421</v>
      </c>
      <c r="AC66" s="33" t="s">
        <v>327</v>
      </c>
      <c r="AD66" s="33" t="s">
        <v>327</v>
      </c>
      <c r="AE66" s="33" t="s">
        <v>327</v>
      </c>
      <c r="AF66" s="34">
        <v>45873</v>
      </c>
      <c r="AG66" s="34">
        <v>45976</v>
      </c>
      <c r="AH66" s="32">
        <v>1400001884</v>
      </c>
    </row>
    <row r="67" spans="1:34" x14ac:dyDescent="0.35">
      <c r="A67" s="32">
        <v>6779</v>
      </c>
      <c r="B67" s="32">
        <v>100222335</v>
      </c>
      <c r="C67" s="33" t="s">
        <v>357</v>
      </c>
      <c r="D67" s="32">
        <v>2025</v>
      </c>
      <c r="E67" s="32">
        <v>8</v>
      </c>
      <c r="F67" s="34">
        <v>45873</v>
      </c>
      <c r="G67" s="32">
        <v>1600002040</v>
      </c>
      <c r="H67" s="33" t="s">
        <v>375</v>
      </c>
      <c r="I67" s="34">
        <v>45873</v>
      </c>
      <c r="J67" s="34">
        <v>45873</v>
      </c>
      <c r="K67" s="33" t="s">
        <v>366</v>
      </c>
      <c r="L67" s="35">
        <v>256779421616</v>
      </c>
      <c r="M67" s="32">
        <v>212100</v>
      </c>
      <c r="N67" s="33" t="s">
        <v>359</v>
      </c>
      <c r="O67" s="33" t="s">
        <v>327</v>
      </c>
      <c r="P67" s="32">
        <v>11</v>
      </c>
      <c r="Q67" s="33" t="s">
        <v>367</v>
      </c>
      <c r="R67" s="36">
        <v>-744.61</v>
      </c>
      <c r="S67" s="33" t="s">
        <v>360</v>
      </c>
      <c r="T67" s="36">
        <v>-64036.959999999999</v>
      </c>
      <c r="U67" s="33"/>
      <c r="V67" s="136" t="e" cm="1">
        <f t="array" ref="V67">_xlfn.XLOOKUP(L67,'Customer Data'!$H:$H,'Customer Data'!$E:$F,,0)</f>
        <v>#N/A</v>
      </c>
      <c r="W67" s="136"/>
      <c r="X67" s="33"/>
      <c r="Y67" s="33" t="s">
        <v>366</v>
      </c>
      <c r="Z67" s="32">
        <v>1</v>
      </c>
      <c r="AA67" s="76">
        <f t="shared" ref="AA67:AA113" si="1">W67/T67</f>
        <v>0</v>
      </c>
      <c r="AB67" s="33" t="s">
        <v>422</v>
      </c>
      <c r="AC67" s="33" t="s">
        <v>327</v>
      </c>
      <c r="AD67" s="33" t="s">
        <v>327</v>
      </c>
      <c r="AE67" s="33" t="s">
        <v>327</v>
      </c>
      <c r="AF67" s="34">
        <v>45873</v>
      </c>
      <c r="AG67" s="34">
        <v>45976</v>
      </c>
      <c r="AH67" s="32">
        <v>1400001884</v>
      </c>
    </row>
    <row r="68" spans="1:34" x14ac:dyDescent="0.35">
      <c r="A68" s="32">
        <v>6779</v>
      </c>
      <c r="B68" s="32">
        <v>100222335</v>
      </c>
      <c r="C68" s="33" t="s">
        <v>357</v>
      </c>
      <c r="D68" s="32">
        <v>2025</v>
      </c>
      <c r="E68" s="32">
        <v>4</v>
      </c>
      <c r="F68" s="34">
        <v>45750</v>
      </c>
      <c r="G68" s="32">
        <v>1800005295</v>
      </c>
      <c r="H68" s="33" t="s">
        <v>365</v>
      </c>
      <c r="I68" s="34">
        <v>45750</v>
      </c>
      <c r="J68" s="34">
        <v>45752</v>
      </c>
      <c r="K68" s="33" t="s">
        <v>366</v>
      </c>
      <c r="L68" s="35">
        <v>256779410187</v>
      </c>
      <c r="M68" s="32">
        <v>212100</v>
      </c>
      <c r="N68" s="33" t="s">
        <v>359</v>
      </c>
      <c r="O68" s="33" t="s">
        <v>327</v>
      </c>
      <c r="P68" s="32">
        <v>1</v>
      </c>
      <c r="Q68" s="33" t="s">
        <v>367</v>
      </c>
      <c r="R68" s="36">
        <v>23.73</v>
      </c>
      <c r="S68" s="33" t="s">
        <v>360</v>
      </c>
      <c r="T68" s="36">
        <v>2062.65</v>
      </c>
      <c r="U68" s="33"/>
      <c r="V68" s="136" cm="1">
        <f t="array" ref="V68:W68">_xlfn.XLOOKUP(L68,'Customer Data'!$H:$H,'Customer Data'!$E:$F,,0)</f>
        <v>2063</v>
      </c>
      <c r="W68" s="136">
        <v>35</v>
      </c>
      <c r="X68" s="33"/>
      <c r="Y68" s="33" t="s">
        <v>366</v>
      </c>
      <c r="Z68" s="32">
        <v>1</v>
      </c>
      <c r="AA68" s="76">
        <f t="shared" si="1"/>
        <v>1.6968462899667903E-2</v>
      </c>
      <c r="AB68" s="33" t="s">
        <v>423</v>
      </c>
      <c r="AC68" s="33" t="s">
        <v>327</v>
      </c>
      <c r="AD68" s="33" t="s">
        <v>327</v>
      </c>
      <c r="AE68" s="33" t="s">
        <v>327</v>
      </c>
      <c r="AF68" s="34">
        <v>45750</v>
      </c>
      <c r="AG68" s="34">
        <v>45909</v>
      </c>
      <c r="AH68" s="32">
        <v>1400001167</v>
      </c>
    </row>
    <row r="69" spans="1:34" x14ac:dyDescent="0.35">
      <c r="A69" s="32">
        <v>6779</v>
      </c>
      <c r="B69" s="32">
        <v>100222335</v>
      </c>
      <c r="C69" s="33" t="s">
        <v>357</v>
      </c>
      <c r="D69" s="32">
        <v>2025</v>
      </c>
      <c r="E69" s="32">
        <v>10</v>
      </c>
      <c r="F69" s="34">
        <v>45950</v>
      </c>
      <c r="G69" s="32">
        <v>1800013825</v>
      </c>
      <c r="H69" s="33" t="s">
        <v>365</v>
      </c>
      <c r="I69" s="34">
        <v>45950</v>
      </c>
      <c r="J69" s="34">
        <v>45951</v>
      </c>
      <c r="K69" s="33" t="s">
        <v>366</v>
      </c>
      <c r="L69" s="35">
        <v>256779418643</v>
      </c>
      <c r="M69" s="32">
        <v>212100</v>
      </c>
      <c r="N69" s="33" t="s">
        <v>359</v>
      </c>
      <c r="O69" s="33" t="s">
        <v>327</v>
      </c>
      <c r="P69" s="32">
        <v>1</v>
      </c>
      <c r="Q69" s="33" t="s">
        <v>367</v>
      </c>
      <c r="R69" s="36">
        <v>38.94</v>
      </c>
      <c r="S69" s="33" t="s">
        <v>360</v>
      </c>
      <c r="T69" s="36">
        <v>3434.15</v>
      </c>
      <c r="U69" s="33"/>
      <c r="V69" s="136" cm="1">
        <f t="array" ref="V69:W69">_xlfn.XLOOKUP(L69,'Customer Data'!$H:$H,'Customer Data'!$E:$F,,0)</f>
        <v>3434</v>
      </c>
      <c r="W69" s="136">
        <v>58</v>
      </c>
      <c r="X69" s="33"/>
      <c r="Y69" s="32">
        <v>2114881</v>
      </c>
      <c r="Z69" s="32">
        <v>1</v>
      </c>
      <c r="AA69" s="76">
        <f t="shared" si="1"/>
        <v>1.6889186552713188E-2</v>
      </c>
      <c r="AB69" s="33" t="s">
        <v>424</v>
      </c>
      <c r="AC69" s="33" t="s">
        <v>327</v>
      </c>
      <c r="AD69" s="33" t="s">
        <v>327</v>
      </c>
      <c r="AE69" s="33" t="s">
        <v>327</v>
      </c>
      <c r="AF69" s="34">
        <v>45950</v>
      </c>
      <c r="AG69" s="34"/>
      <c r="AH69" s="33" t="s">
        <v>327</v>
      </c>
    </row>
    <row r="70" spans="1:34" x14ac:dyDescent="0.35">
      <c r="A70" s="32">
        <v>6779</v>
      </c>
      <c r="B70" s="32">
        <v>100222335</v>
      </c>
      <c r="C70" s="33" t="s">
        <v>357</v>
      </c>
      <c r="D70" s="32">
        <v>2025</v>
      </c>
      <c r="E70" s="32">
        <v>12</v>
      </c>
      <c r="F70" s="34">
        <v>45995</v>
      </c>
      <c r="G70" s="32">
        <v>1800015335</v>
      </c>
      <c r="H70" s="33" t="s">
        <v>365</v>
      </c>
      <c r="I70" s="34">
        <v>45995</v>
      </c>
      <c r="J70" s="34">
        <v>46000</v>
      </c>
      <c r="K70" s="33" t="s">
        <v>366</v>
      </c>
      <c r="L70" s="35">
        <v>256779419781</v>
      </c>
      <c r="M70" s="32">
        <v>212100</v>
      </c>
      <c r="N70" s="33" t="s">
        <v>359</v>
      </c>
      <c r="O70" s="33" t="s">
        <v>327</v>
      </c>
      <c r="P70" s="32">
        <v>1</v>
      </c>
      <c r="Q70" s="33" t="s">
        <v>367</v>
      </c>
      <c r="R70" s="36">
        <v>112.56</v>
      </c>
      <c r="S70" s="33" t="s">
        <v>360</v>
      </c>
      <c r="T70" s="36">
        <v>9984.09</v>
      </c>
      <c r="U70" s="33"/>
      <c r="V70" s="136" cm="1">
        <f t="array" ref="V70:W70">_xlfn.XLOOKUP(L70,'Customer Data'!$H:$H,'Customer Data'!$E:$F,,0)</f>
        <v>9984</v>
      </c>
      <c r="W70" s="136">
        <v>169</v>
      </c>
      <c r="X70" s="33"/>
      <c r="Y70" s="33" t="s">
        <v>366</v>
      </c>
      <c r="Z70" s="32">
        <v>1</v>
      </c>
      <c r="AA70" s="76">
        <f t="shared" si="1"/>
        <v>1.6926930746818187E-2</v>
      </c>
      <c r="AB70" s="33" t="s">
        <v>425</v>
      </c>
      <c r="AC70" s="33" t="s">
        <v>327</v>
      </c>
      <c r="AD70" s="33" t="s">
        <v>327</v>
      </c>
      <c r="AE70" s="33" t="s">
        <v>327</v>
      </c>
      <c r="AF70" s="34">
        <v>45995</v>
      </c>
      <c r="AG70" s="34"/>
      <c r="AH70" s="33" t="s">
        <v>327</v>
      </c>
    </row>
    <row r="71" spans="1:34" x14ac:dyDescent="0.35">
      <c r="A71" s="32">
        <v>6779</v>
      </c>
      <c r="B71" s="32">
        <v>100222335</v>
      </c>
      <c r="C71" s="33" t="s">
        <v>357</v>
      </c>
      <c r="D71" s="32">
        <v>2025</v>
      </c>
      <c r="E71" s="32">
        <v>8</v>
      </c>
      <c r="F71" s="34">
        <v>45888</v>
      </c>
      <c r="G71" s="32">
        <v>1800011920</v>
      </c>
      <c r="H71" s="33" t="s">
        <v>365</v>
      </c>
      <c r="I71" s="34">
        <v>45888</v>
      </c>
      <c r="J71" s="34">
        <v>45888</v>
      </c>
      <c r="K71" s="33" t="s">
        <v>366</v>
      </c>
      <c r="L71" s="35">
        <v>256779416570</v>
      </c>
      <c r="M71" s="32">
        <v>212100</v>
      </c>
      <c r="N71" s="33" t="s">
        <v>359</v>
      </c>
      <c r="O71" s="33" t="s">
        <v>327</v>
      </c>
      <c r="P71" s="32">
        <v>1</v>
      </c>
      <c r="Q71" s="33" t="s">
        <v>367</v>
      </c>
      <c r="R71" s="36">
        <v>3.63</v>
      </c>
      <c r="S71" s="33" t="s">
        <v>360</v>
      </c>
      <c r="T71" s="36">
        <v>312.29000000000002</v>
      </c>
      <c r="U71" s="33"/>
      <c r="V71" s="136" t="e" cm="1">
        <f t="array" ref="V71">_xlfn.XLOOKUP(L71,'Customer Data'!$H:$H,'Customer Data'!$E:$F,,0)</f>
        <v>#N/A</v>
      </c>
      <c r="W71" s="136"/>
      <c r="X71" s="33"/>
      <c r="Y71" s="33" t="s">
        <v>366</v>
      </c>
      <c r="Z71" s="32">
        <v>1</v>
      </c>
      <c r="AA71" s="76">
        <f t="shared" si="1"/>
        <v>0</v>
      </c>
      <c r="AB71" s="33" t="s">
        <v>426</v>
      </c>
      <c r="AC71" s="33" t="s">
        <v>327</v>
      </c>
      <c r="AD71" s="33" t="s">
        <v>327</v>
      </c>
      <c r="AE71" s="33" t="s">
        <v>327</v>
      </c>
      <c r="AF71" s="34">
        <v>45888</v>
      </c>
      <c r="AG71" s="34"/>
      <c r="AH71" s="33" t="s">
        <v>327</v>
      </c>
    </row>
    <row r="72" spans="1:34" x14ac:dyDescent="0.35">
      <c r="A72" s="32">
        <v>6779</v>
      </c>
      <c r="B72" s="32">
        <v>100222335</v>
      </c>
      <c r="C72" s="33" t="s">
        <v>357</v>
      </c>
      <c r="D72" s="32">
        <v>2025</v>
      </c>
      <c r="E72" s="32">
        <v>9</v>
      </c>
      <c r="F72" s="34">
        <v>45919</v>
      </c>
      <c r="G72" s="32">
        <v>1800013017</v>
      </c>
      <c r="H72" s="33" t="s">
        <v>365</v>
      </c>
      <c r="I72" s="34">
        <v>45919</v>
      </c>
      <c r="J72" s="34">
        <v>45922</v>
      </c>
      <c r="K72" s="33" t="s">
        <v>366</v>
      </c>
      <c r="L72" s="35">
        <v>256779417643</v>
      </c>
      <c r="M72" s="32">
        <v>212100</v>
      </c>
      <c r="N72" s="33" t="s">
        <v>359</v>
      </c>
      <c r="O72" s="33" t="s">
        <v>327</v>
      </c>
      <c r="P72" s="32">
        <v>1</v>
      </c>
      <c r="Q72" s="33" t="s">
        <v>367</v>
      </c>
      <c r="R72" s="36">
        <v>503.06</v>
      </c>
      <c r="S72" s="33" t="s">
        <v>360</v>
      </c>
      <c r="T72" s="36">
        <v>44024.959999999999</v>
      </c>
      <c r="U72" s="33"/>
      <c r="V72" s="136" cm="1">
        <f t="array" ref="V72:W72">_xlfn.XLOOKUP(L72,'Customer Data'!$H:$H,'Customer Data'!$E:$F,,0)</f>
        <v>44047</v>
      </c>
      <c r="W72" s="136">
        <v>746</v>
      </c>
      <c r="X72" s="33"/>
      <c r="Y72" s="32">
        <v>2102534</v>
      </c>
      <c r="Z72" s="32">
        <v>1</v>
      </c>
      <c r="AA72" s="76">
        <f t="shared" si="1"/>
        <v>1.6944933056157234E-2</v>
      </c>
      <c r="AB72" s="33" t="s">
        <v>427</v>
      </c>
      <c r="AC72" s="33" t="s">
        <v>327</v>
      </c>
      <c r="AD72" s="33" t="s">
        <v>327</v>
      </c>
      <c r="AE72" s="33" t="s">
        <v>327</v>
      </c>
      <c r="AF72" s="34">
        <v>45919</v>
      </c>
      <c r="AG72" s="34"/>
      <c r="AH72" s="33" t="s">
        <v>327</v>
      </c>
    </row>
    <row r="73" spans="1:34" x14ac:dyDescent="0.35">
      <c r="A73" s="32">
        <v>6779</v>
      </c>
      <c r="B73" s="32">
        <v>100222335</v>
      </c>
      <c r="C73" s="33" t="s">
        <v>357</v>
      </c>
      <c r="D73" s="32">
        <v>2025</v>
      </c>
      <c r="E73" s="32">
        <v>5</v>
      </c>
      <c r="F73" s="34">
        <v>45798</v>
      </c>
      <c r="G73" s="32">
        <v>1800008919</v>
      </c>
      <c r="H73" s="33" t="s">
        <v>365</v>
      </c>
      <c r="I73" s="34">
        <v>45798</v>
      </c>
      <c r="J73" s="34">
        <v>45805</v>
      </c>
      <c r="K73" s="33" t="s">
        <v>366</v>
      </c>
      <c r="L73" s="35">
        <v>256779413683</v>
      </c>
      <c r="M73" s="32">
        <v>212100</v>
      </c>
      <c r="N73" s="33" t="s">
        <v>359</v>
      </c>
      <c r="O73" s="33" t="s">
        <v>327</v>
      </c>
      <c r="P73" s="32">
        <v>1</v>
      </c>
      <c r="Q73" s="33" t="s">
        <v>367</v>
      </c>
      <c r="R73" s="36">
        <v>112.44</v>
      </c>
      <c r="S73" s="33" t="s">
        <v>360</v>
      </c>
      <c r="T73" s="36">
        <v>9668.01</v>
      </c>
      <c r="U73" s="33"/>
      <c r="V73" s="136" t="e" cm="1">
        <f t="array" ref="V73">_xlfn.XLOOKUP(L73,'Customer Data'!$H:$H,'Customer Data'!$E:$F,,0)</f>
        <v>#N/A</v>
      </c>
      <c r="W73" s="136"/>
      <c r="X73" s="33"/>
      <c r="Y73" s="33" t="s">
        <v>366</v>
      </c>
      <c r="Z73" s="32">
        <v>1</v>
      </c>
      <c r="AA73" s="76">
        <f t="shared" si="1"/>
        <v>0</v>
      </c>
      <c r="AB73" s="33" t="s">
        <v>428</v>
      </c>
      <c r="AC73" s="33" t="s">
        <v>327</v>
      </c>
      <c r="AD73" s="33" t="s">
        <v>327</v>
      </c>
      <c r="AE73" s="33" t="s">
        <v>327</v>
      </c>
      <c r="AF73" s="34">
        <v>45798</v>
      </c>
      <c r="AG73" s="34"/>
      <c r="AH73" s="33" t="s">
        <v>327</v>
      </c>
    </row>
    <row r="74" spans="1:34" x14ac:dyDescent="0.35">
      <c r="A74" s="32">
        <v>6779</v>
      </c>
      <c r="B74" s="32">
        <v>100222335</v>
      </c>
      <c r="C74" s="33" t="s">
        <v>357</v>
      </c>
      <c r="D74" s="32">
        <v>2025</v>
      </c>
      <c r="E74" s="32">
        <v>4</v>
      </c>
      <c r="F74" s="34">
        <v>45771</v>
      </c>
      <c r="G74" s="32">
        <v>1800007894</v>
      </c>
      <c r="H74" s="33" t="s">
        <v>365</v>
      </c>
      <c r="I74" s="34">
        <v>45771</v>
      </c>
      <c r="J74" s="34">
        <v>45773</v>
      </c>
      <c r="K74" s="33" t="s">
        <v>366</v>
      </c>
      <c r="L74" s="35">
        <v>256779412785</v>
      </c>
      <c r="M74" s="32">
        <v>212100</v>
      </c>
      <c r="N74" s="33" t="s">
        <v>359</v>
      </c>
      <c r="O74" s="33" t="s">
        <v>327</v>
      </c>
      <c r="P74" s="32">
        <v>1</v>
      </c>
      <c r="Q74" s="33" t="s">
        <v>367</v>
      </c>
      <c r="R74" s="36">
        <v>60.31</v>
      </c>
      <c r="S74" s="33" t="s">
        <v>360</v>
      </c>
      <c r="T74" s="36">
        <v>5242.25</v>
      </c>
      <c r="U74" s="33"/>
      <c r="V74" s="136" t="e" cm="1">
        <f t="array" ref="V74">_xlfn.XLOOKUP(L74,'Customer Data'!$H:$H,'Customer Data'!$E:$F,,0)</f>
        <v>#N/A</v>
      </c>
      <c r="W74" s="136"/>
      <c r="X74" s="33"/>
      <c r="Y74" s="33" t="s">
        <v>366</v>
      </c>
      <c r="Z74" s="32">
        <v>1</v>
      </c>
      <c r="AA74" s="76">
        <f t="shared" si="1"/>
        <v>0</v>
      </c>
      <c r="AB74" s="33" t="s">
        <v>429</v>
      </c>
      <c r="AC74" s="33" t="s">
        <v>327</v>
      </c>
      <c r="AD74" s="33" t="s">
        <v>327</v>
      </c>
      <c r="AE74" s="33" t="s">
        <v>327</v>
      </c>
      <c r="AF74" s="34">
        <v>45771</v>
      </c>
      <c r="AG74" s="34"/>
      <c r="AH74" s="33" t="s">
        <v>327</v>
      </c>
    </row>
    <row r="75" spans="1:34" x14ac:dyDescent="0.35">
      <c r="A75" s="32">
        <v>6779</v>
      </c>
      <c r="B75" s="32">
        <v>100222335</v>
      </c>
      <c r="C75" s="33" t="s">
        <v>357</v>
      </c>
      <c r="D75" s="32">
        <v>2025</v>
      </c>
      <c r="E75" s="32">
        <v>4</v>
      </c>
      <c r="F75" s="34">
        <v>45771</v>
      </c>
      <c r="G75" s="32">
        <v>1800007927</v>
      </c>
      <c r="H75" s="33" t="s">
        <v>365</v>
      </c>
      <c r="I75" s="34">
        <v>45771</v>
      </c>
      <c r="J75" s="34">
        <v>45773</v>
      </c>
      <c r="K75" s="33" t="s">
        <v>366</v>
      </c>
      <c r="L75" s="35">
        <v>256779412818</v>
      </c>
      <c r="M75" s="32">
        <v>212100</v>
      </c>
      <c r="N75" s="33" t="s">
        <v>359</v>
      </c>
      <c r="O75" s="33" t="s">
        <v>327</v>
      </c>
      <c r="P75" s="32">
        <v>1</v>
      </c>
      <c r="Q75" s="33" t="s">
        <v>367</v>
      </c>
      <c r="R75" s="36">
        <v>86</v>
      </c>
      <c r="S75" s="33" t="s">
        <v>360</v>
      </c>
      <c r="T75" s="36">
        <v>7475.28</v>
      </c>
      <c r="U75" s="33"/>
      <c r="V75" s="136" t="e" cm="1">
        <f t="array" ref="V75">_xlfn.XLOOKUP(L75,'Customer Data'!$H:$H,'Customer Data'!$E:$F,,0)</f>
        <v>#N/A</v>
      </c>
      <c r="W75" s="136"/>
      <c r="X75" s="33"/>
      <c r="Y75" s="33" t="s">
        <v>366</v>
      </c>
      <c r="Z75" s="32">
        <v>1</v>
      </c>
      <c r="AA75" s="76">
        <f t="shared" si="1"/>
        <v>0</v>
      </c>
      <c r="AB75" s="33" t="s">
        <v>430</v>
      </c>
      <c r="AC75" s="33" t="s">
        <v>327</v>
      </c>
      <c r="AD75" s="33" t="s">
        <v>327</v>
      </c>
      <c r="AE75" s="33" t="s">
        <v>327</v>
      </c>
      <c r="AF75" s="34">
        <v>45771</v>
      </c>
      <c r="AG75" s="34"/>
      <c r="AH75" s="33" t="s">
        <v>327</v>
      </c>
    </row>
    <row r="76" spans="1:34" x14ac:dyDescent="0.35">
      <c r="A76" s="32">
        <v>6779</v>
      </c>
      <c r="B76" s="32">
        <v>100222335</v>
      </c>
      <c r="C76" s="33" t="s">
        <v>357</v>
      </c>
      <c r="D76" s="32">
        <v>2025</v>
      </c>
      <c r="E76" s="32">
        <v>6</v>
      </c>
      <c r="F76" s="34">
        <v>45826</v>
      </c>
      <c r="G76" s="32">
        <v>1800009856</v>
      </c>
      <c r="H76" s="33" t="s">
        <v>365</v>
      </c>
      <c r="I76" s="34">
        <v>45826</v>
      </c>
      <c r="J76" s="34">
        <v>45829</v>
      </c>
      <c r="K76" s="33" t="s">
        <v>366</v>
      </c>
      <c r="L76" s="35">
        <v>256779414620</v>
      </c>
      <c r="M76" s="32">
        <v>212100</v>
      </c>
      <c r="N76" s="33" t="s">
        <v>359</v>
      </c>
      <c r="O76" s="33" t="s">
        <v>327</v>
      </c>
      <c r="P76" s="32">
        <v>1</v>
      </c>
      <c r="Q76" s="33" t="s">
        <v>367</v>
      </c>
      <c r="R76" s="36">
        <v>65.42</v>
      </c>
      <c r="S76" s="33" t="s">
        <v>360</v>
      </c>
      <c r="T76" s="36">
        <v>5592.81</v>
      </c>
      <c r="U76" s="33"/>
      <c r="V76" s="136" t="e" cm="1">
        <f t="array" ref="V76">_xlfn.XLOOKUP(L76,'Customer Data'!$H:$H,'Customer Data'!$E:$F,,0)</f>
        <v>#N/A</v>
      </c>
      <c r="W76" s="136"/>
      <c r="X76" s="33"/>
      <c r="Y76" s="33" t="s">
        <v>366</v>
      </c>
      <c r="Z76" s="32">
        <v>1</v>
      </c>
      <c r="AA76" s="76">
        <f t="shared" si="1"/>
        <v>0</v>
      </c>
      <c r="AB76" s="33" t="s">
        <v>431</v>
      </c>
      <c r="AC76" s="33" t="s">
        <v>327</v>
      </c>
      <c r="AD76" s="33" t="s">
        <v>327</v>
      </c>
      <c r="AE76" s="33" t="s">
        <v>327</v>
      </c>
      <c r="AF76" s="34">
        <v>45826</v>
      </c>
      <c r="AG76" s="34"/>
      <c r="AH76" s="33" t="s">
        <v>327</v>
      </c>
    </row>
    <row r="77" spans="1:34" x14ac:dyDescent="0.35">
      <c r="A77" s="32">
        <v>6779</v>
      </c>
      <c r="B77" s="32">
        <v>100222335</v>
      </c>
      <c r="C77" s="33" t="s">
        <v>357</v>
      </c>
      <c r="D77" s="32">
        <v>2025</v>
      </c>
      <c r="E77" s="32">
        <v>3</v>
      </c>
      <c r="F77" s="34">
        <v>45735</v>
      </c>
      <c r="G77" s="32">
        <v>1800002759</v>
      </c>
      <c r="H77" s="33" t="s">
        <v>365</v>
      </c>
      <c r="I77" s="34">
        <v>45735</v>
      </c>
      <c r="J77" s="34">
        <v>45735</v>
      </c>
      <c r="K77" s="33" t="s">
        <v>366</v>
      </c>
      <c r="L77" s="35">
        <v>246779412626</v>
      </c>
      <c r="M77" s="32">
        <v>212100</v>
      </c>
      <c r="N77" s="33" t="s">
        <v>359</v>
      </c>
      <c r="O77" s="33" t="s">
        <v>327</v>
      </c>
      <c r="P77" s="32">
        <v>1</v>
      </c>
      <c r="Q77" s="33" t="s">
        <v>367</v>
      </c>
      <c r="R77" s="36">
        <v>276.49</v>
      </c>
      <c r="S77" s="33" t="s">
        <v>360</v>
      </c>
      <c r="T77" s="36">
        <v>23969.27</v>
      </c>
      <c r="U77" s="33"/>
      <c r="V77" s="136" cm="1">
        <f t="array" ref="V77:W77">_xlfn.XLOOKUP(L77,'Customer Data'!$H:$H,'Customer Data'!$E:$F,,0)</f>
        <v>23969</v>
      </c>
      <c r="W77" s="136">
        <v>407</v>
      </c>
      <c r="X77" s="33"/>
      <c r="Y77" s="33" t="s">
        <v>366</v>
      </c>
      <c r="Z77" s="32">
        <v>1</v>
      </c>
      <c r="AA77" s="76">
        <f t="shared" si="1"/>
        <v>1.6980074904241974E-2</v>
      </c>
      <c r="AB77" s="33" t="s">
        <v>432</v>
      </c>
      <c r="AC77" s="33" t="s">
        <v>327</v>
      </c>
      <c r="AD77" s="33" t="s">
        <v>327</v>
      </c>
      <c r="AE77" s="33" t="s">
        <v>327</v>
      </c>
      <c r="AF77" s="34">
        <v>45735</v>
      </c>
      <c r="AG77" s="34">
        <v>45909</v>
      </c>
      <c r="AH77" s="32">
        <v>1400001167</v>
      </c>
    </row>
    <row r="78" spans="1:34" x14ac:dyDescent="0.35">
      <c r="A78" s="32">
        <v>6779</v>
      </c>
      <c r="B78" s="32">
        <v>100222335</v>
      </c>
      <c r="C78" s="33" t="s">
        <v>357</v>
      </c>
      <c r="D78" s="32">
        <v>2025</v>
      </c>
      <c r="E78" s="32">
        <v>3</v>
      </c>
      <c r="F78" s="34">
        <v>45735</v>
      </c>
      <c r="G78" s="32">
        <v>1800002845</v>
      </c>
      <c r="H78" s="33" t="s">
        <v>365</v>
      </c>
      <c r="I78" s="34">
        <v>45735</v>
      </c>
      <c r="J78" s="34">
        <v>45735</v>
      </c>
      <c r="K78" s="33" t="s">
        <v>366</v>
      </c>
      <c r="L78" s="35">
        <v>246779412712</v>
      </c>
      <c r="M78" s="32">
        <v>212100</v>
      </c>
      <c r="N78" s="33" t="s">
        <v>359</v>
      </c>
      <c r="O78" s="33" t="s">
        <v>327</v>
      </c>
      <c r="P78" s="32">
        <v>1</v>
      </c>
      <c r="Q78" s="33" t="s">
        <v>367</v>
      </c>
      <c r="R78" s="36">
        <v>253.85</v>
      </c>
      <c r="S78" s="33" t="s">
        <v>360</v>
      </c>
      <c r="T78" s="36">
        <v>22006.58</v>
      </c>
      <c r="U78" s="33"/>
      <c r="V78" s="136" cm="1">
        <f t="array" ref="V78:W78">_xlfn.XLOOKUP(L78,'Customer Data'!$H:$H,'Customer Data'!$E:$F,,0)</f>
        <v>22007</v>
      </c>
      <c r="W78" s="136">
        <v>373</v>
      </c>
      <c r="X78" s="33"/>
      <c r="Y78" s="33" t="s">
        <v>366</v>
      </c>
      <c r="Z78" s="32">
        <v>1</v>
      </c>
      <c r="AA78" s="76">
        <f t="shared" si="1"/>
        <v>1.6949476020353911E-2</v>
      </c>
      <c r="AB78" s="33" t="s">
        <v>433</v>
      </c>
      <c r="AC78" s="33" t="s">
        <v>327</v>
      </c>
      <c r="AD78" s="33" t="s">
        <v>327</v>
      </c>
      <c r="AE78" s="33" t="s">
        <v>327</v>
      </c>
      <c r="AF78" s="34">
        <v>45735</v>
      </c>
      <c r="AG78" s="34">
        <v>45909</v>
      </c>
      <c r="AH78" s="32">
        <v>1400001167</v>
      </c>
    </row>
    <row r="79" spans="1:34" x14ac:dyDescent="0.35">
      <c r="A79" s="32">
        <v>6779</v>
      </c>
      <c r="B79" s="32">
        <v>100222335</v>
      </c>
      <c r="C79" s="33" t="s">
        <v>357</v>
      </c>
      <c r="D79" s="32">
        <v>2025</v>
      </c>
      <c r="E79" s="32">
        <v>3</v>
      </c>
      <c r="F79" s="34">
        <v>45735</v>
      </c>
      <c r="G79" s="32">
        <v>1800002918</v>
      </c>
      <c r="H79" s="33" t="s">
        <v>365</v>
      </c>
      <c r="I79" s="34">
        <v>45735</v>
      </c>
      <c r="J79" s="34">
        <v>45735</v>
      </c>
      <c r="K79" s="33" t="s">
        <v>366</v>
      </c>
      <c r="L79" s="35">
        <v>246779412785</v>
      </c>
      <c r="M79" s="32">
        <v>212100</v>
      </c>
      <c r="N79" s="33" t="s">
        <v>359</v>
      </c>
      <c r="O79" s="33" t="s">
        <v>327</v>
      </c>
      <c r="P79" s="32">
        <v>1</v>
      </c>
      <c r="Q79" s="33" t="s">
        <v>367</v>
      </c>
      <c r="R79" s="36">
        <v>283.02999999999997</v>
      </c>
      <c r="S79" s="33" t="s">
        <v>360</v>
      </c>
      <c r="T79" s="36">
        <v>24536.23</v>
      </c>
      <c r="U79" s="33"/>
      <c r="V79" s="136" cm="1">
        <f t="array" ref="V79:W79">_xlfn.XLOOKUP(L79,'Customer Data'!$H:$H,'Customer Data'!$E:$F,,0)</f>
        <v>24537</v>
      </c>
      <c r="W79" s="136">
        <v>416</v>
      </c>
      <c r="X79" s="33"/>
      <c r="Y79" s="33" t="s">
        <v>366</v>
      </c>
      <c r="Z79" s="32">
        <v>1</v>
      </c>
      <c r="AA79" s="76">
        <f t="shared" si="1"/>
        <v>1.6954519907907611E-2</v>
      </c>
      <c r="AB79" s="33" t="s">
        <v>434</v>
      </c>
      <c r="AC79" s="33" t="s">
        <v>327</v>
      </c>
      <c r="AD79" s="33" t="s">
        <v>327</v>
      </c>
      <c r="AE79" s="33" t="s">
        <v>327</v>
      </c>
      <c r="AF79" s="34">
        <v>45735</v>
      </c>
      <c r="AG79" s="34">
        <v>45909</v>
      </c>
      <c r="AH79" s="32">
        <v>1400001167</v>
      </c>
    </row>
    <row r="80" spans="1:34" x14ac:dyDescent="0.35">
      <c r="A80" s="32">
        <v>6779</v>
      </c>
      <c r="B80" s="32">
        <v>100222335</v>
      </c>
      <c r="C80" s="33" t="s">
        <v>357</v>
      </c>
      <c r="D80" s="32">
        <v>2025</v>
      </c>
      <c r="E80" s="32">
        <v>3</v>
      </c>
      <c r="F80" s="34">
        <v>45735</v>
      </c>
      <c r="G80" s="32">
        <v>1800002996</v>
      </c>
      <c r="H80" s="33" t="s">
        <v>365</v>
      </c>
      <c r="I80" s="34">
        <v>45735</v>
      </c>
      <c r="J80" s="34">
        <v>45735</v>
      </c>
      <c r="K80" s="33" t="s">
        <v>366</v>
      </c>
      <c r="L80" s="35">
        <v>246779412863</v>
      </c>
      <c r="M80" s="32">
        <v>212100</v>
      </c>
      <c r="N80" s="33" t="s">
        <v>359</v>
      </c>
      <c r="O80" s="33" t="s">
        <v>327</v>
      </c>
      <c r="P80" s="32">
        <v>1</v>
      </c>
      <c r="Q80" s="33" t="s">
        <v>367</v>
      </c>
      <c r="R80" s="36">
        <v>319.27</v>
      </c>
      <c r="S80" s="33" t="s">
        <v>360</v>
      </c>
      <c r="T80" s="36">
        <v>27677.919999999998</v>
      </c>
      <c r="U80" s="33"/>
      <c r="V80" s="136" cm="1">
        <f t="array" ref="V80:W80">_xlfn.XLOOKUP(L80,'Customer Data'!$H:$H,'Customer Data'!$E:$F,,0)</f>
        <v>27677</v>
      </c>
      <c r="W80" s="136">
        <v>470</v>
      </c>
      <c r="X80" s="33"/>
      <c r="Y80" s="33" t="s">
        <v>366</v>
      </c>
      <c r="Z80" s="32">
        <v>1</v>
      </c>
      <c r="AA80" s="76">
        <f t="shared" si="1"/>
        <v>1.6981044818396761E-2</v>
      </c>
      <c r="AB80" s="33" t="s">
        <v>435</v>
      </c>
      <c r="AC80" s="33" t="s">
        <v>327</v>
      </c>
      <c r="AD80" s="33" t="s">
        <v>327</v>
      </c>
      <c r="AE80" s="33" t="s">
        <v>327</v>
      </c>
      <c r="AF80" s="34">
        <v>45735</v>
      </c>
      <c r="AG80" s="34">
        <v>45909</v>
      </c>
      <c r="AH80" s="32">
        <v>1400001167</v>
      </c>
    </row>
    <row r="81" spans="1:34" x14ac:dyDescent="0.35">
      <c r="A81" s="32">
        <v>6779</v>
      </c>
      <c r="B81" s="32">
        <v>100222335</v>
      </c>
      <c r="C81" s="33" t="s">
        <v>357</v>
      </c>
      <c r="D81" s="32">
        <v>2025</v>
      </c>
      <c r="E81" s="32">
        <v>3</v>
      </c>
      <c r="F81" s="34">
        <v>45735</v>
      </c>
      <c r="G81" s="32">
        <v>1800003067</v>
      </c>
      <c r="H81" s="33" t="s">
        <v>365</v>
      </c>
      <c r="I81" s="34">
        <v>45735</v>
      </c>
      <c r="J81" s="34">
        <v>45735</v>
      </c>
      <c r="K81" s="33" t="s">
        <v>366</v>
      </c>
      <c r="L81" s="35">
        <v>246779412934</v>
      </c>
      <c r="M81" s="32">
        <v>212100</v>
      </c>
      <c r="N81" s="33" t="s">
        <v>359</v>
      </c>
      <c r="O81" s="33" t="s">
        <v>327</v>
      </c>
      <c r="P81" s="32">
        <v>1</v>
      </c>
      <c r="Q81" s="33" t="s">
        <v>367</v>
      </c>
      <c r="R81" s="36">
        <v>329.89</v>
      </c>
      <c r="S81" s="33" t="s">
        <v>360</v>
      </c>
      <c r="T81" s="36">
        <v>28598.58</v>
      </c>
      <c r="U81" s="33"/>
      <c r="V81" s="136" cm="1">
        <f t="array" ref="V81:W81">_xlfn.XLOOKUP(L81,'Customer Data'!$H:$H,'Customer Data'!$E:$F,,0)</f>
        <v>28600</v>
      </c>
      <c r="W81" s="136">
        <v>485</v>
      </c>
      <c r="X81" s="33"/>
      <c r="Y81" s="33" t="s">
        <v>366</v>
      </c>
      <c r="Z81" s="32">
        <v>1</v>
      </c>
      <c r="AA81" s="76">
        <f t="shared" si="1"/>
        <v>1.6958883972560873E-2</v>
      </c>
      <c r="AB81" s="33" t="s">
        <v>436</v>
      </c>
      <c r="AC81" s="33" t="s">
        <v>327</v>
      </c>
      <c r="AD81" s="33" t="s">
        <v>327</v>
      </c>
      <c r="AE81" s="33" t="s">
        <v>327</v>
      </c>
      <c r="AF81" s="34">
        <v>45735</v>
      </c>
      <c r="AG81" s="34">
        <v>45909</v>
      </c>
      <c r="AH81" s="32">
        <v>1400001167</v>
      </c>
    </row>
    <row r="82" spans="1:34" x14ac:dyDescent="0.35">
      <c r="A82" s="32">
        <v>6779</v>
      </c>
      <c r="B82" s="32">
        <v>100222335</v>
      </c>
      <c r="C82" s="33" t="s">
        <v>357</v>
      </c>
      <c r="D82" s="32">
        <v>2025</v>
      </c>
      <c r="E82" s="32">
        <v>3</v>
      </c>
      <c r="F82" s="34">
        <v>45735</v>
      </c>
      <c r="G82" s="32">
        <v>1800003512</v>
      </c>
      <c r="H82" s="33" t="s">
        <v>365</v>
      </c>
      <c r="I82" s="34">
        <v>45735</v>
      </c>
      <c r="J82" s="34">
        <v>45736</v>
      </c>
      <c r="K82" s="33" t="s">
        <v>366</v>
      </c>
      <c r="L82" s="35">
        <v>246779413379</v>
      </c>
      <c r="M82" s="32">
        <v>212100</v>
      </c>
      <c r="N82" s="33" t="s">
        <v>359</v>
      </c>
      <c r="O82" s="33" t="s">
        <v>327</v>
      </c>
      <c r="P82" s="32">
        <v>1</v>
      </c>
      <c r="Q82" s="33" t="s">
        <v>367</v>
      </c>
      <c r="R82" s="36">
        <v>3.89</v>
      </c>
      <c r="S82" s="33" t="s">
        <v>360</v>
      </c>
      <c r="T82" s="36">
        <v>337.23</v>
      </c>
      <c r="U82" s="33"/>
      <c r="V82" s="136" cm="1">
        <f t="array" ref="V82:W82">_xlfn.XLOOKUP(L82,'Customer Data'!$H:$H,'Customer Data'!$E:$F,,0)</f>
        <v>337</v>
      </c>
      <c r="W82" s="136">
        <v>6</v>
      </c>
      <c r="X82" s="33"/>
      <c r="Y82" s="33" t="s">
        <v>366</v>
      </c>
      <c r="Z82" s="32">
        <v>1</v>
      </c>
      <c r="AA82" s="76">
        <f t="shared" si="1"/>
        <v>1.7792011386887286E-2</v>
      </c>
      <c r="AB82" s="33" t="s">
        <v>437</v>
      </c>
      <c r="AC82" s="33" t="s">
        <v>327</v>
      </c>
      <c r="AD82" s="33" t="s">
        <v>327</v>
      </c>
      <c r="AE82" s="33" t="s">
        <v>327</v>
      </c>
      <c r="AF82" s="34">
        <v>45735</v>
      </c>
      <c r="AG82" s="34">
        <v>45909</v>
      </c>
      <c r="AH82" s="32">
        <v>1400001167</v>
      </c>
    </row>
    <row r="83" spans="1:34" x14ac:dyDescent="0.35">
      <c r="A83" s="32">
        <v>6779</v>
      </c>
      <c r="B83" s="32">
        <v>100222335</v>
      </c>
      <c r="C83" s="33" t="s">
        <v>357</v>
      </c>
      <c r="D83" s="32">
        <v>2025</v>
      </c>
      <c r="E83" s="32">
        <v>11</v>
      </c>
      <c r="F83" s="34">
        <v>45981</v>
      </c>
      <c r="G83" s="32">
        <v>1800014898</v>
      </c>
      <c r="H83" s="33" t="s">
        <v>365</v>
      </c>
      <c r="I83" s="34">
        <v>45981</v>
      </c>
      <c r="J83" s="34">
        <v>45982</v>
      </c>
      <c r="K83" s="33" t="s">
        <v>366</v>
      </c>
      <c r="L83" s="35">
        <v>256779419447</v>
      </c>
      <c r="M83" s="32">
        <v>212100</v>
      </c>
      <c r="N83" s="33" t="s">
        <v>359</v>
      </c>
      <c r="O83" s="33" t="s">
        <v>327</v>
      </c>
      <c r="P83" s="32">
        <v>1</v>
      </c>
      <c r="Q83" s="33" t="s">
        <v>367</v>
      </c>
      <c r="R83" s="36">
        <v>39.9</v>
      </c>
      <c r="S83" s="33" t="s">
        <v>360</v>
      </c>
      <c r="T83" s="36">
        <v>3511.34</v>
      </c>
      <c r="U83" s="33"/>
      <c r="V83" s="136" cm="1">
        <f t="array" ref="V83:W83">_xlfn.XLOOKUP(L83,'Customer Data'!$H:$H,'Customer Data'!$E:$F,,0)</f>
        <v>3511.22</v>
      </c>
      <c r="W83" s="136">
        <v>70.22</v>
      </c>
      <c r="X83" s="33"/>
      <c r="Y83" s="32">
        <v>2130554</v>
      </c>
      <c r="Z83" s="32">
        <v>1</v>
      </c>
      <c r="AA83" s="76">
        <f t="shared" si="1"/>
        <v>1.9998063417384814E-2</v>
      </c>
      <c r="AB83" s="33" t="s">
        <v>438</v>
      </c>
      <c r="AC83" s="33" t="s">
        <v>327</v>
      </c>
      <c r="AD83" s="33" t="s">
        <v>327</v>
      </c>
      <c r="AE83" s="33" t="s">
        <v>327</v>
      </c>
      <c r="AF83" s="34">
        <v>45981</v>
      </c>
      <c r="AG83" s="34"/>
      <c r="AH83" s="33" t="s">
        <v>327</v>
      </c>
    </row>
    <row r="84" spans="1:34" x14ac:dyDescent="0.35">
      <c r="A84" s="32">
        <v>6779</v>
      </c>
      <c r="B84" s="32">
        <v>100222335</v>
      </c>
      <c r="C84" s="33" t="s">
        <v>357</v>
      </c>
      <c r="D84" s="32">
        <v>2025</v>
      </c>
      <c r="E84" s="32">
        <v>11</v>
      </c>
      <c r="F84" s="34">
        <v>45981</v>
      </c>
      <c r="G84" s="32">
        <v>1800015025</v>
      </c>
      <c r="H84" s="33" t="s">
        <v>365</v>
      </c>
      <c r="I84" s="34">
        <v>45981</v>
      </c>
      <c r="J84" s="34">
        <v>45985</v>
      </c>
      <c r="K84" s="33" t="s">
        <v>366</v>
      </c>
      <c r="L84" s="35">
        <v>256779419526</v>
      </c>
      <c r="M84" s="32">
        <v>212100</v>
      </c>
      <c r="N84" s="33" t="s">
        <v>359</v>
      </c>
      <c r="O84" s="33" t="s">
        <v>327</v>
      </c>
      <c r="P84" s="32">
        <v>1</v>
      </c>
      <c r="Q84" s="33" t="s">
        <v>367</v>
      </c>
      <c r="R84" s="36">
        <v>150.29</v>
      </c>
      <c r="S84" s="33" t="s">
        <v>360</v>
      </c>
      <c r="T84" s="36">
        <v>13226.03</v>
      </c>
      <c r="U84" s="33"/>
      <c r="V84" s="136" cm="1">
        <f t="array" ref="V84:W84">_xlfn.XLOOKUP(L84,'Customer Data'!$H:$H,'Customer Data'!$E:$F,,0)</f>
        <v>13227</v>
      </c>
      <c r="W84" s="136">
        <v>224</v>
      </c>
      <c r="X84" s="33"/>
      <c r="Y84" s="33" t="s">
        <v>366</v>
      </c>
      <c r="Z84" s="32">
        <v>1</v>
      </c>
      <c r="AA84" s="76">
        <f t="shared" si="1"/>
        <v>1.6936299101090804E-2</v>
      </c>
      <c r="AB84" s="33" t="s">
        <v>439</v>
      </c>
      <c r="AC84" s="33" t="s">
        <v>327</v>
      </c>
      <c r="AD84" s="33" t="s">
        <v>327</v>
      </c>
      <c r="AE84" s="33" t="s">
        <v>327</v>
      </c>
      <c r="AF84" s="34">
        <v>45981</v>
      </c>
      <c r="AG84" s="34"/>
      <c r="AH84" s="33" t="s">
        <v>327</v>
      </c>
    </row>
    <row r="85" spans="1:34" x14ac:dyDescent="0.35">
      <c r="A85" s="32">
        <v>6779</v>
      </c>
      <c r="B85" s="32">
        <v>100222335</v>
      </c>
      <c r="C85" s="33" t="s">
        <v>357</v>
      </c>
      <c r="D85" s="32">
        <v>2025</v>
      </c>
      <c r="E85" s="32">
        <v>11</v>
      </c>
      <c r="F85" s="34">
        <v>45981</v>
      </c>
      <c r="G85" s="32">
        <v>1800015058</v>
      </c>
      <c r="H85" s="33" t="s">
        <v>365</v>
      </c>
      <c r="I85" s="34">
        <v>45981</v>
      </c>
      <c r="J85" s="34">
        <v>45985</v>
      </c>
      <c r="K85" s="33" t="s">
        <v>366</v>
      </c>
      <c r="L85" s="35">
        <v>256779419571</v>
      </c>
      <c r="M85" s="32">
        <v>212100</v>
      </c>
      <c r="N85" s="33" t="s">
        <v>359</v>
      </c>
      <c r="O85" s="33" t="s">
        <v>327</v>
      </c>
      <c r="P85" s="32">
        <v>1</v>
      </c>
      <c r="Q85" s="33" t="s">
        <v>367</v>
      </c>
      <c r="R85" s="36">
        <v>42.03</v>
      </c>
      <c r="S85" s="33" t="s">
        <v>360</v>
      </c>
      <c r="T85" s="36">
        <v>3698.78</v>
      </c>
      <c r="U85" s="33"/>
      <c r="V85" s="136" cm="1">
        <f t="array" ref="V85:W85">_xlfn.XLOOKUP(L85,'Customer Data'!$H:$H,'Customer Data'!$E:$F,,0)</f>
        <v>3699</v>
      </c>
      <c r="W85" s="136">
        <v>62</v>
      </c>
      <c r="X85" s="33"/>
      <c r="Y85" s="32">
        <v>2130611</v>
      </c>
      <c r="Z85" s="32">
        <v>1</v>
      </c>
      <c r="AA85" s="76">
        <f t="shared" si="1"/>
        <v>1.6762283780057206E-2</v>
      </c>
      <c r="AB85" s="33" t="s">
        <v>440</v>
      </c>
      <c r="AC85" s="33" t="s">
        <v>327</v>
      </c>
      <c r="AD85" s="33" t="s">
        <v>327</v>
      </c>
      <c r="AE85" s="33" t="s">
        <v>327</v>
      </c>
      <c r="AF85" s="34">
        <v>45981</v>
      </c>
      <c r="AG85" s="34"/>
      <c r="AH85" s="33" t="s">
        <v>327</v>
      </c>
    </row>
    <row r="86" spans="1:34" x14ac:dyDescent="0.35">
      <c r="A86" s="32">
        <v>6779</v>
      </c>
      <c r="B86" s="32">
        <v>100222335</v>
      </c>
      <c r="C86" s="33" t="s">
        <v>357</v>
      </c>
      <c r="D86" s="32">
        <v>2025</v>
      </c>
      <c r="E86" s="32">
        <v>11</v>
      </c>
      <c r="F86" s="34">
        <v>45981</v>
      </c>
      <c r="G86" s="32">
        <v>1800015110</v>
      </c>
      <c r="H86" s="33" t="s">
        <v>365</v>
      </c>
      <c r="I86" s="34">
        <v>45981</v>
      </c>
      <c r="J86" s="34">
        <v>45985</v>
      </c>
      <c r="K86" s="33" t="s">
        <v>366</v>
      </c>
      <c r="L86" s="35">
        <v>256779419609</v>
      </c>
      <c r="M86" s="32">
        <v>212100</v>
      </c>
      <c r="N86" s="33" t="s">
        <v>359</v>
      </c>
      <c r="O86" s="33" t="s">
        <v>327</v>
      </c>
      <c r="P86" s="32">
        <v>1</v>
      </c>
      <c r="Q86" s="33" t="s">
        <v>367</v>
      </c>
      <c r="R86" s="36">
        <v>9.89</v>
      </c>
      <c r="S86" s="33" t="s">
        <v>360</v>
      </c>
      <c r="T86" s="36">
        <v>870.35</v>
      </c>
      <c r="U86" s="33"/>
      <c r="V86" s="136" cm="1">
        <f t="array" ref="V86:W86">_xlfn.XLOOKUP(L86,'Customer Data'!$H:$H,'Customer Data'!$E:$F,,0)</f>
        <v>870</v>
      </c>
      <c r="W86" s="136">
        <v>14</v>
      </c>
      <c r="X86" s="33"/>
      <c r="Y86" s="32">
        <v>2130612</v>
      </c>
      <c r="Z86" s="32">
        <v>1</v>
      </c>
      <c r="AA86" s="76">
        <f t="shared" si="1"/>
        <v>1.6085482851726316E-2</v>
      </c>
      <c r="AB86" s="33" t="s">
        <v>441</v>
      </c>
      <c r="AC86" s="33" t="s">
        <v>327</v>
      </c>
      <c r="AD86" s="33" t="s">
        <v>327</v>
      </c>
      <c r="AE86" s="33" t="s">
        <v>327</v>
      </c>
      <c r="AF86" s="34">
        <v>45981</v>
      </c>
      <c r="AG86" s="34"/>
      <c r="AH86" s="33" t="s">
        <v>327</v>
      </c>
    </row>
    <row r="87" spans="1:34" x14ac:dyDescent="0.35">
      <c r="A87" s="32">
        <v>6779</v>
      </c>
      <c r="B87" s="32">
        <v>100222335</v>
      </c>
      <c r="C87" s="33" t="s">
        <v>357</v>
      </c>
      <c r="D87" s="32">
        <v>2025</v>
      </c>
      <c r="E87" s="32">
        <v>4</v>
      </c>
      <c r="F87" s="34">
        <v>45769</v>
      </c>
      <c r="G87" s="32">
        <v>1800007596</v>
      </c>
      <c r="H87" s="33" t="s">
        <v>365</v>
      </c>
      <c r="I87" s="34">
        <v>45769</v>
      </c>
      <c r="J87" s="34">
        <v>45770</v>
      </c>
      <c r="K87" s="33" t="s">
        <v>366</v>
      </c>
      <c r="L87" s="35">
        <v>256779412487</v>
      </c>
      <c r="M87" s="32">
        <v>212100</v>
      </c>
      <c r="N87" s="33" t="s">
        <v>359</v>
      </c>
      <c r="O87" s="33" t="s">
        <v>327</v>
      </c>
      <c r="P87" s="32">
        <v>1</v>
      </c>
      <c r="Q87" s="33" t="s">
        <v>367</v>
      </c>
      <c r="R87" s="36">
        <v>104.6</v>
      </c>
      <c r="S87" s="33" t="s">
        <v>360</v>
      </c>
      <c r="T87" s="36">
        <v>9092.02</v>
      </c>
      <c r="U87" s="33"/>
      <c r="V87" s="136" t="e" cm="1">
        <f t="array" ref="V87">_xlfn.XLOOKUP(L87,'Customer Data'!$H:$H,'Customer Data'!$E:$F,,0)</f>
        <v>#N/A</v>
      </c>
      <c r="W87" s="136"/>
      <c r="X87" s="33"/>
      <c r="Y87" s="33" t="s">
        <v>366</v>
      </c>
      <c r="Z87" s="32">
        <v>1</v>
      </c>
      <c r="AA87" s="76">
        <f t="shared" si="1"/>
        <v>0</v>
      </c>
      <c r="AB87" s="33" t="s">
        <v>410</v>
      </c>
      <c r="AC87" s="33" t="s">
        <v>327</v>
      </c>
      <c r="AD87" s="33" t="s">
        <v>327</v>
      </c>
      <c r="AE87" s="33" t="s">
        <v>327</v>
      </c>
      <c r="AF87" s="34">
        <v>45769</v>
      </c>
      <c r="AG87" s="34"/>
      <c r="AH87" s="33" t="s">
        <v>327</v>
      </c>
    </row>
    <row r="88" spans="1:34" x14ac:dyDescent="0.35">
      <c r="A88" s="32">
        <v>6779</v>
      </c>
      <c r="B88" s="32">
        <v>100222335</v>
      </c>
      <c r="C88" s="33" t="s">
        <v>357</v>
      </c>
      <c r="D88" s="32">
        <v>2025</v>
      </c>
      <c r="E88" s="32">
        <v>4</v>
      </c>
      <c r="F88" s="34">
        <v>45769</v>
      </c>
      <c r="G88" s="32">
        <v>1800007606</v>
      </c>
      <c r="H88" s="33" t="s">
        <v>365</v>
      </c>
      <c r="I88" s="34">
        <v>45769</v>
      </c>
      <c r="J88" s="34">
        <v>45770</v>
      </c>
      <c r="K88" s="33" t="s">
        <v>366</v>
      </c>
      <c r="L88" s="35">
        <v>256779412497</v>
      </c>
      <c r="M88" s="32">
        <v>212100</v>
      </c>
      <c r="N88" s="33" t="s">
        <v>359</v>
      </c>
      <c r="O88" s="33" t="s">
        <v>327</v>
      </c>
      <c r="P88" s="32">
        <v>1</v>
      </c>
      <c r="Q88" s="33" t="s">
        <v>367</v>
      </c>
      <c r="R88" s="36">
        <v>36.799999999999997</v>
      </c>
      <c r="S88" s="33" t="s">
        <v>360</v>
      </c>
      <c r="T88" s="36">
        <v>3198.72</v>
      </c>
      <c r="U88" s="33"/>
      <c r="V88" s="136" cm="1">
        <f t="array" ref="V88:W88">_xlfn.XLOOKUP(L88,'Customer Data'!$H:$H,'Customer Data'!$E:$F,,0)</f>
        <v>3199</v>
      </c>
      <c r="W88" s="136">
        <v>54</v>
      </c>
      <c r="X88" s="33"/>
      <c r="Y88" s="33" t="s">
        <v>366</v>
      </c>
      <c r="Z88" s="32">
        <v>1</v>
      </c>
      <c r="AA88" s="76">
        <f t="shared" si="1"/>
        <v>1.6881752701080433E-2</v>
      </c>
      <c r="AB88" s="33" t="s">
        <v>410</v>
      </c>
      <c r="AC88" s="33" t="s">
        <v>327</v>
      </c>
      <c r="AD88" s="33" t="s">
        <v>327</v>
      </c>
      <c r="AE88" s="33" t="s">
        <v>327</v>
      </c>
      <c r="AF88" s="34">
        <v>45769</v>
      </c>
      <c r="AG88" s="34"/>
      <c r="AH88" s="33" t="s">
        <v>327</v>
      </c>
    </row>
    <row r="89" spans="1:34" x14ac:dyDescent="0.35">
      <c r="A89" s="32">
        <v>6779</v>
      </c>
      <c r="B89" s="32">
        <v>100222335</v>
      </c>
      <c r="C89" s="33" t="s">
        <v>357</v>
      </c>
      <c r="D89" s="32">
        <v>2025</v>
      </c>
      <c r="E89" s="32">
        <v>4</v>
      </c>
      <c r="F89" s="34">
        <v>45769</v>
      </c>
      <c r="G89" s="32">
        <v>1800007747</v>
      </c>
      <c r="H89" s="33" t="s">
        <v>365</v>
      </c>
      <c r="I89" s="34">
        <v>45769</v>
      </c>
      <c r="J89" s="34">
        <v>45770</v>
      </c>
      <c r="K89" s="33" t="s">
        <v>366</v>
      </c>
      <c r="L89" s="35">
        <v>256779412638</v>
      </c>
      <c r="M89" s="32">
        <v>212100</v>
      </c>
      <c r="N89" s="33" t="s">
        <v>359</v>
      </c>
      <c r="O89" s="33" t="s">
        <v>327</v>
      </c>
      <c r="P89" s="32">
        <v>1</v>
      </c>
      <c r="Q89" s="33" t="s">
        <v>367</v>
      </c>
      <c r="R89" s="36">
        <v>3.89</v>
      </c>
      <c r="S89" s="33" t="s">
        <v>360</v>
      </c>
      <c r="T89" s="36">
        <v>338.13</v>
      </c>
      <c r="U89" s="33"/>
      <c r="V89" s="136" cm="1">
        <f t="array" ref="V89:W89">_xlfn.XLOOKUP(L89,'Customer Data'!$H:$H,'Customer Data'!$E:$F,,0)</f>
        <v>338</v>
      </c>
      <c r="W89" s="136">
        <v>6</v>
      </c>
      <c r="X89" s="33"/>
      <c r="Y89" s="33" t="s">
        <v>366</v>
      </c>
      <c r="Z89" s="32">
        <v>1</v>
      </c>
      <c r="AA89" s="76">
        <f t="shared" si="1"/>
        <v>1.7744654422855114E-2</v>
      </c>
      <c r="AB89" s="33" t="s">
        <v>442</v>
      </c>
      <c r="AC89" s="33" t="s">
        <v>327</v>
      </c>
      <c r="AD89" s="33" t="s">
        <v>327</v>
      </c>
      <c r="AE89" s="33" t="s">
        <v>327</v>
      </c>
      <c r="AF89" s="34">
        <v>45769</v>
      </c>
      <c r="AG89" s="34">
        <v>45909</v>
      </c>
      <c r="AH89" s="32">
        <v>1400001167</v>
      </c>
    </row>
    <row r="90" spans="1:34" x14ac:dyDescent="0.35">
      <c r="A90" s="32">
        <v>6779</v>
      </c>
      <c r="B90" s="32">
        <v>100222335</v>
      </c>
      <c r="C90" s="33" t="s">
        <v>357</v>
      </c>
      <c r="D90" s="32">
        <v>2025</v>
      </c>
      <c r="E90" s="32">
        <v>9</v>
      </c>
      <c r="F90" s="34">
        <v>45918</v>
      </c>
      <c r="G90" s="32">
        <v>1800012968</v>
      </c>
      <c r="H90" s="33" t="s">
        <v>365</v>
      </c>
      <c r="I90" s="34">
        <v>45918</v>
      </c>
      <c r="J90" s="34">
        <v>45922</v>
      </c>
      <c r="K90" s="33" t="s">
        <v>366</v>
      </c>
      <c r="L90" s="35">
        <v>256779417503</v>
      </c>
      <c r="M90" s="32">
        <v>212100</v>
      </c>
      <c r="N90" s="33" t="s">
        <v>359</v>
      </c>
      <c r="O90" s="33" t="s">
        <v>327</v>
      </c>
      <c r="P90" s="32">
        <v>1</v>
      </c>
      <c r="Q90" s="33" t="s">
        <v>367</v>
      </c>
      <c r="R90" s="36">
        <v>85.93</v>
      </c>
      <c r="S90" s="33" t="s">
        <v>360</v>
      </c>
      <c r="T90" s="36">
        <v>7520.11</v>
      </c>
      <c r="U90" s="33"/>
      <c r="V90" s="136" cm="1">
        <f t="array" ref="V90:W90">_xlfn.XLOOKUP(L90,'Customer Data'!$H:$H,'Customer Data'!$E:$F,,0)</f>
        <v>7520</v>
      </c>
      <c r="W90" s="136">
        <v>127</v>
      </c>
      <c r="X90" s="33"/>
      <c r="Y90" s="32">
        <v>2102483</v>
      </c>
      <c r="Z90" s="32">
        <v>1</v>
      </c>
      <c r="AA90" s="76">
        <f t="shared" si="1"/>
        <v>1.6888050839681867E-2</v>
      </c>
      <c r="AB90" s="33" t="s">
        <v>443</v>
      </c>
      <c r="AC90" s="33" t="s">
        <v>327</v>
      </c>
      <c r="AD90" s="33" t="s">
        <v>327</v>
      </c>
      <c r="AE90" s="33" t="s">
        <v>327</v>
      </c>
      <c r="AF90" s="34">
        <v>45918</v>
      </c>
      <c r="AG90" s="34"/>
      <c r="AH90" s="33" t="s">
        <v>327</v>
      </c>
    </row>
    <row r="91" spans="1:34" x14ac:dyDescent="0.35">
      <c r="A91" s="32">
        <v>6779</v>
      </c>
      <c r="B91" s="32">
        <v>100222335</v>
      </c>
      <c r="C91" s="33" t="s">
        <v>357</v>
      </c>
      <c r="D91" s="32">
        <v>2025</v>
      </c>
      <c r="E91" s="32">
        <v>9</v>
      </c>
      <c r="F91" s="34">
        <v>45918</v>
      </c>
      <c r="G91" s="32">
        <v>1800012905</v>
      </c>
      <c r="H91" s="33" t="s">
        <v>365</v>
      </c>
      <c r="I91" s="34">
        <v>45918</v>
      </c>
      <c r="J91" s="34">
        <v>45922</v>
      </c>
      <c r="K91" s="33" t="s">
        <v>366</v>
      </c>
      <c r="L91" s="35">
        <v>256779417544</v>
      </c>
      <c r="M91" s="32">
        <v>212100</v>
      </c>
      <c r="N91" s="33" t="s">
        <v>359</v>
      </c>
      <c r="O91" s="33" t="s">
        <v>327</v>
      </c>
      <c r="P91" s="32">
        <v>1</v>
      </c>
      <c r="Q91" s="33" t="s">
        <v>367</v>
      </c>
      <c r="R91" s="36">
        <v>80.75</v>
      </c>
      <c r="S91" s="33" t="s">
        <v>360</v>
      </c>
      <c r="T91" s="36">
        <v>7066.78</v>
      </c>
      <c r="U91" s="33"/>
      <c r="V91" s="136" cm="1">
        <f t="array" ref="V91:W91">_xlfn.XLOOKUP(L91,'Customer Data'!$H:$H,'Customer Data'!$E:$F,,0)</f>
        <v>7066</v>
      </c>
      <c r="W91" s="136">
        <v>119</v>
      </c>
      <c r="X91" s="33"/>
      <c r="Y91" s="32">
        <v>2102480</v>
      </c>
      <c r="Z91" s="32">
        <v>1</v>
      </c>
      <c r="AA91" s="76">
        <f t="shared" si="1"/>
        <v>1.6839352576420944E-2</v>
      </c>
      <c r="AB91" s="33" t="s">
        <v>444</v>
      </c>
      <c r="AC91" s="33" t="s">
        <v>327</v>
      </c>
      <c r="AD91" s="33" t="s">
        <v>327</v>
      </c>
      <c r="AE91" s="33" t="s">
        <v>327</v>
      </c>
      <c r="AF91" s="34">
        <v>45918</v>
      </c>
      <c r="AG91" s="34"/>
      <c r="AH91" s="33" t="s">
        <v>327</v>
      </c>
    </row>
    <row r="92" spans="1:34" x14ac:dyDescent="0.35">
      <c r="A92" s="32">
        <v>6779</v>
      </c>
      <c r="B92" s="32">
        <v>100222335</v>
      </c>
      <c r="C92" s="33" t="s">
        <v>357</v>
      </c>
      <c r="D92" s="32">
        <v>2025</v>
      </c>
      <c r="E92" s="32">
        <v>9</v>
      </c>
      <c r="F92" s="34">
        <v>45918</v>
      </c>
      <c r="G92" s="32">
        <v>1800012896</v>
      </c>
      <c r="H92" s="33" t="s">
        <v>365</v>
      </c>
      <c r="I92" s="34">
        <v>45918</v>
      </c>
      <c r="J92" s="34">
        <v>45922</v>
      </c>
      <c r="K92" s="33" t="s">
        <v>366</v>
      </c>
      <c r="L92" s="35">
        <v>256779417623</v>
      </c>
      <c r="M92" s="32">
        <v>212100</v>
      </c>
      <c r="N92" s="33" t="s">
        <v>359</v>
      </c>
      <c r="O92" s="33" t="s">
        <v>327</v>
      </c>
      <c r="P92" s="32">
        <v>1</v>
      </c>
      <c r="Q92" s="33" t="s">
        <v>367</v>
      </c>
      <c r="R92" s="36">
        <v>1417.82</v>
      </c>
      <c r="S92" s="33" t="s">
        <v>360</v>
      </c>
      <c r="T92" s="36">
        <v>124079.57</v>
      </c>
      <c r="U92" s="33"/>
      <c r="V92" s="136" cm="1">
        <f t="array" ref="V92:W92">_xlfn.XLOOKUP(L92,'Customer Data'!$H:$H,'Customer Data'!$E:$F,,0)</f>
        <v>124079</v>
      </c>
      <c r="W92" s="136">
        <v>2103</v>
      </c>
      <c r="X92" s="33"/>
      <c r="Y92" s="32">
        <v>2102529</v>
      </c>
      <c r="Z92" s="32">
        <v>1</v>
      </c>
      <c r="AA92" s="76">
        <f t="shared" si="1"/>
        <v>1.6948801482790439E-2</v>
      </c>
      <c r="AB92" s="33" t="s">
        <v>445</v>
      </c>
      <c r="AC92" s="33" t="s">
        <v>327</v>
      </c>
      <c r="AD92" s="33" t="s">
        <v>327</v>
      </c>
      <c r="AE92" s="33" t="s">
        <v>327</v>
      </c>
      <c r="AF92" s="34">
        <v>45918</v>
      </c>
      <c r="AG92" s="34"/>
      <c r="AH92" s="33" t="s">
        <v>327</v>
      </c>
    </row>
    <row r="93" spans="1:34" x14ac:dyDescent="0.35">
      <c r="A93" s="32">
        <v>6779</v>
      </c>
      <c r="B93" s="32">
        <v>100222335</v>
      </c>
      <c r="C93" s="33" t="s">
        <v>357</v>
      </c>
      <c r="D93" s="32">
        <v>2025</v>
      </c>
      <c r="E93" s="32">
        <v>12</v>
      </c>
      <c r="F93" s="34">
        <v>45996</v>
      </c>
      <c r="G93" s="32">
        <v>1800015267</v>
      </c>
      <c r="H93" s="33" t="s">
        <v>365</v>
      </c>
      <c r="I93" s="34">
        <v>45996</v>
      </c>
      <c r="J93" s="34">
        <v>46000</v>
      </c>
      <c r="K93" s="33" t="s">
        <v>366</v>
      </c>
      <c r="L93" s="35">
        <v>256779419896</v>
      </c>
      <c r="M93" s="32">
        <v>212100</v>
      </c>
      <c r="N93" s="33" t="s">
        <v>359</v>
      </c>
      <c r="O93" s="33" t="s">
        <v>327</v>
      </c>
      <c r="P93" s="32">
        <v>1</v>
      </c>
      <c r="Q93" s="33" t="s">
        <v>367</v>
      </c>
      <c r="R93" s="36">
        <v>7.08</v>
      </c>
      <c r="S93" s="33" t="s">
        <v>360</v>
      </c>
      <c r="T93" s="36">
        <v>628</v>
      </c>
      <c r="U93" s="33"/>
      <c r="V93" s="136" cm="1">
        <f t="array" ref="V93:W93">_xlfn.XLOOKUP(L93,'Customer Data'!$H:$H,'Customer Data'!$E:$F,,0)</f>
        <v>628</v>
      </c>
      <c r="W93" s="136">
        <v>11</v>
      </c>
      <c r="X93" s="33"/>
      <c r="Y93" s="32">
        <v>2140088</v>
      </c>
      <c r="Z93" s="32">
        <v>1</v>
      </c>
      <c r="AA93" s="76">
        <f t="shared" si="1"/>
        <v>1.751592356687898E-2</v>
      </c>
      <c r="AB93" s="33" t="s">
        <v>446</v>
      </c>
      <c r="AC93" s="33" t="s">
        <v>327</v>
      </c>
      <c r="AD93" s="33" t="s">
        <v>327</v>
      </c>
      <c r="AE93" s="33" t="s">
        <v>327</v>
      </c>
      <c r="AF93" s="34">
        <v>45996</v>
      </c>
      <c r="AG93" s="34"/>
      <c r="AH93" s="33" t="s">
        <v>327</v>
      </c>
    </row>
    <row r="94" spans="1:34" x14ac:dyDescent="0.35">
      <c r="A94" s="32">
        <v>6779</v>
      </c>
      <c r="B94" s="32">
        <v>100222335</v>
      </c>
      <c r="C94" s="33" t="s">
        <v>357</v>
      </c>
      <c r="D94" s="32">
        <v>2025</v>
      </c>
      <c r="E94" s="32">
        <v>4</v>
      </c>
      <c r="F94" s="34">
        <v>45770</v>
      </c>
      <c r="G94" s="32">
        <v>1800007989</v>
      </c>
      <c r="H94" s="33" t="s">
        <v>365</v>
      </c>
      <c r="I94" s="34">
        <v>45770</v>
      </c>
      <c r="J94" s="34">
        <v>45776</v>
      </c>
      <c r="K94" s="33" t="s">
        <v>366</v>
      </c>
      <c r="L94" s="35">
        <v>256779412880</v>
      </c>
      <c r="M94" s="32">
        <v>212100</v>
      </c>
      <c r="N94" s="33" t="s">
        <v>359</v>
      </c>
      <c r="O94" s="33" t="s">
        <v>327</v>
      </c>
      <c r="P94" s="32">
        <v>1</v>
      </c>
      <c r="Q94" s="33" t="s">
        <v>367</v>
      </c>
      <c r="R94" s="36">
        <v>38.94</v>
      </c>
      <c r="S94" s="33" t="s">
        <v>360</v>
      </c>
      <c r="T94" s="36">
        <v>3384.74</v>
      </c>
      <c r="U94" s="33"/>
      <c r="V94" s="136" cm="1">
        <f t="array" ref="V94:W94">_xlfn.XLOOKUP(L94,'Customer Data'!$H:$H,'Customer Data'!$E:$F,,0)</f>
        <v>3384</v>
      </c>
      <c r="W94" s="136">
        <v>58</v>
      </c>
      <c r="X94" s="33"/>
      <c r="Y94" s="33" t="s">
        <v>366</v>
      </c>
      <c r="Z94" s="32">
        <v>1</v>
      </c>
      <c r="AA94" s="76">
        <f t="shared" si="1"/>
        <v>1.7135732729840404E-2</v>
      </c>
      <c r="AB94" s="33" t="s">
        <v>447</v>
      </c>
      <c r="AC94" s="33" t="s">
        <v>327</v>
      </c>
      <c r="AD94" s="33" t="s">
        <v>327</v>
      </c>
      <c r="AE94" s="33" t="s">
        <v>327</v>
      </c>
      <c r="AF94" s="34">
        <v>45770</v>
      </c>
      <c r="AG94" s="34">
        <v>45909</v>
      </c>
      <c r="AH94" s="32">
        <v>1400001167</v>
      </c>
    </row>
    <row r="95" spans="1:34" x14ac:dyDescent="0.35">
      <c r="A95" s="32">
        <v>6779</v>
      </c>
      <c r="B95" s="32">
        <v>100222335</v>
      </c>
      <c r="C95" s="33" t="s">
        <v>357</v>
      </c>
      <c r="D95" s="32">
        <v>2025</v>
      </c>
      <c r="E95" s="32">
        <v>4</v>
      </c>
      <c r="F95" s="34">
        <v>45770</v>
      </c>
      <c r="G95" s="32">
        <v>1800008019</v>
      </c>
      <c r="H95" s="33" t="s">
        <v>365</v>
      </c>
      <c r="I95" s="34">
        <v>45770</v>
      </c>
      <c r="J95" s="34">
        <v>45776</v>
      </c>
      <c r="K95" s="33" t="s">
        <v>366</v>
      </c>
      <c r="L95" s="35">
        <v>256779412910</v>
      </c>
      <c r="M95" s="32">
        <v>212100</v>
      </c>
      <c r="N95" s="33" t="s">
        <v>359</v>
      </c>
      <c r="O95" s="33" t="s">
        <v>327</v>
      </c>
      <c r="P95" s="32">
        <v>1</v>
      </c>
      <c r="Q95" s="33" t="s">
        <v>367</v>
      </c>
      <c r="R95" s="36">
        <v>68.959999999999994</v>
      </c>
      <c r="S95" s="33" t="s">
        <v>360</v>
      </c>
      <c r="T95" s="36">
        <v>5994.13</v>
      </c>
      <c r="U95" s="33"/>
      <c r="V95" s="136" cm="1">
        <f t="array" ref="V95:W95">_xlfn.XLOOKUP(L95,'Customer Data'!$H:$H,'Customer Data'!$E:$F,,0)</f>
        <v>5993.35</v>
      </c>
      <c r="W95" s="136">
        <v>102</v>
      </c>
      <c r="X95" s="33"/>
      <c r="Y95" s="33" t="s">
        <v>366</v>
      </c>
      <c r="Z95" s="32">
        <v>1</v>
      </c>
      <c r="AA95" s="76">
        <f t="shared" si="1"/>
        <v>1.7016647953914912E-2</v>
      </c>
      <c r="AB95" s="33" t="s">
        <v>448</v>
      </c>
      <c r="AC95" s="33" t="s">
        <v>327</v>
      </c>
      <c r="AD95" s="33" t="s">
        <v>327</v>
      </c>
      <c r="AE95" s="33" t="s">
        <v>327</v>
      </c>
      <c r="AF95" s="34">
        <v>45770</v>
      </c>
      <c r="AG95" s="34">
        <v>45909</v>
      </c>
      <c r="AH95" s="32">
        <v>1400001167</v>
      </c>
    </row>
    <row r="96" spans="1:34" x14ac:dyDescent="0.35">
      <c r="A96" s="32">
        <v>6779</v>
      </c>
      <c r="B96" s="32">
        <v>100222335</v>
      </c>
      <c r="C96" s="33" t="s">
        <v>357</v>
      </c>
      <c r="D96" s="32">
        <v>2025</v>
      </c>
      <c r="E96" s="32">
        <v>10</v>
      </c>
      <c r="F96" s="34">
        <v>45937</v>
      </c>
      <c r="G96" s="32">
        <v>1800013583</v>
      </c>
      <c r="H96" s="33" t="s">
        <v>365</v>
      </c>
      <c r="I96" s="34">
        <v>45937</v>
      </c>
      <c r="J96" s="34">
        <v>45939</v>
      </c>
      <c r="K96" s="33" t="s">
        <v>366</v>
      </c>
      <c r="L96" s="35">
        <v>256779418107</v>
      </c>
      <c r="M96" s="32">
        <v>212100</v>
      </c>
      <c r="N96" s="33" t="s">
        <v>359</v>
      </c>
      <c r="O96" s="33" t="s">
        <v>327</v>
      </c>
      <c r="P96" s="32">
        <v>1</v>
      </c>
      <c r="Q96" s="33" t="s">
        <v>367</v>
      </c>
      <c r="R96" s="36">
        <v>129.80000000000001</v>
      </c>
      <c r="S96" s="33" t="s">
        <v>360</v>
      </c>
      <c r="T96" s="36">
        <v>11447.16</v>
      </c>
      <c r="U96" s="33"/>
      <c r="V96" s="136" cm="1">
        <f t="array" ref="V96:W96">_xlfn.XLOOKUP(L96,'Customer Data'!$H:$H,'Customer Data'!$E:$F,,0)</f>
        <v>11447</v>
      </c>
      <c r="W96" s="136">
        <v>194</v>
      </c>
      <c r="X96" s="33"/>
      <c r="Y96" s="32">
        <v>2110803</v>
      </c>
      <c r="Z96" s="32">
        <v>1</v>
      </c>
      <c r="AA96" s="76">
        <f t="shared" si="1"/>
        <v>1.6947434996977418E-2</v>
      </c>
      <c r="AB96" s="33" t="s">
        <v>449</v>
      </c>
      <c r="AC96" s="33" t="s">
        <v>327</v>
      </c>
      <c r="AD96" s="33" t="s">
        <v>327</v>
      </c>
      <c r="AE96" s="33" t="s">
        <v>327</v>
      </c>
      <c r="AF96" s="34">
        <v>45937</v>
      </c>
      <c r="AG96" s="34"/>
      <c r="AH96" s="33" t="s">
        <v>327</v>
      </c>
    </row>
    <row r="97" spans="1:34" x14ac:dyDescent="0.35">
      <c r="A97" s="32">
        <v>6779</v>
      </c>
      <c r="B97" s="32">
        <v>100222335</v>
      </c>
      <c r="C97" s="33" t="s">
        <v>357</v>
      </c>
      <c r="D97" s="32">
        <v>2025</v>
      </c>
      <c r="E97" s="32">
        <v>10</v>
      </c>
      <c r="F97" s="34">
        <v>45937</v>
      </c>
      <c r="G97" s="32">
        <v>1800013584</v>
      </c>
      <c r="H97" s="33" t="s">
        <v>365</v>
      </c>
      <c r="I97" s="34">
        <v>45937</v>
      </c>
      <c r="J97" s="34">
        <v>45939</v>
      </c>
      <c r="K97" s="33" t="s">
        <v>366</v>
      </c>
      <c r="L97" s="35">
        <v>256779418108</v>
      </c>
      <c r="M97" s="32">
        <v>212100</v>
      </c>
      <c r="N97" s="33" t="s">
        <v>359</v>
      </c>
      <c r="O97" s="33" t="s">
        <v>327</v>
      </c>
      <c r="P97" s="32">
        <v>1</v>
      </c>
      <c r="Q97" s="33" t="s">
        <v>367</v>
      </c>
      <c r="R97" s="36">
        <v>129.80000000000001</v>
      </c>
      <c r="S97" s="33" t="s">
        <v>360</v>
      </c>
      <c r="T97" s="36">
        <v>11447.16</v>
      </c>
      <c r="U97" s="33"/>
      <c r="V97" s="136" cm="1">
        <f t="array" ref="V97:W97">_xlfn.XLOOKUP(L97,'Customer Data'!$H:$H,'Customer Data'!$E:$F,,0)</f>
        <v>11447</v>
      </c>
      <c r="W97" s="136">
        <v>194</v>
      </c>
      <c r="X97" s="33"/>
      <c r="Y97" s="32">
        <v>2110803</v>
      </c>
      <c r="Z97" s="32">
        <v>1</v>
      </c>
      <c r="AA97" s="76">
        <f t="shared" si="1"/>
        <v>1.6947434996977418E-2</v>
      </c>
      <c r="AB97" s="33" t="s">
        <v>449</v>
      </c>
      <c r="AC97" s="33" t="s">
        <v>327</v>
      </c>
      <c r="AD97" s="33" t="s">
        <v>327</v>
      </c>
      <c r="AE97" s="33" t="s">
        <v>327</v>
      </c>
      <c r="AF97" s="34">
        <v>45937</v>
      </c>
      <c r="AG97" s="34"/>
      <c r="AH97" s="33" t="s">
        <v>327</v>
      </c>
    </row>
    <row r="98" spans="1:34" x14ac:dyDescent="0.35">
      <c r="A98" s="32">
        <v>6779</v>
      </c>
      <c r="B98" s="32">
        <v>100222335</v>
      </c>
      <c r="C98" s="33" t="s">
        <v>357</v>
      </c>
      <c r="D98" s="32">
        <v>2025</v>
      </c>
      <c r="E98" s="32">
        <v>7</v>
      </c>
      <c r="F98" s="34">
        <v>45857</v>
      </c>
      <c r="G98" s="32">
        <v>1800010844</v>
      </c>
      <c r="H98" s="33" t="s">
        <v>365</v>
      </c>
      <c r="I98" s="34">
        <v>45857</v>
      </c>
      <c r="J98" s="34">
        <v>45859</v>
      </c>
      <c r="K98" s="33" t="s">
        <v>366</v>
      </c>
      <c r="L98" s="35">
        <v>256779415604</v>
      </c>
      <c r="M98" s="32">
        <v>212100</v>
      </c>
      <c r="N98" s="33" t="s">
        <v>359</v>
      </c>
      <c r="O98" s="33" t="s">
        <v>327</v>
      </c>
      <c r="P98" s="32">
        <v>1</v>
      </c>
      <c r="Q98" s="33" t="s">
        <v>367</v>
      </c>
      <c r="R98" s="36">
        <v>416.5</v>
      </c>
      <c r="S98" s="33" t="s">
        <v>360</v>
      </c>
      <c r="T98" s="36">
        <v>35819.279999999999</v>
      </c>
      <c r="U98" s="33"/>
      <c r="V98" s="136" cm="1">
        <f t="array" ref="V98:W98">_xlfn.XLOOKUP(L98,'Customer Data'!$H:$H,'Customer Data'!$E:$F,,0)</f>
        <v>35820</v>
      </c>
      <c r="W98" s="136">
        <v>607</v>
      </c>
      <c r="X98" s="33"/>
      <c r="Y98" s="33" t="s">
        <v>366</v>
      </c>
      <c r="Z98" s="32">
        <v>1</v>
      </c>
      <c r="AA98" s="76">
        <f t="shared" si="1"/>
        <v>1.6946180939427034E-2</v>
      </c>
      <c r="AB98" s="33" t="s">
        <v>450</v>
      </c>
      <c r="AC98" s="33" t="s">
        <v>327</v>
      </c>
      <c r="AD98" s="33" t="s">
        <v>327</v>
      </c>
      <c r="AE98" s="33" t="s">
        <v>327</v>
      </c>
      <c r="AF98" s="34">
        <v>45857</v>
      </c>
      <c r="AG98" s="34">
        <v>45912</v>
      </c>
      <c r="AH98" s="32">
        <v>1400001170</v>
      </c>
    </row>
    <row r="99" spans="1:34" x14ac:dyDescent="0.35">
      <c r="A99" s="32">
        <v>6779</v>
      </c>
      <c r="B99" s="32">
        <v>100222335</v>
      </c>
      <c r="C99" s="33" t="s">
        <v>357</v>
      </c>
      <c r="D99" s="32">
        <v>2025</v>
      </c>
      <c r="E99" s="32">
        <v>7</v>
      </c>
      <c r="F99" s="34">
        <v>45857</v>
      </c>
      <c r="G99" s="32">
        <v>1800010973</v>
      </c>
      <c r="H99" s="33" t="s">
        <v>365</v>
      </c>
      <c r="I99" s="34">
        <v>45857</v>
      </c>
      <c r="J99" s="34">
        <v>45859</v>
      </c>
      <c r="K99" s="33" t="s">
        <v>366</v>
      </c>
      <c r="L99" s="35">
        <v>256779415733</v>
      </c>
      <c r="M99" s="32">
        <v>212100</v>
      </c>
      <c r="N99" s="33" t="s">
        <v>359</v>
      </c>
      <c r="O99" s="33" t="s">
        <v>327</v>
      </c>
      <c r="P99" s="32">
        <v>1</v>
      </c>
      <c r="Q99" s="33" t="s">
        <v>367</v>
      </c>
      <c r="R99" s="36">
        <v>5.5</v>
      </c>
      <c r="S99" s="33" t="s">
        <v>360</v>
      </c>
      <c r="T99" s="36">
        <v>473</v>
      </c>
      <c r="U99" s="33"/>
      <c r="V99" s="136" cm="1">
        <f t="array" ref="V99:W99">_xlfn.XLOOKUP(L99,'Customer Data'!$H:$H,'Customer Data'!$E:$F,,0)</f>
        <v>473</v>
      </c>
      <c r="W99" s="136">
        <v>0</v>
      </c>
      <c r="X99" s="33"/>
      <c r="Y99" s="33" t="s">
        <v>366</v>
      </c>
      <c r="Z99" s="32">
        <v>1</v>
      </c>
      <c r="AA99" s="76">
        <f t="shared" si="1"/>
        <v>0</v>
      </c>
      <c r="AB99" s="33" t="s">
        <v>451</v>
      </c>
      <c r="AC99" s="33" t="s">
        <v>327</v>
      </c>
      <c r="AD99" s="33" t="s">
        <v>327</v>
      </c>
      <c r="AE99" s="33" t="s">
        <v>327</v>
      </c>
      <c r="AF99" s="34">
        <v>45857</v>
      </c>
      <c r="AG99" s="34">
        <v>45912</v>
      </c>
      <c r="AH99" s="32">
        <v>1400001170</v>
      </c>
    </row>
    <row r="100" spans="1:34" x14ac:dyDescent="0.35">
      <c r="A100" s="32">
        <v>6779</v>
      </c>
      <c r="B100" s="32">
        <v>100222335</v>
      </c>
      <c r="C100" s="33" t="s">
        <v>357</v>
      </c>
      <c r="D100" s="32">
        <v>2025</v>
      </c>
      <c r="E100" s="32">
        <v>5</v>
      </c>
      <c r="F100" s="34">
        <v>45787</v>
      </c>
      <c r="G100" s="32">
        <v>1800008314</v>
      </c>
      <c r="H100" s="33" t="s">
        <v>365</v>
      </c>
      <c r="I100" s="34">
        <v>45787</v>
      </c>
      <c r="J100" s="34">
        <v>45792</v>
      </c>
      <c r="K100" s="33" t="s">
        <v>366</v>
      </c>
      <c r="L100" s="35">
        <v>256779413197</v>
      </c>
      <c r="M100" s="32">
        <v>212100</v>
      </c>
      <c r="N100" s="33" t="s">
        <v>359</v>
      </c>
      <c r="O100" s="33" t="s">
        <v>327</v>
      </c>
      <c r="P100" s="32">
        <v>1</v>
      </c>
      <c r="Q100" s="33" t="s">
        <v>367</v>
      </c>
      <c r="R100" s="36">
        <v>8.32</v>
      </c>
      <c r="S100" s="33" t="s">
        <v>360</v>
      </c>
      <c r="T100" s="36">
        <v>715.38</v>
      </c>
      <c r="U100" s="33"/>
      <c r="V100" s="136" t="e" cm="1">
        <f t="array" ref="V100">_xlfn.XLOOKUP(L100,'Customer Data'!$H:$H,'Customer Data'!$E:$F,,0)</f>
        <v>#N/A</v>
      </c>
      <c r="W100" s="136"/>
      <c r="X100" s="33"/>
      <c r="Y100" s="33" t="s">
        <v>366</v>
      </c>
      <c r="Z100" s="32">
        <v>1</v>
      </c>
      <c r="AA100" s="76">
        <f t="shared" si="1"/>
        <v>0</v>
      </c>
      <c r="AB100" s="33" t="s">
        <v>452</v>
      </c>
      <c r="AC100" s="33" t="s">
        <v>327</v>
      </c>
      <c r="AD100" s="33" t="s">
        <v>327</v>
      </c>
      <c r="AE100" s="33" t="s">
        <v>327</v>
      </c>
      <c r="AF100" s="34">
        <v>45787</v>
      </c>
      <c r="AG100" s="34"/>
      <c r="AH100" s="33" t="s">
        <v>327</v>
      </c>
    </row>
    <row r="101" spans="1:34" x14ac:dyDescent="0.35">
      <c r="A101" s="32">
        <v>6779</v>
      </c>
      <c r="B101" s="32">
        <v>100222335</v>
      </c>
      <c r="C101" s="33" t="s">
        <v>357</v>
      </c>
      <c r="D101" s="32">
        <v>2025</v>
      </c>
      <c r="E101" s="32">
        <v>10</v>
      </c>
      <c r="F101" s="34">
        <v>45948</v>
      </c>
      <c r="G101" s="32">
        <v>1800014028</v>
      </c>
      <c r="H101" s="33" t="s">
        <v>365</v>
      </c>
      <c r="I101" s="34">
        <v>45948</v>
      </c>
      <c r="J101" s="34">
        <v>45951</v>
      </c>
      <c r="K101" s="33" t="s">
        <v>366</v>
      </c>
      <c r="L101" s="35">
        <v>256779418512</v>
      </c>
      <c r="M101" s="32">
        <v>212100</v>
      </c>
      <c r="N101" s="33" t="s">
        <v>359</v>
      </c>
      <c r="O101" s="33" t="s">
        <v>327</v>
      </c>
      <c r="P101" s="32">
        <v>1</v>
      </c>
      <c r="Q101" s="33" t="s">
        <v>367</v>
      </c>
      <c r="R101" s="36">
        <v>479.68</v>
      </c>
      <c r="S101" s="33" t="s">
        <v>360</v>
      </c>
      <c r="T101" s="36">
        <v>42303.35</v>
      </c>
      <c r="U101" s="33"/>
      <c r="V101" s="136" cm="1">
        <f t="array" ref="V101:W101">_xlfn.XLOOKUP(L101,'Customer Data'!$H:$H,'Customer Data'!$E:$F,,0)</f>
        <v>42304</v>
      </c>
      <c r="W101" s="136">
        <v>717</v>
      </c>
      <c r="X101" s="33"/>
      <c r="Y101" s="32">
        <v>2114872</v>
      </c>
      <c r="Z101" s="32">
        <v>1</v>
      </c>
      <c r="AA101" s="76">
        <f t="shared" si="1"/>
        <v>1.6949012312263687E-2</v>
      </c>
      <c r="AB101" s="33" t="s">
        <v>453</v>
      </c>
      <c r="AC101" s="33" t="s">
        <v>327</v>
      </c>
      <c r="AD101" s="33" t="s">
        <v>327</v>
      </c>
      <c r="AE101" s="33" t="s">
        <v>327</v>
      </c>
      <c r="AF101" s="34">
        <v>45948</v>
      </c>
      <c r="AG101" s="34"/>
      <c r="AH101" s="33" t="s">
        <v>327</v>
      </c>
    </row>
    <row r="102" spans="1:34" x14ac:dyDescent="0.35">
      <c r="A102" s="32">
        <v>6779</v>
      </c>
      <c r="B102" s="32">
        <v>100222335</v>
      </c>
      <c r="C102" s="33" t="s">
        <v>357</v>
      </c>
      <c r="D102" s="32">
        <v>2025</v>
      </c>
      <c r="E102" s="32">
        <v>10</v>
      </c>
      <c r="F102" s="34">
        <v>45936</v>
      </c>
      <c r="G102" s="32">
        <v>1800013696</v>
      </c>
      <c r="H102" s="33" t="s">
        <v>365</v>
      </c>
      <c r="I102" s="34">
        <v>45936</v>
      </c>
      <c r="J102" s="34">
        <v>45939</v>
      </c>
      <c r="K102" s="33" t="s">
        <v>366</v>
      </c>
      <c r="L102" s="35">
        <v>256779418232</v>
      </c>
      <c r="M102" s="32">
        <v>212100</v>
      </c>
      <c r="N102" s="33" t="s">
        <v>359</v>
      </c>
      <c r="O102" s="33" t="s">
        <v>327</v>
      </c>
      <c r="P102" s="32">
        <v>1</v>
      </c>
      <c r="Q102" s="33" t="s">
        <v>367</v>
      </c>
      <c r="R102" s="36">
        <v>441.58</v>
      </c>
      <c r="S102" s="33" t="s">
        <v>360</v>
      </c>
      <c r="T102" s="36">
        <v>38943.279999999999</v>
      </c>
      <c r="U102" s="33"/>
      <c r="V102" s="136" cm="1">
        <f t="array" ref="V102:W102">_xlfn.XLOOKUP(L102,'Customer Data'!$H:$H,'Customer Data'!$E:$F,,0)</f>
        <v>38943</v>
      </c>
      <c r="W102" s="136">
        <v>660</v>
      </c>
      <c r="X102" s="33"/>
      <c r="Y102" s="32">
        <v>2110826</v>
      </c>
      <c r="Z102" s="32">
        <v>1</v>
      </c>
      <c r="AA102" s="76">
        <f t="shared" si="1"/>
        <v>1.6947724999024222E-2</v>
      </c>
      <c r="AB102" s="33" t="s">
        <v>454</v>
      </c>
      <c r="AC102" s="33" t="s">
        <v>327</v>
      </c>
      <c r="AD102" s="33" t="s">
        <v>327</v>
      </c>
      <c r="AE102" s="33" t="s">
        <v>327</v>
      </c>
      <c r="AF102" s="34">
        <v>45936</v>
      </c>
      <c r="AG102" s="34"/>
      <c r="AH102" s="33" t="s">
        <v>327</v>
      </c>
    </row>
    <row r="103" spans="1:34" x14ac:dyDescent="0.35">
      <c r="A103" s="32">
        <v>6779</v>
      </c>
      <c r="B103" s="32">
        <v>100222335</v>
      </c>
      <c r="C103" s="33" t="s">
        <v>357</v>
      </c>
      <c r="D103" s="32">
        <v>2026</v>
      </c>
      <c r="E103" s="32">
        <v>1</v>
      </c>
      <c r="F103" s="34">
        <v>46024</v>
      </c>
      <c r="G103" s="32">
        <v>1800015756</v>
      </c>
      <c r="H103" s="33" t="s">
        <v>365</v>
      </c>
      <c r="I103" s="34">
        <v>46024</v>
      </c>
      <c r="J103" s="34">
        <v>46024</v>
      </c>
      <c r="K103" s="33" t="s">
        <v>366</v>
      </c>
      <c r="L103" s="35">
        <v>256779450032</v>
      </c>
      <c r="M103" s="32">
        <v>212100</v>
      </c>
      <c r="N103" s="33" t="s">
        <v>359</v>
      </c>
      <c r="O103" s="33" t="s">
        <v>327</v>
      </c>
      <c r="P103" s="32">
        <v>1</v>
      </c>
      <c r="Q103" s="33" t="s">
        <v>367</v>
      </c>
      <c r="R103" s="36">
        <v>475.1</v>
      </c>
      <c r="S103" s="33" t="s">
        <v>360</v>
      </c>
      <c r="T103" s="36">
        <v>43112.07</v>
      </c>
      <c r="U103" s="33"/>
      <c r="V103" s="136" cm="1">
        <f t="array" ref="V103:W103">_xlfn.XLOOKUP(L103,'Customer Data'!$H:$H,'Customer Data'!$E:$F,,0)</f>
        <v>43112</v>
      </c>
      <c r="W103" s="136">
        <v>731</v>
      </c>
      <c r="X103" s="33"/>
      <c r="Y103" s="32">
        <v>2139797</v>
      </c>
      <c r="Z103" s="32">
        <v>1</v>
      </c>
      <c r="AA103" s="76">
        <f t="shared" si="1"/>
        <v>1.6955808431374324E-2</v>
      </c>
      <c r="AB103" s="33" t="s">
        <v>455</v>
      </c>
      <c r="AC103" s="33" t="s">
        <v>327</v>
      </c>
      <c r="AD103" s="33" t="s">
        <v>327</v>
      </c>
      <c r="AE103" s="33" t="s">
        <v>327</v>
      </c>
      <c r="AF103" s="34">
        <v>46024</v>
      </c>
      <c r="AG103" s="34"/>
      <c r="AH103" s="33" t="s">
        <v>327</v>
      </c>
    </row>
    <row r="104" spans="1:34" x14ac:dyDescent="0.35">
      <c r="A104" s="32">
        <v>6779</v>
      </c>
      <c r="B104" s="32">
        <v>100222335</v>
      </c>
      <c r="C104" s="33" t="s">
        <v>357</v>
      </c>
      <c r="D104" s="32">
        <v>2026</v>
      </c>
      <c r="E104" s="32">
        <v>1</v>
      </c>
      <c r="F104" s="34">
        <v>46027</v>
      </c>
      <c r="G104" s="32">
        <v>1800016027</v>
      </c>
      <c r="H104" s="33" t="s">
        <v>365</v>
      </c>
      <c r="I104" s="34">
        <v>46027</v>
      </c>
      <c r="J104" s="34">
        <v>46027</v>
      </c>
      <c r="K104" s="32">
        <v>2156174</v>
      </c>
      <c r="L104" s="35">
        <v>256779450231</v>
      </c>
      <c r="M104" s="32">
        <v>212100</v>
      </c>
      <c r="N104" s="33" t="s">
        <v>359</v>
      </c>
      <c r="O104" s="33" t="s">
        <v>327</v>
      </c>
      <c r="P104" s="32">
        <v>1</v>
      </c>
      <c r="Q104" s="33" t="s">
        <v>367</v>
      </c>
      <c r="R104" s="36">
        <v>112.56</v>
      </c>
      <c r="S104" s="33" t="s">
        <v>360</v>
      </c>
      <c r="T104" s="36">
        <v>10214.049999999999</v>
      </c>
      <c r="U104" s="33"/>
      <c r="V104" s="136" cm="1">
        <f t="array" ref="V104:W104">_xlfn.XLOOKUP(L104,'Customer Data'!$H:$H,'Customer Data'!$E:$F,,0)</f>
        <v>10214</v>
      </c>
      <c r="W104" s="136">
        <v>173</v>
      </c>
      <c r="X104" s="33"/>
      <c r="Y104" s="33" t="s">
        <v>366</v>
      </c>
      <c r="Z104" s="32">
        <v>1</v>
      </c>
      <c r="AA104" s="76">
        <f t="shared" si="1"/>
        <v>1.6937453801381432E-2</v>
      </c>
      <c r="AB104" s="33" t="s">
        <v>456</v>
      </c>
      <c r="AC104" s="33" t="s">
        <v>327</v>
      </c>
      <c r="AD104" s="33" t="s">
        <v>327</v>
      </c>
      <c r="AE104" s="33" t="s">
        <v>327</v>
      </c>
      <c r="AF104" s="34">
        <v>46027</v>
      </c>
      <c r="AG104" s="34"/>
      <c r="AH104" s="33" t="s">
        <v>327</v>
      </c>
    </row>
    <row r="105" spans="1:34" x14ac:dyDescent="0.35">
      <c r="A105" s="32">
        <v>6779</v>
      </c>
      <c r="B105" s="32">
        <v>100222335</v>
      </c>
      <c r="C105" s="33" t="s">
        <v>357</v>
      </c>
      <c r="D105" s="32">
        <v>2026</v>
      </c>
      <c r="E105" s="32">
        <v>1</v>
      </c>
      <c r="F105" s="34">
        <v>46027</v>
      </c>
      <c r="G105" s="32">
        <v>1800016108</v>
      </c>
      <c r="H105" s="33" t="s">
        <v>365</v>
      </c>
      <c r="I105" s="34">
        <v>46027</v>
      </c>
      <c r="J105" s="34">
        <v>46027</v>
      </c>
      <c r="K105" s="33" t="s">
        <v>366</v>
      </c>
      <c r="L105" s="35">
        <v>256779450329</v>
      </c>
      <c r="M105" s="32">
        <v>212100</v>
      </c>
      <c r="N105" s="33" t="s">
        <v>359</v>
      </c>
      <c r="O105" s="33" t="s">
        <v>327</v>
      </c>
      <c r="P105" s="32">
        <v>1</v>
      </c>
      <c r="Q105" s="33" t="s">
        <v>367</v>
      </c>
      <c r="R105" s="36">
        <v>463.66</v>
      </c>
      <c r="S105" s="33" t="s">
        <v>360</v>
      </c>
      <c r="T105" s="36">
        <v>42073.96</v>
      </c>
      <c r="U105" s="33"/>
      <c r="V105" s="136" cm="1">
        <f t="array" ref="V105:W105">_xlfn.XLOOKUP(L105,'Customer Data'!$H:$H,'Customer Data'!$E:$F,,0)</f>
        <v>42074</v>
      </c>
      <c r="W105" s="136">
        <v>713</v>
      </c>
      <c r="X105" s="33"/>
      <c r="Y105" s="32">
        <v>2156421</v>
      </c>
      <c r="Z105" s="32">
        <v>1</v>
      </c>
      <c r="AA105" s="76">
        <f t="shared" si="1"/>
        <v>1.6946348762987843E-2</v>
      </c>
      <c r="AB105" s="33" t="s">
        <v>457</v>
      </c>
      <c r="AC105" s="33" t="s">
        <v>327</v>
      </c>
      <c r="AD105" s="33" t="s">
        <v>327</v>
      </c>
      <c r="AE105" s="33" t="s">
        <v>327</v>
      </c>
      <c r="AF105" s="34">
        <v>46027</v>
      </c>
      <c r="AG105" s="34"/>
      <c r="AH105" s="33" t="s">
        <v>327</v>
      </c>
    </row>
    <row r="106" spans="1:34" x14ac:dyDescent="0.35">
      <c r="A106" s="32">
        <v>6779</v>
      </c>
      <c r="B106" s="32">
        <v>100222335</v>
      </c>
      <c r="C106" s="33" t="s">
        <v>357</v>
      </c>
      <c r="D106" s="32">
        <v>2026</v>
      </c>
      <c r="E106" s="32">
        <v>1</v>
      </c>
      <c r="F106" s="34">
        <v>46028</v>
      </c>
      <c r="G106" s="32">
        <v>1800016455</v>
      </c>
      <c r="H106" s="33" t="s">
        <v>365</v>
      </c>
      <c r="I106" s="34">
        <v>46028</v>
      </c>
      <c r="J106" s="34">
        <v>46034</v>
      </c>
      <c r="K106" s="32">
        <v>2158393</v>
      </c>
      <c r="L106" s="35">
        <v>256779450495</v>
      </c>
      <c r="M106" s="32">
        <v>212100</v>
      </c>
      <c r="N106" s="33" t="s">
        <v>359</v>
      </c>
      <c r="O106" s="33" t="s">
        <v>327</v>
      </c>
      <c r="P106" s="32">
        <v>1</v>
      </c>
      <c r="Q106" s="33" t="s">
        <v>367</v>
      </c>
      <c r="R106" s="36">
        <v>120.07</v>
      </c>
      <c r="S106" s="33" t="s">
        <v>360</v>
      </c>
      <c r="T106" s="36">
        <v>10895.53</v>
      </c>
      <c r="U106" s="33"/>
      <c r="V106" s="136" cm="1">
        <f t="array" ref="V106:W106">_xlfn.XLOOKUP(L106,'Customer Data'!$H:$H,'Customer Data'!$E:$F,,0)</f>
        <v>10895</v>
      </c>
      <c r="W106" s="136">
        <v>184</v>
      </c>
      <c r="X106" s="33"/>
      <c r="Y106" s="33" t="s">
        <v>366</v>
      </c>
      <c r="Z106" s="32">
        <v>1</v>
      </c>
      <c r="AA106" s="76">
        <f t="shared" si="1"/>
        <v>1.6887659434648886E-2</v>
      </c>
      <c r="AB106" s="33" t="s">
        <v>458</v>
      </c>
      <c r="AC106" s="33" t="s">
        <v>327</v>
      </c>
      <c r="AD106" s="33" t="s">
        <v>327</v>
      </c>
      <c r="AE106" s="33" t="s">
        <v>327</v>
      </c>
      <c r="AF106" s="34">
        <v>46028</v>
      </c>
      <c r="AG106" s="34"/>
      <c r="AH106" s="33" t="s">
        <v>327</v>
      </c>
    </row>
    <row r="107" spans="1:34" x14ac:dyDescent="0.35">
      <c r="A107" s="32">
        <v>6779</v>
      </c>
      <c r="B107" s="32">
        <v>100222335</v>
      </c>
      <c r="C107" s="33" t="s">
        <v>357</v>
      </c>
      <c r="D107" s="32">
        <v>2026</v>
      </c>
      <c r="E107" s="32">
        <v>1</v>
      </c>
      <c r="F107" s="34">
        <v>46028</v>
      </c>
      <c r="G107" s="32">
        <v>1800016481</v>
      </c>
      <c r="H107" s="33" t="s">
        <v>365</v>
      </c>
      <c r="I107" s="34">
        <v>46028</v>
      </c>
      <c r="J107" s="34">
        <v>46034</v>
      </c>
      <c r="K107" s="32">
        <v>2158404</v>
      </c>
      <c r="L107" s="35">
        <v>256779450523</v>
      </c>
      <c r="M107" s="32">
        <v>212100</v>
      </c>
      <c r="N107" s="33" t="s">
        <v>359</v>
      </c>
      <c r="O107" s="33" t="s">
        <v>327</v>
      </c>
      <c r="P107" s="32">
        <v>1</v>
      </c>
      <c r="Q107" s="33" t="s">
        <v>367</v>
      </c>
      <c r="R107" s="36">
        <v>41.18</v>
      </c>
      <c r="S107" s="33" t="s">
        <v>360</v>
      </c>
      <c r="T107" s="36">
        <v>3736.8</v>
      </c>
      <c r="U107" s="33"/>
      <c r="V107" s="136" cm="1">
        <f t="array" ref="V107:W107">_xlfn.XLOOKUP(L107,'Customer Data'!$H:$H,'Customer Data'!$E:$F,,0)</f>
        <v>3737</v>
      </c>
      <c r="W107" s="136">
        <v>63</v>
      </c>
      <c r="X107" s="33"/>
      <c r="Y107" s="33" t="s">
        <v>366</v>
      </c>
      <c r="Z107" s="32">
        <v>1</v>
      </c>
      <c r="AA107" s="76">
        <f t="shared" si="1"/>
        <v>1.6859344894026976E-2</v>
      </c>
      <c r="AB107" s="33" t="s">
        <v>459</v>
      </c>
      <c r="AC107" s="33" t="s">
        <v>327</v>
      </c>
      <c r="AD107" s="33" t="s">
        <v>327</v>
      </c>
      <c r="AE107" s="33" t="s">
        <v>327</v>
      </c>
      <c r="AF107" s="34">
        <v>46028</v>
      </c>
      <c r="AG107" s="34"/>
      <c r="AH107" s="33" t="s">
        <v>327</v>
      </c>
    </row>
    <row r="108" spans="1:34" x14ac:dyDescent="0.35">
      <c r="A108" s="32">
        <v>6779</v>
      </c>
      <c r="B108" s="32">
        <v>100222335</v>
      </c>
      <c r="C108" s="33" t="s">
        <v>357</v>
      </c>
      <c r="D108" s="32">
        <v>2026</v>
      </c>
      <c r="E108" s="32">
        <v>1</v>
      </c>
      <c r="F108" s="34">
        <v>46034</v>
      </c>
      <c r="G108" s="32">
        <v>1800016652</v>
      </c>
      <c r="H108" s="33" t="s">
        <v>365</v>
      </c>
      <c r="I108" s="34">
        <v>46034</v>
      </c>
      <c r="J108" s="34">
        <v>46035</v>
      </c>
      <c r="K108" s="32">
        <v>2158395</v>
      </c>
      <c r="L108" s="35">
        <v>256779450589</v>
      </c>
      <c r="M108" s="32">
        <v>212100</v>
      </c>
      <c r="N108" s="33" t="s">
        <v>359</v>
      </c>
      <c r="O108" s="33" t="s">
        <v>327</v>
      </c>
      <c r="P108" s="32">
        <v>1</v>
      </c>
      <c r="Q108" s="33" t="s">
        <v>367</v>
      </c>
      <c r="R108" s="36">
        <v>503.31</v>
      </c>
      <c r="S108" s="33" t="s">
        <v>360</v>
      </c>
      <c r="T108" s="36">
        <v>45671.93</v>
      </c>
      <c r="U108" s="33"/>
      <c r="V108" s="136" cm="1">
        <f t="array" ref="V108:W108">_xlfn.XLOOKUP(L108,'Customer Data'!$H:$H,'Customer Data'!$E:$F,,0)</f>
        <v>45945</v>
      </c>
      <c r="W108" s="136">
        <v>779</v>
      </c>
      <c r="X108" s="33"/>
      <c r="Y108" s="33" t="s">
        <v>366</v>
      </c>
      <c r="Z108" s="32">
        <v>1</v>
      </c>
      <c r="AA108" s="76">
        <f t="shared" si="1"/>
        <v>1.7056428313846163E-2</v>
      </c>
      <c r="AB108" s="33" t="s">
        <v>460</v>
      </c>
      <c r="AC108" s="33" t="s">
        <v>327</v>
      </c>
      <c r="AD108" s="33" t="s">
        <v>327</v>
      </c>
      <c r="AE108" s="33" t="s">
        <v>327</v>
      </c>
      <c r="AF108" s="34">
        <v>46034</v>
      </c>
      <c r="AG108" s="34"/>
      <c r="AH108" s="33" t="s">
        <v>327</v>
      </c>
    </row>
    <row r="109" spans="1:34" x14ac:dyDescent="0.35">
      <c r="A109" s="32">
        <v>6779</v>
      </c>
      <c r="B109" s="32">
        <v>100222335</v>
      </c>
      <c r="C109" s="33" t="s">
        <v>357</v>
      </c>
      <c r="D109" s="32">
        <v>2026</v>
      </c>
      <c r="E109" s="32">
        <v>1</v>
      </c>
      <c r="F109" s="34">
        <v>46045</v>
      </c>
      <c r="G109" s="32">
        <v>1800016863</v>
      </c>
      <c r="H109" s="33" t="s">
        <v>365</v>
      </c>
      <c r="I109" s="34">
        <v>46045</v>
      </c>
      <c r="J109" s="34">
        <v>46045</v>
      </c>
      <c r="K109" s="33" t="s">
        <v>366</v>
      </c>
      <c r="L109" s="35">
        <v>256779450805</v>
      </c>
      <c r="M109" s="32">
        <v>212100</v>
      </c>
      <c r="N109" s="33" t="s">
        <v>359</v>
      </c>
      <c r="O109" s="33" t="s">
        <v>327</v>
      </c>
      <c r="P109" s="32">
        <v>1</v>
      </c>
      <c r="Q109" s="33" t="s">
        <v>367</v>
      </c>
      <c r="R109" s="36">
        <v>112.56</v>
      </c>
      <c r="S109" s="33" t="s">
        <v>360</v>
      </c>
      <c r="T109" s="36">
        <v>10214.049999999999</v>
      </c>
      <c r="U109" s="33"/>
      <c r="V109" s="136" cm="1">
        <f t="array" ref="V109:W109">_xlfn.XLOOKUP(L109,'Customer Data'!$H:$H,'Customer Data'!$E:$F,,0)</f>
        <v>10214</v>
      </c>
      <c r="W109" s="136">
        <v>173</v>
      </c>
      <c r="X109" s="33"/>
      <c r="Y109" s="32">
        <v>2163061</v>
      </c>
      <c r="Z109" s="32">
        <v>1</v>
      </c>
      <c r="AA109" s="76">
        <f t="shared" si="1"/>
        <v>1.6937453801381432E-2</v>
      </c>
      <c r="AB109" s="33" t="s">
        <v>461</v>
      </c>
      <c r="AC109" s="33" t="s">
        <v>327</v>
      </c>
      <c r="AD109" s="33" t="s">
        <v>327</v>
      </c>
      <c r="AE109" s="33" t="s">
        <v>327</v>
      </c>
      <c r="AF109" s="34">
        <v>46045</v>
      </c>
      <c r="AG109" s="34"/>
      <c r="AH109" s="33" t="s">
        <v>327</v>
      </c>
    </row>
    <row r="110" spans="1:34" x14ac:dyDescent="0.35">
      <c r="A110" s="32">
        <v>6779</v>
      </c>
      <c r="B110" s="32">
        <v>100222335</v>
      </c>
      <c r="C110" s="33" t="s">
        <v>357</v>
      </c>
      <c r="D110" s="32">
        <v>2026</v>
      </c>
      <c r="E110" s="32">
        <v>1</v>
      </c>
      <c r="F110" s="34">
        <v>46042</v>
      </c>
      <c r="G110" s="32">
        <v>1800016893</v>
      </c>
      <c r="H110" s="33" t="s">
        <v>365</v>
      </c>
      <c r="I110" s="34">
        <v>46042</v>
      </c>
      <c r="J110" s="34">
        <v>46045</v>
      </c>
      <c r="K110" s="32">
        <v>2163063</v>
      </c>
      <c r="L110" s="35">
        <v>256779450822</v>
      </c>
      <c r="M110" s="32">
        <v>212100</v>
      </c>
      <c r="N110" s="33" t="s">
        <v>359</v>
      </c>
      <c r="O110" s="33" t="s">
        <v>327</v>
      </c>
      <c r="P110" s="32">
        <v>1</v>
      </c>
      <c r="Q110" s="33" t="s">
        <v>367</v>
      </c>
      <c r="R110" s="36">
        <v>489.12</v>
      </c>
      <c r="S110" s="33" t="s">
        <v>360</v>
      </c>
      <c r="T110" s="36">
        <v>44384.28</v>
      </c>
      <c r="U110" s="33"/>
      <c r="V110" s="136" cm="1">
        <f t="array" ref="V110:W110">_xlfn.XLOOKUP(L110,'Customer Data'!$H:$H,'Customer Data'!$E:$F,,0)</f>
        <v>44384</v>
      </c>
      <c r="W110" s="136">
        <v>752</v>
      </c>
      <c r="X110" s="33"/>
      <c r="Y110" s="33" t="s">
        <v>366</v>
      </c>
      <c r="Z110" s="32">
        <v>1</v>
      </c>
      <c r="AA110" s="76">
        <f t="shared" si="1"/>
        <v>1.6942935651992102E-2</v>
      </c>
      <c r="AB110" s="33" t="s">
        <v>462</v>
      </c>
      <c r="AC110" s="33" t="s">
        <v>327</v>
      </c>
      <c r="AD110" s="33" t="s">
        <v>327</v>
      </c>
      <c r="AE110" s="33" t="s">
        <v>327</v>
      </c>
      <c r="AF110" s="34">
        <v>46042</v>
      </c>
      <c r="AG110" s="34"/>
      <c r="AH110" s="33" t="s">
        <v>327</v>
      </c>
    </row>
    <row r="111" spans="1:34" x14ac:dyDescent="0.35">
      <c r="A111" s="32">
        <v>6779</v>
      </c>
      <c r="B111" s="32">
        <v>100222335</v>
      </c>
      <c r="C111" s="33" t="s">
        <v>357</v>
      </c>
      <c r="D111" s="32">
        <v>2026</v>
      </c>
      <c r="E111" s="32">
        <v>1</v>
      </c>
      <c r="F111" s="34">
        <v>46045</v>
      </c>
      <c r="G111" s="32">
        <v>1800017051</v>
      </c>
      <c r="H111" s="33" t="s">
        <v>365</v>
      </c>
      <c r="I111" s="34">
        <v>46045</v>
      </c>
      <c r="J111" s="34">
        <v>46049</v>
      </c>
      <c r="K111" s="32">
        <v>2163146</v>
      </c>
      <c r="L111" s="35">
        <v>256779450956</v>
      </c>
      <c r="M111" s="32">
        <v>212100</v>
      </c>
      <c r="N111" s="33" t="s">
        <v>359</v>
      </c>
      <c r="O111" s="33" t="s">
        <v>327</v>
      </c>
      <c r="P111" s="32">
        <v>1</v>
      </c>
      <c r="Q111" s="33" t="s">
        <v>367</v>
      </c>
      <c r="R111" s="36">
        <v>70.09</v>
      </c>
      <c r="S111" s="33" t="s">
        <v>360</v>
      </c>
      <c r="T111" s="36">
        <v>6360.19</v>
      </c>
      <c r="U111" s="33"/>
      <c r="V111" s="136" cm="1">
        <f t="array" ref="V111:W111">_xlfn.XLOOKUP(L111,'Customer Data'!$H:$H,'Customer Data'!$E:$F,,0)</f>
        <v>6360</v>
      </c>
      <c r="W111" s="136">
        <v>108</v>
      </c>
      <c r="X111" s="33"/>
      <c r="Y111" s="33" t="s">
        <v>366</v>
      </c>
      <c r="Z111" s="32">
        <v>1</v>
      </c>
      <c r="AA111" s="76">
        <f t="shared" si="1"/>
        <v>1.6980624792655566E-2</v>
      </c>
      <c r="AB111" s="33" t="s">
        <v>463</v>
      </c>
      <c r="AC111" s="33" t="s">
        <v>327</v>
      </c>
      <c r="AD111" s="33" t="s">
        <v>327</v>
      </c>
      <c r="AE111" s="33" t="s">
        <v>327</v>
      </c>
      <c r="AF111" s="34">
        <v>46045</v>
      </c>
      <c r="AG111" s="34"/>
      <c r="AH111" s="33" t="s">
        <v>327</v>
      </c>
    </row>
    <row r="112" spans="1:34" x14ac:dyDescent="0.35">
      <c r="A112" s="32">
        <v>6779</v>
      </c>
      <c r="B112" s="32">
        <v>100222335</v>
      </c>
      <c r="C112" s="33" t="s">
        <v>357</v>
      </c>
      <c r="D112" s="32">
        <v>2026</v>
      </c>
      <c r="E112" s="32">
        <v>1</v>
      </c>
      <c r="F112" s="34">
        <v>46045</v>
      </c>
      <c r="G112" s="32">
        <v>1800017085</v>
      </c>
      <c r="H112" s="33" t="s">
        <v>365</v>
      </c>
      <c r="I112" s="34">
        <v>46045</v>
      </c>
      <c r="J112" s="34">
        <v>46049</v>
      </c>
      <c r="K112" s="32">
        <v>2163152</v>
      </c>
      <c r="L112" s="35">
        <v>256779450977</v>
      </c>
      <c r="M112" s="32">
        <v>212100</v>
      </c>
      <c r="N112" s="33" t="s">
        <v>359</v>
      </c>
      <c r="O112" s="33" t="s">
        <v>327</v>
      </c>
      <c r="P112" s="32">
        <v>1</v>
      </c>
      <c r="Q112" s="33" t="s">
        <v>367</v>
      </c>
      <c r="R112" s="36">
        <v>9.1199999999999992</v>
      </c>
      <c r="S112" s="33" t="s">
        <v>360</v>
      </c>
      <c r="T112" s="36">
        <v>827.58</v>
      </c>
      <c r="U112" s="33"/>
      <c r="V112" s="136" cm="1">
        <f t="array" ref="V112:W112">_xlfn.XLOOKUP(L112,'Customer Data'!$H:$H,'Customer Data'!$E:$F,,0)</f>
        <v>828</v>
      </c>
      <c r="W112" s="136">
        <v>14</v>
      </c>
      <c r="X112" s="33"/>
      <c r="Y112" s="33" t="s">
        <v>366</v>
      </c>
      <c r="Z112" s="32">
        <v>1</v>
      </c>
      <c r="AA112" s="76">
        <f t="shared" si="1"/>
        <v>1.6916793542618234E-2</v>
      </c>
      <c r="AB112" s="33" t="s">
        <v>464</v>
      </c>
      <c r="AC112" s="33" t="s">
        <v>327</v>
      </c>
      <c r="AD112" s="33" t="s">
        <v>327</v>
      </c>
      <c r="AE112" s="33" t="s">
        <v>327</v>
      </c>
      <c r="AF112" s="34">
        <v>46045</v>
      </c>
      <c r="AG112" s="34"/>
      <c r="AH112" s="33" t="s">
        <v>327</v>
      </c>
    </row>
    <row r="113" spans="1:34" x14ac:dyDescent="0.35">
      <c r="A113" s="32">
        <v>6779</v>
      </c>
      <c r="B113" s="32">
        <v>100222335</v>
      </c>
      <c r="C113" s="33" t="s">
        <v>357</v>
      </c>
      <c r="D113" s="32">
        <v>2026</v>
      </c>
      <c r="E113" s="32">
        <v>1</v>
      </c>
      <c r="F113" s="34">
        <v>46050</v>
      </c>
      <c r="G113" s="32">
        <v>1400002557</v>
      </c>
      <c r="H113" s="33" t="s">
        <v>361</v>
      </c>
      <c r="I113" s="34">
        <v>46050</v>
      </c>
      <c r="J113" s="34">
        <v>46050</v>
      </c>
      <c r="K113" s="33" t="s">
        <v>465</v>
      </c>
      <c r="L113" s="35">
        <v>2166092</v>
      </c>
      <c r="M113" s="32">
        <v>212100</v>
      </c>
      <c r="N113" s="33" t="s">
        <v>359</v>
      </c>
      <c r="O113" s="33" t="s">
        <v>327</v>
      </c>
      <c r="P113" s="32">
        <v>15</v>
      </c>
      <c r="Q113" s="33" t="s">
        <v>360</v>
      </c>
      <c r="R113" s="36">
        <v>-88026.11</v>
      </c>
      <c r="S113" s="33" t="s">
        <v>360</v>
      </c>
      <c r="T113" s="36">
        <v>-88026.11</v>
      </c>
      <c r="U113" s="33"/>
      <c r="V113" s="136" t="e" cm="1">
        <f t="array" ref="V113">_xlfn.XLOOKUP(L113,'Customer Data'!$H:$H,'Customer Data'!$E:$F,,0)</f>
        <v>#N/A</v>
      </c>
      <c r="W113" s="136"/>
      <c r="X113" s="33"/>
      <c r="Y113" s="33" t="s">
        <v>327</v>
      </c>
      <c r="Z113" s="32">
        <v>2</v>
      </c>
      <c r="AA113" s="76">
        <f t="shared" si="1"/>
        <v>0</v>
      </c>
      <c r="AB113" s="33" t="s">
        <v>327</v>
      </c>
      <c r="AC113" s="33" t="s">
        <v>327</v>
      </c>
      <c r="AD113" s="33" t="s">
        <v>327</v>
      </c>
      <c r="AE113" s="33" t="s">
        <v>327</v>
      </c>
      <c r="AF113" s="34">
        <v>46050</v>
      </c>
      <c r="AG113" s="34"/>
      <c r="AH113" s="33" t="s">
        <v>327</v>
      </c>
    </row>
    <row r="114" spans="1:34" x14ac:dyDescent="0.35">
      <c r="A114" s="21" t="s">
        <v>327</v>
      </c>
      <c r="B114" s="21" t="s">
        <v>327</v>
      </c>
      <c r="C114" s="21" t="s">
        <v>327</v>
      </c>
      <c r="D114" s="21" t="s">
        <v>327</v>
      </c>
      <c r="E114" s="21" t="s">
        <v>327</v>
      </c>
      <c r="F114" s="22"/>
      <c r="G114" s="21" t="s">
        <v>327</v>
      </c>
      <c r="H114" s="21" t="s">
        <v>327</v>
      </c>
      <c r="I114" s="22"/>
      <c r="J114" s="22"/>
      <c r="K114" s="21" t="s">
        <v>327</v>
      </c>
      <c r="L114" s="29" t="s">
        <v>327</v>
      </c>
      <c r="M114" s="21" t="s">
        <v>358</v>
      </c>
      <c r="N114" s="21" t="s">
        <v>327</v>
      </c>
      <c r="O114" s="21" t="s">
        <v>327</v>
      </c>
      <c r="P114" s="21" t="s">
        <v>327</v>
      </c>
      <c r="Q114" s="21" t="s">
        <v>360</v>
      </c>
      <c r="R114" s="23">
        <v>-362241.32</v>
      </c>
      <c r="S114" s="21" t="s">
        <v>360</v>
      </c>
      <c r="T114" s="23">
        <f>SUM(T2:T113)</f>
        <v>1270668.6000000001</v>
      </c>
      <c r="U114" s="21"/>
      <c r="V114" s="21"/>
      <c r="W114" s="21"/>
      <c r="X114" s="21"/>
      <c r="Y114" s="21" t="s">
        <v>327</v>
      </c>
      <c r="Z114" s="21" t="s">
        <v>327</v>
      </c>
      <c r="AA114" s="21"/>
      <c r="AB114" s="21" t="s">
        <v>327</v>
      </c>
      <c r="AC114" s="21" t="s">
        <v>327</v>
      </c>
      <c r="AD114" s="21" t="s">
        <v>327</v>
      </c>
      <c r="AE114" s="21" t="s">
        <v>327</v>
      </c>
      <c r="AF114" s="22"/>
      <c r="AG114" s="22"/>
      <c r="AH114" s="21" t="s">
        <v>327</v>
      </c>
    </row>
    <row r="115" spans="1:34" x14ac:dyDescent="0.35">
      <c r="A115" s="21" t="s">
        <v>327</v>
      </c>
      <c r="B115" s="21" t="s">
        <v>327</v>
      </c>
      <c r="C115" s="21" t="s">
        <v>327</v>
      </c>
      <c r="D115" s="21" t="s">
        <v>327</v>
      </c>
      <c r="E115" s="21" t="s">
        <v>327</v>
      </c>
      <c r="F115" s="22"/>
      <c r="G115" s="21" t="s">
        <v>327</v>
      </c>
      <c r="H115" s="21" t="s">
        <v>327</v>
      </c>
      <c r="I115" s="22"/>
      <c r="J115" s="22"/>
      <c r="K115" s="21" t="s">
        <v>327</v>
      </c>
      <c r="L115" s="29" t="s">
        <v>327</v>
      </c>
      <c r="M115" s="21" t="s">
        <v>327</v>
      </c>
      <c r="N115" s="21" t="s">
        <v>327</v>
      </c>
      <c r="O115" s="21" t="s">
        <v>327</v>
      </c>
      <c r="P115" s="21" t="s">
        <v>327</v>
      </c>
      <c r="Q115" s="21" t="s">
        <v>367</v>
      </c>
      <c r="R115" s="23">
        <v>18678.63</v>
      </c>
      <c r="S115" s="21" t="s">
        <v>327</v>
      </c>
      <c r="T115" s="24"/>
      <c r="U115" s="21"/>
      <c r="V115" s="21"/>
      <c r="W115" s="21"/>
      <c r="X115" s="21"/>
      <c r="Y115" s="21" t="s">
        <v>327</v>
      </c>
      <c r="Z115" s="21" t="s">
        <v>327</v>
      </c>
      <c r="AA115" s="21"/>
      <c r="AB115" s="21" t="s">
        <v>327</v>
      </c>
      <c r="AC115" s="21" t="s">
        <v>327</v>
      </c>
      <c r="AD115" s="21" t="s">
        <v>327</v>
      </c>
      <c r="AE115" s="21" t="s">
        <v>327</v>
      </c>
      <c r="AF115" s="22"/>
      <c r="AG115" s="22"/>
      <c r="AH115" s="21" t="s">
        <v>327</v>
      </c>
    </row>
    <row r="116" spans="1:34" x14ac:dyDescent="0.35">
      <c r="A116" s="25" t="s">
        <v>327</v>
      </c>
      <c r="B116" s="25" t="s">
        <v>327</v>
      </c>
      <c r="C116" s="25" t="s">
        <v>327</v>
      </c>
      <c r="D116" s="25" t="s">
        <v>327</v>
      </c>
      <c r="E116" s="25" t="s">
        <v>327</v>
      </c>
      <c r="F116" s="26"/>
      <c r="G116" s="25" t="s">
        <v>327</v>
      </c>
      <c r="H116" s="25" t="s">
        <v>327</v>
      </c>
      <c r="I116" s="26"/>
      <c r="J116" s="26"/>
      <c r="K116" s="25" t="s">
        <v>327</v>
      </c>
      <c r="L116" s="30" t="s">
        <v>327</v>
      </c>
      <c r="M116" s="25" t="s">
        <v>327</v>
      </c>
      <c r="N116" s="25" t="s">
        <v>327</v>
      </c>
      <c r="O116" s="25" t="s">
        <v>327</v>
      </c>
      <c r="P116" s="25" t="s">
        <v>327</v>
      </c>
      <c r="Q116" s="25" t="s">
        <v>360</v>
      </c>
      <c r="R116" s="27">
        <v>-362241.32</v>
      </c>
      <c r="S116" s="25" t="s">
        <v>360</v>
      </c>
      <c r="T116" s="27">
        <v>1270668.6000000001</v>
      </c>
      <c r="U116" s="25"/>
      <c r="V116" s="25"/>
      <c r="W116" s="25"/>
      <c r="X116" s="25"/>
      <c r="Y116" s="25" t="s">
        <v>327</v>
      </c>
      <c r="Z116" s="25" t="s">
        <v>327</v>
      </c>
      <c r="AA116" s="25"/>
      <c r="AB116" s="25" t="s">
        <v>327</v>
      </c>
      <c r="AC116" s="25" t="s">
        <v>327</v>
      </c>
      <c r="AD116" s="25" t="s">
        <v>327</v>
      </c>
      <c r="AE116" s="25" t="s">
        <v>327</v>
      </c>
      <c r="AF116" s="26"/>
      <c r="AG116" s="26"/>
      <c r="AH116" s="25" t="s">
        <v>327</v>
      </c>
    </row>
    <row r="117" spans="1:34" x14ac:dyDescent="0.35">
      <c r="A117" s="25" t="s">
        <v>327</v>
      </c>
      <c r="B117" s="25" t="s">
        <v>327</v>
      </c>
      <c r="C117" s="25" t="s">
        <v>327</v>
      </c>
      <c r="D117" s="25" t="s">
        <v>327</v>
      </c>
      <c r="E117" s="25" t="s">
        <v>327</v>
      </c>
      <c r="F117" s="26"/>
      <c r="G117" s="25" t="s">
        <v>327</v>
      </c>
      <c r="H117" s="25" t="s">
        <v>327</v>
      </c>
      <c r="I117" s="26"/>
      <c r="J117" s="26"/>
      <c r="K117" s="25" t="s">
        <v>327</v>
      </c>
      <c r="L117" s="30" t="s">
        <v>327</v>
      </c>
      <c r="M117" s="25" t="s">
        <v>327</v>
      </c>
      <c r="N117" s="25" t="s">
        <v>327</v>
      </c>
      <c r="O117" s="25" t="s">
        <v>327</v>
      </c>
      <c r="P117" s="25" t="s">
        <v>327</v>
      </c>
      <c r="Q117" s="25" t="s">
        <v>367</v>
      </c>
      <c r="R117" s="27">
        <v>18678.63</v>
      </c>
      <c r="S117" s="25" t="s">
        <v>327</v>
      </c>
      <c r="T117" s="28"/>
      <c r="U117" s="25"/>
      <c r="V117" s="25"/>
      <c r="W117" s="25"/>
      <c r="X117" s="25"/>
      <c r="Y117" s="25" t="s">
        <v>327</v>
      </c>
      <c r="Z117" s="25" t="s">
        <v>327</v>
      </c>
      <c r="AA117" s="25"/>
      <c r="AB117" s="25" t="s">
        <v>327</v>
      </c>
      <c r="AC117" s="25" t="s">
        <v>327</v>
      </c>
      <c r="AD117" s="25" t="s">
        <v>327</v>
      </c>
      <c r="AE117" s="25" t="s">
        <v>327</v>
      </c>
      <c r="AF117" s="26"/>
      <c r="AG117" s="26"/>
      <c r="AH117" s="25" t="s">
        <v>327</v>
      </c>
    </row>
    <row r="119" spans="1:34" x14ac:dyDescent="0.35">
      <c r="V119" s="13">
        <v>1275547.9299999997</v>
      </c>
    </row>
    <row r="120" spans="1:34" x14ac:dyDescent="0.35">
      <c r="V120" s="13">
        <v>1215940</v>
      </c>
    </row>
    <row r="121" spans="1:34" x14ac:dyDescent="0.35">
      <c r="V121" s="57">
        <f>V119-V120</f>
        <v>59607.929999999702</v>
      </c>
    </row>
  </sheetData>
  <autoFilter ref="A1:AH117" xr:uid="{F12740F6-2C5F-4C48-B8F6-2B6AC9D1BC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Invoices Not in customer books</vt:lpstr>
      <vt:lpstr>Invoice no ref in cutomer books</vt:lpstr>
      <vt:lpstr>Customer Data</vt:lpstr>
      <vt:lpstr>Invoices not in Ascendus books</vt:lpstr>
      <vt:lpstr>TDS</vt:lpstr>
      <vt:lpstr>Sheet1</vt:lpstr>
      <vt:lpstr>Payment Reco</vt:lpstr>
      <vt:lpstr>Customer Payments</vt:lpstr>
      <vt:lpstr>Ascendus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2026-03-07T12:47:48Z</dcterms:created>
  <dcterms:modified xsi:type="dcterms:W3CDTF">2026-04-13T15:22:55Z</dcterms:modified>
</cp:coreProperties>
</file>