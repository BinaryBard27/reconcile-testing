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22. DELIGHT LOGISTICS PRIVATE LIMITED\"/>
    </mc:Choice>
  </mc:AlternateContent>
  <xr:revisionPtr revIDLastSave="0" documentId="13_ncr:1_{730CE536-D13F-4987-8E3A-095A1D640CC6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Sheet1!$A$1:$O$42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2" i="1" l="1"/>
  <c r="K42" i="1"/>
  <c r="J42" i="1"/>
  <c r="F42" i="1"/>
</calcChain>
</file>

<file path=xl/sharedStrings.xml><?xml version="1.0" encoding="utf-8"?>
<sst xmlns="http://schemas.openxmlformats.org/spreadsheetml/2006/main" count="266" uniqueCount="130">
  <si>
    <r>
      <rPr>
        <b/>
        <sz val="14"/>
        <rFont val="Calibri"/>
      </rPr>
      <t>Delight Logistics Pvt. Ltd.
Accounts Bills Payable as on date 14-Mar-2026</t>
    </r>
  </si>
  <si>
    <r>
      <rPr>
        <sz val="11"/>
        <rFont val="Calibri"/>
      </rPr>
      <t>Basis : Bill Date
Organization :ASCENDAS PANVEL FTWZ PRIVATE LIMITED</t>
    </r>
  </si>
  <si>
    <t>Location</t>
  </si>
  <si>
    <t>Date</t>
  </si>
  <si>
    <t>Transaction No</t>
  </si>
  <si>
    <t>Vendor Inv No.</t>
  </si>
  <si>
    <t>Vendor Inv Date</t>
  </si>
  <si>
    <t>Bill Amount (INR)</t>
  </si>
  <si>
    <t>Payment Date</t>
  </si>
  <si>
    <t>Payment No.</t>
  </si>
  <si>
    <t>Payment Type</t>
  </si>
  <si>
    <t>Paid/Settled (INR)</t>
  </si>
  <si>
    <t>Total Paid/Settled (INR)</t>
  </si>
  <si>
    <t>Outstanding (INR)</t>
  </si>
  <si>
    <t>Overdue Days</t>
  </si>
  <si>
    <t>Remarks</t>
  </si>
  <si>
    <t>Reference No.</t>
  </si>
  <si>
    <t>Mumbai Sea Division</t>
  </si>
  <si>
    <t>PUR/MU/031685</t>
  </si>
  <si>
    <t>HDFC-3100P003931</t>
  </si>
  <si>
    <t>TDS 2880</t>
  </si>
  <si>
    <t>tds 8</t>
  </si>
  <si>
    <t>PUR/MU/031686</t>
  </si>
  <si>
    <t>tds 29</t>
  </si>
  <si>
    <t>AI/C/MU/241024829</t>
  </si>
  <si>
    <t>PUR/MU/031687</t>
  </si>
  <si>
    <t>tds 407</t>
  </si>
  <si>
    <t>SE/C/MU/240532333,SI/C/MU/241113607</t>
  </si>
  <si>
    <t>PUR/MU/031689</t>
  </si>
  <si>
    <t>tds 416</t>
  </si>
  <si>
    <t>AI/C/MU/241024829,SE/C/MU/240532333,SI/C/MU/241113607</t>
  </si>
  <si>
    <t>PUR/MU/031690</t>
  </si>
  <si>
    <t>tds 470</t>
  </si>
  <si>
    <t>SE/C/MU/240532333,AI/C/MU/241024829</t>
  </si>
  <si>
    <t>PUR/MU/031691</t>
  </si>
  <si>
    <t>tds 485</t>
  </si>
  <si>
    <t>PUR/MU/031692</t>
  </si>
  <si>
    <t>tds 6</t>
  </si>
  <si>
    <t>SI/C/MU/241113607</t>
  </si>
  <si>
    <t>PUR/MU/031688</t>
  </si>
  <si>
    <t>tds 373</t>
  </si>
  <si>
    <t>SE/C/MU/240532333,SI/C/MU/241113607,SI/C/MU/250315427</t>
  </si>
  <si>
    <t>PUR/MU/031684</t>
  </si>
  <si>
    <t>tds 101</t>
  </si>
  <si>
    <t>SE/C/MU/250242306,SE/C/MU/250242692</t>
  </si>
  <si>
    <t>PUR/MU/031693</t>
  </si>
  <si>
    <t>tds 20</t>
  </si>
  <si>
    <t>PUR/MU/031694</t>
  </si>
  <si>
    <t>tds 7</t>
  </si>
  <si>
    <t>AI/C/MU/250228084</t>
  </si>
  <si>
    <t>PUR/MU/031695</t>
  </si>
  <si>
    <t>tds 49</t>
  </si>
  <si>
    <t>PUR/MU/002086</t>
  </si>
  <si>
    <t xml:space="preserve">tds 35 </t>
  </si>
  <si>
    <t>SE/C/MU/240532333</t>
  </si>
  <si>
    <t/>
  </si>
  <si>
    <t>PUR/MU/002089</t>
  </si>
  <si>
    <t>SE/C/MU/250243310</t>
  </si>
  <si>
    <t>PUR/MU/002514</t>
  </si>
  <si>
    <t>TDS 102</t>
  </si>
  <si>
    <t>SI/C/MU/250315427</t>
  </si>
  <si>
    <t>PUR/MU/002519</t>
  </si>
  <si>
    <t>tds 57</t>
  </si>
  <si>
    <t>SI/C/MU/250315424</t>
  </si>
  <si>
    <t>PUR/MU/00004031</t>
  </si>
  <si>
    <t>TDS 52</t>
  </si>
  <si>
    <t>SE/C/MU/250431170,SE/C/MU/250344089</t>
  </si>
  <si>
    <t>PUR/MU/002087</t>
  </si>
  <si>
    <t>TDS 256</t>
  </si>
  <si>
    <t>SI/C/MU/250410262,SI/C/MU/250410470,SI/C/MU/250510498,AI/C/MU/250420664</t>
  </si>
  <si>
    <t>PUR/MU/00005634</t>
  </si>
  <si>
    <t>HDFC-3100P004550</t>
  </si>
  <si>
    <t>tds 1765</t>
  </si>
  <si>
    <t>TDS 16</t>
  </si>
  <si>
    <t>SE/C/MU/250531699</t>
  </si>
  <si>
    <t>PUR/MU/00005635</t>
  </si>
  <si>
    <t>tds 11</t>
  </si>
  <si>
    <t>SI/C/MU/250611341</t>
  </si>
  <si>
    <t>PUR/MU/00005871</t>
  </si>
  <si>
    <t>tds 1085</t>
  </si>
  <si>
    <t>SI/C/MU/250611341,SI/C/MU/250611572</t>
  </si>
  <si>
    <t>PUR/MU/00006708</t>
  </si>
  <si>
    <t>ADJ/MU/002638/25-26</t>
  </si>
  <si>
    <t>Settlement</t>
  </si>
  <si>
    <t>TDS 38</t>
  </si>
  <si>
    <t>SE/C/MU/250734119,SE/C/MU/250734120</t>
  </si>
  <si>
    <t>PUR/MU/00005872</t>
  </si>
  <si>
    <t>TDS 607</t>
  </si>
  <si>
    <t>PUR/MU/00006706</t>
  </si>
  <si>
    <t>SE/C/MU/250734119</t>
  </si>
  <si>
    <t>PUR/MU/00006906</t>
  </si>
  <si>
    <t>HDFC-3100P006799</t>
  </si>
  <si>
    <t>Bank Payment</t>
  </si>
  <si>
    <t>TDS 65</t>
  </si>
  <si>
    <t>SI/C/MU/250712112</t>
  </si>
  <si>
    <t>PUR/MU/00006909</t>
  </si>
  <si>
    <t>TDS 19</t>
  </si>
  <si>
    <t>SE/C/MU/250835467</t>
  </si>
  <si>
    <t>PUR/MU/00009566</t>
  </si>
  <si>
    <t>TDS 194</t>
  </si>
  <si>
    <t>SE/C/MU/250735020</t>
  </si>
  <si>
    <t>PUR/MU/00009574</t>
  </si>
  <si>
    <t>TDS 58</t>
  </si>
  <si>
    <t>SI/C/MU/250913157</t>
  </si>
  <si>
    <t>PUR/MU/00011621</t>
  </si>
  <si>
    <t>SE/C/MU/251037875</t>
  </si>
  <si>
    <t>PUR/MU/00008471</t>
  </si>
  <si>
    <t>TDS 4</t>
  </si>
  <si>
    <t>SE/C/MU/250936610</t>
  </si>
  <si>
    <t>PUR/MU/00011012</t>
  </si>
  <si>
    <t>TDS 55</t>
  </si>
  <si>
    <t>SI/C/MU/251013410</t>
  </si>
  <si>
    <t>PUR/MU/00011010</t>
  </si>
  <si>
    <t>TDS 756</t>
  </si>
  <si>
    <t>SI/C/MU/250611341,SI/C/MU/250611572,SI/C/MU/250712112,SI/C/MU/250913157,SI/C/MU/251013540</t>
  </si>
  <si>
    <t>PUR/MU/00011011</t>
  </si>
  <si>
    <t>TDS 59</t>
  </si>
  <si>
    <t>SE/C/MU/251038697/FORBES,SE/C/MU/250735020</t>
  </si>
  <si>
    <t>PUR/MU/00011013</t>
  </si>
  <si>
    <t>TDS 224</t>
  </si>
  <si>
    <t>PUR/MU/00011014</t>
  </si>
  <si>
    <t>TDS 62</t>
  </si>
  <si>
    <t>SI/C/MU/251013540</t>
  </si>
  <si>
    <t>PUR/MU/00011015</t>
  </si>
  <si>
    <t>TDS 14</t>
  </si>
  <si>
    <t>SE/C/MU/251038697/FORBES</t>
  </si>
  <si>
    <t>Total</t>
  </si>
  <si>
    <t>Generated by Siddesh Kanade on 14-Mar-2026 18:12</t>
  </si>
  <si>
    <t>Note: Transaction numbers ending with an asterisk (*) are marked as disputed.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</si>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</sst>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_);\(#,##0.00\);\ "/>
  </numFmts>
  <fonts count="5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C3C5D5"/>
      </patternFill>
    </fill>
  </fills>
  <borders count="5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right" vertical="top"/>
    </xf>
    <xf numFmtId="0" fontId="0" fillId="0" borderId="0" xfId="0" applyNumberFormat="1" applyFont="1" applyAlignment="1" applyProtection="1">
      <alignment horizontal="center" vertical="top"/>
    </xf>
    <xf numFmtId="0" fontId="0" fillId="0" borderId="1" xfId="0" applyNumberFormat="1" applyFont="1" applyBorder="1" applyAlignment="1" applyProtection="1">
      <alignment horizontal="left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3" xfId="0" applyNumberFormat="1" applyFont="1" applyFill="1" applyBorder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65" fontId="0" fillId="0" borderId="0" xfId="0" applyNumberFormat="1" applyFont="1" applyAlignment="1" applyProtection="1">
      <alignment horizontal="right" vertical="top"/>
    </xf>
    <xf numFmtId="164" fontId="4" fillId="3" borderId="4" xfId="0" applyNumberFormat="1" applyFont="1" applyFill="1" applyBorder="1" applyAlignment="1" applyProtection="1">
      <alignment horizontal="left" vertical="top"/>
    </xf>
    <xf numFmtId="0" fontId="1" fillId="3" borderId="4" xfId="0" applyNumberFormat="1" applyFont="1" applyFill="1" applyBorder="1" applyAlignment="1" applyProtection="1">
      <alignment horizontal="left" vertical="top"/>
    </xf>
    <xf numFmtId="165" fontId="1" fillId="3" borderId="4" xfId="0" applyNumberFormat="1" applyFont="1" applyFill="1" applyBorder="1" applyAlignment="1" applyProtection="1">
      <alignment horizontal="right" vertical="top"/>
    </xf>
    <xf numFmtId="0" fontId="1" fillId="3" borderId="4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 applyProtection="1"/>
    <xf numFmtId="1" fontId="0" fillId="0" borderId="0" xfId="0" applyNumberFormat="1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3" workbookViewId="0">
      <selection activeCell="A4" sqref="A4"/>
    </sheetView>
  </sheetViews>
  <sheetFormatPr defaultRowHeight="14.5"/>
  <cols>
    <col min="1" max="1" width="24.54296875" customWidth="1"/>
    <col min="2" max="2" width="17.81640625" customWidth="1"/>
    <col min="3" max="4" width="27.26953125" customWidth="1"/>
    <col min="5" max="6" width="19.1796875" customWidth="1"/>
    <col min="7" max="7" width="16.453125" customWidth="1"/>
    <col min="8" max="9" width="27.26953125" customWidth="1"/>
    <col min="10" max="10" width="24.54296875" customWidth="1"/>
    <col min="11" max="11" width="27.54296875" customWidth="1"/>
    <col min="12" max="12" width="19.54296875" customWidth="1"/>
    <col min="13" max="13" width="19.1796875" customWidth="1"/>
    <col min="14" max="14" width="39.453125" customWidth="1"/>
    <col min="15" max="15" width="30" customWidth="1"/>
  </cols>
  <sheetData>
    <row r="1" spans="1:15" ht="4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</row>
    <row r="4" spans="1:15">
      <c r="A4" s="5" t="s">
        <v>17</v>
      </c>
      <c r="B4" s="8">
        <v>45719</v>
      </c>
      <c r="C4" s="2" t="s">
        <v>18</v>
      </c>
      <c r="D4" s="16">
        <v>246779410574</v>
      </c>
      <c r="E4" s="8">
        <v>45719</v>
      </c>
      <c r="F4" s="9">
        <v>427</v>
      </c>
      <c r="G4" s="8">
        <v>45863</v>
      </c>
      <c r="H4" s="2" t="s">
        <v>19</v>
      </c>
      <c r="I4" s="2" t="s">
        <v>20</v>
      </c>
      <c r="J4" s="9">
        <v>427</v>
      </c>
      <c r="K4" s="9">
        <v>427</v>
      </c>
      <c r="L4" s="9">
        <v>0</v>
      </c>
      <c r="M4" s="4">
        <v>144</v>
      </c>
      <c r="N4" s="2" t="s">
        <v>21</v>
      </c>
      <c r="O4" s="2" t="s">
        <v>129</v>
      </c>
    </row>
    <row r="5" spans="1:15">
      <c r="A5" s="5" t="s">
        <v>17</v>
      </c>
      <c r="B5" s="8">
        <v>45733</v>
      </c>
      <c r="C5" s="2" t="s">
        <v>22</v>
      </c>
      <c r="D5" s="16">
        <v>246779411950</v>
      </c>
      <c r="E5" s="8">
        <v>45733</v>
      </c>
      <c r="F5" s="9">
        <v>1641</v>
      </c>
      <c r="G5" s="8">
        <v>45863</v>
      </c>
      <c r="H5" s="2" t="s">
        <v>19</v>
      </c>
      <c r="I5" s="2" t="s">
        <v>20</v>
      </c>
      <c r="J5" s="9">
        <v>1641</v>
      </c>
      <c r="K5" s="9">
        <v>1641</v>
      </c>
      <c r="L5" s="9">
        <v>0</v>
      </c>
      <c r="M5" s="4">
        <v>130</v>
      </c>
      <c r="N5" s="2" t="s">
        <v>23</v>
      </c>
      <c r="O5" s="2" t="s">
        <v>24</v>
      </c>
    </row>
    <row r="6" spans="1:15">
      <c r="A6" s="5" t="s">
        <v>17</v>
      </c>
      <c r="B6" s="8">
        <v>45735</v>
      </c>
      <c r="C6" s="2" t="s">
        <v>25</v>
      </c>
      <c r="D6" s="16">
        <v>246779412626</v>
      </c>
      <c r="E6" s="8">
        <v>45735</v>
      </c>
      <c r="F6" s="9">
        <v>23562</v>
      </c>
      <c r="G6" s="8">
        <v>45863</v>
      </c>
      <c r="H6" s="2" t="s">
        <v>19</v>
      </c>
      <c r="I6" s="2" t="s">
        <v>20</v>
      </c>
      <c r="J6" s="9">
        <v>23562</v>
      </c>
      <c r="K6" s="9">
        <v>23562</v>
      </c>
      <c r="L6" s="9">
        <v>0</v>
      </c>
      <c r="M6" s="4">
        <v>128</v>
      </c>
      <c r="N6" s="2" t="s">
        <v>26</v>
      </c>
      <c r="O6" s="2" t="s">
        <v>27</v>
      </c>
    </row>
    <row r="7" spans="1:15">
      <c r="A7" s="5" t="s">
        <v>17</v>
      </c>
      <c r="B7" s="8">
        <v>45735</v>
      </c>
      <c r="C7" s="2" t="s">
        <v>28</v>
      </c>
      <c r="D7" s="16">
        <v>246779412785</v>
      </c>
      <c r="E7" s="8">
        <v>45735</v>
      </c>
      <c r="F7" s="9">
        <v>24121</v>
      </c>
      <c r="G7" s="8">
        <v>45863</v>
      </c>
      <c r="H7" s="2" t="s">
        <v>19</v>
      </c>
      <c r="I7" s="2" t="s">
        <v>20</v>
      </c>
      <c r="J7" s="9">
        <v>24121</v>
      </c>
      <c r="K7" s="9">
        <v>24121</v>
      </c>
      <c r="L7" s="9">
        <v>0</v>
      </c>
      <c r="M7" s="4">
        <v>128</v>
      </c>
      <c r="N7" s="2" t="s">
        <v>29</v>
      </c>
      <c r="O7" s="2" t="s">
        <v>30</v>
      </c>
    </row>
    <row r="8" spans="1:15">
      <c r="A8" s="5" t="s">
        <v>17</v>
      </c>
      <c r="B8" s="8">
        <v>45735</v>
      </c>
      <c r="C8" s="2" t="s">
        <v>31</v>
      </c>
      <c r="D8" s="16">
        <v>246779412863</v>
      </c>
      <c r="E8" s="8">
        <v>45735</v>
      </c>
      <c r="F8" s="9">
        <v>27207</v>
      </c>
      <c r="G8" s="8">
        <v>45863</v>
      </c>
      <c r="H8" s="2" t="s">
        <v>19</v>
      </c>
      <c r="I8" s="2" t="s">
        <v>20</v>
      </c>
      <c r="J8" s="9">
        <v>27207</v>
      </c>
      <c r="K8" s="9">
        <v>27207</v>
      </c>
      <c r="L8" s="9">
        <v>0</v>
      </c>
      <c r="M8" s="4">
        <v>128</v>
      </c>
      <c r="N8" s="2" t="s">
        <v>32</v>
      </c>
      <c r="O8" s="2" t="s">
        <v>33</v>
      </c>
    </row>
    <row r="9" spans="1:15">
      <c r="A9" s="5" t="s">
        <v>17</v>
      </c>
      <c r="B9" s="8">
        <v>45735</v>
      </c>
      <c r="C9" s="2" t="s">
        <v>34</v>
      </c>
      <c r="D9" s="16">
        <v>246779412934</v>
      </c>
      <c r="E9" s="8">
        <v>45735</v>
      </c>
      <c r="F9" s="9">
        <v>28115</v>
      </c>
      <c r="G9" s="8">
        <v>45863</v>
      </c>
      <c r="H9" s="2" t="s">
        <v>19</v>
      </c>
      <c r="I9" s="2" t="s">
        <v>20</v>
      </c>
      <c r="J9" s="9">
        <v>28115</v>
      </c>
      <c r="K9" s="9">
        <v>28115</v>
      </c>
      <c r="L9" s="9">
        <v>0</v>
      </c>
      <c r="M9" s="4">
        <v>128</v>
      </c>
      <c r="N9" s="2" t="s">
        <v>35</v>
      </c>
      <c r="O9" s="2" t="s">
        <v>33</v>
      </c>
    </row>
    <row r="10" spans="1:15">
      <c r="A10" s="5" t="s">
        <v>17</v>
      </c>
      <c r="B10" s="8">
        <v>45735</v>
      </c>
      <c r="C10" s="2" t="s">
        <v>36</v>
      </c>
      <c r="D10" s="16">
        <v>246779413379</v>
      </c>
      <c r="E10" s="8">
        <v>45735</v>
      </c>
      <c r="F10" s="9">
        <v>331</v>
      </c>
      <c r="G10" s="8">
        <v>45863</v>
      </c>
      <c r="H10" s="2" t="s">
        <v>19</v>
      </c>
      <c r="I10" s="2" t="s">
        <v>20</v>
      </c>
      <c r="J10" s="9">
        <v>331</v>
      </c>
      <c r="K10" s="9">
        <v>331</v>
      </c>
      <c r="L10" s="9">
        <v>0</v>
      </c>
      <c r="M10" s="4">
        <v>128</v>
      </c>
      <c r="N10" s="2" t="s">
        <v>37</v>
      </c>
      <c r="O10" s="2" t="s">
        <v>38</v>
      </c>
    </row>
    <row r="11" spans="1:15">
      <c r="A11" s="5" t="s">
        <v>17</v>
      </c>
      <c r="B11" s="8">
        <v>45735</v>
      </c>
      <c r="C11" s="2" t="s">
        <v>39</v>
      </c>
      <c r="D11" s="16">
        <v>246779412712</v>
      </c>
      <c r="E11" s="8">
        <v>45735</v>
      </c>
      <c r="F11" s="9">
        <v>21634</v>
      </c>
      <c r="G11" s="8">
        <v>45863</v>
      </c>
      <c r="H11" s="2" t="s">
        <v>19</v>
      </c>
      <c r="I11" s="2" t="s">
        <v>20</v>
      </c>
      <c r="J11" s="9">
        <v>21634</v>
      </c>
      <c r="K11" s="9">
        <v>21634</v>
      </c>
      <c r="L11" s="9">
        <v>0</v>
      </c>
      <c r="M11" s="4">
        <v>128</v>
      </c>
      <c r="N11" s="2" t="s">
        <v>40</v>
      </c>
      <c r="O11" s="2" t="s">
        <v>41</v>
      </c>
    </row>
    <row r="12" spans="1:15">
      <c r="A12" s="5" t="s">
        <v>17</v>
      </c>
      <c r="B12" s="8">
        <v>45736</v>
      </c>
      <c r="C12" s="2" t="s">
        <v>42</v>
      </c>
      <c r="D12" s="16">
        <v>246779414768</v>
      </c>
      <c r="E12" s="8">
        <v>45736</v>
      </c>
      <c r="F12" s="9">
        <v>5829</v>
      </c>
      <c r="G12" s="8">
        <v>45863</v>
      </c>
      <c r="H12" s="2" t="s">
        <v>19</v>
      </c>
      <c r="I12" s="2" t="s">
        <v>20</v>
      </c>
      <c r="J12" s="9">
        <v>5829</v>
      </c>
      <c r="K12" s="9">
        <v>5829</v>
      </c>
      <c r="L12" s="9">
        <v>0</v>
      </c>
      <c r="M12" s="4">
        <v>127</v>
      </c>
      <c r="N12" s="2" t="s">
        <v>43</v>
      </c>
      <c r="O12" s="2" t="s">
        <v>44</v>
      </c>
    </row>
    <row r="13" spans="1:15">
      <c r="A13" s="5" t="s">
        <v>17</v>
      </c>
      <c r="B13" s="8">
        <v>45736</v>
      </c>
      <c r="C13" s="2" t="s">
        <v>45</v>
      </c>
      <c r="D13" s="16">
        <v>246779413500</v>
      </c>
      <c r="E13" s="8">
        <v>45736</v>
      </c>
      <c r="F13" s="9">
        <v>1146</v>
      </c>
      <c r="G13" s="8">
        <v>45863</v>
      </c>
      <c r="H13" s="2" t="s">
        <v>19</v>
      </c>
      <c r="I13" s="2" t="s">
        <v>20</v>
      </c>
      <c r="J13" s="9">
        <v>1146</v>
      </c>
      <c r="K13" s="9">
        <v>1146</v>
      </c>
      <c r="L13" s="9">
        <v>0</v>
      </c>
      <c r="M13" s="4">
        <v>127</v>
      </c>
      <c r="N13" s="2" t="s">
        <v>46</v>
      </c>
      <c r="O13" s="2" t="s">
        <v>24</v>
      </c>
    </row>
    <row r="14" spans="1:15">
      <c r="A14" s="5" t="s">
        <v>17</v>
      </c>
      <c r="B14" s="8">
        <v>45736</v>
      </c>
      <c r="C14" s="2" t="s">
        <v>47</v>
      </c>
      <c r="D14" s="16">
        <v>246779414508</v>
      </c>
      <c r="E14" s="8">
        <v>45736</v>
      </c>
      <c r="F14" s="9">
        <v>348</v>
      </c>
      <c r="G14" s="8">
        <v>45863</v>
      </c>
      <c r="H14" s="2" t="s">
        <v>19</v>
      </c>
      <c r="I14" s="2" t="s">
        <v>20</v>
      </c>
      <c r="J14" s="9">
        <v>348</v>
      </c>
      <c r="K14" s="9">
        <v>348</v>
      </c>
      <c r="L14" s="9">
        <v>0</v>
      </c>
      <c r="M14" s="4">
        <v>127</v>
      </c>
      <c r="N14" s="2" t="s">
        <v>48</v>
      </c>
      <c r="O14" s="2" t="s">
        <v>49</v>
      </c>
    </row>
    <row r="15" spans="1:15">
      <c r="A15" s="5" t="s">
        <v>17</v>
      </c>
      <c r="B15" s="8">
        <v>45736</v>
      </c>
      <c r="C15" s="2" t="s">
        <v>50</v>
      </c>
      <c r="D15" s="16">
        <v>246779414509</v>
      </c>
      <c r="E15" s="8">
        <v>45736</v>
      </c>
      <c r="F15" s="9">
        <v>2787</v>
      </c>
      <c r="G15" s="8">
        <v>45863</v>
      </c>
      <c r="H15" s="2" t="s">
        <v>19</v>
      </c>
      <c r="I15" s="2" t="s">
        <v>20</v>
      </c>
      <c r="J15" s="9">
        <v>2787</v>
      </c>
      <c r="K15" s="9">
        <v>2787</v>
      </c>
      <c r="L15" s="9">
        <v>0</v>
      </c>
      <c r="M15" s="4">
        <v>127</v>
      </c>
      <c r="N15" s="2" t="s">
        <v>51</v>
      </c>
      <c r="O15" s="2" t="s">
        <v>49</v>
      </c>
    </row>
    <row r="16" spans="1:15">
      <c r="A16" s="5" t="s">
        <v>17</v>
      </c>
      <c r="B16" s="8">
        <v>45750</v>
      </c>
      <c r="C16" s="2" t="s">
        <v>52</v>
      </c>
      <c r="D16" s="16">
        <v>256779410187</v>
      </c>
      <c r="E16" s="8">
        <v>45750</v>
      </c>
      <c r="F16" s="9">
        <v>2028</v>
      </c>
      <c r="G16" s="8">
        <v>45863</v>
      </c>
      <c r="H16" s="2" t="s">
        <v>19</v>
      </c>
      <c r="I16" s="2" t="s">
        <v>20</v>
      </c>
      <c r="J16" s="9">
        <v>2028</v>
      </c>
      <c r="K16" s="9">
        <v>2028</v>
      </c>
      <c r="L16" s="9">
        <v>0</v>
      </c>
      <c r="M16" s="4">
        <v>113</v>
      </c>
      <c r="N16" s="2" t="s">
        <v>53</v>
      </c>
      <c r="O16" s="2" t="s">
        <v>54</v>
      </c>
    </row>
    <row r="17" spans="1:15">
      <c r="A17" s="5" t="s">
        <v>17</v>
      </c>
      <c r="B17" s="8">
        <v>45769</v>
      </c>
      <c r="C17" s="2" t="s">
        <v>56</v>
      </c>
      <c r="D17" s="16">
        <v>256779412638</v>
      </c>
      <c r="E17" s="8">
        <v>45769</v>
      </c>
      <c r="F17" s="9">
        <v>332</v>
      </c>
      <c r="G17" s="8">
        <v>45863</v>
      </c>
      <c r="H17" s="2" t="s">
        <v>19</v>
      </c>
      <c r="I17" s="2" t="s">
        <v>20</v>
      </c>
      <c r="J17" s="9">
        <v>332</v>
      </c>
      <c r="K17" s="9">
        <v>332</v>
      </c>
      <c r="L17" s="9">
        <v>0</v>
      </c>
      <c r="M17" s="4">
        <v>94</v>
      </c>
      <c r="N17" s="2" t="s">
        <v>37</v>
      </c>
      <c r="O17" s="2" t="s">
        <v>57</v>
      </c>
    </row>
    <row r="18" spans="1:15">
      <c r="A18" s="5" t="s">
        <v>17</v>
      </c>
      <c r="B18" s="8">
        <v>45770</v>
      </c>
      <c r="C18" s="2" t="s">
        <v>58</v>
      </c>
      <c r="D18" s="16">
        <v>256779412910</v>
      </c>
      <c r="E18" s="8">
        <v>45770</v>
      </c>
      <c r="F18" s="9">
        <v>5891.35</v>
      </c>
      <c r="G18" s="8">
        <v>45863</v>
      </c>
      <c r="H18" s="2" t="s">
        <v>19</v>
      </c>
      <c r="I18" s="2" t="s">
        <v>20</v>
      </c>
      <c r="J18" s="9">
        <v>5891</v>
      </c>
      <c r="K18" s="9">
        <v>5891</v>
      </c>
      <c r="L18" s="9">
        <v>0.35</v>
      </c>
      <c r="M18" s="4">
        <v>325</v>
      </c>
      <c r="N18" s="2" t="s">
        <v>59</v>
      </c>
      <c r="O18" s="2" t="s">
        <v>60</v>
      </c>
    </row>
    <row r="19" spans="1:15">
      <c r="A19" s="5" t="s">
        <v>17</v>
      </c>
      <c r="B19" s="8">
        <v>45770</v>
      </c>
      <c r="C19" s="2" t="s">
        <v>61</v>
      </c>
      <c r="D19" s="16">
        <v>256779412880</v>
      </c>
      <c r="E19" s="8">
        <v>45770</v>
      </c>
      <c r="F19" s="9">
        <v>3326</v>
      </c>
      <c r="G19" s="8">
        <v>45863</v>
      </c>
      <c r="H19" s="2" t="s">
        <v>19</v>
      </c>
      <c r="I19" s="2" t="s">
        <v>20</v>
      </c>
      <c r="J19" s="9">
        <v>3326</v>
      </c>
      <c r="K19" s="9">
        <v>3326</v>
      </c>
      <c r="L19" s="9">
        <v>0</v>
      </c>
      <c r="M19" s="4">
        <v>93</v>
      </c>
      <c r="N19" s="2" t="s">
        <v>62</v>
      </c>
      <c r="O19" s="2" t="s">
        <v>63</v>
      </c>
    </row>
    <row r="20" spans="1:15">
      <c r="A20" s="5" t="s">
        <v>17</v>
      </c>
      <c r="B20" s="8">
        <v>45797</v>
      </c>
      <c r="C20" s="2" t="s">
        <v>64</v>
      </c>
      <c r="D20" s="16">
        <v>256779413473</v>
      </c>
      <c r="E20" s="8">
        <v>45797</v>
      </c>
      <c r="F20" s="9">
        <v>3033</v>
      </c>
      <c r="G20" s="8">
        <v>45863</v>
      </c>
      <c r="H20" s="2" t="s">
        <v>19</v>
      </c>
      <c r="I20" s="2" t="s">
        <v>20</v>
      </c>
      <c r="J20" s="9">
        <v>3033</v>
      </c>
      <c r="K20" s="9">
        <v>3033</v>
      </c>
      <c r="L20" s="9">
        <v>0</v>
      </c>
      <c r="M20" s="4">
        <v>66</v>
      </c>
      <c r="N20" s="2" t="s">
        <v>65</v>
      </c>
      <c r="O20" s="2" t="s">
        <v>66</v>
      </c>
    </row>
    <row r="21" spans="1:15">
      <c r="A21" s="5" t="s">
        <v>17</v>
      </c>
      <c r="B21" s="8">
        <v>45797</v>
      </c>
      <c r="C21" s="2" t="s">
        <v>67</v>
      </c>
      <c r="D21" s="16">
        <v>256779413875</v>
      </c>
      <c r="E21" s="8">
        <v>45797</v>
      </c>
      <c r="F21" s="9">
        <v>14830</v>
      </c>
      <c r="G21" s="8">
        <v>45863</v>
      </c>
      <c r="H21" s="2" t="s">
        <v>19</v>
      </c>
      <c r="I21" s="2" t="s">
        <v>20</v>
      </c>
      <c r="J21" s="9">
        <v>14830</v>
      </c>
      <c r="K21" s="9">
        <v>14830</v>
      </c>
      <c r="L21" s="9">
        <v>0</v>
      </c>
      <c r="M21" s="4">
        <v>66</v>
      </c>
      <c r="N21" s="2" t="s">
        <v>68</v>
      </c>
      <c r="O21" s="2" t="s">
        <v>69</v>
      </c>
    </row>
    <row r="22" spans="1:15">
      <c r="A22" s="5" t="s">
        <v>17</v>
      </c>
      <c r="B22" s="8">
        <v>45842</v>
      </c>
      <c r="C22" s="2" t="s">
        <v>70</v>
      </c>
      <c r="D22" s="16">
        <v>256779415007</v>
      </c>
      <c r="E22" s="8">
        <v>45842</v>
      </c>
      <c r="F22" s="9">
        <v>931</v>
      </c>
      <c r="G22" s="8">
        <v>45904</v>
      </c>
      <c r="H22" s="2" t="s">
        <v>71</v>
      </c>
      <c r="I22" s="2" t="s">
        <v>72</v>
      </c>
      <c r="J22" s="9">
        <v>931</v>
      </c>
      <c r="K22" s="9">
        <v>931</v>
      </c>
      <c r="L22" s="9">
        <v>0</v>
      </c>
      <c r="M22" s="4">
        <v>62</v>
      </c>
      <c r="N22" s="2" t="s">
        <v>73</v>
      </c>
      <c r="O22" s="2" t="s">
        <v>74</v>
      </c>
    </row>
    <row r="23" spans="1:15">
      <c r="A23" s="5" t="s">
        <v>17</v>
      </c>
      <c r="B23" s="8">
        <v>45842</v>
      </c>
      <c r="C23" s="2" t="s">
        <v>75</v>
      </c>
      <c r="D23" s="16">
        <v>256779415044</v>
      </c>
      <c r="E23" s="8">
        <v>45842</v>
      </c>
      <c r="F23" s="9">
        <v>642</v>
      </c>
      <c r="G23" s="8">
        <v>45904</v>
      </c>
      <c r="H23" s="2" t="s">
        <v>71</v>
      </c>
      <c r="I23" s="2" t="s">
        <v>72</v>
      </c>
      <c r="J23" s="9">
        <v>642</v>
      </c>
      <c r="K23" s="9">
        <v>642</v>
      </c>
      <c r="L23" s="9">
        <v>0</v>
      </c>
      <c r="M23" s="4">
        <v>62</v>
      </c>
      <c r="N23" s="2" t="s">
        <v>76</v>
      </c>
      <c r="O23" s="2" t="s">
        <v>77</v>
      </c>
    </row>
    <row r="24" spans="1:15">
      <c r="A24" s="5" t="s">
        <v>17</v>
      </c>
      <c r="B24" s="8">
        <v>45856</v>
      </c>
      <c r="C24" s="2" t="s">
        <v>78</v>
      </c>
      <c r="D24" s="16">
        <v>256779415466</v>
      </c>
      <c r="E24" s="8">
        <v>45856</v>
      </c>
      <c r="F24" s="9">
        <v>62952</v>
      </c>
      <c r="G24" s="8">
        <v>45904</v>
      </c>
      <c r="H24" s="2" t="s">
        <v>71</v>
      </c>
      <c r="I24" s="2" t="s">
        <v>72</v>
      </c>
      <c r="J24" s="9">
        <v>62952</v>
      </c>
      <c r="K24" s="9">
        <v>62952</v>
      </c>
      <c r="L24" s="9">
        <v>0</v>
      </c>
      <c r="M24" s="4">
        <v>48</v>
      </c>
      <c r="N24" s="2" t="s">
        <v>79</v>
      </c>
      <c r="O24" s="2" t="s">
        <v>80</v>
      </c>
    </row>
    <row r="25" spans="1:15">
      <c r="A25" s="5" t="s">
        <v>17</v>
      </c>
      <c r="B25" s="8">
        <v>45856</v>
      </c>
      <c r="C25" s="2" t="s">
        <v>81</v>
      </c>
      <c r="D25" s="16">
        <v>256779415504</v>
      </c>
      <c r="E25" s="8">
        <v>45856</v>
      </c>
      <c r="F25" s="9">
        <v>2217</v>
      </c>
      <c r="G25" s="8">
        <v>45899</v>
      </c>
      <c r="H25" s="2" t="s">
        <v>82</v>
      </c>
      <c r="I25" s="2" t="s">
        <v>83</v>
      </c>
      <c r="J25" s="9">
        <v>38</v>
      </c>
      <c r="K25" s="9">
        <v>2217</v>
      </c>
      <c r="L25" s="9">
        <v>0</v>
      </c>
      <c r="M25" s="4">
        <v>48</v>
      </c>
      <c r="N25" s="2" t="s">
        <v>84</v>
      </c>
      <c r="O25" s="2" t="s">
        <v>85</v>
      </c>
    </row>
    <row r="26" spans="1:15">
      <c r="A26" s="5" t="s">
        <v>55</v>
      </c>
      <c r="B26" s="2" t="s">
        <v>55</v>
      </c>
      <c r="C26" s="2" t="s">
        <v>55</v>
      </c>
      <c r="D26" s="16" t="s">
        <v>55</v>
      </c>
      <c r="E26" s="2" t="s">
        <v>55</v>
      </c>
      <c r="F26" s="9">
        <v>0</v>
      </c>
      <c r="G26" s="8">
        <v>45904</v>
      </c>
      <c r="H26" s="2" t="s">
        <v>71</v>
      </c>
      <c r="I26" s="2" t="s">
        <v>72</v>
      </c>
      <c r="J26" s="9">
        <v>2179</v>
      </c>
      <c r="K26" s="9">
        <v>0</v>
      </c>
      <c r="L26" s="9">
        <v>0</v>
      </c>
      <c r="M26" s="4" t="s">
        <v>55</v>
      </c>
      <c r="N26" s="2" t="s">
        <v>55</v>
      </c>
      <c r="O26" s="2" t="s">
        <v>55</v>
      </c>
    </row>
    <row r="27" spans="1:15">
      <c r="A27" s="5" t="s">
        <v>17</v>
      </c>
      <c r="B27" s="8">
        <v>45857</v>
      </c>
      <c r="C27" s="2" t="s">
        <v>86</v>
      </c>
      <c r="D27" s="16">
        <v>256779415604</v>
      </c>
      <c r="E27" s="8">
        <v>45857</v>
      </c>
      <c r="F27" s="9">
        <v>35213</v>
      </c>
      <c r="G27" s="8">
        <v>45904</v>
      </c>
      <c r="H27" s="2" t="s">
        <v>71</v>
      </c>
      <c r="I27" s="2" t="s">
        <v>72</v>
      </c>
      <c r="J27" s="9">
        <v>35213</v>
      </c>
      <c r="K27" s="9">
        <v>35213</v>
      </c>
      <c r="L27" s="9">
        <v>0</v>
      </c>
      <c r="M27" s="4">
        <v>47</v>
      </c>
      <c r="N27" s="2" t="s">
        <v>87</v>
      </c>
      <c r="O27" s="2" t="s">
        <v>80</v>
      </c>
    </row>
    <row r="28" spans="1:15">
      <c r="A28" s="5" t="s">
        <v>17</v>
      </c>
      <c r="B28" s="8">
        <v>45857</v>
      </c>
      <c r="C28" s="2" t="s">
        <v>88</v>
      </c>
      <c r="D28" s="16">
        <v>256779415733</v>
      </c>
      <c r="E28" s="8">
        <v>45857</v>
      </c>
      <c r="F28" s="9">
        <v>473</v>
      </c>
      <c r="G28" s="8">
        <v>45899</v>
      </c>
      <c r="H28" s="2" t="s">
        <v>82</v>
      </c>
      <c r="I28" s="2" t="s">
        <v>83</v>
      </c>
      <c r="J28" s="9">
        <v>8</v>
      </c>
      <c r="K28" s="9">
        <v>473</v>
      </c>
      <c r="L28" s="9">
        <v>0</v>
      </c>
      <c r="M28" s="4">
        <v>47</v>
      </c>
      <c r="N28" s="2" t="s">
        <v>21</v>
      </c>
      <c r="O28" s="2" t="s">
        <v>89</v>
      </c>
    </row>
    <row r="29" spans="1:15">
      <c r="A29" s="5" t="s">
        <v>55</v>
      </c>
      <c r="B29" s="2" t="s">
        <v>55</v>
      </c>
      <c r="C29" s="2" t="s">
        <v>55</v>
      </c>
      <c r="D29" s="16" t="s">
        <v>55</v>
      </c>
      <c r="E29" s="2" t="s">
        <v>55</v>
      </c>
      <c r="F29" s="9">
        <v>0</v>
      </c>
      <c r="G29" s="8">
        <v>45904</v>
      </c>
      <c r="H29" s="2" t="s">
        <v>71</v>
      </c>
      <c r="I29" s="2" t="s">
        <v>72</v>
      </c>
      <c r="J29" s="9">
        <v>465</v>
      </c>
      <c r="K29" s="9">
        <v>0</v>
      </c>
      <c r="L29" s="9">
        <v>0</v>
      </c>
      <c r="M29" s="4" t="s">
        <v>55</v>
      </c>
      <c r="N29" s="2" t="s">
        <v>55</v>
      </c>
      <c r="O29" s="2" t="s">
        <v>55</v>
      </c>
    </row>
    <row r="30" spans="1:15">
      <c r="A30" s="5" t="s">
        <v>17</v>
      </c>
      <c r="B30" s="8">
        <v>45889</v>
      </c>
      <c r="C30" s="2" t="s">
        <v>90</v>
      </c>
      <c r="D30" s="16">
        <v>256779416831</v>
      </c>
      <c r="E30" s="8">
        <v>45889</v>
      </c>
      <c r="F30" s="9">
        <v>3753</v>
      </c>
      <c r="G30" s="8">
        <v>46046</v>
      </c>
      <c r="H30" s="2" t="s">
        <v>91</v>
      </c>
      <c r="I30" s="2" t="s">
        <v>92</v>
      </c>
      <c r="J30" s="9">
        <v>3753</v>
      </c>
      <c r="K30" s="9">
        <v>3753</v>
      </c>
      <c r="L30" s="9">
        <v>0</v>
      </c>
      <c r="M30" s="4">
        <v>157</v>
      </c>
      <c r="N30" s="2" t="s">
        <v>93</v>
      </c>
      <c r="O30" s="2" t="s">
        <v>94</v>
      </c>
    </row>
    <row r="31" spans="1:15">
      <c r="A31" s="5" t="s">
        <v>17</v>
      </c>
      <c r="B31" s="8">
        <v>45889</v>
      </c>
      <c r="C31" s="2" t="s">
        <v>95</v>
      </c>
      <c r="D31" s="16">
        <v>256779416861</v>
      </c>
      <c r="E31" s="8">
        <v>45889</v>
      </c>
      <c r="F31" s="9">
        <v>1119</v>
      </c>
      <c r="G31" s="8">
        <v>46046</v>
      </c>
      <c r="H31" s="2" t="s">
        <v>91</v>
      </c>
      <c r="I31" s="2" t="s">
        <v>92</v>
      </c>
      <c r="J31" s="9">
        <v>1119</v>
      </c>
      <c r="K31" s="9">
        <v>1119</v>
      </c>
      <c r="L31" s="9">
        <v>0</v>
      </c>
      <c r="M31" s="4">
        <v>157</v>
      </c>
      <c r="N31" s="2" t="s">
        <v>96</v>
      </c>
      <c r="O31" s="2" t="s">
        <v>97</v>
      </c>
    </row>
    <row r="32" spans="1:15">
      <c r="A32" s="5" t="s">
        <v>17</v>
      </c>
      <c r="B32" s="8">
        <v>45937</v>
      </c>
      <c r="C32" s="2" t="s">
        <v>98</v>
      </c>
      <c r="D32" s="16">
        <v>256779418107</v>
      </c>
      <c r="E32" s="8">
        <v>45937</v>
      </c>
      <c r="F32" s="9">
        <v>11253</v>
      </c>
      <c r="G32" s="8">
        <v>46046</v>
      </c>
      <c r="H32" s="2" t="s">
        <v>91</v>
      </c>
      <c r="I32" s="2" t="s">
        <v>92</v>
      </c>
      <c r="J32" s="9">
        <v>11253</v>
      </c>
      <c r="K32" s="9">
        <v>11253</v>
      </c>
      <c r="L32" s="9">
        <v>0</v>
      </c>
      <c r="M32" s="4">
        <v>109</v>
      </c>
      <c r="N32" s="2" t="s">
        <v>99</v>
      </c>
      <c r="O32" s="2" t="s">
        <v>100</v>
      </c>
    </row>
    <row r="33" spans="1:15">
      <c r="A33" s="5" t="s">
        <v>17</v>
      </c>
      <c r="B33" s="8">
        <v>45950</v>
      </c>
      <c r="C33" s="2" t="s">
        <v>101</v>
      </c>
      <c r="D33" s="16">
        <v>256779418643</v>
      </c>
      <c r="E33" s="8">
        <v>45950</v>
      </c>
      <c r="F33" s="9">
        <v>3376</v>
      </c>
      <c r="G33" s="8">
        <v>46046</v>
      </c>
      <c r="H33" s="2" t="s">
        <v>91</v>
      </c>
      <c r="I33" s="2" t="s">
        <v>92</v>
      </c>
      <c r="J33" s="9">
        <v>3376</v>
      </c>
      <c r="K33" s="9">
        <v>3376</v>
      </c>
      <c r="L33" s="9">
        <v>0</v>
      </c>
      <c r="M33" s="4">
        <v>96</v>
      </c>
      <c r="N33" s="2" t="s">
        <v>102</v>
      </c>
      <c r="O33" s="2" t="s">
        <v>103</v>
      </c>
    </row>
    <row r="34" spans="1:15">
      <c r="A34" s="5" t="s">
        <v>17</v>
      </c>
      <c r="B34" s="8">
        <v>45966</v>
      </c>
      <c r="C34" s="2" t="s">
        <v>104</v>
      </c>
      <c r="D34" s="16">
        <v>256779418846</v>
      </c>
      <c r="E34" s="8">
        <v>45966</v>
      </c>
      <c r="F34" s="9">
        <v>234.21</v>
      </c>
      <c r="G34" s="8">
        <v>46046</v>
      </c>
      <c r="H34" s="2" t="s">
        <v>91</v>
      </c>
      <c r="I34" s="2" t="s">
        <v>92</v>
      </c>
      <c r="J34" s="9">
        <v>234.21</v>
      </c>
      <c r="K34" s="9">
        <v>234.21</v>
      </c>
      <c r="L34" s="9">
        <v>0</v>
      </c>
      <c r="M34" s="4">
        <v>80</v>
      </c>
      <c r="N34" s="2" t="s">
        <v>55</v>
      </c>
      <c r="O34" s="2" t="s">
        <v>105</v>
      </c>
    </row>
    <row r="35" spans="1:15">
      <c r="A35" s="5" t="s">
        <v>17</v>
      </c>
      <c r="B35" s="8">
        <v>45978</v>
      </c>
      <c r="C35" s="2" t="s">
        <v>106</v>
      </c>
      <c r="D35" s="16">
        <v>256779417464</v>
      </c>
      <c r="E35" s="8">
        <v>45917</v>
      </c>
      <c r="F35" s="9">
        <v>230</v>
      </c>
      <c r="G35" s="8">
        <v>46046</v>
      </c>
      <c r="H35" s="2" t="s">
        <v>91</v>
      </c>
      <c r="I35" s="2" t="s">
        <v>92</v>
      </c>
      <c r="J35" s="9">
        <v>230</v>
      </c>
      <c r="K35" s="9">
        <v>230</v>
      </c>
      <c r="L35" s="9">
        <v>0</v>
      </c>
      <c r="M35" s="4">
        <v>68</v>
      </c>
      <c r="N35" s="2" t="s">
        <v>107</v>
      </c>
      <c r="O35" s="2" t="s">
        <v>108</v>
      </c>
    </row>
    <row r="36" spans="1:15">
      <c r="A36" s="5" t="s">
        <v>17</v>
      </c>
      <c r="B36" s="8">
        <v>45979</v>
      </c>
      <c r="C36" s="2" t="s">
        <v>109</v>
      </c>
      <c r="D36" s="16">
        <v>256779419351</v>
      </c>
      <c r="E36" s="8">
        <v>45979</v>
      </c>
      <c r="F36" s="9">
        <v>3247</v>
      </c>
      <c r="G36" s="8">
        <v>46046</v>
      </c>
      <c r="H36" s="2" t="s">
        <v>91</v>
      </c>
      <c r="I36" s="2" t="s">
        <v>92</v>
      </c>
      <c r="J36" s="9">
        <v>3247</v>
      </c>
      <c r="K36" s="9">
        <v>3247</v>
      </c>
      <c r="L36" s="9">
        <v>0</v>
      </c>
      <c r="M36" s="4">
        <v>67</v>
      </c>
      <c r="N36" s="2" t="s">
        <v>110</v>
      </c>
      <c r="O36" s="2" t="s">
        <v>111</v>
      </c>
    </row>
    <row r="37" spans="1:15">
      <c r="A37" s="5" t="s">
        <v>17</v>
      </c>
      <c r="B37" s="8">
        <v>45980</v>
      </c>
      <c r="C37" s="2" t="s">
        <v>112</v>
      </c>
      <c r="D37" s="16">
        <v>256779419490</v>
      </c>
      <c r="E37" s="8">
        <v>45980</v>
      </c>
      <c r="F37" s="9">
        <v>43877</v>
      </c>
      <c r="G37" s="8">
        <v>46046</v>
      </c>
      <c r="H37" s="2" t="s">
        <v>91</v>
      </c>
      <c r="I37" s="2" t="s">
        <v>92</v>
      </c>
      <c r="J37" s="9">
        <v>43877</v>
      </c>
      <c r="K37" s="9">
        <v>43877</v>
      </c>
      <c r="L37" s="9">
        <v>0</v>
      </c>
      <c r="M37" s="4">
        <v>66</v>
      </c>
      <c r="N37" s="2" t="s">
        <v>113</v>
      </c>
      <c r="O37" s="2" t="s">
        <v>114</v>
      </c>
    </row>
    <row r="38" spans="1:15">
      <c r="A38" s="5" t="s">
        <v>17</v>
      </c>
      <c r="B38" s="8">
        <v>45981</v>
      </c>
      <c r="C38" s="2" t="s">
        <v>115</v>
      </c>
      <c r="D38" s="16">
        <v>256779419447</v>
      </c>
      <c r="E38" s="8">
        <v>45981</v>
      </c>
      <c r="F38" s="9">
        <v>3441</v>
      </c>
      <c r="G38" s="8">
        <v>46046</v>
      </c>
      <c r="H38" s="2" t="s">
        <v>91</v>
      </c>
      <c r="I38" s="2" t="s">
        <v>92</v>
      </c>
      <c r="J38" s="9">
        <v>3441</v>
      </c>
      <c r="K38" s="9">
        <v>3441</v>
      </c>
      <c r="L38" s="9">
        <v>0</v>
      </c>
      <c r="M38" s="4">
        <v>65</v>
      </c>
      <c r="N38" s="2" t="s">
        <v>116</v>
      </c>
      <c r="O38" s="2" t="s">
        <v>117</v>
      </c>
    </row>
    <row r="39" spans="1:15">
      <c r="A39" s="5" t="s">
        <v>17</v>
      </c>
      <c r="B39" s="8">
        <v>45981</v>
      </c>
      <c r="C39" s="2" t="s">
        <v>118</v>
      </c>
      <c r="D39" s="16">
        <v>256779419526</v>
      </c>
      <c r="E39" s="8">
        <v>45981</v>
      </c>
      <c r="F39" s="9">
        <v>13003</v>
      </c>
      <c r="G39" s="8">
        <v>46046</v>
      </c>
      <c r="H39" s="2" t="s">
        <v>91</v>
      </c>
      <c r="I39" s="2" t="s">
        <v>92</v>
      </c>
      <c r="J39" s="9">
        <v>13003</v>
      </c>
      <c r="K39" s="9">
        <v>13003</v>
      </c>
      <c r="L39" s="9">
        <v>0</v>
      </c>
      <c r="M39" s="4">
        <v>65</v>
      </c>
      <c r="N39" s="2" t="s">
        <v>119</v>
      </c>
      <c r="O39" s="2" t="s">
        <v>111</v>
      </c>
    </row>
    <row r="40" spans="1:15">
      <c r="A40" s="5" t="s">
        <v>17</v>
      </c>
      <c r="B40" s="8">
        <v>45981</v>
      </c>
      <c r="C40" s="2" t="s">
        <v>120</v>
      </c>
      <c r="D40" s="16">
        <v>256779419571</v>
      </c>
      <c r="E40" s="8">
        <v>45981</v>
      </c>
      <c r="F40" s="9">
        <v>3637</v>
      </c>
      <c r="G40" s="8">
        <v>46046</v>
      </c>
      <c r="H40" s="2" t="s">
        <v>91</v>
      </c>
      <c r="I40" s="2" t="s">
        <v>92</v>
      </c>
      <c r="J40" s="9">
        <v>3637</v>
      </c>
      <c r="K40" s="9">
        <v>3637</v>
      </c>
      <c r="L40" s="9">
        <v>0</v>
      </c>
      <c r="M40" s="4">
        <v>65</v>
      </c>
      <c r="N40" s="2" t="s">
        <v>121</v>
      </c>
      <c r="O40" s="2" t="s">
        <v>122</v>
      </c>
    </row>
    <row r="41" spans="1:15">
      <c r="A41" s="5" t="s">
        <v>17</v>
      </c>
      <c r="B41" s="8">
        <v>45981</v>
      </c>
      <c r="C41" s="2" t="s">
        <v>123</v>
      </c>
      <c r="D41" s="16">
        <v>256779419609</v>
      </c>
      <c r="E41" s="8">
        <v>45981</v>
      </c>
      <c r="F41" s="9">
        <v>856</v>
      </c>
      <c r="G41" s="8">
        <v>46046</v>
      </c>
      <c r="H41" s="2" t="s">
        <v>91</v>
      </c>
      <c r="I41" s="2" t="s">
        <v>92</v>
      </c>
      <c r="J41" s="9">
        <v>856</v>
      </c>
      <c r="K41" s="9">
        <v>856</v>
      </c>
      <c r="L41" s="9">
        <v>0</v>
      </c>
      <c r="M41" s="4">
        <v>65</v>
      </c>
      <c r="N41" s="2" t="s">
        <v>124</v>
      </c>
      <c r="O41" s="2" t="s">
        <v>125</v>
      </c>
    </row>
    <row r="42" spans="1:15">
      <c r="A42" s="11" t="s">
        <v>55</v>
      </c>
      <c r="B42" s="10" t="s">
        <v>126</v>
      </c>
      <c r="C42" s="11" t="s">
        <v>55</v>
      </c>
      <c r="D42" s="11" t="s">
        <v>55</v>
      </c>
      <c r="E42" s="11" t="s">
        <v>55</v>
      </c>
      <c r="F42" s="12">
        <f>SUM(F4:F41)</f>
        <v>357042.56</v>
      </c>
      <c r="G42" s="11" t="s">
        <v>55</v>
      </c>
      <c r="H42" s="11" t="s">
        <v>55</v>
      </c>
      <c r="I42" s="11" t="s">
        <v>55</v>
      </c>
      <c r="J42" s="12">
        <f>SUM(J4:J41)</f>
        <v>357042.21</v>
      </c>
      <c r="K42" s="12">
        <f>SUM(K4:K41)</f>
        <v>357042.21</v>
      </c>
      <c r="L42" s="12">
        <f>SUM(L4:L41)</f>
        <v>0.35</v>
      </c>
      <c r="M42" s="13" t="s">
        <v>55</v>
      </c>
      <c r="N42" s="11" t="s">
        <v>55</v>
      </c>
      <c r="O42" s="11" t="s">
        <v>55</v>
      </c>
    </row>
    <row r="43" spans="1:15">
      <c r="A43" s="2"/>
      <c r="B43" s="2"/>
      <c r="C43" s="2"/>
      <c r="D43" s="2"/>
      <c r="E43" s="2"/>
      <c r="F43" s="3"/>
      <c r="G43" s="2"/>
      <c r="H43" s="2"/>
      <c r="I43" s="2"/>
      <c r="J43" s="3"/>
      <c r="K43" s="3"/>
      <c r="L43" s="3"/>
      <c r="M43" s="4"/>
      <c r="N43" s="2"/>
      <c r="O43" s="2"/>
    </row>
    <row r="44" spans="1:15">
      <c r="A44" s="1" t="s">
        <v>127</v>
      </c>
    </row>
    <row r="45" spans="1:15">
      <c r="A45" s="1" t="s">
        <v>128</v>
      </c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Neuroy Gonsalves</cp:lastModifiedBy>
  <dcterms:modified xsi:type="dcterms:W3CDTF">2026-03-16T12:03:15Z</dcterms:modified>
</cp:coreProperties>
</file>