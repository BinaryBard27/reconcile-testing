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2nd RECO\"/>
    </mc:Choice>
  </mc:AlternateContent>
  <xr:revisionPtr revIDLastSave="0" documentId="13_ncr:1_{7A202D56-5CAB-41F6-8CF7-F67BE7C1065D}" xr6:coauthVersionLast="47" xr6:coauthVersionMax="47" xr10:uidLastSave="{00000000-0000-0000-0000-000000000000}"/>
  <bookViews>
    <workbookView xWindow="-110" yWindow="-110" windowWidth="21820" windowHeight="14020" tabRatio="983" activeTab="4" xr2:uid="{8695A69E-6CAB-44CA-AF2C-D7C5EE546F1E}"/>
  </bookViews>
  <sheets>
    <sheet name="Summary" sheetId="8" r:id="rId1"/>
    <sheet name="Payment Reco" sheetId="4" r:id="rId2"/>
    <sheet name="Customer Ledger" sheetId="16" r:id="rId3"/>
    <sheet name="TDS To Be Booked" sheetId="17" r:id="rId4"/>
    <sheet name="Invoices Not In customer Books" sheetId="18" r:id="rId5"/>
    <sheet name="Ascendus Ledger" sheetId="15" r:id="rId6"/>
    <sheet name="Invoices not in customers old" sheetId="5" state="hidden" r:id="rId7"/>
    <sheet name="CN not in customers book" sheetId="6" state="hidden" r:id="rId8"/>
    <sheet name="Difference in Invoice old" sheetId="9" state="hidden" r:id="rId9"/>
    <sheet name="Sheet10" sheetId="10" state="hidden" r:id="rId10"/>
  </sheets>
  <externalReferences>
    <externalReference r:id="rId11"/>
    <externalReference r:id="rId12"/>
  </externalReferences>
  <definedNames>
    <definedName name="_xlnm._FilterDatabase" localSheetId="5" hidden="1">'Ascendus Ledger'!$A$1:$N$119</definedName>
    <definedName name="_xlnm._FilterDatabase" localSheetId="7" hidden="1">'CN not in customers book'!$A$2:$J$14</definedName>
    <definedName name="_xlnm._FilterDatabase" localSheetId="2" hidden="1">'Customer Ledger'!$A$1:$I$48</definedName>
    <definedName name="_xlnm._FilterDatabase" localSheetId="4" hidden="1">'Invoices Not In customer Books'!$A$1:$O$39</definedName>
    <definedName name="_xlnm._FilterDatabase" localSheetId="6" hidden="1">'Invoices not in customers old'!$A$2:$J$47</definedName>
    <definedName name="_xlnm._FilterDatabase" localSheetId="0" hidden="1">Summary!$A$1:$B$8</definedName>
    <definedName name="_xlnm._FilterDatabase" localSheetId="3" hidden="1">'TDS To Be Booked'!$A$1:$N$42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8" l="1" a="1"/>
  <c r="J3" i="18" s="1"/>
  <c r="J4" i="18" a="1"/>
  <c r="J4" i="18" s="1"/>
  <c r="J5" i="18" a="1"/>
  <c r="J5" i="18" s="1"/>
  <c r="J6" i="18" a="1"/>
  <c r="J6" i="18" s="1"/>
  <c r="J7" i="18" a="1"/>
  <c r="J7" i="18" s="1"/>
  <c r="J8" i="18" a="1"/>
  <c r="J8" i="18" s="1"/>
  <c r="J9" i="18" a="1"/>
  <c r="J9" i="18" s="1"/>
  <c r="J10" i="18" a="1"/>
  <c r="J10" i="18" s="1"/>
  <c r="J11" i="18" a="1"/>
  <c r="J11" i="18" s="1"/>
  <c r="J12" i="18" a="1"/>
  <c r="J12" i="18" s="1"/>
  <c r="J13" i="18" a="1"/>
  <c r="J13" i="18" s="1"/>
  <c r="J14" i="18" a="1"/>
  <c r="J14" i="18" s="1"/>
  <c r="J15" i="18" a="1"/>
  <c r="J15" i="18" s="1"/>
  <c r="J16" i="18" a="1"/>
  <c r="J16" i="18" s="1"/>
  <c r="J17" i="18" a="1"/>
  <c r="J17" i="18" s="1"/>
  <c r="J18" i="18" a="1"/>
  <c r="J18" i="18" s="1"/>
  <c r="J19" i="18" a="1"/>
  <c r="J19" i="18" s="1"/>
  <c r="J20" i="18" a="1"/>
  <c r="J20" i="18" s="1"/>
  <c r="J21" i="18" a="1"/>
  <c r="J21" i="18" s="1"/>
  <c r="J22" i="18" a="1"/>
  <c r="J22" i="18" s="1"/>
  <c r="J23" i="18" a="1"/>
  <c r="J23" i="18" s="1"/>
  <c r="J24" i="18" a="1"/>
  <c r="J24" i="18" s="1"/>
  <c r="J25" i="18" a="1"/>
  <c r="J25" i="18" s="1"/>
  <c r="J26" i="18" a="1"/>
  <c r="J26" i="18" s="1"/>
  <c r="J27" i="18" a="1"/>
  <c r="J27" i="18" s="1"/>
  <c r="J28" i="18" a="1"/>
  <c r="J28" i="18" s="1"/>
  <c r="J29" i="18" a="1"/>
  <c r="J29" i="18" s="1"/>
  <c r="J30" i="18" a="1"/>
  <c r="J30" i="18" s="1"/>
  <c r="J31" i="18" a="1"/>
  <c r="J31" i="18" s="1"/>
  <c r="J32" i="18" a="1"/>
  <c r="J32" i="18" s="1"/>
  <c r="J33" i="18" a="1"/>
  <c r="J33" i="18" s="1"/>
  <c r="J34" i="18" a="1"/>
  <c r="J34" i="18" s="1"/>
  <c r="J35" i="18" a="1"/>
  <c r="J35" i="18" s="1"/>
  <c r="J36" i="18" a="1"/>
  <c r="J36" i="18" s="1"/>
  <c r="J37" i="18" a="1"/>
  <c r="J37" i="18" s="1"/>
  <c r="J38" i="18" a="1"/>
  <c r="J38" i="18" s="1"/>
  <c r="J2" i="18" a="1"/>
  <c r="J2" i="18" s="1"/>
  <c r="I35" i="18"/>
  <c r="I9" i="18"/>
  <c r="I16" i="18"/>
  <c r="I10" i="18"/>
  <c r="I11" i="18"/>
  <c r="I17" i="18"/>
  <c r="I14" i="18"/>
  <c r="I13" i="18"/>
  <c r="I12" i="18"/>
  <c r="I26" i="18"/>
  <c r="I27" i="18"/>
  <c r="I23" i="18"/>
  <c r="I22" i="18"/>
  <c r="I18" i="18"/>
  <c r="I15" i="18"/>
  <c r="I28" i="18"/>
  <c r="I21" i="18"/>
  <c r="I8" i="18"/>
  <c r="I19" i="18"/>
  <c r="I25" i="18"/>
  <c r="I24" i="18"/>
  <c r="I29" i="18"/>
  <c r="I30" i="18"/>
  <c r="I31" i="18"/>
  <c r="I20" i="18"/>
  <c r="I32" i="18"/>
  <c r="I33" i="18"/>
  <c r="I34" i="18"/>
  <c r="L8" i="18" l="1"/>
  <c r="M8" i="18" s="1"/>
  <c r="N8" i="18" s="1"/>
  <c r="L29" i="18"/>
  <c r="M29" i="18" s="1"/>
  <c r="N29" i="18" s="1"/>
  <c r="L17" i="18"/>
  <c r="M17" i="18" s="1"/>
  <c r="N17" i="18" s="1"/>
  <c r="L28" i="18"/>
  <c r="M28" i="18" s="1"/>
  <c r="N28" i="18" s="1"/>
  <c r="L16" i="18"/>
  <c r="M16" i="18" s="1"/>
  <c r="N16" i="18" s="1"/>
  <c r="L30" i="18"/>
  <c r="M30" i="18" s="1"/>
  <c r="N30" i="18" s="1"/>
  <c r="L18" i="18"/>
  <c r="M18" i="18" s="1"/>
  <c r="N18" i="18" s="1"/>
  <c r="L26" i="18"/>
  <c r="M26" i="18" s="1"/>
  <c r="N26" i="18" s="1"/>
  <c r="L35" i="18"/>
  <c r="M35" i="18" s="1"/>
  <c r="N35" i="18" s="1"/>
  <c r="L23" i="18"/>
  <c r="M23" i="18" s="1"/>
  <c r="N23" i="18" s="1"/>
  <c r="L11" i="18"/>
  <c r="M11" i="18" s="1"/>
  <c r="N11" i="18" s="1"/>
  <c r="L27" i="18"/>
  <c r="M27" i="18" s="1"/>
  <c r="N27" i="18" s="1"/>
  <c r="L15" i="18"/>
  <c r="M15" i="18" s="1"/>
  <c r="N15" i="18" s="1"/>
  <c r="L14" i="18"/>
  <c r="M14" i="18" s="1"/>
  <c r="N14" i="18" s="1"/>
  <c r="L25" i="18"/>
  <c r="M25" i="18" s="1"/>
  <c r="N25" i="18" s="1"/>
  <c r="L24" i="18"/>
  <c r="M24" i="18" s="1"/>
  <c r="N24" i="18" s="1"/>
  <c r="L12" i="18"/>
  <c r="M12" i="18" s="1"/>
  <c r="N12" i="18" s="1"/>
  <c r="L34" i="18"/>
  <c r="M34" i="18" s="1"/>
  <c r="N34" i="18" s="1"/>
  <c r="L22" i="18"/>
  <c r="M22" i="18" s="1"/>
  <c r="N22" i="18" s="1"/>
  <c r="L10" i="18"/>
  <c r="M10" i="18" s="1"/>
  <c r="N10" i="18" s="1"/>
  <c r="L13" i="18"/>
  <c r="M13" i="18" s="1"/>
  <c r="N13" i="18" s="1"/>
  <c r="L33" i="18"/>
  <c r="M33" i="18" s="1"/>
  <c r="N33" i="18" s="1"/>
  <c r="L21" i="18"/>
  <c r="M21" i="18" s="1"/>
  <c r="N21" i="18" s="1"/>
  <c r="L9" i="18"/>
  <c r="M9" i="18" s="1"/>
  <c r="N9" i="18" s="1"/>
  <c r="L32" i="18"/>
  <c r="M32" i="18" s="1"/>
  <c r="N32" i="18" s="1"/>
  <c r="L20" i="18"/>
  <c r="M20" i="18" s="1"/>
  <c r="N20" i="18" s="1"/>
  <c r="L31" i="18"/>
  <c r="M31" i="18" s="1"/>
  <c r="N31" i="18" s="1"/>
  <c r="L19" i="18"/>
  <c r="M19" i="18" s="1"/>
  <c r="N19" i="18" s="1"/>
  <c r="I6" i="18"/>
  <c r="I7" i="18"/>
  <c r="I37" i="18"/>
  <c r="I36" i="18"/>
  <c r="I5" i="18"/>
  <c r="I4" i="18"/>
  <c r="I3" i="18"/>
  <c r="I2" i="18"/>
  <c r="I38" i="18"/>
  <c r="N6" i="4"/>
  <c r="B6" i="8"/>
  <c r="B4" i="8"/>
  <c r="N4" i="4"/>
  <c r="M4" i="4"/>
  <c r="K43" i="17"/>
  <c r="F39" i="18"/>
  <c r="B5" i="8" s="1"/>
  <c r="P43" i="17"/>
  <c r="O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O7" i="17"/>
  <c r="O6" i="17"/>
  <c r="O5" i="17"/>
  <c r="O4" i="17"/>
  <c r="O3" i="17"/>
  <c r="O2" i="17"/>
  <c r="H118" i="15" a="1"/>
  <c r="H118" i="15" s="1"/>
  <c r="H117" i="15" a="1"/>
  <c r="H117" i="15" s="1"/>
  <c r="H116" i="15" a="1"/>
  <c r="H116" i="15" s="1"/>
  <c r="H115" i="15" a="1"/>
  <c r="H115" i="15" s="1"/>
  <c r="H114" i="15" a="1"/>
  <c r="H114" i="15" s="1"/>
  <c r="H113" i="15" a="1"/>
  <c r="H113" i="15" s="1"/>
  <c r="H112" i="15" a="1"/>
  <c r="H112" i="15" s="1"/>
  <c r="H111" i="15" a="1"/>
  <c r="H111" i="15" s="1"/>
  <c r="H110" i="15" a="1"/>
  <c r="H110" i="15" s="1"/>
  <c r="H109" i="15" a="1"/>
  <c r="H109" i="15" s="1"/>
  <c r="H108" i="15" a="1"/>
  <c r="H108" i="15" s="1"/>
  <c r="H107" i="15" a="1"/>
  <c r="H107" i="15" s="1"/>
  <c r="H106" i="15" a="1"/>
  <c r="H106" i="15" s="1"/>
  <c r="H105" i="15" a="1"/>
  <c r="H105" i="15" s="1"/>
  <c r="H104" i="15" a="1"/>
  <c r="H104" i="15" s="1"/>
  <c r="H103" i="15" a="1"/>
  <c r="H103" i="15" s="1"/>
  <c r="H102" i="15" a="1"/>
  <c r="H102" i="15" s="1"/>
  <c r="H101" i="15" a="1"/>
  <c r="H101" i="15" s="1"/>
  <c r="H100" i="15" a="1"/>
  <c r="H100" i="15" s="1"/>
  <c r="H99" i="15" a="1"/>
  <c r="H99" i="15" s="1"/>
  <c r="H98" i="15" a="1"/>
  <c r="H98" i="15" s="1"/>
  <c r="H97" i="15" a="1"/>
  <c r="H97" i="15" s="1"/>
  <c r="H96" i="15" a="1"/>
  <c r="H96" i="15" s="1"/>
  <c r="H95" i="15" a="1"/>
  <c r="H95" i="15" s="1"/>
  <c r="H94" i="15" a="1"/>
  <c r="H94" i="15" s="1"/>
  <c r="H93" i="15" a="1"/>
  <c r="H93" i="15" s="1"/>
  <c r="H92" i="15" a="1"/>
  <c r="H92" i="15" s="1"/>
  <c r="H91" i="15" a="1"/>
  <c r="H91" i="15" s="1"/>
  <c r="H90" i="15" a="1"/>
  <c r="H90" i="15" s="1"/>
  <c r="H89" i="15" a="1"/>
  <c r="H89" i="15" s="1"/>
  <c r="H88" i="15" a="1"/>
  <c r="H88" i="15" s="1"/>
  <c r="H87" i="15" a="1"/>
  <c r="H87" i="15" s="1"/>
  <c r="H86" i="15" a="1"/>
  <c r="H86" i="15" s="1"/>
  <c r="H85" i="15" a="1"/>
  <c r="H85" i="15" s="1"/>
  <c r="H84" i="15" a="1"/>
  <c r="H84" i="15" s="1"/>
  <c r="H83" i="15" a="1"/>
  <c r="H83" i="15" s="1"/>
  <c r="H82" i="15" a="1"/>
  <c r="H82" i="15" s="1"/>
  <c r="H81" i="15" a="1"/>
  <c r="H81" i="15" s="1"/>
  <c r="H80" i="15" a="1"/>
  <c r="H80" i="15" s="1"/>
  <c r="H79" i="15" a="1"/>
  <c r="H79" i="15" s="1"/>
  <c r="H78" i="15" a="1"/>
  <c r="H78" i="15" s="1"/>
  <c r="H77" i="15" a="1"/>
  <c r="H77" i="15" s="1"/>
  <c r="H76" i="15" a="1"/>
  <c r="H76" i="15" s="1"/>
  <c r="H75" i="15" a="1"/>
  <c r="H75" i="15" s="1"/>
  <c r="H74" i="15" a="1"/>
  <c r="H74" i="15" s="1"/>
  <c r="H73" i="15" a="1"/>
  <c r="H73" i="15" s="1"/>
  <c r="H72" i="15" a="1"/>
  <c r="H72" i="15" s="1"/>
  <c r="H71" i="15" a="1"/>
  <c r="H71" i="15" s="1"/>
  <c r="H70" i="15" a="1"/>
  <c r="H70" i="15" s="1"/>
  <c r="H69" i="15" a="1"/>
  <c r="H69" i="15" s="1"/>
  <c r="H68" i="15" a="1"/>
  <c r="H68" i="15" s="1"/>
  <c r="H67" i="15" a="1"/>
  <c r="H67" i="15" s="1"/>
  <c r="H66" i="15" a="1"/>
  <c r="H66" i="15" s="1"/>
  <c r="H65" i="15" a="1"/>
  <c r="H65" i="15" s="1"/>
  <c r="H64" i="15" a="1"/>
  <c r="H64" i="15" s="1"/>
  <c r="H63" i="15" a="1"/>
  <c r="H63" i="15" s="1"/>
  <c r="H62" i="15" a="1"/>
  <c r="H62" i="15" s="1"/>
  <c r="H61" i="15" a="1"/>
  <c r="H61" i="15" s="1"/>
  <c r="H60" i="15" a="1"/>
  <c r="H60" i="15" s="1"/>
  <c r="H59" i="15" a="1"/>
  <c r="H59" i="15" s="1"/>
  <c r="H58" i="15" a="1"/>
  <c r="H58" i="15" s="1"/>
  <c r="H57" i="15" a="1"/>
  <c r="H57" i="15" s="1"/>
  <c r="H56" i="15" a="1"/>
  <c r="H56" i="15" s="1"/>
  <c r="H55" i="15" a="1"/>
  <c r="H55" i="15" s="1"/>
  <c r="H54" i="15" a="1"/>
  <c r="H54" i="15" s="1"/>
  <c r="H53" i="15" a="1"/>
  <c r="H53" i="15" s="1"/>
  <c r="H52" i="15" a="1"/>
  <c r="H52" i="15" s="1"/>
  <c r="H51" i="15" a="1"/>
  <c r="H51" i="15" s="1"/>
  <c r="H50" i="15" a="1"/>
  <c r="H50" i="15" s="1"/>
  <c r="H49" i="15" a="1"/>
  <c r="H49" i="15" s="1"/>
  <c r="H48" i="15" a="1"/>
  <c r="H48" i="15" s="1"/>
  <c r="H47" i="15" a="1"/>
  <c r="H47" i="15" s="1"/>
  <c r="H46" i="15" a="1"/>
  <c r="H46" i="15" s="1"/>
  <c r="H45" i="15" a="1"/>
  <c r="H45" i="15" s="1"/>
  <c r="H44" i="15" a="1"/>
  <c r="H44" i="15" s="1"/>
  <c r="H43" i="15" a="1"/>
  <c r="H43" i="15" s="1"/>
  <c r="H42" i="15" a="1"/>
  <c r="H42" i="15" s="1"/>
  <c r="H41" i="15" a="1"/>
  <c r="H41" i="15" s="1"/>
  <c r="H40" i="15" a="1"/>
  <c r="H40" i="15" s="1"/>
  <c r="H39" i="15" a="1"/>
  <c r="H39" i="15" s="1"/>
  <c r="H38" i="15" a="1"/>
  <c r="H38" i="15" s="1"/>
  <c r="H37" i="15" a="1"/>
  <c r="H37" i="15" s="1"/>
  <c r="H36" i="15" a="1"/>
  <c r="H36" i="15" s="1"/>
  <c r="H35" i="15" a="1"/>
  <c r="H35" i="15" s="1"/>
  <c r="H34" i="15" a="1"/>
  <c r="H34" i="15" s="1"/>
  <c r="H33" i="15" a="1"/>
  <c r="H33" i="15" s="1"/>
  <c r="H32" i="15" a="1"/>
  <c r="H32" i="15" s="1"/>
  <c r="H31" i="15" a="1"/>
  <c r="H31" i="15" s="1"/>
  <c r="H30" i="15" a="1"/>
  <c r="H30" i="15" s="1"/>
  <c r="H29" i="15" a="1"/>
  <c r="H29" i="15" s="1"/>
  <c r="H28" i="15" a="1"/>
  <c r="H28" i="15" s="1"/>
  <c r="H27" i="15" a="1"/>
  <c r="H27" i="15" s="1"/>
  <c r="H26" i="15" a="1"/>
  <c r="H26" i="15" s="1"/>
  <c r="H25" i="15" a="1"/>
  <c r="H25" i="15" s="1"/>
  <c r="H24" i="15" a="1"/>
  <c r="H24" i="15" s="1"/>
  <c r="H23" i="15" a="1"/>
  <c r="H23" i="15" s="1"/>
  <c r="H22" i="15" a="1"/>
  <c r="H22" i="15" s="1"/>
  <c r="H21" i="15" a="1"/>
  <c r="H21" i="15" s="1"/>
  <c r="H20" i="15" a="1"/>
  <c r="H20" i="15" s="1"/>
  <c r="H19" i="15" a="1"/>
  <c r="H19" i="15" s="1"/>
  <c r="H18" i="15" a="1"/>
  <c r="H18" i="15" s="1"/>
  <c r="H17" i="15" a="1"/>
  <c r="H17" i="15" s="1"/>
  <c r="H16" i="15" a="1"/>
  <c r="H16" i="15" s="1"/>
  <c r="H15" i="15" a="1"/>
  <c r="H15" i="15" s="1"/>
  <c r="H14" i="15" a="1"/>
  <c r="H14" i="15" s="1"/>
  <c r="H13" i="15" a="1"/>
  <c r="H13" i="15" s="1"/>
  <c r="H12" i="15" a="1"/>
  <c r="H12" i="15" s="1"/>
  <c r="H11" i="15" a="1"/>
  <c r="H11" i="15" s="1"/>
  <c r="H10" i="15" a="1"/>
  <c r="H10" i="15" s="1"/>
  <c r="H9" i="15" a="1"/>
  <c r="H9" i="15" s="1"/>
  <c r="H8" i="15" a="1"/>
  <c r="H8" i="15" s="1"/>
  <c r="H7" i="15" a="1"/>
  <c r="H7" i="15" s="1"/>
  <c r="H6" i="15" a="1"/>
  <c r="H6" i="15" s="1"/>
  <c r="H5" i="15" a="1"/>
  <c r="H5" i="15" s="1"/>
  <c r="H4" i="15" a="1"/>
  <c r="H4" i="15" s="1"/>
  <c r="H3" i="15" a="1"/>
  <c r="H3" i="15" s="1"/>
  <c r="H2" i="15" a="1"/>
  <c r="H2" i="15" s="1"/>
  <c r="F119" i="15"/>
  <c r="B8" i="8" s="1"/>
  <c r="J23" i="15" l="1"/>
  <c r="K23" i="15" s="1"/>
  <c r="L23" i="15" s="1"/>
  <c r="J46" i="15"/>
  <c r="K46" i="15" s="1"/>
  <c r="L46" i="15" s="1"/>
  <c r="J47" i="15"/>
  <c r="K47" i="15" s="1"/>
  <c r="L47" i="15" s="1"/>
  <c r="J24" i="15"/>
  <c r="K24" i="15" s="1"/>
  <c r="L24" i="15" s="1"/>
  <c r="J48" i="15"/>
  <c r="K48" i="15" s="1"/>
  <c r="L48" i="15" s="1"/>
  <c r="J51" i="15"/>
  <c r="K51" i="15" s="1"/>
  <c r="L51" i="15" s="1"/>
  <c r="J52" i="15"/>
  <c r="K52" i="15" s="1"/>
  <c r="L52" i="15" s="1"/>
  <c r="J80" i="15"/>
  <c r="K80" i="15" s="1"/>
  <c r="L80" i="15" s="1"/>
  <c r="J81" i="15"/>
  <c r="K81" i="15" s="1"/>
  <c r="L81" i="15" s="1"/>
  <c r="J82" i="15"/>
  <c r="K82" i="15" s="1"/>
  <c r="L82" i="15" s="1"/>
  <c r="J83" i="15"/>
  <c r="K83" i="15" s="1"/>
  <c r="L83" i="15" s="1"/>
  <c r="J22" i="15"/>
  <c r="K22" i="15" s="1"/>
  <c r="L22" i="15" s="1"/>
  <c r="J84" i="15"/>
  <c r="K84" i="15" s="1"/>
  <c r="L84" i="15" s="1"/>
  <c r="J18" i="15"/>
  <c r="K18" i="15" s="1"/>
  <c r="L18" i="15" s="1"/>
  <c r="J25" i="15"/>
  <c r="K25" i="15" s="1"/>
  <c r="L25" i="15" s="1"/>
  <c r="J26" i="15"/>
  <c r="K26" i="15" s="1"/>
  <c r="L26" i="15" s="1"/>
  <c r="J63" i="15"/>
  <c r="K63" i="15" s="1"/>
  <c r="L63" i="15" s="1"/>
  <c r="J88" i="15"/>
  <c r="K88" i="15" s="1"/>
  <c r="L88" i="15" s="1"/>
  <c r="J11" i="15"/>
  <c r="K11" i="15" s="1"/>
  <c r="L11" i="15" s="1"/>
  <c r="J30" i="15"/>
  <c r="K30" i="15" s="1"/>
  <c r="L30" i="15" s="1"/>
  <c r="J70" i="15"/>
  <c r="K70" i="15" s="1"/>
  <c r="L70" i="15" s="1"/>
  <c r="J93" i="15"/>
  <c r="K93" i="15" s="1"/>
  <c r="L93" i="15" s="1"/>
  <c r="J12" i="15"/>
  <c r="K12" i="15" s="1"/>
  <c r="L12" i="15" s="1"/>
  <c r="J31" i="15"/>
  <c r="K31" i="15" s="1"/>
  <c r="L31" i="15" s="1"/>
  <c r="J72" i="15"/>
  <c r="K72" i="15" s="1"/>
  <c r="L72" i="15" s="1"/>
  <c r="J96" i="15"/>
  <c r="K96" i="15" s="1"/>
  <c r="L96" i="15" s="1"/>
  <c r="J13" i="15"/>
  <c r="K13" i="15" s="1"/>
  <c r="L13" i="15" s="1"/>
  <c r="J32" i="15"/>
  <c r="K32" i="15" s="1"/>
  <c r="L32" i="15" s="1"/>
  <c r="J73" i="15"/>
  <c r="K73" i="15" s="1"/>
  <c r="L73" i="15" s="1"/>
  <c r="J97" i="15"/>
  <c r="K97" i="15" s="1"/>
  <c r="L97" i="15" s="1"/>
  <c r="J14" i="15"/>
  <c r="K14" i="15" s="1"/>
  <c r="L14" i="15" s="1"/>
  <c r="J33" i="15"/>
  <c r="K33" i="15" s="1"/>
  <c r="L33" i="15" s="1"/>
  <c r="J75" i="15"/>
  <c r="K75" i="15" s="1"/>
  <c r="L75" i="15" s="1"/>
  <c r="J104" i="15"/>
  <c r="K104" i="15" s="1"/>
  <c r="L104" i="15" s="1"/>
  <c r="J15" i="15"/>
  <c r="K15" i="15" s="1"/>
  <c r="L15" i="15" s="1"/>
  <c r="J40" i="15"/>
  <c r="K40" i="15" s="1"/>
  <c r="L40" i="15" s="1"/>
  <c r="J76" i="15"/>
  <c r="K76" i="15" s="1"/>
  <c r="L76" i="15" s="1"/>
  <c r="J110" i="15"/>
  <c r="K110" i="15" s="1"/>
  <c r="L110" i="15" s="1"/>
  <c r="J16" i="15"/>
  <c r="K16" i="15" s="1"/>
  <c r="L16" i="15" s="1"/>
  <c r="J41" i="15"/>
  <c r="K41" i="15" s="1"/>
  <c r="L41" i="15" s="1"/>
  <c r="J78" i="15"/>
  <c r="K78" i="15" s="1"/>
  <c r="L78" i="15" s="1"/>
  <c r="C48" i="16" l="1"/>
  <c r="B48" i="16"/>
  <c r="D48" i="16" s="1"/>
  <c r="B3" i="8" s="1"/>
  <c r="I1" i="5"/>
  <c r="H1" i="5"/>
  <c r="G15" i="6"/>
  <c r="M4" i="9"/>
  <c r="M3" i="9"/>
  <c r="M2" i="9"/>
  <c r="L3" i="9"/>
  <c r="E18" i="10"/>
  <c r="L16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D18" i="10"/>
  <c r="C18" i="10"/>
  <c r="K16" i="10"/>
  <c r="I16" i="10"/>
  <c r="H16" i="10"/>
  <c r="G1" i="5"/>
  <c r="I4" i="4"/>
  <c r="K6" i="4" l="1"/>
  <c r="H5" i="4"/>
  <c r="I5" i="4" s="1"/>
  <c r="M5" i="4" s="1"/>
  <c r="H3" i="4"/>
  <c r="I3" i="4" s="1"/>
  <c r="M3" i="4" s="1"/>
  <c r="I6" i="4" l="1"/>
  <c r="M6" i="4"/>
  <c r="B7" i="8" s="1"/>
  <c r="B1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<sst xmlns="http://schemas.openxmlformats.org/spreadsheetml/2006/main" count="1484" uniqueCount="325">
  <si>
    <t>Posting Date</t>
  </si>
  <si>
    <t>Debit (USD)</t>
  </si>
  <si>
    <t>Credit (USD)</t>
  </si>
  <si>
    <t>Balance (USD)</t>
  </si>
  <si>
    <t>Voucher Type</t>
  </si>
  <si>
    <t>Voucher Subtype</t>
  </si>
  <si>
    <t>Voucher No</t>
  </si>
  <si>
    <t>Against Account</t>
  </si>
  <si>
    <t>Against Voucher</t>
  </si>
  <si>
    <t>Supplier Invoice No</t>
  </si>
  <si>
    <t>Purchase Invoice</t>
  </si>
  <si>
    <t>PU/26/SCP/OT/0351</t>
  </si>
  <si>
    <t>Rent - Warehouse - SCPL</t>
  </si>
  <si>
    <t>PU/26/SCP/OT/0396</t>
  </si>
  <si>
    <t>PU/26/SCP/OT/0397</t>
  </si>
  <si>
    <t>PU/26/SCP/OT/0398</t>
  </si>
  <si>
    <t>PU/26/SCP/OT/0399</t>
  </si>
  <si>
    <t>PU/26/SCP/OT/0400</t>
  </si>
  <si>
    <t>PU/26/SCP/OT/0401</t>
  </si>
  <si>
    <t>2025-10-24</t>
  </si>
  <si>
    <t>Payment Entry</t>
  </si>
  <si>
    <t>Pay</t>
  </si>
  <si>
    <t>BP/26/SCP/0466</t>
  </si>
  <si>
    <t>201003540849 - Indusind Bank Limited - SCPL</t>
  </si>
  <si>
    <t>PU/26/SCP/OT/0590</t>
  </si>
  <si>
    <t>PU/26/SCP/OT/0592</t>
  </si>
  <si>
    <t>Weighment Expense - SCPL</t>
  </si>
  <si>
    <t>PU/26/SCP/OT/0591-1</t>
  </si>
  <si>
    <t>Re-Bagging Charges - SCPL</t>
  </si>
  <si>
    <t>PU/26/SCP/OT/0589-2</t>
  </si>
  <si>
    <t>PU/26/SCP/OT/0593</t>
  </si>
  <si>
    <t>PU/26/SCP/OT/0595</t>
  </si>
  <si>
    <t>PU/26/SCP/OT/0596</t>
  </si>
  <si>
    <t>PU/26/SCP/OT/0597</t>
  </si>
  <si>
    <t>Handling Expense - Pallet - SCPL</t>
  </si>
  <si>
    <t>PU/26/SCP/OT/0598</t>
  </si>
  <si>
    <t>PU/26/SCP/OT/0599</t>
  </si>
  <si>
    <t>PU/26/SCP/OT/0600</t>
  </si>
  <si>
    <t>PU/26/SCP/OT/0601</t>
  </si>
  <si>
    <t>Handling Expense - Pallet - SCPL,Gate in &amp; Gate Out Expense - SCPL</t>
  </si>
  <si>
    <t>PU/26/SCP/OT/0602</t>
  </si>
  <si>
    <t>PU/26/SCP/OT/0603</t>
  </si>
  <si>
    <t>PU/26/SCP/OT/0604</t>
  </si>
  <si>
    <t>PU/26/SCP/OT/0605</t>
  </si>
  <si>
    <t>PU/26/SCP/OT/0607</t>
  </si>
  <si>
    <t>PU/26/SCP/OT/0608</t>
  </si>
  <si>
    <t>PU/26/SCP/OT/0606</t>
  </si>
  <si>
    <t>PU/26/SCP/OT/0609</t>
  </si>
  <si>
    <t>PU/26/SCP/OT/0610</t>
  </si>
  <si>
    <t>Intra SEZ Trf Expenses - SCPL</t>
  </si>
  <si>
    <t>PU/26/SCP/OT/0614</t>
  </si>
  <si>
    <t>Gate in &amp; Gate Out Expense - SCPL,Handling Expense - Pallet - SCPL</t>
  </si>
  <si>
    <t>PU/26/SCP/OT/0614, PU/26/SCP/OT/0614</t>
  </si>
  <si>
    <t>PU/26/SCP/OT/0626</t>
  </si>
  <si>
    <t>PU/26/SCP/OT/0626, PU/26/SCP/OT/0626</t>
  </si>
  <si>
    <t>PU/26/SCP/OT/0625-2</t>
  </si>
  <si>
    <t>PU/26/SCP/OT/0625-2, PU/26/SCP/OT/0625-2</t>
  </si>
  <si>
    <t>PU/26/SCP/OT/0627</t>
  </si>
  <si>
    <t>PU/26/SCP/OT/0627, PU/26/SCP/OT/0627</t>
  </si>
  <si>
    <t>PU/26/SCP/OT/0628</t>
  </si>
  <si>
    <t>PU/26/SCP/OT/0628, PU/26/SCP/OT/0628</t>
  </si>
  <si>
    <t>2026-01-14</t>
  </si>
  <si>
    <t>BP/26/SCP/0638</t>
  </si>
  <si>
    <t>PU/26/SCP/OT/0663</t>
  </si>
  <si>
    <t>PU/26/SCP/OT/0663, PU/26/SCP/OT/0663</t>
  </si>
  <si>
    <t>PU/26/SCP/OT/0712</t>
  </si>
  <si>
    <t>PU/26/SCP/OT/0712, PU/26/SCP/OT/0712</t>
  </si>
  <si>
    <t>PU/25/SCP/OT/0867</t>
  </si>
  <si>
    <t>PU/25/SCP/OT/0868</t>
  </si>
  <si>
    <t>PU/25/SCP/OT/0869</t>
  </si>
  <si>
    <t>PU/25/SCP/OT/0870</t>
  </si>
  <si>
    <t>PU/25/SCP/OT/0872</t>
  </si>
  <si>
    <t>PU/25/SCP/OT/0871-1</t>
  </si>
  <si>
    <t>2025-03-26</t>
  </si>
  <si>
    <t>BP/25/SCP/0820</t>
  </si>
  <si>
    <t>650014134028 - IndusInd Bank Limited - SCPL</t>
  </si>
  <si>
    <t>PU/25/SCP/OT/0867, PU/25/SCP/OT/0868, PU/25/SCP/OT/0869, PU/25/SCP/OT/0870, PU/25/SCP/OT/0871-1, PU/25/SCP/OT/0872</t>
  </si>
  <si>
    <t>Exchange Rate Revaluation</t>
  </si>
  <si>
    <t>SJ/25/GEA/1247</t>
  </si>
  <si>
    <t>Rhenocoll-Werk EK EURO, Welfull Group Co., Ltd., H2 Minerals And More GmbH - EUR, Limited Liability Company VOSTOK - RUB, Exchange Gain/Loss - SCPL, Kaustik Europe B. V., Thomas Brunner Hygiene GmbH - EURO, Ascendas Panvel FTWZ Private Limited, Rhenocoll-Werk Ek EUR, Indulor AG, Zhejiang Luba Traffic Technology Co Ltd</t>
  </si>
  <si>
    <t>ACC-ERR-2025-00004, ACC-ERR-2025-00004</t>
  </si>
  <si>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</si>
  <si>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</si>
  <si>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</si>
  <si>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</si>
  <si>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</si>
  <si>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</si>
  <si>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</si>
  <si>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</si>
  <si>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</si>
  <si>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/>
  </si>
  <si>
    <t>INR</t>
  </si>
  <si>
    <t>DY</t>
  </si>
  <si>
    <t>DZ</t>
  </si>
  <si>
    <t>1400001561</t>
  </si>
  <si>
    <t>1400000004</t>
  </si>
  <si>
    <t>INDBN52025032607043264</t>
  </si>
  <si>
    <t>KNOCK OFF ENTRY</t>
  </si>
  <si>
    <t>USD</t>
  </si>
  <si>
    <t>1800000001</t>
  </si>
  <si>
    <t>DR</t>
  </si>
  <si>
    <t>NA</t>
  </si>
  <si>
    <t>Towards Fixed charges for the month of August2024</t>
  </si>
  <si>
    <t>1800014973</t>
  </si>
  <si>
    <t>Weighment-Nov 1-15, 2025</t>
  </si>
  <si>
    <t>1800000003</t>
  </si>
  <si>
    <t>1800000002</t>
  </si>
  <si>
    <t>Fixed Storage Charges for August 2025</t>
  </si>
  <si>
    <t>DG</t>
  </si>
  <si>
    <t>Credit Note Against Inv. 1800000001</t>
  </si>
  <si>
    <t>1600000000</t>
  </si>
  <si>
    <t>Credit Against Invoice #1800000002</t>
  </si>
  <si>
    <t>Fixed Storage Charges fo JUNE 2025</t>
  </si>
  <si>
    <t>VAS -1-15 Sept-25</t>
  </si>
  <si>
    <t>Weighment -1-15 Sept-25</t>
  </si>
  <si>
    <t>Fixed Storage Charges for September 2025</t>
  </si>
  <si>
    <t>CODC LCL Chgs - 01 - 15 Jun 25</t>
  </si>
  <si>
    <t>Fixed Storage Charges fo JULY 2025</t>
  </si>
  <si>
    <t>1800010437</t>
  </si>
  <si>
    <t>Unit Storage - 1-30 June 25</t>
  </si>
  <si>
    <t>1800010502</t>
  </si>
  <si>
    <t>VAS - 16-30 June 25</t>
  </si>
  <si>
    <t>Fixed Storage Charges for November 2025</t>
  </si>
  <si>
    <t>VAS-16 -31 Oct 25</t>
  </si>
  <si>
    <t>1800014289</t>
  </si>
  <si>
    <t>WEIGHTMENT-16 -31 Oct 25</t>
  </si>
  <si>
    <t>1800014554</t>
  </si>
  <si>
    <t>Unit Storage - 1-31 Oct 2025</t>
  </si>
  <si>
    <t>CODC Inbound chgs - 16-31 Oct 25</t>
  </si>
  <si>
    <t>CODC Out chgs -16-31 Oct 25</t>
  </si>
  <si>
    <t>1800014728</t>
  </si>
  <si>
    <t>2123630</t>
  </si>
  <si>
    <t>PORT SSR Chgs Oct 25</t>
  </si>
  <si>
    <t>1800011657</t>
  </si>
  <si>
    <t>Unit Storage - 1-31 July 25</t>
  </si>
  <si>
    <t>1600000716</t>
  </si>
  <si>
    <t>Credit note against 256779410292</t>
  </si>
  <si>
    <t>1600000803</t>
  </si>
  <si>
    <t>Credit note against 256779410251</t>
  </si>
  <si>
    <t>1800009134</t>
  </si>
  <si>
    <t>Storage Chgs - 01 - 31 Apr 25</t>
  </si>
  <si>
    <t>CODC GATE Out chgs - 01 - 15 July 25</t>
  </si>
  <si>
    <t>Fixed Rental charges for Oct 2024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</si>
  <si>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</si>
  <si>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</si>
  <si>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</si>
  <si>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</si>
  <si>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</si>
  <si>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1800000028</t>
  </si>
  <si>
    <t>Fixed Rental charges for Aug 2024</t>
  </si>
  <si>
    <t>VAS -1-15 May 25, Ex.rate 85.43</t>
  </si>
  <si>
    <t>Weighment &amp; Misc, 1-15 May 25</t>
  </si>
  <si>
    <t>1600002033</t>
  </si>
  <si>
    <t>Credit note raised against 256779415776</t>
  </si>
  <si>
    <t>1800005359</t>
  </si>
  <si>
    <t>1800005400</t>
  </si>
  <si>
    <t>Fixed Storage Charges for April 2025</t>
  </si>
  <si>
    <t>1600001873</t>
  </si>
  <si>
    <t>Credit note raised against 256779414425</t>
  </si>
  <si>
    <t>1600001907</t>
  </si>
  <si>
    <t>Credit note raised against 256779414460</t>
  </si>
  <si>
    <t>1600001924</t>
  </si>
  <si>
    <t>Credit note raised against 256779414477</t>
  </si>
  <si>
    <t>1800011070</t>
  </si>
  <si>
    <t>Debit Note against 246779420001</t>
  </si>
  <si>
    <t>1800011071</t>
  </si>
  <si>
    <t>Debit Note against 246779420002</t>
  </si>
  <si>
    <t>1600001851</t>
  </si>
  <si>
    <t>Credit note raised against 256779414403</t>
  </si>
  <si>
    <t>OutKPI-CODC-1-15-MAY-25-1478252</t>
  </si>
  <si>
    <t>OutKPI-CODC-1-15-MAY-25-1608594</t>
  </si>
  <si>
    <t>CODC Out chgs - 01 - 15 Jun 25</t>
  </si>
  <si>
    <t>1800009661</t>
  </si>
  <si>
    <t>1800009696</t>
  </si>
  <si>
    <t>1800009713</t>
  </si>
  <si>
    <t>1800009639</t>
  </si>
  <si>
    <t>Towards Fixed charges for the month of Aug 2024</t>
  </si>
  <si>
    <t>1800013944</t>
  </si>
  <si>
    <t>VAS  -1-15 Oct 2025</t>
  </si>
  <si>
    <t>Weighment  -1-15 Oct 2025</t>
  </si>
  <si>
    <t>1800013961</t>
  </si>
  <si>
    <t>1800013966</t>
  </si>
  <si>
    <t>Fixed Storage Charges for Mar 2025</t>
  </si>
  <si>
    <t>VAS 1-15 June 25, Exch 86.10</t>
  </si>
  <si>
    <t>1800014962</t>
  </si>
  <si>
    <t>VAS-Nov 1-15, 2025</t>
  </si>
  <si>
    <t>1800015032</t>
  </si>
  <si>
    <t>CODC Inbound chgs - 1-15 Nov 25</t>
  </si>
  <si>
    <t>1800015095</t>
  </si>
  <si>
    <t>CODC Out chgs -1-15 Nov 25</t>
  </si>
  <si>
    <t>1800012870</t>
  </si>
  <si>
    <t>CY Ground rent Chgs - 01 - 15 Sep 25</t>
  </si>
  <si>
    <t>CODC LCL Chgs -1-15 Sep 25</t>
  </si>
  <si>
    <t>CODC Out chgs -1-15 Sep 25</t>
  </si>
  <si>
    <t>1600001070</t>
  </si>
  <si>
    <t>Credit Note against 246779410002</t>
  </si>
  <si>
    <t>1600001069</t>
  </si>
  <si>
    <t>Credit Note against 246779410073</t>
  </si>
  <si>
    <t>1800009181</t>
  </si>
  <si>
    <t>1800009191</t>
  </si>
  <si>
    <t>Towards Fixed charges for the month of A</t>
  </si>
  <si>
    <t>Intra - SEZ-16-30 Sept 25</t>
  </si>
  <si>
    <t>VAS-16-30 Sept 25</t>
  </si>
  <si>
    <t>Weighment-16-30 Sept 25</t>
  </si>
  <si>
    <t>CODC LCL Chgs -16-30 Sep 25</t>
  </si>
  <si>
    <t>CODC Out chgs -16-30 Sep 25</t>
  </si>
  <si>
    <t>1800011010</t>
  </si>
  <si>
    <t>VAS - 1-15 July 25</t>
  </si>
  <si>
    <t>1800011016</t>
  </si>
  <si>
    <t>Weighment - 1-15 July 25</t>
  </si>
  <si>
    <t>Fixed Storage Charges fo MAY 2025</t>
  </si>
  <si>
    <t>CODC Inbound chgs - 16 - 30 Apr 25</t>
  </si>
  <si>
    <t>CODC Out chgs - 16 - 30 Apr 25</t>
  </si>
  <si>
    <t>VAS - 16-30 April 25, Ex.Rate-85.05</t>
  </si>
  <si>
    <t>1800008368</t>
  </si>
  <si>
    <t>Weighment-16-30 April25, Ex.Rate-85.05</t>
  </si>
  <si>
    <t>1800014002</t>
  </si>
  <si>
    <t>CODC LCL Chgs -1-15 Oct 25</t>
  </si>
  <si>
    <t>1800014149</t>
  </si>
  <si>
    <t>CODC Out chgs -1-15 Oct 25</t>
  </si>
  <si>
    <t>1800009477</t>
  </si>
  <si>
    <t>Unit storage -1-31 May 25</t>
  </si>
  <si>
    <t>1800013273</t>
  </si>
  <si>
    <t>Unit Storage - 1-30 Sept 2025</t>
  </si>
  <si>
    <t>1800013396</t>
  </si>
  <si>
    <t>CY - CY Grd Rent Chgs - 16 - 30 SEP 25</t>
  </si>
  <si>
    <t>Fixed Storage Charges for October 2025</t>
  </si>
  <si>
    <t>1800012475</t>
  </si>
  <si>
    <t>Unit-Storage-1-31 Aug 25</t>
  </si>
  <si>
    <t>1800015688</t>
  </si>
  <si>
    <t>Unit Storage - 1-30 Nov 2025</t>
  </si>
  <si>
    <t>Fixed Storage Charges for December 2025</t>
  </si>
  <si>
    <t>1600002696</t>
  </si>
  <si>
    <t>Credit note for Duplicate invoice -256779418491</t>
  </si>
  <si>
    <t>1600002701</t>
  </si>
  <si>
    <t>Credit note for Duplicate invoice -256779418496</t>
  </si>
  <si>
    <t>1800016281</t>
  </si>
  <si>
    <t>2158342</t>
  </si>
  <si>
    <t>PORT SSR Chgs Dec 25</t>
  </si>
  <si>
    <t>1800016318</t>
  </si>
  <si>
    <t>2158401</t>
  </si>
  <si>
    <t>CODC LCL Chgs -16-31 DEC 25</t>
  </si>
  <si>
    <t>1800016359</t>
  </si>
  <si>
    <t>2158411</t>
  </si>
  <si>
    <t>Unit Storage - 1-31 DEC 2025</t>
  </si>
  <si>
    <t>CODC Out chgs -16-31 DEC 25</t>
  </si>
  <si>
    <t>1800016692</t>
  </si>
  <si>
    <t>2158638</t>
  </si>
  <si>
    <t>VAS-Dec 25 - 16-31</t>
  </si>
  <si>
    <t>1800016703</t>
  </si>
  <si>
    <t>Weighment-Dec 25 - 16-31</t>
  </si>
  <si>
    <t>Fixed Storage Charges for January 2026</t>
  </si>
  <si>
    <t>INTRA  -NOV 25,16-30</t>
  </si>
  <si>
    <t>1800016772</t>
  </si>
  <si>
    <t>VAS - NOV 25,16-30</t>
  </si>
  <si>
    <t>1800016783</t>
  </si>
  <si>
    <t>Weighment -NOV 25,16-30</t>
  </si>
  <si>
    <t>1400002476</t>
  </si>
  <si>
    <t>As Per Ascendus</t>
  </si>
  <si>
    <t>Net Amount</t>
  </si>
  <si>
    <t>TDS</t>
  </si>
  <si>
    <t>Gross Amount</t>
  </si>
  <si>
    <t>Difference</t>
  </si>
  <si>
    <t>Remarks</t>
  </si>
  <si>
    <t>Exchange Rate</t>
  </si>
  <si>
    <t>As per customer</t>
  </si>
  <si>
    <t>Converted Value</t>
  </si>
  <si>
    <t>USD Amount taken from Payt Reco</t>
  </si>
  <si>
    <t>Reconciliation of Ledger as on 31st January 2026</t>
  </si>
  <si>
    <t>Particulars</t>
  </si>
  <si>
    <t>Add: TDS to be booked in Ascendus books</t>
  </si>
  <si>
    <t>Add: Invoices &amp; CN not recorded in customer books</t>
  </si>
  <si>
    <t>Derived balance</t>
  </si>
  <si>
    <t>Balance as per Ascent</t>
  </si>
  <si>
    <t>Balance as per Scope Chemicals Pvt Ltd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</si>
  <si>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</si>
  <si>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</si>
  <si>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</si>
  <si>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</si>
  <si>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</si>
  <si>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</si>
  <si>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</si>
  <si>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</si>
  <si>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</si>
  <si>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</si>
  <si>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</si>
  <si>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</si>
  <si>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</si>
  <si>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As per Customer Data</t>
  </si>
  <si>
    <t>As per Ascendus Data</t>
  </si>
  <si>
    <t>Payment</t>
  </si>
  <si>
    <t>CN</t>
  </si>
  <si>
    <t>TDS and Payment</t>
  </si>
  <si>
    <t>Net Sales</t>
  </si>
  <si>
    <t>Sales</t>
  </si>
  <si>
    <t>Purchase</t>
  </si>
  <si>
    <t>Diffrence In invoice value</t>
  </si>
  <si>
    <t>2025-02-26</t>
  </si>
  <si>
    <t>2025-03-31</t>
  </si>
  <si>
    <t>2025-09-04</t>
  </si>
  <si>
    <t>2025-10-16</t>
  </si>
  <si>
    <t>2025-12-23</t>
  </si>
  <si>
    <t>2025-12-24</t>
  </si>
  <si>
    <t>2025-12-31</t>
  </si>
  <si>
    <t>2026-01-01</t>
  </si>
  <si>
    <t>2026-01-16</t>
  </si>
  <si>
    <t>2026-01-23</t>
  </si>
  <si>
    <t>Credit</t>
  </si>
  <si>
    <t>Amount in USD</t>
  </si>
  <si>
    <t>Updated Ledger Xlooup</t>
  </si>
  <si>
    <t>Rate</t>
  </si>
  <si>
    <t xml:space="preserve">Debit </t>
  </si>
  <si>
    <t>&gt;&gt; Pending Invoices Booked By Customer &amp; CN Issued By Capital Land</t>
  </si>
  <si>
    <t>Text</t>
  </si>
  <si>
    <t>Clearing Document</t>
  </si>
  <si>
    <t>TDS Booked</t>
  </si>
  <si>
    <t xml:space="preserve">TDS Booked </t>
  </si>
  <si>
    <t>TDS To Be booked</t>
  </si>
  <si>
    <t>Add: Exchange Gain / Loss</t>
  </si>
  <si>
    <t>Foreign Exchange Gain/Loss</t>
  </si>
  <si>
    <t>Customer Remarks</t>
  </si>
  <si>
    <t>CN To Be Passed</t>
  </si>
  <si>
    <t>To be Booked By Customer</t>
  </si>
  <si>
    <t>To be Booked in Scope Logistic Ledger</t>
  </si>
  <si>
    <t>Invoice 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</si>
</sst>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164" fontId="0" fillId="0" borderId="1" xfId="1" applyNumberFormat="1" applyFont="1" applyBorder="1"/>
    <xf numFmtId="164" fontId="0" fillId="0" borderId="0" xfId="1" applyNumberFormat="1" applyFont="1"/>
    <xf numFmtId="1" fontId="0" fillId="0" borderId="0" xfId="0" applyNumberFormat="1" applyAlignment="1">
      <alignment vertical="top"/>
    </xf>
    <xf numFmtId="0" fontId="0" fillId="0" borderId="0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vertical="top"/>
    </xf>
    <xf numFmtId="9" fontId="0" fillId="0" borderId="0" xfId="2" applyFon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43" fontId="0" fillId="0" borderId="0" xfId="0" applyNumberFormat="1"/>
    <xf numFmtId="0" fontId="2" fillId="0" borderId="0" xfId="0" applyFont="1"/>
    <xf numFmtId="4" fontId="0" fillId="0" borderId="0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left" vertical="center"/>
    </xf>
    <xf numFmtId="43" fontId="0" fillId="4" borderId="1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left" vertical="center"/>
    </xf>
    <xf numFmtId="43" fontId="0" fillId="5" borderId="1" xfId="0" applyNumberFormat="1" applyFill="1" applyBorder="1" applyAlignment="1">
      <alignment horizontal="left" vertical="center"/>
    </xf>
    <xf numFmtId="164" fontId="0" fillId="0" borderId="0" xfId="0" applyNumberFormat="1"/>
    <xf numFmtId="164" fontId="0" fillId="2" borderId="2" xfId="0" applyNumberFormat="1" applyFill="1" applyBorder="1" applyAlignment="1">
      <alignment horizontal="left" vertical="center"/>
    </xf>
    <xf numFmtId="0" fontId="0" fillId="0" borderId="1" xfId="0" applyNumberFormat="1" applyBorder="1"/>
    <xf numFmtId="0" fontId="0" fillId="0" borderId="1" xfId="0" applyBorder="1" applyAlignment="1"/>
    <xf numFmtId="0" fontId="0" fillId="0" borderId="1" xfId="0" applyNumberFormat="1" applyBorder="1" applyAlignment="1"/>
    <xf numFmtId="164" fontId="0" fillId="0" borderId="1" xfId="1" applyNumberFormat="1" applyFont="1" applyBorder="1" applyAlignment="1"/>
    <xf numFmtId="0" fontId="0" fillId="0" borderId="2" xfId="0" applyFill="1" applyBorder="1"/>
    <xf numFmtId="43" fontId="0" fillId="0" borderId="1" xfId="1" applyFont="1" applyBorder="1" applyAlignment="1">
      <alignment horizontal="right" vertical="top"/>
    </xf>
    <xf numFmtId="14" fontId="0" fillId="0" borderId="0" xfId="0" applyNumberFormat="1" applyAlignment="1">
      <alignment horizontal="right" vertical="top" wrapText="1"/>
    </xf>
    <xf numFmtId="0" fontId="0" fillId="0" borderId="0" xfId="0" applyAlignment="1">
      <alignment wrapText="1"/>
    </xf>
    <xf numFmtId="1" fontId="0" fillId="0" borderId="1" xfId="0" applyNumberFormat="1" applyBorder="1" applyAlignment="1"/>
    <xf numFmtId="4" fontId="0" fillId="0" borderId="1" xfId="0" applyNumberFormat="1" applyBorder="1"/>
    <xf numFmtId="43" fontId="0" fillId="0" borderId="7" xfId="3" applyFont="1" applyBorder="1" applyAlignment="1">
      <alignment horizontal="center" wrapText="1"/>
    </xf>
    <xf numFmtId="43" fontId="0" fillId="0" borderId="8" xfId="3" applyFont="1" applyBorder="1" applyAlignment="1">
      <alignment horizontal="center" wrapText="1"/>
    </xf>
    <xf numFmtId="43" fontId="0" fillId="0" borderId="10" xfId="3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6" xfId="3" applyFont="1" applyBorder="1" applyAlignment="1">
      <alignment horizontal="left" indent="1"/>
    </xf>
    <xf numFmtId="43" fontId="0" fillId="0" borderId="9" xfId="3" applyFont="1" applyBorder="1" applyAlignment="1">
      <alignment horizontal="left" indent="1"/>
    </xf>
    <xf numFmtId="0" fontId="0" fillId="0" borderId="0" xfId="0" applyAlignment="1">
      <alignment horizontal="left" indent="1"/>
    </xf>
    <xf numFmtId="43" fontId="2" fillId="3" borderId="3" xfId="3" applyFont="1" applyFill="1" applyBorder="1" applyAlignment="1">
      <alignment horizontal="left" indent="1"/>
    </xf>
    <xf numFmtId="43" fontId="2" fillId="3" borderId="5" xfId="1" applyFont="1" applyFill="1" applyBorder="1" applyAlignment="1">
      <alignment horizontal="center" wrapText="1"/>
    </xf>
    <xf numFmtId="0" fontId="2" fillId="3" borderId="3" xfId="4" applyFont="1" applyFill="1" applyBorder="1" applyAlignment="1">
      <alignment horizontal="left" vertical="center" wrapText="1" indent="1"/>
    </xf>
    <xf numFmtId="0" fontId="2" fillId="3" borderId="5" xfId="4" applyFont="1" applyFill="1" applyBorder="1" applyAlignment="1">
      <alignment horizontal="center" vertical="center" wrapText="1"/>
    </xf>
    <xf numFmtId="9" fontId="0" fillId="2" borderId="1" xfId="2" applyFont="1" applyFill="1" applyBorder="1" applyAlignment="1">
      <alignment horizontal="left" vertical="center" wrapText="1"/>
    </xf>
    <xf numFmtId="0" fontId="1" fillId="0" borderId="0" xfId="4"/>
    <xf numFmtId="43" fontId="2" fillId="3" borderId="3" xfId="3" applyFont="1" applyFill="1" applyBorder="1" applyAlignment="1">
      <alignment horizontal="center" vertical="center" wrapText="1"/>
    </xf>
    <xf numFmtId="43" fontId="2" fillId="3" borderId="4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" fontId="0" fillId="2" borderId="1" xfId="0" applyNumberFormat="1" applyFill="1" applyBorder="1" applyAlignment="1">
      <alignment vertical="top"/>
    </xf>
    <xf numFmtId="9" fontId="0" fillId="0" borderId="1" xfId="2" applyFont="1" applyBorder="1" applyAlignment="1">
      <alignment horizontal="right" vertical="top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2" fillId="0" borderId="1" xfId="0" applyNumberFormat="1" applyFont="1" applyBorder="1" applyAlignment="1">
      <alignment horizontal="left" vertical="center"/>
    </xf>
    <xf numFmtId="43" fontId="0" fillId="3" borderId="1" xfId="1" applyFont="1" applyFill="1" applyBorder="1" applyAlignment="1">
      <alignment horizontal="left" vertical="center"/>
    </xf>
    <xf numFmtId="43" fontId="2" fillId="0" borderId="1" xfId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/>
    </xf>
    <xf numFmtId="9" fontId="0" fillId="0" borderId="1" xfId="2" applyFont="1" applyBorder="1"/>
    <xf numFmtId="9" fontId="0" fillId="2" borderId="11" xfId="2" applyFont="1" applyFill="1" applyBorder="1" applyAlignment="1">
      <alignment horizontal="left" vertical="center" wrapText="1"/>
    </xf>
  </cellXfs>
  <cellStyles count="5">
    <cellStyle name="Comma" xfId="1" builtinId="3"/>
    <cellStyle name="Comma 2" xfId="3" xr:uid="{2F2B8AB9-77CD-4FD6-9E6C-0B82498B8CB8}"/>
    <cellStyle name="Normal" xfId="0" builtinId="0"/>
    <cellStyle name="Normal 2" xfId="4" xr:uid="{A96C9715-5B99-4718-ADC9-E60A6D6D92E4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%20(K)/1.%20Tax%20and%20assurance/Capital%20Land/16.%20SCOPE%20CHEMICALS%20PVT.LTD/Working%20-%20SCOPE%20CHEMICALS%20PVT.LT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%20Ledger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ment Reco"/>
      <sheetName val="Duplicate Invoice"/>
      <sheetName val="Invoices not in customers old"/>
      <sheetName val="CN not in customers book"/>
      <sheetName val="Difference in Invoice old"/>
      <sheetName val="TDS To be recorded"/>
      <sheetName val="Sheet10"/>
      <sheetName val="Customer Data"/>
      <sheetName val="Updated Customer Ledger"/>
      <sheetName val="Ascendus Data"/>
      <sheetName val="Invoices not in customers books"/>
      <sheetName val="Difference in Invoice va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Reference</v>
          </cell>
          <cell r="L2" t="str">
            <v>Remarks</v>
          </cell>
        </row>
        <row r="3">
          <cell r="E3">
            <v>256779419471</v>
          </cell>
        </row>
        <row r="4">
          <cell r="E4">
            <v>246779410003</v>
          </cell>
          <cell r="L4" t="str">
            <v>Fixed Storage for Aug'24 already invoiced (256779413955)</v>
          </cell>
        </row>
        <row r="5">
          <cell r="E5">
            <v>256779415197</v>
          </cell>
        </row>
        <row r="6">
          <cell r="E6">
            <v>256779415262</v>
          </cell>
        </row>
        <row r="7">
          <cell r="E7">
            <v>256779418826</v>
          </cell>
        </row>
        <row r="8">
          <cell r="E8">
            <v>256779418886</v>
          </cell>
        </row>
        <row r="9">
          <cell r="E9">
            <v>256779413945</v>
          </cell>
          <cell r="L9" t="str">
            <v>Fixed Storage for Aug'24 already invoiced (256779413955)</v>
          </cell>
        </row>
        <row r="10">
          <cell r="E10">
            <v>256779416087</v>
          </cell>
        </row>
        <row r="11">
          <cell r="E11">
            <v>256779413898</v>
          </cell>
        </row>
        <row r="12">
          <cell r="E12">
            <v>256779413955</v>
          </cell>
          <cell r="L12" t="str">
            <v>Fixed Storage for Aug'24 already invoiced (256779413955)</v>
          </cell>
        </row>
        <row r="13">
          <cell r="E13">
            <v>256779415830</v>
          </cell>
          <cell r="L13" t="str">
            <v>Invoices not received</v>
          </cell>
        </row>
        <row r="14">
          <cell r="E14">
            <v>256779418476</v>
          </cell>
        </row>
        <row r="15">
          <cell r="E15">
            <v>256779419463</v>
          </cell>
        </row>
        <row r="16">
          <cell r="E16">
            <v>256779419533</v>
          </cell>
        </row>
        <row r="17">
          <cell r="E17">
            <v>256779419546</v>
          </cell>
        </row>
        <row r="18">
          <cell r="E18">
            <v>256779415831</v>
          </cell>
          <cell r="L18" t="str">
            <v>Invoices not received</v>
          </cell>
        </row>
        <row r="19">
          <cell r="E19">
            <v>256779440161</v>
          </cell>
          <cell r="L19" t="str">
            <v>PORT SSR Chgs Dec 25</v>
          </cell>
        </row>
        <row r="20">
          <cell r="E20">
            <v>256779419229</v>
          </cell>
          <cell r="L20" t="str">
            <v>PORT SSR Chgs Oct 25 Not to be booked</v>
          </cell>
        </row>
        <row r="21">
          <cell r="E21">
            <v>256779415770</v>
          </cell>
          <cell r="L21" t="str">
            <v>val diff as per anexure &amp; Inv</v>
          </cell>
        </row>
        <row r="22">
          <cell r="E22">
            <v>256779417488</v>
          </cell>
          <cell r="L22" t="str">
            <v>Towards SCOPE Logistics Shipment; not to be invoiced in SCOPE Chemicals</v>
          </cell>
        </row>
        <row r="23">
          <cell r="E23">
            <v>256779418426</v>
          </cell>
        </row>
        <row r="24">
          <cell r="E24">
            <v>256779418441</v>
          </cell>
        </row>
        <row r="25">
          <cell r="E25">
            <v>256779414241</v>
          </cell>
        </row>
        <row r="26">
          <cell r="E26">
            <v>256779418009</v>
          </cell>
        </row>
        <row r="27">
          <cell r="E27">
            <v>256779417991</v>
          </cell>
          <cell r="L27" t="str">
            <v>Towards SCOPE Logistics Shipment; not to be invoiced in SCOPE Chemicals</v>
          </cell>
        </row>
        <row r="28">
          <cell r="E28">
            <v>256779417083</v>
          </cell>
        </row>
        <row r="29">
          <cell r="E29">
            <v>256779440021</v>
          </cell>
        </row>
        <row r="30">
          <cell r="E30">
            <v>256779413251</v>
          </cell>
          <cell r="L30" t="str">
            <v>Why is royalty charged</v>
          </cell>
        </row>
        <row r="31">
          <cell r="E31">
            <v>256779440171</v>
          </cell>
        </row>
        <row r="32">
          <cell r="E32">
            <v>256779440249</v>
          </cell>
        </row>
        <row r="33">
          <cell r="E33">
            <v>256779440281</v>
          </cell>
        </row>
        <row r="34">
          <cell r="E34">
            <v>256779440292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port"/>
      <sheetName val="Sheet1"/>
    </sheetNames>
    <sheetDataSet>
      <sheetData sheetId="0">
        <row r="11">
          <cell r="C11" t="str">
            <v>Debit (USD)</v>
          </cell>
          <cell r="D11" t="str">
            <v>Credit (USD)</v>
          </cell>
          <cell r="H11" t="str">
            <v>Voucher No</v>
          </cell>
        </row>
        <row r="12">
          <cell r="C12">
            <v>0</v>
          </cell>
          <cell r="D12">
            <v>0</v>
          </cell>
          <cell r="H12"/>
        </row>
        <row r="13">
          <cell r="C13">
            <v>0</v>
          </cell>
          <cell r="D13">
            <v>45.75</v>
          </cell>
          <cell r="H13" t="str">
            <v>PU/25/SCP/OT/0867</v>
          </cell>
        </row>
        <row r="14">
          <cell r="C14">
            <v>0</v>
          </cell>
          <cell r="D14">
            <v>45.75</v>
          </cell>
          <cell r="H14" t="str">
            <v>PU/25/SCP/OT/0868</v>
          </cell>
        </row>
        <row r="15">
          <cell r="C15">
            <v>0</v>
          </cell>
          <cell r="D15">
            <v>45.75</v>
          </cell>
          <cell r="H15" t="str">
            <v>PU/25/SCP/OT/0869</v>
          </cell>
        </row>
        <row r="16">
          <cell r="C16">
            <v>0</v>
          </cell>
          <cell r="D16">
            <v>45.75</v>
          </cell>
          <cell r="H16" t="str">
            <v>PU/25/SCP/OT/0870</v>
          </cell>
        </row>
        <row r="17">
          <cell r="C17">
            <v>0</v>
          </cell>
          <cell r="D17">
            <v>45.75</v>
          </cell>
          <cell r="H17" t="str">
            <v>PU/25/SCP/OT/0872</v>
          </cell>
        </row>
        <row r="18">
          <cell r="C18">
            <v>0</v>
          </cell>
          <cell r="D18">
            <v>45.75</v>
          </cell>
          <cell r="H18" t="str">
            <v>PU/25/SCP/OT/0871-1</v>
          </cell>
        </row>
        <row r="19">
          <cell r="C19">
            <v>278.55299474600002</v>
          </cell>
          <cell r="D19">
            <v>0</v>
          </cell>
          <cell r="H19" t="str">
            <v>BP/25/SCP/0820</v>
          </cell>
        </row>
        <row r="20">
          <cell r="C20">
            <v>0</v>
          </cell>
          <cell r="D20">
            <v>0</v>
          </cell>
          <cell r="H20" t="str">
            <v>SJ/25/GEA/0611</v>
          </cell>
        </row>
        <row r="21">
          <cell r="C21">
            <v>0</v>
          </cell>
          <cell r="D21">
            <v>0</v>
          </cell>
          <cell r="H21" t="str">
            <v>SJ/25/GEA/0612</v>
          </cell>
        </row>
        <row r="22">
          <cell r="C22">
            <v>0</v>
          </cell>
          <cell r="D22">
            <v>0</v>
          </cell>
          <cell r="H22" t="str">
            <v>SJ/25/GEA/0613</v>
          </cell>
        </row>
        <row r="23">
          <cell r="C23">
            <v>0</v>
          </cell>
          <cell r="D23">
            <v>0</v>
          </cell>
          <cell r="H23" t="str">
            <v>SJ/25/GEA/0614</v>
          </cell>
        </row>
        <row r="24">
          <cell r="C24">
            <v>0</v>
          </cell>
          <cell r="D24">
            <v>0</v>
          </cell>
          <cell r="H24" t="str">
            <v>SJ/25/GEA/0615</v>
          </cell>
        </row>
        <row r="25">
          <cell r="C25">
            <v>0</v>
          </cell>
          <cell r="D25">
            <v>0</v>
          </cell>
          <cell r="H25" t="str">
            <v>SJ/25/GEA/0616</v>
          </cell>
        </row>
        <row r="26">
          <cell r="C26">
            <v>4.0529999999999999</v>
          </cell>
          <cell r="D26">
            <v>4.0529999999999999</v>
          </cell>
          <cell r="H26" t="str">
            <v>SJ/25/GEA/1247</v>
          </cell>
        </row>
        <row r="27">
          <cell r="C27">
            <v>0</v>
          </cell>
          <cell r="D27">
            <v>45.75</v>
          </cell>
          <cell r="H27" t="str">
            <v>PU/26/SCP/OT/0351</v>
          </cell>
        </row>
        <row r="28">
          <cell r="C28">
            <v>0</v>
          </cell>
          <cell r="D28">
            <v>45.75</v>
          </cell>
          <cell r="H28" t="str">
            <v>PU/26/SCP/OT/0396</v>
          </cell>
        </row>
        <row r="29">
          <cell r="C29">
            <v>0</v>
          </cell>
          <cell r="D29">
            <v>45.75</v>
          </cell>
          <cell r="H29" t="str">
            <v>PU/26/SCP/OT/0397</v>
          </cell>
        </row>
        <row r="30">
          <cell r="C30">
            <v>0</v>
          </cell>
          <cell r="D30">
            <v>45.75</v>
          </cell>
          <cell r="H30" t="str">
            <v>PU/26/SCP/OT/0398</v>
          </cell>
        </row>
        <row r="31">
          <cell r="C31">
            <v>0</v>
          </cell>
          <cell r="D31">
            <v>45.75</v>
          </cell>
          <cell r="H31" t="str">
            <v>PU/26/SCP/OT/0399</v>
          </cell>
        </row>
        <row r="32">
          <cell r="C32">
            <v>0</v>
          </cell>
          <cell r="D32">
            <v>45.75</v>
          </cell>
          <cell r="H32" t="str">
            <v>PU/26/SCP/OT/0400</v>
          </cell>
        </row>
        <row r="33">
          <cell r="C33">
            <v>0</v>
          </cell>
          <cell r="D33">
            <v>45.75</v>
          </cell>
          <cell r="H33" t="str">
            <v>PU/26/SCP/OT/0401</v>
          </cell>
        </row>
        <row r="34">
          <cell r="C34">
            <v>5813.9534883719998</v>
          </cell>
          <cell r="D34">
            <v>0</v>
          </cell>
          <cell r="H34" t="str">
            <v>BP/26/SCP/0466</v>
          </cell>
        </row>
        <row r="35">
          <cell r="C35">
            <v>0</v>
          </cell>
          <cell r="D35">
            <v>45.75</v>
          </cell>
          <cell r="H35" t="str">
            <v>PU/26/SCP/OT/0590</v>
          </cell>
        </row>
        <row r="36">
          <cell r="C36">
            <v>0</v>
          </cell>
          <cell r="D36">
            <v>41.14</v>
          </cell>
          <cell r="H36" t="str">
            <v>PU/26/SCP/OT/0592</v>
          </cell>
        </row>
        <row r="37">
          <cell r="C37">
            <v>0</v>
          </cell>
          <cell r="D37">
            <v>1170.92</v>
          </cell>
          <cell r="H37" t="str">
            <v>PU/26/SCP/OT/0591-1</v>
          </cell>
        </row>
        <row r="38">
          <cell r="C38">
            <v>0</v>
          </cell>
          <cell r="D38">
            <v>325.22000000000003</v>
          </cell>
          <cell r="H38" t="str">
            <v>PU/26/SCP/OT/0589-2</v>
          </cell>
        </row>
        <row r="39">
          <cell r="C39">
            <v>0</v>
          </cell>
          <cell r="D39">
            <v>79.569999999999993</v>
          </cell>
          <cell r="H39" t="str">
            <v>PU/26/SCP/OT/0593</v>
          </cell>
        </row>
        <row r="40">
          <cell r="C40">
            <v>0</v>
          </cell>
          <cell r="D40">
            <v>20.27</v>
          </cell>
          <cell r="H40" t="str">
            <v>PU/26/SCP/OT/0595</v>
          </cell>
        </row>
        <row r="41">
          <cell r="C41">
            <v>0</v>
          </cell>
          <cell r="D41">
            <v>39.770000000000003</v>
          </cell>
          <cell r="H41" t="str">
            <v>PU/26/SCP/OT/0596</v>
          </cell>
        </row>
        <row r="42">
          <cell r="C42">
            <v>0</v>
          </cell>
          <cell r="D42">
            <v>128.6</v>
          </cell>
          <cell r="H42" t="str">
            <v>PU/26/SCP/OT/0597</v>
          </cell>
        </row>
        <row r="43">
          <cell r="C43">
            <v>0</v>
          </cell>
          <cell r="D43">
            <v>110.8</v>
          </cell>
          <cell r="H43" t="str">
            <v>PU/26/SCP/OT/0598</v>
          </cell>
        </row>
        <row r="44">
          <cell r="C44">
            <v>0</v>
          </cell>
          <cell r="D44">
            <v>36.6</v>
          </cell>
          <cell r="H44" t="str">
            <v>PU/26/SCP/OT/0599</v>
          </cell>
        </row>
        <row r="45">
          <cell r="C45">
            <v>0</v>
          </cell>
          <cell r="D45">
            <v>2.35</v>
          </cell>
          <cell r="H45" t="str">
            <v>PU/26/SCP/OT/0600</v>
          </cell>
        </row>
        <row r="46">
          <cell r="C46">
            <v>0</v>
          </cell>
          <cell r="D46">
            <v>115.9</v>
          </cell>
          <cell r="H46" t="str">
            <v>PU/26/SCP/OT/0601</v>
          </cell>
        </row>
        <row r="47">
          <cell r="C47">
            <v>0</v>
          </cell>
          <cell r="D47">
            <v>19.7</v>
          </cell>
          <cell r="H47" t="str">
            <v>PU/26/SCP/OT/0602</v>
          </cell>
        </row>
        <row r="48">
          <cell r="C48">
            <v>0</v>
          </cell>
          <cell r="D48">
            <v>212.2</v>
          </cell>
          <cell r="H48" t="str">
            <v>PU/26/SCP/OT/0603</v>
          </cell>
        </row>
        <row r="49">
          <cell r="C49">
            <v>0</v>
          </cell>
          <cell r="D49">
            <v>480.4</v>
          </cell>
          <cell r="H49" t="str">
            <v>PU/26/SCP/OT/0604</v>
          </cell>
        </row>
        <row r="50">
          <cell r="C50">
            <v>0</v>
          </cell>
          <cell r="D50">
            <v>273.45</v>
          </cell>
          <cell r="H50" t="str">
            <v>PU/26/SCP/OT/0605</v>
          </cell>
        </row>
        <row r="51">
          <cell r="C51">
            <v>0</v>
          </cell>
          <cell r="D51">
            <v>110.8</v>
          </cell>
          <cell r="H51" t="str">
            <v>PU/26/SCP/OT/0607</v>
          </cell>
        </row>
        <row r="52">
          <cell r="C52">
            <v>0</v>
          </cell>
          <cell r="D52">
            <v>128.6</v>
          </cell>
          <cell r="H52" t="str">
            <v>PU/26/SCP/OT/0608</v>
          </cell>
        </row>
        <row r="53">
          <cell r="C53">
            <v>0</v>
          </cell>
          <cell r="D53">
            <v>147.4</v>
          </cell>
          <cell r="H53" t="str">
            <v>PU/26/SCP/OT/0606</v>
          </cell>
        </row>
        <row r="54">
          <cell r="C54">
            <v>0</v>
          </cell>
          <cell r="D54">
            <v>36.6</v>
          </cell>
          <cell r="H54" t="str">
            <v>PU/26/SCP/OT/0609</v>
          </cell>
        </row>
        <row r="55">
          <cell r="C55">
            <v>0</v>
          </cell>
          <cell r="D55">
            <v>69</v>
          </cell>
          <cell r="H55" t="str">
            <v>PU/26/SCP/OT/0610</v>
          </cell>
        </row>
        <row r="56">
          <cell r="C56">
            <v>2</v>
          </cell>
          <cell r="D56">
            <v>76.55</v>
          </cell>
          <cell r="H56" t="str">
            <v>PU/26/SCP/OT/0614</v>
          </cell>
        </row>
        <row r="57">
          <cell r="C57">
            <v>38</v>
          </cell>
          <cell r="D57">
            <v>1902.19</v>
          </cell>
          <cell r="H57" t="str">
            <v>PU/26/SCP/OT/0626</v>
          </cell>
        </row>
        <row r="58">
          <cell r="C58">
            <v>9</v>
          </cell>
          <cell r="D58">
            <v>472.74</v>
          </cell>
          <cell r="H58" t="str">
            <v>PU/26/SCP/OT/0625-2</v>
          </cell>
        </row>
        <row r="59">
          <cell r="C59">
            <v>16</v>
          </cell>
          <cell r="D59">
            <v>793.07</v>
          </cell>
          <cell r="H59" t="str">
            <v>PU/26/SCP/OT/0627</v>
          </cell>
        </row>
        <row r="60">
          <cell r="C60">
            <v>29</v>
          </cell>
          <cell r="D60">
            <v>1468.91</v>
          </cell>
          <cell r="H60" t="str">
            <v>PU/26/SCP/OT/0628</v>
          </cell>
        </row>
        <row r="61">
          <cell r="C61">
            <v>5537.0979955700004</v>
          </cell>
          <cell r="D61">
            <v>0</v>
          </cell>
          <cell r="H61" t="str">
            <v>BP/26/SCP/0638</v>
          </cell>
        </row>
        <row r="62">
          <cell r="C62">
            <v>5</v>
          </cell>
          <cell r="D62">
            <v>50.75</v>
          </cell>
          <cell r="H62" t="str">
            <v>PU/26/SCP/OT/0663</v>
          </cell>
        </row>
        <row r="63">
          <cell r="C63">
            <v>5</v>
          </cell>
          <cell r="D63">
            <v>50.75</v>
          </cell>
          <cell r="H63" t="str">
            <v>PU/26/SCP/OT/0712</v>
          </cell>
        </row>
        <row r="64">
          <cell r="C64">
            <v>5</v>
          </cell>
          <cell r="D64">
            <v>50.75</v>
          </cell>
          <cell r="H64" t="str">
            <v>PU/26/SCP/OT/0826</v>
          </cell>
        </row>
        <row r="65">
          <cell r="C65">
            <v>1</v>
          </cell>
          <cell r="D65">
            <v>60.36</v>
          </cell>
          <cell r="H65" t="str">
            <v>PU/26/SCP/OT/0827-1</v>
          </cell>
        </row>
        <row r="66">
          <cell r="C66">
            <v>1</v>
          </cell>
          <cell r="D66">
            <v>70</v>
          </cell>
          <cell r="H66" t="str">
            <v>PU/26/SCP/OT/0829</v>
          </cell>
        </row>
        <row r="67">
          <cell r="C67">
            <v>2</v>
          </cell>
          <cell r="D67">
            <v>112.8</v>
          </cell>
          <cell r="H67" t="str">
            <v>PU/26/SCP/OT/0831</v>
          </cell>
        </row>
        <row r="68">
          <cell r="C68">
            <v>3</v>
          </cell>
          <cell r="D68">
            <v>169.2</v>
          </cell>
          <cell r="H68" t="str">
            <v>PU/26/SCP/OT/0832</v>
          </cell>
        </row>
        <row r="69">
          <cell r="C69">
            <v>4</v>
          </cell>
          <cell r="D69">
            <v>180.4</v>
          </cell>
          <cell r="H69" t="str">
            <v>PU/26/SCP/OT/0833</v>
          </cell>
        </row>
        <row r="70">
          <cell r="C70">
            <v>1</v>
          </cell>
          <cell r="D70">
            <v>40.04</v>
          </cell>
          <cell r="H70" t="str">
            <v>PU/26/SCP/OT/0830-1</v>
          </cell>
        </row>
        <row r="71">
          <cell r="C71">
            <v>0</v>
          </cell>
          <cell r="D71">
            <v>20.28</v>
          </cell>
          <cell r="H71" t="str">
            <v>PU/26/SCP/OT/0834</v>
          </cell>
        </row>
        <row r="72">
          <cell r="C72">
            <v>16</v>
          </cell>
          <cell r="D72">
            <v>821.64</v>
          </cell>
          <cell r="H72" t="str">
            <v>PU/26/SCP/OT/0835</v>
          </cell>
        </row>
        <row r="73">
          <cell r="C73">
            <v>19</v>
          </cell>
          <cell r="D73">
            <v>933.73</v>
          </cell>
          <cell r="H73" t="str">
            <v>PU/26/SCP/OT/0837</v>
          </cell>
        </row>
        <row r="74">
          <cell r="C74">
            <v>12</v>
          </cell>
          <cell r="D74">
            <v>602.03</v>
          </cell>
          <cell r="H74" t="str">
            <v>PU/26/SCP/OT/0838</v>
          </cell>
        </row>
        <row r="75">
          <cell r="C75">
            <v>19</v>
          </cell>
          <cell r="D75">
            <v>950.87</v>
          </cell>
          <cell r="H75" t="str">
            <v>PU/26/SCP/OT/0839</v>
          </cell>
        </row>
        <row r="76">
          <cell r="C76">
            <v>10</v>
          </cell>
          <cell r="D76">
            <v>476.32</v>
          </cell>
          <cell r="H76" t="str">
            <v>PU/26/SCP/OT/0840</v>
          </cell>
        </row>
        <row r="77">
          <cell r="C77">
            <v>1</v>
          </cell>
          <cell r="D77">
            <v>60.86</v>
          </cell>
          <cell r="H77" t="str">
            <v>PU/26/SCP/OT/0841</v>
          </cell>
        </row>
        <row r="78">
          <cell r="C78">
            <v>3</v>
          </cell>
          <cell r="D78">
            <v>131.6</v>
          </cell>
          <cell r="H78" t="str">
            <v>PU/26/SCP/OT/0842</v>
          </cell>
        </row>
        <row r="79">
          <cell r="C79">
            <v>5</v>
          </cell>
          <cell r="D79">
            <v>50.75</v>
          </cell>
          <cell r="H79" t="str">
            <v>PU/26/SCP/OT/0843</v>
          </cell>
        </row>
        <row r="80">
          <cell r="C80">
            <v>1</v>
          </cell>
          <cell r="D80">
            <v>56.4</v>
          </cell>
          <cell r="H80" t="str">
            <v>PU/26/SCP/OT/0845</v>
          </cell>
        </row>
        <row r="81">
          <cell r="C81">
            <v>2</v>
          </cell>
          <cell r="D81">
            <v>124.55</v>
          </cell>
          <cell r="H81" t="str">
            <v>PU/26/SCP/OT/0846</v>
          </cell>
        </row>
        <row r="82">
          <cell r="C82">
            <v>2</v>
          </cell>
          <cell r="D82">
            <v>112.8</v>
          </cell>
          <cell r="H82" t="str">
            <v>PU/26/SCP/OT/0847</v>
          </cell>
        </row>
        <row r="83">
          <cell r="C83">
            <v>8</v>
          </cell>
          <cell r="D83">
            <v>420.37</v>
          </cell>
          <cell r="H83" t="str">
            <v>PU/26/SCP/OT/0883</v>
          </cell>
        </row>
        <row r="84">
          <cell r="C84">
            <v>0</v>
          </cell>
          <cell r="D84">
            <v>19.920000000000002</v>
          </cell>
          <cell r="H84" t="str">
            <v>PU/26/SCP/OT/0884</v>
          </cell>
        </row>
        <row r="85">
          <cell r="C85">
            <v>77</v>
          </cell>
          <cell r="D85">
            <v>774.93</v>
          </cell>
          <cell r="H85" t="str">
            <v>PU/26/SCP/OT/0921</v>
          </cell>
        </row>
        <row r="86">
          <cell r="C86">
            <v>104</v>
          </cell>
          <cell r="D86">
            <v>1037</v>
          </cell>
          <cell r="H86" t="str">
            <v>PU/26/SCP/OT/0922</v>
          </cell>
        </row>
        <row r="87">
          <cell r="C87">
            <v>95</v>
          </cell>
          <cell r="D87">
            <v>950.6</v>
          </cell>
          <cell r="H87" t="str">
            <v>PU/26/SCP/OT/0923</v>
          </cell>
        </row>
        <row r="88">
          <cell r="C88">
            <v>146</v>
          </cell>
          <cell r="D88">
            <v>1457.24</v>
          </cell>
          <cell r="H88" t="str">
            <v>PU/26/SCP/OT/0924</v>
          </cell>
        </row>
        <row r="89">
          <cell r="C89">
            <v>30</v>
          </cell>
          <cell r="D89">
            <v>1480.75</v>
          </cell>
          <cell r="H89" t="str">
            <v>PU/26/SCP/OT/0926</v>
          </cell>
        </row>
        <row r="90">
          <cell r="C90">
            <v>63</v>
          </cell>
          <cell r="D90">
            <v>634.36</v>
          </cell>
          <cell r="H90" t="str">
            <v>PU/26/SCP/OT/0927</v>
          </cell>
        </row>
        <row r="91">
          <cell r="C91">
            <v>92</v>
          </cell>
          <cell r="D91">
            <v>916.56</v>
          </cell>
          <cell r="H91" t="str">
            <v>PU/26/SCP/OT/0928</v>
          </cell>
        </row>
        <row r="92">
          <cell r="C92">
            <v>49</v>
          </cell>
          <cell r="D92">
            <v>492.25</v>
          </cell>
          <cell r="H92" t="str">
            <v>PU/26/SCP/OT/0929</v>
          </cell>
        </row>
        <row r="93">
          <cell r="C93">
            <v>63</v>
          </cell>
          <cell r="D93">
            <v>632.96</v>
          </cell>
          <cell r="H93" t="str">
            <v>PU/26/SCP/OT/0930</v>
          </cell>
        </row>
        <row r="94">
          <cell r="C94">
            <v>93</v>
          </cell>
          <cell r="D94">
            <v>928.64</v>
          </cell>
          <cell r="H94" t="str">
            <v>PU/26/SCP/OT/0931</v>
          </cell>
        </row>
        <row r="95">
          <cell r="C95">
            <v>2</v>
          </cell>
          <cell r="D95">
            <v>84.9</v>
          </cell>
          <cell r="H95" t="str">
            <v>PU/26/SCP/OT/1024</v>
          </cell>
        </row>
        <row r="96">
          <cell r="C96">
            <v>1</v>
          </cell>
          <cell r="D96">
            <v>70</v>
          </cell>
          <cell r="H96" t="str">
            <v>PU/26/SCP/OT/1025</v>
          </cell>
        </row>
        <row r="97">
          <cell r="C97">
            <v>8</v>
          </cell>
          <cell r="D97">
            <v>415.38</v>
          </cell>
          <cell r="H97" t="str">
            <v>PU/26/SCP/OT/1026</v>
          </cell>
        </row>
        <row r="98">
          <cell r="C98">
            <v>5351.6</v>
          </cell>
          <cell r="D98">
            <v>0</v>
          </cell>
          <cell r="H98" t="str">
            <v>BP/27/SCP/0022</v>
          </cell>
        </row>
        <row r="99">
          <cell r="C99">
            <v>0</v>
          </cell>
          <cell r="D99">
            <v>508.32</v>
          </cell>
          <cell r="H99" t="str">
            <v>PU/27/SCP/OT/0019</v>
          </cell>
        </row>
        <row r="100">
          <cell r="C100">
            <v>0</v>
          </cell>
          <cell r="D100">
            <v>19.87</v>
          </cell>
          <cell r="H100" t="str">
            <v>PU/27/SCP/OT/0020</v>
          </cell>
        </row>
        <row r="101">
          <cell r="C101">
            <v>0</v>
          </cell>
          <cell r="D101">
            <v>50.75</v>
          </cell>
          <cell r="H101" t="str">
            <v>PU/27/SCP/OT/0022</v>
          </cell>
        </row>
        <row r="102">
          <cell r="C102">
            <v>65</v>
          </cell>
          <cell r="D102">
            <v>1425.77</v>
          </cell>
          <cell r="H102" t="str">
            <v>PU/27/SCP/OT/0024</v>
          </cell>
        </row>
        <row r="103">
          <cell r="C103">
            <v>18092.257478688</v>
          </cell>
          <cell r="D103">
            <v>26354.753000000001</v>
          </cell>
          <cell r="H103"/>
        </row>
        <row r="104">
          <cell r="C104">
            <v>18092.257478688</v>
          </cell>
          <cell r="D104">
            <v>26354.753000000001</v>
          </cell>
          <cell r="H104"/>
        </row>
        <row r="105">
          <cell r="C105"/>
          <cell r="D105"/>
          <cell r="H105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8AE9-DD77-401D-86C6-98ADBAEB61A2}">
  <dimension ref="A1:C10"/>
  <sheetViews>
    <sheetView zoomScale="130" zoomScaleNormal="130" workbookViewId="0">
      <selection activeCell="B5" sqref="B5"/>
    </sheetView>
  </sheetViews>
  <sheetFormatPr defaultRowHeight="14.5" x14ac:dyDescent="0.35"/>
  <cols>
    <col min="1" max="1" width="53" style="49" bestFit="1" customWidth="1"/>
    <col min="2" max="2" width="10.6328125" style="46" customWidth="1"/>
    <col min="3" max="3" width="59.453125" bestFit="1" customWidth="1"/>
  </cols>
  <sheetData>
    <row r="1" spans="1:3" ht="28.5" customHeight="1" thickBot="1" x14ac:dyDescent="0.4">
      <c r="A1" s="56" t="s">
        <v>268</v>
      </c>
      <c r="B1" s="57"/>
    </row>
    <row r="2" spans="1:3" ht="29.5" thickBot="1" x14ac:dyDescent="0.4">
      <c r="A2" s="52" t="s">
        <v>269</v>
      </c>
      <c r="B2" s="53" t="s">
        <v>308</v>
      </c>
    </row>
    <row r="3" spans="1:3" x14ac:dyDescent="0.35">
      <c r="A3" s="47" t="s">
        <v>274</v>
      </c>
      <c r="B3" s="43">
        <f>-'Customer Ledger'!D48</f>
        <v>-2728.8544786880011</v>
      </c>
    </row>
    <row r="4" spans="1:3" x14ac:dyDescent="0.35">
      <c r="A4" s="47" t="s">
        <v>270</v>
      </c>
      <c r="B4" s="44">
        <f>'TDS To Be Booked'!K43-'Payment Reco'!M6</f>
        <v>217</v>
      </c>
    </row>
    <row r="5" spans="1:3" x14ac:dyDescent="0.35">
      <c r="A5" s="47" t="s">
        <v>271</v>
      </c>
      <c r="B5" s="44">
        <f>'Invoices Not In customer Books'!F39</f>
        <v>15591.81</v>
      </c>
      <c r="C5" s="55" t="s">
        <v>312</v>
      </c>
    </row>
    <row r="6" spans="1:3" x14ac:dyDescent="0.35">
      <c r="A6" s="47" t="s">
        <v>318</v>
      </c>
      <c r="B6" s="44">
        <f>'Payment Reco'!N6</f>
        <v>6.4875302208530705</v>
      </c>
    </row>
    <row r="7" spans="1:3" x14ac:dyDescent="0.35">
      <c r="A7" s="47" t="s">
        <v>272</v>
      </c>
      <c r="B7" s="44">
        <f>SUM(B3:B6)</f>
        <v>13086.443051532851</v>
      </c>
    </row>
    <row r="8" spans="1:3" x14ac:dyDescent="0.35">
      <c r="A8" s="47" t="s">
        <v>273</v>
      </c>
      <c r="B8" s="44">
        <f>'Ascendus Ledger'!F119</f>
        <v>13086.44575743731</v>
      </c>
    </row>
    <row r="9" spans="1:3" ht="15" thickBot="1" x14ac:dyDescent="0.4">
      <c r="A9" s="48"/>
      <c r="B9" s="45"/>
    </row>
    <row r="10" spans="1:3" ht="15" thickBot="1" x14ac:dyDescent="0.4">
      <c r="A10" s="50" t="s">
        <v>262</v>
      </c>
      <c r="B10" s="51">
        <f>B7-B8-B9</f>
        <v>-2.7059044587076642E-3</v>
      </c>
    </row>
  </sheetData>
  <autoFilter ref="A1:B8" xr:uid="{67C78AE9-DD77-401D-86C6-98ADBAEB61A2}">
    <filterColumn colId="0" showButton="0"/>
  </autoFilter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58D7-2EEE-4B02-9EDC-F7602A7380A6}">
  <dimension ref="A1:N8"/>
  <sheetViews>
    <sheetView workbookViewId="0">
      <selection activeCell="N6" sqref="N6"/>
    </sheetView>
  </sheetViews>
  <sheetFormatPr defaultRowHeight="14.5" x14ac:dyDescent="0.35"/>
  <cols>
    <col min="1" max="1" width="16.81640625" bestFit="1" customWidth="1"/>
    <col min="2" max="2" width="10.453125" customWidth="1"/>
    <col min="3" max="3" width="13.90625" bestFit="1" customWidth="1"/>
    <col min="4" max="4" width="9.36328125" customWidth="1"/>
    <col min="5" max="5" width="10.90625" bestFit="1" customWidth="1"/>
    <col min="6" max="6" width="10.08984375" customWidth="1"/>
    <col min="7" max="7" width="10.90625" bestFit="1" customWidth="1"/>
    <col min="8" max="8" width="10.54296875" customWidth="1"/>
    <col min="9" max="9" width="12.453125" style="6" bestFit="1" customWidth="1"/>
    <col min="10" max="10" width="11.1796875" bestFit="1" customWidth="1"/>
    <col min="11" max="11" width="11.81640625" style="6" bestFit="1" customWidth="1"/>
    <col min="12" max="12" width="13" bestFit="1" customWidth="1"/>
    <col min="13" max="13" width="12.453125" customWidth="1"/>
    <col min="14" max="14" width="14.54296875" customWidth="1"/>
  </cols>
  <sheetData>
    <row r="1" spans="1:14" s="70" customFormat="1" x14ac:dyDescent="0.35">
      <c r="A1" s="63" t="s">
        <v>258</v>
      </c>
      <c r="B1" s="63"/>
      <c r="C1" s="63"/>
      <c r="D1" s="63"/>
      <c r="E1" s="63"/>
      <c r="F1" s="63"/>
      <c r="G1" s="63"/>
      <c r="H1" s="63"/>
      <c r="I1" s="63"/>
      <c r="J1" s="68" t="s">
        <v>265</v>
      </c>
      <c r="K1" s="68"/>
      <c r="L1" s="68"/>
      <c r="M1" s="76" t="s">
        <v>262</v>
      </c>
      <c r="N1" s="76"/>
    </row>
    <row r="2" spans="1:14" s="70" customFormat="1" ht="58" x14ac:dyDescent="0.35">
      <c r="A2" s="77" t="s">
        <v>81</v>
      </c>
      <c r="B2" s="78" t="s">
        <v>82</v>
      </c>
      <c r="C2" s="77" t="s">
        <v>83</v>
      </c>
      <c r="D2" s="78" t="s">
        <v>86</v>
      </c>
      <c r="E2" s="78" t="s">
        <v>87</v>
      </c>
      <c r="F2" s="78" t="s">
        <v>88</v>
      </c>
      <c r="G2" s="78" t="s">
        <v>89</v>
      </c>
      <c r="H2" s="78" t="s">
        <v>264</v>
      </c>
      <c r="I2" s="79" t="s">
        <v>266</v>
      </c>
      <c r="J2" s="75" t="s">
        <v>0</v>
      </c>
      <c r="K2" s="80" t="s">
        <v>1</v>
      </c>
      <c r="L2" s="75" t="s">
        <v>4</v>
      </c>
      <c r="M2" s="69" t="s">
        <v>315</v>
      </c>
      <c r="N2" s="81" t="s">
        <v>319</v>
      </c>
    </row>
    <row r="3" spans="1:14" x14ac:dyDescent="0.35">
      <c r="A3" s="25" t="s">
        <v>94</v>
      </c>
      <c r="B3" s="25" t="s">
        <v>93</v>
      </c>
      <c r="C3" s="28">
        <v>45959</v>
      </c>
      <c r="D3" s="25" t="s">
        <v>91</v>
      </c>
      <c r="E3" s="29">
        <v>-500000</v>
      </c>
      <c r="F3" s="25" t="s">
        <v>91</v>
      </c>
      <c r="G3" s="29">
        <v>-500000</v>
      </c>
      <c r="H3" s="29">
        <f>G3/K3</f>
        <v>-86.000000000001378</v>
      </c>
      <c r="I3" s="66">
        <f>G3/H3</f>
        <v>5813.9534883719998</v>
      </c>
      <c r="J3" s="27" t="s">
        <v>19</v>
      </c>
      <c r="K3" s="26">
        <v>5813.9534883719998</v>
      </c>
      <c r="L3" s="27" t="s">
        <v>20</v>
      </c>
      <c r="M3" s="30">
        <f t="shared" ref="M3:M5" si="0">I3-K3</f>
        <v>0</v>
      </c>
      <c r="N3" s="30"/>
    </row>
    <row r="4" spans="1:14" x14ac:dyDescent="0.35">
      <c r="A4" s="25" t="s">
        <v>95</v>
      </c>
      <c r="B4" s="25" t="s">
        <v>93</v>
      </c>
      <c r="C4" s="28">
        <v>45743</v>
      </c>
      <c r="D4" s="25" t="s">
        <v>91</v>
      </c>
      <c r="E4" s="29">
        <v>-26397.48</v>
      </c>
      <c r="F4" s="25" t="s">
        <v>91</v>
      </c>
      <c r="G4" s="29">
        <v>-26279.46</v>
      </c>
      <c r="H4" s="29">
        <v>86.543675547204558</v>
      </c>
      <c r="I4" s="66">
        <f>G4/H4</f>
        <v>-303.65546452514695</v>
      </c>
      <c r="J4" s="27" t="s">
        <v>73</v>
      </c>
      <c r="K4" s="26">
        <v>278.55299474600002</v>
      </c>
      <c r="L4" s="27" t="s">
        <v>20</v>
      </c>
      <c r="M4" s="30">
        <f>'TDS To Be Booked'!O43</f>
        <v>30</v>
      </c>
      <c r="N4" s="30">
        <f>K4+M4+I4+1.59</f>
        <v>6.4875302208530705</v>
      </c>
    </row>
    <row r="5" spans="1:14" x14ac:dyDescent="0.35">
      <c r="A5" s="25" t="s">
        <v>257</v>
      </c>
      <c r="B5" s="25" t="s">
        <v>93</v>
      </c>
      <c r="C5" s="28">
        <v>46041</v>
      </c>
      <c r="D5" s="25" t="s">
        <v>91</v>
      </c>
      <c r="E5" s="29">
        <v>-500000</v>
      </c>
      <c r="F5" s="25" t="s">
        <v>91</v>
      </c>
      <c r="G5" s="29">
        <v>-500000</v>
      </c>
      <c r="H5" s="29">
        <f>G5/K5</f>
        <v>-90.300009210606163</v>
      </c>
      <c r="I5" s="66">
        <f>G5/H5</f>
        <v>5537.0979955700004</v>
      </c>
      <c r="J5" s="27" t="s">
        <v>61</v>
      </c>
      <c r="K5" s="26">
        <v>5537.0979955700004</v>
      </c>
      <c r="L5" s="27" t="s">
        <v>20</v>
      </c>
      <c r="M5" s="30">
        <f t="shared" si="0"/>
        <v>0</v>
      </c>
      <c r="N5" s="30"/>
    </row>
    <row r="6" spans="1:14" s="23" customFormat="1" x14ac:dyDescent="0.35">
      <c r="A6" s="64"/>
      <c r="B6" s="64"/>
      <c r="C6" s="64"/>
      <c r="D6" s="64"/>
      <c r="E6" s="64"/>
      <c r="F6" s="64"/>
      <c r="G6" s="64"/>
      <c r="H6" s="64"/>
      <c r="I6" s="67">
        <f>SUM(I3:I5)</f>
        <v>11047.396019416854</v>
      </c>
      <c r="J6" s="64"/>
      <c r="K6" s="67">
        <f>SUM(K3:K5)</f>
        <v>11629.604478688001</v>
      </c>
      <c r="L6" s="64"/>
      <c r="M6" s="65">
        <f>SUM(M3:M5)</f>
        <v>30</v>
      </c>
      <c r="N6" s="65">
        <f>SUM(N3:N5)</f>
        <v>6.4875302208530705</v>
      </c>
    </row>
    <row r="7" spans="1:14" x14ac:dyDescent="0.35">
      <c r="G7" s="24"/>
    </row>
    <row r="8" spans="1:14" x14ac:dyDescent="0.35">
      <c r="G8" s="22"/>
    </row>
  </sheetData>
  <mergeCells count="3">
    <mergeCell ref="J1:L1"/>
    <mergeCell ref="A1:I1"/>
    <mergeCell ref="M1:N1"/>
  </mergeCells>
  <pageMargins left="0.7" right="0.7" top="0.75" bottom="0.75" header="0.3" footer="0.3"/>
  <pageSetup paperSize="9" orientation="portrait" horizontalDpi="300" verticalDpi="300" r:id="rId1"/>
  <ignoredErrors>
    <ignoredError sqref="M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8911-7041-4180-89F5-31257F7F1F34}">
  <dimension ref="A1:I48"/>
  <sheetViews>
    <sheetView zoomScaleNormal="100" workbookViewId="0">
      <selection activeCell="H11" sqref="H11"/>
    </sheetView>
  </sheetViews>
  <sheetFormatPr defaultRowHeight="14.5" x14ac:dyDescent="0.35"/>
  <cols>
    <col min="1" max="1" width="11.1796875" bestFit="1" customWidth="1"/>
    <col min="2" max="2" width="11.81640625" bestFit="1" customWidth="1"/>
    <col min="3" max="3" width="11" bestFit="1" customWidth="1"/>
    <col min="4" max="4" width="12.453125" bestFit="1" customWidth="1"/>
    <col min="5" max="5" width="23.36328125" bestFit="1" customWidth="1"/>
    <col min="6" max="6" width="19.54296875" bestFit="1" customWidth="1"/>
    <col min="7" max="7" width="17.81640625" customWidth="1"/>
    <col min="8" max="8" width="18.90625" customWidth="1"/>
    <col min="9" max="9" width="17" bestFit="1" customWidth="1"/>
  </cols>
  <sheetData>
    <row r="1" spans="1: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5</v>
      </c>
      <c r="F1" s="34" t="s">
        <v>6</v>
      </c>
      <c r="G1" s="34" t="s">
        <v>7</v>
      </c>
      <c r="H1" s="34" t="s">
        <v>8</v>
      </c>
      <c r="I1" s="34" t="s">
        <v>9</v>
      </c>
    </row>
    <row r="2" spans="1:9" x14ac:dyDescent="0.35">
      <c r="A2" s="34"/>
      <c r="B2" s="34">
        <v>0</v>
      </c>
      <c r="C2" s="34">
        <v>0</v>
      </c>
      <c r="D2" s="34">
        <v>0</v>
      </c>
      <c r="E2" s="34"/>
      <c r="F2" s="34"/>
      <c r="G2" s="34"/>
      <c r="H2" s="34"/>
      <c r="I2" s="34"/>
    </row>
    <row r="3" spans="1:9" x14ac:dyDescent="0.35">
      <c r="A3" s="34" t="s">
        <v>297</v>
      </c>
      <c r="B3" s="34">
        <v>0</v>
      </c>
      <c r="C3" s="34">
        <v>45.75</v>
      </c>
      <c r="D3" s="34">
        <v>-45.75</v>
      </c>
      <c r="E3" s="34" t="s">
        <v>10</v>
      </c>
      <c r="F3" s="34" t="s">
        <v>67</v>
      </c>
      <c r="G3" s="34" t="s">
        <v>12</v>
      </c>
      <c r="H3" s="34" t="s">
        <v>67</v>
      </c>
      <c r="I3" s="41">
        <v>246779410050</v>
      </c>
    </row>
    <row r="4" spans="1:9" x14ac:dyDescent="0.35">
      <c r="A4" s="34" t="s">
        <v>297</v>
      </c>
      <c r="B4" s="34">
        <v>0</v>
      </c>
      <c r="C4" s="34">
        <v>45.75</v>
      </c>
      <c r="D4" s="34">
        <v>-91.5</v>
      </c>
      <c r="E4" s="34" t="s">
        <v>10</v>
      </c>
      <c r="F4" s="34" t="s">
        <v>68</v>
      </c>
      <c r="G4" s="34" t="s">
        <v>12</v>
      </c>
      <c r="H4" s="34" t="s">
        <v>68</v>
      </c>
      <c r="I4" s="41">
        <v>246779410304</v>
      </c>
    </row>
    <row r="5" spans="1:9" x14ac:dyDescent="0.35">
      <c r="A5" s="34" t="s">
        <v>297</v>
      </c>
      <c r="B5" s="34">
        <v>0</v>
      </c>
      <c r="C5" s="34">
        <v>45.75</v>
      </c>
      <c r="D5" s="34">
        <v>-137.25</v>
      </c>
      <c r="E5" s="34" t="s">
        <v>10</v>
      </c>
      <c r="F5" s="34" t="s">
        <v>69</v>
      </c>
      <c r="G5" s="34" t="s">
        <v>12</v>
      </c>
      <c r="H5" s="34" t="s">
        <v>69</v>
      </c>
      <c r="I5" s="41">
        <v>246779410118</v>
      </c>
    </row>
    <row r="6" spans="1:9" x14ac:dyDescent="0.35">
      <c r="A6" s="34" t="s">
        <v>297</v>
      </c>
      <c r="B6" s="34">
        <v>0</v>
      </c>
      <c r="C6" s="34">
        <v>45.75</v>
      </c>
      <c r="D6" s="34">
        <v>-183</v>
      </c>
      <c r="E6" s="34" t="s">
        <v>10</v>
      </c>
      <c r="F6" s="34" t="s">
        <v>70</v>
      </c>
      <c r="G6" s="34" t="s">
        <v>12</v>
      </c>
      <c r="H6" s="34" t="s">
        <v>70</v>
      </c>
      <c r="I6" s="41">
        <v>246779410161</v>
      </c>
    </row>
    <row r="7" spans="1:9" x14ac:dyDescent="0.35">
      <c r="A7" s="34" t="s">
        <v>297</v>
      </c>
      <c r="B7" s="34">
        <v>0</v>
      </c>
      <c r="C7" s="34">
        <v>45.75</v>
      </c>
      <c r="D7" s="34">
        <v>-228.75</v>
      </c>
      <c r="E7" s="34" t="s">
        <v>10</v>
      </c>
      <c r="F7" s="34" t="s">
        <v>71</v>
      </c>
      <c r="G7" s="34" t="s">
        <v>12</v>
      </c>
      <c r="H7" s="34" t="s">
        <v>71</v>
      </c>
      <c r="I7" s="41">
        <v>246779410247</v>
      </c>
    </row>
    <row r="8" spans="1:9" x14ac:dyDescent="0.35">
      <c r="A8" s="34" t="s">
        <v>297</v>
      </c>
      <c r="B8" s="34">
        <v>0</v>
      </c>
      <c r="C8" s="34">
        <v>45.75</v>
      </c>
      <c r="D8" s="34">
        <v>-274.5</v>
      </c>
      <c r="E8" s="34" t="s">
        <v>10</v>
      </c>
      <c r="F8" s="34" t="s">
        <v>72</v>
      </c>
      <c r="G8" s="34" t="s">
        <v>12</v>
      </c>
      <c r="H8" s="34" t="s">
        <v>72</v>
      </c>
      <c r="I8" s="41">
        <v>246779410204</v>
      </c>
    </row>
    <row r="9" spans="1:9" x14ac:dyDescent="0.35">
      <c r="A9" s="34" t="s">
        <v>73</v>
      </c>
      <c r="B9" s="34">
        <v>278.55299474600002</v>
      </c>
      <c r="C9" s="34">
        <v>0</v>
      </c>
      <c r="D9" s="34">
        <v>4.0529947460000244</v>
      </c>
      <c r="E9" s="34" t="s">
        <v>21</v>
      </c>
      <c r="F9" s="34" t="s">
        <v>74</v>
      </c>
      <c r="G9" s="34" t="s">
        <v>75</v>
      </c>
      <c r="H9" s="34" t="s">
        <v>76</v>
      </c>
      <c r="I9" s="41"/>
    </row>
    <row r="10" spans="1:9" x14ac:dyDescent="0.35">
      <c r="A10" s="34" t="s">
        <v>298</v>
      </c>
      <c r="B10" s="34">
        <v>4.0529999999999999</v>
      </c>
      <c r="C10" s="34">
        <v>4.0529999999999999</v>
      </c>
      <c r="D10" s="34">
        <v>4.0529947460000244</v>
      </c>
      <c r="E10" s="34" t="s">
        <v>77</v>
      </c>
      <c r="F10" s="34" t="s">
        <v>78</v>
      </c>
      <c r="G10" s="34" t="s">
        <v>79</v>
      </c>
      <c r="H10" s="34" t="s">
        <v>80</v>
      </c>
      <c r="I10" s="41"/>
    </row>
    <row r="11" spans="1:9" x14ac:dyDescent="0.35">
      <c r="A11" s="34" t="s">
        <v>299</v>
      </c>
      <c r="B11" s="34">
        <v>0</v>
      </c>
      <c r="C11" s="34">
        <v>45.75</v>
      </c>
      <c r="D11" s="34">
        <v>-41.697005253999983</v>
      </c>
      <c r="E11" s="34" t="s">
        <v>10</v>
      </c>
      <c r="F11" s="34" t="s">
        <v>11</v>
      </c>
      <c r="G11" s="34" t="s">
        <v>12</v>
      </c>
      <c r="H11" s="34" t="s">
        <v>11</v>
      </c>
      <c r="I11" s="41">
        <v>256779417374</v>
      </c>
    </row>
    <row r="12" spans="1:9" x14ac:dyDescent="0.35">
      <c r="A12" s="34" t="s">
        <v>300</v>
      </c>
      <c r="B12" s="34">
        <v>0</v>
      </c>
      <c r="C12" s="34">
        <v>45.75</v>
      </c>
      <c r="D12" s="34">
        <v>-87.447005253999976</v>
      </c>
      <c r="E12" s="34" t="s">
        <v>10</v>
      </c>
      <c r="F12" s="34" t="s">
        <v>13</v>
      </c>
      <c r="G12" s="34" t="s">
        <v>12</v>
      </c>
      <c r="H12" s="34" t="s">
        <v>13</v>
      </c>
      <c r="I12" s="41">
        <v>246779413009</v>
      </c>
    </row>
    <row r="13" spans="1:9" x14ac:dyDescent="0.35">
      <c r="A13" s="34" t="s">
        <v>300</v>
      </c>
      <c r="B13" s="34">
        <v>0</v>
      </c>
      <c r="C13" s="34">
        <v>45.75</v>
      </c>
      <c r="D13" s="34">
        <v>-133.197005254</v>
      </c>
      <c r="E13" s="34" t="s">
        <v>10</v>
      </c>
      <c r="F13" s="34" t="s">
        <v>14</v>
      </c>
      <c r="G13" s="34" t="s">
        <v>12</v>
      </c>
      <c r="H13" s="34" t="s">
        <v>14</v>
      </c>
      <c r="I13" s="41">
        <v>256779412170</v>
      </c>
    </row>
    <row r="14" spans="1:9" x14ac:dyDescent="0.35">
      <c r="A14" s="34" t="s">
        <v>300</v>
      </c>
      <c r="B14" s="34">
        <v>0</v>
      </c>
      <c r="C14" s="34">
        <v>45.75</v>
      </c>
      <c r="D14" s="34">
        <v>-178.947005254</v>
      </c>
      <c r="E14" s="34" t="s">
        <v>10</v>
      </c>
      <c r="F14" s="34" t="s">
        <v>15</v>
      </c>
      <c r="G14" s="34" t="s">
        <v>12</v>
      </c>
      <c r="H14" s="34" t="s">
        <v>15</v>
      </c>
      <c r="I14" s="41">
        <v>256779413128</v>
      </c>
    </row>
    <row r="15" spans="1:9" x14ac:dyDescent="0.35">
      <c r="A15" s="34" t="s">
        <v>300</v>
      </c>
      <c r="B15" s="34">
        <v>0</v>
      </c>
      <c r="C15" s="34">
        <v>45.75</v>
      </c>
      <c r="D15" s="34">
        <v>-224.697005254</v>
      </c>
      <c r="E15" s="34" t="s">
        <v>10</v>
      </c>
      <c r="F15" s="34" t="s">
        <v>16</v>
      </c>
      <c r="G15" s="34" t="s">
        <v>12</v>
      </c>
      <c r="H15" s="34" t="s">
        <v>16</v>
      </c>
      <c r="I15" s="41">
        <v>256779414387</v>
      </c>
    </row>
    <row r="16" spans="1:9" x14ac:dyDescent="0.35">
      <c r="A16" s="34" t="s">
        <v>300</v>
      </c>
      <c r="B16" s="34">
        <v>0</v>
      </c>
      <c r="C16" s="34">
        <v>45.75</v>
      </c>
      <c r="D16" s="34">
        <v>-270.44700525399998</v>
      </c>
      <c r="E16" s="34" t="s">
        <v>10</v>
      </c>
      <c r="F16" s="34" t="s">
        <v>17</v>
      </c>
      <c r="G16" s="34" t="s">
        <v>12</v>
      </c>
      <c r="H16" s="34" t="s">
        <v>17</v>
      </c>
      <c r="I16" s="41">
        <v>256779414945</v>
      </c>
    </row>
    <row r="17" spans="1:9" x14ac:dyDescent="0.35">
      <c r="A17" s="34" t="s">
        <v>300</v>
      </c>
      <c r="B17" s="34">
        <v>0</v>
      </c>
      <c r="C17" s="34">
        <v>45.75</v>
      </c>
      <c r="D17" s="34">
        <v>-316.19700525399998</v>
      </c>
      <c r="E17" s="34" t="s">
        <v>10</v>
      </c>
      <c r="F17" s="34" t="s">
        <v>18</v>
      </c>
      <c r="G17" s="34" t="s">
        <v>12</v>
      </c>
      <c r="H17" s="34" t="s">
        <v>18</v>
      </c>
      <c r="I17" s="41">
        <v>256779416055</v>
      </c>
    </row>
    <row r="18" spans="1:9" x14ac:dyDescent="0.35">
      <c r="A18" s="34" t="s">
        <v>19</v>
      </c>
      <c r="B18" s="34">
        <v>5813.9534883719998</v>
      </c>
      <c r="C18" s="34">
        <v>0</v>
      </c>
      <c r="D18" s="34">
        <v>5497.7564831179998</v>
      </c>
      <c r="E18" s="34" t="s">
        <v>21</v>
      </c>
      <c r="F18" s="34" t="s">
        <v>22</v>
      </c>
      <c r="G18" s="34" t="s">
        <v>23</v>
      </c>
      <c r="H18" s="34"/>
      <c r="I18" s="41"/>
    </row>
    <row r="19" spans="1:9" x14ac:dyDescent="0.35">
      <c r="A19" s="34" t="s">
        <v>301</v>
      </c>
      <c r="B19" s="34">
        <v>0</v>
      </c>
      <c r="C19" s="34">
        <v>45.75</v>
      </c>
      <c r="D19" s="34">
        <v>5452.0064831179998</v>
      </c>
      <c r="E19" s="34" t="s">
        <v>10</v>
      </c>
      <c r="F19" s="34" t="s">
        <v>24</v>
      </c>
      <c r="G19" s="34" t="s">
        <v>12</v>
      </c>
      <c r="H19" s="34" t="s">
        <v>24</v>
      </c>
      <c r="I19" s="41">
        <v>256779418037</v>
      </c>
    </row>
    <row r="20" spans="1:9" x14ac:dyDescent="0.35">
      <c r="A20" s="34" t="s">
        <v>301</v>
      </c>
      <c r="B20" s="34">
        <v>0</v>
      </c>
      <c r="C20" s="34">
        <v>41.14</v>
      </c>
      <c r="D20" s="34">
        <v>5410.8664831179995</v>
      </c>
      <c r="E20" s="34" t="s">
        <v>10</v>
      </c>
      <c r="F20" s="34" t="s">
        <v>25</v>
      </c>
      <c r="G20" s="34" t="s">
        <v>26</v>
      </c>
      <c r="H20" s="34" t="s">
        <v>25</v>
      </c>
      <c r="I20" s="41">
        <v>256779413840</v>
      </c>
    </row>
    <row r="21" spans="1:9" x14ac:dyDescent="0.35">
      <c r="A21" s="34" t="s">
        <v>301</v>
      </c>
      <c r="B21" s="34">
        <v>0</v>
      </c>
      <c r="C21" s="34">
        <v>1170.92</v>
      </c>
      <c r="D21" s="34">
        <v>4239.9464831179994</v>
      </c>
      <c r="E21" s="34" t="s">
        <v>10</v>
      </c>
      <c r="F21" s="34" t="s">
        <v>27</v>
      </c>
      <c r="G21" s="34" t="s">
        <v>28</v>
      </c>
      <c r="H21" s="34" t="s">
        <v>27</v>
      </c>
      <c r="I21" s="41">
        <v>256779413242</v>
      </c>
    </row>
    <row r="22" spans="1:9" x14ac:dyDescent="0.35">
      <c r="A22" s="34" t="s">
        <v>301</v>
      </c>
      <c r="B22" s="34">
        <v>0</v>
      </c>
      <c r="C22" s="34">
        <v>325.22000000000003</v>
      </c>
      <c r="D22" s="34">
        <v>3914.7264831179991</v>
      </c>
      <c r="E22" s="34" t="s">
        <v>10</v>
      </c>
      <c r="F22" s="34" t="s">
        <v>29</v>
      </c>
      <c r="G22" s="34" t="s">
        <v>28</v>
      </c>
      <c r="H22" s="34" t="s">
        <v>29</v>
      </c>
      <c r="I22" s="41">
        <v>256779414742</v>
      </c>
    </row>
    <row r="23" spans="1:9" x14ac:dyDescent="0.35">
      <c r="A23" s="34" t="s">
        <v>301</v>
      </c>
      <c r="B23" s="34">
        <v>0</v>
      </c>
      <c r="C23" s="34">
        <v>79.569999999999993</v>
      </c>
      <c r="D23" s="34">
        <v>3835.156483117999</v>
      </c>
      <c r="E23" s="34" t="s">
        <v>10</v>
      </c>
      <c r="F23" s="34" t="s">
        <v>30</v>
      </c>
      <c r="G23" s="34" t="s">
        <v>26</v>
      </c>
      <c r="H23" s="34" t="s">
        <v>30</v>
      </c>
      <c r="I23" s="41">
        <v>256779417450</v>
      </c>
    </row>
    <row r="24" spans="1:9" x14ac:dyDescent="0.35">
      <c r="A24" s="34" t="s">
        <v>302</v>
      </c>
      <c r="B24" s="34">
        <v>0</v>
      </c>
      <c r="C24" s="34">
        <v>20.27</v>
      </c>
      <c r="D24" s="34">
        <v>3814.886483117999</v>
      </c>
      <c r="E24" s="34" t="s">
        <v>10</v>
      </c>
      <c r="F24" s="34" t="s">
        <v>31</v>
      </c>
      <c r="G24" s="34" t="s">
        <v>26</v>
      </c>
      <c r="H24" s="34" t="s">
        <v>31</v>
      </c>
      <c r="I24" s="41">
        <v>256779418186</v>
      </c>
    </row>
    <row r="25" spans="1:9" x14ac:dyDescent="0.35">
      <c r="A25" s="34" t="s">
        <v>302</v>
      </c>
      <c r="B25" s="34">
        <v>0</v>
      </c>
      <c r="C25" s="34">
        <v>39.770000000000003</v>
      </c>
      <c r="D25" s="34">
        <v>3775.116483117999</v>
      </c>
      <c r="E25" s="34" t="s">
        <v>10</v>
      </c>
      <c r="F25" s="34" t="s">
        <v>32</v>
      </c>
      <c r="G25" s="34" t="s">
        <v>26</v>
      </c>
      <c r="H25" s="34" t="s">
        <v>32</v>
      </c>
      <c r="I25" s="41">
        <v>256779418481</v>
      </c>
    </row>
    <row r="26" spans="1:9" x14ac:dyDescent="0.35">
      <c r="A26" s="34" t="s">
        <v>302</v>
      </c>
      <c r="B26" s="34">
        <v>0</v>
      </c>
      <c r="C26" s="34">
        <v>128.6</v>
      </c>
      <c r="D26" s="34">
        <v>3646.5164831179991</v>
      </c>
      <c r="E26" s="34" t="s">
        <v>10</v>
      </c>
      <c r="F26" s="34" t="s">
        <v>33</v>
      </c>
      <c r="G26" s="34" t="s">
        <v>34</v>
      </c>
      <c r="H26" s="34" t="s">
        <v>33</v>
      </c>
      <c r="I26" s="41">
        <v>256779413162</v>
      </c>
    </row>
    <row r="27" spans="1:9" x14ac:dyDescent="0.35">
      <c r="A27" s="34" t="s">
        <v>302</v>
      </c>
      <c r="B27" s="34">
        <v>0</v>
      </c>
      <c r="C27" s="34">
        <v>110.8</v>
      </c>
      <c r="D27" s="34">
        <v>3535.7164831179989</v>
      </c>
      <c r="E27" s="34" t="s">
        <v>10</v>
      </c>
      <c r="F27" s="34" t="s">
        <v>35</v>
      </c>
      <c r="G27" s="34" t="s">
        <v>34</v>
      </c>
      <c r="H27" s="34" t="s">
        <v>35</v>
      </c>
      <c r="I27" s="41">
        <v>256779413171</v>
      </c>
    </row>
    <row r="28" spans="1:9" x14ac:dyDescent="0.35">
      <c r="A28" s="34" t="s">
        <v>302</v>
      </c>
      <c r="B28" s="34">
        <v>0</v>
      </c>
      <c r="C28" s="34">
        <v>36.6</v>
      </c>
      <c r="D28" s="34">
        <v>3499.116483117999</v>
      </c>
      <c r="E28" s="34" t="s">
        <v>10</v>
      </c>
      <c r="F28" s="34" t="s">
        <v>36</v>
      </c>
      <c r="G28" s="34" t="s">
        <v>34</v>
      </c>
      <c r="H28" s="34" t="s">
        <v>36</v>
      </c>
      <c r="I28" s="41">
        <v>256779413425</v>
      </c>
    </row>
    <row r="29" spans="1:9" x14ac:dyDescent="0.35">
      <c r="A29" s="34" t="s">
        <v>302</v>
      </c>
      <c r="B29" s="34">
        <v>0</v>
      </c>
      <c r="C29" s="34">
        <v>2.35</v>
      </c>
      <c r="D29" s="34">
        <v>3496.7664831179991</v>
      </c>
      <c r="E29" s="34" t="s">
        <v>10</v>
      </c>
      <c r="F29" s="34" t="s">
        <v>37</v>
      </c>
      <c r="G29" s="34" t="s">
        <v>34</v>
      </c>
      <c r="H29" s="34" t="s">
        <v>37</v>
      </c>
      <c r="I29" s="41">
        <v>256779413426</v>
      </c>
    </row>
    <row r="30" spans="1:9" x14ac:dyDescent="0.35">
      <c r="A30" s="34" t="s">
        <v>302</v>
      </c>
      <c r="B30" s="34">
        <v>0</v>
      </c>
      <c r="C30" s="34">
        <v>115.9</v>
      </c>
      <c r="D30" s="34">
        <v>3380.866483117999</v>
      </c>
      <c r="E30" s="34" t="s">
        <v>10</v>
      </c>
      <c r="F30" s="34" t="s">
        <v>38</v>
      </c>
      <c r="G30" s="34" t="s">
        <v>39</v>
      </c>
      <c r="H30" s="34" t="s">
        <v>38</v>
      </c>
      <c r="I30" s="41">
        <v>256779414757</v>
      </c>
    </row>
    <row r="31" spans="1:9" x14ac:dyDescent="0.35">
      <c r="A31" s="34" t="s">
        <v>302</v>
      </c>
      <c r="B31" s="34">
        <v>0</v>
      </c>
      <c r="C31" s="34">
        <v>19.7</v>
      </c>
      <c r="D31" s="34">
        <v>3361.1664831179992</v>
      </c>
      <c r="E31" s="34" t="s">
        <v>10</v>
      </c>
      <c r="F31" s="34" t="s">
        <v>40</v>
      </c>
      <c r="G31" s="34" t="s">
        <v>39</v>
      </c>
      <c r="H31" s="34" t="s">
        <v>40</v>
      </c>
      <c r="I31" s="41">
        <v>256779414767</v>
      </c>
    </row>
    <row r="32" spans="1:9" x14ac:dyDescent="0.35">
      <c r="A32" s="34" t="s">
        <v>302</v>
      </c>
      <c r="B32" s="34">
        <v>0</v>
      </c>
      <c r="C32" s="34">
        <v>212.2</v>
      </c>
      <c r="D32" s="34">
        <v>3148.9664831179989</v>
      </c>
      <c r="E32" s="34" t="s">
        <v>10</v>
      </c>
      <c r="F32" s="34" t="s">
        <v>41</v>
      </c>
      <c r="G32" s="34" t="s">
        <v>34</v>
      </c>
      <c r="H32" s="34" t="s">
        <v>41</v>
      </c>
      <c r="I32" s="41">
        <v>256779414967</v>
      </c>
    </row>
    <row r="33" spans="1:9" x14ac:dyDescent="0.35">
      <c r="A33" s="34" t="s">
        <v>302</v>
      </c>
      <c r="B33" s="34">
        <v>0</v>
      </c>
      <c r="C33" s="34">
        <v>480.4</v>
      </c>
      <c r="D33" s="34">
        <v>2668.5664831179988</v>
      </c>
      <c r="E33" s="34" t="s">
        <v>10</v>
      </c>
      <c r="F33" s="34" t="s">
        <v>42</v>
      </c>
      <c r="G33" s="34" t="s">
        <v>39</v>
      </c>
      <c r="H33" s="34" t="s">
        <v>42</v>
      </c>
      <c r="I33" s="41">
        <v>256779415455</v>
      </c>
    </row>
    <row r="34" spans="1:9" x14ac:dyDescent="0.35">
      <c r="A34" s="34" t="s">
        <v>302</v>
      </c>
      <c r="B34" s="34">
        <v>0</v>
      </c>
      <c r="C34" s="34">
        <v>273.45</v>
      </c>
      <c r="D34" s="34">
        <v>2395.116483117999</v>
      </c>
      <c r="E34" s="34" t="s">
        <v>10</v>
      </c>
      <c r="F34" s="34" t="s">
        <v>43</v>
      </c>
      <c r="G34" s="34" t="s">
        <v>39</v>
      </c>
      <c r="H34" s="34" t="s">
        <v>43</v>
      </c>
      <c r="I34" s="41">
        <v>256779417583</v>
      </c>
    </row>
    <row r="35" spans="1:9" x14ac:dyDescent="0.35">
      <c r="A35" s="34" t="s">
        <v>302</v>
      </c>
      <c r="B35" s="34">
        <v>0</v>
      </c>
      <c r="C35" s="34">
        <v>110.8</v>
      </c>
      <c r="D35" s="34">
        <v>2284.3164831179988</v>
      </c>
      <c r="E35" s="34" t="s">
        <v>10</v>
      </c>
      <c r="F35" s="34" t="s">
        <v>44</v>
      </c>
      <c r="G35" s="34" t="s">
        <v>34</v>
      </c>
      <c r="H35" s="34" t="s">
        <v>44</v>
      </c>
      <c r="I35" s="41">
        <v>256779418907</v>
      </c>
    </row>
    <row r="36" spans="1:9" x14ac:dyDescent="0.35">
      <c r="A36" s="34" t="s">
        <v>302</v>
      </c>
      <c r="B36" s="34">
        <v>0</v>
      </c>
      <c r="C36" s="34">
        <v>128.6</v>
      </c>
      <c r="D36" s="34">
        <v>2155.7164831179989</v>
      </c>
      <c r="E36" s="34" t="s">
        <v>10</v>
      </c>
      <c r="F36" s="34" t="s">
        <v>45</v>
      </c>
      <c r="G36" s="34" t="s">
        <v>34</v>
      </c>
      <c r="H36" s="34" t="s">
        <v>45</v>
      </c>
      <c r="I36" s="41">
        <v>256779418894</v>
      </c>
    </row>
    <row r="37" spans="1:9" x14ac:dyDescent="0.35">
      <c r="A37" s="34" t="s">
        <v>302</v>
      </c>
      <c r="B37" s="34">
        <v>0</v>
      </c>
      <c r="C37" s="34">
        <v>147.4</v>
      </c>
      <c r="D37" s="34">
        <v>2008.316483117999</v>
      </c>
      <c r="E37" s="34" t="s">
        <v>10</v>
      </c>
      <c r="F37" s="34" t="s">
        <v>46</v>
      </c>
      <c r="G37" s="34" t="s">
        <v>34</v>
      </c>
      <c r="H37" s="34" t="s">
        <v>46</v>
      </c>
      <c r="I37" s="41">
        <v>256779417598</v>
      </c>
    </row>
    <row r="38" spans="1:9" x14ac:dyDescent="0.35">
      <c r="A38" s="34" t="s">
        <v>302</v>
      </c>
      <c r="B38" s="34">
        <v>0</v>
      </c>
      <c r="C38" s="34">
        <v>36.6</v>
      </c>
      <c r="D38" s="34">
        <v>1971.7164831179989</v>
      </c>
      <c r="E38" s="34" t="s">
        <v>10</v>
      </c>
      <c r="F38" s="34" t="s">
        <v>47</v>
      </c>
      <c r="G38" s="34" t="s">
        <v>34</v>
      </c>
      <c r="H38" s="34" t="s">
        <v>47</v>
      </c>
      <c r="I38" s="41">
        <v>256779418355</v>
      </c>
    </row>
    <row r="39" spans="1:9" x14ac:dyDescent="0.35">
      <c r="A39" s="34" t="s">
        <v>302</v>
      </c>
      <c r="B39" s="34">
        <v>0</v>
      </c>
      <c r="C39" s="34">
        <v>69</v>
      </c>
      <c r="D39" s="34">
        <v>1902.7164831179989</v>
      </c>
      <c r="E39" s="34" t="s">
        <v>10</v>
      </c>
      <c r="F39" s="34" t="s">
        <v>48</v>
      </c>
      <c r="G39" s="34" t="s">
        <v>49</v>
      </c>
      <c r="H39" s="34" t="s">
        <v>48</v>
      </c>
      <c r="I39" s="41">
        <v>256779418167</v>
      </c>
    </row>
    <row r="40" spans="1:9" x14ac:dyDescent="0.35">
      <c r="A40" s="34" t="s">
        <v>303</v>
      </c>
      <c r="B40" s="34">
        <v>2</v>
      </c>
      <c r="C40" s="34">
        <v>76.55</v>
      </c>
      <c r="D40" s="34">
        <v>1828.166483117999</v>
      </c>
      <c r="E40" s="34" t="s">
        <v>10</v>
      </c>
      <c r="F40" s="34" t="s">
        <v>50</v>
      </c>
      <c r="G40" s="34" t="s">
        <v>51</v>
      </c>
      <c r="H40" s="34" t="s">
        <v>52</v>
      </c>
      <c r="I40" s="41">
        <v>256779418340</v>
      </c>
    </row>
    <row r="41" spans="1:9" x14ac:dyDescent="0.35">
      <c r="A41" s="34" t="s">
        <v>304</v>
      </c>
      <c r="B41" s="34">
        <v>38</v>
      </c>
      <c r="C41" s="34">
        <v>1902.19</v>
      </c>
      <c r="D41" s="34">
        <v>-36.023516882000649</v>
      </c>
      <c r="E41" s="34" t="s">
        <v>10</v>
      </c>
      <c r="F41" s="34" t="s">
        <v>53</v>
      </c>
      <c r="G41" s="34" t="s">
        <v>28</v>
      </c>
      <c r="H41" s="34" t="s">
        <v>54</v>
      </c>
      <c r="I41" s="41">
        <v>256779417441</v>
      </c>
    </row>
    <row r="42" spans="1:9" x14ac:dyDescent="0.35">
      <c r="A42" s="34" t="s">
        <v>304</v>
      </c>
      <c r="B42" s="34">
        <v>9</v>
      </c>
      <c r="C42" s="34">
        <v>472.74</v>
      </c>
      <c r="D42" s="34">
        <v>-499.76351688200072</v>
      </c>
      <c r="E42" s="34" t="s">
        <v>10</v>
      </c>
      <c r="F42" s="34" t="s">
        <v>55</v>
      </c>
      <c r="G42" s="34" t="s">
        <v>28</v>
      </c>
      <c r="H42" s="34" t="s">
        <v>56</v>
      </c>
      <c r="I42" s="41">
        <v>256779418178</v>
      </c>
    </row>
    <row r="43" spans="1:9" x14ac:dyDescent="0.35">
      <c r="A43" s="34" t="s">
        <v>304</v>
      </c>
      <c r="B43" s="34">
        <v>16</v>
      </c>
      <c r="C43" s="34">
        <v>793.07</v>
      </c>
      <c r="D43" s="34">
        <v>-1276.833516882001</v>
      </c>
      <c r="E43" s="34" t="s">
        <v>10</v>
      </c>
      <c r="F43" s="34" t="s">
        <v>57</v>
      </c>
      <c r="G43" s="34" t="s">
        <v>28</v>
      </c>
      <c r="H43" s="34" t="s">
        <v>58</v>
      </c>
      <c r="I43" s="41">
        <v>256779413836</v>
      </c>
    </row>
    <row r="44" spans="1:9" x14ac:dyDescent="0.35">
      <c r="A44" s="34" t="s">
        <v>304</v>
      </c>
      <c r="B44" s="34">
        <v>29</v>
      </c>
      <c r="C44" s="34">
        <v>1468.91</v>
      </c>
      <c r="D44" s="34">
        <v>-2716.7435168820011</v>
      </c>
      <c r="E44" s="34" t="s">
        <v>10</v>
      </c>
      <c r="F44" s="34" t="s">
        <v>59</v>
      </c>
      <c r="G44" s="34" t="s">
        <v>28</v>
      </c>
      <c r="H44" s="34" t="s">
        <v>60</v>
      </c>
      <c r="I44" s="41">
        <v>256779418818</v>
      </c>
    </row>
    <row r="45" spans="1:9" x14ac:dyDescent="0.35">
      <c r="A45" s="34" t="s">
        <v>61</v>
      </c>
      <c r="B45" s="34">
        <v>5537.0979955700004</v>
      </c>
      <c r="C45" s="34">
        <v>0</v>
      </c>
      <c r="D45" s="34">
        <v>2820.3544786879988</v>
      </c>
      <c r="E45" s="34" t="s">
        <v>21</v>
      </c>
      <c r="F45" s="34" t="s">
        <v>62</v>
      </c>
      <c r="G45" s="34" t="s">
        <v>23</v>
      </c>
      <c r="H45" s="34"/>
      <c r="I45" s="41"/>
    </row>
    <row r="46" spans="1:9" x14ac:dyDescent="0.35">
      <c r="A46" s="34" t="s">
        <v>305</v>
      </c>
      <c r="B46" s="34">
        <v>5</v>
      </c>
      <c r="C46" s="34">
        <v>50.75</v>
      </c>
      <c r="D46" s="34">
        <v>2774.6044786879988</v>
      </c>
      <c r="E46" s="34" t="s">
        <v>10</v>
      </c>
      <c r="F46" s="34" t="s">
        <v>63</v>
      </c>
      <c r="G46" s="34" t="s">
        <v>12</v>
      </c>
      <c r="H46" s="34" t="s">
        <v>64</v>
      </c>
      <c r="I46" s="41">
        <v>256779440042</v>
      </c>
    </row>
    <row r="47" spans="1:9" x14ac:dyDescent="0.35">
      <c r="A47" s="34" t="s">
        <v>306</v>
      </c>
      <c r="B47" s="34">
        <v>5</v>
      </c>
      <c r="C47" s="34">
        <v>50.75</v>
      </c>
      <c r="D47" s="34">
        <v>2728.8544786879988</v>
      </c>
      <c r="E47" s="34" t="s">
        <v>10</v>
      </c>
      <c r="F47" s="34" t="s">
        <v>65</v>
      </c>
      <c r="G47" s="34" t="s">
        <v>12</v>
      </c>
      <c r="H47" s="34" t="s">
        <v>66</v>
      </c>
      <c r="I47" s="41">
        <v>256779440333</v>
      </c>
    </row>
    <row r="48" spans="1:9" x14ac:dyDescent="0.35">
      <c r="A48" s="34"/>
      <c r="B48" s="34">
        <f>SUM(B2:B47)</f>
        <v>11737.657478688001</v>
      </c>
      <c r="C48" s="34">
        <f>SUM(C2:C47)</f>
        <v>9008.8029999999999</v>
      </c>
      <c r="D48" s="34">
        <f>B48-C48</f>
        <v>2728.8544786880011</v>
      </c>
      <c r="E48" s="34"/>
      <c r="F48" s="34"/>
      <c r="G48" s="34"/>
      <c r="H48" s="34"/>
      <c r="I48" s="34"/>
    </row>
  </sheetData>
  <autoFilter ref="A1:I48" xr:uid="{7BD98911-7041-4180-89F5-31257F7F1F34}"/>
  <conditionalFormatting sqref="I1:I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A091-FF51-41F7-BC85-422B0AD6D46A}">
  <dimension ref="A1:P43"/>
  <sheetViews>
    <sheetView topLeftCell="B11" workbookViewId="0">
      <selection activeCell="K43" sqref="K43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7" max="7" width="10.26953125" bestFit="1" customWidth="1"/>
    <col min="8" max="8" width="5.36328125" bestFit="1" customWidth="1"/>
    <col min="9" max="9" width="7.81640625" bestFit="1" customWidth="1"/>
    <col min="10" max="10" width="8" bestFit="1" customWidth="1"/>
    <col min="11" max="11" width="6.36328125" bestFit="1" customWidth="1"/>
    <col min="12" max="12" width="4.54296875" bestFit="1" customWidth="1"/>
    <col min="13" max="13" width="36.453125" bestFit="1" customWidth="1"/>
    <col min="14" max="14" width="19" hidden="1" customWidth="1"/>
    <col min="15" max="15" width="11.1796875" bestFit="1" customWidth="1"/>
    <col min="16" max="16" width="15.90625" bestFit="1" customWidth="1"/>
  </cols>
  <sheetData>
    <row r="1" spans="1:16" s="74" customFormat="1" ht="58" x14ac:dyDescent="0.35">
      <c r="A1" s="71" t="s">
        <v>81</v>
      </c>
      <c r="B1" s="72" t="s">
        <v>82</v>
      </c>
      <c r="C1" s="71" t="s">
        <v>83</v>
      </c>
      <c r="D1" s="73" t="s">
        <v>85</v>
      </c>
      <c r="E1" s="72" t="s">
        <v>86</v>
      </c>
      <c r="F1" s="72" t="s">
        <v>87</v>
      </c>
      <c r="G1" s="72" t="s">
        <v>89</v>
      </c>
      <c r="H1" s="21" t="s">
        <v>311</v>
      </c>
      <c r="I1" s="21" t="s">
        <v>307</v>
      </c>
      <c r="J1" s="21" t="s">
        <v>309</v>
      </c>
      <c r="K1" s="21" t="s">
        <v>260</v>
      </c>
      <c r="L1" s="54" t="s">
        <v>310</v>
      </c>
      <c r="M1" s="71" t="s">
        <v>313</v>
      </c>
      <c r="N1" s="71" t="s">
        <v>314</v>
      </c>
      <c r="O1" s="71" t="s">
        <v>316</v>
      </c>
      <c r="P1" s="71" t="s">
        <v>317</v>
      </c>
    </row>
    <row r="2" spans="1:16" x14ac:dyDescent="0.35">
      <c r="A2" s="11">
        <v>1800000091</v>
      </c>
      <c r="B2" s="11" t="s">
        <v>100</v>
      </c>
      <c r="C2" s="12">
        <v>45708</v>
      </c>
      <c r="D2" s="13">
        <v>246779410304</v>
      </c>
      <c r="E2" s="11" t="s">
        <v>98</v>
      </c>
      <c r="F2" s="14">
        <v>50.75</v>
      </c>
      <c r="G2" s="14">
        <v>4379.91</v>
      </c>
      <c r="H2" s="14">
        <v>0</v>
      </c>
      <c r="I2" s="14">
        <v>45.75</v>
      </c>
      <c r="J2" s="14">
        <v>45.75</v>
      </c>
      <c r="K2" s="14">
        <v>5</v>
      </c>
      <c r="L2" s="62">
        <v>9.8522167487684734E-2</v>
      </c>
      <c r="M2" s="11" t="s">
        <v>142</v>
      </c>
      <c r="N2" s="11">
        <v>1400000004</v>
      </c>
      <c r="O2" s="42">
        <f>K2</f>
        <v>5</v>
      </c>
      <c r="P2" s="4"/>
    </row>
    <row r="3" spans="1:16" x14ac:dyDescent="0.35">
      <c r="A3" s="11">
        <v>1800000122</v>
      </c>
      <c r="B3" s="11" t="s">
        <v>100</v>
      </c>
      <c r="C3" s="12">
        <v>45708</v>
      </c>
      <c r="D3" s="13">
        <v>246779410050</v>
      </c>
      <c r="E3" s="11" t="s">
        <v>98</v>
      </c>
      <c r="F3" s="14">
        <v>50.75</v>
      </c>
      <c r="G3" s="14">
        <v>4379.91</v>
      </c>
      <c r="H3" s="14">
        <v>0</v>
      </c>
      <c r="I3" s="14">
        <v>45.75</v>
      </c>
      <c r="J3" s="14">
        <v>45.75</v>
      </c>
      <c r="K3" s="14">
        <v>5</v>
      </c>
      <c r="L3" s="62">
        <v>9.8522167487684734E-2</v>
      </c>
      <c r="M3" s="11" t="s">
        <v>143</v>
      </c>
      <c r="N3" s="11">
        <v>1400000004</v>
      </c>
      <c r="O3" s="42">
        <f t="shared" ref="O3:O7" si="0">K3</f>
        <v>5</v>
      </c>
      <c r="P3" s="4"/>
    </row>
    <row r="4" spans="1:16" x14ac:dyDescent="0.35">
      <c r="A4" s="11">
        <v>1800000191</v>
      </c>
      <c r="B4" s="11" t="s">
        <v>100</v>
      </c>
      <c r="C4" s="12">
        <v>45708</v>
      </c>
      <c r="D4" s="13">
        <v>246779410118</v>
      </c>
      <c r="E4" s="11" t="s">
        <v>98</v>
      </c>
      <c r="F4" s="14">
        <v>50.75</v>
      </c>
      <c r="G4" s="14">
        <v>4379.91</v>
      </c>
      <c r="H4" s="14">
        <v>0</v>
      </c>
      <c r="I4" s="14">
        <v>45.75</v>
      </c>
      <c r="J4" s="14">
        <v>45.75</v>
      </c>
      <c r="K4" s="14">
        <v>5</v>
      </c>
      <c r="L4" s="62">
        <v>9.8522167487684734E-2</v>
      </c>
      <c r="M4" s="11" t="s">
        <v>144</v>
      </c>
      <c r="N4" s="11">
        <v>1400000004</v>
      </c>
      <c r="O4" s="42">
        <f t="shared" si="0"/>
        <v>5</v>
      </c>
      <c r="P4" s="4"/>
    </row>
    <row r="5" spans="1:16" x14ac:dyDescent="0.35">
      <c r="A5" s="11">
        <v>1800000234</v>
      </c>
      <c r="B5" s="11" t="s">
        <v>100</v>
      </c>
      <c r="C5" s="12">
        <v>45708</v>
      </c>
      <c r="D5" s="13">
        <v>246779410161</v>
      </c>
      <c r="E5" s="11" t="s">
        <v>98</v>
      </c>
      <c r="F5" s="14">
        <v>50.75</v>
      </c>
      <c r="G5" s="14">
        <v>4379.91</v>
      </c>
      <c r="H5" s="14">
        <v>0</v>
      </c>
      <c r="I5" s="14">
        <v>45.75</v>
      </c>
      <c r="J5" s="14">
        <v>45.75</v>
      </c>
      <c r="K5" s="14">
        <v>5</v>
      </c>
      <c r="L5" s="62">
        <v>9.8522167487684734E-2</v>
      </c>
      <c r="M5" s="11" t="s">
        <v>145</v>
      </c>
      <c r="N5" s="11">
        <v>1400000004</v>
      </c>
      <c r="O5" s="42">
        <f t="shared" si="0"/>
        <v>5</v>
      </c>
      <c r="P5" s="4"/>
    </row>
    <row r="6" spans="1:16" x14ac:dyDescent="0.35">
      <c r="A6" s="11">
        <v>1800000277</v>
      </c>
      <c r="B6" s="11" t="s">
        <v>100</v>
      </c>
      <c r="C6" s="12">
        <v>45708</v>
      </c>
      <c r="D6" s="13">
        <v>246779410204</v>
      </c>
      <c r="E6" s="11" t="s">
        <v>98</v>
      </c>
      <c r="F6" s="14">
        <v>50.75</v>
      </c>
      <c r="G6" s="14">
        <v>4379.91</v>
      </c>
      <c r="H6" s="14">
        <v>0</v>
      </c>
      <c r="I6" s="14">
        <v>45.75</v>
      </c>
      <c r="J6" s="14">
        <v>45.75</v>
      </c>
      <c r="K6" s="14">
        <v>5</v>
      </c>
      <c r="L6" s="62">
        <v>9.8522167487684734E-2</v>
      </c>
      <c r="M6" s="11" t="s">
        <v>146</v>
      </c>
      <c r="N6" s="11">
        <v>1400000004</v>
      </c>
      <c r="O6" s="42">
        <f t="shared" si="0"/>
        <v>5</v>
      </c>
      <c r="P6" s="4"/>
    </row>
    <row r="7" spans="1:16" x14ac:dyDescent="0.35">
      <c r="A7" s="11">
        <v>1800000320</v>
      </c>
      <c r="B7" s="11" t="s">
        <v>100</v>
      </c>
      <c r="C7" s="12">
        <v>45708</v>
      </c>
      <c r="D7" s="13">
        <v>246779410247</v>
      </c>
      <c r="E7" s="11" t="s">
        <v>98</v>
      </c>
      <c r="F7" s="14">
        <v>50.75</v>
      </c>
      <c r="G7" s="14">
        <v>4379.91</v>
      </c>
      <c r="H7" s="14">
        <v>0</v>
      </c>
      <c r="I7" s="14">
        <v>45.75</v>
      </c>
      <c r="J7" s="14">
        <v>45.75</v>
      </c>
      <c r="K7" s="14">
        <v>5</v>
      </c>
      <c r="L7" s="62">
        <v>9.8522167487684734E-2</v>
      </c>
      <c r="M7" s="11" t="s">
        <v>147</v>
      </c>
      <c r="N7" s="11">
        <v>1400000004</v>
      </c>
      <c r="O7" s="42">
        <f t="shared" si="0"/>
        <v>5</v>
      </c>
      <c r="P7" s="4"/>
    </row>
    <row r="8" spans="1:16" x14ac:dyDescent="0.35">
      <c r="A8" s="11">
        <v>1800003142</v>
      </c>
      <c r="B8" s="11" t="s">
        <v>100</v>
      </c>
      <c r="C8" s="12">
        <v>45735</v>
      </c>
      <c r="D8" s="13">
        <v>246779413009</v>
      </c>
      <c r="E8" s="11" t="s">
        <v>98</v>
      </c>
      <c r="F8" s="14">
        <v>50.75</v>
      </c>
      <c r="G8" s="14">
        <v>4399.58</v>
      </c>
      <c r="H8" s="14">
        <v>0</v>
      </c>
      <c r="I8" s="14">
        <v>45.75</v>
      </c>
      <c r="J8" s="14">
        <v>45.75</v>
      </c>
      <c r="K8" s="14">
        <v>5</v>
      </c>
      <c r="L8" s="62">
        <v>9.8522167487684734E-2</v>
      </c>
      <c r="M8" s="11" t="s">
        <v>182</v>
      </c>
      <c r="N8" s="11" t="s">
        <v>90</v>
      </c>
      <c r="O8" s="4"/>
      <c r="P8" s="42">
        <f>K8</f>
        <v>5</v>
      </c>
    </row>
    <row r="9" spans="1:16" x14ac:dyDescent="0.35">
      <c r="A9" s="11">
        <v>1800007279</v>
      </c>
      <c r="B9" s="11" t="s">
        <v>100</v>
      </c>
      <c r="C9" s="12">
        <v>45768</v>
      </c>
      <c r="D9" s="13">
        <v>256779412170</v>
      </c>
      <c r="E9" s="11" t="s">
        <v>98</v>
      </c>
      <c r="F9" s="14">
        <v>50.75</v>
      </c>
      <c r="G9" s="14">
        <v>4354.8599999999997</v>
      </c>
      <c r="H9" s="14">
        <v>0</v>
      </c>
      <c r="I9" s="14">
        <v>45.75</v>
      </c>
      <c r="J9" s="14">
        <v>45.75</v>
      </c>
      <c r="K9" s="14">
        <v>5</v>
      </c>
      <c r="L9" s="62">
        <v>9.8522167487684734E-2</v>
      </c>
      <c r="M9" s="11" t="s">
        <v>156</v>
      </c>
      <c r="N9" s="11" t="s">
        <v>90</v>
      </c>
      <c r="O9" s="4"/>
      <c r="P9" s="42">
        <f t="shared" ref="P9:P42" si="1">K9</f>
        <v>5</v>
      </c>
    </row>
    <row r="10" spans="1:16" x14ac:dyDescent="0.35">
      <c r="A10" s="11">
        <v>1800008244</v>
      </c>
      <c r="B10" s="11" t="s">
        <v>100</v>
      </c>
      <c r="C10" s="12">
        <v>45787</v>
      </c>
      <c r="D10" s="13">
        <v>256779413128</v>
      </c>
      <c r="E10" s="11" t="s">
        <v>98</v>
      </c>
      <c r="F10" s="14">
        <v>50.75</v>
      </c>
      <c r="G10" s="14">
        <v>4363.67</v>
      </c>
      <c r="H10" s="14">
        <v>0</v>
      </c>
      <c r="I10" s="14">
        <v>45.75</v>
      </c>
      <c r="J10" s="14">
        <v>45.75</v>
      </c>
      <c r="K10" s="14">
        <v>5</v>
      </c>
      <c r="L10" s="62">
        <v>9.8522167487684734E-2</v>
      </c>
      <c r="M10" s="11" t="s">
        <v>210</v>
      </c>
      <c r="N10" s="11" t="s">
        <v>90</v>
      </c>
      <c r="O10" s="4"/>
      <c r="P10" s="42">
        <f t="shared" si="1"/>
        <v>5</v>
      </c>
    </row>
    <row r="11" spans="1:16" x14ac:dyDescent="0.35">
      <c r="A11" s="11">
        <v>1800008279</v>
      </c>
      <c r="B11" s="11" t="s">
        <v>100</v>
      </c>
      <c r="C11" s="12">
        <v>45787</v>
      </c>
      <c r="D11" s="13">
        <v>256779413162</v>
      </c>
      <c r="E11" s="11" t="s">
        <v>98</v>
      </c>
      <c r="F11" s="14">
        <v>131.6</v>
      </c>
      <c r="G11" s="14">
        <v>11315.45</v>
      </c>
      <c r="H11" s="14">
        <v>0</v>
      </c>
      <c r="I11" s="14">
        <v>128.6</v>
      </c>
      <c r="J11" s="14">
        <v>128.6</v>
      </c>
      <c r="K11" s="14">
        <v>3</v>
      </c>
      <c r="L11" s="62">
        <v>2.2796352583586626E-2</v>
      </c>
      <c r="M11" s="11" t="s">
        <v>211</v>
      </c>
      <c r="N11" s="11" t="s">
        <v>90</v>
      </c>
      <c r="O11" s="4"/>
      <c r="P11" s="42">
        <f t="shared" si="1"/>
        <v>3</v>
      </c>
    </row>
    <row r="12" spans="1:16" x14ac:dyDescent="0.35">
      <c r="A12" s="11">
        <v>1800008288</v>
      </c>
      <c r="B12" s="11" t="s">
        <v>100</v>
      </c>
      <c r="C12" s="12">
        <v>45787</v>
      </c>
      <c r="D12" s="13">
        <v>256779413171</v>
      </c>
      <c r="E12" s="11" t="s">
        <v>98</v>
      </c>
      <c r="F12" s="14">
        <v>112.8</v>
      </c>
      <c r="G12" s="14">
        <v>9698.9599999999991</v>
      </c>
      <c r="H12" s="14">
        <v>0</v>
      </c>
      <c r="I12" s="14">
        <v>110.8</v>
      </c>
      <c r="J12" s="14">
        <v>110.8</v>
      </c>
      <c r="K12" s="14">
        <v>2</v>
      </c>
      <c r="L12" s="62">
        <v>1.7730496453900711E-2</v>
      </c>
      <c r="M12" s="11" t="s">
        <v>212</v>
      </c>
      <c r="N12" s="11" t="s">
        <v>90</v>
      </c>
      <c r="O12" s="4"/>
      <c r="P12" s="42">
        <f t="shared" si="1"/>
        <v>2</v>
      </c>
    </row>
    <row r="13" spans="1:16" x14ac:dyDescent="0.35">
      <c r="A13" s="11">
        <v>1800008359</v>
      </c>
      <c r="B13" s="11" t="s">
        <v>100</v>
      </c>
      <c r="C13" s="12">
        <v>45787</v>
      </c>
      <c r="D13" s="13">
        <v>256779413242</v>
      </c>
      <c r="E13" s="11" t="s">
        <v>98</v>
      </c>
      <c r="F13" s="14">
        <v>1194.92</v>
      </c>
      <c r="G13" s="14">
        <v>102743.64</v>
      </c>
      <c r="H13" s="14">
        <v>0</v>
      </c>
      <c r="I13" s="14">
        <v>1170.92</v>
      </c>
      <c r="J13" s="14">
        <v>1170.92</v>
      </c>
      <c r="K13" s="14">
        <v>24</v>
      </c>
      <c r="L13" s="62">
        <v>2.0085026612660262E-2</v>
      </c>
      <c r="M13" s="11" t="s">
        <v>213</v>
      </c>
      <c r="N13" s="11" t="s">
        <v>90</v>
      </c>
      <c r="O13" s="4"/>
      <c r="P13" s="42">
        <f t="shared" si="1"/>
        <v>24</v>
      </c>
    </row>
    <row r="14" spans="1:16" x14ac:dyDescent="0.35">
      <c r="A14" s="11">
        <v>1800009072</v>
      </c>
      <c r="B14" s="11" t="s">
        <v>100</v>
      </c>
      <c r="C14" s="12">
        <v>45797</v>
      </c>
      <c r="D14" s="13">
        <v>256779413836</v>
      </c>
      <c r="E14" s="11" t="s">
        <v>98</v>
      </c>
      <c r="F14" s="14">
        <v>793.07</v>
      </c>
      <c r="G14" s="14">
        <v>68191.09</v>
      </c>
      <c r="H14" s="14">
        <v>16</v>
      </c>
      <c r="I14" s="14">
        <v>793.07</v>
      </c>
      <c r="J14" s="14">
        <v>777.07</v>
      </c>
      <c r="K14" s="14">
        <v>16</v>
      </c>
      <c r="L14" s="62">
        <v>2.0174763892216323E-2</v>
      </c>
      <c r="M14" s="11" t="s">
        <v>150</v>
      </c>
      <c r="N14" s="11" t="s">
        <v>90</v>
      </c>
      <c r="O14" s="4"/>
      <c r="P14" s="42">
        <f t="shared" si="1"/>
        <v>16</v>
      </c>
    </row>
    <row r="15" spans="1:16" x14ac:dyDescent="0.35">
      <c r="A15" s="11">
        <v>1800009076</v>
      </c>
      <c r="B15" s="11" t="s">
        <v>100</v>
      </c>
      <c r="C15" s="12">
        <v>45797</v>
      </c>
      <c r="D15" s="13">
        <v>256779413840</v>
      </c>
      <c r="E15" s="11" t="s">
        <v>98</v>
      </c>
      <c r="F15" s="14">
        <v>42.14</v>
      </c>
      <c r="G15" s="14">
        <v>3623.35</v>
      </c>
      <c r="H15" s="14">
        <v>0</v>
      </c>
      <c r="I15" s="14">
        <v>41.14</v>
      </c>
      <c r="J15" s="14">
        <v>41.14</v>
      </c>
      <c r="K15" s="14">
        <v>1</v>
      </c>
      <c r="L15" s="62">
        <v>2.3730422401518746E-2</v>
      </c>
      <c r="M15" s="11" t="s">
        <v>151</v>
      </c>
      <c r="N15" s="11" t="s">
        <v>90</v>
      </c>
      <c r="O15" s="4"/>
      <c r="P15" s="42">
        <f t="shared" si="1"/>
        <v>1</v>
      </c>
    </row>
    <row r="16" spans="1:16" x14ac:dyDescent="0.35">
      <c r="A16" s="11">
        <v>1800008661</v>
      </c>
      <c r="B16" s="11" t="s">
        <v>100</v>
      </c>
      <c r="C16" s="12">
        <v>45798</v>
      </c>
      <c r="D16" s="13">
        <v>256779413425</v>
      </c>
      <c r="E16" s="11" t="s">
        <v>98</v>
      </c>
      <c r="F16" s="14">
        <v>37.6</v>
      </c>
      <c r="G16" s="14">
        <v>3232.99</v>
      </c>
      <c r="H16" s="14">
        <v>0</v>
      </c>
      <c r="I16" s="14">
        <v>36.6</v>
      </c>
      <c r="J16" s="14">
        <v>36.6</v>
      </c>
      <c r="K16" s="14">
        <v>1</v>
      </c>
      <c r="L16" s="62">
        <v>2.6595744680851064E-2</v>
      </c>
      <c r="M16" s="11" t="s">
        <v>169</v>
      </c>
      <c r="N16" s="11" t="s">
        <v>90</v>
      </c>
      <c r="O16" s="4"/>
      <c r="P16" s="42">
        <f t="shared" si="1"/>
        <v>1</v>
      </c>
    </row>
    <row r="17" spans="1:16" x14ac:dyDescent="0.35">
      <c r="A17" s="11">
        <v>1800008662</v>
      </c>
      <c r="B17" s="11" t="s">
        <v>100</v>
      </c>
      <c r="C17" s="12">
        <v>45798</v>
      </c>
      <c r="D17" s="13">
        <v>256779413426</v>
      </c>
      <c r="E17" s="11" t="s">
        <v>98</v>
      </c>
      <c r="F17" s="14">
        <v>2.35</v>
      </c>
      <c r="G17" s="14">
        <v>202.06</v>
      </c>
      <c r="H17" s="14">
        <v>0</v>
      </c>
      <c r="I17" s="14">
        <v>2.35</v>
      </c>
      <c r="J17" s="14">
        <v>2.35</v>
      </c>
      <c r="K17" s="14">
        <v>0</v>
      </c>
      <c r="L17" s="62">
        <v>0</v>
      </c>
      <c r="M17" s="11" t="s">
        <v>170</v>
      </c>
      <c r="N17" s="11" t="s">
        <v>90</v>
      </c>
      <c r="O17" s="4"/>
      <c r="P17" s="42">
        <f t="shared" si="1"/>
        <v>0</v>
      </c>
    </row>
    <row r="18" spans="1:16" x14ac:dyDescent="0.35">
      <c r="A18" s="11">
        <v>1800009623</v>
      </c>
      <c r="B18" s="11" t="s">
        <v>100</v>
      </c>
      <c r="C18" s="12">
        <v>45818</v>
      </c>
      <c r="D18" s="13">
        <v>256779414387</v>
      </c>
      <c r="E18" s="11" t="s">
        <v>98</v>
      </c>
      <c r="F18" s="14">
        <v>50.75</v>
      </c>
      <c r="G18" s="14">
        <v>4338.66</v>
      </c>
      <c r="H18" s="14">
        <v>0</v>
      </c>
      <c r="I18" s="14">
        <v>45.75</v>
      </c>
      <c r="J18" s="14">
        <v>45.75</v>
      </c>
      <c r="K18" s="14">
        <v>5</v>
      </c>
      <c r="L18" s="62">
        <v>9.8522167487684734E-2</v>
      </c>
      <c r="M18" s="11" t="s">
        <v>112</v>
      </c>
      <c r="N18" s="11" t="s">
        <v>90</v>
      </c>
      <c r="O18" s="4"/>
      <c r="P18" s="42">
        <f t="shared" si="1"/>
        <v>5</v>
      </c>
    </row>
    <row r="19" spans="1:16" x14ac:dyDescent="0.35">
      <c r="A19" s="11">
        <v>1800009993</v>
      </c>
      <c r="B19" s="11" t="s">
        <v>100</v>
      </c>
      <c r="C19" s="12">
        <v>45826</v>
      </c>
      <c r="D19" s="13">
        <v>256779414757</v>
      </c>
      <c r="E19" s="11" t="s">
        <v>98</v>
      </c>
      <c r="F19" s="14">
        <v>117.9</v>
      </c>
      <c r="G19" s="14">
        <v>10079.36</v>
      </c>
      <c r="H19" s="14">
        <v>0</v>
      </c>
      <c r="I19" s="14">
        <v>115.9</v>
      </c>
      <c r="J19" s="14">
        <v>115.9</v>
      </c>
      <c r="K19" s="14">
        <v>2</v>
      </c>
      <c r="L19" s="62">
        <v>1.6963528413910092E-2</v>
      </c>
      <c r="M19" s="11" t="s">
        <v>171</v>
      </c>
      <c r="N19" s="11" t="s">
        <v>90</v>
      </c>
      <c r="O19" s="4"/>
      <c r="P19" s="42">
        <f t="shared" si="1"/>
        <v>2</v>
      </c>
    </row>
    <row r="20" spans="1:16" x14ac:dyDescent="0.35">
      <c r="A20" s="11">
        <v>1800009978</v>
      </c>
      <c r="B20" s="11" t="s">
        <v>100</v>
      </c>
      <c r="C20" s="12">
        <v>45827</v>
      </c>
      <c r="D20" s="13">
        <v>256779414742</v>
      </c>
      <c r="E20" s="11" t="s">
        <v>98</v>
      </c>
      <c r="F20" s="14">
        <v>332.22</v>
      </c>
      <c r="G20" s="14">
        <v>28401.75</v>
      </c>
      <c r="H20" s="14">
        <v>0</v>
      </c>
      <c r="I20" s="14">
        <v>325.22000000000003</v>
      </c>
      <c r="J20" s="14">
        <v>325.22000000000003</v>
      </c>
      <c r="K20" s="14">
        <v>7</v>
      </c>
      <c r="L20" s="62">
        <v>2.1070375052675935E-2</v>
      </c>
      <c r="M20" s="11" t="s">
        <v>183</v>
      </c>
      <c r="N20" s="11" t="s">
        <v>90</v>
      </c>
      <c r="O20" s="4"/>
      <c r="P20" s="42">
        <f t="shared" si="1"/>
        <v>7</v>
      </c>
    </row>
    <row r="21" spans="1:16" x14ac:dyDescent="0.35">
      <c r="A21" s="11">
        <v>1800010003</v>
      </c>
      <c r="B21" s="11" t="s">
        <v>100</v>
      </c>
      <c r="C21" s="12">
        <v>45842</v>
      </c>
      <c r="D21" s="13">
        <v>256779414767</v>
      </c>
      <c r="E21" s="11" t="s">
        <v>98</v>
      </c>
      <c r="F21" s="14">
        <v>19.7</v>
      </c>
      <c r="G21" s="14">
        <v>1694.21</v>
      </c>
      <c r="H21" s="14">
        <v>0</v>
      </c>
      <c r="I21" s="14">
        <v>19.7</v>
      </c>
      <c r="J21" s="14">
        <v>19.7</v>
      </c>
      <c r="K21" s="14">
        <v>0</v>
      </c>
      <c r="L21" s="62">
        <v>0</v>
      </c>
      <c r="M21" s="11" t="s">
        <v>116</v>
      </c>
      <c r="N21" s="11" t="s">
        <v>90</v>
      </c>
      <c r="O21" s="4"/>
      <c r="P21" s="42">
        <f t="shared" si="1"/>
        <v>0</v>
      </c>
    </row>
    <row r="22" spans="1:16" x14ac:dyDescent="0.35">
      <c r="A22" s="11">
        <v>1800010185</v>
      </c>
      <c r="B22" s="11" t="s">
        <v>100</v>
      </c>
      <c r="C22" s="12">
        <v>45842</v>
      </c>
      <c r="D22" s="13">
        <v>256779414945</v>
      </c>
      <c r="E22" s="11" t="s">
        <v>98</v>
      </c>
      <c r="F22" s="14">
        <v>50.75</v>
      </c>
      <c r="G22" s="14">
        <v>4364.53</v>
      </c>
      <c r="H22" s="14">
        <v>0</v>
      </c>
      <c r="I22" s="14">
        <v>45.75</v>
      </c>
      <c r="J22" s="14">
        <v>45.75</v>
      </c>
      <c r="K22" s="14">
        <v>5</v>
      </c>
      <c r="L22" s="62">
        <v>9.8522167487684734E-2</v>
      </c>
      <c r="M22" s="11" t="s">
        <v>117</v>
      </c>
      <c r="N22" s="11" t="s">
        <v>90</v>
      </c>
      <c r="O22" s="4"/>
      <c r="P22" s="42">
        <f t="shared" si="1"/>
        <v>5</v>
      </c>
    </row>
    <row r="23" spans="1:16" x14ac:dyDescent="0.35">
      <c r="A23" s="11">
        <v>1800010207</v>
      </c>
      <c r="B23" s="11" t="s">
        <v>100</v>
      </c>
      <c r="C23" s="12">
        <v>45845</v>
      </c>
      <c r="D23" s="13">
        <v>256779414967</v>
      </c>
      <c r="E23" s="11" t="s">
        <v>98</v>
      </c>
      <c r="F23" s="14">
        <v>216.2</v>
      </c>
      <c r="G23" s="14">
        <v>18593.34</v>
      </c>
      <c r="H23" s="14">
        <v>0</v>
      </c>
      <c r="I23" s="14">
        <v>212.2</v>
      </c>
      <c r="J23" s="14">
        <v>212.2</v>
      </c>
      <c r="K23" s="14">
        <v>4</v>
      </c>
      <c r="L23" s="62">
        <v>1.8501387604070305E-2</v>
      </c>
      <c r="M23" s="11" t="s">
        <v>90</v>
      </c>
      <c r="N23" s="11" t="s">
        <v>90</v>
      </c>
      <c r="O23" s="4"/>
      <c r="P23" s="42">
        <f t="shared" si="1"/>
        <v>4</v>
      </c>
    </row>
    <row r="24" spans="1:16" x14ac:dyDescent="0.35">
      <c r="A24" s="11">
        <v>1800010671</v>
      </c>
      <c r="B24" s="11" t="s">
        <v>100</v>
      </c>
      <c r="C24" s="12">
        <v>45856</v>
      </c>
      <c r="D24" s="13">
        <v>256779415455</v>
      </c>
      <c r="E24" s="11" t="s">
        <v>98</v>
      </c>
      <c r="F24" s="14">
        <v>490.4</v>
      </c>
      <c r="G24" s="14">
        <v>42174.73</v>
      </c>
      <c r="H24" s="14">
        <v>0</v>
      </c>
      <c r="I24" s="14">
        <v>480.4</v>
      </c>
      <c r="J24" s="14">
        <v>480.4</v>
      </c>
      <c r="K24" s="14">
        <v>10</v>
      </c>
      <c r="L24" s="62">
        <v>2.0391517128874388E-2</v>
      </c>
      <c r="M24" s="11" t="s">
        <v>141</v>
      </c>
      <c r="N24" s="11" t="s">
        <v>90</v>
      </c>
      <c r="O24" s="4"/>
      <c r="P24" s="42">
        <f t="shared" si="1"/>
        <v>10</v>
      </c>
    </row>
    <row r="25" spans="1:16" x14ac:dyDescent="0.35">
      <c r="A25" s="11">
        <v>1800011346</v>
      </c>
      <c r="B25" s="11" t="s">
        <v>100</v>
      </c>
      <c r="C25" s="12">
        <v>45870</v>
      </c>
      <c r="D25" s="13">
        <v>256779416055</v>
      </c>
      <c r="E25" s="11" t="s">
        <v>98</v>
      </c>
      <c r="F25" s="14">
        <v>50.75</v>
      </c>
      <c r="G25" s="14">
        <v>4366.03</v>
      </c>
      <c r="H25" s="14">
        <v>0</v>
      </c>
      <c r="I25" s="14">
        <v>45.75</v>
      </c>
      <c r="J25" s="14">
        <v>45.75</v>
      </c>
      <c r="K25" s="14">
        <v>5</v>
      </c>
      <c r="L25" s="62">
        <v>9.8522167487684734E-2</v>
      </c>
      <c r="M25" s="11" t="s">
        <v>107</v>
      </c>
      <c r="N25" s="11" t="s">
        <v>90</v>
      </c>
      <c r="O25" s="4"/>
      <c r="P25" s="42">
        <f t="shared" si="1"/>
        <v>5</v>
      </c>
    </row>
    <row r="26" spans="1:16" x14ac:dyDescent="0.35">
      <c r="A26" s="11">
        <v>1800012740</v>
      </c>
      <c r="B26" s="11" t="s">
        <v>100</v>
      </c>
      <c r="C26" s="12">
        <v>45904</v>
      </c>
      <c r="D26" s="13">
        <v>256779417374</v>
      </c>
      <c r="E26" s="11" t="s">
        <v>98</v>
      </c>
      <c r="F26" s="14">
        <v>50.75</v>
      </c>
      <c r="G26" s="14">
        <v>4441.3500000000004</v>
      </c>
      <c r="H26" s="14">
        <v>0</v>
      </c>
      <c r="I26" s="14">
        <v>45.75</v>
      </c>
      <c r="J26" s="14">
        <v>45.75</v>
      </c>
      <c r="K26" s="14">
        <v>5</v>
      </c>
      <c r="L26" s="62">
        <v>9.8522167487684734E-2</v>
      </c>
      <c r="M26" s="11" t="s">
        <v>115</v>
      </c>
      <c r="N26" s="11" t="s">
        <v>90</v>
      </c>
      <c r="O26" s="4"/>
      <c r="P26" s="42">
        <f t="shared" si="1"/>
        <v>5</v>
      </c>
    </row>
    <row r="27" spans="1:16" x14ac:dyDescent="0.35">
      <c r="A27" s="11">
        <v>1800012787</v>
      </c>
      <c r="B27" s="11" t="s">
        <v>100</v>
      </c>
      <c r="C27" s="12">
        <v>45917</v>
      </c>
      <c r="D27" s="13">
        <v>256779417441</v>
      </c>
      <c r="E27" s="11" t="s">
        <v>98</v>
      </c>
      <c r="F27" s="14">
        <v>1902.19</v>
      </c>
      <c r="G27" s="14">
        <v>166468.88</v>
      </c>
      <c r="H27" s="14">
        <v>38</v>
      </c>
      <c r="I27" s="14">
        <v>1902.19</v>
      </c>
      <c r="J27" s="14">
        <v>1864.19</v>
      </c>
      <c r="K27" s="14">
        <v>38</v>
      </c>
      <c r="L27" s="62">
        <v>1.9976973909020656E-2</v>
      </c>
      <c r="M27" s="11" t="s">
        <v>113</v>
      </c>
      <c r="N27" s="11" t="s">
        <v>90</v>
      </c>
      <c r="O27" s="4"/>
      <c r="P27" s="42">
        <f t="shared" si="1"/>
        <v>38</v>
      </c>
    </row>
    <row r="28" spans="1:16" x14ac:dyDescent="0.35">
      <c r="A28" s="11">
        <v>1800012796</v>
      </c>
      <c r="B28" s="11" t="s">
        <v>100</v>
      </c>
      <c r="C28" s="12">
        <v>45917</v>
      </c>
      <c r="D28" s="13">
        <v>256779417450</v>
      </c>
      <c r="E28" s="11" t="s">
        <v>98</v>
      </c>
      <c r="F28" s="14">
        <v>81.569999999999993</v>
      </c>
      <c r="G28" s="14">
        <v>7138.54</v>
      </c>
      <c r="H28" s="14">
        <v>0</v>
      </c>
      <c r="I28" s="14">
        <v>79.569999999999993</v>
      </c>
      <c r="J28" s="14">
        <v>79.569999999999993</v>
      </c>
      <c r="K28" s="14">
        <v>2</v>
      </c>
      <c r="L28" s="62">
        <v>2.4518818192963102E-2</v>
      </c>
      <c r="M28" s="11" t="s">
        <v>114</v>
      </c>
      <c r="N28" s="11" t="s">
        <v>90</v>
      </c>
      <c r="O28" s="4"/>
      <c r="P28" s="42">
        <f t="shared" si="1"/>
        <v>2</v>
      </c>
    </row>
    <row r="29" spans="1:16" x14ac:dyDescent="0.35">
      <c r="A29" s="11">
        <v>1800012944</v>
      </c>
      <c r="B29" s="11" t="s">
        <v>100</v>
      </c>
      <c r="C29" s="12">
        <v>45918</v>
      </c>
      <c r="D29" s="13">
        <v>256779417583</v>
      </c>
      <c r="E29" s="11" t="s">
        <v>98</v>
      </c>
      <c r="F29" s="14">
        <v>279.45</v>
      </c>
      <c r="G29" s="14">
        <v>24455.88</v>
      </c>
      <c r="H29" s="14">
        <v>0</v>
      </c>
      <c r="I29" s="14">
        <v>273.45</v>
      </c>
      <c r="J29" s="14">
        <v>273.45</v>
      </c>
      <c r="K29" s="14">
        <v>6</v>
      </c>
      <c r="L29" s="62">
        <v>2.147074610842727E-2</v>
      </c>
      <c r="M29" s="11" t="s">
        <v>192</v>
      </c>
      <c r="N29" s="11" t="s">
        <v>90</v>
      </c>
      <c r="O29" s="4"/>
      <c r="P29" s="42">
        <f t="shared" si="1"/>
        <v>6</v>
      </c>
    </row>
    <row r="30" spans="1:16" x14ac:dyDescent="0.35">
      <c r="A30" s="11">
        <v>1800012862</v>
      </c>
      <c r="B30" s="11" t="s">
        <v>100</v>
      </c>
      <c r="C30" s="12">
        <v>45918</v>
      </c>
      <c r="D30" s="13">
        <v>256779417598</v>
      </c>
      <c r="E30" s="11" t="s">
        <v>98</v>
      </c>
      <c r="F30" s="14">
        <v>150.4</v>
      </c>
      <c r="G30" s="14">
        <v>13162.16</v>
      </c>
      <c r="H30" s="14">
        <v>0</v>
      </c>
      <c r="I30" s="14">
        <v>147.4</v>
      </c>
      <c r="J30" s="14">
        <v>147.4</v>
      </c>
      <c r="K30" s="14">
        <v>3</v>
      </c>
      <c r="L30" s="62">
        <v>1.9946808510638295E-2</v>
      </c>
      <c r="M30" s="11" t="s">
        <v>193</v>
      </c>
      <c r="N30" s="11" t="s">
        <v>90</v>
      </c>
      <c r="O30" s="4"/>
      <c r="P30" s="42">
        <f t="shared" si="1"/>
        <v>3</v>
      </c>
    </row>
    <row r="31" spans="1:16" x14ac:dyDescent="0.35">
      <c r="A31" s="11">
        <v>1800013461</v>
      </c>
      <c r="B31" s="11" t="s">
        <v>100</v>
      </c>
      <c r="C31" s="12">
        <v>45935</v>
      </c>
      <c r="D31" s="13">
        <v>256779418037</v>
      </c>
      <c r="E31" s="11" t="s">
        <v>98</v>
      </c>
      <c r="F31" s="14">
        <v>50.75</v>
      </c>
      <c r="G31" s="14">
        <v>4475.68</v>
      </c>
      <c r="H31" s="14">
        <v>0</v>
      </c>
      <c r="I31" s="14">
        <v>45.75</v>
      </c>
      <c r="J31" s="14">
        <v>45.75</v>
      </c>
      <c r="K31" s="14">
        <v>5</v>
      </c>
      <c r="L31" s="62">
        <v>9.8522167487684734E-2</v>
      </c>
      <c r="M31" s="11" t="s">
        <v>226</v>
      </c>
      <c r="N31" s="11" t="s">
        <v>90</v>
      </c>
      <c r="O31" s="4"/>
      <c r="P31" s="42">
        <f t="shared" si="1"/>
        <v>5</v>
      </c>
    </row>
    <row r="32" spans="1:16" x14ac:dyDescent="0.35">
      <c r="A32" s="11">
        <v>1800013746</v>
      </c>
      <c r="B32" s="11" t="s">
        <v>100</v>
      </c>
      <c r="C32" s="12">
        <v>45937</v>
      </c>
      <c r="D32" s="13">
        <v>256779418167</v>
      </c>
      <c r="E32" s="11" t="s">
        <v>98</v>
      </c>
      <c r="F32" s="14">
        <v>70</v>
      </c>
      <c r="G32" s="14">
        <v>6173.35</v>
      </c>
      <c r="H32" s="14">
        <v>0</v>
      </c>
      <c r="I32" s="14">
        <v>69</v>
      </c>
      <c r="J32" s="14">
        <v>69</v>
      </c>
      <c r="K32" s="14">
        <v>1</v>
      </c>
      <c r="L32" s="62">
        <v>1.4285714285714285E-2</v>
      </c>
      <c r="M32" s="11" t="s">
        <v>201</v>
      </c>
      <c r="N32" s="11" t="s">
        <v>90</v>
      </c>
      <c r="O32" s="4"/>
      <c r="P32" s="42">
        <f t="shared" si="1"/>
        <v>1</v>
      </c>
    </row>
    <row r="33" spans="1:16" x14ac:dyDescent="0.35">
      <c r="A33" s="11">
        <v>1800013757</v>
      </c>
      <c r="B33" s="11" t="s">
        <v>100</v>
      </c>
      <c r="C33" s="12">
        <v>45937</v>
      </c>
      <c r="D33" s="13">
        <v>256779418178</v>
      </c>
      <c r="E33" s="11" t="s">
        <v>98</v>
      </c>
      <c r="F33" s="14">
        <v>472.74</v>
      </c>
      <c r="G33" s="14">
        <v>41691.300000000003</v>
      </c>
      <c r="H33" s="14">
        <v>9</v>
      </c>
      <c r="I33" s="14">
        <v>472.74</v>
      </c>
      <c r="J33" s="14">
        <v>463.74</v>
      </c>
      <c r="K33" s="14">
        <v>9</v>
      </c>
      <c r="L33" s="62">
        <v>1.9037948978296738E-2</v>
      </c>
      <c r="M33" s="11" t="s">
        <v>202</v>
      </c>
      <c r="N33" s="11" t="s">
        <v>90</v>
      </c>
      <c r="O33" s="4"/>
      <c r="P33" s="42">
        <f t="shared" si="1"/>
        <v>9</v>
      </c>
    </row>
    <row r="34" spans="1:16" x14ac:dyDescent="0.35">
      <c r="A34" s="11">
        <v>1800013765</v>
      </c>
      <c r="B34" s="11" t="s">
        <v>100</v>
      </c>
      <c r="C34" s="12">
        <v>45937</v>
      </c>
      <c r="D34" s="13">
        <v>256779418186</v>
      </c>
      <c r="E34" s="11" t="s">
        <v>98</v>
      </c>
      <c r="F34" s="14">
        <v>20.27</v>
      </c>
      <c r="G34" s="14">
        <v>1787.63</v>
      </c>
      <c r="H34" s="14">
        <v>0</v>
      </c>
      <c r="I34" s="14">
        <v>20.27</v>
      </c>
      <c r="J34" s="14">
        <v>20.27</v>
      </c>
      <c r="K34" s="14">
        <v>0</v>
      </c>
      <c r="L34" s="62">
        <v>0</v>
      </c>
      <c r="M34" s="11" t="s">
        <v>203</v>
      </c>
      <c r="N34" s="11" t="s">
        <v>90</v>
      </c>
      <c r="O34" s="4"/>
      <c r="P34" s="42">
        <f t="shared" si="1"/>
        <v>0</v>
      </c>
    </row>
    <row r="35" spans="1:16" x14ac:dyDescent="0.35">
      <c r="A35" s="11">
        <v>1800013772</v>
      </c>
      <c r="B35" s="11" t="s">
        <v>100</v>
      </c>
      <c r="C35" s="12">
        <v>45937</v>
      </c>
      <c r="D35" s="13">
        <v>256779418340</v>
      </c>
      <c r="E35" s="11" t="s">
        <v>98</v>
      </c>
      <c r="F35" s="14">
        <v>76.55</v>
      </c>
      <c r="G35" s="14">
        <v>6751</v>
      </c>
      <c r="H35" s="14">
        <v>2</v>
      </c>
      <c r="I35" s="14">
        <v>76.55</v>
      </c>
      <c r="J35" s="14">
        <v>74.55</v>
      </c>
      <c r="K35" s="14">
        <v>2</v>
      </c>
      <c r="L35" s="62">
        <v>2.6126714565643371E-2</v>
      </c>
      <c r="M35" s="11" t="s">
        <v>204</v>
      </c>
      <c r="N35" s="11" t="s">
        <v>90</v>
      </c>
      <c r="O35" s="4"/>
      <c r="P35" s="42">
        <f t="shared" si="1"/>
        <v>2</v>
      </c>
    </row>
    <row r="36" spans="1:16" x14ac:dyDescent="0.35">
      <c r="A36" s="11">
        <v>1800013531</v>
      </c>
      <c r="B36" s="11" t="s">
        <v>100</v>
      </c>
      <c r="C36" s="12">
        <v>45937</v>
      </c>
      <c r="D36" s="13">
        <v>256779418355</v>
      </c>
      <c r="E36" s="11" t="s">
        <v>98</v>
      </c>
      <c r="F36" s="14">
        <v>37.6</v>
      </c>
      <c r="G36" s="14">
        <v>3315.97</v>
      </c>
      <c r="H36" s="14">
        <v>0</v>
      </c>
      <c r="I36" s="14">
        <v>36.6</v>
      </c>
      <c r="J36" s="14">
        <v>36.6</v>
      </c>
      <c r="K36" s="14">
        <v>1</v>
      </c>
      <c r="L36" s="62">
        <v>2.6595744680851064E-2</v>
      </c>
      <c r="M36" s="11" t="s">
        <v>205</v>
      </c>
      <c r="N36" s="11" t="s">
        <v>90</v>
      </c>
      <c r="O36" s="4"/>
      <c r="P36" s="42">
        <f t="shared" si="1"/>
        <v>1</v>
      </c>
    </row>
    <row r="37" spans="1:16" x14ac:dyDescent="0.35">
      <c r="A37" s="11">
        <v>1800013949</v>
      </c>
      <c r="B37" s="11" t="s">
        <v>100</v>
      </c>
      <c r="C37" s="12">
        <v>45951</v>
      </c>
      <c r="D37" s="13">
        <v>256779418481</v>
      </c>
      <c r="E37" s="11" t="s">
        <v>98</v>
      </c>
      <c r="F37" s="14">
        <v>40.770000000000003</v>
      </c>
      <c r="G37" s="14">
        <v>3595.54</v>
      </c>
      <c r="H37" s="14">
        <v>0</v>
      </c>
      <c r="I37" s="14">
        <v>39.770000000000003</v>
      </c>
      <c r="J37" s="14">
        <v>39.770000000000003</v>
      </c>
      <c r="K37" s="14">
        <v>1</v>
      </c>
      <c r="L37" s="62">
        <v>2.452783909737552E-2</v>
      </c>
      <c r="M37" s="11" t="s">
        <v>179</v>
      </c>
      <c r="N37" s="11" t="s">
        <v>90</v>
      </c>
      <c r="O37" s="4"/>
      <c r="P37" s="42">
        <f t="shared" si="1"/>
        <v>1</v>
      </c>
    </row>
    <row r="38" spans="1:16" x14ac:dyDescent="0.35">
      <c r="A38" s="11">
        <v>1800014281</v>
      </c>
      <c r="B38" s="11" t="s">
        <v>100</v>
      </c>
      <c r="C38" s="12">
        <v>45966</v>
      </c>
      <c r="D38" s="13">
        <v>256779418818</v>
      </c>
      <c r="E38" s="11" t="s">
        <v>98</v>
      </c>
      <c r="F38" s="14">
        <v>1468.91</v>
      </c>
      <c r="G38" s="14">
        <v>129269.06</v>
      </c>
      <c r="H38" s="14">
        <v>29</v>
      </c>
      <c r="I38" s="14">
        <v>1468.91</v>
      </c>
      <c r="J38" s="14">
        <v>1439.91</v>
      </c>
      <c r="K38" s="14">
        <v>29</v>
      </c>
      <c r="L38" s="62">
        <v>1.9742530175436208E-2</v>
      </c>
      <c r="M38" s="11" t="s">
        <v>123</v>
      </c>
      <c r="N38" s="11" t="s">
        <v>90</v>
      </c>
      <c r="O38" s="4"/>
      <c r="P38" s="42">
        <f t="shared" si="1"/>
        <v>29</v>
      </c>
    </row>
    <row r="39" spans="1:16" x14ac:dyDescent="0.35">
      <c r="A39" s="11">
        <v>1800014587</v>
      </c>
      <c r="B39" s="11" t="s">
        <v>100</v>
      </c>
      <c r="C39" s="12">
        <v>45966</v>
      </c>
      <c r="D39" s="13">
        <v>256779418894</v>
      </c>
      <c r="E39" s="11" t="s">
        <v>98</v>
      </c>
      <c r="F39" s="14">
        <v>131.6</v>
      </c>
      <c r="G39" s="14">
        <v>11581.25</v>
      </c>
      <c r="H39" s="14">
        <v>0</v>
      </c>
      <c r="I39" s="14">
        <v>128.6</v>
      </c>
      <c r="J39" s="14">
        <v>128.6</v>
      </c>
      <c r="K39" s="14">
        <v>3</v>
      </c>
      <c r="L39" s="62">
        <v>2.2796352583586626E-2</v>
      </c>
      <c r="M39" s="11" t="s">
        <v>128</v>
      </c>
      <c r="N39" s="11" t="s">
        <v>90</v>
      </c>
      <c r="O39" s="4"/>
      <c r="P39" s="42">
        <f t="shared" si="1"/>
        <v>3</v>
      </c>
    </row>
    <row r="40" spans="1:16" x14ac:dyDescent="0.35">
      <c r="A40" s="11">
        <v>1800014642</v>
      </c>
      <c r="B40" s="11" t="s">
        <v>100</v>
      </c>
      <c r="C40" s="12">
        <v>45966</v>
      </c>
      <c r="D40" s="13">
        <v>256779418907</v>
      </c>
      <c r="E40" s="11" t="s">
        <v>98</v>
      </c>
      <c r="F40" s="14">
        <v>112.8</v>
      </c>
      <c r="G40" s="14">
        <v>9926.7800000000007</v>
      </c>
      <c r="H40" s="14">
        <v>0</v>
      </c>
      <c r="I40" s="14">
        <v>110.8</v>
      </c>
      <c r="J40" s="14">
        <v>110.8</v>
      </c>
      <c r="K40" s="14">
        <v>2</v>
      </c>
      <c r="L40" s="62">
        <v>1.7730496453900711E-2</v>
      </c>
      <c r="M40" s="11" t="s">
        <v>129</v>
      </c>
      <c r="N40" s="11" t="s">
        <v>90</v>
      </c>
      <c r="O40" s="4"/>
      <c r="P40" s="42">
        <f t="shared" si="1"/>
        <v>2</v>
      </c>
    </row>
    <row r="41" spans="1:16" x14ac:dyDescent="0.35">
      <c r="A41" s="11">
        <v>1800015709</v>
      </c>
      <c r="B41" s="11" t="s">
        <v>100</v>
      </c>
      <c r="C41" s="12">
        <v>46024</v>
      </c>
      <c r="D41" s="13">
        <v>256779440042</v>
      </c>
      <c r="E41" s="11" t="s">
        <v>98</v>
      </c>
      <c r="F41" s="14">
        <v>50.75</v>
      </c>
      <c r="G41" s="14">
        <v>4605.21</v>
      </c>
      <c r="H41" s="14">
        <v>5</v>
      </c>
      <c r="I41" s="14">
        <v>50.75</v>
      </c>
      <c r="J41" s="14">
        <v>45.75</v>
      </c>
      <c r="K41" s="14">
        <v>5</v>
      </c>
      <c r="L41" s="62">
        <v>9.8522167487684734E-2</v>
      </c>
      <c r="M41" s="11" t="s">
        <v>231</v>
      </c>
      <c r="N41" s="11" t="s">
        <v>90</v>
      </c>
      <c r="O41" s="4"/>
      <c r="P41" s="42">
        <f t="shared" si="1"/>
        <v>5</v>
      </c>
    </row>
    <row r="42" spans="1:16" x14ac:dyDescent="0.35">
      <c r="A42" s="11">
        <v>1800016624</v>
      </c>
      <c r="B42" s="11" t="s">
        <v>100</v>
      </c>
      <c r="C42" s="12">
        <v>46028</v>
      </c>
      <c r="D42" s="13">
        <v>256779440333</v>
      </c>
      <c r="E42" s="11" t="s">
        <v>98</v>
      </c>
      <c r="F42" s="14">
        <v>50.75</v>
      </c>
      <c r="G42" s="14">
        <v>4605.21</v>
      </c>
      <c r="H42" s="14">
        <v>5</v>
      </c>
      <c r="I42" s="14">
        <v>50.75</v>
      </c>
      <c r="J42" s="14">
        <v>45.75</v>
      </c>
      <c r="K42" s="14">
        <v>5</v>
      </c>
      <c r="L42" s="62">
        <v>9.8522167487684734E-2</v>
      </c>
      <c r="M42" s="11" t="s">
        <v>251</v>
      </c>
      <c r="N42" s="11" t="s">
        <v>90</v>
      </c>
      <c r="O42" s="4"/>
      <c r="P42" s="42">
        <f t="shared" si="1"/>
        <v>5</v>
      </c>
    </row>
    <row r="43" spans="1:16" x14ac:dyDescent="0.35">
      <c r="K43" s="15">
        <f>SUM(K2:K42)</f>
        <v>247</v>
      </c>
      <c r="O43" s="15">
        <f>SUM(O2:O42)</f>
        <v>30</v>
      </c>
      <c r="P43" s="15">
        <f>SUM(P2:P42)</f>
        <v>217</v>
      </c>
    </row>
  </sheetData>
  <autoFilter ref="A1:N42" xr:uid="{D9E0A091-FF51-41F7-BC85-422B0AD6D46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472E-58FB-4E83-B31D-92EAAEDE73D0}">
  <sheetPr filterMode="1"/>
  <dimension ref="A1:O39"/>
  <sheetViews>
    <sheetView tabSelected="1" topLeftCell="F1" zoomScale="85" zoomScaleNormal="85" workbookViewId="0">
      <selection activeCell="O6" sqref="A6:XFD7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7.81640625" customWidth="1"/>
    <col min="5" max="5" width="8.26953125" bestFit="1" customWidth="1"/>
    <col min="6" max="6" width="9.453125" bestFit="1" customWidth="1"/>
    <col min="7" max="7" width="15.7265625" bestFit="1" customWidth="1"/>
    <col min="8" max="8" width="45" bestFit="1" customWidth="1"/>
    <col min="9" max="9" width="63.1796875" bestFit="1" customWidth="1"/>
    <col min="10" max="10" width="11.7265625" customWidth="1"/>
    <col min="14" max="14" width="8.7265625" style="19"/>
    <col min="15" max="15" width="32.453125" bestFit="1" customWidth="1"/>
  </cols>
  <sheetData>
    <row r="1" spans="1:15" s="74" customFormat="1" ht="58" x14ac:dyDescent="0.35">
      <c r="A1" s="71" t="s">
        <v>81</v>
      </c>
      <c r="B1" s="72" t="s">
        <v>82</v>
      </c>
      <c r="C1" s="71" t="s">
        <v>83</v>
      </c>
      <c r="D1" s="73" t="s">
        <v>85</v>
      </c>
      <c r="E1" s="72" t="s">
        <v>86</v>
      </c>
      <c r="F1" s="72" t="s">
        <v>87</v>
      </c>
      <c r="G1" s="72" t="s">
        <v>89</v>
      </c>
      <c r="H1" s="71" t="s">
        <v>313</v>
      </c>
      <c r="I1" s="71" t="s">
        <v>320</v>
      </c>
      <c r="J1" s="21" t="s">
        <v>311</v>
      </c>
      <c r="K1" s="21" t="s">
        <v>307</v>
      </c>
      <c r="L1" s="21" t="s">
        <v>309</v>
      </c>
      <c r="M1" s="21" t="s">
        <v>260</v>
      </c>
      <c r="N1" s="54" t="s">
        <v>310</v>
      </c>
      <c r="O1" s="84" t="s">
        <v>263</v>
      </c>
    </row>
    <row r="2" spans="1:15" x14ac:dyDescent="0.35">
      <c r="A2" s="11">
        <v>1800009181</v>
      </c>
      <c r="B2" s="11" t="s">
        <v>100</v>
      </c>
      <c r="C2" s="12">
        <v>45810</v>
      </c>
      <c r="D2" s="13">
        <v>256779413945</v>
      </c>
      <c r="E2" s="11" t="s">
        <v>98</v>
      </c>
      <c r="F2" s="14">
        <v>50.75</v>
      </c>
      <c r="G2" s="14">
        <v>4338.66</v>
      </c>
      <c r="H2" s="11" t="s">
        <v>149</v>
      </c>
      <c r="I2" s="82" t="str">
        <f>_xlfn.XLOOKUP(D2,'[1]Invoices not in customers books'!$E:$E,'[1]Invoices not in customers books'!L:L,,0)</f>
        <v>Fixed Storage for Aug'24 already invoiced (256779413955)</v>
      </c>
      <c r="J2" s="4" t="e" cm="1">
        <f t="array" ref="J2">_xlfn.XLOOKUP(D2,'[2]Query Report'!$H:$H,'[2]Query Report'!$C:$D,,0)</f>
        <v>#N/A</v>
      </c>
      <c r="K2" s="4"/>
      <c r="L2" s="4"/>
      <c r="M2" s="4"/>
      <c r="N2" s="83"/>
      <c r="O2" s="4" t="s">
        <v>321</v>
      </c>
    </row>
    <row r="3" spans="1:15" x14ac:dyDescent="0.35">
      <c r="A3" s="11">
        <v>1800009191</v>
      </c>
      <c r="B3" s="11" t="s">
        <v>100</v>
      </c>
      <c r="C3" s="12">
        <v>45810</v>
      </c>
      <c r="D3" s="13">
        <v>256779413955</v>
      </c>
      <c r="E3" s="11" t="s">
        <v>98</v>
      </c>
      <c r="F3" s="14">
        <v>50.75</v>
      </c>
      <c r="G3" s="14">
        <v>4338.66</v>
      </c>
      <c r="H3" s="11" t="s">
        <v>200</v>
      </c>
      <c r="I3" s="82" t="str">
        <f>_xlfn.XLOOKUP(D3,'[1]Invoices not in customers books'!$E:$E,'[1]Invoices not in customers books'!L:L,,0)</f>
        <v>Fixed Storage for Aug'24 already invoiced (256779413955)</v>
      </c>
      <c r="J3" s="4" t="e" cm="1">
        <f t="array" ref="J3">_xlfn.XLOOKUP(D3,'[2]Query Report'!$H:$H,'[2]Query Report'!$C:$D,,0)</f>
        <v>#N/A</v>
      </c>
      <c r="K3" s="4"/>
      <c r="L3" s="4"/>
      <c r="M3" s="4"/>
      <c r="N3" s="83"/>
      <c r="O3" s="4" t="s">
        <v>322</v>
      </c>
    </row>
    <row r="4" spans="1:15" x14ac:dyDescent="0.35">
      <c r="A4" s="11">
        <v>1800011070</v>
      </c>
      <c r="B4" s="11" t="s">
        <v>100</v>
      </c>
      <c r="C4" s="12">
        <v>45862</v>
      </c>
      <c r="D4" s="13">
        <v>256779415830</v>
      </c>
      <c r="E4" s="11" t="s">
        <v>98</v>
      </c>
      <c r="F4" s="14">
        <v>50.75</v>
      </c>
      <c r="G4" s="14">
        <v>4364.53</v>
      </c>
      <c r="H4" s="11" t="s">
        <v>164</v>
      </c>
      <c r="I4" s="82" t="str">
        <f>_xlfn.XLOOKUP(D4,'[1]Invoices not in customers books'!$E:$E,'[1]Invoices not in customers books'!L:L,,0)</f>
        <v>Invoices not received</v>
      </c>
      <c r="J4" s="4" t="e" cm="1">
        <f t="array" ref="J4">_xlfn.XLOOKUP(D4,'[2]Query Report'!$H:$H,'[2]Query Report'!$C:$D,,0)</f>
        <v>#N/A</v>
      </c>
      <c r="K4" s="4"/>
      <c r="L4" s="4"/>
      <c r="M4" s="4"/>
      <c r="N4" s="83"/>
      <c r="O4" s="4" t="s">
        <v>321</v>
      </c>
    </row>
    <row r="5" spans="1:15" x14ac:dyDescent="0.35">
      <c r="A5" s="11">
        <v>1800011071</v>
      </c>
      <c r="B5" s="11" t="s">
        <v>100</v>
      </c>
      <c r="C5" s="12">
        <v>45862</v>
      </c>
      <c r="D5" s="13">
        <v>256779415831</v>
      </c>
      <c r="E5" s="11" t="s">
        <v>98</v>
      </c>
      <c r="F5" s="14">
        <v>50.75</v>
      </c>
      <c r="G5" s="14">
        <v>4364.53</v>
      </c>
      <c r="H5" s="11" t="s">
        <v>166</v>
      </c>
      <c r="I5" s="82" t="str">
        <f>_xlfn.XLOOKUP(D5,'[1]Invoices not in customers books'!$E:$E,'[1]Invoices not in customers books'!L:L,,0)</f>
        <v>Invoices not received</v>
      </c>
      <c r="J5" s="4" t="e" cm="1">
        <f t="array" ref="J5">_xlfn.XLOOKUP(D5,'[2]Query Report'!$H:$H,'[2]Query Report'!$C:$D,,0)</f>
        <v>#N/A</v>
      </c>
      <c r="K5" s="4"/>
      <c r="L5" s="4"/>
      <c r="M5" s="4"/>
      <c r="N5" s="83"/>
      <c r="O5" s="4" t="s">
        <v>321</v>
      </c>
    </row>
    <row r="6" spans="1:15" x14ac:dyDescent="0.35">
      <c r="A6" s="11">
        <v>1800016281</v>
      </c>
      <c r="B6" s="11" t="s">
        <v>100</v>
      </c>
      <c r="C6" s="12">
        <v>46028</v>
      </c>
      <c r="D6" s="13">
        <v>256779440161</v>
      </c>
      <c r="E6" s="11" t="s">
        <v>98</v>
      </c>
      <c r="F6" s="14">
        <v>56.74</v>
      </c>
      <c r="G6" s="14">
        <v>5148.7700000000004</v>
      </c>
      <c r="H6" s="11" t="s">
        <v>238</v>
      </c>
      <c r="I6" s="82" t="str">
        <f>_xlfn.XLOOKUP(D6,'[1]Invoices not in customers books'!$E:$E,'[1]Invoices not in customers books'!L:L,,0)</f>
        <v>PORT SSR Chgs Dec 25</v>
      </c>
      <c r="J6" s="4" t="e" cm="1">
        <f t="array" ref="J6">_xlfn.XLOOKUP(D6,'[2]Query Report'!$H:$H,'[2]Query Report'!$C:$D,,0)</f>
        <v>#N/A</v>
      </c>
      <c r="K6" s="4"/>
      <c r="L6" s="4"/>
      <c r="M6" s="4"/>
      <c r="N6" s="83"/>
      <c r="O6" s="4" t="s">
        <v>322</v>
      </c>
    </row>
    <row r="7" spans="1:15" x14ac:dyDescent="0.35">
      <c r="A7" s="11">
        <v>1800014728</v>
      </c>
      <c r="B7" s="11" t="s">
        <v>100</v>
      </c>
      <c r="C7" s="12">
        <v>45966</v>
      </c>
      <c r="D7" s="13">
        <v>256779419229</v>
      </c>
      <c r="E7" s="11" t="s">
        <v>98</v>
      </c>
      <c r="F7" s="14">
        <v>77.069999999999993</v>
      </c>
      <c r="G7" s="14">
        <v>6782.42</v>
      </c>
      <c r="H7" s="11" t="s">
        <v>132</v>
      </c>
      <c r="I7" s="82" t="str">
        <f>_xlfn.XLOOKUP(D7,'[1]Invoices not in customers books'!$E:$E,'[1]Invoices not in customers books'!L:L,,0)</f>
        <v>PORT SSR Chgs Oct 25 Not to be booked</v>
      </c>
      <c r="J7" s="4" t="e" cm="1">
        <f t="array" ref="J7">_xlfn.XLOOKUP(D7,'[2]Query Report'!$H:$H,'[2]Query Report'!$C:$D,,0)</f>
        <v>#N/A</v>
      </c>
      <c r="K7" s="4"/>
      <c r="L7" s="4"/>
      <c r="M7" s="4"/>
      <c r="N7" s="83"/>
      <c r="O7" s="4" t="s">
        <v>322</v>
      </c>
    </row>
    <row r="8" spans="1:15" hidden="1" x14ac:dyDescent="0.35">
      <c r="A8" s="11">
        <v>1800014264</v>
      </c>
      <c r="B8" s="11" t="s">
        <v>100</v>
      </c>
      <c r="C8" s="12">
        <v>45966</v>
      </c>
      <c r="D8" s="13">
        <v>256779418803</v>
      </c>
      <c r="E8" s="11" t="s">
        <v>98</v>
      </c>
      <c r="F8" s="14">
        <v>50.75</v>
      </c>
      <c r="G8" s="14">
        <v>4466.17</v>
      </c>
      <c r="H8" s="11" t="s">
        <v>122</v>
      </c>
      <c r="I8" s="11" t="str">
        <f>_xlfn.XLOOKUP(D8,'[2]Query Report'!$H:$H,'[2]Query Report'!$B:$B,,0)</f>
        <v>PU/26/SCP/OT/0826</v>
      </c>
      <c r="J8" s="4" cm="1">
        <f t="array" ref="J8:K8">_xlfn.XLOOKUP(D8,'[2]Query Report'!$H:$H,'[2]Query Report'!$C:$D,,0)</f>
        <v>5</v>
      </c>
      <c r="K8" s="4">
        <v>50.75</v>
      </c>
      <c r="L8" s="4">
        <f>K8-J8</f>
        <v>45.75</v>
      </c>
      <c r="M8" s="42">
        <f>F8-L8</f>
        <v>5</v>
      </c>
      <c r="N8" s="83">
        <f>M8/F8</f>
        <v>9.8522167487684734E-2</v>
      </c>
      <c r="O8" s="4" t="s">
        <v>324</v>
      </c>
    </row>
    <row r="9" spans="1:15" hidden="1" x14ac:dyDescent="0.35">
      <c r="A9" s="11">
        <v>1800016783</v>
      </c>
      <c r="B9" s="11" t="s">
        <v>100</v>
      </c>
      <c r="C9" s="12">
        <v>46035</v>
      </c>
      <c r="D9" s="13">
        <v>256779440370</v>
      </c>
      <c r="E9" s="11" t="s">
        <v>98</v>
      </c>
      <c r="F9" s="14">
        <v>60.36</v>
      </c>
      <c r="G9" s="14">
        <v>5477.26</v>
      </c>
      <c r="H9" s="11" t="s">
        <v>256</v>
      </c>
      <c r="I9" s="11" t="str">
        <f>_xlfn.XLOOKUP(D9,'[2]Query Report'!$H:$H,'[2]Query Report'!$B:$B,,0)</f>
        <v>PU/26/SCP/OT/0827-1</v>
      </c>
      <c r="J9" s="4" cm="1">
        <f t="array" ref="J9:K9">_xlfn.XLOOKUP(D9,'[2]Query Report'!$H:$H,'[2]Query Report'!$C:$D,,0)</f>
        <v>1</v>
      </c>
      <c r="K9" s="4">
        <v>60.36</v>
      </c>
      <c r="L9" s="4">
        <f t="shared" ref="L9:L38" si="0">K9-J9</f>
        <v>59.36</v>
      </c>
      <c r="M9" s="42">
        <f t="shared" ref="M9:M38" si="1">F9-L9</f>
        <v>1</v>
      </c>
      <c r="N9" s="83">
        <f t="shared" ref="N9:N38" si="2">M9/F9</f>
        <v>1.656726308813784E-2</v>
      </c>
      <c r="O9" s="4" t="s">
        <v>324</v>
      </c>
    </row>
    <row r="10" spans="1:15" hidden="1" x14ac:dyDescent="0.35">
      <c r="A10" s="11">
        <v>1800016749</v>
      </c>
      <c r="B10" s="11" t="s">
        <v>100</v>
      </c>
      <c r="C10" s="12">
        <v>46035</v>
      </c>
      <c r="D10" s="13">
        <v>256779440336</v>
      </c>
      <c r="E10" s="11" t="s">
        <v>98</v>
      </c>
      <c r="F10" s="14">
        <v>70</v>
      </c>
      <c r="G10" s="14">
        <v>6352.02</v>
      </c>
      <c r="H10" s="11" t="s">
        <v>252</v>
      </c>
      <c r="I10" s="11" t="str">
        <f>_xlfn.XLOOKUP(D10,'[2]Query Report'!$H:$H,'[2]Query Report'!$B:$B,,0)</f>
        <v>PU/26/SCP/OT/0829</v>
      </c>
      <c r="J10" s="4" cm="1">
        <f t="array" ref="J10:K10">_xlfn.XLOOKUP(D10,'[2]Query Report'!$H:$H,'[2]Query Report'!$C:$D,,0)</f>
        <v>1</v>
      </c>
      <c r="K10" s="4">
        <v>70</v>
      </c>
      <c r="L10" s="4">
        <f t="shared" si="0"/>
        <v>69</v>
      </c>
      <c r="M10" s="42">
        <f t="shared" si="1"/>
        <v>1</v>
      </c>
      <c r="N10" s="83">
        <f t="shared" si="2"/>
        <v>1.4285714285714285E-2</v>
      </c>
      <c r="O10" s="4" t="s">
        <v>324</v>
      </c>
    </row>
    <row r="11" spans="1:15" hidden="1" x14ac:dyDescent="0.35">
      <c r="A11" s="11">
        <v>1800016703</v>
      </c>
      <c r="B11" s="11" t="s">
        <v>100</v>
      </c>
      <c r="C11" s="12">
        <v>46034</v>
      </c>
      <c r="D11" s="13">
        <v>256779440292</v>
      </c>
      <c r="E11" s="11" t="s">
        <v>98</v>
      </c>
      <c r="F11" s="14">
        <v>40.04</v>
      </c>
      <c r="G11" s="14">
        <v>3633.36</v>
      </c>
      <c r="H11" s="11" t="s">
        <v>250</v>
      </c>
      <c r="I11" s="11" t="str">
        <f>_xlfn.XLOOKUP(D11,'[2]Query Report'!$H:$H,'[2]Query Report'!$B:$B,,0)</f>
        <v>PU/26/SCP/OT/0830-1</v>
      </c>
      <c r="J11" s="4" cm="1">
        <f t="array" ref="J11:K11">_xlfn.XLOOKUP(D11,'[2]Query Report'!$H:$H,'[2]Query Report'!$C:$D,,0)</f>
        <v>1</v>
      </c>
      <c r="K11" s="4">
        <v>40.04</v>
      </c>
      <c r="L11" s="4">
        <f t="shared" si="0"/>
        <v>39.04</v>
      </c>
      <c r="M11" s="42">
        <f t="shared" si="1"/>
        <v>1</v>
      </c>
      <c r="N11" s="83">
        <f t="shared" si="2"/>
        <v>2.4975024975024976E-2</v>
      </c>
      <c r="O11" s="4" t="s">
        <v>324</v>
      </c>
    </row>
    <row r="12" spans="1:15" hidden="1" x14ac:dyDescent="0.35">
      <c r="A12" s="11">
        <v>1800016636</v>
      </c>
      <c r="B12" s="11" t="s">
        <v>100</v>
      </c>
      <c r="C12" s="12">
        <v>46028</v>
      </c>
      <c r="D12" s="13">
        <v>256779440256</v>
      </c>
      <c r="E12" s="11" t="s">
        <v>98</v>
      </c>
      <c r="F12" s="14">
        <v>112.8</v>
      </c>
      <c r="G12" s="14">
        <v>10235.83</v>
      </c>
      <c r="H12" s="11" t="s">
        <v>245</v>
      </c>
      <c r="I12" s="11" t="str">
        <f>_xlfn.XLOOKUP(D12,'[2]Query Report'!$H:$H,'[2]Query Report'!$B:$B,,0)</f>
        <v>PU/26/SCP/OT/0831</v>
      </c>
      <c r="J12" s="4" cm="1">
        <f t="array" ref="J12:K12">_xlfn.XLOOKUP(D12,'[2]Query Report'!$H:$H,'[2]Query Report'!$C:$D,,0)</f>
        <v>2</v>
      </c>
      <c r="K12" s="4">
        <v>112.8</v>
      </c>
      <c r="L12" s="4">
        <f t="shared" si="0"/>
        <v>110.8</v>
      </c>
      <c r="M12" s="42">
        <f t="shared" si="1"/>
        <v>2</v>
      </c>
      <c r="N12" s="83">
        <f t="shared" si="2"/>
        <v>1.7730496453900711E-2</v>
      </c>
      <c r="O12" s="4" t="s">
        <v>324</v>
      </c>
    </row>
    <row r="13" spans="1:15" hidden="1" x14ac:dyDescent="0.35">
      <c r="A13" s="11">
        <v>1800016159</v>
      </c>
      <c r="B13" s="11" t="s">
        <v>100</v>
      </c>
      <c r="C13" s="12">
        <v>46031</v>
      </c>
      <c r="D13" s="13">
        <v>256779440129</v>
      </c>
      <c r="E13" s="11" t="s">
        <v>98</v>
      </c>
      <c r="F13" s="14">
        <v>169.2</v>
      </c>
      <c r="G13" s="14">
        <v>15353.74</v>
      </c>
      <c r="H13" s="11" t="s">
        <v>189</v>
      </c>
      <c r="I13" s="11" t="str">
        <f>_xlfn.XLOOKUP(D13,'[2]Query Report'!$H:$H,'[2]Query Report'!$B:$B,,0)</f>
        <v>PU/26/SCP/OT/0832</v>
      </c>
      <c r="J13" s="4" cm="1">
        <f t="array" ref="J13:K13">_xlfn.XLOOKUP(D13,'[2]Query Report'!$H:$H,'[2]Query Report'!$C:$D,,0)</f>
        <v>3</v>
      </c>
      <c r="K13" s="4">
        <v>169.2</v>
      </c>
      <c r="L13" s="4">
        <f t="shared" si="0"/>
        <v>166.2</v>
      </c>
      <c r="M13" s="42">
        <f t="shared" si="1"/>
        <v>3</v>
      </c>
      <c r="N13" s="83">
        <f t="shared" si="2"/>
        <v>1.7730496453900711E-2</v>
      </c>
      <c r="O13" s="4" t="s">
        <v>324</v>
      </c>
    </row>
    <row r="14" spans="1:15" hidden="1" x14ac:dyDescent="0.35">
      <c r="A14" s="11">
        <v>1800016318</v>
      </c>
      <c r="B14" s="11" t="s">
        <v>100</v>
      </c>
      <c r="C14" s="12">
        <v>46034</v>
      </c>
      <c r="D14" s="13">
        <v>256779440171</v>
      </c>
      <c r="E14" s="11" t="s">
        <v>98</v>
      </c>
      <c r="F14" s="14">
        <v>180.4</v>
      </c>
      <c r="G14" s="14">
        <v>16370.06</v>
      </c>
      <c r="H14" s="11" t="s">
        <v>241</v>
      </c>
      <c r="I14" s="11" t="str">
        <f>_xlfn.XLOOKUP(D14,'[2]Query Report'!$H:$H,'[2]Query Report'!$B:$B,,0)</f>
        <v>PU/26/SCP/OT/0833</v>
      </c>
      <c r="J14" s="4" cm="1">
        <f t="array" ref="J14:K14">_xlfn.XLOOKUP(D14,'[2]Query Report'!$H:$H,'[2]Query Report'!$C:$D,,0)</f>
        <v>4</v>
      </c>
      <c r="K14" s="4">
        <v>180.4</v>
      </c>
      <c r="L14" s="4">
        <f t="shared" si="0"/>
        <v>176.4</v>
      </c>
      <c r="M14" s="42">
        <f t="shared" si="1"/>
        <v>4</v>
      </c>
      <c r="N14" s="83">
        <f t="shared" si="2"/>
        <v>2.2172949002217293E-2</v>
      </c>
      <c r="O14" s="4" t="s">
        <v>324</v>
      </c>
    </row>
    <row r="15" spans="1:15" hidden="1" x14ac:dyDescent="0.35">
      <c r="A15" s="11">
        <v>1800014973</v>
      </c>
      <c r="B15" s="11" t="s">
        <v>100</v>
      </c>
      <c r="C15" s="12">
        <v>45981</v>
      </c>
      <c r="D15" s="13">
        <v>256779419474</v>
      </c>
      <c r="E15" s="11" t="s">
        <v>98</v>
      </c>
      <c r="F15" s="14">
        <v>20.28</v>
      </c>
      <c r="G15" s="14">
        <v>1784.71</v>
      </c>
      <c r="H15" s="11" t="s">
        <v>104</v>
      </c>
      <c r="I15" s="11" t="str">
        <f>_xlfn.XLOOKUP(D15,'[2]Query Report'!$H:$H,'[2]Query Report'!$B:$B,,0)</f>
        <v>PU/26/SCP/OT/0834</v>
      </c>
      <c r="J15" s="4" cm="1">
        <f t="array" ref="J15:K15">_xlfn.XLOOKUP(D15,'[2]Query Report'!$H:$H,'[2]Query Report'!$C:$D,,0)</f>
        <v>0</v>
      </c>
      <c r="K15" s="4">
        <v>20.28</v>
      </c>
      <c r="L15" s="4">
        <f t="shared" si="0"/>
        <v>20.28</v>
      </c>
      <c r="M15" s="42">
        <f t="shared" si="1"/>
        <v>0</v>
      </c>
      <c r="N15" s="83">
        <f t="shared" si="2"/>
        <v>0</v>
      </c>
      <c r="O15" s="4" t="s">
        <v>324</v>
      </c>
    </row>
    <row r="16" spans="1:15" hidden="1" x14ac:dyDescent="0.35">
      <c r="A16" s="11">
        <v>1800016772</v>
      </c>
      <c r="B16" s="11" t="s">
        <v>100</v>
      </c>
      <c r="C16" s="12">
        <v>46035</v>
      </c>
      <c r="D16" s="13">
        <v>256779440359</v>
      </c>
      <c r="E16" s="11" t="s">
        <v>98</v>
      </c>
      <c r="F16" s="14">
        <v>821.64</v>
      </c>
      <c r="G16" s="14">
        <v>74558.19</v>
      </c>
      <c r="H16" s="11" t="s">
        <v>254</v>
      </c>
      <c r="I16" s="11" t="str">
        <f>_xlfn.XLOOKUP(D16,'[2]Query Report'!$H:$H,'[2]Query Report'!$B:$B,,0)</f>
        <v>PU/26/SCP/OT/0835</v>
      </c>
      <c r="J16" s="4" cm="1">
        <f t="array" ref="J16:K16">_xlfn.XLOOKUP(D16,'[2]Query Report'!$H:$H,'[2]Query Report'!$C:$D,,0)</f>
        <v>16</v>
      </c>
      <c r="K16" s="4">
        <v>821.64</v>
      </c>
      <c r="L16" s="4">
        <f t="shared" si="0"/>
        <v>805.64</v>
      </c>
      <c r="M16" s="42">
        <f t="shared" si="1"/>
        <v>16</v>
      </c>
      <c r="N16" s="83">
        <f t="shared" si="2"/>
        <v>1.9473248624701817E-2</v>
      </c>
      <c r="O16" s="4" t="s">
        <v>324</v>
      </c>
    </row>
    <row r="17" spans="1:15" hidden="1" x14ac:dyDescent="0.35">
      <c r="A17" s="11">
        <v>1800016692</v>
      </c>
      <c r="B17" s="11" t="s">
        <v>100</v>
      </c>
      <c r="C17" s="12">
        <v>46034</v>
      </c>
      <c r="D17" s="13">
        <v>256779440281</v>
      </c>
      <c r="E17" s="11" t="s">
        <v>98</v>
      </c>
      <c r="F17" s="14">
        <v>933.73</v>
      </c>
      <c r="G17" s="14">
        <v>84729.59</v>
      </c>
      <c r="H17" s="11" t="s">
        <v>248</v>
      </c>
      <c r="I17" s="11" t="str">
        <f>_xlfn.XLOOKUP(D17,'[2]Query Report'!$H:$H,'[2]Query Report'!$B:$B,,0)</f>
        <v>PU/26/SCP/OT/0837</v>
      </c>
      <c r="J17" s="4" cm="1">
        <f t="array" ref="J17:K17">_xlfn.XLOOKUP(D17,'[2]Query Report'!$H:$H,'[2]Query Report'!$C:$D,,0)</f>
        <v>19</v>
      </c>
      <c r="K17" s="4">
        <v>933.73</v>
      </c>
      <c r="L17" s="4">
        <f t="shared" si="0"/>
        <v>914.73</v>
      </c>
      <c r="M17" s="42">
        <f t="shared" si="1"/>
        <v>19</v>
      </c>
      <c r="N17" s="83">
        <f t="shared" si="2"/>
        <v>2.0348494746875435E-2</v>
      </c>
      <c r="O17" s="4" t="s">
        <v>324</v>
      </c>
    </row>
    <row r="18" spans="1:15" hidden="1" x14ac:dyDescent="0.35">
      <c r="A18" s="11">
        <v>1800014962</v>
      </c>
      <c r="B18" s="11" t="s">
        <v>100</v>
      </c>
      <c r="C18" s="12">
        <v>45981</v>
      </c>
      <c r="D18" s="13">
        <v>256779419463</v>
      </c>
      <c r="E18" s="11" t="s">
        <v>98</v>
      </c>
      <c r="F18" s="14">
        <v>602.03</v>
      </c>
      <c r="G18" s="14">
        <v>52980.68</v>
      </c>
      <c r="H18" s="11" t="s">
        <v>185</v>
      </c>
      <c r="I18" s="11" t="str">
        <f>_xlfn.XLOOKUP(D18,'[2]Query Report'!$H:$H,'[2]Query Report'!$B:$B,,0)</f>
        <v>PU/26/SCP/OT/0838</v>
      </c>
      <c r="J18" s="4" cm="1">
        <f t="array" ref="J18:K18">_xlfn.XLOOKUP(D18,'[2]Query Report'!$H:$H,'[2]Query Report'!$C:$D,,0)</f>
        <v>12</v>
      </c>
      <c r="K18" s="4">
        <v>602.03</v>
      </c>
      <c r="L18" s="4">
        <f t="shared" si="0"/>
        <v>590.03</v>
      </c>
      <c r="M18" s="42">
        <f t="shared" si="1"/>
        <v>12</v>
      </c>
      <c r="N18" s="83">
        <f t="shared" si="2"/>
        <v>1.9932561500257462E-2</v>
      </c>
      <c r="O18" s="4" t="s">
        <v>324</v>
      </c>
    </row>
    <row r="19" spans="1:15" hidden="1" x14ac:dyDescent="0.35">
      <c r="A19" s="11">
        <v>1800013944</v>
      </c>
      <c r="B19" s="11" t="s">
        <v>100</v>
      </c>
      <c r="C19" s="12">
        <v>45951</v>
      </c>
      <c r="D19" s="13">
        <v>256779418476</v>
      </c>
      <c r="E19" s="11" t="s">
        <v>98</v>
      </c>
      <c r="F19" s="14">
        <v>950.87</v>
      </c>
      <c r="G19" s="14">
        <v>83857.960000000006</v>
      </c>
      <c r="H19" s="11" t="s">
        <v>178</v>
      </c>
      <c r="I19" s="11" t="str">
        <f>_xlfn.XLOOKUP(D19,'[2]Query Report'!$H:$H,'[2]Query Report'!$B:$B,,0)</f>
        <v>PU/26/SCP/OT/0839</v>
      </c>
      <c r="J19" s="4" cm="1">
        <f t="array" ref="J19:K19">_xlfn.XLOOKUP(D19,'[2]Query Report'!$H:$H,'[2]Query Report'!$C:$D,,0)</f>
        <v>19</v>
      </c>
      <c r="K19" s="4">
        <v>950.87</v>
      </c>
      <c r="L19" s="4">
        <f t="shared" si="0"/>
        <v>931.87</v>
      </c>
      <c r="M19" s="42">
        <f t="shared" si="1"/>
        <v>19</v>
      </c>
      <c r="N19" s="83">
        <f t="shared" si="2"/>
        <v>1.9981700968586664E-2</v>
      </c>
      <c r="O19" s="4" t="s">
        <v>324</v>
      </c>
    </row>
    <row r="20" spans="1:15" hidden="1" x14ac:dyDescent="0.35">
      <c r="A20" s="11">
        <v>1800010502</v>
      </c>
      <c r="B20" s="11" t="s">
        <v>100</v>
      </c>
      <c r="C20" s="12">
        <v>45842</v>
      </c>
      <c r="D20" s="13">
        <v>256779415262</v>
      </c>
      <c r="E20" s="11" t="s">
        <v>98</v>
      </c>
      <c r="F20" s="14">
        <v>476.32</v>
      </c>
      <c r="G20" s="14">
        <v>40963.839999999997</v>
      </c>
      <c r="H20" s="11" t="s">
        <v>121</v>
      </c>
      <c r="I20" s="11" t="str">
        <f>_xlfn.XLOOKUP(D20,'[2]Query Report'!$H:$H,'[2]Query Report'!$B:$B,,0)</f>
        <v>PU/26/SCP/OT/0840</v>
      </c>
      <c r="J20" s="4" cm="1">
        <f t="array" ref="J20:K20">_xlfn.XLOOKUP(D20,'[2]Query Report'!$H:$H,'[2]Query Report'!$C:$D,,0)</f>
        <v>10</v>
      </c>
      <c r="K20" s="4">
        <v>476.32</v>
      </c>
      <c r="L20" s="4">
        <f t="shared" si="0"/>
        <v>466.32</v>
      </c>
      <c r="M20" s="42">
        <f t="shared" si="1"/>
        <v>10</v>
      </c>
      <c r="N20" s="83">
        <f t="shared" si="2"/>
        <v>2.0994289553241518E-2</v>
      </c>
      <c r="O20" s="4" t="s">
        <v>324</v>
      </c>
    </row>
    <row r="21" spans="1:15" hidden="1" x14ac:dyDescent="0.35">
      <c r="A21" s="11">
        <v>1800014289</v>
      </c>
      <c r="B21" s="11" t="s">
        <v>100</v>
      </c>
      <c r="C21" s="12">
        <v>45966</v>
      </c>
      <c r="D21" s="13">
        <v>256779418826</v>
      </c>
      <c r="E21" s="11" t="s">
        <v>98</v>
      </c>
      <c r="F21" s="14">
        <v>60.86</v>
      </c>
      <c r="G21" s="14">
        <v>5355.89</v>
      </c>
      <c r="H21" s="11" t="s">
        <v>125</v>
      </c>
      <c r="I21" s="11" t="str">
        <f>_xlfn.XLOOKUP(D21,'[2]Query Report'!$H:$H,'[2]Query Report'!$B:$B,,0)</f>
        <v>PU/26/SCP/OT/0841</v>
      </c>
      <c r="J21" s="4" cm="1">
        <f t="array" ref="J21:K21">_xlfn.XLOOKUP(D21,'[2]Query Report'!$H:$H,'[2]Query Report'!$C:$D,,0)</f>
        <v>1</v>
      </c>
      <c r="K21" s="4">
        <v>60.86</v>
      </c>
      <c r="L21" s="4">
        <f t="shared" si="0"/>
        <v>59.86</v>
      </c>
      <c r="M21" s="42">
        <f t="shared" si="1"/>
        <v>1</v>
      </c>
      <c r="N21" s="83">
        <f t="shared" si="2"/>
        <v>1.6431153466973381E-2</v>
      </c>
      <c r="O21" s="4" t="s">
        <v>324</v>
      </c>
    </row>
    <row r="22" spans="1:15" hidden="1" x14ac:dyDescent="0.35">
      <c r="A22" s="11">
        <v>1800015032</v>
      </c>
      <c r="B22" s="11" t="s">
        <v>100</v>
      </c>
      <c r="C22" s="12">
        <v>45981</v>
      </c>
      <c r="D22" s="13">
        <v>256779419533</v>
      </c>
      <c r="E22" s="11" t="s">
        <v>98</v>
      </c>
      <c r="F22" s="14">
        <v>131.6</v>
      </c>
      <c r="G22" s="14">
        <v>11581.25</v>
      </c>
      <c r="H22" s="11" t="s">
        <v>187</v>
      </c>
      <c r="I22" s="11" t="str">
        <f>_xlfn.XLOOKUP(D22,'[2]Query Report'!$H:$H,'[2]Query Report'!$B:$B,,0)</f>
        <v>PU/26/SCP/OT/0842</v>
      </c>
      <c r="J22" s="4" cm="1">
        <f t="array" ref="J22:K22">_xlfn.XLOOKUP(D22,'[2]Query Report'!$H:$H,'[2]Query Report'!$C:$D,,0)</f>
        <v>3</v>
      </c>
      <c r="K22" s="4">
        <v>131.6</v>
      </c>
      <c r="L22" s="4">
        <f t="shared" si="0"/>
        <v>128.6</v>
      </c>
      <c r="M22" s="42">
        <f t="shared" si="1"/>
        <v>3</v>
      </c>
      <c r="N22" s="83">
        <f t="shared" si="2"/>
        <v>2.2796352583586626E-2</v>
      </c>
      <c r="O22" s="4" t="s">
        <v>324</v>
      </c>
    </row>
    <row r="23" spans="1:15" hidden="1" x14ac:dyDescent="0.35">
      <c r="A23" s="11">
        <v>1800015095</v>
      </c>
      <c r="B23" s="11" t="s">
        <v>100</v>
      </c>
      <c r="C23" s="12">
        <v>45981</v>
      </c>
      <c r="D23" s="13">
        <v>256779419546</v>
      </c>
      <c r="E23" s="11" t="s">
        <v>98</v>
      </c>
      <c r="F23" s="14">
        <v>56.4</v>
      </c>
      <c r="G23" s="14">
        <v>4963.3900000000003</v>
      </c>
      <c r="H23" s="11" t="s">
        <v>189</v>
      </c>
      <c r="I23" s="11" t="str">
        <f>_xlfn.XLOOKUP(D23,'[2]Query Report'!$H:$H,'[2]Query Report'!$B:$B,,0)</f>
        <v>PU/26/SCP/OT/0845</v>
      </c>
      <c r="J23" s="4" cm="1">
        <f t="array" ref="J23:K23">_xlfn.XLOOKUP(D23,'[2]Query Report'!$H:$H,'[2]Query Report'!$C:$D,,0)</f>
        <v>1</v>
      </c>
      <c r="K23" s="4">
        <v>56.4</v>
      </c>
      <c r="L23" s="4">
        <f t="shared" si="0"/>
        <v>55.4</v>
      </c>
      <c r="M23" s="42">
        <f t="shared" si="1"/>
        <v>1</v>
      </c>
      <c r="N23" s="83">
        <f t="shared" si="2"/>
        <v>1.7730496453900711E-2</v>
      </c>
      <c r="O23" s="4" t="s">
        <v>324</v>
      </c>
    </row>
    <row r="24" spans="1:15" hidden="1" x14ac:dyDescent="0.35">
      <c r="A24" s="11">
        <v>1800014002</v>
      </c>
      <c r="B24" s="11" t="s">
        <v>100</v>
      </c>
      <c r="C24" s="12">
        <v>45948</v>
      </c>
      <c r="D24" s="13">
        <v>256779418426</v>
      </c>
      <c r="E24" s="11" t="s">
        <v>98</v>
      </c>
      <c r="F24" s="14">
        <v>124.55</v>
      </c>
      <c r="G24" s="14">
        <v>10984.16</v>
      </c>
      <c r="H24" s="11" t="s">
        <v>217</v>
      </c>
      <c r="I24" s="11" t="str">
        <f>_xlfn.XLOOKUP(D24,'[2]Query Report'!$H:$H,'[2]Query Report'!$B:$B,,0)</f>
        <v>PU/26/SCP/OT/0846</v>
      </c>
      <c r="J24" s="4" cm="1">
        <f t="array" ref="J24:K24">_xlfn.XLOOKUP(D24,'[2]Query Report'!$H:$H,'[2]Query Report'!$C:$D,,0)</f>
        <v>2</v>
      </c>
      <c r="K24" s="4">
        <v>124.55</v>
      </c>
      <c r="L24" s="4">
        <f t="shared" si="0"/>
        <v>122.55</v>
      </c>
      <c r="M24" s="42">
        <f t="shared" si="1"/>
        <v>2</v>
      </c>
      <c r="N24" s="83">
        <f t="shared" si="2"/>
        <v>1.6057808109193095E-2</v>
      </c>
      <c r="O24" s="4" t="s">
        <v>324</v>
      </c>
    </row>
    <row r="25" spans="1:15" hidden="1" x14ac:dyDescent="0.35">
      <c r="A25" s="11">
        <v>1800014149</v>
      </c>
      <c r="B25" s="11" t="s">
        <v>100</v>
      </c>
      <c r="C25" s="12">
        <v>45948</v>
      </c>
      <c r="D25" s="13">
        <v>256779418441</v>
      </c>
      <c r="E25" s="11" t="s">
        <v>98</v>
      </c>
      <c r="F25" s="14">
        <v>112.8</v>
      </c>
      <c r="G25" s="14">
        <v>9947.92</v>
      </c>
      <c r="H25" s="11" t="s">
        <v>219</v>
      </c>
      <c r="I25" s="11" t="str">
        <f>_xlfn.XLOOKUP(D25,'[2]Query Report'!$H:$H,'[2]Query Report'!$B:$B,,0)</f>
        <v>PU/26/SCP/OT/0847</v>
      </c>
      <c r="J25" s="4" cm="1">
        <f t="array" ref="J25:K25">_xlfn.XLOOKUP(D25,'[2]Query Report'!$H:$H,'[2]Query Report'!$C:$D,,0)</f>
        <v>2</v>
      </c>
      <c r="K25" s="4">
        <v>112.8</v>
      </c>
      <c r="L25" s="4">
        <f t="shared" si="0"/>
        <v>110.8</v>
      </c>
      <c r="M25" s="42">
        <f t="shared" si="1"/>
        <v>2</v>
      </c>
      <c r="N25" s="83">
        <f t="shared" si="2"/>
        <v>1.7730496453900711E-2</v>
      </c>
      <c r="O25" s="4" t="s">
        <v>324</v>
      </c>
    </row>
    <row r="26" spans="1:15" hidden="1" x14ac:dyDescent="0.35">
      <c r="A26" s="11">
        <v>1800016359</v>
      </c>
      <c r="B26" s="11" t="s">
        <v>100</v>
      </c>
      <c r="C26" s="12">
        <v>46028</v>
      </c>
      <c r="D26" s="13">
        <v>256779440249</v>
      </c>
      <c r="E26" s="11" t="s">
        <v>98</v>
      </c>
      <c r="F26" s="14">
        <v>1037.05</v>
      </c>
      <c r="G26" s="14">
        <v>94105.17</v>
      </c>
      <c r="H26" s="11" t="s">
        <v>244</v>
      </c>
      <c r="I26" s="11" t="str">
        <f>_xlfn.XLOOKUP(D26,'[2]Query Report'!$H:$H,'[2]Query Report'!$B:$B,,0)</f>
        <v>PU/26/SCP/OT/0922</v>
      </c>
      <c r="J26" s="4" cm="1">
        <f t="array" ref="J26:K26">_xlfn.XLOOKUP(D26,'[2]Query Report'!$H:$H,'[2]Query Report'!$C:$D,,0)</f>
        <v>104</v>
      </c>
      <c r="K26" s="4">
        <v>1037</v>
      </c>
      <c r="L26" s="4">
        <f t="shared" si="0"/>
        <v>933</v>
      </c>
      <c r="M26" s="42">
        <f t="shared" si="1"/>
        <v>104.04999999999995</v>
      </c>
      <c r="N26" s="83">
        <f t="shared" si="2"/>
        <v>0.10033267441299837</v>
      </c>
      <c r="O26" s="4" t="s">
        <v>324</v>
      </c>
    </row>
    <row r="27" spans="1:15" hidden="1" x14ac:dyDescent="0.35">
      <c r="A27" s="11">
        <v>1800015688</v>
      </c>
      <c r="B27" s="11" t="s">
        <v>100</v>
      </c>
      <c r="C27" s="12">
        <v>46024</v>
      </c>
      <c r="D27" s="13">
        <v>256779440021</v>
      </c>
      <c r="E27" s="11" t="s">
        <v>98</v>
      </c>
      <c r="F27" s="14">
        <v>950.6</v>
      </c>
      <c r="G27" s="14">
        <v>86260.43</v>
      </c>
      <c r="H27" s="11" t="s">
        <v>230</v>
      </c>
      <c r="I27" s="11" t="str">
        <f>_xlfn.XLOOKUP(D27,'[2]Query Report'!$H:$H,'[2]Query Report'!$B:$B,,0)</f>
        <v>PU/26/SCP/OT/0923</v>
      </c>
      <c r="J27" s="4" cm="1">
        <f t="array" ref="J27:K27">_xlfn.XLOOKUP(D27,'[2]Query Report'!$H:$H,'[2]Query Report'!$C:$D,,0)</f>
        <v>95</v>
      </c>
      <c r="K27" s="4">
        <v>950.6</v>
      </c>
      <c r="L27" s="4">
        <f t="shared" si="0"/>
        <v>855.6</v>
      </c>
      <c r="M27" s="42">
        <f t="shared" si="1"/>
        <v>95</v>
      </c>
      <c r="N27" s="83">
        <f t="shared" si="2"/>
        <v>9.9936881969282562E-2</v>
      </c>
      <c r="O27" s="4" t="s">
        <v>324</v>
      </c>
    </row>
    <row r="28" spans="1:15" hidden="1" x14ac:dyDescent="0.35">
      <c r="A28" s="11">
        <v>1800014554</v>
      </c>
      <c r="B28" s="11" t="s">
        <v>100</v>
      </c>
      <c r="C28" s="12">
        <v>45966</v>
      </c>
      <c r="D28" s="13">
        <v>256779418886</v>
      </c>
      <c r="E28" s="11" t="s">
        <v>98</v>
      </c>
      <c r="F28" s="14">
        <v>1457.24</v>
      </c>
      <c r="G28" s="14">
        <v>128242.06</v>
      </c>
      <c r="H28" s="11" t="s">
        <v>127</v>
      </c>
      <c r="I28" s="11" t="str">
        <f>_xlfn.XLOOKUP(D28,'[2]Query Report'!$H:$H,'[2]Query Report'!$B:$B,,0)</f>
        <v>PU/26/SCP/OT/0924</v>
      </c>
      <c r="J28" s="4" cm="1">
        <f t="array" ref="J28:K28">_xlfn.XLOOKUP(D28,'[2]Query Report'!$H:$H,'[2]Query Report'!$C:$D,,0)</f>
        <v>146</v>
      </c>
      <c r="K28" s="4">
        <v>1457.24</v>
      </c>
      <c r="L28" s="4">
        <f t="shared" si="0"/>
        <v>1311.24</v>
      </c>
      <c r="M28" s="42">
        <f t="shared" si="1"/>
        <v>146</v>
      </c>
      <c r="N28" s="83">
        <f t="shared" si="2"/>
        <v>0.10018939913809667</v>
      </c>
      <c r="O28" s="4" t="s">
        <v>324</v>
      </c>
    </row>
    <row r="29" spans="1:15" hidden="1" x14ac:dyDescent="0.35">
      <c r="A29" s="11">
        <v>1800013273</v>
      </c>
      <c r="B29" s="11" t="s">
        <v>100</v>
      </c>
      <c r="C29" s="12">
        <v>45936</v>
      </c>
      <c r="D29" s="13">
        <v>256779418009</v>
      </c>
      <c r="E29" s="11" t="s">
        <v>98</v>
      </c>
      <c r="F29" s="14">
        <v>1480.75</v>
      </c>
      <c r="G29" s="14">
        <v>130588.48</v>
      </c>
      <c r="H29" s="11" t="s">
        <v>223</v>
      </c>
      <c r="I29" s="11" t="str">
        <f>_xlfn.XLOOKUP(D29,'[2]Query Report'!$H:$H,'[2]Query Report'!$B:$B,,0)</f>
        <v>PU/26/SCP/OT/0926</v>
      </c>
      <c r="J29" s="4" cm="1">
        <f t="array" ref="J29:K29">_xlfn.XLOOKUP(D29,'[2]Query Report'!$H:$H,'[2]Query Report'!$C:$D,,0)</f>
        <v>30</v>
      </c>
      <c r="K29" s="4">
        <v>1480.75</v>
      </c>
      <c r="L29" s="4">
        <f t="shared" si="0"/>
        <v>1450.75</v>
      </c>
      <c r="M29" s="42">
        <f t="shared" si="1"/>
        <v>30</v>
      </c>
      <c r="N29" s="83">
        <f t="shared" si="2"/>
        <v>2.0260003376667231E-2</v>
      </c>
      <c r="O29" s="4" t="s">
        <v>324</v>
      </c>
    </row>
    <row r="30" spans="1:15" hidden="1" x14ac:dyDescent="0.35">
      <c r="A30" s="11">
        <v>1800012475</v>
      </c>
      <c r="B30" s="11" t="s">
        <v>100</v>
      </c>
      <c r="C30" s="12">
        <v>45906</v>
      </c>
      <c r="D30" s="13">
        <v>256779417083</v>
      </c>
      <c r="E30" s="11" t="s">
        <v>98</v>
      </c>
      <c r="F30" s="14">
        <v>634.36</v>
      </c>
      <c r="G30" s="14">
        <v>55515.59</v>
      </c>
      <c r="H30" s="11" t="s">
        <v>228</v>
      </c>
      <c r="I30" s="11" t="str">
        <f>_xlfn.XLOOKUP(D30,'[2]Query Report'!$H:$H,'[2]Query Report'!$B:$B,,0)</f>
        <v>PU/26/SCP/OT/0927</v>
      </c>
      <c r="J30" s="4" cm="1">
        <f t="array" ref="J30:K30">_xlfn.XLOOKUP(D30,'[2]Query Report'!$H:$H,'[2]Query Report'!$C:$D,,0)</f>
        <v>63</v>
      </c>
      <c r="K30" s="4">
        <v>634.36</v>
      </c>
      <c r="L30" s="4">
        <f t="shared" si="0"/>
        <v>571.36</v>
      </c>
      <c r="M30" s="42">
        <f t="shared" si="1"/>
        <v>63</v>
      </c>
      <c r="N30" s="83">
        <f t="shared" si="2"/>
        <v>9.9312693108014369E-2</v>
      </c>
      <c r="O30" s="4" t="s">
        <v>324</v>
      </c>
    </row>
    <row r="31" spans="1:15" hidden="1" x14ac:dyDescent="0.35">
      <c r="A31" s="11">
        <v>1800011657</v>
      </c>
      <c r="B31" s="11" t="s">
        <v>100</v>
      </c>
      <c r="C31" s="12">
        <v>45877</v>
      </c>
      <c r="D31" s="13">
        <v>256779416087</v>
      </c>
      <c r="E31" s="11" t="s">
        <v>98</v>
      </c>
      <c r="F31" s="14">
        <v>916.56</v>
      </c>
      <c r="G31" s="14">
        <v>78851.77</v>
      </c>
      <c r="H31" s="11" t="s">
        <v>134</v>
      </c>
      <c r="I31" s="11" t="str">
        <f>_xlfn.XLOOKUP(D31,'[2]Query Report'!$H:$H,'[2]Query Report'!$B:$B,,0)</f>
        <v>PU/26/SCP/OT/0928</v>
      </c>
      <c r="J31" s="4" cm="1">
        <f t="array" ref="J31:K31">_xlfn.XLOOKUP(D31,'[2]Query Report'!$H:$H,'[2]Query Report'!$C:$D,,0)</f>
        <v>92</v>
      </c>
      <c r="K31" s="4">
        <v>916.56</v>
      </c>
      <c r="L31" s="4">
        <f t="shared" si="0"/>
        <v>824.56</v>
      </c>
      <c r="M31" s="42">
        <f t="shared" si="1"/>
        <v>92</v>
      </c>
      <c r="N31" s="83">
        <f t="shared" si="2"/>
        <v>0.10037531640045387</v>
      </c>
      <c r="O31" s="4" t="s">
        <v>324</v>
      </c>
    </row>
    <row r="32" spans="1:15" hidden="1" x14ac:dyDescent="0.35">
      <c r="A32" s="11">
        <v>1800010437</v>
      </c>
      <c r="B32" s="11" t="s">
        <v>100</v>
      </c>
      <c r="C32" s="12">
        <v>45842</v>
      </c>
      <c r="D32" s="13">
        <v>256779415197</v>
      </c>
      <c r="E32" s="11" t="s">
        <v>98</v>
      </c>
      <c r="F32" s="14">
        <v>492.25</v>
      </c>
      <c r="G32" s="14">
        <v>42333.83</v>
      </c>
      <c r="H32" s="11" t="s">
        <v>119</v>
      </c>
      <c r="I32" s="11" t="str">
        <f>_xlfn.XLOOKUP(D32,'[2]Query Report'!$H:$H,'[2]Query Report'!$B:$B,,0)</f>
        <v>PU/26/SCP/OT/0929</v>
      </c>
      <c r="J32" s="4" cm="1">
        <f t="array" ref="J32:K32">_xlfn.XLOOKUP(D32,'[2]Query Report'!$H:$H,'[2]Query Report'!$C:$D,,0)</f>
        <v>49</v>
      </c>
      <c r="K32" s="4">
        <v>492.25</v>
      </c>
      <c r="L32" s="4">
        <f t="shared" si="0"/>
        <v>443.25</v>
      </c>
      <c r="M32" s="42">
        <f t="shared" si="1"/>
        <v>49</v>
      </c>
      <c r="N32" s="83">
        <f t="shared" si="2"/>
        <v>9.9542915185373282E-2</v>
      </c>
      <c r="O32" s="4" t="s">
        <v>324</v>
      </c>
    </row>
    <row r="33" spans="1:15" hidden="1" x14ac:dyDescent="0.35">
      <c r="A33" s="11">
        <v>1800009477</v>
      </c>
      <c r="B33" s="11" t="s">
        <v>100</v>
      </c>
      <c r="C33" s="12">
        <v>45815</v>
      </c>
      <c r="D33" s="13">
        <v>256779414241</v>
      </c>
      <c r="E33" s="11" t="s">
        <v>98</v>
      </c>
      <c r="F33" s="14">
        <v>632.96</v>
      </c>
      <c r="G33" s="14">
        <v>54112.24</v>
      </c>
      <c r="H33" s="11" t="s">
        <v>221</v>
      </c>
      <c r="I33" s="11" t="str">
        <f>_xlfn.XLOOKUP(D33,'[2]Query Report'!$H:$H,'[2]Query Report'!$B:$B,,0)</f>
        <v>PU/26/SCP/OT/0930</v>
      </c>
      <c r="J33" s="4" cm="1">
        <f t="array" ref="J33:K33">_xlfn.XLOOKUP(D33,'[2]Query Report'!$H:$H,'[2]Query Report'!$C:$D,,0)</f>
        <v>63</v>
      </c>
      <c r="K33" s="4">
        <v>632.96</v>
      </c>
      <c r="L33" s="4">
        <f t="shared" si="0"/>
        <v>569.96</v>
      </c>
      <c r="M33" s="42">
        <f t="shared" si="1"/>
        <v>63</v>
      </c>
      <c r="N33" s="83">
        <f t="shared" si="2"/>
        <v>9.9532355915065721E-2</v>
      </c>
      <c r="O33" s="4" t="s">
        <v>324</v>
      </c>
    </row>
    <row r="34" spans="1:15" hidden="1" x14ac:dyDescent="0.35">
      <c r="A34" s="11">
        <v>1800009134</v>
      </c>
      <c r="B34" s="11" t="s">
        <v>100</v>
      </c>
      <c r="C34" s="12">
        <v>45805</v>
      </c>
      <c r="D34" s="13">
        <v>256779413898</v>
      </c>
      <c r="E34" s="11" t="s">
        <v>98</v>
      </c>
      <c r="F34" s="14">
        <v>928.64</v>
      </c>
      <c r="G34" s="14">
        <v>79847.899999999994</v>
      </c>
      <c r="H34" s="11" t="s">
        <v>140</v>
      </c>
      <c r="I34" s="11" t="str">
        <f>_xlfn.XLOOKUP(D34,'[2]Query Report'!$H:$H,'[2]Query Report'!$B:$B,,0)</f>
        <v>PU/26/SCP/OT/0931</v>
      </c>
      <c r="J34" s="4" cm="1">
        <f t="array" ref="J34:K34">_xlfn.XLOOKUP(D34,'[2]Query Report'!$H:$H,'[2]Query Report'!$C:$D,,0)</f>
        <v>93</v>
      </c>
      <c r="K34" s="4">
        <v>928.64</v>
      </c>
      <c r="L34" s="4">
        <f t="shared" si="0"/>
        <v>835.64</v>
      </c>
      <c r="M34" s="42">
        <f t="shared" si="1"/>
        <v>93</v>
      </c>
      <c r="N34" s="83">
        <f t="shared" si="2"/>
        <v>0.10014645072363887</v>
      </c>
      <c r="O34" s="4" t="s">
        <v>324</v>
      </c>
    </row>
    <row r="35" spans="1:15" hidden="1" x14ac:dyDescent="0.35">
      <c r="A35" s="11">
        <v>1800011010</v>
      </c>
      <c r="B35" s="11" t="s">
        <v>100</v>
      </c>
      <c r="C35" s="12">
        <v>45857</v>
      </c>
      <c r="D35" s="13">
        <v>256779415770</v>
      </c>
      <c r="E35" s="11" t="s">
        <v>98</v>
      </c>
      <c r="F35" s="14">
        <v>1425.77</v>
      </c>
      <c r="G35" s="14">
        <v>122617.18</v>
      </c>
      <c r="H35" s="11" t="s">
        <v>207</v>
      </c>
      <c r="I35" s="4" t="str">
        <f>_xlfn.XLOOKUP(D35,'[2]Query Report'!$H:$H,'[2]Query Report'!$B:$B,,0)</f>
        <v>PU/27/SCP/OT/0024</v>
      </c>
      <c r="J35" s="4" cm="1">
        <f t="array" ref="J35:K35">_xlfn.XLOOKUP(D35,'[2]Query Report'!$H:$H,'[2]Query Report'!$C:$D,,0)</f>
        <v>65</v>
      </c>
      <c r="K35" s="4">
        <v>1425.77</v>
      </c>
      <c r="L35" s="4">
        <f t="shared" si="0"/>
        <v>1360.77</v>
      </c>
      <c r="M35" s="42">
        <f t="shared" si="1"/>
        <v>65</v>
      </c>
      <c r="N35" s="83">
        <f t="shared" si="2"/>
        <v>4.558940081499821E-2</v>
      </c>
      <c r="O35" s="4" t="s">
        <v>324</v>
      </c>
    </row>
    <row r="36" spans="1:15" x14ac:dyDescent="0.35">
      <c r="A36" s="11">
        <v>1800012870</v>
      </c>
      <c r="B36" s="11" t="s">
        <v>100</v>
      </c>
      <c r="C36" s="12">
        <v>45918</v>
      </c>
      <c r="D36" s="13">
        <v>256779417488</v>
      </c>
      <c r="E36" s="11" t="s">
        <v>98</v>
      </c>
      <c r="F36" s="14">
        <v>52.64</v>
      </c>
      <c r="G36" s="14">
        <v>4606.75</v>
      </c>
      <c r="H36" s="11" t="s">
        <v>191</v>
      </c>
      <c r="I36" s="82" t="str">
        <f>_xlfn.XLOOKUP(D36,'[1]Invoices not in customers books'!$E:$E,'[1]Invoices not in customers books'!L:L,,0)</f>
        <v>Towards SCOPE Logistics Shipment; not to be invoiced in SCOPE Chemicals</v>
      </c>
      <c r="J36" s="4" t="e" cm="1">
        <f t="array" ref="J36">_xlfn.XLOOKUP(D36,'[2]Query Report'!$H:$H,'[2]Query Report'!$C:$D,,0)</f>
        <v>#N/A</v>
      </c>
      <c r="K36" s="4"/>
      <c r="L36" s="4"/>
      <c r="M36" s="42"/>
      <c r="N36" s="83"/>
      <c r="O36" s="4" t="s">
        <v>323</v>
      </c>
    </row>
    <row r="37" spans="1:15" x14ac:dyDescent="0.35">
      <c r="A37" s="11">
        <v>1800013396</v>
      </c>
      <c r="B37" s="11" t="s">
        <v>100</v>
      </c>
      <c r="C37" s="12">
        <v>45935</v>
      </c>
      <c r="D37" s="13">
        <v>256779417991</v>
      </c>
      <c r="E37" s="11" t="s">
        <v>98</v>
      </c>
      <c r="F37" s="14">
        <v>184.54</v>
      </c>
      <c r="G37" s="14">
        <v>16274.72</v>
      </c>
      <c r="H37" s="11" t="s">
        <v>225</v>
      </c>
      <c r="I37" s="82" t="str">
        <f>_xlfn.XLOOKUP(D37,'[1]Invoices not in customers books'!$E:$E,'[1]Invoices not in customers books'!L:L,,0)</f>
        <v>Towards SCOPE Logistics Shipment; not to be invoiced in SCOPE Chemicals</v>
      </c>
      <c r="J37" s="4" t="e" cm="1">
        <f t="array" ref="J37">_xlfn.XLOOKUP(D37,'[2]Query Report'!$H:$H,'[2]Query Report'!$C:$D,,0)</f>
        <v>#N/A</v>
      </c>
      <c r="K37" s="4"/>
      <c r="L37" s="4"/>
      <c r="M37" s="42"/>
      <c r="N37" s="83"/>
      <c r="O37" s="4" t="s">
        <v>323</v>
      </c>
    </row>
    <row r="38" spans="1:15" x14ac:dyDescent="0.35">
      <c r="A38" s="11">
        <v>1800008368</v>
      </c>
      <c r="B38" s="11" t="s">
        <v>100</v>
      </c>
      <c r="C38" s="12">
        <v>45787</v>
      </c>
      <c r="D38" s="13">
        <v>256779413251</v>
      </c>
      <c r="E38" s="11" t="s">
        <v>98</v>
      </c>
      <c r="F38" s="14">
        <v>87.01</v>
      </c>
      <c r="G38" s="14">
        <v>7481.44</v>
      </c>
      <c r="H38" s="11" t="s">
        <v>215</v>
      </c>
      <c r="I38" s="82" t="str">
        <f>_xlfn.XLOOKUP(D38,'[1]Invoices not in customers books'!$E:$E,'[1]Invoices not in customers books'!L:L,,0)</f>
        <v>Why is royalty charged</v>
      </c>
      <c r="J38" s="4" t="e" cm="1">
        <f t="array" ref="J38">_xlfn.XLOOKUP(D38,'[2]Query Report'!$H:$H,'[2]Query Report'!$C:$D,,0)</f>
        <v>#N/A</v>
      </c>
      <c r="K38" s="4"/>
      <c r="L38" s="4"/>
      <c r="M38" s="42"/>
      <c r="N38" s="83"/>
      <c r="O38" s="4" t="s">
        <v>322</v>
      </c>
    </row>
    <row r="39" spans="1:15" hidden="1" x14ac:dyDescent="0.35">
      <c r="F39" s="15">
        <f>SUM(F2:F38)</f>
        <v>15591.81</v>
      </c>
    </row>
  </sheetData>
  <autoFilter ref="A1:O39" xr:uid="{CB14472E-58FB-4E83-B31D-92EAAEDE73D0}">
    <filterColumn colId="9">
      <filters>
        <filter val="#N/A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8D92-97E1-4C45-B15D-EA38F871DB73}">
  <dimension ref="A1:O119"/>
  <sheetViews>
    <sheetView topLeftCell="D1" workbookViewId="0">
      <selection activeCell="N1" sqref="N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6.08984375" bestFit="1" customWidth="1"/>
    <col min="5" max="5" width="8.26953125" bestFit="1" customWidth="1"/>
    <col min="6" max="6" width="11.90625" bestFit="1" customWidth="1"/>
    <col min="7" max="7" width="10.90625" bestFit="1" customWidth="1"/>
    <col min="8" max="11" width="10.90625" customWidth="1"/>
    <col min="12" max="12" width="10.90625" style="19" customWidth="1"/>
    <col min="13" max="13" width="44.81640625" bestFit="1" customWidth="1"/>
    <col min="14" max="14" width="16.7265625" bestFit="1" customWidth="1"/>
    <col min="15" max="15" width="0" hidden="1" customWidth="1"/>
  </cols>
  <sheetData>
    <row r="1" spans="1:15" ht="58" x14ac:dyDescent="0.35">
      <c r="A1" s="59" t="s">
        <v>81</v>
      </c>
      <c r="B1" s="60" t="s">
        <v>82</v>
      </c>
      <c r="C1" s="59" t="s">
        <v>83</v>
      </c>
      <c r="D1" s="61" t="s">
        <v>85</v>
      </c>
      <c r="E1" s="60" t="s">
        <v>86</v>
      </c>
      <c r="F1" s="60" t="s">
        <v>87</v>
      </c>
      <c r="G1" s="60" t="s">
        <v>89</v>
      </c>
      <c r="H1" s="21" t="s">
        <v>311</v>
      </c>
      <c r="I1" s="21" t="s">
        <v>307</v>
      </c>
      <c r="J1" s="21" t="s">
        <v>309</v>
      </c>
      <c r="K1" s="21" t="s">
        <v>260</v>
      </c>
      <c r="L1" s="54" t="s">
        <v>310</v>
      </c>
      <c r="M1" s="59" t="s">
        <v>313</v>
      </c>
      <c r="N1" s="59" t="s">
        <v>314</v>
      </c>
      <c r="O1" s="4"/>
    </row>
    <row r="2" spans="1:15" x14ac:dyDescent="0.35">
      <c r="A2" s="11">
        <v>1800000001</v>
      </c>
      <c r="B2" s="11" t="s">
        <v>100</v>
      </c>
      <c r="C2" s="12">
        <v>45688</v>
      </c>
      <c r="D2" s="13">
        <v>246779410001</v>
      </c>
      <c r="E2" s="11" t="s">
        <v>98</v>
      </c>
      <c r="F2" s="14">
        <v>50.75</v>
      </c>
      <c r="G2" s="14">
        <v>4299.63</v>
      </c>
      <c r="H2" s="14" t="e" cm="1">
        <f t="array" ref="H2">_xlfn.XLOOKUP(D2,'Customer Ledger'!$I:$I,'Customer Ledger'!$B:$C,,0)</f>
        <v>#N/A</v>
      </c>
      <c r="I2" s="14"/>
      <c r="J2" s="14"/>
      <c r="K2" s="14"/>
      <c r="L2" s="14"/>
      <c r="M2" s="11" t="s">
        <v>102</v>
      </c>
      <c r="N2" s="11">
        <v>1400000000</v>
      </c>
      <c r="O2" s="4"/>
    </row>
    <row r="3" spans="1:15" x14ac:dyDescent="0.35">
      <c r="A3" s="11">
        <v>1400000001</v>
      </c>
      <c r="B3" s="11" t="s">
        <v>92</v>
      </c>
      <c r="C3" s="12">
        <v>45692</v>
      </c>
      <c r="D3" s="13" t="s">
        <v>97</v>
      </c>
      <c r="E3" s="11" t="s">
        <v>98</v>
      </c>
      <c r="F3" s="14">
        <v>50.75</v>
      </c>
      <c r="G3" s="14">
        <v>4379.91</v>
      </c>
      <c r="H3" s="14" t="e" cm="1">
        <f t="array" ref="H3">_xlfn.XLOOKUP(D3,'Customer Ledger'!$I:$I,'Customer Ledger'!$B:$C,,0)</f>
        <v>#N/A</v>
      </c>
      <c r="I3" s="14"/>
      <c r="J3" s="14"/>
      <c r="K3" s="14"/>
      <c r="L3" s="14"/>
      <c r="M3" s="11" t="s">
        <v>90</v>
      </c>
      <c r="N3" s="11">
        <v>1400000001</v>
      </c>
      <c r="O3" s="4"/>
    </row>
    <row r="4" spans="1:15" x14ac:dyDescent="0.35">
      <c r="A4" s="11">
        <v>1400000001</v>
      </c>
      <c r="B4" s="11" t="s">
        <v>92</v>
      </c>
      <c r="C4" s="12">
        <v>45692</v>
      </c>
      <c r="D4" s="13" t="s">
        <v>97</v>
      </c>
      <c r="E4" s="11" t="s">
        <v>98</v>
      </c>
      <c r="F4" s="14">
        <v>-50.75</v>
      </c>
      <c r="G4" s="14">
        <v>-4379.91</v>
      </c>
      <c r="H4" s="14" t="e" cm="1">
        <f t="array" ref="H4">_xlfn.XLOOKUP(D4,'Customer Ledger'!$I:$I,'Customer Ledger'!$B:$C,,0)</f>
        <v>#N/A</v>
      </c>
      <c r="I4" s="14"/>
      <c r="J4" s="14"/>
      <c r="K4" s="14"/>
      <c r="L4" s="14"/>
      <c r="M4" s="11" t="s">
        <v>90</v>
      </c>
      <c r="N4" s="11">
        <v>1400000001</v>
      </c>
      <c r="O4" s="4"/>
    </row>
    <row r="5" spans="1:15" x14ac:dyDescent="0.35">
      <c r="A5" s="11">
        <v>1800000003</v>
      </c>
      <c r="B5" s="11" t="s">
        <v>100</v>
      </c>
      <c r="C5" s="12">
        <v>45692</v>
      </c>
      <c r="D5" s="13">
        <v>246779410003</v>
      </c>
      <c r="E5" s="11" t="s">
        <v>98</v>
      </c>
      <c r="F5" s="14">
        <v>50.75</v>
      </c>
      <c r="G5" s="14">
        <v>4379.91</v>
      </c>
      <c r="H5" s="14" t="e" cm="1">
        <f t="array" ref="H5">_xlfn.XLOOKUP(D5,'Customer Ledger'!$I:$I,'Customer Ledger'!$B:$C,,0)</f>
        <v>#N/A</v>
      </c>
      <c r="I5" s="14"/>
      <c r="J5" s="14"/>
      <c r="K5" s="14"/>
      <c r="L5" s="14"/>
      <c r="M5" s="11" t="s">
        <v>102</v>
      </c>
      <c r="N5" s="11" t="s">
        <v>90</v>
      </c>
      <c r="O5" s="4"/>
    </row>
    <row r="6" spans="1:15" x14ac:dyDescent="0.35">
      <c r="A6" s="11">
        <v>1800000002</v>
      </c>
      <c r="B6" s="11" t="s">
        <v>100</v>
      </c>
      <c r="C6" s="12">
        <v>45692</v>
      </c>
      <c r="D6" s="13">
        <v>246779410002</v>
      </c>
      <c r="E6" s="11" t="s">
        <v>98</v>
      </c>
      <c r="F6" s="14">
        <v>50.75</v>
      </c>
      <c r="G6" s="14">
        <v>4379.91</v>
      </c>
      <c r="H6" s="14" t="e" cm="1">
        <f t="array" ref="H6">_xlfn.XLOOKUP(D6,'Customer Ledger'!$I:$I,'Customer Ledger'!$B:$C,,0)</f>
        <v>#N/A</v>
      </c>
      <c r="I6" s="14"/>
      <c r="J6" s="14"/>
      <c r="K6" s="14"/>
      <c r="L6" s="14"/>
      <c r="M6" s="11" t="s">
        <v>102</v>
      </c>
      <c r="N6" s="11">
        <v>1400000001</v>
      </c>
      <c r="O6" s="4"/>
    </row>
    <row r="7" spans="1:15" x14ac:dyDescent="0.35">
      <c r="A7" s="11">
        <v>1400000000</v>
      </c>
      <c r="B7" s="11" t="s">
        <v>92</v>
      </c>
      <c r="C7" s="12">
        <v>45693</v>
      </c>
      <c r="D7" s="13" t="s">
        <v>97</v>
      </c>
      <c r="E7" s="11" t="s">
        <v>98</v>
      </c>
      <c r="F7" s="14">
        <v>50.75</v>
      </c>
      <c r="G7" s="14">
        <v>4299.63</v>
      </c>
      <c r="H7" s="14" t="e" cm="1">
        <f t="array" ref="H7">_xlfn.XLOOKUP(D7,'Customer Ledger'!$I:$I,'Customer Ledger'!$B:$C,,0)</f>
        <v>#N/A</v>
      </c>
      <c r="I7" s="14"/>
      <c r="J7" s="14"/>
      <c r="K7" s="14"/>
      <c r="L7" s="14"/>
      <c r="M7" s="11" t="s">
        <v>90</v>
      </c>
      <c r="N7" s="11">
        <v>1400000000</v>
      </c>
      <c r="O7" s="4"/>
    </row>
    <row r="8" spans="1:15" x14ac:dyDescent="0.35">
      <c r="A8" s="11">
        <v>1400000000</v>
      </c>
      <c r="B8" s="11" t="s">
        <v>92</v>
      </c>
      <c r="C8" s="12">
        <v>45693</v>
      </c>
      <c r="D8" s="13" t="s">
        <v>97</v>
      </c>
      <c r="E8" s="11" t="s">
        <v>98</v>
      </c>
      <c r="F8" s="14">
        <v>-50.75</v>
      </c>
      <c r="G8" s="14">
        <v>-4299.63</v>
      </c>
      <c r="H8" s="14" t="e" cm="1">
        <f t="array" ref="H8">_xlfn.XLOOKUP(D8,'Customer Ledger'!$I:$I,'Customer Ledger'!$B:$C,,0)</f>
        <v>#N/A</v>
      </c>
      <c r="I8" s="14"/>
      <c r="J8" s="14"/>
      <c r="K8" s="14"/>
      <c r="L8" s="14"/>
      <c r="M8" s="11" t="s">
        <v>90</v>
      </c>
      <c r="N8" s="11">
        <v>1400000000</v>
      </c>
      <c r="O8" s="4"/>
    </row>
    <row r="9" spans="1:15" x14ac:dyDescent="0.35">
      <c r="A9" s="11">
        <v>1600000001</v>
      </c>
      <c r="B9" s="11" t="s">
        <v>108</v>
      </c>
      <c r="C9" s="12">
        <v>45693</v>
      </c>
      <c r="D9" s="13">
        <v>246779420002</v>
      </c>
      <c r="E9" s="11" t="s">
        <v>98</v>
      </c>
      <c r="F9" s="14">
        <v>-50.75</v>
      </c>
      <c r="G9" s="14">
        <v>-4299.63</v>
      </c>
      <c r="H9" s="14" t="e" cm="1">
        <f t="array" ref="H9">_xlfn.XLOOKUP(D9,'Customer Ledger'!$I:$I,'Customer Ledger'!$B:$C,,0)</f>
        <v>#N/A</v>
      </c>
      <c r="I9" s="14"/>
      <c r="J9" s="14"/>
      <c r="K9" s="14"/>
      <c r="L9" s="14"/>
      <c r="M9" s="11" t="s">
        <v>109</v>
      </c>
      <c r="N9" s="11">
        <v>1400000000</v>
      </c>
      <c r="O9" s="4"/>
    </row>
    <row r="10" spans="1:15" x14ac:dyDescent="0.35">
      <c r="A10" s="11">
        <v>1600000000</v>
      </c>
      <c r="B10" s="11" t="s">
        <v>108</v>
      </c>
      <c r="C10" s="12">
        <v>45693</v>
      </c>
      <c r="D10" s="13">
        <v>246779420001</v>
      </c>
      <c r="E10" s="11" t="s">
        <v>98</v>
      </c>
      <c r="F10" s="14">
        <v>-50.75</v>
      </c>
      <c r="G10" s="14">
        <v>-4379.91</v>
      </c>
      <c r="H10" s="14" t="e" cm="1">
        <f t="array" ref="H10">_xlfn.XLOOKUP(D10,'Customer Ledger'!$I:$I,'Customer Ledger'!$B:$C,,0)</f>
        <v>#N/A</v>
      </c>
      <c r="I10" s="14"/>
      <c r="J10" s="14"/>
      <c r="K10" s="14"/>
      <c r="L10" s="14"/>
      <c r="M10" s="11" t="s">
        <v>111</v>
      </c>
      <c r="N10" s="11">
        <v>1400000001</v>
      </c>
      <c r="O10" s="4"/>
    </row>
    <row r="11" spans="1:15" x14ac:dyDescent="0.35">
      <c r="A11" s="11">
        <v>1800000091</v>
      </c>
      <c r="B11" s="11" t="s">
        <v>100</v>
      </c>
      <c r="C11" s="12">
        <v>45708</v>
      </c>
      <c r="D11" s="13">
        <v>246779410304</v>
      </c>
      <c r="E11" s="11" t="s">
        <v>98</v>
      </c>
      <c r="F11" s="14">
        <v>50.75</v>
      </c>
      <c r="G11" s="14">
        <v>4379.91</v>
      </c>
      <c r="H11" s="14" cm="1">
        <f t="array" ref="H11:I11">_xlfn.XLOOKUP(D11,'Customer Ledger'!$I:$I,'Customer Ledger'!$B:$C,,0)</f>
        <v>0</v>
      </c>
      <c r="I11" s="14">
        <v>45.75</v>
      </c>
      <c r="J11" s="14">
        <f>I11-H11</f>
        <v>45.75</v>
      </c>
      <c r="K11" s="14">
        <f>F11-J11</f>
        <v>5</v>
      </c>
      <c r="L11" s="62">
        <f>K11/F11</f>
        <v>9.8522167487684734E-2</v>
      </c>
      <c r="M11" s="11" t="s">
        <v>142</v>
      </c>
      <c r="N11" s="11">
        <v>1400000004</v>
      </c>
      <c r="O11" s="4"/>
    </row>
    <row r="12" spans="1:15" x14ac:dyDescent="0.35">
      <c r="A12" s="11">
        <v>1800000122</v>
      </c>
      <c r="B12" s="11" t="s">
        <v>100</v>
      </c>
      <c r="C12" s="12">
        <v>45708</v>
      </c>
      <c r="D12" s="13">
        <v>246779410050</v>
      </c>
      <c r="E12" s="11" t="s">
        <v>98</v>
      </c>
      <c r="F12" s="14">
        <v>50.75</v>
      </c>
      <c r="G12" s="14">
        <v>4379.91</v>
      </c>
      <c r="H12" s="14" cm="1">
        <f t="array" ref="H12:I12">_xlfn.XLOOKUP(D12,'Customer Ledger'!$I:$I,'Customer Ledger'!$B:$C,,0)</f>
        <v>0</v>
      </c>
      <c r="I12" s="14">
        <v>45.75</v>
      </c>
      <c r="J12" s="14">
        <f t="shared" ref="J12:J16" si="0">I12-H12</f>
        <v>45.75</v>
      </c>
      <c r="K12" s="14">
        <f t="shared" ref="K12:K16" si="1">F12-J12</f>
        <v>5</v>
      </c>
      <c r="L12" s="62">
        <f t="shared" ref="L12:L16" si="2">K12/F12</f>
        <v>9.8522167487684734E-2</v>
      </c>
      <c r="M12" s="11" t="s">
        <v>143</v>
      </c>
      <c r="N12" s="11">
        <v>1400000004</v>
      </c>
      <c r="O12" s="4"/>
    </row>
    <row r="13" spans="1:15" x14ac:dyDescent="0.35">
      <c r="A13" s="11">
        <v>1800000191</v>
      </c>
      <c r="B13" s="11" t="s">
        <v>100</v>
      </c>
      <c r="C13" s="12">
        <v>45708</v>
      </c>
      <c r="D13" s="13">
        <v>246779410118</v>
      </c>
      <c r="E13" s="11" t="s">
        <v>98</v>
      </c>
      <c r="F13" s="14">
        <v>50.75</v>
      </c>
      <c r="G13" s="14">
        <v>4379.91</v>
      </c>
      <c r="H13" s="14" cm="1">
        <f t="array" ref="H13:I13">_xlfn.XLOOKUP(D13,'Customer Ledger'!$I:$I,'Customer Ledger'!$B:$C,,0)</f>
        <v>0</v>
      </c>
      <c r="I13" s="14">
        <v>45.75</v>
      </c>
      <c r="J13" s="14">
        <f t="shared" si="0"/>
        <v>45.75</v>
      </c>
      <c r="K13" s="14">
        <f t="shared" si="1"/>
        <v>5</v>
      </c>
      <c r="L13" s="62">
        <f t="shared" si="2"/>
        <v>9.8522167487684734E-2</v>
      </c>
      <c r="M13" s="11" t="s">
        <v>144</v>
      </c>
      <c r="N13" s="11">
        <v>1400000004</v>
      </c>
      <c r="O13" s="4"/>
    </row>
    <row r="14" spans="1:15" x14ac:dyDescent="0.35">
      <c r="A14" s="11">
        <v>1800000234</v>
      </c>
      <c r="B14" s="11" t="s">
        <v>100</v>
      </c>
      <c r="C14" s="12">
        <v>45708</v>
      </c>
      <c r="D14" s="13">
        <v>246779410161</v>
      </c>
      <c r="E14" s="11" t="s">
        <v>98</v>
      </c>
      <c r="F14" s="14">
        <v>50.75</v>
      </c>
      <c r="G14" s="14">
        <v>4379.91</v>
      </c>
      <c r="H14" s="14" cm="1">
        <f t="array" ref="H14:I14">_xlfn.XLOOKUP(D14,'Customer Ledger'!$I:$I,'Customer Ledger'!$B:$C,,0)</f>
        <v>0</v>
      </c>
      <c r="I14" s="14">
        <v>45.75</v>
      </c>
      <c r="J14" s="14">
        <f t="shared" si="0"/>
        <v>45.75</v>
      </c>
      <c r="K14" s="14">
        <f t="shared" si="1"/>
        <v>5</v>
      </c>
      <c r="L14" s="62">
        <f t="shared" si="2"/>
        <v>9.8522167487684734E-2</v>
      </c>
      <c r="M14" s="11" t="s">
        <v>145</v>
      </c>
      <c r="N14" s="11">
        <v>1400000004</v>
      </c>
      <c r="O14" s="4"/>
    </row>
    <row r="15" spans="1:15" x14ac:dyDescent="0.35">
      <c r="A15" s="11">
        <v>1800000277</v>
      </c>
      <c r="B15" s="11" t="s">
        <v>100</v>
      </c>
      <c r="C15" s="12">
        <v>45708</v>
      </c>
      <c r="D15" s="13">
        <v>246779410204</v>
      </c>
      <c r="E15" s="11" t="s">
        <v>98</v>
      </c>
      <c r="F15" s="14">
        <v>50.75</v>
      </c>
      <c r="G15" s="14">
        <v>4379.91</v>
      </c>
      <c r="H15" s="14" cm="1">
        <f t="array" ref="H15:I15">_xlfn.XLOOKUP(D15,'Customer Ledger'!$I:$I,'Customer Ledger'!$B:$C,,0)</f>
        <v>0</v>
      </c>
      <c r="I15" s="14">
        <v>45.75</v>
      </c>
      <c r="J15" s="14">
        <f t="shared" si="0"/>
        <v>45.75</v>
      </c>
      <c r="K15" s="14">
        <f t="shared" si="1"/>
        <v>5</v>
      </c>
      <c r="L15" s="62">
        <f t="shared" si="2"/>
        <v>9.8522167487684734E-2</v>
      </c>
      <c r="M15" s="11" t="s">
        <v>146</v>
      </c>
      <c r="N15" s="11">
        <v>1400000004</v>
      </c>
      <c r="O15" s="4"/>
    </row>
    <row r="16" spans="1:15" x14ac:dyDescent="0.35">
      <c r="A16" s="11">
        <v>1800000320</v>
      </c>
      <c r="B16" s="11" t="s">
        <v>100</v>
      </c>
      <c r="C16" s="12">
        <v>45708</v>
      </c>
      <c r="D16" s="13">
        <v>246779410247</v>
      </c>
      <c r="E16" s="11" t="s">
        <v>98</v>
      </c>
      <c r="F16" s="14">
        <v>50.75</v>
      </c>
      <c r="G16" s="14">
        <v>4379.91</v>
      </c>
      <c r="H16" s="14" cm="1">
        <f t="array" ref="H16:I16">_xlfn.XLOOKUP(D16,'Customer Ledger'!$I:$I,'Customer Ledger'!$B:$C,,0)</f>
        <v>0</v>
      </c>
      <c r="I16" s="14">
        <v>45.75</v>
      </c>
      <c r="J16" s="14">
        <f t="shared" si="0"/>
        <v>45.75</v>
      </c>
      <c r="K16" s="14">
        <f t="shared" si="1"/>
        <v>5</v>
      </c>
      <c r="L16" s="62">
        <f t="shared" si="2"/>
        <v>9.8522167487684734E-2</v>
      </c>
      <c r="M16" s="11" t="s">
        <v>147</v>
      </c>
      <c r="N16" s="11">
        <v>1400000004</v>
      </c>
      <c r="O16" s="4"/>
    </row>
    <row r="17" spans="1:15" x14ac:dyDescent="0.35">
      <c r="A17" s="11">
        <v>1800000028</v>
      </c>
      <c r="B17" s="11" t="s">
        <v>100</v>
      </c>
      <c r="C17" s="12">
        <v>45708</v>
      </c>
      <c r="D17" s="13">
        <v>246779410073</v>
      </c>
      <c r="E17" s="11" t="s">
        <v>98</v>
      </c>
      <c r="F17" s="14">
        <v>50.75</v>
      </c>
      <c r="G17" s="14">
        <v>4379.91</v>
      </c>
      <c r="H17" s="14" t="e" cm="1">
        <f t="array" ref="H17">_xlfn.XLOOKUP(D17,'Customer Ledger'!$I:$I,'Customer Ledger'!$B:$C,,0)</f>
        <v>#N/A</v>
      </c>
      <c r="I17" s="14"/>
      <c r="J17" s="14"/>
      <c r="K17" s="14"/>
      <c r="L17" s="14"/>
      <c r="M17" s="11" t="s">
        <v>149</v>
      </c>
      <c r="N17" s="11">
        <v>1400000789</v>
      </c>
      <c r="O17" s="4"/>
    </row>
    <row r="18" spans="1:15" x14ac:dyDescent="0.35">
      <c r="A18" s="11">
        <v>1800003142</v>
      </c>
      <c r="B18" s="11" t="s">
        <v>100</v>
      </c>
      <c r="C18" s="12">
        <v>45735</v>
      </c>
      <c r="D18" s="13">
        <v>246779413009</v>
      </c>
      <c r="E18" s="11" t="s">
        <v>98</v>
      </c>
      <c r="F18" s="14">
        <v>50.75</v>
      </c>
      <c r="G18" s="14">
        <v>4399.58</v>
      </c>
      <c r="H18" s="14" cm="1">
        <f t="array" ref="H18:I18">_xlfn.XLOOKUP(D18,'Customer Ledger'!$I:$I,'Customer Ledger'!$B:$C,,0)</f>
        <v>0</v>
      </c>
      <c r="I18" s="14">
        <v>45.75</v>
      </c>
      <c r="J18" s="14">
        <f>I18-H18</f>
        <v>45.75</v>
      </c>
      <c r="K18" s="14">
        <f>F18-J18</f>
        <v>5</v>
      </c>
      <c r="L18" s="62">
        <f>K18/F18</f>
        <v>9.8522167487684734E-2</v>
      </c>
      <c r="M18" s="11" t="s">
        <v>182</v>
      </c>
      <c r="N18" s="11" t="s">
        <v>90</v>
      </c>
      <c r="O18" s="4"/>
    </row>
    <row r="19" spans="1:15" x14ac:dyDescent="0.35">
      <c r="A19" s="11">
        <v>1400000004</v>
      </c>
      <c r="B19" s="11" t="s">
        <v>93</v>
      </c>
      <c r="C19" s="12">
        <v>45743</v>
      </c>
      <c r="D19" s="13" t="s">
        <v>90</v>
      </c>
      <c r="E19" s="11" t="s">
        <v>91</v>
      </c>
      <c r="F19" s="38">
        <v>-302.06275862068998</v>
      </c>
      <c r="G19" s="14">
        <v>-26279.46</v>
      </c>
      <c r="H19" s="14" t="e" cm="1">
        <f t="array" ref="H19">_xlfn.XLOOKUP(D19,'Customer Ledger'!$I:$I,'Customer Ledger'!$B:$C,,0)</f>
        <v>#N/A</v>
      </c>
      <c r="I19" s="14"/>
      <c r="J19" s="14"/>
      <c r="K19" s="14"/>
      <c r="L19" s="14"/>
      <c r="M19" s="11" t="s">
        <v>96</v>
      </c>
      <c r="N19" s="11">
        <v>1400000004</v>
      </c>
      <c r="O19" s="4" t="s">
        <v>267</v>
      </c>
    </row>
    <row r="20" spans="1:15" x14ac:dyDescent="0.35">
      <c r="A20" s="11">
        <v>1800005359</v>
      </c>
      <c r="B20" s="11" t="s">
        <v>100</v>
      </c>
      <c r="C20" s="12">
        <v>45750</v>
      </c>
      <c r="D20" s="13">
        <v>256779410251</v>
      </c>
      <c r="E20" s="11" t="s">
        <v>98</v>
      </c>
      <c r="F20" s="14">
        <v>50.75</v>
      </c>
      <c r="G20" s="14">
        <v>4411.28</v>
      </c>
      <c r="H20" s="14" t="e" cm="1">
        <f t="array" ref="H20">_xlfn.XLOOKUP(D20,'Customer Ledger'!$I:$I,'Customer Ledger'!$B:$C,,0)</f>
        <v>#N/A</v>
      </c>
      <c r="I20" s="14"/>
      <c r="J20" s="14"/>
      <c r="K20" s="14"/>
      <c r="L20" s="14"/>
      <c r="M20" s="11" t="s">
        <v>146</v>
      </c>
      <c r="N20" s="11">
        <v>1400000789</v>
      </c>
      <c r="O20" s="4"/>
    </row>
    <row r="21" spans="1:15" x14ac:dyDescent="0.35">
      <c r="A21" s="11">
        <v>1800005400</v>
      </c>
      <c r="B21" s="11" t="s">
        <v>100</v>
      </c>
      <c r="C21" s="12">
        <v>45750</v>
      </c>
      <c r="D21" s="13">
        <v>256779410292</v>
      </c>
      <c r="E21" s="11" t="s">
        <v>98</v>
      </c>
      <c r="F21" s="14">
        <v>50.75</v>
      </c>
      <c r="G21" s="14">
        <v>4411.28</v>
      </c>
      <c r="H21" s="14" t="e" cm="1">
        <f t="array" ref="H21">_xlfn.XLOOKUP(D21,'Customer Ledger'!$I:$I,'Customer Ledger'!$B:$C,,0)</f>
        <v>#N/A</v>
      </c>
      <c r="I21" s="14"/>
      <c r="J21" s="14"/>
      <c r="K21" s="14"/>
      <c r="L21" s="14"/>
      <c r="M21" s="11" t="s">
        <v>147</v>
      </c>
      <c r="N21" s="11">
        <v>1400000789</v>
      </c>
      <c r="O21" s="4"/>
    </row>
    <row r="22" spans="1:15" x14ac:dyDescent="0.35">
      <c r="A22" s="11">
        <v>1800007279</v>
      </c>
      <c r="B22" s="11" t="s">
        <v>100</v>
      </c>
      <c r="C22" s="12">
        <v>45768</v>
      </c>
      <c r="D22" s="13">
        <v>256779412170</v>
      </c>
      <c r="E22" s="11" t="s">
        <v>98</v>
      </c>
      <c r="F22" s="14">
        <v>50.75</v>
      </c>
      <c r="G22" s="14">
        <v>4354.8599999999997</v>
      </c>
      <c r="H22" s="14" cm="1">
        <f t="array" ref="H22:I22">_xlfn.XLOOKUP(D22,'Customer Ledger'!$I:$I,'Customer Ledger'!$B:$C,,0)</f>
        <v>0</v>
      </c>
      <c r="I22" s="14">
        <v>45.75</v>
      </c>
      <c r="J22" s="14">
        <f t="shared" ref="J22:J26" si="3">I22-H22</f>
        <v>45.75</v>
      </c>
      <c r="K22" s="14">
        <f t="shared" ref="K22:K26" si="4">F22-J22</f>
        <v>5</v>
      </c>
      <c r="L22" s="62">
        <f t="shared" ref="L22:L26" si="5">K22/F22</f>
        <v>9.8522167487684734E-2</v>
      </c>
      <c r="M22" s="11" t="s">
        <v>156</v>
      </c>
      <c r="N22" s="11" t="s">
        <v>90</v>
      </c>
      <c r="O22" s="4"/>
    </row>
    <row r="23" spans="1:15" x14ac:dyDescent="0.35">
      <c r="A23" s="11">
        <v>1800008244</v>
      </c>
      <c r="B23" s="11" t="s">
        <v>100</v>
      </c>
      <c r="C23" s="12">
        <v>45787</v>
      </c>
      <c r="D23" s="13">
        <v>256779413128</v>
      </c>
      <c r="E23" s="11" t="s">
        <v>98</v>
      </c>
      <c r="F23" s="14">
        <v>50.75</v>
      </c>
      <c r="G23" s="14">
        <v>4363.67</v>
      </c>
      <c r="H23" s="14" cm="1">
        <f t="array" ref="H23:I23">_xlfn.XLOOKUP(D23,'Customer Ledger'!$I:$I,'Customer Ledger'!$B:$C,,0)</f>
        <v>0</v>
      </c>
      <c r="I23" s="14">
        <v>45.75</v>
      </c>
      <c r="J23" s="14">
        <f t="shared" si="3"/>
        <v>45.75</v>
      </c>
      <c r="K23" s="14">
        <f t="shared" si="4"/>
        <v>5</v>
      </c>
      <c r="L23" s="62">
        <f t="shared" si="5"/>
        <v>9.8522167487684734E-2</v>
      </c>
      <c r="M23" s="11" t="s">
        <v>210</v>
      </c>
      <c r="N23" s="11" t="s">
        <v>90</v>
      </c>
      <c r="O23" s="4"/>
    </row>
    <row r="24" spans="1:15" x14ac:dyDescent="0.35">
      <c r="A24" s="11">
        <v>1800008279</v>
      </c>
      <c r="B24" s="11" t="s">
        <v>100</v>
      </c>
      <c r="C24" s="12">
        <v>45787</v>
      </c>
      <c r="D24" s="13">
        <v>256779413162</v>
      </c>
      <c r="E24" s="11" t="s">
        <v>98</v>
      </c>
      <c r="F24" s="14">
        <v>131.6</v>
      </c>
      <c r="G24" s="14">
        <v>11315.45</v>
      </c>
      <c r="H24" s="14" cm="1">
        <f t="array" ref="H24:I24">_xlfn.XLOOKUP(D24,'Customer Ledger'!$I:$I,'Customer Ledger'!$B:$C,,0)</f>
        <v>0</v>
      </c>
      <c r="I24" s="14">
        <v>128.6</v>
      </c>
      <c r="J24" s="14">
        <f t="shared" si="3"/>
        <v>128.6</v>
      </c>
      <c r="K24" s="14">
        <f t="shared" si="4"/>
        <v>3</v>
      </c>
      <c r="L24" s="62">
        <f t="shared" si="5"/>
        <v>2.2796352583586626E-2</v>
      </c>
      <c r="M24" s="11" t="s">
        <v>211</v>
      </c>
      <c r="N24" s="11" t="s">
        <v>90</v>
      </c>
      <c r="O24" s="4"/>
    </row>
    <row r="25" spans="1:15" x14ac:dyDescent="0.35">
      <c r="A25" s="11">
        <v>1800008288</v>
      </c>
      <c r="B25" s="11" t="s">
        <v>100</v>
      </c>
      <c r="C25" s="12">
        <v>45787</v>
      </c>
      <c r="D25" s="13">
        <v>256779413171</v>
      </c>
      <c r="E25" s="11" t="s">
        <v>98</v>
      </c>
      <c r="F25" s="14">
        <v>112.8</v>
      </c>
      <c r="G25" s="14">
        <v>9698.9599999999991</v>
      </c>
      <c r="H25" s="14" cm="1">
        <f t="array" ref="H25:I25">_xlfn.XLOOKUP(D25,'Customer Ledger'!$I:$I,'Customer Ledger'!$B:$C,,0)</f>
        <v>0</v>
      </c>
      <c r="I25" s="14">
        <v>110.8</v>
      </c>
      <c r="J25" s="14">
        <f t="shared" si="3"/>
        <v>110.8</v>
      </c>
      <c r="K25" s="14">
        <f t="shared" si="4"/>
        <v>2</v>
      </c>
      <c r="L25" s="62">
        <f t="shared" si="5"/>
        <v>1.7730496453900711E-2</v>
      </c>
      <c r="M25" s="11" t="s">
        <v>212</v>
      </c>
      <c r="N25" s="11" t="s">
        <v>90</v>
      </c>
      <c r="O25" s="4"/>
    </row>
    <row r="26" spans="1:15" x14ac:dyDescent="0.35">
      <c r="A26" s="11">
        <v>1800008359</v>
      </c>
      <c r="B26" s="11" t="s">
        <v>100</v>
      </c>
      <c r="C26" s="12">
        <v>45787</v>
      </c>
      <c r="D26" s="13">
        <v>256779413242</v>
      </c>
      <c r="E26" s="11" t="s">
        <v>98</v>
      </c>
      <c r="F26" s="14">
        <v>1194.92</v>
      </c>
      <c r="G26" s="14">
        <v>102743.64</v>
      </c>
      <c r="H26" s="14" cm="1">
        <f t="array" ref="H26:I26">_xlfn.XLOOKUP(D26,'Customer Ledger'!$I:$I,'Customer Ledger'!$B:$C,,0)</f>
        <v>0</v>
      </c>
      <c r="I26" s="14">
        <v>1170.92</v>
      </c>
      <c r="J26" s="14">
        <f t="shared" si="3"/>
        <v>1170.92</v>
      </c>
      <c r="K26" s="14">
        <f t="shared" si="4"/>
        <v>24</v>
      </c>
      <c r="L26" s="62">
        <f t="shared" si="5"/>
        <v>2.0085026612660262E-2</v>
      </c>
      <c r="M26" s="11" t="s">
        <v>213</v>
      </c>
      <c r="N26" s="11" t="s">
        <v>90</v>
      </c>
      <c r="O26" s="4"/>
    </row>
    <row r="27" spans="1:15" x14ac:dyDescent="0.35">
      <c r="A27" s="11">
        <v>1800008368</v>
      </c>
      <c r="B27" s="11" t="s">
        <v>100</v>
      </c>
      <c r="C27" s="12">
        <v>45787</v>
      </c>
      <c r="D27" s="13">
        <v>256779413251</v>
      </c>
      <c r="E27" s="11" t="s">
        <v>98</v>
      </c>
      <c r="F27" s="14">
        <v>87.01</v>
      </c>
      <c r="G27" s="14">
        <v>7481.44</v>
      </c>
      <c r="H27" s="14" t="e" cm="1">
        <f t="array" ref="H27">_xlfn.XLOOKUP(D27,'Customer Ledger'!$I:$I,'Customer Ledger'!$B:$C,,0)</f>
        <v>#N/A</v>
      </c>
      <c r="I27" s="14"/>
      <c r="J27" s="14"/>
      <c r="K27" s="14"/>
      <c r="L27" s="14"/>
      <c r="M27" s="11" t="s">
        <v>215</v>
      </c>
      <c r="N27" s="11" t="s">
        <v>90</v>
      </c>
      <c r="O27" s="4"/>
    </row>
    <row r="28" spans="1:15" x14ac:dyDescent="0.35">
      <c r="A28" s="11">
        <v>1600000716</v>
      </c>
      <c r="B28" s="11" t="s">
        <v>108</v>
      </c>
      <c r="C28" s="12">
        <v>45791</v>
      </c>
      <c r="D28" s="13">
        <v>256779420425</v>
      </c>
      <c r="E28" s="11" t="s">
        <v>98</v>
      </c>
      <c r="F28" s="14">
        <v>-50.75</v>
      </c>
      <c r="G28" s="14">
        <v>-4411.28</v>
      </c>
      <c r="H28" s="14" t="e" cm="1">
        <f t="array" ref="H28">_xlfn.XLOOKUP(D28,'Customer Ledger'!$I:$I,'Customer Ledger'!$B:$C,,0)</f>
        <v>#N/A</v>
      </c>
      <c r="I28" s="14"/>
      <c r="J28" s="14"/>
      <c r="K28" s="14"/>
      <c r="L28" s="14"/>
      <c r="M28" s="11" t="s">
        <v>136</v>
      </c>
      <c r="N28" s="11">
        <v>1400000789</v>
      </c>
      <c r="O28" s="4"/>
    </row>
    <row r="29" spans="1:15" x14ac:dyDescent="0.35">
      <c r="A29" s="11">
        <v>1600000803</v>
      </c>
      <c r="B29" s="11" t="s">
        <v>108</v>
      </c>
      <c r="C29" s="12">
        <v>45791</v>
      </c>
      <c r="D29" s="13">
        <v>256779420512</v>
      </c>
      <c r="E29" s="11" t="s">
        <v>98</v>
      </c>
      <c r="F29" s="14">
        <v>-50.75</v>
      </c>
      <c r="G29" s="14">
        <v>-4411.28</v>
      </c>
      <c r="H29" s="14" t="e" cm="1">
        <f t="array" ref="H29">_xlfn.XLOOKUP(D29,'Customer Ledger'!$I:$I,'Customer Ledger'!$B:$C,,0)</f>
        <v>#N/A</v>
      </c>
      <c r="I29" s="14"/>
      <c r="J29" s="14"/>
      <c r="K29" s="14"/>
      <c r="L29" s="14"/>
      <c r="M29" s="11" t="s">
        <v>138</v>
      </c>
      <c r="N29" s="11">
        <v>1400000789</v>
      </c>
      <c r="O29" s="4"/>
    </row>
    <row r="30" spans="1:15" x14ac:dyDescent="0.35">
      <c r="A30" s="11">
        <v>1800009072</v>
      </c>
      <c r="B30" s="11" t="s">
        <v>100</v>
      </c>
      <c r="C30" s="12">
        <v>45797</v>
      </c>
      <c r="D30" s="13">
        <v>256779413836</v>
      </c>
      <c r="E30" s="11" t="s">
        <v>98</v>
      </c>
      <c r="F30" s="14">
        <v>793.07</v>
      </c>
      <c r="G30" s="14">
        <v>68191.09</v>
      </c>
      <c r="H30" s="14" cm="1">
        <f t="array" ref="H30:I30">_xlfn.XLOOKUP(D30,'Customer Ledger'!$I:$I,'Customer Ledger'!$B:$C,,0)</f>
        <v>16</v>
      </c>
      <c r="I30" s="14">
        <v>793.07</v>
      </c>
      <c r="J30" s="14">
        <f t="shared" ref="J30:J33" si="6">I30-H30</f>
        <v>777.07</v>
      </c>
      <c r="K30" s="14">
        <f t="shared" ref="K30:K33" si="7">F30-J30</f>
        <v>16</v>
      </c>
      <c r="L30" s="62">
        <f t="shared" ref="L30:L33" si="8">K30/F30</f>
        <v>2.0174763892216323E-2</v>
      </c>
      <c r="M30" s="11" t="s">
        <v>150</v>
      </c>
      <c r="N30" s="11" t="s">
        <v>90</v>
      </c>
      <c r="O30" s="4"/>
    </row>
    <row r="31" spans="1:15" x14ac:dyDescent="0.35">
      <c r="A31" s="11">
        <v>1800009076</v>
      </c>
      <c r="B31" s="11" t="s">
        <v>100</v>
      </c>
      <c r="C31" s="12">
        <v>45797</v>
      </c>
      <c r="D31" s="13">
        <v>256779413840</v>
      </c>
      <c r="E31" s="11" t="s">
        <v>98</v>
      </c>
      <c r="F31" s="14">
        <v>42.14</v>
      </c>
      <c r="G31" s="14">
        <v>3623.35</v>
      </c>
      <c r="H31" s="14" cm="1">
        <f t="array" ref="H31:I31">_xlfn.XLOOKUP(D31,'Customer Ledger'!$I:$I,'Customer Ledger'!$B:$C,,0)</f>
        <v>0</v>
      </c>
      <c r="I31" s="14">
        <v>41.14</v>
      </c>
      <c r="J31" s="14">
        <f t="shared" si="6"/>
        <v>41.14</v>
      </c>
      <c r="K31" s="14">
        <f t="shared" si="7"/>
        <v>1</v>
      </c>
      <c r="L31" s="62">
        <f t="shared" si="8"/>
        <v>2.3730422401518746E-2</v>
      </c>
      <c r="M31" s="11" t="s">
        <v>151</v>
      </c>
      <c r="N31" s="11" t="s">
        <v>90</v>
      </c>
      <c r="O31" s="4"/>
    </row>
    <row r="32" spans="1:15" x14ac:dyDescent="0.35">
      <c r="A32" s="11">
        <v>1800008661</v>
      </c>
      <c r="B32" s="11" t="s">
        <v>100</v>
      </c>
      <c r="C32" s="12">
        <v>45798</v>
      </c>
      <c r="D32" s="13">
        <v>256779413425</v>
      </c>
      <c r="E32" s="11" t="s">
        <v>98</v>
      </c>
      <c r="F32" s="14">
        <v>37.6</v>
      </c>
      <c r="G32" s="14">
        <v>3232.99</v>
      </c>
      <c r="H32" s="14" cm="1">
        <f t="array" ref="H32:I32">_xlfn.XLOOKUP(D32,'Customer Ledger'!$I:$I,'Customer Ledger'!$B:$C,,0)</f>
        <v>0</v>
      </c>
      <c r="I32" s="14">
        <v>36.6</v>
      </c>
      <c r="J32" s="14">
        <f t="shared" si="6"/>
        <v>36.6</v>
      </c>
      <c r="K32" s="14">
        <f t="shared" si="7"/>
        <v>1</v>
      </c>
      <c r="L32" s="62">
        <f t="shared" si="8"/>
        <v>2.6595744680851064E-2</v>
      </c>
      <c r="M32" s="11" t="s">
        <v>169</v>
      </c>
      <c r="N32" s="11" t="s">
        <v>90</v>
      </c>
      <c r="O32" s="4"/>
    </row>
    <row r="33" spans="1:15" x14ac:dyDescent="0.35">
      <c r="A33" s="11">
        <v>1800008662</v>
      </c>
      <c r="B33" s="11" t="s">
        <v>100</v>
      </c>
      <c r="C33" s="12">
        <v>45798</v>
      </c>
      <c r="D33" s="13">
        <v>256779413426</v>
      </c>
      <c r="E33" s="11" t="s">
        <v>98</v>
      </c>
      <c r="F33" s="14">
        <v>2.35</v>
      </c>
      <c r="G33" s="14">
        <v>202.06</v>
      </c>
      <c r="H33" s="14" cm="1">
        <f t="array" ref="H33:I33">_xlfn.XLOOKUP(D33,'Customer Ledger'!$I:$I,'Customer Ledger'!$B:$C,,0)</f>
        <v>0</v>
      </c>
      <c r="I33" s="14">
        <v>2.35</v>
      </c>
      <c r="J33" s="14">
        <f t="shared" si="6"/>
        <v>2.35</v>
      </c>
      <c r="K33" s="14">
        <f t="shared" si="7"/>
        <v>0</v>
      </c>
      <c r="L33" s="62">
        <f t="shared" si="8"/>
        <v>0</v>
      </c>
      <c r="M33" s="11" t="s">
        <v>170</v>
      </c>
      <c r="N33" s="11" t="s">
        <v>90</v>
      </c>
      <c r="O33" s="4"/>
    </row>
    <row r="34" spans="1:15" x14ac:dyDescent="0.35">
      <c r="A34" s="11">
        <v>1600001070</v>
      </c>
      <c r="B34" s="11" t="s">
        <v>108</v>
      </c>
      <c r="C34" s="12">
        <v>45799</v>
      </c>
      <c r="D34" s="13">
        <v>256779420758</v>
      </c>
      <c r="E34" s="11" t="s">
        <v>98</v>
      </c>
      <c r="F34" s="14">
        <v>-50.75</v>
      </c>
      <c r="G34" s="14">
        <v>-4379.91</v>
      </c>
      <c r="H34" s="14" t="e" cm="1">
        <f t="array" ref="H34">_xlfn.XLOOKUP(D34,'Customer Ledger'!$I:$I,'Customer Ledger'!$B:$C,,0)</f>
        <v>#N/A</v>
      </c>
      <c r="I34" s="14"/>
      <c r="J34" s="14"/>
      <c r="K34" s="14"/>
      <c r="L34" s="14"/>
      <c r="M34" s="11" t="s">
        <v>195</v>
      </c>
      <c r="N34" s="11" t="s">
        <v>90</v>
      </c>
      <c r="O34" s="4"/>
    </row>
    <row r="35" spans="1:15" x14ac:dyDescent="0.35">
      <c r="A35" s="11">
        <v>1600001069</v>
      </c>
      <c r="B35" s="11" t="s">
        <v>108</v>
      </c>
      <c r="C35" s="12">
        <v>45799</v>
      </c>
      <c r="D35" s="13">
        <v>256779420757</v>
      </c>
      <c r="E35" s="11" t="s">
        <v>98</v>
      </c>
      <c r="F35" s="14">
        <v>-50.75</v>
      </c>
      <c r="G35" s="14">
        <v>-4379.91</v>
      </c>
      <c r="H35" s="14" t="e" cm="1">
        <f t="array" ref="H35">_xlfn.XLOOKUP(D35,'Customer Ledger'!$I:$I,'Customer Ledger'!$B:$C,,0)</f>
        <v>#N/A</v>
      </c>
      <c r="I35" s="14"/>
      <c r="J35" s="14"/>
      <c r="K35" s="14"/>
      <c r="L35" s="14"/>
      <c r="M35" s="11" t="s">
        <v>197</v>
      </c>
      <c r="N35" s="11">
        <v>1400000789</v>
      </c>
      <c r="O35" s="4"/>
    </row>
    <row r="36" spans="1:15" x14ac:dyDescent="0.35">
      <c r="A36" s="11">
        <v>1800009134</v>
      </c>
      <c r="B36" s="11" t="s">
        <v>100</v>
      </c>
      <c r="C36" s="12">
        <v>45805</v>
      </c>
      <c r="D36" s="13">
        <v>256779413898</v>
      </c>
      <c r="E36" s="11" t="s">
        <v>98</v>
      </c>
      <c r="F36" s="14">
        <v>928.64</v>
      </c>
      <c r="G36" s="14">
        <v>79847.899999999994</v>
      </c>
      <c r="H36" s="14" t="e" cm="1">
        <f t="array" ref="H36">_xlfn.XLOOKUP(D36,'Customer Ledger'!$I:$I,'Customer Ledger'!$B:$C,,0)</f>
        <v>#N/A</v>
      </c>
      <c r="I36" s="14"/>
      <c r="J36" s="14"/>
      <c r="K36" s="14"/>
      <c r="L36" s="14"/>
      <c r="M36" s="11" t="s">
        <v>140</v>
      </c>
      <c r="N36" s="11" t="s">
        <v>90</v>
      </c>
      <c r="O36" s="4"/>
    </row>
    <row r="37" spans="1:15" x14ac:dyDescent="0.35">
      <c r="A37" s="11">
        <v>1800009181</v>
      </c>
      <c r="B37" s="11" t="s">
        <v>100</v>
      </c>
      <c r="C37" s="12">
        <v>45810</v>
      </c>
      <c r="D37" s="13">
        <v>256779413945</v>
      </c>
      <c r="E37" s="11" t="s">
        <v>98</v>
      </c>
      <c r="F37" s="14">
        <v>50.75</v>
      </c>
      <c r="G37" s="14">
        <v>4338.66</v>
      </c>
      <c r="H37" s="14" t="e" cm="1">
        <f t="array" ref="H37">_xlfn.XLOOKUP(D37,'Customer Ledger'!$I:$I,'Customer Ledger'!$B:$C,,0)</f>
        <v>#N/A</v>
      </c>
      <c r="I37" s="14"/>
      <c r="J37" s="14"/>
      <c r="K37" s="14"/>
      <c r="L37" s="14"/>
      <c r="M37" s="11" t="s">
        <v>149</v>
      </c>
      <c r="N37" s="11" t="s">
        <v>90</v>
      </c>
      <c r="O37" s="4"/>
    </row>
    <row r="38" spans="1:15" x14ac:dyDescent="0.35">
      <c r="A38" s="11">
        <v>1800009191</v>
      </c>
      <c r="B38" s="11" t="s">
        <v>100</v>
      </c>
      <c r="C38" s="12">
        <v>45810</v>
      </c>
      <c r="D38" s="13">
        <v>256779413955</v>
      </c>
      <c r="E38" s="11" t="s">
        <v>98</v>
      </c>
      <c r="F38" s="14">
        <v>50.75</v>
      </c>
      <c r="G38" s="14">
        <v>4338.66</v>
      </c>
      <c r="H38" s="14" t="e" cm="1">
        <f t="array" ref="H38">_xlfn.XLOOKUP(D38,'Customer Ledger'!$I:$I,'Customer Ledger'!$B:$C,,0)</f>
        <v>#N/A</v>
      </c>
      <c r="I38" s="14"/>
      <c r="J38" s="14"/>
      <c r="K38" s="14"/>
      <c r="L38" s="14"/>
      <c r="M38" s="11" t="s">
        <v>200</v>
      </c>
      <c r="N38" s="11" t="s">
        <v>90</v>
      </c>
      <c r="O38" s="4"/>
    </row>
    <row r="39" spans="1:15" x14ac:dyDescent="0.35">
      <c r="A39" s="11">
        <v>1800009477</v>
      </c>
      <c r="B39" s="11" t="s">
        <v>100</v>
      </c>
      <c r="C39" s="12">
        <v>45815</v>
      </c>
      <c r="D39" s="13">
        <v>256779414241</v>
      </c>
      <c r="E39" s="11" t="s">
        <v>98</v>
      </c>
      <c r="F39" s="14">
        <v>632.96</v>
      </c>
      <c r="G39" s="14">
        <v>54112.24</v>
      </c>
      <c r="H39" s="14" t="e" cm="1">
        <f t="array" ref="H39">_xlfn.XLOOKUP(D39,'Customer Ledger'!$I:$I,'Customer Ledger'!$B:$C,,0)</f>
        <v>#N/A</v>
      </c>
      <c r="I39" s="14"/>
      <c r="J39" s="14"/>
      <c r="K39" s="14"/>
      <c r="L39" s="14"/>
      <c r="M39" s="11" t="s">
        <v>221</v>
      </c>
      <c r="N39" s="11" t="s">
        <v>90</v>
      </c>
      <c r="O39" s="4"/>
    </row>
    <row r="40" spans="1:15" x14ac:dyDescent="0.35">
      <c r="A40" s="11">
        <v>1800009623</v>
      </c>
      <c r="B40" s="11" t="s">
        <v>100</v>
      </c>
      <c r="C40" s="12">
        <v>45818</v>
      </c>
      <c r="D40" s="13">
        <v>256779414387</v>
      </c>
      <c r="E40" s="11" t="s">
        <v>98</v>
      </c>
      <c r="F40" s="14">
        <v>50.75</v>
      </c>
      <c r="G40" s="14">
        <v>4338.66</v>
      </c>
      <c r="H40" s="14" cm="1">
        <f t="array" ref="H40:I40">_xlfn.XLOOKUP(D40,'Customer Ledger'!$I:$I,'Customer Ledger'!$B:$C,,0)</f>
        <v>0</v>
      </c>
      <c r="I40" s="14">
        <v>45.75</v>
      </c>
      <c r="J40" s="14">
        <f t="shared" ref="J40:J41" si="9">I40-H40</f>
        <v>45.75</v>
      </c>
      <c r="K40" s="14">
        <f t="shared" ref="K40:K41" si="10">F40-J40</f>
        <v>5</v>
      </c>
      <c r="L40" s="62">
        <f t="shared" ref="L40:L41" si="11">K40/F40</f>
        <v>9.8522167487684734E-2</v>
      </c>
      <c r="M40" s="11" t="s">
        <v>112</v>
      </c>
      <c r="N40" s="11" t="s">
        <v>90</v>
      </c>
      <c r="O40" s="4"/>
    </row>
    <row r="41" spans="1:15" x14ac:dyDescent="0.35">
      <c r="A41" s="11">
        <v>1800009993</v>
      </c>
      <c r="B41" s="11" t="s">
        <v>100</v>
      </c>
      <c r="C41" s="12">
        <v>45826</v>
      </c>
      <c r="D41" s="13">
        <v>256779414757</v>
      </c>
      <c r="E41" s="11" t="s">
        <v>98</v>
      </c>
      <c r="F41" s="14">
        <v>117.9</v>
      </c>
      <c r="G41" s="14">
        <v>10079.36</v>
      </c>
      <c r="H41" s="14" cm="1">
        <f t="array" ref="H41:I41">_xlfn.XLOOKUP(D41,'Customer Ledger'!$I:$I,'Customer Ledger'!$B:$C,,0)</f>
        <v>0</v>
      </c>
      <c r="I41" s="14">
        <v>115.9</v>
      </c>
      <c r="J41" s="14">
        <f t="shared" si="9"/>
        <v>115.9</v>
      </c>
      <c r="K41" s="14">
        <f t="shared" si="10"/>
        <v>2</v>
      </c>
      <c r="L41" s="62">
        <f t="shared" si="11"/>
        <v>1.6963528413910092E-2</v>
      </c>
      <c r="M41" s="11" t="s">
        <v>171</v>
      </c>
      <c r="N41" s="11" t="s">
        <v>90</v>
      </c>
      <c r="O41" s="4"/>
    </row>
    <row r="42" spans="1:15" x14ac:dyDescent="0.35">
      <c r="A42" s="11">
        <v>1800009661</v>
      </c>
      <c r="B42" s="11" t="s">
        <v>100</v>
      </c>
      <c r="C42" s="12">
        <v>45826</v>
      </c>
      <c r="D42" s="13">
        <v>256779414425</v>
      </c>
      <c r="E42" s="11" t="s">
        <v>98</v>
      </c>
      <c r="F42" s="14">
        <v>50.75</v>
      </c>
      <c r="G42" s="14">
        <v>4338.66</v>
      </c>
      <c r="H42" s="14" t="e" cm="1">
        <f t="array" ref="H42">_xlfn.XLOOKUP(D42,'Customer Ledger'!$I:$I,'Customer Ledger'!$B:$C,,0)</f>
        <v>#N/A</v>
      </c>
      <c r="I42" s="14"/>
      <c r="J42" s="14"/>
      <c r="K42" s="14"/>
      <c r="L42" s="14"/>
      <c r="M42" s="11" t="s">
        <v>144</v>
      </c>
      <c r="N42" s="11">
        <v>1400001113</v>
      </c>
      <c r="O42" s="4"/>
    </row>
    <row r="43" spans="1:15" x14ac:dyDescent="0.35">
      <c r="A43" s="11">
        <v>1800009696</v>
      </c>
      <c r="B43" s="11" t="s">
        <v>100</v>
      </c>
      <c r="C43" s="12">
        <v>45826</v>
      </c>
      <c r="D43" s="13">
        <v>256779414460</v>
      </c>
      <c r="E43" s="11" t="s">
        <v>98</v>
      </c>
      <c r="F43" s="14">
        <v>50.75</v>
      </c>
      <c r="G43" s="14">
        <v>4338.66</v>
      </c>
      <c r="H43" s="14" t="e" cm="1">
        <f t="array" ref="H43">_xlfn.XLOOKUP(D43,'Customer Ledger'!$I:$I,'Customer Ledger'!$B:$C,,0)</f>
        <v>#N/A</v>
      </c>
      <c r="I43" s="14"/>
      <c r="J43" s="14"/>
      <c r="K43" s="14"/>
      <c r="L43" s="14"/>
      <c r="M43" s="11" t="s">
        <v>146</v>
      </c>
      <c r="N43" s="11">
        <v>1400001113</v>
      </c>
      <c r="O43" s="4"/>
    </row>
    <row r="44" spans="1:15" x14ac:dyDescent="0.35">
      <c r="A44" s="11">
        <v>1800009713</v>
      </c>
      <c r="B44" s="11" t="s">
        <v>100</v>
      </c>
      <c r="C44" s="12">
        <v>45826</v>
      </c>
      <c r="D44" s="13">
        <v>256779414477</v>
      </c>
      <c r="E44" s="11" t="s">
        <v>98</v>
      </c>
      <c r="F44" s="14">
        <v>50.75</v>
      </c>
      <c r="G44" s="14">
        <v>4338.66</v>
      </c>
      <c r="H44" s="14" t="e" cm="1">
        <f t="array" ref="H44">_xlfn.XLOOKUP(D44,'Customer Ledger'!$I:$I,'Customer Ledger'!$B:$C,,0)</f>
        <v>#N/A</v>
      </c>
      <c r="I44" s="14"/>
      <c r="J44" s="14"/>
      <c r="K44" s="14"/>
      <c r="L44" s="14"/>
      <c r="M44" s="11" t="s">
        <v>147</v>
      </c>
      <c r="N44" s="11">
        <v>1400001113</v>
      </c>
      <c r="O44" s="4"/>
    </row>
    <row r="45" spans="1:15" x14ac:dyDescent="0.35">
      <c r="A45" s="11">
        <v>1800009639</v>
      </c>
      <c r="B45" s="11" t="s">
        <v>100</v>
      </c>
      <c r="C45" s="12">
        <v>45826</v>
      </c>
      <c r="D45" s="13">
        <v>256779414403</v>
      </c>
      <c r="E45" s="11" t="s">
        <v>98</v>
      </c>
      <c r="F45" s="14">
        <v>50.75</v>
      </c>
      <c r="G45" s="14">
        <v>4338.66</v>
      </c>
      <c r="H45" s="14" t="e" cm="1">
        <f t="array" ref="H45">_xlfn.XLOOKUP(D45,'Customer Ledger'!$I:$I,'Customer Ledger'!$B:$C,,0)</f>
        <v>#N/A</v>
      </c>
      <c r="I45" s="14"/>
      <c r="J45" s="14"/>
      <c r="K45" s="14"/>
      <c r="L45" s="14"/>
      <c r="M45" s="11" t="s">
        <v>176</v>
      </c>
      <c r="N45" s="11">
        <v>1400001113</v>
      </c>
      <c r="O45" s="4"/>
    </row>
    <row r="46" spans="1:15" x14ac:dyDescent="0.35">
      <c r="A46" s="11">
        <v>1800009978</v>
      </c>
      <c r="B46" s="11" t="s">
        <v>100</v>
      </c>
      <c r="C46" s="12">
        <v>45827</v>
      </c>
      <c r="D46" s="13">
        <v>256779414742</v>
      </c>
      <c r="E46" s="11" t="s">
        <v>98</v>
      </c>
      <c r="F46" s="14">
        <v>332.22</v>
      </c>
      <c r="G46" s="14">
        <v>28401.75</v>
      </c>
      <c r="H46" s="14" cm="1">
        <f t="array" ref="H46:I46">_xlfn.XLOOKUP(D46,'Customer Ledger'!$I:$I,'Customer Ledger'!$B:$C,,0)</f>
        <v>0</v>
      </c>
      <c r="I46" s="14">
        <v>325.22000000000003</v>
      </c>
      <c r="J46" s="14">
        <f t="shared" ref="J46:J48" si="12">I46-H46</f>
        <v>325.22000000000003</v>
      </c>
      <c r="K46" s="14">
        <f t="shared" ref="K46:K48" si="13">F46-J46</f>
        <v>7</v>
      </c>
      <c r="L46" s="62">
        <f t="shared" ref="L46:L48" si="14">K46/F46</f>
        <v>2.1070375052675935E-2</v>
      </c>
      <c r="M46" s="11" t="s">
        <v>183</v>
      </c>
      <c r="N46" s="11" t="s">
        <v>90</v>
      </c>
      <c r="O46" s="4"/>
    </row>
    <row r="47" spans="1:15" x14ac:dyDescent="0.35">
      <c r="A47" s="11">
        <v>1800010003</v>
      </c>
      <c r="B47" s="11" t="s">
        <v>100</v>
      </c>
      <c r="C47" s="12">
        <v>45842</v>
      </c>
      <c r="D47" s="13">
        <v>256779414767</v>
      </c>
      <c r="E47" s="11" t="s">
        <v>98</v>
      </c>
      <c r="F47" s="14">
        <v>19.7</v>
      </c>
      <c r="G47" s="14">
        <v>1694.21</v>
      </c>
      <c r="H47" s="14" cm="1">
        <f t="array" ref="H47:I47">_xlfn.XLOOKUP(D47,'Customer Ledger'!$I:$I,'Customer Ledger'!$B:$C,,0)</f>
        <v>0</v>
      </c>
      <c r="I47" s="14">
        <v>19.7</v>
      </c>
      <c r="J47" s="14">
        <f t="shared" si="12"/>
        <v>19.7</v>
      </c>
      <c r="K47" s="14">
        <f t="shared" si="13"/>
        <v>0</v>
      </c>
      <c r="L47" s="62">
        <f t="shared" si="14"/>
        <v>0</v>
      </c>
      <c r="M47" s="11" t="s">
        <v>116</v>
      </c>
      <c r="N47" s="11" t="s">
        <v>90</v>
      </c>
      <c r="O47" s="4"/>
    </row>
    <row r="48" spans="1:15" x14ac:dyDescent="0.35">
      <c r="A48" s="11">
        <v>1800010185</v>
      </c>
      <c r="B48" s="11" t="s">
        <v>100</v>
      </c>
      <c r="C48" s="12">
        <v>45842</v>
      </c>
      <c r="D48" s="13">
        <v>256779414945</v>
      </c>
      <c r="E48" s="11" t="s">
        <v>98</v>
      </c>
      <c r="F48" s="14">
        <v>50.75</v>
      </c>
      <c r="G48" s="14">
        <v>4364.53</v>
      </c>
      <c r="H48" s="14" cm="1">
        <f t="array" ref="H48:I48">_xlfn.XLOOKUP(D48,'Customer Ledger'!$I:$I,'Customer Ledger'!$B:$C,,0)</f>
        <v>0</v>
      </c>
      <c r="I48" s="14">
        <v>45.75</v>
      </c>
      <c r="J48" s="14">
        <f t="shared" si="12"/>
        <v>45.75</v>
      </c>
      <c r="K48" s="14">
        <f t="shared" si="13"/>
        <v>5</v>
      </c>
      <c r="L48" s="62">
        <f t="shared" si="14"/>
        <v>9.8522167487684734E-2</v>
      </c>
      <c r="M48" s="11" t="s">
        <v>117</v>
      </c>
      <c r="N48" s="11" t="s">
        <v>90</v>
      </c>
      <c r="O48" s="4"/>
    </row>
    <row r="49" spans="1:15" x14ac:dyDescent="0.35">
      <c r="A49" s="11">
        <v>1800010437</v>
      </c>
      <c r="B49" s="11" t="s">
        <v>100</v>
      </c>
      <c r="C49" s="12">
        <v>45842</v>
      </c>
      <c r="D49" s="13">
        <v>256779415197</v>
      </c>
      <c r="E49" s="11" t="s">
        <v>98</v>
      </c>
      <c r="F49" s="14">
        <v>492.25</v>
      </c>
      <c r="G49" s="14">
        <v>42333.83</v>
      </c>
      <c r="H49" s="14" t="e" cm="1">
        <f t="array" ref="H49">_xlfn.XLOOKUP(D49,'Customer Ledger'!$I:$I,'Customer Ledger'!$B:$C,,0)</f>
        <v>#N/A</v>
      </c>
      <c r="I49" s="14"/>
      <c r="J49" s="14"/>
      <c r="K49" s="14"/>
      <c r="L49" s="14"/>
      <c r="M49" s="11" t="s">
        <v>119</v>
      </c>
      <c r="N49" s="11" t="s">
        <v>90</v>
      </c>
      <c r="O49" s="4"/>
    </row>
    <row r="50" spans="1:15" x14ac:dyDescent="0.35">
      <c r="A50" s="11">
        <v>1800010502</v>
      </c>
      <c r="B50" s="11" t="s">
        <v>100</v>
      </c>
      <c r="C50" s="12">
        <v>45842</v>
      </c>
      <c r="D50" s="13">
        <v>256779415262</v>
      </c>
      <c r="E50" s="11" t="s">
        <v>98</v>
      </c>
      <c r="F50" s="14">
        <v>476.32</v>
      </c>
      <c r="G50" s="14">
        <v>40963.839999999997</v>
      </c>
      <c r="H50" s="14" t="e" cm="1">
        <f t="array" ref="H50">_xlfn.XLOOKUP(D50,'Customer Ledger'!$I:$I,'Customer Ledger'!$B:$C,,0)</f>
        <v>#N/A</v>
      </c>
      <c r="I50" s="14"/>
      <c r="J50" s="14"/>
      <c r="K50" s="14"/>
      <c r="L50" s="14"/>
      <c r="M50" s="11" t="s">
        <v>121</v>
      </c>
      <c r="N50" s="11" t="s">
        <v>90</v>
      </c>
      <c r="O50" s="4"/>
    </row>
    <row r="51" spans="1:15" x14ac:dyDescent="0.35">
      <c r="A51" s="11">
        <v>1800010207</v>
      </c>
      <c r="B51" s="11" t="s">
        <v>100</v>
      </c>
      <c r="C51" s="12">
        <v>45845</v>
      </c>
      <c r="D51" s="13">
        <v>256779414967</v>
      </c>
      <c r="E51" s="11" t="s">
        <v>98</v>
      </c>
      <c r="F51" s="14">
        <v>216.2</v>
      </c>
      <c r="G51" s="14">
        <v>18593.34</v>
      </c>
      <c r="H51" s="14" cm="1">
        <f t="array" ref="H51:I51">_xlfn.XLOOKUP(D51,'Customer Ledger'!$I:$I,'Customer Ledger'!$B:$C,,0)</f>
        <v>0</v>
      </c>
      <c r="I51" s="14">
        <v>212.2</v>
      </c>
      <c r="J51" s="14">
        <f t="shared" ref="J51:J52" si="15">I51-H51</f>
        <v>212.2</v>
      </c>
      <c r="K51" s="14">
        <f t="shared" ref="K51:K52" si="16">F51-J51</f>
        <v>4</v>
      </c>
      <c r="L51" s="62">
        <f t="shared" ref="L51:L52" si="17">K51/F51</f>
        <v>1.8501387604070305E-2</v>
      </c>
      <c r="M51" s="11" t="s">
        <v>90</v>
      </c>
      <c r="N51" s="11" t="s">
        <v>90</v>
      </c>
      <c r="O51" s="4"/>
    </row>
    <row r="52" spans="1:15" x14ac:dyDescent="0.35">
      <c r="A52" s="11">
        <v>1800010671</v>
      </c>
      <c r="B52" s="11" t="s">
        <v>100</v>
      </c>
      <c r="C52" s="12">
        <v>45856</v>
      </c>
      <c r="D52" s="13">
        <v>256779415455</v>
      </c>
      <c r="E52" s="11" t="s">
        <v>98</v>
      </c>
      <c r="F52" s="14">
        <v>490.4</v>
      </c>
      <c r="G52" s="14">
        <v>42174.73</v>
      </c>
      <c r="H52" s="14" cm="1">
        <f t="array" ref="H52:I52">_xlfn.XLOOKUP(D52,'Customer Ledger'!$I:$I,'Customer Ledger'!$B:$C,,0)</f>
        <v>0</v>
      </c>
      <c r="I52" s="14">
        <v>480.4</v>
      </c>
      <c r="J52" s="14">
        <f t="shared" si="15"/>
        <v>480.4</v>
      </c>
      <c r="K52" s="14">
        <f t="shared" si="16"/>
        <v>10</v>
      </c>
      <c r="L52" s="62">
        <f t="shared" si="17"/>
        <v>2.0391517128874388E-2</v>
      </c>
      <c r="M52" s="11" t="s">
        <v>141</v>
      </c>
      <c r="N52" s="11" t="s">
        <v>90</v>
      </c>
      <c r="O52" s="4"/>
    </row>
    <row r="53" spans="1:15" x14ac:dyDescent="0.35">
      <c r="A53" s="11">
        <v>1800011010</v>
      </c>
      <c r="B53" s="11" t="s">
        <v>100</v>
      </c>
      <c r="C53" s="12">
        <v>45857</v>
      </c>
      <c r="D53" s="13">
        <v>256779415770</v>
      </c>
      <c r="E53" s="11" t="s">
        <v>98</v>
      </c>
      <c r="F53" s="14">
        <v>1425.77</v>
      </c>
      <c r="G53" s="14">
        <v>122617.18</v>
      </c>
      <c r="H53" s="14" t="e" cm="1">
        <f t="array" ref="H53">_xlfn.XLOOKUP(D53,'Customer Ledger'!$I:$I,'Customer Ledger'!$B:$C,,0)</f>
        <v>#N/A</v>
      </c>
      <c r="I53" s="14"/>
      <c r="J53" s="14"/>
      <c r="K53" s="14"/>
      <c r="L53" s="14"/>
      <c r="M53" s="11" t="s">
        <v>207</v>
      </c>
      <c r="N53" s="11" t="s">
        <v>90</v>
      </c>
      <c r="O53" s="4"/>
    </row>
    <row r="54" spans="1:15" x14ac:dyDescent="0.35">
      <c r="A54" s="11">
        <v>1800011016</v>
      </c>
      <c r="B54" s="11" t="s">
        <v>100</v>
      </c>
      <c r="C54" s="12">
        <v>45857</v>
      </c>
      <c r="D54" s="13">
        <v>256779415776</v>
      </c>
      <c r="E54" s="11" t="s">
        <v>98</v>
      </c>
      <c r="F54" s="14">
        <v>83.9</v>
      </c>
      <c r="G54" s="14">
        <v>7215.46</v>
      </c>
      <c r="H54" s="14" t="e" cm="1">
        <f t="array" ref="H54">_xlfn.XLOOKUP(D54,'Customer Ledger'!$I:$I,'Customer Ledger'!$B:$C,,0)</f>
        <v>#N/A</v>
      </c>
      <c r="I54" s="14"/>
      <c r="J54" s="14"/>
      <c r="K54" s="14"/>
      <c r="L54" s="14"/>
      <c r="M54" s="11" t="s">
        <v>209</v>
      </c>
      <c r="N54" s="11" t="s">
        <v>90</v>
      </c>
      <c r="O54" s="4"/>
    </row>
    <row r="55" spans="1:15" x14ac:dyDescent="0.35">
      <c r="A55" s="11">
        <v>1400000789</v>
      </c>
      <c r="B55" s="11" t="s">
        <v>93</v>
      </c>
      <c r="C55" s="12">
        <v>45861</v>
      </c>
      <c r="D55" s="13" t="s">
        <v>90</v>
      </c>
      <c r="E55" s="11" t="s">
        <v>91</v>
      </c>
      <c r="F55" s="14">
        <v>8729.06</v>
      </c>
      <c r="G55" s="14">
        <v>8822.56</v>
      </c>
      <c r="H55" s="14" t="e" cm="1">
        <f t="array" ref="H55">_xlfn.XLOOKUP(D55,'Customer Ledger'!$I:$I,'Customer Ledger'!$B:$C,,0)</f>
        <v>#N/A</v>
      </c>
      <c r="I55" s="14"/>
      <c r="J55" s="14"/>
      <c r="K55" s="14"/>
      <c r="L55" s="14"/>
      <c r="M55" s="11" t="s">
        <v>90</v>
      </c>
      <c r="N55" s="11">
        <v>1400000789</v>
      </c>
      <c r="O55" s="4"/>
    </row>
    <row r="56" spans="1:15" x14ac:dyDescent="0.35">
      <c r="A56" s="11">
        <v>1400000789</v>
      </c>
      <c r="B56" s="11" t="s">
        <v>93</v>
      </c>
      <c r="C56" s="12">
        <v>45861</v>
      </c>
      <c r="D56" s="13" t="s">
        <v>90</v>
      </c>
      <c r="E56" s="11" t="s">
        <v>91</v>
      </c>
      <c r="F56" s="14">
        <v>-8729.06</v>
      </c>
      <c r="G56" s="14">
        <v>-8822.56</v>
      </c>
      <c r="H56" s="14" t="e" cm="1">
        <f t="array" ref="H56">_xlfn.XLOOKUP(D56,'Customer Ledger'!$I:$I,'Customer Ledger'!$B:$C,,0)</f>
        <v>#N/A</v>
      </c>
      <c r="I56" s="14"/>
      <c r="J56" s="14"/>
      <c r="K56" s="14"/>
      <c r="L56" s="14"/>
      <c r="M56" s="11" t="s">
        <v>90</v>
      </c>
      <c r="N56" s="11">
        <v>1400000789</v>
      </c>
      <c r="O56" s="4"/>
    </row>
    <row r="57" spans="1:15" x14ac:dyDescent="0.35">
      <c r="A57" s="11">
        <v>1600001873</v>
      </c>
      <c r="B57" s="11" t="s">
        <v>108</v>
      </c>
      <c r="C57" s="12">
        <v>45862</v>
      </c>
      <c r="D57" s="13">
        <v>256779421493</v>
      </c>
      <c r="E57" s="11" t="s">
        <v>98</v>
      </c>
      <c r="F57" s="14">
        <v>-50.75</v>
      </c>
      <c r="G57" s="14">
        <v>-4364.53</v>
      </c>
      <c r="H57" s="14" t="e" cm="1">
        <f t="array" ref="H57">_xlfn.XLOOKUP(D57,'Customer Ledger'!$I:$I,'Customer Ledger'!$B:$C,,0)</f>
        <v>#N/A</v>
      </c>
      <c r="I57" s="14"/>
      <c r="J57" s="14"/>
      <c r="K57" s="14"/>
      <c r="L57" s="14"/>
      <c r="M57" s="11" t="s">
        <v>158</v>
      </c>
      <c r="N57" s="11">
        <v>1400001113</v>
      </c>
      <c r="O57" s="4"/>
    </row>
    <row r="58" spans="1:15" x14ac:dyDescent="0.35">
      <c r="A58" s="11">
        <v>1600001907</v>
      </c>
      <c r="B58" s="11" t="s">
        <v>108</v>
      </c>
      <c r="C58" s="12">
        <v>45862</v>
      </c>
      <c r="D58" s="13">
        <v>256779421527</v>
      </c>
      <c r="E58" s="11" t="s">
        <v>98</v>
      </c>
      <c r="F58" s="14">
        <v>-50.75</v>
      </c>
      <c r="G58" s="14">
        <v>-4364.53</v>
      </c>
      <c r="H58" s="14" t="e" cm="1">
        <f t="array" ref="H58">_xlfn.XLOOKUP(D58,'Customer Ledger'!$I:$I,'Customer Ledger'!$B:$C,,0)</f>
        <v>#N/A</v>
      </c>
      <c r="I58" s="14"/>
      <c r="J58" s="14"/>
      <c r="K58" s="14"/>
      <c r="L58" s="14"/>
      <c r="M58" s="11" t="s">
        <v>160</v>
      </c>
      <c r="N58" s="11">
        <v>1400001113</v>
      </c>
      <c r="O58" s="4"/>
    </row>
    <row r="59" spans="1:15" x14ac:dyDescent="0.35">
      <c r="A59" s="11">
        <v>1600001924</v>
      </c>
      <c r="B59" s="11" t="s">
        <v>108</v>
      </c>
      <c r="C59" s="12">
        <v>45862</v>
      </c>
      <c r="D59" s="13">
        <v>256779421544</v>
      </c>
      <c r="E59" s="11" t="s">
        <v>98</v>
      </c>
      <c r="F59" s="14">
        <v>-50.75</v>
      </c>
      <c r="G59" s="14">
        <v>-4364.53</v>
      </c>
      <c r="H59" s="14" t="e" cm="1">
        <f t="array" ref="H59">_xlfn.XLOOKUP(D59,'Customer Ledger'!$I:$I,'Customer Ledger'!$B:$C,,0)</f>
        <v>#N/A</v>
      </c>
      <c r="I59" s="14"/>
      <c r="J59" s="14"/>
      <c r="K59" s="14"/>
      <c r="L59" s="14"/>
      <c r="M59" s="11" t="s">
        <v>162</v>
      </c>
      <c r="N59" s="11">
        <v>1400001113</v>
      </c>
      <c r="O59" s="4"/>
    </row>
    <row r="60" spans="1:15" x14ac:dyDescent="0.35">
      <c r="A60" s="11">
        <v>1800011070</v>
      </c>
      <c r="B60" s="11" t="s">
        <v>100</v>
      </c>
      <c r="C60" s="12">
        <v>45862</v>
      </c>
      <c r="D60" s="13">
        <v>256779415830</v>
      </c>
      <c r="E60" s="11" t="s">
        <v>98</v>
      </c>
      <c r="F60" s="14">
        <v>50.75</v>
      </c>
      <c r="G60" s="14">
        <v>4364.53</v>
      </c>
      <c r="H60" s="14" t="e" cm="1">
        <f t="array" ref="H60">_xlfn.XLOOKUP(D60,'Customer Ledger'!$I:$I,'Customer Ledger'!$B:$C,,0)</f>
        <v>#N/A</v>
      </c>
      <c r="I60" s="14"/>
      <c r="J60" s="14"/>
      <c r="K60" s="14"/>
      <c r="L60" s="14"/>
      <c r="M60" s="11" t="s">
        <v>164</v>
      </c>
      <c r="N60" s="11" t="s">
        <v>90</v>
      </c>
      <c r="O60" s="4"/>
    </row>
    <row r="61" spans="1:15" x14ac:dyDescent="0.35">
      <c r="A61" s="11">
        <v>1800011071</v>
      </c>
      <c r="B61" s="11" t="s">
        <v>100</v>
      </c>
      <c r="C61" s="12">
        <v>45862</v>
      </c>
      <c r="D61" s="13">
        <v>256779415831</v>
      </c>
      <c r="E61" s="11" t="s">
        <v>98</v>
      </c>
      <c r="F61" s="14">
        <v>50.75</v>
      </c>
      <c r="G61" s="14">
        <v>4364.53</v>
      </c>
      <c r="H61" s="14" t="e" cm="1">
        <f t="array" ref="H61">_xlfn.XLOOKUP(D61,'Customer Ledger'!$I:$I,'Customer Ledger'!$B:$C,,0)</f>
        <v>#N/A</v>
      </c>
      <c r="I61" s="14"/>
      <c r="J61" s="14"/>
      <c r="K61" s="14"/>
      <c r="L61" s="14"/>
      <c r="M61" s="11" t="s">
        <v>166</v>
      </c>
      <c r="N61" s="11" t="s">
        <v>90</v>
      </c>
      <c r="O61" s="4"/>
    </row>
    <row r="62" spans="1:15" x14ac:dyDescent="0.35">
      <c r="A62" s="11">
        <v>1600001851</v>
      </c>
      <c r="B62" s="11" t="s">
        <v>108</v>
      </c>
      <c r="C62" s="12">
        <v>45862</v>
      </c>
      <c r="D62" s="13">
        <v>256779421471</v>
      </c>
      <c r="E62" s="11" t="s">
        <v>98</v>
      </c>
      <c r="F62" s="14">
        <v>-50.75</v>
      </c>
      <c r="G62" s="14">
        <v>-4364.53</v>
      </c>
      <c r="H62" s="14" t="e" cm="1">
        <f t="array" ref="H62">_xlfn.XLOOKUP(D62,'Customer Ledger'!$I:$I,'Customer Ledger'!$B:$C,,0)</f>
        <v>#N/A</v>
      </c>
      <c r="I62" s="14"/>
      <c r="J62" s="14"/>
      <c r="K62" s="14"/>
      <c r="L62" s="14"/>
      <c r="M62" s="11" t="s">
        <v>168</v>
      </c>
      <c r="N62" s="11">
        <v>1400001113</v>
      </c>
      <c r="O62" s="4"/>
    </row>
    <row r="63" spans="1:15" x14ac:dyDescent="0.35">
      <c r="A63" s="11">
        <v>1800011346</v>
      </c>
      <c r="B63" s="11" t="s">
        <v>100</v>
      </c>
      <c r="C63" s="12">
        <v>45870</v>
      </c>
      <c r="D63" s="13">
        <v>256779416055</v>
      </c>
      <c r="E63" s="11" t="s">
        <v>98</v>
      </c>
      <c r="F63" s="14">
        <v>50.75</v>
      </c>
      <c r="G63" s="14">
        <v>4366.03</v>
      </c>
      <c r="H63" s="14" cm="1">
        <f t="array" ref="H63:I63">_xlfn.XLOOKUP(D63,'Customer Ledger'!$I:$I,'Customer Ledger'!$B:$C,,0)</f>
        <v>0</v>
      </c>
      <c r="I63" s="14">
        <v>45.75</v>
      </c>
      <c r="J63" s="14">
        <f>I63-H63</f>
        <v>45.75</v>
      </c>
      <c r="K63" s="14">
        <f>F63-J63</f>
        <v>5</v>
      </c>
      <c r="L63" s="62">
        <f>K63/F63</f>
        <v>9.8522167487684734E-2</v>
      </c>
      <c r="M63" s="11" t="s">
        <v>107</v>
      </c>
      <c r="N63" s="11" t="s">
        <v>90</v>
      </c>
      <c r="O63" s="4"/>
    </row>
    <row r="64" spans="1:15" x14ac:dyDescent="0.35">
      <c r="A64" s="11">
        <v>1600002033</v>
      </c>
      <c r="B64" s="11" t="s">
        <v>108</v>
      </c>
      <c r="C64" s="12">
        <v>45873</v>
      </c>
      <c r="D64" s="13">
        <v>256779421609</v>
      </c>
      <c r="E64" s="11" t="s">
        <v>98</v>
      </c>
      <c r="F64" s="14">
        <v>-83.9</v>
      </c>
      <c r="G64" s="14">
        <v>-7215.46</v>
      </c>
      <c r="H64" s="14" t="e" cm="1">
        <f t="array" ref="H64">_xlfn.XLOOKUP(D64,'Customer Ledger'!$I:$I,'Customer Ledger'!$B:$C,,0)</f>
        <v>#N/A</v>
      </c>
      <c r="I64" s="14"/>
      <c r="J64" s="14"/>
      <c r="K64" s="14"/>
      <c r="L64" s="14"/>
      <c r="M64" s="11" t="s">
        <v>153</v>
      </c>
      <c r="N64" s="11" t="s">
        <v>90</v>
      </c>
      <c r="O64" s="4"/>
    </row>
    <row r="65" spans="1:15" x14ac:dyDescent="0.35">
      <c r="A65" s="11">
        <v>1800011657</v>
      </c>
      <c r="B65" s="11" t="s">
        <v>100</v>
      </c>
      <c r="C65" s="12">
        <v>45877</v>
      </c>
      <c r="D65" s="13">
        <v>256779416087</v>
      </c>
      <c r="E65" s="11" t="s">
        <v>98</v>
      </c>
      <c r="F65" s="14">
        <v>916.56</v>
      </c>
      <c r="G65" s="14">
        <v>78851.77</v>
      </c>
      <c r="H65" s="14" t="e" cm="1">
        <f t="array" ref="H65">_xlfn.XLOOKUP(D65,'Customer Ledger'!$I:$I,'Customer Ledger'!$B:$C,,0)</f>
        <v>#N/A</v>
      </c>
      <c r="I65" s="14"/>
      <c r="J65" s="14"/>
      <c r="K65" s="14"/>
      <c r="L65" s="14"/>
      <c r="M65" s="11" t="s">
        <v>134</v>
      </c>
      <c r="N65" s="11" t="s">
        <v>90</v>
      </c>
      <c r="O65" s="4"/>
    </row>
    <row r="66" spans="1:15" x14ac:dyDescent="0.35">
      <c r="A66" s="11">
        <v>1400001113</v>
      </c>
      <c r="B66" s="11" t="s">
        <v>92</v>
      </c>
      <c r="C66" s="12">
        <v>45902</v>
      </c>
      <c r="D66" s="13" t="s">
        <v>90</v>
      </c>
      <c r="E66" s="11" t="s">
        <v>91</v>
      </c>
      <c r="F66" s="14">
        <v>13324.05</v>
      </c>
      <c r="G66" s="14">
        <v>13093.59</v>
      </c>
      <c r="H66" s="14" t="e" cm="1">
        <f t="array" ref="H66">_xlfn.XLOOKUP(D66,'Customer Ledger'!$I:$I,'Customer Ledger'!$B:$C,,0)</f>
        <v>#N/A</v>
      </c>
      <c r="I66" s="14"/>
      <c r="J66" s="14"/>
      <c r="K66" s="14"/>
      <c r="L66" s="14"/>
      <c r="M66" s="11" t="s">
        <v>90</v>
      </c>
      <c r="N66" s="11">
        <v>1400001113</v>
      </c>
      <c r="O66" s="4"/>
    </row>
    <row r="67" spans="1:15" x14ac:dyDescent="0.35">
      <c r="A67" s="11">
        <v>1400001113</v>
      </c>
      <c r="B67" s="11" t="s">
        <v>92</v>
      </c>
      <c r="C67" s="12">
        <v>45902</v>
      </c>
      <c r="D67" s="13" t="s">
        <v>90</v>
      </c>
      <c r="E67" s="11" t="s">
        <v>91</v>
      </c>
      <c r="F67" s="14">
        <v>-13324.05</v>
      </c>
      <c r="G67" s="14">
        <v>-13015.98</v>
      </c>
      <c r="H67" s="14" t="e" cm="1">
        <f t="array" ref="H67">_xlfn.XLOOKUP(D67,'Customer Ledger'!$I:$I,'Customer Ledger'!$B:$C,,0)</f>
        <v>#N/A</v>
      </c>
      <c r="I67" s="14"/>
      <c r="J67" s="14"/>
      <c r="K67" s="14"/>
      <c r="L67" s="14"/>
      <c r="M67" s="11" t="s">
        <v>90</v>
      </c>
      <c r="N67" s="11">
        <v>1400001113</v>
      </c>
      <c r="O67" s="4"/>
    </row>
    <row r="68" spans="1:15" x14ac:dyDescent="0.35">
      <c r="A68" s="11">
        <v>1400001113</v>
      </c>
      <c r="B68" s="11" t="s">
        <v>92</v>
      </c>
      <c r="C68" s="12">
        <v>45902</v>
      </c>
      <c r="D68" s="13" t="s">
        <v>90</v>
      </c>
      <c r="E68" s="11" t="s">
        <v>91</v>
      </c>
      <c r="F68" s="14">
        <v>4441.3500000000004</v>
      </c>
      <c r="G68" s="14">
        <v>4364.53</v>
      </c>
      <c r="H68" s="14" t="e" cm="1">
        <f t="array" ref="H68">_xlfn.XLOOKUP(D68,'Customer Ledger'!$I:$I,'Customer Ledger'!$B:$C,,0)</f>
        <v>#N/A</v>
      </c>
      <c r="I68" s="14"/>
      <c r="J68" s="14"/>
      <c r="K68" s="14"/>
      <c r="L68" s="14"/>
      <c r="M68" s="11" t="s">
        <v>90</v>
      </c>
      <c r="N68" s="11">
        <v>1400001113</v>
      </c>
      <c r="O68" s="4"/>
    </row>
    <row r="69" spans="1:15" x14ac:dyDescent="0.35">
      <c r="A69" s="11">
        <v>1400001113</v>
      </c>
      <c r="B69" s="11" t="s">
        <v>92</v>
      </c>
      <c r="C69" s="12">
        <v>45902</v>
      </c>
      <c r="D69" s="13" t="s">
        <v>90</v>
      </c>
      <c r="E69" s="11" t="s">
        <v>91</v>
      </c>
      <c r="F69" s="14">
        <v>-4441.3500000000004</v>
      </c>
      <c r="G69" s="14">
        <v>-4338.66</v>
      </c>
      <c r="H69" s="14" t="e" cm="1">
        <f t="array" ref="H69">_xlfn.XLOOKUP(D69,'Customer Ledger'!$I:$I,'Customer Ledger'!$B:$C,,0)</f>
        <v>#N/A</v>
      </c>
      <c r="I69" s="14"/>
      <c r="J69" s="14"/>
      <c r="K69" s="14"/>
      <c r="L69" s="14"/>
      <c r="M69" s="11" t="s">
        <v>90</v>
      </c>
      <c r="N69" s="11">
        <v>1400001113</v>
      </c>
      <c r="O69" s="4"/>
    </row>
    <row r="70" spans="1:15" x14ac:dyDescent="0.35">
      <c r="A70" s="11">
        <v>1800012740</v>
      </c>
      <c r="B70" s="11" t="s">
        <v>100</v>
      </c>
      <c r="C70" s="12">
        <v>45904</v>
      </c>
      <c r="D70" s="13">
        <v>256779417374</v>
      </c>
      <c r="E70" s="11" t="s">
        <v>98</v>
      </c>
      <c r="F70" s="14">
        <v>50.75</v>
      </c>
      <c r="G70" s="14">
        <v>4441.3500000000004</v>
      </c>
      <c r="H70" s="14" cm="1">
        <f t="array" ref="H70:I70">_xlfn.XLOOKUP(D70,'Customer Ledger'!$I:$I,'Customer Ledger'!$B:$C,,0)</f>
        <v>0</v>
      </c>
      <c r="I70" s="14">
        <v>45.75</v>
      </c>
      <c r="J70" s="14">
        <f>I70-H70</f>
        <v>45.75</v>
      </c>
      <c r="K70" s="14">
        <f>F70-J70</f>
        <v>5</v>
      </c>
      <c r="L70" s="62">
        <f>K70/F70</f>
        <v>9.8522167487684734E-2</v>
      </c>
      <c r="M70" s="11" t="s">
        <v>115</v>
      </c>
      <c r="N70" s="11" t="s">
        <v>90</v>
      </c>
      <c r="O70" s="4"/>
    </row>
    <row r="71" spans="1:15" x14ac:dyDescent="0.35">
      <c r="A71" s="11">
        <v>1800012475</v>
      </c>
      <c r="B71" s="11" t="s">
        <v>100</v>
      </c>
      <c r="C71" s="12">
        <v>45906</v>
      </c>
      <c r="D71" s="13">
        <v>256779417083</v>
      </c>
      <c r="E71" s="11" t="s">
        <v>98</v>
      </c>
      <c r="F71" s="14">
        <v>634.36</v>
      </c>
      <c r="G71" s="14">
        <v>55515.59</v>
      </c>
      <c r="H71" s="14" t="e" cm="1">
        <f t="array" ref="H71">_xlfn.XLOOKUP(D71,'Customer Ledger'!$I:$I,'Customer Ledger'!$B:$C,,0)</f>
        <v>#N/A</v>
      </c>
      <c r="I71" s="14"/>
      <c r="J71" s="14"/>
      <c r="K71" s="14"/>
      <c r="L71" s="14"/>
      <c r="M71" s="11" t="s">
        <v>228</v>
      </c>
      <c r="N71" s="11" t="s">
        <v>90</v>
      </c>
      <c r="O71" s="4"/>
    </row>
    <row r="72" spans="1:15" x14ac:dyDescent="0.35">
      <c r="A72" s="11">
        <v>1800012787</v>
      </c>
      <c r="B72" s="11" t="s">
        <v>100</v>
      </c>
      <c r="C72" s="12">
        <v>45917</v>
      </c>
      <c r="D72" s="13">
        <v>256779417441</v>
      </c>
      <c r="E72" s="11" t="s">
        <v>98</v>
      </c>
      <c r="F72" s="14">
        <v>1902.19</v>
      </c>
      <c r="G72" s="14">
        <v>166468.88</v>
      </c>
      <c r="H72" s="14" cm="1">
        <f t="array" ref="H72:I72">_xlfn.XLOOKUP(D72,'Customer Ledger'!$I:$I,'Customer Ledger'!$B:$C,,0)</f>
        <v>38</v>
      </c>
      <c r="I72" s="14">
        <v>1902.19</v>
      </c>
      <c r="J72" s="14">
        <f t="shared" ref="J72:J73" si="18">I72-H72</f>
        <v>1864.19</v>
      </c>
      <c r="K72" s="14">
        <f t="shared" ref="K72:K73" si="19">F72-J72</f>
        <v>38</v>
      </c>
      <c r="L72" s="62">
        <f t="shared" ref="L72:L73" si="20">K72/F72</f>
        <v>1.9976973909020656E-2</v>
      </c>
      <c r="M72" s="11" t="s">
        <v>113</v>
      </c>
      <c r="N72" s="11" t="s">
        <v>90</v>
      </c>
      <c r="O72" s="4"/>
    </row>
    <row r="73" spans="1:15" x14ac:dyDescent="0.35">
      <c r="A73" s="11">
        <v>1800012796</v>
      </c>
      <c r="B73" s="11" t="s">
        <v>100</v>
      </c>
      <c r="C73" s="12">
        <v>45917</v>
      </c>
      <c r="D73" s="13">
        <v>256779417450</v>
      </c>
      <c r="E73" s="11" t="s">
        <v>98</v>
      </c>
      <c r="F73" s="14">
        <v>81.569999999999993</v>
      </c>
      <c r="G73" s="14">
        <v>7138.54</v>
      </c>
      <c r="H73" s="14" cm="1">
        <f t="array" ref="H73:I73">_xlfn.XLOOKUP(D73,'Customer Ledger'!$I:$I,'Customer Ledger'!$B:$C,,0)</f>
        <v>0</v>
      </c>
      <c r="I73" s="14">
        <v>79.569999999999993</v>
      </c>
      <c r="J73" s="14">
        <f t="shared" si="18"/>
        <v>79.569999999999993</v>
      </c>
      <c r="K73" s="14">
        <f t="shared" si="19"/>
        <v>2</v>
      </c>
      <c r="L73" s="62">
        <f t="shared" si="20"/>
        <v>2.4518818192963102E-2</v>
      </c>
      <c r="M73" s="11" t="s">
        <v>114</v>
      </c>
      <c r="N73" s="11" t="s">
        <v>90</v>
      </c>
      <c r="O73" s="4"/>
    </row>
    <row r="74" spans="1:15" x14ac:dyDescent="0.35">
      <c r="A74" s="11">
        <v>1800012870</v>
      </c>
      <c r="B74" s="11" t="s">
        <v>100</v>
      </c>
      <c r="C74" s="12">
        <v>45918</v>
      </c>
      <c r="D74" s="13">
        <v>256779417488</v>
      </c>
      <c r="E74" s="11" t="s">
        <v>98</v>
      </c>
      <c r="F74" s="14">
        <v>52.64</v>
      </c>
      <c r="G74" s="14">
        <v>4606.75</v>
      </c>
      <c r="H74" s="14" t="e" cm="1">
        <f t="array" ref="H74">_xlfn.XLOOKUP(D74,'Customer Ledger'!$I:$I,'Customer Ledger'!$B:$C,,0)</f>
        <v>#N/A</v>
      </c>
      <c r="I74" s="14"/>
      <c r="J74" s="14"/>
      <c r="K74" s="14"/>
      <c r="L74" s="14"/>
      <c r="M74" s="11" t="s">
        <v>191</v>
      </c>
      <c r="N74" s="11" t="s">
        <v>90</v>
      </c>
      <c r="O74" s="4"/>
    </row>
    <row r="75" spans="1:15" x14ac:dyDescent="0.35">
      <c r="A75" s="11">
        <v>1800012944</v>
      </c>
      <c r="B75" s="11" t="s">
        <v>100</v>
      </c>
      <c r="C75" s="12">
        <v>45918</v>
      </c>
      <c r="D75" s="13">
        <v>256779417583</v>
      </c>
      <c r="E75" s="11" t="s">
        <v>98</v>
      </c>
      <c r="F75" s="14">
        <v>279.45</v>
      </c>
      <c r="G75" s="14">
        <v>24455.88</v>
      </c>
      <c r="H75" s="14" cm="1">
        <f t="array" ref="H75:I75">_xlfn.XLOOKUP(D75,'Customer Ledger'!$I:$I,'Customer Ledger'!$B:$C,,0)</f>
        <v>0</v>
      </c>
      <c r="I75" s="14">
        <v>273.45</v>
      </c>
      <c r="J75" s="14">
        <f t="shared" ref="J75:J76" si="21">I75-H75</f>
        <v>273.45</v>
      </c>
      <c r="K75" s="14">
        <f t="shared" ref="K75:K76" si="22">F75-J75</f>
        <v>6</v>
      </c>
      <c r="L75" s="62">
        <f t="shared" ref="L75:L76" si="23">K75/F75</f>
        <v>2.147074610842727E-2</v>
      </c>
      <c r="M75" s="11" t="s">
        <v>192</v>
      </c>
      <c r="N75" s="11" t="s">
        <v>90</v>
      </c>
      <c r="O75" s="4"/>
    </row>
    <row r="76" spans="1:15" x14ac:dyDescent="0.35">
      <c r="A76" s="11">
        <v>1800012862</v>
      </c>
      <c r="B76" s="11" t="s">
        <v>100</v>
      </c>
      <c r="C76" s="12">
        <v>45918</v>
      </c>
      <c r="D76" s="13">
        <v>256779417598</v>
      </c>
      <c r="E76" s="11" t="s">
        <v>98</v>
      </c>
      <c r="F76" s="14">
        <v>150.4</v>
      </c>
      <c r="G76" s="14">
        <v>13162.16</v>
      </c>
      <c r="H76" s="14" cm="1">
        <f t="array" ref="H76:I76">_xlfn.XLOOKUP(D76,'Customer Ledger'!$I:$I,'Customer Ledger'!$B:$C,,0)</f>
        <v>0</v>
      </c>
      <c r="I76" s="14">
        <v>147.4</v>
      </c>
      <c r="J76" s="14">
        <f t="shared" si="21"/>
        <v>147.4</v>
      </c>
      <c r="K76" s="14">
        <f t="shared" si="22"/>
        <v>3</v>
      </c>
      <c r="L76" s="62">
        <f t="shared" si="23"/>
        <v>1.9946808510638295E-2</v>
      </c>
      <c r="M76" s="11" t="s">
        <v>193</v>
      </c>
      <c r="N76" s="11" t="s">
        <v>90</v>
      </c>
      <c r="O76" s="4"/>
    </row>
    <row r="77" spans="1:15" x14ac:dyDescent="0.35">
      <c r="A77" s="11">
        <v>1800013396</v>
      </c>
      <c r="B77" s="11" t="s">
        <v>100</v>
      </c>
      <c r="C77" s="12">
        <v>45935</v>
      </c>
      <c r="D77" s="13">
        <v>256779417991</v>
      </c>
      <c r="E77" s="11" t="s">
        <v>98</v>
      </c>
      <c r="F77" s="14">
        <v>184.54</v>
      </c>
      <c r="G77" s="14">
        <v>16274.72</v>
      </c>
      <c r="H77" s="14" t="e" cm="1">
        <f t="array" ref="H77">_xlfn.XLOOKUP(D77,'Customer Ledger'!$I:$I,'Customer Ledger'!$B:$C,,0)</f>
        <v>#N/A</v>
      </c>
      <c r="I77" s="14"/>
      <c r="J77" s="14"/>
      <c r="K77" s="14"/>
      <c r="L77" s="14"/>
      <c r="M77" s="11" t="s">
        <v>225</v>
      </c>
      <c r="N77" s="11" t="s">
        <v>90</v>
      </c>
      <c r="O77" s="4"/>
    </row>
    <row r="78" spans="1:15" x14ac:dyDescent="0.35">
      <c r="A78" s="11">
        <v>1800013461</v>
      </c>
      <c r="B78" s="11" t="s">
        <v>100</v>
      </c>
      <c r="C78" s="12">
        <v>45935</v>
      </c>
      <c r="D78" s="13">
        <v>256779418037</v>
      </c>
      <c r="E78" s="11" t="s">
        <v>98</v>
      </c>
      <c r="F78" s="14">
        <v>50.75</v>
      </c>
      <c r="G78" s="14">
        <v>4475.68</v>
      </c>
      <c r="H78" s="14" cm="1">
        <f t="array" ref="H78:I78">_xlfn.XLOOKUP(D78,'Customer Ledger'!$I:$I,'Customer Ledger'!$B:$C,,0)</f>
        <v>0</v>
      </c>
      <c r="I78" s="14">
        <v>45.75</v>
      </c>
      <c r="J78" s="14">
        <f>I78-H78</f>
        <v>45.75</v>
      </c>
      <c r="K78" s="14">
        <f>F78-J78</f>
        <v>5</v>
      </c>
      <c r="L78" s="62">
        <f>K78/F78</f>
        <v>9.8522167487684734E-2</v>
      </c>
      <c r="M78" s="11" t="s">
        <v>226</v>
      </c>
      <c r="N78" s="11" t="s">
        <v>90</v>
      </c>
      <c r="O78" s="4"/>
    </row>
    <row r="79" spans="1:15" x14ac:dyDescent="0.35">
      <c r="A79" s="11">
        <v>1800013273</v>
      </c>
      <c r="B79" s="11" t="s">
        <v>100</v>
      </c>
      <c r="C79" s="12">
        <v>45936</v>
      </c>
      <c r="D79" s="13">
        <v>256779418009</v>
      </c>
      <c r="E79" s="11" t="s">
        <v>98</v>
      </c>
      <c r="F79" s="14">
        <v>1480.75</v>
      </c>
      <c r="G79" s="14">
        <v>130588.48</v>
      </c>
      <c r="H79" s="14" t="e" cm="1">
        <f t="array" ref="H79">_xlfn.XLOOKUP(D79,'Customer Ledger'!$I:$I,'Customer Ledger'!$B:$C,,0)</f>
        <v>#N/A</v>
      </c>
      <c r="I79" s="14"/>
      <c r="J79" s="14"/>
      <c r="K79" s="14"/>
      <c r="L79" s="14"/>
      <c r="M79" s="11" t="s">
        <v>223</v>
      </c>
      <c r="N79" s="11" t="s">
        <v>90</v>
      </c>
      <c r="O79" s="4"/>
    </row>
    <row r="80" spans="1:15" x14ac:dyDescent="0.35">
      <c r="A80" s="11">
        <v>1800013746</v>
      </c>
      <c r="B80" s="11" t="s">
        <v>100</v>
      </c>
      <c r="C80" s="12">
        <v>45937</v>
      </c>
      <c r="D80" s="13">
        <v>256779418167</v>
      </c>
      <c r="E80" s="11" t="s">
        <v>98</v>
      </c>
      <c r="F80" s="14">
        <v>70</v>
      </c>
      <c r="G80" s="14">
        <v>6173.35</v>
      </c>
      <c r="H80" s="14" cm="1">
        <f t="array" ref="H80:I80">_xlfn.XLOOKUP(D80,'Customer Ledger'!$I:$I,'Customer Ledger'!$B:$C,,0)</f>
        <v>0</v>
      </c>
      <c r="I80" s="14">
        <v>69</v>
      </c>
      <c r="J80" s="14">
        <f t="shared" ref="J80:J84" si="24">I80-H80</f>
        <v>69</v>
      </c>
      <c r="K80" s="14">
        <f t="shared" ref="K80:K84" si="25">F80-J80</f>
        <v>1</v>
      </c>
      <c r="L80" s="62">
        <f t="shared" ref="L80:L84" si="26">K80/F80</f>
        <v>1.4285714285714285E-2</v>
      </c>
      <c r="M80" s="11" t="s">
        <v>201</v>
      </c>
      <c r="N80" s="11" t="s">
        <v>90</v>
      </c>
      <c r="O80" s="4"/>
    </row>
    <row r="81" spans="1:15" x14ac:dyDescent="0.35">
      <c r="A81" s="11">
        <v>1800013757</v>
      </c>
      <c r="B81" s="11" t="s">
        <v>100</v>
      </c>
      <c r="C81" s="12">
        <v>45937</v>
      </c>
      <c r="D81" s="13">
        <v>256779418178</v>
      </c>
      <c r="E81" s="11" t="s">
        <v>98</v>
      </c>
      <c r="F81" s="14">
        <v>472.74</v>
      </c>
      <c r="G81" s="14">
        <v>41691.300000000003</v>
      </c>
      <c r="H81" s="14" cm="1">
        <f t="array" ref="H81:I81">_xlfn.XLOOKUP(D81,'Customer Ledger'!$I:$I,'Customer Ledger'!$B:$C,,0)</f>
        <v>9</v>
      </c>
      <c r="I81" s="14">
        <v>472.74</v>
      </c>
      <c r="J81" s="14">
        <f t="shared" si="24"/>
        <v>463.74</v>
      </c>
      <c r="K81" s="14">
        <f t="shared" si="25"/>
        <v>9</v>
      </c>
      <c r="L81" s="62">
        <f t="shared" si="26"/>
        <v>1.9037948978296738E-2</v>
      </c>
      <c r="M81" s="11" t="s">
        <v>202</v>
      </c>
      <c r="N81" s="11" t="s">
        <v>90</v>
      </c>
      <c r="O81" s="4"/>
    </row>
    <row r="82" spans="1:15" x14ac:dyDescent="0.35">
      <c r="A82" s="11">
        <v>1800013765</v>
      </c>
      <c r="B82" s="11" t="s">
        <v>100</v>
      </c>
      <c r="C82" s="12">
        <v>45937</v>
      </c>
      <c r="D82" s="13">
        <v>256779418186</v>
      </c>
      <c r="E82" s="11" t="s">
        <v>98</v>
      </c>
      <c r="F82" s="14">
        <v>20.27</v>
      </c>
      <c r="G82" s="14">
        <v>1787.63</v>
      </c>
      <c r="H82" s="14" cm="1">
        <f t="array" ref="H82:I82">_xlfn.XLOOKUP(D82,'Customer Ledger'!$I:$I,'Customer Ledger'!$B:$C,,0)</f>
        <v>0</v>
      </c>
      <c r="I82" s="14">
        <v>20.27</v>
      </c>
      <c r="J82" s="14">
        <f t="shared" si="24"/>
        <v>20.27</v>
      </c>
      <c r="K82" s="14">
        <f t="shared" si="25"/>
        <v>0</v>
      </c>
      <c r="L82" s="62">
        <f t="shared" si="26"/>
        <v>0</v>
      </c>
      <c r="M82" s="11" t="s">
        <v>203</v>
      </c>
      <c r="N82" s="11" t="s">
        <v>90</v>
      </c>
      <c r="O82" s="4"/>
    </row>
    <row r="83" spans="1:15" x14ac:dyDescent="0.35">
      <c r="A83" s="11">
        <v>1800013772</v>
      </c>
      <c r="B83" s="11" t="s">
        <v>100</v>
      </c>
      <c r="C83" s="12">
        <v>45937</v>
      </c>
      <c r="D83" s="13">
        <v>256779418340</v>
      </c>
      <c r="E83" s="11" t="s">
        <v>98</v>
      </c>
      <c r="F83" s="14">
        <v>76.55</v>
      </c>
      <c r="G83" s="14">
        <v>6751</v>
      </c>
      <c r="H83" s="14" cm="1">
        <f t="array" ref="H83:I83">_xlfn.XLOOKUP(D83,'Customer Ledger'!$I:$I,'Customer Ledger'!$B:$C,,0)</f>
        <v>2</v>
      </c>
      <c r="I83" s="14">
        <v>76.55</v>
      </c>
      <c r="J83" s="14">
        <f t="shared" si="24"/>
        <v>74.55</v>
      </c>
      <c r="K83" s="14">
        <f t="shared" si="25"/>
        <v>2</v>
      </c>
      <c r="L83" s="62">
        <f t="shared" si="26"/>
        <v>2.6126714565643371E-2</v>
      </c>
      <c r="M83" s="11" t="s">
        <v>204</v>
      </c>
      <c r="N83" s="11" t="s">
        <v>90</v>
      </c>
      <c r="O83" s="4"/>
    </row>
    <row r="84" spans="1:15" x14ac:dyDescent="0.35">
      <c r="A84" s="11">
        <v>1800013531</v>
      </c>
      <c r="B84" s="11" t="s">
        <v>100</v>
      </c>
      <c r="C84" s="12">
        <v>45937</v>
      </c>
      <c r="D84" s="13">
        <v>256779418355</v>
      </c>
      <c r="E84" s="11" t="s">
        <v>98</v>
      </c>
      <c r="F84" s="14">
        <v>37.6</v>
      </c>
      <c r="G84" s="14">
        <v>3315.97</v>
      </c>
      <c r="H84" s="14" cm="1">
        <f t="array" ref="H84:I84">_xlfn.XLOOKUP(D84,'Customer Ledger'!$I:$I,'Customer Ledger'!$B:$C,,0)</f>
        <v>0</v>
      </c>
      <c r="I84" s="14">
        <v>36.6</v>
      </c>
      <c r="J84" s="14">
        <f t="shared" si="24"/>
        <v>36.6</v>
      </c>
      <c r="K84" s="14">
        <f t="shared" si="25"/>
        <v>1</v>
      </c>
      <c r="L84" s="62">
        <f t="shared" si="26"/>
        <v>2.6595744680851064E-2</v>
      </c>
      <c r="M84" s="11" t="s">
        <v>205</v>
      </c>
      <c r="N84" s="11" t="s">
        <v>90</v>
      </c>
      <c r="O84" s="4"/>
    </row>
    <row r="85" spans="1:15" x14ac:dyDescent="0.35">
      <c r="A85" s="11">
        <v>1800014002</v>
      </c>
      <c r="B85" s="11" t="s">
        <v>100</v>
      </c>
      <c r="C85" s="12">
        <v>45948</v>
      </c>
      <c r="D85" s="13">
        <v>256779418426</v>
      </c>
      <c r="E85" s="11" t="s">
        <v>98</v>
      </c>
      <c r="F85" s="14">
        <v>124.55</v>
      </c>
      <c r="G85" s="14">
        <v>10984.16</v>
      </c>
      <c r="H85" s="14" t="e" cm="1">
        <f t="array" ref="H85">_xlfn.XLOOKUP(D85,'Customer Ledger'!$I:$I,'Customer Ledger'!$B:$C,,0)</f>
        <v>#N/A</v>
      </c>
      <c r="I85" s="14"/>
      <c r="J85" s="14"/>
      <c r="K85" s="14"/>
      <c r="L85" s="14"/>
      <c r="M85" s="11" t="s">
        <v>217</v>
      </c>
      <c r="N85" s="11" t="s">
        <v>90</v>
      </c>
      <c r="O85" s="4"/>
    </row>
    <row r="86" spans="1:15" x14ac:dyDescent="0.35">
      <c r="A86" s="11">
        <v>1800014149</v>
      </c>
      <c r="B86" s="11" t="s">
        <v>100</v>
      </c>
      <c r="C86" s="12">
        <v>45948</v>
      </c>
      <c r="D86" s="13">
        <v>256779418441</v>
      </c>
      <c r="E86" s="11" t="s">
        <v>98</v>
      </c>
      <c r="F86" s="14">
        <v>112.8</v>
      </c>
      <c r="G86" s="14">
        <v>9947.92</v>
      </c>
      <c r="H86" s="14" t="e" cm="1">
        <f t="array" ref="H86">_xlfn.XLOOKUP(D86,'Customer Ledger'!$I:$I,'Customer Ledger'!$B:$C,,0)</f>
        <v>#N/A</v>
      </c>
      <c r="I86" s="14"/>
      <c r="J86" s="14"/>
      <c r="K86" s="14"/>
      <c r="L86" s="14"/>
      <c r="M86" s="11" t="s">
        <v>219</v>
      </c>
      <c r="N86" s="11" t="s">
        <v>90</v>
      </c>
      <c r="O86" s="4"/>
    </row>
    <row r="87" spans="1:15" x14ac:dyDescent="0.35">
      <c r="A87" s="11">
        <v>1800013944</v>
      </c>
      <c r="B87" s="11" t="s">
        <v>100</v>
      </c>
      <c r="C87" s="12">
        <v>45951</v>
      </c>
      <c r="D87" s="13">
        <v>256779418476</v>
      </c>
      <c r="E87" s="11" t="s">
        <v>98</v>
      </c>
      <c r="F87" s="14">
        <v>950.87</v>
      </c>
      <c r="G87" s="14">
        <v>83857.960000000006</v>
      </c>
      <c r="H87" s="14" t="e" cm="1">
        <f t="array" ref="H87">_xlfn.XLOOKUP(D87,'Customer Ledger'!$I:$I,'Customer Ledger'!$B:$C,,0)</f>
        <v>#N/A</v>
      </c>
      <c r="I87" s="14"/>
      <c r="J87" s="14"/>
      <c r="K87" s="14"/>
      <c r="L87" s="14"/>
      <c r="M87" s="11" t="s">
        <v>178</v>
      </c>
      <c r="N87" s="11" t="s">
        <v>90</v>
      </c>
      <c r="O87" s="4"/>
    </row>
    <row r="88" spans="1:15" x14ac:dyDescent="0.35">
      <c r="A88" s="11">
        <v>1800013949</v>
      </c>
      <c r="B88" s="11" t="s">
        <v>100</v>
      </c>
      <c r="C88" s="12">
        <v>45951</v>
      </c>
      <c r="D88" s="13">
        <v>256779418481</v>
      </c>
      <c r="E88" s="11" t="s">
        <v>98</v>
      </c>
      <c r="F88" s="14">
        <v>40.770000000000003</v>
      </c>
      <c r="G88" s="14">
        <v>3595.54</v>
      </c>
      <c r="H88" s="14" cm="1">
        <f t="array" ref="H88:I88">_xlfn.XLOOKUP(D88,'Customer Ledger'!$I:$I,'Customer Ledger'!$B:$C,,0)</f>
        <v>0</v>
      </c>
      <c r="I88" s="14">
        <v>39.770000000000003</v>
      </c>
      <c r="J88" s="14">
        <f>I88-H88</f>
        <v>39.770000000000003</v>
      </c>
      <c r="K88" s="14">
        <f>F88-J88</f>
        <v>1</v>
      </c>
      <c r="L88" s="62">
        <f>K88/F88</f>
        <v>2.452783909737552E-2</v>
      </c>
      <c r="M88" s="11" t="s">
        <v>179</v>
      </c>
      <c r="N88" s="11" t="s">
        <v>90</v>
      </c>
      <c r="O88" s="4"/>
    </row>
    <row r="89" spans="1:15" x14ac:dyDescent="0.35">
      <c r="A89" s="11">
        <v>1800013961</v>
      </c>
      <c r="B89" s="11" t="s">
        <v>100</v>
      </c>
      <c r="C89" s="12">
        <v>45951</v>
      </c>
      <c r="D89" s="13">
        <v>256779418491</v>
      </c>
      <c r="E89" s="11" t="s">
        <v>98</v>
      </c>
      <c r="F89" s="14">
        <v>950.87</v>
      </c>
      <c r="G89" s="14">
        <v>83857.960000000006</v>
      </c>
      <c r="H89" s="14" t="e" cm="1">
        <f t="array" ref="H89">_xlfn.XLOOKUP(D89,'Customer Ledger'!$I:$I,'Customer Ledger'!$B:$C,,0)</f>
        <v>#N/A</v>
      </c>
      <c r="I89" s="14"/>
      <c r="J89" s="14"/>
      <c r="K89" s="14"/>
      <c r="L89" s="14"/>
      <c r="M89" s="11" t="s">
        <v>178</v>
      </c>
      <c r="N89" s="11" t="s">
        <v>90</v>
      </c>
      <c r="O89" s="4"/>
    </row>
    <row r="90" spans="1:15" x14ac:dyDescent="0.35">
      <c r="A90" s="11">
        <v>1800013966</v>
      </c>
      <c r="B90" s="11" t="s">
        <v>100</v>
      </c>
      <c r="C90" s="12">
        <v>45951</v>
      </c>
      <c r="D90" s="13">
        <v>256779418496</v>
      </c>
      <c r="E90" s="11" t="s">
        <v>98</v>
      </c>
      <c r="F90" s="14">
        <v>40.770000000000003</v>
      </c>
      <c r="G90" s="14">
        <v>3595.54</v>
      </c>
      <c r="H90" s="14" t="e" cm="1">
        <f t="array" ref="H90">_xlfn.XLOOKUP(D90,'Customer Ledger'!$I:$I,'Customer Ledger'!$B:$C,,0)</f>
        <v>#N/A</v>
      </c>
      <c r="I90" s="14"/>
      <c r="J90" s="14"/>
      <c r="K90" s="14"/>
      <c r="L90" s="14"/>
      <c r="M90" s="11" t="s">
        <v>179</v>
      </c>
      <c r="N90" s="11" t="s">
        <v>90</v>
      </c>
      <c r="O90" s="4"/>
    </row>
    <row r="91" spans="1:15" x14ac:dyDescent="0.35">
      <c r="A91" s="11">
        <v>1400001561</v>
      </c>
      <c r="B91" s="11" t="s">
        <v>93</v>
      </c>
      <c r="C91" s="12">
        <v>45959</v>
      </c>
      <c r="D91" s="13" t="s">
        <v>90</v>
      </c>
      <c r="E91" s="11" t="s">
        <v>91</v>
      </c>
      <c r="F91" s="5">
        <v>-5813.9534883719998</v>
      </c>
      <c r="G91" s="14">
        <v>-500000</v>
      </c>
      <c r="H91" s="14" t="e" cm="1">
        <f t="array" ref="H91">_xlfn.XLOOKUP(D91,'Customer Ledger'!$I:$I,'Customer Ledger'!$B:$C,,0)</f>
        <v>#N/A</v>
      </c>
      <c r="I91" s="14"/>
      <c r="J91" s="14"/>
      <c r="K91" s="14"/>
      <c r="L91" s="14"/>
      <c r="M91" s="11" t="s">
        <v>90</v>
      </c>
      <c r="N91" s="11" t="s">
        <v>90</v>
      </c>
      <c r="O91" s="4" t="s">
        <v>267</v>
      </c>
    </row>
    <row r="92" spans="1:15" x14ac:dyDescent="0.35">
      <c r="A92" s="11">
        <v>1800014264</v>
      </c>
      <c r="B92" s="11" t="s">
        <v>100</v>
      </c>
      <c r="C92" s="12">
        <v>45966</v>
      </c>
      <c r="D92" s="13">
        <v>256779418803</v>
      </c>
      <c r="E92" s="11" t="s">
        <v>98</v>
      </c>
      <c r="F92" s="14">
        <v>50.75</v>
      </c>
      <c r="G92" s="14">
        <v>4466.17</v>
      </c>
      <c r="H92" s="14" t="e" cm="1">
        <f t="array" ref="H92">_xlfn.XLOOKUP(D92,'Customer Ledger'!$I:$I,'Customer Ledger'!$B:$C,,0)</f>
        <v>#N/A</v>
      </c>
      <c r="I92" s="14"/>
      <c r="J92" s="14"/>
      <c r="K92" s="14"/>
      <c r="L92" s="14"/>
      <c r="M92" s="11" t="s">
        <v>122</v>
      </c>
      <c r="N92" s="11" t="s">
        <v>90</v>
      </c>
      <c r="O92" s="4"/>
    </row>
    <row r="93" spans="1:15" x14ac:dyDescent="0.35">
      <c r="A93" s="11">
        <v>1800014281</v>
      </c>
      <c r="B93" s="11" t="s">
        <v>100</v>
      </c>
      <c r="C93" s="12">
        <v>45966</v>
      </c>
      <c r="D93" s="13">
        <v>256779418818</v>
      </c>
      <c r="E93" s="11" t="s">
        <v>98</v>
      </c>
      <c r="F93" s="14">
        <v>1468.91</v>
      </c>
      <c r="G93" s="14">
        <v>129269.06</v>
      </c>
      <c r="H93" s="14" cm="1">
        <f t="array" ref="H93:I93">_xlfn.XLOOKUP(D93,'Customer Ledger'!$I:$I,'Customer Ledger'!$B:$C,,0)</f>
        <v>29</v>
      </c>
      <c r="I93" s="14">
        <v>1468.91</v>
      </c>
      <c r="J93" s="14">
        <f>I93-H93</f>
        <v>1439.91</v>
      </c>
      <c r="K93" s="14">
        <f>F93-J93</f>
        <v>29</v>
      </c>
      <c r="L93" s="62">
        <f>K93/F93</f>
        <v>1.9742530175436208E-2</v>
      </c>
      <c r="M93" s="11" t="s">
        <v>123</v>
      </c>
      <c r="N93" s="11" t="s">
        <v>90</v>
      </c>
      <c r="O93" s="4"/>
    </row>
    <row r="94" spans="1:15" x14ac:dyDescent="0.35">
      <c r="A94" s="11">
        <v>1800014289</v>
      </c>
      <c r="B94" s="11" t="s">
        <v>100</v>
      </c>
      <c r="C94" s="12">
        <v>45966</v>
      </c>
      <c r="D94" s="13">
        <v>256779418826</v>
      </c>
      <c r="E94" s="11" t="s">
        <v>98</v>
      </c>
      <c r="F94" s="14">
        <v>60.86</v>
      </c>
      <c r="G94" s="14">
        <v>5355.89</v>
      </c>
      <c r="H94" s="14" t="e" cm="1">
        <f t="array" ref="H94">_xlfn.XLOOKUP(D94,'Customer Ledger'!$I:$I,'Customer Ledger'!$B:$C,,0)</f>
        <v>#N/A</v>
      </c>
      <c r="I94" s="14"/>
      <c r="J94" s="14"/>
      <c r="K94" s="14"/>
      <c r="L94" s="14"/>
      <c r="M94" s="11" t="s">
        <v>125</v>
      </c>
      <c r="N94" s="11" t="s">
        <v>90</v>
      </c>
      <c r="O94" s="4"/>
    </row>
    <row r="95" spans="1:15" x14ac:dyDescent="0.35">
      <c r="A95" s="11">
        <v>1800014554</v>
      </c>
      <c r="B95" s="11" t="s">
        <v>100</v>
      </c>
      <c r="C95" s="12">
        <v>45966</v>
      </c>
      <c r="D95" s="13">
        <v>256779418886</v>
      </c>
      <c r="E95" s="11" t="s">
        <v>98</v>
      </c>
      <c r="F95" s="14">
        <v>1457.24</v>
      </c>
      <c r="G95" s="14">
        <v>128242.06</v>
      </c>
      <c r="H95" s="14" t="e" cm="1">
        <f t="array" ref="H95">_xlfn.XLOOKUP(D95,'Customer Ledger'!$I:$I,'Customer Ledger'!$B:$C,,0)</f>
        <v>#N/A</v>
      </c>
      <c r="I95" s="14"/>
      <c r="J95" s="14"/>
      <c r="K95" s="14"/>
      <c r="L95" s="14"/>
      <c r="M95" s="11" t="s">
        <v>127</v>
      </c>
      <c r="N95" s="11" t="s">
        <v>90</v>
      </c>
      <c r="O95" s="4"/>
    </row>
    <row r="96" spans="1:15" x14ac:dyDescent="0.35">
      <c r="A96" s="11">
        <v>1800014587</v>
      </c>
      <c r="B96" s="11" t="s">
        <v>100</v>
      </c>
      <c r="C96" s="12">
        <v>45966</v>
      </c>
      <c r="D96" s="13">
        <v>256779418894</v>
      </c>
      <c r="E96" s="11" t="s">
        <v>98</v>
      </c>
      <c r="F96" s="14">
        <v>131.6</v>
      </c>
      <c r="G96" s="14">
        <v>11581.25</v>
      </c>
      <c r="H96" s="14" cm="1">
        <f t="array" ref="H96:I96">_xlfn.XLOOKUP(D96,'Customer Ledger'!$I:$I,'Customer Ledger'!$B:$C,,0)</f>
        <v>0</v>
      </c>
      <c r="I96" s="14">
        <v>128.6</v>
      </c>
      <c r="J96" s="14">
        <f t="shared" ref="J96:J97" si="27">I96-H96</f>
        <v>128.6</v>
      </c>
      <c r="K96" s="14">
        <f t="shared" ref="K96:K97" si="28">F96-J96</f>
        <v>3</v>
      </c>
      <c r="L96" s="62">
        <f t="shared" ref="L96:L97" si="29">K96/F96</f>
        <v>2.2796352583586626E-2</v>
      </c>
      <c r="M96" s="11" t="s">
        <v>128</v>
      </c>
      <c r="N96" s="11" t="s">
        <v>90</v>
      </c>
      <c r="O96" s="4"/>
    </row>
    <row r="97" spans="1:15" x14ac:dyDescent="0.35">
      <c r="A97" s="11">
        <v>1800014642</v>
      </c>
      <c r="B97" s="11" t="s">
        <v>100</v>
      </c>
      <c r="C97" s="12">
        <v>45966</v>
      </c>
      <c r="D97" s="13">
        <v>256779418907</v>
      </c>
      <c r="E97" s="11" t="s">
        <v>98</v>
      </c>
      <c r="F97" s="14">
        <v>112.8</v>
      </c>
      <c r="G97" s="14">
        <v>9926.7800000000007</v>
      </c>
      <c r="H97" s="14" cm="1">
        <f t="array" ref="H97:I97">_xlfn.XLOOKUP(D97,'Customer Ledger'!$I:$I,'Customer Ledger'!$B:$C,,0)</f>
        <v>0</v>
      </c>
      <c r="I97" s="14">
        <v>110.8</v>
      </c>
      <c r="J97" s="14">
        <f t="shared" si="27"/>
        <v>110.8</v>
      </c>
      <c r="K97" s="14">
        <f t="shared" si="28"/>
        <v>2</v>
      </c>
      <c r="L97" s="62">
        <f t="shared" si="29"/>
        <v>1.7730496453900711E-2</v>
      </c>
      <c r="M97" s="11" t="s">
        <v>129</v>
      </c>
      <c r="N97" s="11" t="s">
        <v>90</v>
      </c>
      <c r="O97" s="4"/>
    </row>
    <row r="98" spans="1:15" x14ac:dyDescent="0.35">
      <c r="A98" s="11">
        <v>1800014728</v>
      </c>
      <c r="B98" s="11" t="s">
        <v>100</v>
      </c>
      <c r="C98" s="12">
        <v>45966</v>
      </c>
      <c r="D98" s="13">
        <v>256779419229</v>
      </c>
      <c r="E98" s="11" t="s">
        <v>98</v>
      </c>
      <c r="F98" s="14">
        <v>77.069999999999993</v>
      </c>
      <c r="G98" s="14">
        <v>6782.42</v>
      </c>
      <c r="H98" s="14" t="e" cm="1">
        <f t="array" ref="H98">_xlfn.XLOOKUP(D98,'Customer Ledger'!$I:$I,'Customer Ledger'!$B:$C,,0)</f>
        <v>#N/A</v>
      </c>
      <c r="I98" s="14"/>
      <c r="J98" s="14"/>
      <c r="K98" s="14"/>
      <c r="L98" s="14"/>
      <c r="M98" s="11" t="s">
        <v>132</v>
      </c>
      <c r="N98" s="11" t="s">
        <v>90</v>
      </c>
      <c r="O98" s="4"/>
    </row>
    <row r="99" spans="1:15" x14ac:dyDescent="0.35">
      <c r="A99" s="11">
        <v>1800014973</v>
      </c>
      <c r="B99" s="11" t="s">
        <v>100</v>
      </c>
      <c r="C99" s="12">
        <v>45981</v>
      </c>
      <c r="D99" s="13">
        <v>256779419474</v>
      </c>
      <c r="E99" s="11" t="s">
        <v>98</v>
      </c>
      <c r="F99" s="14">
        <v>20.28</v>
      </c>
      <c r="G99" s="14">
        <v>1784.71</v>
      </c>
      <c r="H99" s="14" t="e" cm="1">
        <f t="array" ref="H99">_xlfn.XLOOKUP(D99,'Customer Ledger'!$I:$I,'Customer Ledger'!$B:$C,,0)</f>
        <v>#N/A</v>
      </c>
      <c r="I99" s="14"/>
      <c r="J99" s="14"/>
      <c r="K99" s="14"/>
      <c r="L99" s="14"/>
      <c r="M99" s="11" t="s">
        <v>104</v>
      </c>
      <c r="N99" s="11" t="s">
        <v>90</v>
      </c>
      <c r="O99" s="4"/>
    </row>
    <row r="100" spans="1:15" x14ac:dyDescent="0.35">
      <c r="A100" s="11">
        <v>1800014962</v>
      </c>
      <c r="B100" s="11" t="s">
        <v>100</v>
      </c>
      <c r="C100" s="12">
        <v>45981</v>
      </c>
      <c r="D100" s="13">
        <v>256779419463</v>
      </c>
      <c r="E100" s="11" t="s">
        <v>98</v>
      </c>
      <c r="F100" s="14">
        <v>602.03</v>
      </c>
      <c r="G100" s="14">
        <v>52980.68</v>
      </c>
      <c r="H100" s="14" t="e" cm="1">
        <f t="array" ref="H100">_xlfn.XLOOKUP(D100,'Customer Ledger'!$I:$I,'Customer Ledger'!$B:$C,,0)</f>
        <v>#N/A</v>
      </c>
      <c r="I100" s="14"/>
      <c r="J100" s="14"/>
      <c r="K100" s="14"/>
      <c r="L100" s="14"/>
      <c r="M100" s="11" t="s">
        <v>185</v>
      </c>
      <c r="N100" s="11" t="s">
        <v>90</v>
      </c>
      <c r="O100" s="4"/>
    </row>
    <row r="101" spans="1:15" x14ac:dyDescent="0.35">
      <c r="A101" s="11">
        <v>1800015032</v>
      </c>
      <c r="B101" s="11" t="s">
        <v>100</v>
      </c>
      <c r="C101" s="12">
        <v>45981</v>
      </c>
      <c r="D101" s="13">
        <v>256779419533</v>
      </c>
      <c r="E101" s="11" t="s">
        <v>98</v>
      </c>
      <c r="F101" s="14">
        <v>131.6</v>
      </c>
      <c r="G101" s="14">
        <v>11581.25</v>
      </c>
      <c r="H101" s="14" t="e" cm="1">
        <f t="array" ref="H101">_xlfn.XLOOKUP(D101,'Customer Ledger'!$I:$I,'Customer Ledger'!$B:$C,,0)</f>
        <v>#N/A</v>
      </c>
      <c r="I101" s="14"/>
      <c r="J101" s="14"/>
      <c r="K101" s="14"/>
      <c r="L101" s="14"/>
      <c r="M101" s="11" t="s">
        <v>187</v>
      </c>
      <c r="N101" s="11" t="s">
        <v>90</v>
      </c>
      <c r="O101" s="4"/>
    </row>
    <row r="102" spans="1:15" x14ac:dyDescent="0.35">
      <c r="A102" s="11">
        <v>1800015095</v>
      </c>
      <c r="B102" s="11" t="s">
        <v>100</v>
      </c>
      <c r="C102" s="12">
        <v>45981</v>
      </c>
      <c r="D102" s="13">
        <v>256779419546</v>
      </c>
      <c r="E102" s="11" t="s">
        <v>98</v>
      </c>
      <c r="F102" s="14">
        <v>56.4</v>
      </c>
      <c r="G102" s="14">
        <v>4963.3900000000003</v>
      </c>
      <c r="H102" s="14" t="e" cm="1">
        <f t="array" ref="H102">_xlfn.XLOOKUP(D102,'Customer Ledger'!$I:$I,'Customer Ledger'!$B:$C,,0)</f>
        <v>#N/A</v>
      </c>
      <c r="I102" s="14"/>
      <c r="J102" s="14"/>
      <c r="K102" s="14"/>
      <c r="L102" s="14"/>
      <c r="M102" s="11" t="s">
        <v>189</v>
      </c>
      <c r="N102" s="11" t="s">
        <v>90</v>
      </c>
      <c r="O102" s="4"/>
    </row>
    <row r="103" spans="1:15" x14ac:dyDescent="0.35">
      <c r="A103" s="11">
        <v>1800015688</v>
      </c>
      <c r="B103" s="11" t="s">
        <v>100</v>
      </c>
      <c r="C103" s="12">
        <v>46024</v>
      </c>
      <c r="D103" s="13">
        <v>256779440021</v>
      </c>
      <c r="E103" s="11" t="s">
        <v>98</v>
      </c>
      <c r="F103" s="14">
        <v>950.6</v>
      </c>
      <c r="G103" s="14">
        <v>86260.43</v>
      </c>
      <c r="H103" s="14" t="e" cm="1">
        <f t="array" ref="H103">_xlfn.XLOOKUP(D103,'Customer Ledger'!$I:$I,'Customer Ledger'!$B:$C,,0)</f>
        <v>#N/A</v>
      </c>
      <c r="I103" s="14"/>
      <c r="J103" s="14"/>
      <c r="K103" s="14"/>
      <c r="L103" s="14"/>
      <c r="M103" s="11" t="s">
        <v>230</v>
      </c>
      <c r="N103" s="11" t="s">
        <v>90</v>
      </c>
      <c r="O103" s="4"/>
    </row>
    <row r="104" spans="1:15" x14ac:dyDescent="0.35">
      <c r="A104" s="11">
        <v>1800015709</v>
      </c>
      <c r="B104" s="11" t="s">
        <v>100</v>
      </c>
      <c r="C104" s="12">
        <v>46024</v>
      </c>
      <c r="D104" s="13">
        <v>256779440042</v>
      </c>
      <c r="E104" s="11" t="s">
        <v>98</v>
      </c>
      <c r="F104" s="14">
        <v>50.75</v>
      </c>
      <c r="G104" s="14">
        <v>4605.21</v>
      </c>
      <c r="H104" s="14" cm="1">
        <f t="array" ref="H104:I104">_xlfn.XLOOKUP(D104,'Customer Ledger'!$I:$I,'Customer Ledger'!$B:$C,,0)</f>
        <v>5</v>
      </c>
      <c r="I104" s="14">
        <v>50.75</v>
      </c>
      <c r="J104" s="14">
        <f>I104-H104</f>
        <v>45.75</v>
      </c>
      <c r="K104" s="14">
        <f>F104-J104</f>
        <v>5</v>
      </c>
      <c r="L104" s="62">
        <f>K104/F104</f>
        <v>9.8522167487684734E-2</v>
      </c>
      <c r="M104" s="11" t="s">
        <v>231</v>
      </c>
      <c r="N104" s="11" t="s">
        <v>90</v>
      </c>
      <c r="O104" s="4"/>
    </row>
    <row r="105" spans="1:15" x14ac:dyDescent="0.35">
      <c r="A105" s="11">
        <v>1600002696</v>
      </c>
      <c r="B105" s="11" t="s">
        <v>108</v>
      </c>
      <c r="C105" s="12">
        <v>46027</v>
      </c>
      <c r="D105" s="13">
        <v>256779422166</v>
      </c>
      <c r="E105" s="11" t="s">
        <v>98</v>
      </c>
      <c r="F105" s="14">
        <v>-950.87</v>
      </c>
      <c r="G105" s="14">
        <v>-86284.93</v>
      </c>
      <c r="H105" s="14" t="e" cm="1">
        <f t="array" ref="H105">_xlfn.XLOOKUP(D105,'Customer Ledger'!$I:$I,'Customer Ledger'!$B:$C,,0)</f>
        <v>#N/A</v>
      </c>
      <c r="I105" s="14"/>
      <c r="J105" s="14"/>
      <c r="K105" s="14"/>
      <c r="L105" s="14"/>
      <c r="M105" s="11" t="s">
        <v>233</v>
      </c>
      <c r="N105" s="11" t="s">
        <v>90</v>
      </c>
      <c r="O105" s="4"/>
    </row>
    <row r="106" spans="1:15" x14ac:dyDescent="0.35">
      <c r="A106" s="11">
        <v>1600002701</v>
      </c>
      <c r="B106" s="11" t="s">
        <v>108</v>
      </c>
      <c r="C106" s="12">
        <v>46027</v>
      </c>
      <c r="D106" s="13">
        <v>256779422171</v>
      </c>
      <c r="E106" s="11" t="s">
        <v>98</v>
      </c>
      <c r="F106" s="14">
        <v>-40.770000000000003</v>
      </c>
      <c r="G106" s="14">
        <v>-3699.6</v>
      </c>
      <c r="H106" s="14" t="e" cm="1">
        <f t="array" ref="H106">_xlfn.XLOOKUP(D106,'Customer Ledger'!$I:$I,'Customer Ledger'!$B:$C,,0)</f>
        <v>#N/A</v>
      </c>
      <c r="I106" s="14"/>
      <c r="J106" s="14"/>
      <c r="K106" s="14"/>
      <c r="L106" s="14"/>
      <c r="M106" s="11" t="s">
        <v>235</v>
      </c>
      <c r="N106" s="11" t="s">
        <v>90</v>
      </c>
      <c r="O106" s="4"/>
    </row>
    <row r="107" spans="1:15" x14ac:dyDescent="0.35">
      <c r="A107" s="11">
        <v>1800016281</v>
      </c>
      <c r="B107" s="11" t="s">
        <v>100</v>
      </c>
      <c r="C107" s="12">
        <v>46028</v>
      </c>
      <c r="D107" s="13">
        <v>256779440161</v>
      </c>
      <c r="E107" s="11" t="s">
        <v>98</v>
      </c>
      <c r="F107" s="14">
        <v>56.74</v>
      </c>
      <c r="G107" s="14">
        <v>5148.7700000000004</v>
      </c>
      <c r="H107" s="14" t="e" cm="1">
        <f t="array" ref="H107">_xlfn.XLOOKUP(D107,'Customer Ledger'!$I:$I,'Customer Ledger'!$B:$C,,0)</f>
        <v>#N/A</v>
      </c>
      <c r="I107" s="14"/>
      <c r="J107" s="14"/>
      <c r="K107" s="14"/>
      <c r="L107" s="14"/>
      <c r="M107" s="11" t="s">
        <v>238</v>
      </c>
      <c r="N107" s="11" t="s">
        <v>90</v>
      </c>
      <c r="O107" s="4"/>
    </row>
    <row r="108" spans="1:15" x14ac:dyDescent="0.35">
      <c r="A108" s="11">
        <v>1800016359</v>
      </c>
      <c r="B108" s="11" t="s">
        <v>100</v>
      </c>
      <c r="C108" s="12">
        <v>46028</v>
      </c>
      <c r="D108" s="13">
        <v>256779440249</v>
      </c>
      <c r="E108" s="11" t="s">
        <v>98</v>
      </c>
      <c r="F108" s="14">
        <v>1037.05</v>
      </c>
      <c r="G108" s="14">
        <v>94105.17</v>
      </c>
      <c r="H108" s="14" t="e" cm="1">
        <f t="array" ref="H108">_xlfn.XLOOKUP(D108,'Customer Ledger'!$I:$I,'Customer Ledger'!$B:$C,,0)</f>
        <v>#N/A</v>
      </c>
      <c r="I108" s="14"/>
      <c r="J108" s="14"/>
      <c r="K108" s="14"/>
      <c r="L108" s="14"/>
      <c r="M108" s="11" t="s">
        <v>244</v>
      </c>
      <c r="N108" s="11" t="s">
        <v>90</v>
      </c>
      <c r="O108" s="4"/>
    </row>
    <row r="109" spans="1:15" x14ac:dyDescent="0.35">
      <c r="A109" s="11">
        <v>1800016636</v>
      </c>
      <c r="B109" s="11" t="s">
        <v>100</v>
      </c>
      <c r="C109" s="12">
        <v>46028</v>
      </c>
      <c r="D109" s="13">
        <v>256779440256</v>
      </c>
      <c r="E109" s="11" t="s">
        <v>98</v>
      </c>
      <c r="F109" s="14">
        <v>112.8</v>
      </c>
      <c r="G109" s="14">
        <v>10235.83</v>
      </c>
      <c r="H109" s="14" t="e" cm="1">
        <f t="array" ref="H109">_xlfn.XLOOKUP(D109,'Customer Ledger'!$I:$I,'Customer Ledger'!$B:$C,,0)</f>
        <v>#N/A</v>
      </c>
      <c r="I109" s="14"/>
      <c r="J109" s="14"/>
      <c r="K109" s="14"/>
      <c r="L109" s="14"/>
      <c r="M109" s="11" t="s">
        <v>245</v>
      </c>
      <c r="N109" s="11" t="s">
        <v>90</v>
      </c>
      <c r="O109" s="4"/>
    </row>
    <row r="110" spans="1:15" x14ac:dyDescent="0.35">
      <c r="A110" s="11">
        <v>1800016624</v>
      </c>
      <c r="B110" s="11" t="s">
        <v>100</v>
      </c>
      <c r="C110" s="12">
        <v>46028</v>
      </c>
      <c r="D110" s="13">
        <v>256779440333</v>
      </c>
      <c r="E110" s="11" t="s">
        <v>98</v>
      </c>
      <c r="F110" s="14">
        <v>50.75</v>
      </c>
      <c r="G110" s="14">
        <v>4605.21</v>
      </c>
      <c r="H110" s="14" cm="1">
        <f t="array" ref="H110:I110">_xlfn.XLOOKUP(D110,'Customer Ledger'!$I:$I,'Customer Ledger'!$B:$C,,0)</f>
        <v>5</v>
      </c>
      <c r="I110" s="14">
        <v>50.75</v>
      </c>
      <c r="J110" s="14">
        <f>I110-H110</f>
        <v>45.75</v>
      </c>
      <c r="K110" s="14">
        <f>F110-J110</f>
        <v>5</v>
      </c>
      <c r="L110" s="62">
        <f>K110/F110</f>
        <v>9.8522167487684734E-2</v>
      </c>
      <c r="M110" s="11" t="s">
        <v>251</v>
      </c>
      <c r="N110" s="11" t="s">
        <v>90</v>
      </c>
      <c r="O110" s="4"/>
    </row>
    <row r="111" spans="1:15" x14ac:dyDescent="0.35">
      <c r="A111" s="11">
        <v>1800016159</v>
      </c>
      <c r="B111" s="11" t="s">
        <v>100</v>
      </c>
      <c r="C111" s="12">
        <v>46031</v>
      </c>
      <c r="D111" s="13">
        <v>256779440129</v>
      </c>
      <c r="E111" s="11" t="s">
        <v>98</v>
      </c>
      <c r="F111" s="14">
        <v>169.2</v>
      </c>
      <c r="G111" s="14">
        <v>15353.74</v>
      </c>
      <c r="H111" s="14" t="e" cm="1">
        <f t="array" ref="H111">_xlfn.XLOOKUP(D111,'Customer Ledger'!$I:$I,'Customer Ledger'!$B:$C,,0)</f>
        <v>#N/A</v>
      </c>
      <c r="I111" s="14"/>
      <c r="J111" s="14"/>
      <c r="K111" s="14"/>
      <c r="L111" s="14"/>
      <c r="M111" s="11" t="s">
        <v>189</v>
      </c>
      <c r="N111" s="11" t="s">
        <v>90</v>
      </c>
      <c r="O111" s="4"/>
    </row>
    <row r="112" spans="1:15" x14ac:dyDescent="0.35">
      <c r="A112" s="11">
        <v>1800016318</v>
      </c>
      <c r="B112" s="11" t="s">
        <v>100</v>
      </c>
      <c r="C112" s="12">
        <v>46034</v>
      </c>
      <c r="D112" s="13">
        <v>256779440171</v>
      </c>
      <c r="E112" s="11" t="s">
        <v>98</v>
      </c>
      <c r="F112" s="14">
        <v>180.4</v>
      </c>
      <c r="G112" s="14">
        <v>16370.06</v>
      </c>
      <c r="H112" s="14" t="e" cm="1">
        <f t="array" ref="H112">_xlfn.XLOOKUP(D112,'Customer Ledger'!$I:$I,'Customer Ledger'!$B:$C,,0)</f>
        <v>#N/A</v>
      </c>
      <c r="I112" s="14"/>
      <c r="J112" s="14"/>
      <c r="K112" s="14"/>
      <c r="L112" s="14"/>
      <c r="M112" s="11" t="s">
        <v>241</v>
      </c>
      <c r="N112" s="11" t="s">
        <v>90</v>
      </c>
      <c r="O112" s="4"/>
    </row>
    <row r="113" spans="1:15" x14ac:dyDescent="0.35">
      <c r="A113" s="11">
        <v>1800016692</v>
      </c>
      <c r="B113" s="11" t="s">
        <v>100</v>
      </c>
      <c r="C113" s="12">
        <v>46034</v>
      </c>
      <c r="D113" s="13">
        <v>256779440281</v>
      </c>
      <c r="E113" s="11" t="s">
        <v>98</v>
      </c>
      <c r="F113" s="14">
        <v>933.73</v>
      </c>
      <c r="G113" s="14">
        <v>84729.59</v>
      </c>
      <c r="H113" s="14" t="e" cm="1">
        <f t="array" ref="H113">_xlfn.XLOOKUP(D113,'Customer Ledger'!$I:$I,'Customer Ledger'!$B:$C,,0)</f>
        <v>#N/A</v>
      </c>
      <c r="I113" s="14"/>
      <c r="J113" s="14"/>
      <c r="K113" s="14"/>
      <c r="L113" s="14"/>
      <c r="M113" s="11" t="s">
        <v>248</v>
      </c>
      <c r="N113" s="11" t="s">
        <v>90</v>
      </c>
      <c r="O113" s="4"/>
    </row>
    <row r="114" spans="1:15" x14ac:dyDescent="0.35">
      <c r="A114" s="11">
        <v>1800016703</v>
      </c>
      <c r="B114" s="11" t="s">
        <v>100</v>
      </c>
      <c r="C114" s="12">
        <v>46034</v>
      </c>
      <c r="D114" s="13">
        <v>256779440292</v>
      </c>
      <c r="E114" s="11" t="s">
        <v>98</v>
      </c>
      <c r="F114" s="14">
        <v>40.04</v>
      </c>
      <c r="G114" s="14">
        <v>3633.36</v>
      </c>
      <c r="H114" s="14" t="e" cm="1">
        <f t="array" ref="H114">_xlfn.XLOOKUP(D114,'Customer Ledger'!$I:$I,'Customer Ledger'!$B:$C,,0)</f>
        <v>#N/A</v>
      </c>
      <c r="I114" s="14"/>
      <c r="J114" s="14"/>
      <c r="K114" s="14"/>
      <c r="L114" s="14"/>
      <c r="M114" s="11" t="s">
        <v>250</v>
      </c>
      <c r="N114" s="11" t="s">
        <v>90</v>
      </c>
      <c r="O114" s="4"/>
    </row>
    <row r="115" spans="1:15" x14ac:dyDescent="0.35">
      <c r="A115" s="11">
        <v>1800016749</v>
      </c>
      <c r="B115" s="11" t="s">
        <v>100</v>
      </c>
      <c r="C115" s="12">
        <v>46035</v>
      </c>
      <c r="D115" s="13">
        <v>256779440336</v>
      </c>
      <c r="E115" s="11" t="s">
        <v>98</v>
      </c>
      <c r="F115" s="14">
        <v>70</v>
      </c>
      <c r="G115" s="14">
        <v>6352.02</v>
      </c>
      <c r="H115" s="14" t="e" cm="1">
        <f t="array" ref="H115">_xlfn.XLOOKUP(D115,'Customer Ledger'!$I:$I,'Customer Ledger'!$B:$C,,0)</f>
        <v>#N/A</v>
      </c>
      <c r="I115" s="14"/>
      <c r="J115" s="14"/>
      <c r="K115" s="14"/>
      <c r="L115" s="14"/>
      <c r="M115" s="11" t="s">
        <v>252</v>
      </c>
      <c r="N115" s="11" t="s">
        <v>90</v>
      </c>
      <c r="O115" s="4"/>
    </row>
    <row r="116" spans="1:15" x14ac:dyDescent="0.35">
      <c r="A116" s="11">
        <v>1800016772</v>
      </c>
      <c r="B116" s="11" t="s">
        <v>100</v>
      </c>
      <c r="C116" s="12">
        <v>46035</v>
      </c>
      <c r="D116" s="13">
        <v>256779440359</v>
      </c>
      <c r="E116" s="11" t="s">
        <v>98</v>
      </c>
      <c r="F116" s="14">
        <v>821.64</v>
      </c>
      <c r="G116" s="14">
        <v>74558.19</v>
      </c>
      <c r="H116" s="14" t="e" cm="1">
        <f t="array" ref="H116">_xlfn.XLOOKUP(D116,'Customer Ledger'!$I:$I,'Customer Ledger'!$B:$C,,0)</f>
        <v>#N/A</v>
      </c>
      <c r="I116" s="14"/>
      <c r="J116" s="14"/>
      <c r="K116" s="14"/>
      <c r="L116" s="14"/>
      <c r="M116" s="11" t="s">
        <v>254</v>
      </c>
      <c r="N116" s="11" t="s">
        <v>90</v>
      </c>
      <c r="O116" s="4"/>
    </row>
    <row r="117" spans="1:15" x14ac:dyDescent="0.35">
      <c r="A117" s="11">
        <v>1800016783</v>
      </c>
      <c r="B117" s="11" t="s">
        <v>100</v>
      </c>
      <c r="C117" s="12">
        <v>46035</v>
      </c>
      <c r="D117" s="13">
        <v>256779440370</v>
      </c>
      <c r="E117" s="11" t="s">
        <v>98</v>
      </c>
      <c r="F117" s="14">
        <v>60.36</v>
      </c>
      <c r="G117" s="14">
        <v>5477.26</v>
      </c>
      <c r="H117" s="14" t="e" cm="1">
        <f t="array" ref="H117">_xlfn.XLOOKUP(D117,'Customer Ledger'!$I:$I,'Customer Ledger'!$B:$C,,0)</f>
        <v>#N/A</v>
      </c>
      <c r="I117" s="14"/>
      <c r="J117" s="14"/>
      <c r="K117" s="14"/>
      <c r="L117" s="14"/>
      <c r="M117" s="11" t="s">
        <v>256</v>
      </c>
      <c r="N117" s="11" t="s">
        <v>90</v>
      </c>
      <c r="O117" s="4"/>
    </row>
    <row r="118" spans="1:15" x14ac:dyDescent="0.35">
      <c r="A118" s="11">
        <v>1400002476</v>
      </c>
      <c r="B118" s="11" t="s">
        <v>93</v>
      </c>
      <c r="C118" s="12">
        <v>46041</v>
      </c>
      <c r="D118" s="13" t="s">
        <v>90</v>
      </c>
      <c r="E118" s="11" t="s">
        <v>91</v>
      </c>
      <c r="F118" s="38">
        <v>-5537.0979955700004</v>
      </c>
      <c r="G118" s="14">
        <v>-500000</v>
      </c>
      <c r="H118" s="14" t="e" cm="1">
        <f t="array" ref="H118">_xlfn.XLOOKUP(D118,'Customer Ledger'!$I:$I,'Customer Ledger'!$B:$C,,0)</f>
        <v>#N/A</v>
      </c>
      <c r="I118" s="14"/>
      <c r="J118" s="14"/>
      <c r="K118" s="14"/>
      <c r="L118" s="14"/>
      <c r="M118" s="11" t="s">
        <v>90</v>
      </c>
      <c r="N118" s="11" t="s">
        <v>90</v>
      </c>
      <c r="O118" s="4" t="s">
        <v>267</v>
      </c>
    </row>
    <row r="119" spans="1:15" x14ac:dyDescent="0.35">
      <c r="A119" s="1"/>
      <c r="B119" s="1"/>
      <c r="C119" s="2"/>
      <c r="D119" s="9"/>
      <c r="E119" s="1"/>
      <c r="F119" s="3">
        <f>SUM(F2:F118)</f>
        <v>13086.44575743731</v>
      </c>
      <c r="G119" s="3"/>
      <c r="H119" s="3"/>
      <c r="I119" s="3"/>
      <c r="J119" s="3"/>
      <c r="K119" s="3"/>
      <c r="L119" s="3"/>
      <c r="M119" s="1"/>
      <c r="N119" s="1"/>
    </row>
  </sheetData>
  <autoFilter ref="A1:N119" xr:uid="{34428D92-97E1-4C45-B15D-EA38F871DB7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B017-0355-4899-87CD-AE7E8AE0CA0B}">
  <dimension ref="A1:J50"/>
  <sheetViews>
    <sheetView workbookViewId="0">
      <selection activeCell="K21" sqref="K21"/>
    </sheetView>
  </sheetViews>
  <sheetFormatPr defaultRowHeight="14.5" x14ac:dyDescent="0.35"/>
  <cols>
    <col min="1" max="1" width="11.90625" customWidth="1"/>
    <col min="2" max="2" width="3.6328125" customWidth="1"/>
    <col min="3" max="3" width="11.36328125" customWidth="1"/>
    <col min="4" max="4" width="9.26953125" customWidth="1"/>
    <col min="5" max="5" width="12.90625" bestFit="1" customWidth="1"/>
    <col min="6" max="6" width="8.81640625" bestFit="1" customWidth="1"/>
    <col min="7" max="7" width="9.7265625" bestFit="1" customWidth="1"/>
    <col min="8" max="8" width="8.7265625" bestFit="1" customWidth="1"/>
    <col min="9" max="9" width="14.08984375" customWidth="1"/>
    <col min="10" max="10" width="44.81640625" style="17" bestFit="1" customWidth="1"/>
  </cols>
  <sheetData>
    <row r="1" spans="1:10" x14ac:dyDescent="0.35">
      <c r="G1" s="6">
        <f>SUBTOTAL(9,G3:G46)</f>
        <v>15890.1</v>
      </c>
      <c r="H1" s="15">
        <f>'CN not in customers book'!G15</f>
        <v>-1532.29</v>
      </c>
      <c r="I1" s="22">
        <f>G1+H1</f>
        <v>14357.810000000001</v>
      </c>
    </row>
    <row r="2" spans="1:10" ht="58" x14ac:dyDescent="0.35">
      <c r="A2" s="20" t="s">
        <v>81</v>
      </c>
      <c r="B2" s="21" t="s">
        <v>82</v>
      </c>
      <c r="C2" s="20" t="s">
        <v>83</v>
      </c>
      <c r="D2" s="20" t="s">
        <v>84</v>
      </c>
      <c r="E2" s="20" t="s">
        <v>85</v>
      </c>
      <c r="F2" s="21" t="s">
        <v>86</v>
      </c>
      <c r="G2" s="21" t="s">
        <v>87</v>
      </c>
      <c r="H2" s="21" t="s">
        <v>88</v>
      </c>
      <c r="I2" s="21" t="s">
        <v>89</v>
      </c>
      <c r="J2" s="20"/>
    </row>
    <row r="3" spans="1:10" x14ac:dyDescent="0.35">
      <c r="A3" s="11" t="s">
        <v>99</v>
      </c>
      <c r="B3" s="11" t="s">
        <v>100</v>
      </c>
      <c r="C3" s="12">
        <v>45688</v>
      </c>
      <c r="D3" s="11" t="s">
        <v>101</v>
      </c>
      <c r="E3" s="13">
        <v>246779410001</v>
      </c>
      <c r="F3" s="11" t="s">
        <v>98</v>
      </c>
      <c r="G3" s="14">
        <v>50.75</v>
      </c>
      <c r="H3" s="11" t="s">
        <v>91</v>
      </c>
      <c r="I3" s="14">
        <v>4299.63</v>
      </c>
      <c r="J3" s="11" t="s">
        <v>102</v>
      </c>
    </row>
    <row r="4" spans="1:10" x14ac:dyDescent="0.35">
      <c r="A4" s="11" t="s">
        <v>103</v>
      </c>
      <c r="B4" s="11" t="s">
        <v>100</v>
      </c>
      <c r="C4" s="12">
        <v>45981</v>
      </c>
      <c r="D4" s="11" t="s">
        <v>101</v>
      </c>
      <c r="E4" s="13">
        <v>256779419474</v>
      </c>
      <c r="F4" s="11" t="s">
        <v>98</v>
      </c>
      <c r="G4" s="14">
        <v>20.28</v>
      </c>
      <c r="H4" s="11" t="s">
        <v>91</v>
      </c>
      <c r="I4" s="14">
        <v>1784.71</v>
      </c>
      <c r="J4" s="11" t="s">
        <v>104</v>
      </c>
    </row>
    <row r="5" spans="1:10" x14ac:dyDescent="0.35">
      <c r="A5" s="11" t="s">
        <v>105</v>
      </c>
      <c r="B5" s="11" t="s">
        <v>100</v>
      </c>
      <c r="C5" s="12">
        <v>45692</v>
      </c>
      <c r="D5" s="11" t="s">
        <v>101</v>
      </c>
      <c r="E5" s="13">
        <v>246779410003</v>
      </c>
      <c r="F5" s="11" t="s">
        <v>98</v>
      </c>
      <c r="G5" s="14">
        <v>50.75</v>
      </c>
      <c r="H5" s="11" t="s">
        <v>91</v>
      </c>
      <c r="I5" s="14">
        <v>4379.91</v>
      </c>
      <c r="J5" s="11" t="s">
        <v>102</v>
      </c>
    </row>
    <row r="6" spans="1:10" x14ac:dyDescent="0.35">
      <c r="A6" s="11" t="s">
        <v>106</v>
      </c>
      <c r="B6" s="11" t="s">
        <v>100</v>
      </c>
      <c r="C6" s="12">
        <v>45692</v>
      </c>
      <c r="D6" s="11" t="s">
        <v>101</v>
      </c>
      <c r="E6" s="13">
        <v>246779410002</v>
      </c>
      <c r="F6" s="11" t="s">
        <v>98</v>
      </c>
      <c r="G6" s="14">
        <v>50.75</v>
      </c>
      <c r="H6" s="11" t="s">
        <v>91</v>
      </c>
      <c r="I6" s="14">
        <v>4379.91</v>
      </c>
      <c r="J6" s="11" t="s">
        <v>102</v>
      </c>
    </row>
    <row r="7" spans="1:10" x14ac:dyDescent="0.35">
      <c r="A7" s="11" t="s">
        <v>118</v>
      </c>
      <c r="B7" s="11" t="s">
        <v>100</v>
      </c>
      <c r="C7" s="12">
        <v>45842</v>
      </c>
      <c r="D7" s="11" t="s">
        <v>101</v>
      </c>
      <c r="E7" s="13">
        <v>256779415197</v>
      </c>
      <c r="F7" s="11" t="s">
        <v>98</v>
      </c>
      <c r="G7" s="14">
        <v>492.25</v>
      </c>
      <c r="H7" s="11" t="s">
        <v>91</v>
      </c>
      <c r="I7" s="14">
        <v>42333.83</v>
      </c>
      <c r="J7" s="11" t="s">
        <v>119</v>
      </c>
    </row>
    <row r="8" spans="1:10" x14ac:dyDescent="0.35">
      <c r="A8" s="11" t="s">
        <v>120</v>
      </c>
      <c r="B8" s="11" t="s">
        <v>100</v>
      </c>
      <c r="C8" s="12">
        <v>45842</v>
      </c>
      <c r="D8" s="11" t="s">
        <v>101</v>
      </c>
      <c r="E8" s="13">
        <v>256779415262</v>
      </c>
      <c r="F8" s="11" t="s">
        <v>98</v>
      </c>
      <c r="G8" s="14">
        <v>476.32</v>
      </c>
      <c r="H8" s="11" t="s">
        <v>91</v>
      </c>
      <c r="I8" s="14">
        <v>40963.839999999997</v>
      </c>
      <c r="J8" s="11" t="s">
        <v>121</v>
      </c>
    </row>
    <row r="9" spans="1:10" x14ac:dyDescent="0.35">
      <c r="A9" s="11" t="s">
        <v>124</v>
      </c>
      <c r="B9" s="11" t="s">
        <v>100</v>
      </c>
      <c r="C9" s="12">
        <v>45966</v>
      </c>
      <c r="D9" s="11" t="s">
        <v>101</v>
      </c>
      <c r="E9" s="13">
        <v>256779418826</v>
      </c>
      <c r="F9" s="11" t="s">
        <v>98</v>
      </c>
      <c r="G9" s="14">
        <v>60.86</v>
      </c>
      <c r="H9" s="11" t="s">
        <v>91</v>
      </c>
      <c r="I9" s="14">
        <v>5355.89</v>
      </c>
      <c r="J9" s="11" t="s">
        <v>125</v>
      </c>
    </row>
    <row r="10" spans="1:10" x14ac:dyDescent="0.35">
      <c r="A10" s="11" t="s">
        <v>126</v>
      </c>
      <c r="B10" s="11" t="s">
        <v>100</v>
      </c>
      <c r="C10" s="12">
        <v>45966</v>
      </c>
      <c r="D10" s="11" t="s">
        <v>101</v>
      </c>
      <c r="E10" s="13">
        <v>256779418886</v>
      </c>
      <c r="F10" s="11" t="s">
        <v>98</v>
      </c>
      <c r="G10" s="14">
        <v>1457.24</v>
      </c>
      <c r="H10" s="11" t="s">
        <v>91</v>
      </c>
      <c r="I10" s="14">
        <v>128242.06</v>
      </c>
      <c r="J10" s="11" t="s">
        <v>127</v>
      </c>
    </row>
    <row r="11" spans="1:10" x14ac:dyDescent="0.35">
      <c r="A11" s="11" t="s">
        <v>130</v>
      </c>
      <c r="B11" s="11" t="s">
        <v>100</v>
      </c>
      <c r="C11" s="12">
        <v>45966</v>
      </c>
      <c r="D11" s="11" t="s">
        <v>131</v>
      </c>
      <c r="E11" s="13">
        <v>256779419229</v>
      </c>
      <c r="F11" s="11" t="s">
        <v>98</v>
      </c>
      <c r="G11" s="14">
        <v>77.069999999999993</v>
      </c>
      <c r="H11" s="11" t="s">
        <v>91</v>
      </c>
      <c r="I11" s="14">
        <v>6782.42</v>
      </c>
      <c r="J11" s="11" t="s">
        <v>132</v>
      </c>
    </row>
    <row r="12" spans="1:10" x14ac:dyDescent="0.35">
      <c r="A12" s="11" t="s">
        <v>133</v>
      </c>
      <c r="B12" s="11" t="s">
        <v>100</v>
      </c>
      <c r="C12" s="12">
        <v>45877</v>
      </c>
      <c r="D12" s="11" t="s">
        <v>101</v>
      </c>
      <c r="E12" s="13">
        <v>256779416087</v>
      </c>
      <c r="F12" s="11" t="s">
        <v>98</v>
      </c>
      <c r="G12" s="14">
        <v>916.56</v>
      </c>
      <c r="H12" s="11" t="s">
        <v>91</v>
      </c>
      <c r="I12" s="14">
        <v>78851.77</v>
      </c>
      <c r="J12" s="11" t="s">
        <v>134</v>
      </c>
    </row>
    <row r="13" spans="1:10" x14ac:dyDescent="0.35">
      <c r="A13" s="11" t="s">
        <v>139</v>
      </c>
      <c r="B13" s="11" t="s">
        <v>100</v>
      </c>
      <c r="C13" s="12">
        <v>45805</v>
      </c>
      <c r="D13" s="11" t="s">
        <v>101</v>
      </c>
      <c r="E13" s="13">
        <v>256779413898</v>
      </c>
      <c r="F13" s="11" t="s">
        <v>98</v>
      </c>
      <c r="G13" s="14">
        <v>928.64</v>
      </c>
      <c r="H13" s="11" t="s">
        <v>91</v>
      </c>
      <c r="I13" s="14">
        <v>79847.899999999994</v>
      </c>
      <c r="J13" s="11" t="s">
        <v>140</v>
      </c>
    </row>
    <row r="14" spans="1:10" x14ac:dyDescent="0.35">
      <c r="A14" s="11" t="s">
        <v>148</v>
      </c>
      <c r="B14" s="11" t="s">
        <v>100</v>
      </c>
      <c r="C14" s="12">
        <v>45708</v>
      </c>
      <c r="D14" s="11" t="s">
        <v>101</v>
      </c>
      <c r="E14" s="13">
        <v>246779410073</v>
      </c>
      <c r="F14" s="11" t="s">
        <v>98</v>
      </c>
      <c r="G14" s="14">
        <v>50.75</v>
      </c>
      <c r="H14" s="11" t="s">
        <v>91</v>
      </c>
      <c r="I14" s="14">
        <v>4379.91</v>
      </c>
      <c r="J14" s="11" t="s">
        <v>149</v>
      </c>
    </row>
    <row r="15" spans="1:10" x14ac:dyDescent="0.35">
      <c r="A15" s="11" t="s">
        <v>154</v>
      </c>
      <c r="B15" s="11" t="s">
        <v>100</v>
      </c>
      <c r="C15" s="12">
        <v>45750</v>
      </c>
      <c r="D15" s="11" t="s">
        <v>101</v>
      </c>
      <c r="E15" s="13">
        <v>256779410251</v>
      </c>
      <c r="F15" s="11" t="s">
        <v>98</v>
      </c>
      <c r="G15" s="14">
        <v>50.75</v>
      </c>
      <c r="H15" s="11" t="s">
        <v>91</v>
      </c>
      <c r="I15" s="14">
        <v>4411.28</v>
      </c>
      <c r="J15" s="11" t="s">
        <v>146</v>
      </c>
    </row>
    <row r="16" spans="1:10" x14ac:dyDescent="0.35">
      <c r="A16" s="11" t="s">
        <v>155</v>
      </c>
      <c r="B16" s="11" t="s">
        <v>100</v>
      </c>
      <c r="C16" s="12">
        <v>45750</v>
      </c>
      <c r="D16" s="11" t="s">
        <v>101</v>
      </c>
      <c r="E16" s="13">
        <v>256779410292</v>
      </c>
      <c r="F16" s="11" t="s">
        <v>98</v>
      </c>
      <c r="G16" s="14">
        <v>50.75</v>
      </c>
      <c r="H16" s="11" t="s">
        <v>91</v>
      </c>
      <c r="I16" s="14">
        <v>4411.28</v>
      </c>
      <c r="J16" s="11" t="s">
        <v>147</v>
      </c>
    </row>
    <row r="17" spans="1:10" x14ac:dyDescent="0.35">
      <c r="A17" s="11" t="s">
        <v>163</v>
      </c>
      <c r="B17" s="11" t="s">
        <v>100</v>
      </c>
      <c r="C17" s="12">
        <v>45862</v>
      </c>
      <c r="D17" s="11" t="s">
        <v>101</v>
      </c>
      <c r="E17" s="13">
        <v>256779415830</v>
      </c>
      <c r="F17" s="11" t="s">
        <v>98</v>
      </c>
      <c r="G17" s="14">
        <v>50.75</v>
      </c>
      <c r="H17" s="11" t="s">
        <v>91</v>
      </c>
      <c r="I17" s="14">
        <v>4364.53</v>
      </c>
      <c r="J17" s="11" t="s">
        <v>164</v>
      </c>
    </row>
    <row r="18" spans="1:10" x14ac:dyDescent="0.35">
      <c r="A18" s="11" t="s">
        <v>165</v>
      </c>
      <c r="B18" s="11" t="s">
        <v>100</v>
      </c>
      <c r="C18" s="12">
        <v>45862</v>
      </c>
      <c r="D18" s="11" t="s">
        <v>101</v>
      </c>
      <c r="E18" s="13">
        <v>256779415831</v>
      </c>
      <c r="F18" s="11" t="s">
        <v>98</v>
      </c>
      <c r="G18" s="14">
        <v>50.75</v>
      </c>
      <c r="H18" s="11" t="s">
        <v>91</v>
      </c>
      <c r="I18" s="14">
        <v>4364.53</v>
      </c>
      <c r="J18" s="11" t="s">
        <v>166</v>
      </c>
    </row>
    <row r="19" spans="1:10" x14ac:dyDescent="0.35">
      <c r="A19" s="11" t="s">
        <v>172</v>
      </c>
      <c r="B19" s="11" t="s">
        <v>100</v>
      </c>
      <c r="C19" s="12">
        <v>45826</v>
      </c>
      <c r="D19" s="11" t="s">
        <v>101</v>
      </c>
      <c r="E19" s="13">
        <v>256779414425</v>
      </c>
      <c r="F19" s="11" t="s">
        <v>98</v>
      </c>
      <c r="G19" s="14">
        <v>50.75</v>
      </c>
      <c r="H19" s="11" t="s">
        <v>91</v>
      </c>
      <c r="I19" s="14">
        <v>4338.66</v>
      </c>
      <c r="J19" s="11" t="s">
        <v>144</v>
      </c>
    </row>
    <row r="20" spans="1:10" x14ac:dyDescent="0.35">
      <c r="A20" s="11" t="s">
        <v>173</v>
      </c>
      <c r="B20" s="11" t="s">
        <v>100</v>
      </c>
      <c r="C20" s="12">
        <v>45826</v>
      </c>
      <c r="D20" s="11" t="s">
        <v>101</v>
      </c>
      <c r="E20" s="13">
        <v>256779414460</v>
      </c>
      <c r="F20" s="11" t="s">
        <v>98</v>
      </c>
      <c r="G20" s="14">
        <v>50.75</v>
      </c>
      <c r="H20" s="11" t="s">
        <v>91</v>
      </c>
      <c r="I20" s="14">
        <v>4338.66</v>
      </c>
      <c r="J20" s="11" t="s">
        <v>146</v>
      </c>
    </row>
    <row r="21" spans="1:10" x14ac:dyDescent="0.35">
      <c r="A21" s="11" t="s">
        <v>174</v>
      </c>
      <c r="B21" s="11" t="s">
        <v>100</v>
      </c>
      <c r="C21" s="12">
        <v>45826</v>
      </c>
      <c r="D21" s="11" t="s">
        <v>101</v>
      </c>
      <c r="E21" s="13">
        <v>256779414477</v>
      </c>
      <c r="F21" s="11" t="s">
        <v>98</v>
      </c>
      <c r="G21" s="14">
        <v>50.75</v>
      </c>
      <c r="H21" s="11" t="s">
        <v>91</v>
      </c>
      <c r="I21" s="14">
        <v>4338.66</v>
      </c>
      <c r="J21" s="11" t="s">
        <v>147</v>
      </c>
    </row>
    <row r="22" spans="1:10" x14ac:dyDescent="0.35">
      <c r="A22" s="11" t="s">
        <v>175</v>
      </c>
      <c r="B22" s="11" t="s">
        <v>100</v>
      </c>
      <c r="C22" s="12">
        <v>45826</v>
      </c>
      <c r="D22" s="11" t="s">
        <v>101</v>
      </c>
      <c r="E22" s="13">
        <v>256779414403</v>
      </c>
      <c r="F22" s="11" t="s">
        <v>98</v>
      </c>
      <c r="G22" s="14">
        <v>50.75</v>
      </c>
      <c r="H22" s="11" t="s">
        <v>91</v>
      </c>
      <c r="I22" s="14">
        <v>4338.66</v>
      </c>
      <c r="J22" s="11" t="s">
        <v>176</v>
      </c>
    </row>
    <row r="23" spans="1:10" x14ac:dyDescent="0.35">
      <c r="A23" s="11" t="s">
        <v>177</v>
      </c>
      <c r="B23" s="11" t="s">
        <v>100</v>
      </c>
      <c r="C23" s="12">
        <v>45951</v>
      </c>
      <c r="D23" s="11" t="s">
        <v>101</v>
      </c>
      <c r="E23" s="13">
        <v>256779418476</v>
      </c>
      <c r="F23" s="11" t="s">
        <v>98</v>
      </c>
      <c r="G23" s="14">
        <v>950.87</v>
      </c>
      <c r="H23" s="11" t="s">
        <v>91</v>
      </c>
      <c r="I23" s="14">
        <v>83857.960000000006</v>
      </c>
      <c r="J23" s="11" t="s">
        <v>178</v>
      </c>
    </row>
    <row r="24" spans="1:10" x14ac:dyDescent="0.35">
      <c r="A24" s="11" t="s">
        <v>180</v>
      </c>
      <c r="B24" s="11" t="s">
        <v>100</v>
      </c>
      <c r="C24" s="12">
        <v>45951</v>
      </c>
      <c r="D24" s="11" t="s">
        <v>101</v>
      </c>
      <c r="E24" s="13">
        <v>256779418491</v>
      </c>
      <c r="F24" s="11" t="s">
        <v>98</v>
      </c>
      <c r="G24" s="14">
        <v>950.87</v>
      </c>
      <c r="H24" s="11" t="s">
        <v>91</v>
      </c>
      <c r="I24" s="14">
        <v>83857.960000000006</v>
      </c>
      <c r="J24" s="11" t="s">
        <v>178</v>
      </c>
    </row>
    <row r="25" spans="1:10" x14ac:dyDescent="0.35">
      <c r="A25" s="11" t="s">
        <v>181</v>
      </c>
      <c r="B25" s="11" t="s">
        <v>100</v>
      </c>
      <c r="C25" s="12">
        <v>45951</v>
      </c>
      <c r="D25" s="11" t="s">
        <v>101</v>
      </c>
      <c r="E25" s="13">
        <v>256779418496</v>
      </c>
      <c r="F25" s="11" t="s">
        <v>98</v>
      </c>
      <c r="G25" s="14">
        <v>40.770000000000003</v>
      </c>
      <c r="H25" s="11" t="s">
        <v>91</v>
      </c>
      <c r="I25" s="14">
        <v>3595.54</v>
      </c>
      <c r="J25" s="11" t="s">
        <v>179</v>
      </c>
    </row>
    <row r="26" spans="1:10" x14ac:dyDescent="0.35">
      <c r="A26" s="11" t="s">
        <v>184</v>
      </c>
      <c r="B26" s="11" t="s">
        <v>100</v>
      </c>
      <c r="C26" s="12">
        <v>45981</v>
      </c>
      <c r="D26" s="11" t="s">
        <v>101</v>
      </c>
      <c r="E26" s="13">
        <v>256779419463</v>
      </c>
      <c r="F26" s="11" t="s">
        <v>98</v>
      </c>
      <c r="G26" s="14">
        <v>602.03</v>
      </c>
      <c r="H26" s="11" t="s">
        <v>91</v>
      </c>
      <c r="I26" s="14">
        <v>52980.68</v>
      </c>
      <c r="J26" s="11" t="s">
        <v>185</v>
      </c>
    </row>
    <row r="27" spans="1:10" x14ac:dyDescent="0.35">
      <c r="A27" s="11" t="s">
        <v>186</v>
      </c>
      <c r="B27" s="11" t="s">
        <v>100</v>
      </c>
      <c r="C27" s="12">
        <v>45981</v>
      </c>
      <c r="D27" s="11" t="s">
        <v>101</v>
      </c>
      <c r="E27" s="13">
        <v>256779419533</v>
      </c>
      <c r="F27" s="11" t="s">
        <v>98</v>
      </c>
      <c r="G27" s="14">
        <v>131.6</v>
      </c>
      <c r="H27" s="11" t="s">
        <v>91</v>
      </c>
      <c r="I27" s="14">
        <v>11581.25</v>
      </c>
      <c r="J27" s="11" t="s">
        <v>187</v>
      </c>
    </row>
    <row r="28" spans="1:10" x14ac:dyDescent="0.35">
      <c r="A28" s="11" t="s">
        <v>188</v>
      </c>
      <c r="B28" s="11" t="s">
        <v>100</v>
      </c>
      <c r="C28" s="12">
        <v>45981</v>
      </c>
      <c r="D28" s="11" t="s">
        <v>101</v>
      </c>
      <c r="E28" s="13">
        <v>256779419546</v>
      </c>
      <c r="F28" s="11" t="s">
        <v>98</v>
      </c>
      <c r="G28" s="14">
        <v>56.4</v>
      </c>
      <c r="H28" s="11" t="s">
        <v>91</v>
      </c>
      <c r="I28" s="14">
        <v>4963.3900000000003</v>
      </c>
      <c r="J28" s="11" t="s">
        <v>189</v>
      </c>
    </row>
    <row r="29" spans="1:10" x14ac:dyDescent="0.35">
      <c r="A29" s="11" t="s">
        <v>190</v>
      </c>
      <c r="B29" s="11" t="s">
        <v>100</v>
      </c>
      <c r="C29" s="12">
        <v>45918</v>
      </c>
      <c r="D29" s="11" t="s">
        <v>101</v>
      </c>
      <c r="E29" s="13">
        <v>256779417488</v>
      </c>
      <c r="F29" s="11" t="s">
        <v>98</v>
      </c>
      <c r="G29" s="14">
        <v>52.64</v>
      </c>
      <c r="H29" s="11" t="s">
        <v>91</v>
      </c>
      <c r="I29" s="14">
        <v>4606.75</v>
      </c>
      <c r="J29" s="11" t="s">
        <v>191</v>
      </c>
    </row>
    <row r="30" spans="1:10" x14ac:dyDescent="0.35">
      <c r="A30" s="11" t="s">
        <v>198</v>
      </c>
      <c r="B30" s="11" t="s">
        <v>100</v>
      </c>
      <c r="C30" s="12">
        <v>45810</v>
      </c>
      <c r="D30" s="11" t="s">
        <v>101</v>
      </c>
      <c r="E30" s="13">
        <v>256779413945</v>
      </c>
      <c r="F30" s="11" t="s">
        <v>98</v>
      </c>
      <c r="G30" s="14">
        <v>50.75</v>
      </c>
      <c r="H30" s="11" t="s">
        <v>91</v>
      </c>
      <c r="I30" s="14">
        <v>4338.66</v>
      </c>
      <c r="J30" s="11" t="s">
        <v>149</v>
      </c>
    </row>
    <row r="31" spans="1:10" x14ac:dyDescent="0.35">
      <c r="A31" s="11" t="s">
        <v>199</v>
      </c>
      <c r="B31" s="11" t="s">
        <v>100</v>
      </c>
      <c r="C31" s="12">
        <v>45810</v>
      </c>
      <c r="D31" s="11" t="s">
        <v>101</v>
      </c>
      <c r="E31" s="13">
        <v>256779413955</v>
      </c>
      <c r="F31" s="11" t="s">
        <v>98</v>
      </c>
      <c r="G31" s="14">
        <v>50.75</v>
      </c>
      <c r="H31" s="11" t="s">
        <v>91</v>
      </c>
      <c r="I31" s="14">
        <v>4338.66</v>
      </c>
      <c r="J31" s="11" t="s">
        <v>200</v>
      </c>
    </row>
    <row r="32" spans="1:10" x14ac:dyDescent="0.35">
      <c r="A32" s="11" t="s">
        <v>206</v>
      </c>
      <c r="B32" s="11" t="s">
        <v>100</v>
      </c>
      <c r="C32" s="12">
        <v>45857</v>
      </c>
      <c r="D32" s="11" t="s">
        <v>101</v>
      </c>
      <c r="E32" s="13">
        <v>256779415770</v>
      </c>
      <c r="F32" s="11" t="s">
        <v>98</v>
      </c>
      <c r="G32" s="14">
        <v>1425.77</v>
      </c>
      <c r="H32" s="11" t="s">
        <v>91</v>
      </c>
      <c r="I32" s="14">
        <v>122617.18</v>
      </c>
      <c r="J32" s="11" t="s">
        <v>207</v>
      </c>
    </row>
    <row r="33" spans="1:10" x14ac:dyDescent="0.35">
      <c r="A33" s="11" t="s">
        <v>208</v>
      </c>
      <c r="B33" s="11" t="s">
        <v>100</v>
      </c>
      <c r="C33" s="12">
        <v>45857</v>
      </c>
      <c r="D33" s="11" t="s">
        <v>101</v>
      </c>
      <c r="E33" s="13">
        <v>256779415776</v>
      </c>
      <c r="F33" s="11" t="s">
        <v>98</v>
      </c>
      <c r="G33" s="14">
        <v>83.9</v>
      </c>
      <c r="H33" s="11" t="s">
        <v>91</v>
      </c>
      <c r="I33" s="14">
        <v>7215.46</v>
      </c>
      <c r="J33" s="11" t="s">
        <v>209</v>
      </c>
    </row>
    <row r="34" spans="1:10" x14ac:dyDescent="0.35">
      <c r="A34" s="11" t="s">
        <v>214</v>
      </c>
      <c r="B34" s="11" t="s">
        <v>100</v>
      </c>
      <c r="C34" s="12">
        <v>45787</v>
      </c>
      <c r="D34" s="11" t="s">
        <v>101</v>
      </c>
      <c r="E34" s="13">
        <v>256779413251</v>
      </c>
      <c r="F34" s="11" t="s">
        <v>98</v>
      </c>
      <c r="G34" s="14">
        <v>87.01</v>
      </c>
      <c r="H34" s="11" t="s">
        <v>91</v>
      </c>
      <c r="I34" s="14">
        <v>7481.44</v>
      </c>
      <c r="J34" s="11" t="s">
        <v>215</v>
      </c>
    </row>
    <row r="35" spans="1:10" x14ac:dyDescent="0.35">
      <c r="A35" s="11" t="s">
        <v>216</v>
      </c>
      <c r="B35" s="11" t="s">
        <v>100</v>
      </c>
      <c r="C35" s="12">
        <v>45948</v>
      </c>
      <c r="D35" s="11" t="s">
        <v>101</v>
      </c>
      <c r="E35" s="13">
        <v>256779418426</v>
      </c>
      <c r="F35" s="11" t="s">
        <v>98</v>
      </c>
      <c r="G35" s="14">
        <v>124.55</v>
      </c>
      <c r="H35" s="11" t="s">
        <v>91</v>
      </c>
      <c r="I35" s="14">
        <v>10984.16</v>
      </c>
      <c r="J35" s="11" t="s">
        <v>217</v>
      </c>
    </row>
    <row r="36" spans="1:10" x14ac:dyDescent="0.35">
      <c r="A36" s="11" t="s">
        <v>218</v>
      </c>
      <c r="B36" s="11" t="s">
        <v>100</v>
      </c>
      <c r="C36" s="12">
        <v>45948</v>
      </c>
      <c r="D36" s="11" t="s">
        <v>101</v>
      </c>
      <c r="E36" s="13">
        <v>256779418441</v>
      </c>
      <c r="F36" s="11" t="s">
        <v>98</v>
      </c>
      <c r="G36" s="14">
        <v>112.8</v>
      </c>
      <c r="H36" s="11" t="s">
        <v>91</v>
      </c>
      <c r="I36" s="14">
        <v>9947.92</v>
      </c>
      <c r="J36" s="11" t="s">
        <v>219</v>
      </c>
    </row>
    <row r="37" spans="1:10" x14ac:dyDescent="0.35">
      <c r="A37" s="11" t="s">
        <v>220</v>
      </c>
      <c r="B37" s="11" t="s">
        <v>100</v>
      </c>
      <c r="C37" s="12">
        <v>45815</v>
      </c>
      <c r="D37" s="11" t="s">
        <v>101</v>
      </c>
      <c r="E37" s="13">
        <v>256779414241</v>
      </c>
      <c r="F37" s="11" t="s">
        <v>98</v>
      </c>
      <c r="G37" s="14">
        <v>632.96</v>
      </c>
      <c r="H37" s="11" t="s">
        <v>91</v>
      </c>
      <c r="I37" s="14">
        <v>54112.24</v>
      </c>
      <c r="J37" s="11" t="s">
        <v>221</v>
      </c>
    </row>
    <row r="38" spans="1:10" x14ac:dyDescent="0.35">
      <c r="A38" s="11" t="s">
        <v>222</v>
      </c>
      <c r="B38" s="11" t="s">
        <v>100</v>
      </c>
      <c r="C38" s="12">
        <v>45936</v>
      </c>
      <c r="D38" s="11" t="s">
        <v>101</v>
      </c>
      <c r="E38" s="13">
        <v>256779418009</v>
      </c>
      <c r="F38" s="11" t="s">
        <v>98</v>
      </c>
      <c r="G38" s="14">
        <v>1480.75</v>
      </c>
      <c r="H38" s="11" t="s">
        <v>91</v>
      </c>
      <c r="I38" s="14">
        <v>130588.48</v>
      </c>
      <c r="J38" s="11" t="s">
        <v>223</v>
      </c>
    </row>
    <row r="39" spans="1:10" x14ac:dyDescent="0.35">
      <c r="A39" s="11" t="s">
        <v>224</v>
      </c>
      <c r="B39" s="11" t="s">
        <v>100</v>
      </c>
      <c r="C39" s="12">
        <v>45935</v>
      </c>
      <c r="D39" s="11" t="s">
        <v>101</v>
      </c>
      <c r="E39" s="13">
        <v>256779417991</v>
      </c>
      <c r="F39" s="11" t="s">
        <v>98</v>
      </c>
      <c r="G39" s="14">
        <v>184.54</v>
      </c>
      <c r="H39" s="11" t="s">
        <v>91</v>
      </c>
      <c r="I39" s="14">
        <v>16274.72</v>
      </c>
      <c r="J39" s="11" t="s">
        <v>225</v>
      </c>
    </row>
    <row r="40" spans="1:10" x14ac:dyDescent="0.35">
      <c r="A40" s="11" t="s">
        <v>227</v>
      </c>
      <c r="B40" s="11" t="s">
        <v>100</v>
      </c>
      <c r="C40" s="12">
        <v>45906</v>
      </c>
      <c r="D40" s="11" t="s">
        <v>101</v>
      </c>
      <c r="E40" s="13">
        <v>256779417083</v>
      </c>
      <c r="F40" s="11" t="s">
        <v>98</v>
      </c>
      <c r="G40" s="14">
        <v>634.36</v>
      </c>
      <c r="H40" s="11" t="s">
        <v>91</v>
      </c>
      <c r="I40" s="14">
        <v>55515.59</v>
      </c>
      <c r="J40" s="11" t="s">
        <v>228</v>
      </c>
    </row>
    <row r="41" spans="1:10" x14ac:dyDescent="0.35">
      <c r="A41" s="11" t="s">
        <v>229</v>
      </c>
      <c r="B41" s="11" t="s">
        <v>100</v>
      </c>
      <c r="C41" s="12">
        <v>46024</v>
      </c>
      <c r="D41" s="11" t="s">
        <v>101</v>
      </c>
      <c r="E41" s="13">
        <v>256779440021</v>
      </c>
      <c r="F41" s="11" t="s">
        <v>98</v>
      </c>
      <c r="G41" s="14">
        <v>950.6</v>
      </c>
      <c r="H41" s="11" t="s">
        <v>91</v>
      </c>
      <c r="I41" s="14">
        <v>86260.43</v>
      </c>
      <c r="J41" s="11" t="s">
        <v>230</v>
      </c>
    </row>
    <row r="42" spans="1:10" x14ac:dyDescent="0.35">
      <c r="A42" s="11" t="s">
        <v>236</v>
      </c>
      <c r="B42" s="11" t="s">
        <v>100</v>
      </c>
      <c r="C42" s="12">
        <v>46028</v>
      </c>
      <c r="D42" s="11" t="s">
        <v>237</v>
      </c>
      <c r="E42" s="13">
        <v>256779440161</v>
      </c>
      <c r="F42" s="11" t="s">
        <v>98</v>
      </c>
      <c r="G42" s="14">
        <v>56.74</v>
      </c>
      <c r="H42" s="11" t="s">
        <v>91</v>
      </c>
      <c r="I42" s="14">
        <v>5148.7700000000004</v>
      </c>
      <c r="J42" s="11" t="s">
        <v>238</v>
      </c>
    </row>
    <row r="43" spans="1:10" x14ac:dyDescent="0.35">
      <c r="A43" s="11" t="s">
        <v>239</v>
      </c>
      <c r="B43" s="11" t="s">
        <v>100</v>
      </c>
      <c r="C43" s="12">
        <v>46034</v>
      </c>
      <c r="D43" s="11" t="s">
        <v>240</v>
      </c>
      <c r="E43" s="13">
        <v>256779440171</v>
      </c>
      <c r="F43" s="11" t="s">
        <v>98</v>
      </c>
      <c r="G43" s="14">
        <v>180.4</v>
      </c>
      <c r="H43" s="11" t="s">
        <v>91</v>
      </c>
      <c r="I43" s="14">
        <v>16370.06</v>
      </c>
      <c r="J43" s="11" t="s">
        <v>241</v>
      </c>
    </row>
    <row r="44" spans="1:10" x14ac:dyDescent="0.35">
      <c r="A44" s="11" t="s">
        <v>242</v>
      </c>
      <c r="B44" s="11" t="s">
        <v>100</v>
      </c>
      <c r="C44" s="12">
        <v>46028</v>
      </c>
      <c r="D44" s="11" t="s">
        <v>243</v>
      </c>
      <c r="E44" s="13">
        <v>256779440249</v>
      </c>
      <c r="F44" s="11" t="s">
        <v>98</v>
      </c>
      <c r="G44" s="14">
        <v>1037.05</v>
      </c>
      <c r="H44" s="11" t="s">
        <v>91</v>
      </c>
      <c r="I44" s="14">
        <v>94105.17</v>
      </c>
      <c r="J44" s="11" t="s">
        <v>244</v>
      </c>
    </row>
    <row r="45" spans="1:10" x14ac:dyDescent="0.35">
      <c r="A45" s="11" t="s">
        <v>246</v>
      </c>
      <c r="B45" s="11" t="s">
        <v>100</v>
      </c>
      <c r="C45" s="12">
        <v>46034</v>
      </c>
      <c r="D45" s="11" t="s">
        <v>247</v>
      </c>
      <c r="E45" s="13">
        <v>256779440281</v>
      </c>
      <c r="F45" s="11" t="s">
        <v>98</v>
      </c>
      <c r="G45" s="14">
        <v>933.73</v>
      </c>
      <c r="H45" s="11" t="s">
        <v>91</v>
      </c>
      <c r="I45" s="14">
        <v>84729.59</v>
      </c>
      <c r="J45" s="11" t="s">
        <v>248</v>
      </c>
    </row>
    <row r="46" spans="1:10" x14ac:dyDescent="0.35">
      <c r="A46" s="11" t="s">
        <v>249</v>
      </c>
      <c r="B46" s="11" t="s">
        <v>100</v>
      </c>
      <c r="C46" s="12">
        <v>46034</v>
      </c>
      <c r="D46" s="11" t="s">
        <v>247</v>
      </c>
      <c r="E46" s="13">
        <v>256779440292</v>
      </c>
      <c r="F46" s="11" t="s">
        <v>98</v>
      </c>
      <c r="G46" s="14">
        <v>40.04</v>
      </c>
      <c r="H46" s="11" t="s">
        <v>91</v>
      </c>
      <c r="I46" s="14">
        <v>3633.36</v>
      </c>
      <c r="J46" s="11" t="s">
        <v>250</v>
      </c>
    </row>
    <row r="47" spans="1:10" x14ac:dyDescent="0.35">
      <c r="A47" s="18"/>
      <c r="B47" s="11"/>
      <c r="C47" s="12"/>
      <c r="D47" s="13"/>
      <c r="E47" s="11"/>
      <c r="F47" s="14"/>
      <c r="G47" s="11"/>
      <c r="H47" s="14"/>
      <c r="I47" s="11"/>
      <c r="J47" s="16"/>
    </row>
    <row r="48" spans="1:10" x14ac:dyDescent="0.35">
      <c r="F48" s="15"/>
    </row>
    <row r="50" spans="6:6" x14ac:dyDescent="0.35">
      <c r="F5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8748-849C-4001-933A-8F82D22E427C}">
  <dimension ref="A2:J15"/>
  <sheetViews>
    <sheetView workbookViewId="0">
      <selection activeCell="K21" sqref="K2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0.1796875" bestFit="1" customWidth="1"/>
    <col min="5" max="5" width="12.90625" bestFit="1" customWidth="1"/>
    <col min="6" max="6" width="8.26953125" bestFit="1" customWidth="1"/>
    <col min="7" max="7" width="8.453125" bestFit="1" customWidth="1"/>
    <col min="9" max="9" width="9.453125" bestFit="1" customWidth="1"/>
    <col min="10" max="10" width="41.26953125" bestFit="1" customWidth="1"/>
  </cols>
  <sheetData>
    <row r="2" spans="1:10" ht="58" x14ac:dyDescent="0.35">
      <c r="A2" s="20" t="s">
        <v>81</v>
      </c>
      <c r="B2" s="21" t="s">
        <v>82</v>
      </c>
      <c r="C2" s="20" t="s">
        <v>83</v>
      </c>
      <c r="D2" s="20" t="s">
        <v>84</v>
      </c>
      <c r="E2" s="20" t="s">
        <v>85</v>
      </c>
      <c r="F2" s="21" t="s">
        <v>86</v>
      </c>
      <c r="G2" s="21" t="s">
        <v>87</v>
      </c>
      <c r="H2" s="21" t="s">
        <v>88</v>
      </c>
      <c r="I2" s="21" t="s">
        <v>89</v>
      </c>
      <c r="J2" s="20"/>
    </row>
    <row r="3" spans="1:10" x14ac:dyDescent="0.35">
      <c r="A3" s="1" t="s">
        <v>110</v>
      </c>
      <c r="B3" s="1" t="s">
        <v>108</v>
      </c>
      <c r="C3" s="2">
        <v>45693</v>
      </c>
      <c r="D3" s="1" t="s">
        <v>101</v>
      </c>
      <c r="E3" s="9">
        <v>246779420001</v>
      </c>
      <c r="F3" s="1" t="s">
        <v>98</v>
      </c>
      <c r="G3" s="3">
        <v>-50.75</v>
      </c>
      <c r="H3" s="1" t="s">
        <v>91</v>
      </c>
      <c r="I3" s="3">
        <v>-4379.91</v>
      </c>
      <c r="J3" s="1" t="s">
        <v>111</v>
      </c>
    </row>
    <row r="4" spans="1:10" x14ac:dyDescent="0.35">
      <c r="A4" s="1" t="s">
        <v>135</v>
      </c>
      <c r="B4" s="1" t="s">
        <v>108</v>
      </c>
      <c r="C4" s="2">
        <v>45791</v>
      </c>
      <c r="D4" s="1" t="s">
        <v>101</v>
      </c>
      <c r="E4" s="9">
        <v>256779420425</v>
      </c>
      <c r="F4" s="1" t="s">
        <v>98</v>
      </c>
      <c r="G4" s="3">
        <v>-50.75</v>
      </c>
      <c r="H4" s="1" t="s">
        <v>91</v>
      </c>
      <c r="I4" s="3">
        <v>-4411.28</v>
      </c>
      <c r="J4" s="1" t="s">
        <v>136</v>
      </c>
    </row>
    <row r="5" spans="1:10" x14ac:dyDescent="0.35">
      <c r="A5" s="1" t="s">
        <v>137</v>
      </c>
      <c r="B5" s="1" t="s">
        <v>108</v>
      </c>
      <c r="C5" s="2">
        <v>45791</v>
      </c>
      <c r="D5" s="1" t="s">
        <v>101</v>
      </c>
      <c r="E5" s="9">
        <v>256779420512</v>
      </c>
      <c r="F5" s="1" t="s">
        <v>98</v>
      </c>
      <c r="G5" s="3">
        <v>-50.75</v>
      </c>
      <c r="H5" s="1" t="s">
        <v>91</v>
      </c>
      <c r="I5" s="3">
        <v>-4411.28</v>
      </c>
      <c r="J5" s="1" t="s">
        <v>138</v>
      </c>
    </row>
    <row r="6" spans="1:10" x14ac:dyDescent="0.35">
      <c r="A6" s="1" t="s">
        <v>152</v>
      </c>
      <c r="B6" s="1" t="s">
        <v>108</v>
      </c>
      <c r="C6" s="2">
        <v>45873</v>
      </c>
      <c r="D6" s="1" t="s">
        <v>101</v>
      </c>
      <c r="E6" s="9">
        <v>256779421609</v>
      </c>
      <c r="F6" s="1" t="s">
        <v>98</v>
      </c>
      <c r="G6" s="3">
        <v>-83.9</v>
      </c>
      <c r="H6" s="1" t="s">
        <v>91</v>
      </c>
      <c r="I6" s="3">
        <v>-7215.46</v>
      </c>
      <c r="J6" s="1" t="s">
        <v>153</v>
      </c>
    </row>
    <row r="7" spans="1:10" x14ac:dyDescent="0.35">
      <c r="A7" s="1" t="s">
        <v>157</v>
      </c>
      <c r="B7" s="1" t="s">
        <v>108</v>
      </c>
      <c r="C7" s="2">
        <v>45862</v>
      </c>
      <c r="D7" s="1" t="s">
        <v>101</v>
      </c>
      <c r="E7" s="9">
        <v>256779421493</v>
      </c>
      <c r="F7" s="1" t="s">
        <v>98</v>
      </c>
      <c r="G7" s="3">
        <v>-50.75</v>
      </c>
      <c r="H7" s="1" t="s">
        <v>91</v>
      </c>
      <c r="I7" s="3">
        <v>-4364.53</v>
      </c>
      <c r="J7" s="1" t="s">
        <v>158</v>
      </c>
    </row>
    <row r="8" spans="1:10" x14ac:dyDescent="0.35">
      <c r="A8" s="1" t="s">
        <v>159</v>
      </c>
      <c r="B8" s="1" t="s">
        <v>108</v>
      </c>
      <c r="C8" s="2">
        <v>45862</v>
      </c>
      <c r="D8" s="1" t="s">
        <v>101</v>
      </c>
      <c r="E8" s="9">
        <v>256779421527</v>
      </c>
      <c r="F8" s="1" t="s">
        <v>98</v>
      </c>
      <c r="G8" s="3">
        <v>-50.75</v>
      </c>
      <c r="H8" s="1" t="s">
        <v>91</v>
      </c>
      <c r="I8" s="3">
        <v>-4364.53</v>
      </c>
      <c r="J8" s="1" t="s">
        <v>160</v>
      </c>
    </row>
    <row r="9" spans="1:10" x14ac:dyDescent="0.35">
      <c r="A9" s="1" t="s">
        <v>161</v>
      </c>
      <c r="B9" s="1" t="s">
        <v>108</v>
      </c>
      <c r="C9" s="2">
        <v>45862</v>
      </c>
      <c r="D9" s="1" t="s">
        <v>101</v>
      </c>
      <c r="E9" s="9">
        <v>256779421544</v>
      </c>
      <c r="F9" s="1" t="s">
        <v>98</v>
      </c>
      <c r="G9" s="3">
        <v>-50.75</v>
      </c>
      <c r="H9" s="1" t="s">
        <v>91</v>
      </c>
      <c r="I9" s="3">
        <v>-4364.53</v>
      </c>
      <c r="J9" s="1" t="s">
        <v>162</v>
      </c>
    </row>
    <row r="10" spans="1:10" x14ac:dyDescent="0.35">
      <c r="A10" s="1" t="s">
        <v>167</v>
      </c>
      <c r="B10" s="1" t="s">
        <v>108</v>
      </c>
      <c r="C10" s="2">
        <v>45862</v>
      </c>
      <c r="D10" s="1" t="s">
        <v>101</v>
      </c>
      <c r="E10" s="9">
        <v>256779421471</v>
      </c>
      <c r="F10" s="1" t="s">
        <v>98</v>
      </c>
      <c r="G10" s="3">
        <v>-50.75</v>
      </c>
      <c r="H10" s="1" t="s">
        <v>91</v>
      </c>
      <c r="I10" s="3">
        <v>-4364.53</v>
      </c>
      <c r="J10" s="1" t="s">
        <v>168</v>
      </c>
    </row>
    <row r="11" spans="1:10" x14ac:dyDescent="0.35">
      <c r="A11" s="1" t="s">
        <v>194</v>
      </c>
      <c r="B11" s="1" t="s">
        <v>108</v>
      </c>
      <c r="C11" s="2">
        <v>45799</v>
      </c>
      <c r="D11" s="1" t="s">
        <v>101</v>
      </c>
      <c r="E11" s="9">
        <v>256779420758</v>
      </c>
      <c r="F11" s="1" t="s">
        <v>98</v>
      </c>
      <c r="G11" s="3">
        <v>-50.75</v>
      </c>
      <c r="H11" s="1" t="s">
        <v>91</v>
      </c>
      <c r="I11" s="3">
        <v>-4379.91</v>
      </c>
      <c r="J11" s="1" t="s">
        <v>195</v>
      </c>
    </row>
    <row r="12" spans="1:10" x14ac:dyDescent="0.35">
      <c r="A12" s="1" t="s">
        <v>196</v>
      </c>
      <c r="B12" s="1" t="s">
        <v>108</v>
      </c>
      <c r="C12" s="2">
        <v>45799</v>
      </c>
      <c r="D12" s="1" t="s">
        <v>101</v>
      </c>
      <c r="E12" s="9">
        <v>256779420757</v>
      </c>
      <c r="F12" s="1" t="s">
        <v>98</v>
      </c>
      <c r="G12" s="3">
        <v>-50.75</v>
      </c>
      <c r="H12" s="1" t="s">
        <v>91</v>
      </c>
      <c r="I12" s="3">
        <v>-4379.91</v>
      </c>
      <c r="J12" s="1" t="s">
        <v>197</v>
      </c>
    </row>
    <row r="13" spans="1:10" x14ac:dyDescent="0.35">
      <c r="A13" s="1" t="s">
        <v>232</v>
      </c>
      <c r="B13" s="1" t="s">
        <v>108</v>
      </c>
      <c r="C13" s="2">
        <v>46027</v>
      </c>
      <c r="D13" s="1" t="s">
        <v>101</v>
      </c>
      <c r="E13" s="9">
        <v>256779422166</v>
      </c>
      <c r="F13" s="1" t="s">
        <v>98</v>
      </c>
      <c r="G13" s="3">
        <v>-950.87</v>
      </c>
      <c r="H13" s="1" t="s">
        <v>91</v>
      </c>
      <c r="I13" s="3">
        <v>-86284.93</v>
      </c>
      <c r="J13" s="1" t="s">
        <v>233</v>
      </c>
    </row>
    <row r="14" spans="1:10" x14ac:dyDescent="0.35">
      <c r="A14" s="1" t="s">
        <v>234</v>
      </c>
      <c r="B14" s="1" t="s">
        <v>108</v>
      </c>
      <c r="C14" s="2">
        <v>46027</v>
      </c>
      <c r="D14" s="1" t="s">
        <v>101</v>
      </c>
      <c r="E14" s="9">
        <v>256779422171</v>
      </c>
      <c r="F14" s="1" t="s">
        <v>98</v>
      </c>
      <c r="G14" s="3">
        <v>-40.770000000000003</v>
      </c>
      <c r="H14" s="1" t="s">
        <v>91</v>
      </c>
      <c r="I14" s="3">
        <v>-3699.6</v>
      </c>
      <c r="J14" s="1" t="s">
        <v>235</v>
      </c>
    </row>
    <row r="15" spans="1:10" x14ac:dyDescent="0.35">
      <c r="G15" s="15">
        <f>SUM(G3:G14)</f>
        <v>-1532.29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C543-5EA6-4A30-B311-49D81F90F47B}">
  <dimension ref="A1:N4"/>
  <sheetViews>
    <sheetView zoomScale="115" zoomScaleNormal="115" workbookViewId="0">
      <selection activeCell="C1" sqref="C1:C1048576"/>
    </sheetView>
  </sheetViews>
  <sheetFormatPr defaultRowHeight="14.5" x14ac:dyDescent="0.35"/>
  <cols>
    <col min="1" max="1" width="16.81640625" bestFit="1" customWidth="1"/>
    <col min="2" max="2" width="9.90625" customWidth="1"/>
    <col min="3" max="3" width="11.81640625" style="40" customWidth="1"/>
    <col min="4" max="4" width="13.26953125" bestFit="1" customWidth="1"/>
    <col min="5" max="5" width="11.6328125" bestFit="1" customWidth="1"/>
    <col min="6" max="6" width="7.36328125" bestFit="1" customWidth="1"/>
    <col min="7" max="7" width="7.54296875" bestFit="1" customWidth="1"/>
    <col min="8" max="8" width="8.81640625" bestFit="1" customWidth="1"/>
    <col min="9" max="9" width="23.08984375" bestFit="1" customWidth="1"/>
    <col min="10" max="10" width="1.81640625" bestFit="1" customWidth="1"/>
    <col min="11" max="11" width="12.7265625" bestFit="1" customWidth="1"/>
    <col min="12" max="12" width="10.90625" bestFit="1" customWidth="1"/>
    <col min="13" max="13" width="22.90625" bestFit="1" customWidth="1"/>
    <col min="14" max="14" width="7" bestFit="1" customWidth="1"/>
  </cols>
  <sheetData>
    <row r="1" spans="1:14" ht="58" x14ac:dyDescent="0.35">
      <c r="A1" s="20" t="s">
        <v>81</v>
      </c>
      <c r="B1" s="21" t="s">
        <v>82</v>
      </c>
      <c r="C1" s="21" t="s">
        <v>83</v>
      </c>
      <c r="D1" s="20" t="s">
        <v>85</v>
      </c>
      <c r="E1" s="21" t="s">
        <v>86</v>
      </c>
      <c r="F1" s="21" t="s">
        <v>87</v>
      </c>
      <c r="G1" s="21" t="s">
        <v>88</v>
      </c>
      <c r="H1" s="21" t="s">
        <v>89</v>
      </c>
      <c r="I1" s="20"/>
      <c r="J1" s="20"/>
      <c r="K1" s="20" t="s">
        <v>261</v>
      </c>
      <c r="L1" s="20" t="s">
        <v>259</v>
      </c>
      <c r="M1" s="32" t="s">
        <v>296</v>
      </c>
    </row>
    <row r="2" spans="1:14" x14ac:dyDescent="0.35">
      <c r="A2" s="1" t="s">
        <v>253</v>
      </c>
      <c r="B2" s="1" t="s">
        <v>100</v>
      </c>
      <c r="C2" s="39">
        <v>46035</v>
      </c>
      <c r="D2" s="9">
        <v>256779440359</v>
      </c>
      <c r="E2" s="1" t="s">
        <v>98</v>
      </c>
      <c r="F2" s="3">
        <v>821.64</v>
      </c>
      <c r="G2" s="1" t="s">
        <v>91</v>
      </c>
      <c r="H2" s="3">
        <v>74558.19</v>
      </c>
      <c r="I2" s="1" t="s">
        <v>254</v>
      </c>
      <c r="J2">
        <v>1</v>
      </c>
      <c r="K2">
        <v>40.04</v>
      </c>
      <c r="L2">
        <v>39.04</v>
      </c>
      <c r="M2" s="6">
        <f>F2-K2</f>
        <v>781.6</v>
      </c>
      <c r="N2" s="15"/>
    </row>
    <row r="3" spans="1:14" x14ac:dyDescent="0.35">
      <c r="A3" s="1" t="s">
        <v>255</v>
      </c>
      <c r="B3" s="1" t="s">
        <v>100</v>
      </c>
      <c r="C3" s="39">
        <v>46035</v>
      </c>
      <c r="D3" s="9">
        <v>256779440370</v>
      </c>
      <c r="E3" s="1" t="s">
        <v>98</v>
      </c>
      <c r="F3" s="3">
        <v>60.36</v>
      </c>
      <c r="G3" s="1" t="s">
        <v>91</v>
      </c>
      <c r="H3" s="3">
        <v>5477.26</v>
      </c>
      <c r="I3" s="1" t="s">
        <v>256</v>
      </c>
      <c r="J3">
        <v>1</v>
      </c>
      <c r="K3">
        <v>63.21</v>
      </c>
      <c r="L3">
        <f>K3-J3</f>
        <v>62.21</v>
      </c>
      <c r="M3" s="6">
        <f t="shared" ref="M3" si="0">F3-K3</f>
        <v>-2.8500000000000014</v>
      </c>
    </row>
    <row r="4" spans="1:14" x14ac:dyDescent="0.35">
      <c r="M4" s="22">
        <f>SUM(M2:M3)</f>
        <v>778.75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56A4-D7C5-423C-9D0C-5ABB2CB7EB8C}">
  <dimension ref="A2:L18"/>
  <sheetViews>
    <sheetView workbookViewId="0">
      <selection activeCell="E18" sqref="E18"/>
    </sheetView>
  </sheetViews>
  <sheetFormatPr defaultRowHeight="14.5" x14ac:dyDescent="0.35"/>
  <cols>
    <col min="1" max="1" width="5.36328125" bestFit="1" customWidth="1"/>
    <col min="2" max="2" width="11.1796875" bestFit="1" customWidth="1"/>
    <col min="3" max="3" width="16.81640625" bestFit="1" customWidth="1"/>
    <col min="4" max="4" width="17.453125" bestFit="1" customWidth="1"/>
    <col min="5" max="5" width="9.36328125" bestFit="1" customWidth="1"/>
    <col min="8" max="8" width="9.36328125" bestFit="1" customWidth="1"/>
    <col min="9" max="9" width="9.7265625" bestFit="1" customWidth="1"/>
    <col min="10" max="10" width="9.7265625" style="10" customWidth="1"/>
    <col min="11" max="11" width="10.36328125" bestFit="1" customWidth="1"/>
  </cols>
  <sheetData>
    <row r="2" spans="1:12" x14ac:dyDescent="0.35">
      <c r="A2" s="58" t="s">
        <v>288</v>
      </c>
      <c r="B2" s="58"/>
      <c r="C2" s="58"/>
      <c r="D2" s="58"/>
      <c r="F2" s="58" t="s">
        <v>289</v>
      </c>
      <c r="G2" s="58"/>
      <c r="H2" s="58"/>
      <c r="I2" s="58"/>
      <c r="J2" s="58"/>
      <c r="K2" s="58"/>
    </row>
    <row r="3" spans="1:12" x14ac:dyDescent="0.35">
      <c r="A3" s="34" t="s">
        <v>287</v>
      </c>
      <c r="B3" s="34" t="s">
        <v>0</v>
      </c>
      <c r="C3" s="34" t="s">
        <v>292</v>
      </c>
      <c r="D3" s="34" t="s">
        <v>295</v>
      </c>
      <c r="F3" s="4" t="s">
        <v>287</v>
      </c>
      <c r="G3" s="4" t="s">
        <v>83</v>
      </c>
      <c r="H3" s="4" t="s">
        <v>291</v>
      </c>
      <c r="I3" s="4" t="s">
        <v>294</v>
      </c>
      <c r="J3" s="37" t="s">
        <v>293</v>
      </c>
      <c r="K3" s="4" t="s">
        <v>290</v>
      </c>
    </row>
    <row r="4" spans="1:12" x14ac:dyDescent="0.35">
      <c r="A4" s="34"/>
      <c r="B4" s="34"/>
      <c r="C4" s="34"/>
      <c r="D4" s="34"/>
      <c r="F4" s="33">
        <v>2025</v>
      </c>
      <c r="G4" s="4" t="s">
        <v>275</v>
      </c>
      <c r="H4" s="7"/>
      <c r="I4" s="7">
        <v>50.75</v>
      </c>
      <c r="J4" s="7">
        <f>SUM(H4:I4)</f>
        <v>50.75</v>
      </c>
      <c r="K4" s="7"/>
    </row>
    <row r="5" spans="1:12" x14ac:dyDescent="0.35">
      <c r="A5" s="35">
        <v>2025</v>
      </c>
      <c r="B5" s="34" t="s">
        <v>276</v>
      </c>
      <c r="C5" s="36">
        <v>0</v>
      </c>
      <c r="D5" s="36">
        <v>274.5</v>
      </c>
      <c r="F5" s="33">
        <v>2025</v>
      </c>
      <c r="G5" s="4" t="s">
        <v>276</v>
      </c>
      <c r="H5" s="7">
        <v>-101.5</v>
      </c>
      <c r="I5" s="7">
        <v>456.75</v>
      </c>
      <c r="J5" s="7">
        <f t="shared" ref="J5:J16" si="0">SUM(H5:I5)</f>
        <v>355.25</v>
      </c>
      <c r="K5" s="7"/>
    </row>
    <row r="6" spans="1:12" x14ac:dyDescent="0.35">
      <c r="A6" s="35">
        <v>2025</v>
      </c>
      <c r="B6" s="34" t="s">
        <v>277</v>
      </c>
      <c r="C6" s="36">
        <v>-282.60599474600002</v>
      </c>
      <c r="D6" s="36">
        <v>4.0529999999999999</v>
      </c>
      <c r="F6" s="33">
        <v>2025</v>
      </c>
      <c r="G6" s="4" t="s">
        <v>277</v>
      </c>
      <c r="H6" s="7"/>
      <c r="I6" s="7">
        <v>50.75</v>
      </c>
      <c r="J6" s="7">
        <f t="shared" si="0"/>
        <v>50.75</v>
      </c>
      <c r="K6" s="7">
        <v>-302.06275862068998</v>
      </c>
    </row>
    <row r="7" spans="1:12" x14ac:dyDescent="0.35">
      <c r="A7" s="35"/>
      <c r="B7" s="34"/>
      <c r="C7" s="36"/>
      <c r="D7" s="36"/>
      <c r="F7" s="33">
        <v>2025</v>
      </c>
      <c r="G7" s="4" t="s">
        <v>278</v>
      </c>
      <c r="H7" s="7"/>
      <c r="I7" s="7">
        <v>152.25</v>
      </c>
      <c r="J7" s="7">
        <f t="shared" si="0"/>
        <v>152.25</v>
      </c>
      <c r="K7" s="7"/>
    </row>
    <row r="8" spans="1:12" x14ac:dyDescent="0.35">
      <c r="A8" s="35"/>
      <c r="B8" s="34"/>
      <c r="C8" s="36"/>
      <c r="D8" s="36"/>
      <c r="F8" s="33">
        <v>2025</v>
      </c>
      <c r="G8" s="4" t="s">
        <v>279</v>
      </c>
      <c r="H8" s="7">
        <v>-203</v>
      </c>
      <c r="I8" s="7">
        <v>3380.88</v>
      </c>
      <c r="J8" s="7">
        <f t="shared" si="0"/>
        <v>3177.88</v>
      </c>
      <c r="K8" s="7"/>
    </row>
    <row r="9" spans="1:12" x14ac:dyDescent="0.35">
      <c r="A9" s="35"/>
      <c r="B9" s="34"/>
      <c r="C9" s="36"/>
      <c r="D9" s="36"/>
      <c r="F9" s="33">
        <v>2025</v>
      </c>
      <c r="G9" s="4" t="s">
        <v>280</v>
      </c>
      <c r="H9" s="7"/>
      <c r="I9" s="7">
        <v>1438.33</v>
      </c>
      <c r="J9" s="7">
        <f t="shared" si="0"/>
        <v>1438.33</v>
      </c>
      <c r="K9" s="7"/>
    </row>
    <row r="10" spans="1:12" x14ac:dyDescent="0.35">
      <c r="A10" s="35"/>
      <c r="B10" s="34"/>
      <c r="C10" s="36"/>
      <c r="D10" s="36"/>
      <c r="F10" s="33">
        <v>2025</v>
      </c>
      <c r="G10" s="4" t="s">
        <v>281</v>
      </c>
      <c r="H10" s="7">
        <v>-203</v>
      </c>
      <c r="I10" s="7">
        <v>3356.79</v>
      </c>
      <c r="J10" s="7">
        <f t="shared" si="0"/>
        <v>3153.79</v>
      </c>
      <c r="K10" s="7">
        <v>0</v>
      </c>
    </row>
    <row r="11" spans="1:12" x14ac:dyDescent="0.35">
      <c r="A11" s="35"/>
      <c r="B11" s="34"/>
      <c r="C11" s="36"/>
      <c r="D11" s="36"/>
      <c r="F11" s="33">
        <v>2025</v>
      </c>
      <c r="G11" s="4" t="s">
        <v>282</v>
      </c>
      <c r="H11" s="7">
        <v>-83.9</v>
      </c>
      <c r="I11" s="7">
        <v>967.31</v>
      </c>
      <c r="J11" s="7">
        <f t="shared" si="0"/>
        <v>883.41</v>
      </c>
      <c r="K11" s="7"/>
    </row>
    <row r="12" spans="1:12" x14ac:dyDescent="0.35">
      <c r="A12" s="35">
        <v>2025</v>
      </c>
      <c r="B12" s="34" t="s">
        <v>283</v>
      </c>
      <c r="C12" s="36">
        <v>0</v>
      </c>
      <c r="D12" s="36">
        <v>45.75</v>
      </c>
      <c r="F12" s="33">
        <v>2025</v>
      </c>
      <c r="G12" s="4" t="s">
        <v>283</v>
      </c>
      <c r="H12" s="7"/>
      <c r="I12" s="7">
        <v>3151.36</v>
      </c>
      <c r="J12" s="7">
        <f t="shared" si="0"/>
        <v>3151.36</v>
      </c>
      <c r="K12" s="7"/>
    </row>
    <row r="13" spans="1:12" x14ac:dyDescent="0.35">
      <c r="A13" s="35">
        <v>2025</v>
      </c>
      <c r="B13" s="34" t="s">
        <v>284</v>
      </c>
      <c r="C13" s="36">
        <v>-5813.9534883719998</v>
      </c>
      <c r="D13" s="36">
        <v>274.5</v>
      </c>
      <c r="F13" s="33">
        <v>2025</v>
      </c>
      <c r="G13" s="4" t="s">
        <v>284</v>
      </c>
      <c r="H13" s="7"/>
      <c r="I13" s="7">
        <v>4613.83</v>
      </c>
      <c r="J13" s="7">
        <f t="shared" si="0"/>
        <v>4613.83</v>
      </c>
      <c r="K13" s="7">
        <v>-5813.9534883719998</v>
      </c>
    </row>
    <row r="14" spans="1:12" x14ac:dyDescent="0.35">
      <c r="A14" s="35"/>
      <c r="B14" s="34"/>
      <c r="C14" s="36"/>
      <c r="D14" s="36"/>
      <c r="F14" s="33">
        <v>2025</v>
      </c>
      <c r="G14" s="4" t="s">
        <v>285</v>
      </c>
      <c r="H14" s="7"/>
      <c r="I14" s="7">
        <v>4169.54</v>
      </c>
      <c r="J14" s="7">
        <f t="shared" si="0"/>
        <v>4169.54</v>
      </c>
      <c r="K14" s="7"/>
    </row>
    <row r="15" spans="1:12" x14ac:dyDescent="0.35">
      <c r="A15" s="35">
        <v>2025</v>
      </c>
      <c r="B15" s="34" t="s">
        <v>286</v>
      </c>
      <c r="C15" s="36">
        <v>-2</v>
      </c>
      <c r="D15" s="36">
        <v>3671.5899999999997</v>
      </c>
      <c r="F15" s="33">
        <v>2026</v>
      </c>
      <c r="G15" s="34" t="s">
        <v>275</v>
      </c>
      <c r="H15" s="7">
        <v>-991.64</v>
      </c>
      <c r="I15" s="7">
        <v>4534.0599999999995</v>
      </c>
      <c r="J15" s="7">
        <f t="shared" si="0"/>
        <v>3542.4199999999996</v>
      </c>
      <c r="K15" s="7">
        <v>-5537.0979955700004</v>
      </c>
    </row>
    <row r="16" spans="1:12" x14ac:dyDescent="0.35">
      <c r="A16" s="35">
        <v>2026</v>
      </c>
      <c r="B16" s="34" t="s">
        <v>275</v>
      </c>
      <c r="C16" s="36">
        <v>-5639.0979955700004</v>
      </c>
      <c r="D16" s="36">
        <v>4738.4100000000008</v>
      </c>
      <c r="H16" s="8">
        <f>SUM(H4:H15)</f>
        <v>-1583.04</v>
      </c>
      <c r="I16" s="8">
        <f t="shared" ref="I16:K16" si="1">SUM(I4:I15)</f>
        <v>26322.6</v>
      </c>
      <c r="J16" s="7">
        <f t="shared" si="0"/>
        <v>24739.559999999998</v>
      </c>
      <c r="K16" s="8">
        <f t="shared" si="1"/>
        <v>-11653.114242562689</v>
      </c>
      <c r="L16" s="31">
        <f>SUM(J16:K16)</f>
        <v>13086.445757437308</v>
      </c>
    </row>
    <row r="17" spans="1:5" x14ac:dyDescent="0.35">
      <c r="A17" s="35">
        <v>2026</v>
      </c>
      <c r="B17" s="34" t="s">
        <v>276</v>
      </c>
      <c r="C17" s="36">
        <v>-13</v>
      </c>
      <c r="D17" s="36">
        <v>506</v>
      </c>
    </row>
    <row r="18" spans="1:5" x14ac:dyDescent="0.35">
      <c r="C18" s="6">
        <f>SUM(C4:C17)</f>
        <v>-11750.657478688001</v>
      </c>
      <c r="D18" s="6">
        <f>SUM(D4:D17)</f>
        <v>9514.8029999999999</v>
      </c>
      <c r="E18" s="22">
        <f>SUM(C18:D18)</f>
        <v>-2235.8544786880011</v>
      </c>
    </row>
  </sheetData>
  <mergeCells count="2">
    <mergeCell ref="A2:D2"/>
    <mergeCell ref="F2:K2"/>
  </mergeCells>
  <pageMargins left="0.7" right="0.7" top="0.75" bottom="0.75" header="0.3" footer="0.3"/>
  <ignoredErrors>
    <ignoredError sqref="J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Payment Reco</vt:lpstr>
      <vt:lpstr>Customer Ledger</vt:lpstr>
      <vt:lpstr>TDS To Be Booked</vt:lpstr>
      <vt:lpstr>Invoices Not In customer Books</vt:lpstr>
      <vt:lpstr>Ascendus Ledger</vt:lpstr>
      <vt:lpstr>Invoices not in customers old</vt:lpstr>
      <vt:lpstr>CN not in customers book</vt:lpstr>
      <vt:lpstr>Difference in Invoice old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2026-02-18T08:06:17Z</dcterms:created>
  <dcterms:modified xsi:type="dcterms:W3CDTF">2026-04-20T12:06:07Z</dcterms:modified>
</cp:coreProperties>
</file>