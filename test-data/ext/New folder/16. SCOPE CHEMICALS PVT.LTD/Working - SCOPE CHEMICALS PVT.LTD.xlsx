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16. SCOPE CHEMICALS PVT.LTD\"/>
    </mc:Choice>
  </mc:AlternateContent>
  <xr:revisionPtr revIDLastSave="0" documentId="13_ncr:1_{E2AD3FD4-DA17-4544-86D8-C72BD7D00C14}" xr6:coauthVersionLast="47" xr6:coauthVersionMax="47" xr10:uidLastSave="{00000000-0000-0000-0000-000000000000}"/>
  <bookViews>
    <workbookView xWindow="-110" yWindow="-110" windowWidth="21820" windowHeight="14020" tabRatio="983" activeTab="8" xr2:uid="{8695A69E-6CAB-44CA-AF2C-D7C5EE546F1E}"/>
  </bookViews>
  <sheets>
    <sheet name="Summary" sheetId="8" r:id="rId1"/>
    <sheet name="Payment Reco" sheetId="4" r:id="rId2"/>
    <sheet name="Duplicate Invoice" sheetId="11" r:id="rId3"/>
    <sheet name="Invoices not in customers old" sheetId="5" state="hidden" r:id="rId4"/>
    <sheet name="CN not in customers book" sheetId="6" state="hidden" r:id="rId5"/>
    <sheet name="Difference in Invoice old" sheetId="9" state="hidden" r:id="rId6"/>
    <sheet name="TDS To be recorded" sheetId="7" r:id="rId7"/>
    <sheet name="Sheet10" sheetId="10" state="hidden" r:id="rId8"/>
    <sheet name="Customer Data" sheetId="2" r:id="rId9"/>
    <sheet name="Updated Customer Ledger" sheetId="12" r:id="rId10"/>
    <sheet name="Ascendus Data" sheetId="3" r:id="rId11"/>
    <sheet name="Invoices not in customers books" sheetId="13" r:id="rId12"/>
    <sheet name="Difference in Invoice value" sheetId="14" r:id="rId13"/>
  </sheets>
  <definedNames>
    <definedName name="_xlnm._FilterDatabase" localSheetId="10" hidden="1">'Ascendus Data'!$A$2:$N$121</definedName>
    <definedName name="_xlnm._FilterDatabase" localSheetId="4" hidden="1">'CN not in customers book'!$A$2:$J$14</definedName>
    <definedName name="_xlnm._FilterDatabase" localSheetId="8" hidden="1">'Customer Data'!$A$1:$M$60</definedName>
    <definedName name="_xlnm._FilterDatabase" localSheetId="11" hidden="1">'Invoices not in customers books'!$A$2:$Q$35</definedName>
    <definedName name="_xlnm._FilterDatabase" localSheetId="3" hidden="1">'Invoices not in customers old'!$A$2:$J$47</definedName>
    <definedName name="_xlnm._FilterDatabase" localSheetId="0" hidden="1">Summary!$A$1:$B$10</definedName>
    <definedName name="_xlnm._FilterDatabase" localSheetId="6" hidden="1">'TDS To be recorded'!$A$2:$O$47</definedName>
    <definedName name="_xlnm._FilterDatabase" localSheetId="9" hidden="1">'Updated Customer Ledger'!$A$1:$I$86</definedName>
  </definedNames>
  <calcPr calcId="191029"/>
  <pivotCaches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4" i="13" l="1" a="1"/>
  <c r="M34" i="13" s="1"/>
  <c r="M33" i="13" a="1"/>
  <c r="M33" i="13" s="1"/>
  <c r="M32" i="13" a="1"/>
  <c r="M32" i="13" s="1"/>
  <c r="M31" i="13" a="1"/>
  <c r="M31" i="13" s="1"/>
  <c r="M19" i="13" a="1"/>
  <c r="M19" i="13" s="1"/>
  <c r="O19" i="13" s="1"/>
  <c r="P19" i="13" s="1"/>
  <c r="Q19" i="13" s="1"/>
  <c r="M29" i="13" a="1"/>
  <c r="M29" i="13" s="1"/>
  <c r="M28" i="13" a="1"/>
  <c r="M28" i="13" s="1"/>
  <c r="M27" i="13" a="1"/>
  <c r="M27" i="13" s="1"/>
  <c r="O27" i="13" s="1"/>
  <c r="P27" i="13" s="1"/>
  <c r="Q27" i="13" s="1"/>
  <c r="M26" i="13" a="1"/>
  <c r="M26" i="13" s="1"/>
  <c r="M25" i="13" a="1"/>
  <c r="M25" i="13" s="1"/>
  <c r="M24" i="13" a="1"/>
  <c r="M24" i="13" s="1"/>
  <c r="M23" i="13" a="1"/>
  <c r="M23" i="13" s="1"/>
  <c r="M30" i="13" a="1"/>
  <c r="M30" i="13" s="1"/>
  <c r="O30" i="13" s="1"/>
  <c r="P30" i="13" s="1"/>
  <c r="Q30" i="13" s="1"/>
  <c r="M21" i="13" a="1"/>
  <c r="M21" i="13" s="1"/>
  <c r="M12" i="13" a="1"/>
  <c r="M12" i="13" s="1"/>
  <c r="O12" i="13" s="1"/>
  <c r="P12" i="13" s="1"/>
  <c r="Q12" i="13" s="1"/>
  <c r="M9" i="13" a="1"/>
  <c r="M9" i="13" s="1"/>
  <c r="O9" i="13" s="1"/>
  <c r="P9" i="13" s="1"/>
  <c r="Q9" i="13" s="1"/>
  <c r="M22" i="13" a="1"/>
  <c r="M22" i="13" s="1"/>
  <c r="O22" i="13" s="1"/>
  <c r="P22" i="13" s="1"/>
  <c r="Q22" i="13" s="1"/>
  <c r="M17" i="13" a="1"/>
  <c r="M17" i="13" s="1"/>
  <c r="M16" i="13" a="1"/>
  <c r="M16" i="13" s="1"/>
  <c r="M15" i="13" a="1"/>
  <c r="M15" i="13" s="1"/>
  <c r="M14" i="13" a="1"/>
  <c r="M14" i="13" s="1"/>
  <c r="M18" i="13" a="1"/>
  <c r="M18" i="13" s="1"/>
  <c r="O18" i="13" s="1"/>
  <c r="P18" i="13" s="1"/>
  <c r="Q18" i="13" s="1"/>
  <c r="M13" i="13" a="1"/>
  <c r="M13" i="13" s="1"/>
  <c r="O13" i="13" s="1"/>
  <c r="P13" i="13" s="1"/>
  <c r="Q13" i="13" s="1"/>
  <c r="M11" i="13" a="1"/>
  <c r="M11" i="13" s="1"/>
  <c r="M10" i="13" a="1"/>
  <c r="M10" i="13" s="1"/>
  <c r="M20" i="13" a="1"/>
  <c r="M20" i="13" s="1"/>
  <c r="O20" i="13" s="1"/>
  <c r="P20" i="13" s="1"/>
  <c r="Q20" i="13" s="1"/>
  <c r="M8" i="13" a="1"/>
  <c r="M8" i="13" s="1"/>
  <c r="M7" i="13" a="1"/>
  <c r="M7" i="13" s="1"/>
  <c r="M6" i="13" a="1"/>
  <c r="M6" i="13" s="1"/>
  <c r="M5" i="13" a="1"/>
  <c r="M5" i="13" s="1"/>
  <c r="M4" i="13" a="1"/>
  <c r="M4" i="13" s="1"/>
  <c r="O4" i="13" s="1"/>
  <c r="P4" i="13" s="1"/>
  <c r="Q4" i="13" s="1"/>
  <c r="M3" i="13" a="1"/>
  <c r="M3" i="13" s="1"/>
  <c r="O3" i="13" s="1"/>
  <c r="P3" i="13" s="1"/>
  <c r="Q3" i="13" s="1"/>
  <c r="G35" i="13"/>
  <c r="B5" i="8" s="1"/>
  <c r="H4" i="14"/>
  <c r="H3" i="14"/>
  <c r="H5" i="14"/>
  <c r="B7" i="8" s="1"/>
  <c r="L4" i="14"/>
  <c r="K3" i="14"/>
  <c r="L3" i="14" s="1"/>
  <c r="E86" i="12"/>
  <c r="D86" i="12"/>
  <c r="I1" i="5"/>
  <c r="H1" i="5"/>
  <c r="G15" i="6"/>
  <c r="B8" i="8"/>
  <c r="M4" i="9"/>
  <c r="M3" i="9"/>
  <c r="M2" i="9"/>
  <c r="L3" i="9"/>
  <c r="B3" i="8"/>
  <c r="E18" i="10"/>
  <c r="L16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D18" i="10"/>
  <c r="C18" i="10"/>
  <c r="K16" i="10"/>
  <c r="I16" i="10"/>
  <c r="H16" i="10"/>
  <c r="N8" i="7"/>
  <c r="O8" i="7" s="1"/>
  <c r="M47" i="7"/>
  <c r="N47" i="7" s="1"/>
  <c r="O47" i="7" s="1"/>
  <c r="M46" i="7"/>
  <c r="N46" i="7" s="1"/>
  <c r="O46" i="7" s="1"/>
  <c r="M45" i="7"/>
  <c r="N45" i="7" s="1"/>
  <c r="O45" i="7" s="1"/>
  <c r="M44" i="7"/>
  <c r="N44" i="7" s="1"/>
  <c r="O44" i="7" s="1"/>
  <c r="M43" i="7"/>
  <c r="N43" i="7" s="1"/>
  <c r="O43" i="7" s="1"/>
  <c r="M42" i="7"/>
  <c r="N42" i="7" s="1"/>
  <c r="O42" i="7" s="1"/>
  <c r="M41" i="7"/>
  <c r="N41" i="7" s="1"/>
  <c r="O41" i="7" s="1"/>
  <c r="M40" i="7"/>
  <c r="N40" i="7" s="1"/>
  <c r="O40" i="7" s="1"/>
  <c r="M39" i="7"/>
  <c r="N39" i="7" s="1"/>
  <c r="O39" i="7" s="1"/>
  <c r="M38" i="7"/>
  <c r="N38" i="7" s="1"/>
  <c r="O38" i="7" s="1"/>
  <c r="M37" i="7"/>
  <c r="N37" i="7" s="1"/>
  <c r="O37" i="7" s="1"/>
  <c r="M36" i="7"/>
  <c r="N36" i="7" s="1"/>
  <c r="O36" i="7" s="1"/>
  <c r="M35" i="7"/>
  <c r="N35" i="7" s="1"/>
  <c r="O35" i="7" s="1"/>
  <c r="M34" i="7"/>
  <c r="N34" i="7" s="1"/>
  <c r="O34" i="7" s="1"/>
  <c r="M33" i="7"/>
  <c r="N33" i="7" s="1"/>
  <c r="O33" i="7" s="1"/>
  <c r="M32" i="7"/>
  <c r="N32" i="7" s="1"/>
  <c r="O32" i="7" s="1"/>
  <c r="M31" i="7"/>
  <c r="N31" i="7" s="1"/>
  <c r="O31" i="7" s="1"/>
  <c r="M30" i="7"/>
  <c r="N30" i="7" s="1"/>
  <c r="O30" i="7" s="1"/>
  <c r="M29" i="7"/>
  <c r="N29" i="7" s="1"/>
  <c r="O29" i="7" s="1"/>
  <c r="M28" i="7"/>
  <c r="N28" i="7" s="1"/>
  <c r="O28" i="7" s="1"/>
  <c r="M27" i="7"/>
  <c r="N27" i="7" s="1"/>
  <c r="O27" i="7" s="1"/>
  <c r="M26" i="7"/>
  <c r="N26" i="7" s="1"/>
  <c r="O26" i="7" s="1"/>
  <c r="M25" i="7"/>
  <c r="N25" i="7" s="1"/>
  <c r="O25" i="7" s="1"/>
  <c r="M24" i="7"/>
  <c r="N24" i="7" s="1"/>
  <c r="O24" i="7" s="1"/>
  <c r="M23" i="7"/>
  <c r="N23" i="7" s="1"/>
  <c r="O23" i="7" s="1"/>
  <c r="M22" i="7"/>
  <c r="N22" i="7" s="1"/>
  <c r="O22" i="7" s="1"/>
  <c r="M21" i="7"/>
  <c r="N21" i="7" s="1"/>
  <c r="O21" i="7" s="1"/>
  <c r="M20" i="7"/>
  <c r="N20" i="7" s="1"/>
  <c r="O20" i="7" s="1"/>
  <c r="M19" i="7"/>
  <c r="N19" i="7" s="1"/>
  <c r="O19" i="7" s="1"/>
  <c r="M18" i="7"/>
  <c r="N18" i="7" s="1"/>
  <c r="O18" i="7" s="1"/>
  <c r="M17" i="7"/>
  <c r="N17" i="7" s="1"/>
  <c r="O17" i="7" s="1"/>
  <c r="M16" i="7"/>
  <c r="N16" i="7" s="1"/>
  <c r="O16" i="7" s="1"/>
  <c r="M15" i="7"/>
  <c r="N15" i="7" s="1"/>
  <c r="O15" i="7" s="1"/>
  <c r="M14" i="7"/>
  <c r="N14" i="7" s="1"/>
  <c r="O14" i="7" s="1"/>
  <c r="M13" i="7"/>
  <c r="N13" i="7" s="1"/>
  <c r="O13" i="7" s="1"/>
  <c r="M12" i="7"/>
  <c r="N12" i="7" s="1"/>
  <c r="O12" i="7" s="1"/>
  <c r="M11" i="7"/>
  <c r="N11" i="7" s="1"/>
  <c r="O11" i="7" s="1"/>
  <c r="M10" i="7"/>
  <c r="N10" i="7" s="1"/>
  <c r="O10" i="7" s="1"/>
  <c r="M9" i="7"/>
  <c r="N9" i="7" s="1"/>
  <c r="O9" i="7" s="1"/>
  <c r="M8" i="7"/>
  <c r="M7" i="7"/>
  <c r="N7" i="7" s="1"/>
  <c r="O7" i="7" s="1"/>
  <c r="M6" i="7"/>
  <c r="N6" i="7" s="1"/>
  <c r="O6" i="7" s="1"/>
  <c r="M5" i="7"/>
  <c r="N5" i="7" s="1"/>
  <c r="O5" i="7" s="1"/>
  <c r="M4" i="7"/>
  <c r="N4" i="7" s="1"/>
  <c r="O4" i="7" s="1"/>
  <c r="M3" i="7"/>
  <c r="N3" i="7" s="1"/>
  <c r="O3" i="7" s="1"/>
  <c r="G1" i="5"/>
  <c r="B6" i="8"/>
  <c r="M6" i="4"/>
  <c r="I5" i="4"/>
  <c r="I6" i="4"/>
  <c r="O16" i="13" l="1"/>
  <c r="P16" i="13" s="1"/>
  <c r="Q16" i="13" s="1"/>
  <c r="O21" i="13"/>
  <c r="P21" i="13" s="1"/>
  <c r="Q21" i="13" s="1"/>
  <c r="O10" i="13"/>
  <c r="P10" i="13" s="1"/>
  <c r="Q10" i="13" s="1"/>
  <c r="O28" i="13"/>
  <c r="P28" i="13" s="1"/>
  <c r="Q28" i="13" s="1"/>
  <c r="O33" i="13"/>
  <c r="P33" i="13" s="1"/>
  <c r="Q33" i="13" s="1"/>
  <c r="O34" i="13"/>
  <c r="P34" i="13" s="1"/>
  <c r="Q34" i="13" s="1"/>
  <c r="O15" i="13"/>
  <c r="P15" i="13" s="1"/>
  <c r="Q15" i="13" s="1"/>
  <c r="O5" i="13"/>
  <c r="P5" i="13" s="1"/>
  <c r="Q5" i="13" s="1"/>
  <c r="O17" i="13"/>
  <c r="P17" i="13" s="1"/>
  <c r="Q17" i="13" s="1"/>
  <c r="O29" i="13"/>
  <c r="P29" i="13" s="1"/>
  <c r="Q29" i="13" s="1"/>
  <c r="O6" i="13"/>
  <c r="P6" i="13" s="1"/>
  <c r="Q6" i="13" s="1"/>
  <c r="O7" i="13"/>
  <c r="P7" i="13" s="1"/>
  <c r="Q7" i="13" s="1"/>
  <c r="O31" i="13"/>
  <c r="P31" i="13" s="1"/>
  <c r="Q31" i="13" s="1"/>
  <c r="O8" i="13"/>
  <c r="P8" i="13" s="1"/>
  <c r="Q8" i="13" s="1"/>
  <c r="O32" i="13"/>
  <c r="P32" i="13" s="1"/>
  <c r="Q32" i="13" s="1"/>
  <c r="O11" i="13"/>
  <c r="P11" i="13" s="1"/>
  <c r="Q11" i="13" s="1"/>
  <c r="O23" i="13"/>
  <c r="P23" i="13" s="1"/>
  <c r="Q23" i="13" s="1"/>
  <c r="O24" i="13"/>
  <c r="P24" i="13" s="1"/>
  <c r="Q24" i="13" s="1"/>
  <c r="O25" i="13"/>
  <c r="P25" i="13" s="1"/>
  <c r="Q25" i="13" s="1"/>
  <c r="O14" i="13"/>
  <c r="P14" i="13" s="1"/>
  <c r="Q14" i="13" s="1"/>
  <c r="O26" i="13"/>
  <c r="P26" i="13" s="1"/>
  <c r="Q26" i="13" s="1"/>
  <c r="B9" i="8"/>
  <c r="F86" i="12"/>
  <c r="N1" i="7"/>
  <c r="B4" i="8" s="1"/>
  <c r="G120" i="3"/>
  <c r="B10" i="8" s="1"/>
  <c r="M7" i="4"/>
  <c r="M5" i="4"/>
  <c r="M4" i="4"/>
  <c r="M3" i="4"/>
  <c r="K8" i="4"/>
  <c r="H7" i="4"/>
  <c r="I7" i="4" s="1"/>
  <c r="H5" i="4"/>
  <c r="B12" i="8" l="1"/>
  <c r="I8" i="4" l="1"/>
  <c r="M8" i="4"/>
  <c r="K116" i="3" l="1" a="1"/>
  <c r="K116" i="3" s="1"/>
  <c r="K117" i="3" a="1"/>
  <c r="K117" i="3" s="1"/>
  <c r="K118" i="3" a="1"/>
  <c r="K118" i="3" s="1"/>
  <c r="K108" i="3" a="1"/>
  <c r="K108" i="3" s="1"/>
  <c r="K113" i="3" a="1"/>
  <c r="K113" i="3" s="1"/>
  <c r="K114" i="3" a="1"/>
  <c r="K114" i="3" s="1"/>
  <c r="K109" i="3" a="1"/>
  <c r="K109" i="3" s="1"/>
  <c r="K110" i="3" a="1"/>
  <c r="K110" i="3" s="1"/>
  <c r="K115" i="3" a="1"/>
  <c r="K115" i="3" s="1"/>
  <c r="K111" i="3" a="1"/>
  <c r="K111" i="3" s="1"/>
  <c r="K112" i="3" a="1"/>
  <c r="K112" i="3" s="1"/>
  <c r="K106" i="3" a="1"/>
  <c r="K106" i="3" s="1"/>
  <c r="K107" i="3" a="1"/>
  <c r="K107" i="3" s="1"/>
  <c r="K104" i="3" a="1"/>
  <c r="K104" i="3" s="1"/>
  <c r="K105" i="3" a="1"/>
  <c r="K105" i="3" s="1"/>
  <c r="K72" i="3" a="1"/>
  <c r="K72" i="3" s="1"/>
  <c r="K78" i="3" a="1"/>
  <c r="K78" i="3" s="1"/>
  <c r="K79" i="3" a="1"/>
  <c r="K79" i="3" s="1"/>
  <c r="K80" i="3" a="1"/>
  <c r="K80" i="3" s="1"/>
  <c r="K40" i="3" a="1"/>
  <c r="K40" i="3" s="1"/>
  <c r="K86" i="3" a="1"/>
  <c r="K86" i="3" s="1"/>
  <c r="K87" i="3" a="1"/>
  <c r="K87" i="3" s="1"/>
  <c r="K24" i="3" a="1"/>
  <c r="K24" i="3" s="1"/>
  <c r="K25" i="3" a="1"/>
  <c r="K25" i="3" s="1"/>
  <c r="K26" i="3" a="1"/>
  <c r="K26" i="3" s="1"/>
  <c r="K27" i="3" a="1"/>
  <c r="K27" i="3" s="1"/>
  <c r="K28" i="3" a="1"/>
  <c r="K28" i="3" s="1"/>
  <c r="K54" i="3" a="1"/>
  <c r="K54" i="3" s="1"/>
  <c r="K55" i="3" a="1"/>
  <c r="K55" i="3" s="1"/>
  <c r="K81" i="3" a="1"/>
  <c r="K81" i="3" s="1"/>
  <c r="K82" i="3" a="1"/>
  <c r="K82" i="3" s="1"/>
  <c r="K83" i="3" a="1"/>
  <c r="K83" i="3" s="1"/>
  <c r="K84" i="3" a="1"/>
  <c r="K84" i="3" s="1"/>
  <c r="K85" i="3" a="1"/>
  <c r="K85" i="3" s="1"/>
  <c r="K38" i="3" a="1"/>
  <c r="K38" i="3" s="1"/>
  <c r="K39" i="3" a="1"/>
  <c r="K39" i="3" s="1"/>
  <c r="K36" i="3" a="1"/>
  <c r="K36" i="3" s="1"/>
  <c r="K35" i="3" a="1"/>
  <c r="K35" i="3" s="1"/>
  <c r="K75" i="3" a="1"/>
  <c r="K75" i="3" s="1"/>
  <c r="K76" i="3" a="1"/>
  <c r="K76" i="3" s="1"/>
  <c r="K77" i="3" a="1"/>
  <c r="K77" i="3" s="1"/>
  <c r="K100" i="3" a="1"/>
  <c r="K100" i="3" s="1"/>
  <c r="K101" i="3" a="1"/>
  <c r="K101" i="3" s="1"/>
  <c r="K103" i="3" a="1"/>
  <c r="K103" i="3" s="1"/>
  <c r="K47" i="3" a="1"/>
  <c r="K47" i="3" s="1"/>
  <c r="K19" i="3" a="1"/>
  <c r="K19" i="3" s="1"/>
  <c r="K88" i="3" a="1"/>
  <c r="K88" i="3" s="1"/>
  <c r="K89" i="3" a="1"/>
  <c r="K89" i="3" s="1"/>
  <c r="K90" i="3" a="1"/>
  <c r="K90" i="3" s="1"/>
  <c r="K91" i="3" a="1"/>
  <c r="K91" i="3" s="1"/>
  <c r="K46" i="3" a="1"/>
  <c r="K46" i="3" s="1"/>
  <c r="K43" i="3" a="1"/>
  <c r="K43" i="3" s="1"/>
  <c r="K44" i="3" a="1"/>
  <c r="K44" i="3" s="1"/>
  <c r="K45" i="3" a="1"/>
  <c r="K45" i="3" s="1"/>
  <c r="K42" i="3" a="1"/>
  <c r="K42" i="3" s="1"/>
  <c r="K33" i="3" a="1"/>
  <c r="K33" i="3" s="1"/>
  <c r="K34" i="3" a="1"/>
  <c r="K34" i="3" s="1"/>
  <c r="K61" i="3" a="1"/>
  <c r="K61" i="3" s="1"/>
  <c r="K62" i="3" a="1"/>
  <c r="K62" i="3" s="1"/>
  <c r="K63" i="3" a="1"/>
  <c r="K63" i="3" s="1"/>
  <c r="K58" i="3" a="1"/>
  <c r="K58" i="3" s="1"/>
  <c r="K59" i="3" a="1"/>
  <c r="K59" i="3" s="1"/>
  <c r="K60" i="3" a="1"/>
  <c r="K60" i="3" s="1"/>
  <c r="K23" i="3" a="1"/>
  <c r="K23" i="3" s="1"/>
  <c r="K21" i="3" a="1"/>
  <c r="K21" i="3" s="1"/>
  <c r="K22" i="3" a="1"/>
  <c r="K22" i="3" s="1"/>
  <c r="K65" i="3" a="1"/>
  <c r="K65" i="3" s="1"/>
  <c r="K31" i="3" a="1"/>
  <c r="K31" i="3" s="1"/>
  <c r="K32" i="3" a="1"/>
  <c r="K32" i="3" s="1"/>
  <c r="K17" i="3" a="1"/>
  <c r="K17" i="3" s="1"/>
  <c r="K13" i="3" a="1"/>
  <c r="K13" i="3" s="1"/>
  <c r="K14" i="3" a="1"/>
  <c r="K14" i="3" s="1"/>
  <c r="K15" i="3" a="1"/>
  <c r="K15" i="3" s="1"/>
  <c r="K16" i="3" a="1"/>
  <c r="K16" i="3" s="1"/>
  <c r="K18" i="3" a="1"/>
  <c r="K18" i="3" s="1"/>
  <c r="K12" i="3" a="1"/>
  <c r="K12" i="3" s="1"/>
  <c r="K53" i="3" a="1"/>
  <c r="K53" i="3" s="1"/>
  <c r="K37" i="3" a="1"/>
  <c r="K37" i="3" s="1"/>
  <c r="K29" i="3" a="1"/>
  <c r="K29" i="3" s="1"/>
  <c r="K30" i="3" a="1"/>
  <c r="K30" i="3" s="1"/>
  <c r="K66" i="3" a="1"/>
  <c r="K66" i="3" s="1"/>
  <c r="K93" i="3" a="1"/>
  <c r="K93" i="3" s="1"/>
  <c r="K94" i="3" a="1"/>
  <c r="K94" i="3" s="1"/>
  <c r="K95" i="3" a="1"/>
  <c r="K95" i="3" s="1"/>
  <c r="K96" i="3" a="1"/>
  <c r="K96" i="3" s="1"/>
  <c r="K97" i="3" a="1"/>
  <c r="K97" i="3" s="1"/>
  <c r="K98" i="3" a="1"/>
  <c r="K98" i="3" s="1"/>
  <c r="K99" i="3" a="1"/>
  <c r="K99" i="3" s="1"/>
  <c r="K48" i="3" a="1"/>
  <c r="K48" i="3" s="1"/>
  <c r="K49" i="3" a="1"/>
  <c r="K49" i="3" s="1"/>
  <c r="K50" i="3" a="1"/>
  <c r="K50" i="3" s="1"/>
  <c r="K51" i="3" a="1"/>
  <c r="K51" i="3" s="1"/>
  <c r="K71" i="3" a="1"/>
  <c r="K71" i="3" s="1"/>
  <c r="K52" i="3" a="1"/>
  <c r="K52" i="3" s="1"/>
  <c r="K73" i="3" a="1"/>
  <c r="K73" i="3" s="1"/>
  <c r="K74" i="3" a="1"/>
  <c r="K74" i="3" s="1"/>
  <c r="K41" i="3" a="1"/>
  <c r="K41" i="3" s="1"/>
  <c r="K11" i="3" a="1"/>
  <c r="K11" i="3" s="1"/>
  <c r="K10" i="3" a="1"/>
  <c r="K10" i="3" s="1"/>
  <c r="K64" i="3" a="1"/>
  <c r="K64" i="3" s="1"/>
  <c r="K7" i="3" a="1"/>
  <c r="K7" i="3" s="1"/>
  <c r="K6" i="3" a="1"/>
  <c r="K6" i="3" s="1"/>
  <c r="K102" i="3" a="1"/>
  <c r="K102" i="3" s="1"/>
  <c r="K3" i="3" a="1"/>
  <c r="K3" i="3" s="1"/>
  <c r="K9" i="3" a="1"/>
  <c r="K9" i="3" s="1"/>
  <c r="K8" i="3" a="1"/>
  <c r="K8" i="3" s="1"/>
  <c r="K5" i="3" a="1"/>
  <c r="K5" i="3" s="1"/>
  <c r="K4" i="3" a="1"/>
  <c r="K4" i="3" s="1"/>
  <c r="K20" i="3" a="1"/>
  <c r="K20" i="3" s="1"/>
  <c r="K57" i="3" a="1"/>
  <c r="K57" i="3" s="1"/>
  <c r="K56" i="3" a="1"/>
  <c r="K56" i="3" s="1"/>
  <c r="K70" i="3" a="1"/>
  <c r="K70" i="3" s="1"/>
  <c r="K69" i="3" a="1"/>
  <c r="K69" i="3" s="1"/>
  <c r="K68" i="3" a="1"/>
  <c r="K68" i="3" s="1"/>
  <c r="K67" i="3" a="1"/>
  <c r="K67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<sst xmlns="http://schemas.openxmlformats.org/spreadsheetml/2006/main" count="2526" uniqueCount="515">
  <si>
    <t>Posting Date</t>
  </si>
  <si>
    <t>Account</t>
  </si>
  <si>
    <t>Debit (USD)</t>
  </si>
  <si>
    <t>Credit (USD)</t>
  </si>
  <si>
    <t>Balance (USD)</t>
  </si>
  <si>
    <t>Voucher Type</t>
  </si>
  <si>
    <t>Voucher Subtype</t>
  </si>
  <si>
    <t>Voucher No</t>
  </si>
  <si>
    <t>Against Account</t>
  </si>
  <si>
    <t>File No</t>
  </si>
  <si>
    <t>Against Voucher</t>
  </si>
  <si>
    <t>Supplier Invoice No</t>
  </si>
  <si>
    <t>Sundry Creditors USD - SCPL</t>
  </si>
  <si>
    <t>Purchase Invoice</t>
  </si>
  <si>
    <t>PU/26/SCP/OT/0351</t>
  </si>
  <si>
    <t>Rent - Warehouse - SCPL</t>
  </si>
  <si>
    <t>PU/26/SCP/OT/0396</t>
  </si>
  <si>
    <t>PU/26/SCP/OT/0397</t>
  </si>
  <si>
    <t>PU/26/SCP/OT/0398</t>
  </si>
  <si>
    <t>PU/26/SCP/OT/0399</t>
  </si>
  <si>
    <t>PU/26/SCP/OT/0400</t>
  </si>
  <si>
    <t>PU/26/SCP/OT/0401</t>
  </si>
  <si>
    <t>2025-10-24</t>
  </si>
  <si>
    <t>Payment Entry</t>
  </si>
  <si>
    <t>Pay</t>
  </si>
  <si>
    <t>BP/26/SCP/0466</t>
  </si>
  <si>
    <t>201003540849 - Indusind Bank Limited - SCPL</t>
  </si>
  <si>
    <t>PU/26/SCP/OT/0590</t>
  </si>
  <si>
    <t>PU/26/SCP/OT/0592</t>
  </si>
  <si>
    <t>Weighment Expense - SCPL</t>
  </si>
  <si>
    <t>PU/26/SCP/OT/0591-1</t>
  </si>
  <si>
    <t>Re-Bagging Charges - SCPL</t>
  </si>
  <si>
    <t>PU/26/SCP/OT/0589-2</t>
  </si>
  <si>
    <t>SCP26/MF/ES/0006</t>
  </si>
  <si>
    <t>PU/26/SCP/OT/0593</t>
  </si>
  <si>
    <t>PU/26/SCP/OT/0595</t>
  </si>
  <si>
    <t>SCP26/MF/ES/0015</t>
  </si>
  <si>
    <t>PU/26/SCP/OT/0596</t>
  </si>
  <si>
    <t>PU/26/SCP/OT/0597</t>
  </si>
  <si>
    <t>Handling Expense - Pallet - SCPL</t>
  </si>
  <si>
    <t>025/25-26_IMP/SCPL001/25-26</t>
  </si>
  <si>
    <t>PU/26/SCP/OT/0598</t>
  </si>
  <si>
    <t>PU/26/SCP/OT/0599</t>
  </si>
  <si>
    <t>SCP26/MF/ES/0004</t>
  </si>
  <si>
    <t>PU/26/SCP/OT/0600</t>
  </si>
  <si>
    <t>SCP26/MF/ES/0005</t>
  </si>
  <si>
    <t>PU/26/SCP/OT/0601</t>
  </si>
  <si>
    <t>Handling Expense - Pallet - SCPL,Gate in &amp; Gate Out Expense - SCPL</t>
  </si>
  <si>
    <t>PU/26/SCP/OT/0602</t>
  </si>
  <si>
    <t>081/25-26</t>
  </si>
  <si>
    <t>PU/26/SCP/OT/0603</t>
  </si>
  <si>
    <t>087/25-26_IMP/SCPL002/25-26_IMP/SCPL003/25-26</t>
  </si>
  <si>
    <t>PU/26/SCP/OT/0604</t>
  </si>
  <si>
    <t>PU/26/SCP/OT/0605</t>
  </si>
  <si>
    <t>168/25-26_IMP/SCPL004/25-26</t>
  </si>
  <si>
    <t>PU/26/SCP/OT/0607</t>
  </si>
  <si>
    <t>PU/26/SCP/OT/0608</t>
  </si>
  <si>
    <t>225/25-26_IMP/SCPL005/25-26</t>
  </si>
  <si>
    <t>PU/26/SCP/OT/0606</t>
  </si>
  <si>
    <t>PU/26/SCP/OT/0609</t>
  </si>
  <si>
    <t>PU/26/SCP/OT/0610</t>
  </si>
  <si>
    <t>Intra SEZ Trf Expenses - SCPL</t>
  </si>
  <si>
    <t>195/25-26</t>
  </si>
  <si>
    <t>PU/26/SCP/OT/0614</t>
  </si>
  <si>
    <t>Gate in &amp; Gate Out Expense - SCPL,Handling Expense - Pallet - SCPL</t>
  </si>
  <si>
    <t>PU/26/SCP/OT/0614, PU/26/SCP/OT/0614</t>
  </si>
  <si>
    <t>PU/26/SCP/OT/0626</t>
  </si>
  <si>
    <t>PU/26/SCP/OT/0626, PU/26/SCP/OT/0626</t>
  </si>
  <si>
    <t>PU/26/SCP/OT/0625-2</t>
  </si>
  <si>
    <t>PU/26/SCP/OT/0625-2, PU/26/SCP/OT/0625-2</t>
  </si>
  <si>
    <t>PU/26/SCP/OT/0627</t>
  </si>
  <si>
    <t>PU/26/SCP/OT/0627, PU/26/SCP/OT/0627</t>
  </si>
  <si>
    <t>PU/26/SCP/OT/0628</t>
  </si>
  <si>
    <t>PU/26/SCP/OT/0628, PU/26/SCP/OT/0628</t>
  </si>
  <si>
    <t>2026-01-14</t>
  </si>
  <si>
    <t>BP/26/SCP/0638</t>
  </si>
  <si>
    <t>PU/26/SCP/OT/0663</t>
  </si>
  <si>
    <t>Arshiya Storage_DEC-25</t>
  </si>
  <si>
    <t>PU/26/SCP/OT/0663, PU/26/SCP/OT/0663</t>
  </si>
  <si>
    <t>PU/26/SCP/OT/0712</t>
  </si>
  <si>
    <t>Arshiya Storage_JAN-26</t>
  </si>
  <si>
    <t>PU/26/SCP/OT/0712, PU/26/SCP/OT/0712</t>
  </si>
  <si>
    <t>PU/26/SCP/OT/0826</t>
  </si>
  <si>
    <t>Arshiya Storage_NOV-25</t>
  </si>
  <si>
    <t>PU/26/SCP/OT/0826, PU/26/SCP/OT/0826</t>
  </si>
  <si>
    <t>PU/26/SCP/OT/0827</t>
  </si>
  <si>
    <t>PU/26/SCP/OT/0827, PU/26/SCP/OT/0827</t>
  </si>
  <si>
    <t>PU/26/SCP/OT/0829</t>
  </si>
  <si>
    <t>PU/26/SCP/OT/0829, PU/26/SCP/OT/0829</t>
  </si>
  <si>
    <t>PU/26/SCP/OT/0830</t>
  </si>
  <si>
    <t>PU/26/SCP/OT/0830, PU/26/SCP/OT/0830</t>
  </si>
  <si>
    <t>PU/26/SCP/OT/0831</t>
  </si>
  <si>
    <t>PU/26/SCP/OT/0831, PU/26/SCP/OT/0831</t>
  </si>
  <si>
    <t>PU/26/SCP/OT/0832</t>
  </si>
  <si>
    <t>PU/26/SCP/OT/0832, PU/26/SCP/OT/0832</t>
  </si>
  <si>
    <t>'Total'</t>
  </si>
  <si>
    <t>'Closing (Opening + Total)'</t>
  </si>
  <si>
    <t>PU/25/SCP/OT/0867</t>
  </si>
  <si>
    <t>PU/25/SCP/OT/0868</t>
  </si>
  <si>
    <t>PU/25/SCP/OT/0869</t>
  </si>
  <si>
    <t>PU/25/SCP/OT/0870</t>
  </si>
  <si>
    <t>PU/25/SCP/OT/0872</t>
  </si>
  <si>
    <t>PU/25/SCP/OT/0871-1</t>
  </si>
  <si>
    <t>2025-03-26</t>
  </si>
  <si>
    <t>BP/25/SCP/0820</t>
  </si>
  <si>
    <t>650014134028 - IndusInd Bank Limited - SCPL</t>
  </si>
  <si>
    <t>PU/25/SCP/OT/0867, PU/25/SCP/OT/0868, PU/25/SCP/OT/0869, PU/25/SCP/OT/0870, PU/25/SCP/OT/0871-1, PU/25/SCP/OT/0872</t>
  </si>
  <si>
    <t>Journal Entry</t>
  </si>
  <si>
    <t>Exchange Gain Or Loss</t>
  </si>
  <si>
    <t>SJ/25/GEA/0611</t>
  </si>
  <si>
    <t>Exchange Gain/Loss - SCPL</t>
  </si>
  <si>
    <t>SJ/25/GEA/0612</t>
  </si>
  <si>
    <t>SJ/25/GEA/0613</t>
  </si>
  <si>
    <t>SJ/25/GEA/0614</t>
  </si>
  <si>
    <t>SJ/25/GEA/0615</t>
  </si>
  <si>
    <t>SJ/25/GEA/0616</t>
  </si>
  <si>
    <t>Exchange Rate Revaluation</t>
  </si>
  <si>
    <t>SJ/25/GEA/1247</t>
  </si>
  <si>
    <t>Rhenocoll-Werk EK EURO, Welfull Group Co., Ltd., H2 Minerals And More GmbH - EUR, Limited Liability Company VOSTOK - RUB, Exchange Gain/Loss - SCPL, Kaustik Europe B. V., Thomas Brunner Hygiene GmbH - EURO, Ascendas Panvel FTWZ Private Limited, Rhenocoll-Werk Ek EUR, Indulor AG, Zhejiang Luba Traffic Technology Co Ltd</t>
  </si>
  <si>
    <t>ACC-ERR-2025-00004, ACC-ERR-2025-00004</t>
  </si>
  <si>
    <t>Document Number</t>
  </si>
  <si>
    <t>Document Type</t>
  </si>
  <si>
    <t>Document Date</t>
  </si>
  <si>
    <t>Document Header Text</t>
  </si>
  <si>
    <t>Reference</t>
  </si>
  <si>
    <t>Document Currency Key</t>
  </si>
  <si>
    <t>Document Currency Value</t>
  </si>
  <si>
    <t>Company Code Currency Key</t>
  </si>
  <si>
    <t>Company Code Currency Value</t>
  </si>
  <si>
    <t>2025</t>
  </si>
  <si>
    <t/>
  </si>
  <si>
    <t>INR</t>
  </si>
  <si>
    <t>DY</t>
  </si>
  <si>
    <t>1400000789</t>
  </si>
  <si>
    <t>DZ</t>
  </si>
  <si>
    <t>1400001561</t>
  </si>
  <si>
    <t>INDBR32025102400124824</t>
  </si>
  <si>
    <t>1400000004</t>
  </si>
  <si>
    <t>INDBN52025032607043264</t>
  </si>
  <si>
    <t>knock off entry</t>
  </si>
  <si>
    <t>KNOCK OFF ENTRY</t>
  </si>
  <si>
    <t>USD</t>
  </si>
  <si>
    <t>1800000001</t>
  </si>
  <si>
    <t>DR</t>
  </si>
  <si>
    <t>NA</t>
  </si>
  <si>
    <t>Towards Fixed charges for the month of August2024</t>
  </si>
  <si>
    <t>1800014973</t>
  </si>
  <si>
    <t>Weighment-Nov 1-15, 2025</t>
  </si>
  <si>
    <t>1800000003</t>
  </si>
  <si>
    <t>1800000002</t>
  </si>
  <si>
    <t>1800011346</t>
  </si>
  <si>
    <t>Fixed Storage Charges for August 2025</t>
  </si>
  <si>
    <t>1600000001</t>
  </si>
  <si>
    <t>DG</t>
  </si>
  <si>
    <t>Credit Note Against Inv. 1800000001</t>
  </si>
  <si>
    <t>1600000000</t>
  </si>
  <si>
    <t>Credit Against Invoice #1800000002</t>
  </si>
  <si>
    <t>1800009623</t>
  </si>
  <si>
    <t>Fixed Storage Charges fo JUNE 2025</t>
  </si>
  <si>
    <t>1800012787</t>
  </si>
  <si>
    <t>VAS -1-15 Sept-25</t>
  </si>
  <si>
    <t>1800012796</t>
  </si>
  <si>
    <t>Weighment -1-15 Sept-25</t>
  </si>
  <si>
    <t>1800010207</t>
  </si>
  <si>
    <t>1800012740</t>
  </si>
  <si>
    <t>Fixed Storage Charges for September 2025</t>
  </si>
  <si>
    <t>1800010003</t>
  </si>
  <si>
    <t>CODC LCL Chgs - 01 - 15 Jun 25</t>
  </si>
  <si>
    <t>1800010185</t>
  </si>
  <si>
    <t>Fixed Storage Charges fo JULY 2025</t>
  </si>
  <si>
    <t>1800010437</t>
  </si>
  <si>
    <t>Unit Storage - 1-30 June 25</t>
  </si>
  <si>
    <t>1800010502</t>
  </si>
  <si>
    <t>VAS - 16-30 June 25</t>
  </si>
  <si>
    <t>1800014264</t>
  </si>
  <si>
    <t>Fixed Storage Charges for November 2025</t>
  </si>
  <si>
    <t>1800014281</t>
  </si>
  <si>
    <t>VAS-16 -31 Oct 25</t>
  </si>
  <si>
    <t>1800014289</t>
  </si>
  <si>
    <t>WEIGHTMENT-16 -31 Oct 25</t>
  </si>
  <si>
    <t>1800014554</t>
  </si>
  <si>
    <t>Unit Storage - 1-31 Oct 2025</t>
  </si>
  <si>
    <t>1800014587</t>
  </si>
  <si>
    <t>CODC Inbound chgs - 16-31 Oct 25</t>
  </si>
  <si>
    <t>1800014642</t>
  </si>
  <si>
    <t>CODC Out chgs -16-31 Oct 25</t>
  </si>
  <si>
    <t>1800014728</t>
  </si>
  <si>
    <t>2123630</t>
  </si>
  <si>
    <t>PORT SSR Chgs Oct 25</t>
  </si>
  <si>
    <t>1800011657</t>
  </si>
  <si>
    <t>Unit Storage - 1-31 July 25</t>
  </si>
  <si>
    <t>1600000716</t>
  </si>
  <si>
    <t>Credit note against 256779410292</t>
  </si>
  <si>
    <t>1600000803</t>
  </si>
  <si>
    <t>Credit note against 256779410251</t>
  </si>
  <si>
    <t>1800009134</t>
  </si>
  <si>
    <t>Storage Chgs - 01 - 31 Apr 25</t>
  </si>
  <si>
    <t>1800010671</t>
  </si>
  <si>
    <t>CODC GATE Out chgs - 01 - 15 July 25</t>
  </si>
  <si>
    <t>1800000091</t>
  </si>
  <si>
    <t>Fixed Rental charges for Oct 2024</t>
  </si>
  <si>
    <t>1800000122</t>
  </si>
  <si>
    <t>Fixed Rental charges for Sept 2024</t>
  </si>
  <si>
    <t>1800000191</t>
  </si>
  <si>
    <t>Fixed Rental charges for Nov 2024</t>
  </si>
  <si>
    <t>1800000234</t>
  </si>
  <si>
    <t>Fixed Rental charges for Dec 2024</t>
  </si>
  <si>
    <t>1800000277</t>
  </si>
  <si>
    <t>Fixed Rental charges for Jan 2025</t>
  </si>
  <si>
    <t>1800000320</t>
  </si>
  <si>
    <t>Fixed Rental charges for Feb 2025</t>
  </si>
  <si>
    <t>1800000028</t>
  </si>
  <si>
    <t>Fixed Rental charges for Aug 2024</t>
  </si>
  <si>
    <t>1800009072</t>
  </si>
  <si>
    <t>VAS -1-15 May 25, Ex.rate 85.43</t>
  </si>
  <si>
    <t>1800009076</t>
  </si>
  <si>
    <t>Weighment &amp; Misc, 1-15 May 25</t>
  </si>
  <si>
    <t>1600002033</t>
  </si>
  <si>
    <t>Credit note raised against 256779415776</t>
  </si>
  <si>
    <t>1800005359</t>
  </si>
  <si>
    <t>1800005400</t>
  </si>
  <si>
    <t>1800007279</t>
  </si>
  <si>
    <t>Fixed Storage Charges for April 2025</t>
  </si>
  <si>
    <t>1600001873</t>
  </si>
  <si>
    <t>Credit note raised against 256779414425</t>
  </si>
  <si>
    <t>1600001907</t>
  </si>
  <si>
    <t>Credit note raised against 256779414460</t>
  </si>
  <si>
    <t>1600001924</t>
  </si>
  <si>
    <t>Credit note raised against 256779414477</t>
  </si>
  <si>
    <t>1800011070</t>
  </si>
  <si>
    <t>Debit Note against 246779420001</t>
  </si>
  <si>
    <t>1800011071</t>
  </si>
  <si>
    <t>Debit Note against 246779420002</t>
  </si>
  <si>
    <t>1600001851</t>
  </si>
  <si>
    <t>Credit note raised against 256779414403</t>
  </si>
  <si>
    <t>1800008661</t>
  </si>
  <si>
    <t>OutKPI-CODC-1-15-MAY-25-1478252</t>
  </si>
  <si>
    <t>1800008662</t>
  </si>
  <si>
    <t>OutKPI-CODC-1-15-MAY-25-1608594</t>
  </si>
  <si>
    <t>1800009993</t>
  </si>
  <si>
    <t>CODC Out chgs - 01 - 15 Jun 25</t>
  </si>
  <si>
    <t>1800009661</t>
  </si>
  <si>
    <t>1800009696</t>
  </si>
  <si>
    <t>1800009713</t>
  </si>
  <si>
    <t>1800009639</t>
  </si>
  <si>
    <t>Towards Fixed charges for the month of Aug 2024</t>
  </si>
  <si>
    <t>1800013944</t>
  </si>
  <si>
    <t>VAS  -1-15 Oct 2025</t>
  </si>
  <si>
    <t>1800013949</t>
  </si>
  <si>
    <t>Weighment  -1-15 Oct 2025</t>
  </si>
  <si>
    <t>1800013961</t>
  </si>
  <si>
    <t>1800013966</t>
  </si>
  <si>
    <t>1800003142</t>
  </si>
  <si>
    <t>Fixed Storage Charges for Mar 2025</t>
  </si>
  <si>
    <t>1800009978</t>
  </si>
  <si>
    <t>VAS 1-15 June 25, Exch 86.10</t>
  </si>
  <si>
    <t>1800014962</t>
  </si>
  <si>
    <t>VAS-Nov 1-15, 2025</t>
  </si>
  <si>
    <t>1800015032</t>
  </si>
  <si>
    <t>CODC Inbound chgs - 1-15 Nov 25</t>
  </si>
  <si>
    <t>1800015095</t>
  </si>
  <si>
    <t>CODC Out chgs -1-15 Nov 25</t>
  </si>
  <si>
    <t>1800012870</t>
  </si>
  <si>
    <t>CY Ground rent Chgs - 01 - 15 Sep 25</t>
  </si>
  <si>
    <t>1800012944</t>
  </si>
  <si>
    <t>CODC LCL Chgs -1-15 Sep 25</t>
  </si>
  <si>
    <t>1800012862</t>
  </si>
  <si>
    <t>CODC Out chgs -1-15 Sep 25</t>
  </si>
  <si>
    <t>1600001070</t>
  </si>
  <si>
    <t>Credit Note against 246779410002</t>
  </si>
  <si>
    <t>1600001069</t>
  </si>
  <si>
    <t>Credit Note against 246779410073</t>
  </si>
  <si>
    <t>1800009181</t>
  </si>
  <si>
    <t>1800009191</t>
  </si>
  <si>
    <t>Towards Fixed charges for the month of A</t>
  </si>
  <si>
    <t>1800013746</t>
  </si>
  <si>
    <t>Intra - SEZ-16-30 Sept 25</t>
  </si>
  <si>
    <t>1800013757</t>
  </si>
  <si>
    <t>VAS-16-30 Sept 25</t>
  </si>
  <si>
    <t>1800013765</t>
  </si>
  <si>
    <t>Weighment-16-30 Sept 25</t>
  </si>
  <si>
    <t>1800013772</t>
  </si>
  <si>
    <t>CODC LCL Chgs -16-30 Sep 25</t>
  </si>
  <si>
    <t>1800013531</t>
  </si>
  <si>
    <t>CODC Out chgs -16-30 Sep 25</t>
  </si>
  <si>
    <t>1800011010</t>
  </si>
  <si>
    <t>VAS - 1-15 July 25</t>
  </si>
  <si>
    <t>1800011016</t>
  </si>
  <si>
    <t>Weighment - 1-15 July 25</t>
  </si>
  <si>
    <t>1800008244</t>
  </si>
  <si>
    <t>Fixed Storage Charges fo MAY 2025</t>
  </si>
  <si>
    <t>1800008279</t>
  </si>
  <si>
    <t>CODC Inbound chgs - 16 - 30 Apr 25</t>
  </si>
  <si>
    <t>1800008288</t>
  </si>
  <si>
    <t>CODC Out chgs - 16 - 30 Apr 25</t>
  </si>
  <si>
    <t>1800008359</t>
  </si>
  <si>
    <t>VAS - 16-30 April 25, Ex.Rate-85.05</t>
  </si>
  <si>
    <t>1800008368</t>
  </si>
  <si>
    <t>Weighment-16-30 April25, Ex.Rate-85.05</t>
  </si>
  <si>
    <t>1800014002</t>
  </si>
  <si>
    <t>CODC LCL Chgs -1-15 Oct 25</t>
  </si>
  <si>
    <t>1800014149</t>
  </si>
  <si>
    <t>CODC Out chgs -1-15 Oct 25</t>
  </si>
  <si>
    <t>1800009477</t>
  </si>
  <si>
    <t>Unit storage -1-31 May 25</t>
  </si>
  <si>
    <t>1800013273</t>
  </si>
  <si>
    <t>Unit Storage - 1-30 Sept 2025</t>
  </si>
  <si>
    <t>1800013396</t>
  </si>
  <si>
    <t>CY - CY Grd Rent Chgs - 16 - 30 SEP 25</t>
  </si>
  <si>
    <t>1800013461</t>
  </si>
  <si>
    <t>Fixed Storage Charges for October 2025</t>
  </si>
  <si>
    <t>1800012475</t>
  </si>
  <si>
    <t>Unit-Storage-1-31 Aug 25</t>
  </si>
  <si>
    <t>2026</t>
  </si>
  <si>
    <t>1800015688</t>
  </si>
  <si>
    <t>Unit Storage - 1-30 Nov 2025</t>
  </si>
  <si>
    <t>1800015709</t>
  </si>
  <si>
    <t>Fixed Storage Charges for December 2025</t>
  </si>
  <si>
    <t>1600002696</t>
  </si>
  <si>
    <t>Credit note for Duplicate invoice -256779418491</t>
  </si>
  <si>
    <t>1600002701</t>
  </si>
  <si>
    <t>Credit note for Duplicate invoice -256779418496</t>
  </si>
  <si>
    <t>1800016159</t>
  </si>
  <si>
    <t>1800016281</t>
  </si>
  <si>
    <t>2158342</t>
  </si>
  <si>
    <t>PORT SSR Chgs Dec 25</t>
  </si>
  <si>
    <t>1800016318</t>
  </si>
  <si>
    <t>2158401</t>
  </si>
  <si>
    <t>CODC LCL Chgs -16-31 DEC 25</t>
  </si>
  <si>
    <t>1800016359</t>
  </si>
  <si>
    <t>2158411</t>
  </si>
  <si>
    <t>Unit Storage - 1-31 DEC 2025</t>
  </si>
  <si>
    <t>1800016636</t>
  </si>
  <si>
    <t>2158402</t>
  </si>
  <si>
    <t>CODC Out chgs -16-31 DEC 25</t>
  </si>
  <si>
    <t>1800016692</t>
  </si>
  <si>
    <t>2158638</t>
  </si>
  <si>
    <t>VAS-Dec 25 - 16-31</t>
  </si>
  <si>
    <t>1800016703</t>
  </si>
  <si>
    <t>Weighment-Dec 25 - 16-31</t>
  </si>
  <si>
    <t>1800016624</t>
  </si>
  <si>
    <t>Fixed Storage Charges for January 2026</t>
  </si>
  <si>
    <t>1800016749</t>
  </si>
  <si>
    <t>INTRA  -NOV 25,16-30</t>
  </si>
  <si>
    <t>1800016772</t>
  </si>
  <si>
    <t>VAS - NOV 25,16-30</t>
  </si>
  <si>
    <t>1800016783</t>
  </si>
  <si>
    <t>Weighment -NOV 25,16-30</t>
  </si>
  <si>
    <t>1400002476</t>
  </si>
  <si>
    <t>INDBR32026011400432336</t>
  </si>
  <si>
    <t>As Per Ascendus</t>
  </si>
  <si>
    <t>Net Amount</t>
  </si>
  <si>
    <t>TDS</t>
  </si>
  <si>
    <t>Gross Amount</t>
  </si>
  <si>
    <t>Difference</t>
  </si>
  <si>
    <t>Remarks</t>
  </si>
  <si>
    <t xml:space="preserve">Rate </t>
  </si>
  <si>
    <t>Our Remarks</t>
  </si>
  <si>
    <t>Exchange Rate</t>
  </si>
  <si>
    <t>As per customer</t>
  </si>
  <si>
    <t>Diffrence</t>
  </si>
  <si>
    <t>Converted Value</t>
  </si>
  <si>
    <t>Amount</t>
  </si>
  <si>
    <t>USD Amount taken from Payt Reco</t>
  </si>
  <si>
    <t>Reconciliation of Ledger as on 31st January 2026</t>
  </si>
  <si>
    <t>Particulars</t>
  </si>
  <si>
    <t>Add: TDS to be booked in Ascendus books</t>
  </si>
  <si>
    <t>Add: Invoices &amp; CN not recorded in customer books</t>
  </si>
  <si>
    <t>Less: Difference in Payment recorded in both books</t>
  </si>
  <si>
    <t>Derived balance</t>
  </si>
  <si>
    <t>Balance as per Ascent</t>
  </si>
  <si>
    <t>Balance as per Scope Chemicals Pvt Ltd</t>
  </si>
  <si>
    <t>The amount as per Bank details is 24,107 and as per ledger is 26397.48</t>
  </si>
  <si>
    <t>Sum of Debit (USD)</t>
  </si>
  <si>
    <t>Sum of Credit (USD)</t>
  </si>
  <si>
    <t>Qtr1</t>
  </si>
  <si>
    <t>Jan</t>
  </si>
  <si>
    <t>Feb</t>
  </si>
  <si>
    <t>Mar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</si>
  <si>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</si>
  <si>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</si>
  <si>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</si>
  <si>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</si>
  <si>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</si>
  <si>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</si>
  <si>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</si>
  <si>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</si>
  <si>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</si>
  <si>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</si>
  <si>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</si>
  <si>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Years</t>
  </si>
  <si>
    <t>Quarters</t>
  </si>
  <si>
    <t>As per Customer Data</t>
  </si>
  <si>
    <t>As per Ascendus Data</t>
  </si>
  <si>
    <t>Payment</t>
  </si>
  <si>
    <t>CN</t>
  </si>
  <si>
    <t>TDS and Payment</t>
  </si>
  <si>
    <t>Net Sales</t>
  </si>
  <si>
    <t>Sales</t>
  </si>
  <si>
    <t>Purchase</t>
  </si>
  <si>
    <t>Less: Understatement of invoice value in the customer books</t>
  </si>
  <si>
    <t>Diffrence In invoice value</t>
  </si>
  <si>
    <t xml:space="preserve">Less: Duplicate Credit Note in the books of Ascendus </t>
  </si>
  <si>
    <t>To be discussed with CL Team</t>
  </si>
  <si>
    <t>To be discussed with Customer</t>
  </si>
  <si>
    <t>Clearing Document Number</t>
  </si>
  <si>
    <t>Payments</t>
  </si>
  <si>
    <t>payments</t>
  </si>
  <si>
    <t>`</t>
  </si>
  <si>
    <t>2025-02-26</t>
  </si>
  <si>
    <t>2025-03-31</t>
  </si>
  <si>
    <t>2025-09-04</t>
  </si>
  <si>
    <t>2025-10-16</t>
  </si>
  <si>
    <t>2025-12-23</t>
  </si>
  <si>
    <t>2025-12-24</t>
  </si>
  <si>
    <t>2025-12-31</t>
  </si>
  <si>
    <t>2026-01-01</t>
  </si>
  <si>
    <t>2026-01-16</t>
  </si>
  <si>
    <t>2026-01-23</t>
  </si>
  <si>
    <t>2026-02-12</t>
  </si>
  <si>
    <t>PU/26/SCP/OT/0827-1</t>
  </si>
  <si>
    <t>PU/26/SCP/OT/0827-1, PU/26/SCP/OT/0827-1</t>
  </si>
  <si>
    <t>2026-02-13</t>
  </si>
  <si>
    <t>PU/26/SCP/OT/0833</t>
  </si>
  <si>
    <t>PU/26/SCP/OT/0833, PU/26/SCP/OT/0833</t>
  </si>
  <si>
    <t>PU/26/SCP/OT/0830-1</t>
  </si>
  <si>
    <t>PU/26/SCP/OT/0830-1, PU/26/SCP/OT/0830-1</t>
  </si>
  <si>
    <t>PU/26/SCP/OT/0834</t>
  </si>
  <si>
    <t>2026-02-16</t>
  </si>
  <si>
    <t>PU/26/SCP/OT/0835</t>
  </si>
  <si>
    <t>PU/26/SCP/OT/0835, PU/26/SCP/OT/0835</t>
  </si>
  <si>
    <t>PU/26/SCP/OT/0837</t>
  </si>
  <si>
    <t>PU/26/SCP/OT/0837, PU/26/SCP/OT/0837</t>
  </si>
  <si>
    <t>PU/26/SCP/OT/0838</t>
  </si>
  <si>
    <t>PU/26/SCP/OT/0838, PU/26/SCP/OT/0838</t>
  </si>
  <si>
    <t>PU/26/SCP/OT/0839</t>
  </si>
  <si>
    <t>PU/26/SCP/OT/0839, PU/26/SCP/OT/0839</t>
  </si>
  <si>
    <t>PU/26/SCP/OT/0840</t>
  </si>
  <si>
    <t>PU/26/SCP/OT/0840, PU/26/SCP/OT/0840</t>
  </si>
  <si>
    <t>PU/26/SCP/OT/0841</t>
  </si>
  <si>
    <t>PU/26/SCP/OT/0841, PU/26/SCP/OT/0841</t>
  </si>
  <si>
    <t>PU/26/SCP/OT/0842</t>
  </si>
  <si>
    <t>PU/26/SCP/OT/0842, PU/26/SCP/OT/0842</t>
  </si>
  <si>
    <t>2026-02-17</t>
  </si>
  <si>
    <t>PU/26/SCP/OT/0843</t>
  </si>
  <si>
    <t>PU/26/SCP/OT/0843, PU/26/SCP/OT/0843</t>
  </si>
  <si>
    <t>PU/26/SCP/OT/0845</t>
  </si>
  <si>
    <t>PU/26/SCP/OT/0845, PU/26/SCP/OT/0845</t>
  </si>
  <si>
    <t>PU/26/SCP/OT/0846</t>
  </si>
  <si>
    <t>PU/26/SCP/OT/0846, PU/26/SCP/OT/0846</t>
  </si>
  <si>
    <t>PU/26/SCP/OT/0847</t>
  </si>
  <si>
    <t>PU/26/SCP/OT/0847, PU/26/SCP/OT/0847</t>
  </si>
  <si>
    <t>2026-03-04</t>
  </si>
  <si>
    <t>PU/26/SCP/OT/0883</t>
  </si>
  <si>
    <t>PU/26/SCP/OT/0883, PU/26/SCP/OT/0883</t>
  </si>
  <si>
    <t>PU/26/SCP/OT/0884</t>
  </si>
  <si>
    <t>2026-03-19</t>
  </si>
  <si>
    <t>PU/26/SCP/OT/0921</t>
  </si>
  <si>
    <t>FTWZ Storage Charges - SCPL</t>
  </si>
  <si>
    <t>PU/26/SCP/OT/0921, PU/26/SCP/OT/0921</t>
  </si>
  <si>
    <t>PU/26/SCP/OT/0922</t>
  </si>
  <si>
    <t>PU/26/SCP/OT/0922, PU/26/SCP/OT/0922</t>
  </si>
  <si>
    <t>PU/26/SCP/OT/0923</t>
  </si>
  <si>
    <t>PU/26/SCP/OT/0923, PU/26/SCP/OT/0923</t>
  </si>
  <si>
    <t>PU/26/SCP/OT/0924</t>
  </si>
  <si>
    <t>PU/26/SCP/OT/0924, PU/26/SCP/OT/0924</t>
  </si>
  <si>
    <t>PU/26/SCP/OT/0926</t>
  </si>
  <si>
    <t>PU/26/SCP/OT/0926, PU/26/SCP/OT/0926</t>
  </si>
  <si>
    <t>PU/26/SCP/OT/0927</t>
  </si>
  <si>
    <t>PU/26/SCP/OT/0927, PU/26/SCP/OT/0927</t>
  </si>
  <si>
    <t>PU/26/SCP/OT/0928</t>
  </si>
  <si>
    <t>PU/26/SCP/OT/0928, PU/26/SCP/OT/0928</t>
  </si>
  <si>
    <t>PU/26/SCP/OT/0929</t>
  </si>
  <si>
    <t>PU/26/SCP/OT/0929, PU/26/SCP/OT/0929</t>
  </si>
  <si>
    <t>PU/26/SCP/OT/0930</t>
  </si>
  <si>
    <t>PU/26/SCP/OT/0930, PU/26/SCP/OT/0930</t>
  </si>
  <si>
    <t>PU/26/SCP/OT/0931</t>
  </si>
  <si>
    <t>PU/26/SCP/OT/0931, PU/26/SCP/OT/0931</t>
  </si>
  <si>
    <t>2026-03-31</t>
  </si>
  <si>
    <t>PU/26/SCP/OT/1024</t>
  </si>
  <si>
    <t>PU/26/SCP/OT/1024, PU/26/SCP/OT/1024</t>
  </si>
  <si>
    <t>PU/26/SCP/OT/1025</t>
  </si>
  <si>
    <t>PU/26/SCP/OT/1025, PU/26/SCP/OT/1025</t>
  </si>
  <si>
    <t>PU/26/SCP/OT/1026</t>
  </si>
  <si>
    <t>PU/26/SCP/OT/1026, PU/26/SCP/OT/1026</t>
  </si>
  <si>
    <t>2026-04-02</t>
  </si>
  <si>
    <t>BP/27/SCP/0022</t>
  </si>
  <si>
    <t>20080510000663 - UCO Bank - SCPL</t>
  </si>
  <si>
    <t>2026-04-09</t>
  </si>
  <si>
    <t>PU/27/SCP/OT/0019</t>
  </si>
  <si>
    <t>PU/27/SCP/OT/0020</t>
  </si>
  <si>
    <t>2026-04-15</t>
  </si>
  <si>
    <t>PU/27/SCP/OT/0022</t>
  </si>
  <si>
    <t>2026-04-16</t>
  </si>
  <si>
    <t>PU/27/SCP/OT/0024</t>
  </si>
  <si>
    <t>PU/27/SCP/OT/0024, PU/27/SCP/OT/0024</t>
  </si>
  <si>
    <t>Purchase voucher no</t>
  </si>
  <si>
    <t>pending</t>
  </si>
  <si>
    <t>Fixed Storage for Aug'24 already invoiced (256779413955)</t>
  </si>
  <si>
    <t>PORT SSR Chgs Oct 25 Not to be booked</t>
  </si>
  <si>
    <t>Invoices not received</t>
  </si>
  <si>
    <t>Towards SCOPE Logistics Shipment; not to be invoiced in SCOPE Chemicals</t>
  </si>
  <si>
    <t>val diff as per anexure &amp; Inv</t>
  </si>
  <si>
    <t>Why is royalty charged</t>
  </si>
  <si>
    <t>Booking Date</t>
  </si>
  <si>
    <t>TDS @2%</t>
  </si>
  <si>
    <t>Net payable</t>
  </si>
  <si>
    <t>now corrected</t>
  </si>
  <si>
    <t>Credit</t>
  </si>
  <si>
    <t>Amount in USD</t>
  </si>
  <si>
    <t>Updated Ledger Xlooup</t>
  </si>
  <si>
    <t>Rate</t>
  </si>
  <si>
    <t xml:space="preserve">Debit </t>
  </si>
  <si>
    <t>Credit Note Against Inv. 246779410001</t>
  </si>
  <si>
    <t>Credit Against Invoice 246779410002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</si>
</sst>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115">
    <xf numFmtId="0" fontId="0" fillId="0" borderId="0" xfId="0"/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0" borderId="0" xfId="0" applyNumberFormat="1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43" fontId="0" fillId="0" borderId="1" xfId="1" applyFont="1" applyBorder="1"/>
    <xf numFmtId="43" fontId="0" fillId="0" borderId="0" xfId="1" applyFont="1"/>
    <xf numFmtId="164" fontId="0" fillId="0" borderId="1" xfId="1" applyNumberFormat="1" applyFont="1" applyBorder="1"/>
    <xf numFmtId="164" fontId="0" fillId="0" borderId="0" xfId="1" applyNumberFormat="1" applyFont="1"/>
    <xf numFmtId="1" fontId="0" fillId="0" borderId="0" xfId="0" applyNumberFormat="1" applyAlignment="1">
      <alignment vertical="top"/>
    </xf>
    <xf numFmtId="0" fontId="0" fillId="0" borderId="0" xfId="0" applyBorder="1"/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4" fontId="0" fillId="0" borderId="0" xfId="0" applyNumberFormat="1"/>
    <xf numFmtId="4" fontId="0" fillId="0" borderId="1" xfId="0" applyNumberForma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1" xfId="0" applyNumberFormat="1" applyBorder="1" applyAlignment="1">
      <alignment vertical="top"/>
    </xf>
    <xf numFmtId="9" fontId="0" fillId="0" borderId="0" xfId="2" applyFont="1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3" fontId="0" fillId="0" borderId="0" xfId="0" applyNumberFormat="1"/>
    <xf numFmtId="0" fontId="2" fillId="0" borderId="0" xfId="0" applyFont="1"/>
    <xf numFmtId="4" fontId="0" fillId="3" borderId="1" xfId="0" applyNumberFormat="1" applyFill="1" applyBorder="1" applyAlignment="1">
      <alignment horizontal="right" vertical="top" wrapText="1"/>
    </xf>
    <xf numFmtId="4" fontId="0" fillId="0" borderId="0" xfId="0" applyNumberFormat="1" applyFill="1" applyBorder="1" applyAlignment="1">
      <alignment horizontal="right" vertical="top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/>
    </xf>
    <xf numFmtId="43" fontId="0" fillId="5" borderId="1" xfId="1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4" fontId="0" fillId="4" borderId="1" xfId="0" applyNumberFormat="1" applyFill="1" applyBorder="1" applyAlignment="1">
      <alignment horizontal="left" vertical="center"/>
    </xf>
    <xf numFmtId="4" fontId="0" fillId="4" borderId="1" xfId="0" applyNumberFormat="1" applyFill="1" applyBorder="1" applyAlignment="1">
      <alignment horizontal="left" vertical="center"/>
    </xf>
    <xf numFmtId="43" fontId="0" fillId="6" borderId="1" xfId="0" applyNumberFormat="1" applyFill="1" applyBorder="1" applyAlignment="1">
      <alignment horizontal="left" vertical="center"/>
    </xf>
    <xf numFmtId="4" fontId="0" fillId="4" borderId="0" xfId="0" applyNumberForma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43" fontId="2" fillId="0" borderId="0" xfId="0" applyNumberFormat="1" applyFont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164" fontId="0" fillId="0" borderId="0" xfId="0" applyNumberFormat="1"/>
    <xf numFmtId="164" fontId="0" fillId="2" borderId="4" xfId="0" applyNumberFormat="1" applyFill="1" applyBorder="1" applyAlignment="1">
      <alignment horizontal="left" vertical="center"/>
    </xf>
    <xf numFmtId="0" fontId="0" fillId="0" borderId="0" xfId="0" pivotButton="1"/>
    <xf numFmtId="14" fontId="0" fillId="0" borderId="1" xfId="0" applyNumberFormat="1" applyBorder="1"/>
    <xf numFmtId="14" fontId="0" fillId="0" borderId="0" xfId="0" applyNumberFormat="1"/>
    <xf numFmtId="0" fontId="0" fillId="0" borderId="1" xfId="0" applyNumberFormat="1" applyBorder="1"/>
    <xf numFmtId="0" fontId="0" fillId="0" borderId="1" xfId="0" applyBorder="1" applyAlignment="1"/>
    <xf numFmtId="0" fontId="0" fillId="0" borderId="1" xfId="0" applyNumberFormat="1" applyBorder="1" applyAlignment="1"/>
    <xf numFmtId="164" fontId="0" fillId="0" borderId="1" xfId="1" applyNumberFormat="1" applyFont="1" applyBorder="1" applyAlignment="1"/>
    <xf numFmtId="0" fontId="0" fillId="0" borderId="4" xfId="0" applyFill="1" applyBorder="1"/>
    <xf numFmtId="43" fontId="0" fillId="0" borderId="1" xfId="1" applyFont="1" applyBorder="1" applyAlignment="1">
      <alignment horizontal="right" vertical="top"/>
    </xf>
    <xf numFmtId="14" fontId="0" fillId="0" borderId="0" xfId="0" applyNumberFormat="1" applyAlignment="1">
      <alignment horizontal="right" vertical="top" wrapText="1"/>
    </xf>
    <xf numFmtId="0" fontId="0" fillId="0" borderId="0" xfId="0" applyAlignment="1">
      <alignment wrapText="1"/>
    </xf>
    <xf numFmtId="43" fontId="0" fillId="0" borderId="1" xfId="1" applyFont="1" applyBorder="1" applyAlignment="1"/>
    <xf numFmtId="1" fontId="0" fillId="0" borderId="1" xfId="0" applyNumberFormat="1" applyBorder="1" applyAlignment="1"/>
    <xf numFmtId="4" fontId="0" fillId="0" borderId="1" xfId="0" applyNumberFormat="1" applyBorder="1"/>
    <xf numFmtId="4" fontId="0" fillId="0" borderId="1" xfId="0" applyNumberFormat="1" applyBorder="1" applyAlignment="1">
      <alignment vertical="top"/>
    </xf>
    <xf numFmtId="43" fontId="0" fillId="0" borderId="11" xfId="3" applyFont="1" applyBorder="1" applyAlignment="1">
      <alignment horizontal="center" wrapText="1"/>
    </xf>
    <xf numFmtId="43" fontId="0" fillId="0" borderId="12" xfId="3" applyFont="1" applyBorder="1" applyAlignment="1">
      <alignment horizontal="center" wrapText="1"/>
    </xf>
    <xf numFmtId="43" fontId="0" fillId="0" borderId="14" xfId="3" applyFont="1" applyBorder="1" applyAlignment="1">
      <alignment horizontal="center" wrapText="1"/>
    </xf>
    <xf numFmtId="0" fontId="0" fillId="0" borderId="0" xfId="0" applyAlignment="1">
      <alignment horizontal="center" wrapText="1"/>
    </xf>
    <xf numFmtId="43" fontId="0" fillId="0" borderId="10" xfId="3" applyFont="1" applyBorder="1" applyAlignment="1">
      <alignment horizontal="left" indent="1"/>
    </xf>
    <xf numFmtId="43" fontId="0" fillId="0" borderId="13" xfId="3" applyFont="1" applyBorder="1" applyAlignment="1">
      <alignment horizontal="left" indent="1"/>
    </xf>
    <xf numFmtId="0" fontId="0" fillId="0" borderId="0" xfId="0" applyAlignment="1">
      <alignment horizontal="left" indent="1"/>
    </xf>
    <xf numFmtId="43" fontId="2" fillId="4" borderId="7" xfId="3" applyFont="1" applyFill="1" applyBorder="1" applyAlignment="1">
      <alignment horizontal="left" indent="1"/>
    </xf>
    <xf numFmtId="43" fontId="2" fillId="4" borderId="9" xfId="1" applyFont="1" applyFill="1" applyBorder="1" applyAlignment="1">
      <alignment horizontal="center" wrapText="1"/>
    </xf>
    <xf numFmtId="0" fontId="2" fillId="4" borderId="7" xfId="4" applyFont="1" applyFill="1" applyBorder="1" applyAlignment="1">
      <alignment horizontal="left" vertical="center" wrapText="1" indent="1"/>
    </xf>
    <xf numFmtId="0" fontId="2" fillId="4" borderId="9" xfId="4" applyFont="1" applyFill="1" applyBorder="1" applyAlignment="1">
      <alignment horizontal="center" vertical="center" wrapText="1"/>
    </xf>
    <xf numFmtId="1" fontId="0" fillId="0" borderId="1" xfId="0" applyNumberFormat="1" applyFont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3" fontId="0" fillId="0" borderId="0" xfId="1" applyFont="1" applyAlignment="1">
      <alignment horizontal="left" vertical="center"/>
    </xf>
    <xf numFmtId="43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14" fontId="0" fillId="0" borderId="1" xfId="0" applyNumberFormat="1" applyFont="1" applyBorder="1" applyAlignment="1">
      <alignment horizontal="left" vertical="center"/>
    </xf>
    <xf numFmtId="4" fontId="0" fillId="0" borderId="1" xfId="0" applyNumberFormat="1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4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9" fontId="0" fillId="0" borderId="0" xfId="2" applyFont="1" applyAlignment="1">
      <alignment horizontal="left" vertical="center"/>
    </xf>
    <xf numFmtId="9" fontId="0" fillId="2" borderId="1" xfId="2" applyFont="1" applyFill="1" applyBorder="1" applyAlignment="1">
      <alignment horizontal="left" vertical="center" wrapText="1"/>
    </xf>
    <xf numFmtId="9" fontId="0" fillId="0" borderId="1" xfId="2" applyFont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/>
    </xf>
    <xf numFmtId="14" fontId="3" fillId="7" borderId="1" xfId="0" applyNumberFormat="1" applyFont="1" applyFill="1" applyBorder="1" applyAlignment="1">
      <alignment horizontal="left" vertical="center"/>
    </xf>
    <xf numFmtId="1" fontId="3" fillId="7" borderId="1" xfId="0" applyNumberFormat="1" applyFont="1" applyFill="1" applyBorder="1" applyAlignment="1">
      <alignment horizontal="left" vertical="center"/>
    </xf>
    <xf numFmtId="4" fontId="3" fillId="7" borderId="1" xfId="0" applyNumberFormat="1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4" fontId="0" fillId="7" borderId="1" xfId="0" applyNumberFormat="1" applyFill="1" applyBorder="1" applyAlignment="1">
      <alignment horizontal="left" vertical="center" wrapText="1"/>
    </xf>
    <xf numFmtId="9" fontId="0" fillId="7" borderId="1" xfId="2" applyFont="1" applyFill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/>
    </xf>
    <xf numFmtId="43" fontId="2" fillId="4" borderId="7" xfId="3" applyFont="1" applyFill="1" applyBorder="1" applyAlignment="1">
      <alignment horizontal="center" vertical="center" wrapText="1"/>
    </xf>
    <xf numFmtId="43" fontId="2" fillId="4" borderId="8" xfId="3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6" borderId="5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0" borderId="1" xfId="0" applyBorder="1" applyAlignment="1">
      <alignment horizontal="center"/>
    </xf>
  </cellXfs>
  <cellStyles count="5">
    <cellStyle name="Comma" xfId="1" builtinId="3"/>
    <cellStyle name="Comma 2" xfId="3" xr:uid="{2F2B8AB9-77CD-4FD6-9E6C-0B82498B8CB8}"/>
    <cellStyle name="Normal" xfId="0" builtinId="0"/>
    <cellStyle name="Normal 2" xfId="4" xr:uid="{A96C9715-5B99-4718-ADC9-E60A6D6D92E4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71.755695601852" createdVersion="7" refreshedVersion="7" minRefreshableVersion="3" recordCount="57" xr:uid="{BC34CA63-DC5E-493E-A3B2-4B38A7C52CEC}">
  <cacheSource type="worksheet">
    <worksheetSource ref="A1:H58" sheet="Customer Data"/>
  </cacheSource>
  <cacheFields count="10">
    <cacheField name="Posting Date" numFmtId="14">
      <sharedItems containsSemiMixedTypes="0" containsNonDate="0" containsDate="1" containsString="0" minDate="2025-02-26T00:00:00" maxDate="2026-02-14T00:00:00" count="15">
        <d v="2025-02-26T00:00:00"/>
        <d v="2025-03-26T00:00:00"/>
        <d v="2025-03-31T00:00:00"/>
        <d v="2025-09-04T00:00:00"/>
        <d v="2025-10-16T00:00:00"/>
        <d v="2025-10-24T00:00:00"/>
        <d v="2025-12-23T00:00:00"/>
        <d v="2025-12-24T00:00:00"/>
        <d v="2025-12-31T00:00:00"/>
        <d v="2026-01-01T00:00:00"/>
        <d v="2026-01-14T00:00:00"/>
        <d v="2026-01-16T00:00:00"/>
        <d v="2026-01-23T00:00:00"/>
        <d v="2026-02-12T00:00:00"/>
        <d v="2026-02-13T00:00:00"/>
      </sharedItems>
      <fieldGroup par="9" base="0">
        <rangePr groupBy="months" startDate="2025-02-26T00:00:00" endDate="2026-02-14T00:00:00"/>
        <groupItems count="14">
          <s v="&lt;26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-02-2026"/>
        </groupItems>
      </fieldGroup>
    </cacheField>
    <cacheField name="Supplier Invoice No" numFmtId="1">
      <sharedItems containsString="0" containsBlank="1" containsNumber="1" containsInteger="1" minValue="246779410050" maxValue="256779440370"/>
    </cacheField>
    <cacheField name="Account" numFmtId="0">
      <sharedItems/>
    </cacheField>
    <cacheField name="Debit (USD)" numFmtId="43">
      <sharedItems containsSemiMixedTypes="0" containsString="0" containsNumber="1" minValue="0" maxValue="5813.9534883719998"/>
    </cacheField>
    <cacheField name="Credit (USD)" numFmtId="43">
      <sharedItems containsSemiMixedTypes="0" containsString="0" containsNumber="1" minValue="0" maxValue="1902.19"/>
    </cacheField>
    <cacheField name="Balance (USD)" numFmtId="43">
      <sharedItems containsSemiMixedTypes="0" containsString="0" containsNumber="1" minValue="-2716.7435168820011" maxValue="5497.7564831179998"/>
    </cacheField>
    <cacheField name="Voucher Type" numFmtId="0">
      <sharedItems/>
    </cacheField>
    <cacheField name="Voucher Subtype" numFmtId="0">
      <sharedItems/>
    </cacheField>
    <cacheField name="Quarters" numFmtId="0" databaseField="0">
      <fieldGroup base="0">
        <rangePr groupBy="quarters" startDate="2025-02-26T00:00:00" endDate="2026-02-14T00:00:00"/>
        <groupItems count="6">
          <s v="&lt;26-02-2025"/>
          <s v="Qtr1"/>
          <s v="Qtr2"/>
          <s v="Qtr3"/>
          <s v="Qtr4"/>
          <s v="&gt;14-02-2026"/>
        </groupItems>
      </fieldGroup>
    </cacheField>
    <cacheField name="Years" numFmtId="0" databaseField="0">
      <fieldGroup base="0">
        <rangePr groupBy="years" startDate="2025-02-26T00:00:00" endDate="2026-02-14T00:00:00"/>
        <groupItems count="4">
          <s v="&lt;26-02-2025"/>
          <s v="2025"/>
          <s v="2026"/>
          <s v="&gt;14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n v="246779410050"/>
    <s v="Sundry Creditors USD - SCPL"/>
    <n v="0"/>
    <n v="45.75"/>
    <n v="-45.75"/>
    <s v="Purchase Invoice"/>
    <s v="Purchase Invoice"/>
  </r>
  <r>
    <x v="0"/>
    <n v="246779410304"/>
    <s v="Sundry Creditors USD - SCPL"/>
    <n v="0"/>
    <n v="45.75"/>
    <n v="-91.5"/>
    <s v="Purchase Invoice"/>
    <s v="Purchase Invoice"/>
  </r>
  <r>
    <x v="0"/>
    <n v="246779410118"/>
    <s v="Sundry Creditors USD - SCPL"/>
    <n v="0"/>
    <n v="45.75"/>
    <n v="-137.25"/>
    <s v="Purchase Invoice"/>
    <s v="Purchase Invoice"/>
  </r>
  <r>
    <x v="0"/>
    <n v="246779410161"/>
    <s v="Sundry Creditors USD - SCPL"/>
    <n v="0"/>
    <n v="45.75"/>
    <n v="-183"/>
    <s v="Purchase Invoice"/>
    <s v="Purchase Invoice"/>
  </r>
  <r>
    <x v="0"/>
    <n v="246779410247"/>
    <s v="Sundry Creditors USD - SCPL"/>
    <n v="0"/>
    <n v="45.75"/>
    <n v="-228.75"/>
    <s v="Purchase Invoice"/>
    <s v="Purchase Invoice"/>
  </r>
  <r>
    <x v="0"/>
    <n v="246779410204"/>
    <s v="Sundry Creditors USD - SCPL"/>
    <n v="0"/>
    <n v="45.75"/>
    <n v="-274.5"/>
    <s v="Purchase Invoice"/>
    <s v="Purchase Invoice"/>
  </r>
  <r>
    <x v="1"/>
    <n v="246779410050"/>
    <s v="Sundry Creditors USD - SCPL"/>
    <n v="278.55299474600002"/>
    <n v="0"/>
    <n v="4.0529947460000244"/>
    <s v="Payment Entry"/>
    <s v="Pay"/>
  </r>
  <r>
    <x v="1"/>
    <n v="246779410050"/>
    <s v="Sundry Creditors USD - SCPL"/>
    <n v="0"/>
    <n v="0"/>
    <n v="4.0529947460000244"/>
    <s v="Journal Entry"/>
    <s v="Exchange Gain Or Loss"/>
  </r>
  <r>
    <x v="1"/>
    <n v="246779410304"/>
    <s v="Sundry Creditors USD - SCPL"/>
    <n v="0"/>
    <n v="0"/>
    <n v="4.0529947460000244"/>
    <s v="Journal Entry"/>
    <s v="Exchange Gain Or Loss"/>
  </r>
  <r>
    <x v="1"/>
    <n v="246779410118"/>
    <s v="Sundry Creditors USD - SCPL"/>
    <n v="0"/>
    <n v="0"/>
    <n v="4.0529947460000244"/>
    <s v="Journal Entry"/>
    <s v="Exchange Gain Or Loss"/>
  </r>
  <r>
    <x v="1"/>
    <n v="246779410161"/>
    <s v="Sundry Creditors USD - SCPL"/>
    <n v="0"/>
    <n v="0"/>
    <n v="4.0529947460000244"/>
    <s v="Journal Entry"/>
    <s v="Exchange Gain Or Loss"/>
  </r>
  <r>
    <x v="1"/>
    <n v="246779410204"/>
    <s v="Sundry Creditors USD - SCPL"/>
    <n v="0"/>
    <n v="0"/>
    <n v="4.0529947460000244"/>
    <s v="Journal Entry"/>
    <s v="Exchange Gain Or Loss"/>
  </r>
  <r>
    <x v="1"/>
    <n v="246779410247"/>
    <s v="Sundry Creditors USD - SCPL"/>
    <n v="0"/>
    <n v="0"/>
    <n v="4.0529947460000244"/>
    <s v="Journal Entry"/>
    <s v="Exchange Gain Or Loss"/>
  </r>
  <r>
    <x v="2"/>
    <m/>
    <s v="Sundry Creditors USD - SCPL"/>
    <n v="4.0529999999999999"/>
    <n v="4.0529999999999999"/>
    <n v="4.0529947460000244"/>
    <s v="Journal Entry"/>
    <s v="Exchange Rate Revaluation"/>
  </r>
  <r>
    <x v="3"/>
    <n v="256779417374"/>
    <s v="Sundry Creditors USD - SCPL"/>
    <n v="0"/>
    <n v="45.75"/>
    <n v="-41.697005253999997"/>
    <s v="Purchase Invoice"/>
    <s v="Purchase Invoice"/>
  </r>
  <r>
    <x v="4"/>
    <n v="246779413009"/>
    <s v="Sundry Creditors USD - SCPL"/>
    <n v="0"/>
    <n v="45.75"/>
    <n v="-87.447005254000004"/>
    <s v="Purchase Invoice"/>
    <s v="Purchase Invoice"/>
  </r>
  <r>
    <x v="4"/>
    <n v="256779412170"/>
    <s v="Sundry Creditors USD - SCPL"/>
    <n v="0"/>
    <n v="45.75"/>
    <n v="-133.197005254"/>
    <s v="Purchase Invoice"/>
    <s v="Purchase Invoice"/>
  </r>
  <r>
    <x v="4"/>
    <n v="256779413128"/>
    <s v="Sundry Creditors USD - SCPL"/>
    <n v="0"/>
    <n v="45.75"/>
    <n v="-178.947005254"/>
    <s v="Purchase Invoice"/>
    <s v="Purchase Invoice"/>
  </r>
  <r>
    <x v="4"/>
    <n v="256779414387"/>
    <s v="Sundry Creditors USD - SCPL"/>
    <n v="0"/>
    <n v="45.75"/>
    <n v="-224.697005254"/>
    <s v="Purchase Invoice"/>
    <s v="Purchase Invoice"/>
  </r>
  <r>
    <x v="4"/>
    <n v="256779414945"/>
    <s v="Sundry Creditors USD - SCPL"/>
    <n v="0"/>
    <n v="45.75"/>
    <n v="-270.44700525399998"/>
    <s v="Purchase Invoice"/>
    <s v="Purchase Invoice"/>
  </r>
  <r>
    <x v="4"/>
    <n v="256779416055"/>
    <s v="Sundry Creditors USD - SCPL"/>
    <n v="0"/>
    <n v="45.75"/>
    <n v="-316.19700525399998"/>
    <s v="Purchase Invoice"/>
    <s v="Purchase Invoice"/>
  </r>
  <r>
    <x v="5"/>
    <m/>
    <s v="Sundry Creditors USD - SCPL"/>
    <n v="5813.9534883719998"/>
    <n v="0"/>
    <n v="5497.7564831179998"/>
    <s v="Payment Entry"/>
    <s v="Pay"/>
  </r>
  <r>
    <x v="6"/>
    <n v="256779418037"/>
    <s v="Sundry Creditors USD - SCPL"/>
    <n v="0"/>
    <n v="45.75"/>
    <n v="5452.0064831179998"/>
    <s v="Purchase Invoice"/>
    <s v="Purchase Invoice"/>
  </r>
  <r>
    <x v="6"/>
    <n v="256779413840"/>
    <s v="Sundry Creditors USD - SCPL"/>
    <n v="0"/>
    <n v="41.14"/>
    <n v="5410.8664831179995"/>
    <s v="Purchase Invoice"/>
    <s v="Purchase Invoice"/>
  </r>
  <r>
    <x v="6"/>
    <n v="256779413242"/>
    <s v="Sundry Creditors USD - SCPL"/>
    <n v="0"/>
    <n v="1170.92"/>
    <n v="4239.9464831179994"/>
    <s v="Purchase Invoice"/>
    <s v="Purchase Invoice"/>
  </r>
  <r>
    <x v="6"/>
    <n v="256779414742"/>
    <s v="Sundry Creditors USD - SCPL"/>
    <n v="0"/>
    <n v="325.22000000000003"/>
    <n v="3914.7264831179991"/>
    <s v="Purchase Invoice"/>
    <s v="Purchase Invoice"/>
  </r>
  <r>
    <x v="6"/>
    <n v="256779417450"/>
    <s v="Sundry Creditors USD - SCPL"/>
    <n v="0"/>
    <n v="79.569999999999993"/>
    <n v="3835.156483117999"/>
    <s v="Purchase Invoice"/>
    <s v="Purchase Invoice"/>
  </r>
  <r>
    <x v="7"/>
    <n v="256779418186"/>
    <s v="Sundry Creditors USD - SCPL"/>
    <n v="0"/>
    <n v="20.27"/>
    <n v="3814.886483117999"/>
    <s v="Purchase Invoice"/>
    <s v="Purchase Invoice"/>
  </r>
  <r>
    <x v="7"/>
    <n v="256779418481"/>
    <s v="Sundry Creditors USD - SCPL"/>
    <n v="0"/>
    <n v="39.770000000000003"/>
    <n v="3775.116483117999"/>
    <s v="Purchase Invoice"/>
    <s v="Purchase Invoice"/>
  </r>
  <r>
    <x v="7"/>
    <n v="256779413162"/>
    <s v="Sundry Creditors USD - SCPL"/>
    <n v="0"/>
    <n v="128.6"/>
    <n v="3646.5164831179991"/>
    <s v="Purchase Invoice"/>
    <s v="Purchase Invoice"/>
  </r>
  <r>
    <x v="7"/>
    <n v="256779413171"/>
    <s v="Sundry Creditors USD - SCPL"/>
    <n v="0"/>
    <n v="110.8"/>
    <n v="3535.7164831179989"/>
    <s v="Purchase Invoice"/>
    <s v="Purchase Invoice"/>
  </r>
  <r>
    <x v="7"/>
    <n v="256779413425"/>
    <s v="Sundry Creditors USD - SCPL"/>
    <n v="0"/>
    <n v="36.6"/>
    <n v="3499.116483117999"/>
    <s v="Purchase Invoice"/>
    <s v="Purchase Invoice"/>
  </r>
  <r>
    <x v="7"/>
    <n v="256779413426"/>
    <s v="Sundry Creditors USD - SCPL"/>
    <n v="0"/>
    <n v="2.35"/>
    <n v="3496.7664831179991"/>
    <s v="Purchase Invoice"/>
    <s v="Purchase Invoice"/>
  </r>
  <r>
    <x v="7"/>
    <n v="256779414757"/>
    <s v="Sundry Creditors USD - SCPL"/>
    <n v="0"/>
    <n v="115.9"/>
    <n v="3380.866483117999"/>
    <s v="Purchase Invoice"/>
    <s v="Purchase Invoice"/>
  </r>
  <r>
    <x v="7"/>
    <n v="256779414767"/>
    <s v="Sundry Creditors USD - SCPL"/>
    <n v="0"/>
    <n v="19.7"/>
    <n v="3361.1664831179992"/>
    <s v="Purchase Invoice"/>
    <s v="Purchase Invoice"/>
  </r>
  <r>
    <x v="7"/>
    <n v="256779414967"/>
    <s v="Sundry Creditors USD - SCPL"/>
    <n v="0"/>
    <n v="212.2"/>
    <n v="3148.9664831179989"/>
    <s v="Purchase Invoice"/>
    <s v="Purchase Invoice"/>
  </r>
  <r>
    <x v="7"/>
    <n v="256779415455"/>
    <s v="Sundry Creditors USD - SCPL"/>
    <n v="0"/>
    <n v="480.4"/>
    <n v="2668.5664831179988"/>
    <s v="Purchase Invoice"/>
    <s v="Purchase Invoice"/>
  </r>
  <r>
    <x v="7"/>
    <n v="256779417583"/>
    <s v="Sundry Creditors USD - SCPL"/>
    <n v="0"/>
    <n v="273.45"/>
    <n v="2395.116483117999"/>
    <s v="Purchase Invoice"/>
    <s v="Purchase Invoice"/>
  </r>
  <r>
    <x v="7"/>
    <n v="256779418907"/>
    <s v="Sundry Creditors USD - SCPL"/>
    <n v="0"/>
    <n v="110.8"/>
    <n v="2284.3164831179988"/>
    <s v="Purchase Invoice"/>
    <s v="Purchase Invoice"/>
  </r>
  <r>
    <x v="7"/>
    <n v="256779418894"/>
    <s v="Sundry Creditors USD - SCPL"/>
    <n v="0"/>
    <n v="128.6"/>
    <n v="2155.7164831179989"/>
    <s v="Purchase Invoice"/>
    <s v="Purchase Invoice"/>
  </r>
  <r>
    <x v="7"/>
    <n v="256779417598"/>
    <s v="Sundry Creditors USD - SCPL"/>
    <n v="0"/>
    <n v="147.4"/>
    <n v="2008.316483117999"/>
    <s v="Purchase Invoice"/>
    <s v="Purchase Invoice"/>
  </r>
  <r>
    <x v="7"/>
    <n v="256779418355"/>
    <s v="Sundry Creditors USD - SCPL"/>
    <n v="0"/>
    <n v="36.6"/>
    <n v="1971.7164831179989"/>
    <s v="Purchase Invoice"/>
    <s v="Purchase Invoice"/>
  </r>
  <r>
    <x v="7"/>
    <n v="256779418167"/>
    <s v="Sundry Creditors USD - SCPL"/>
    <n v="0"/>
    <n v="69"/>
    <n v="1902.7164831179989"/>
    <s v="Purchase Invoice"/>
    <s v="Purchase Invoice"/>
  </r>
  <r>
    <x v="8"/>
    <n v="256779418340"/>
    <s v="Sundry Creditors USD - SCPL"/>
    <n v="2"/>
    <n v="76.55"/>
    <n v="1828.166483117999"/>
    <s v="Purchase Invoice"/>
    <s v="Purchase Invoice"/>
  </r>
  <r>
    <x v="9"/>
    <n v="256779417441"/>
    <s v="Sundry Creditors USD - SCPL"/>
    <n v="38"/>
    <n v="1902.19"/>
    <n v="-36.023516882000649"/>
    <s v="Purchase Invoice"/>
    <s v="Purchase Invoice"/>
  </r>
  <r>
    <x v="9"/>
    <n v="256779418178"/>
    <s v="Sundry Creditors USD - SCPL"/>
    <n v="9"/>
    <n v="472.74"/>
    <n v="-499.76351688200072"/>
    <s v="Purchase Invoice"/>
    <s v="Purchase Invoice"/>
  </r>
  <r>
    <x v="9"/>
    <n v="256779413836"/>
    <s v="Sundry Creditors USD - SCPL"/>
    <n v="16"/>
    <n v="793.07"/>
    <n v="-1276.833516882001"/>
    <s v="Purchase Invoice"/>
    <s v="Purchase Invoice"/>
  </r>
  <r>
    <x v="9"/>
    <n v="256779418818"/>
    <s v="Sundry Creditors USD - SCPL"/>
    <n v="29"/>
    <n v="1468.91"/>
    <n v="-2716.7435168820011"/>
    <s v="Purchase Invoice"/>
    <s v="Purchase Invoice"/>
  </r>
  <r>
    <x v="10"/>
    <m/>
    <s v="Sundry Creditors USD - SCPL"/>
    <n v="5537.0979955700004"/>
    <n v="0"/>
    <n v="2820.3544786879988"/>
    <s v="Payment Entry"/>
    <s v="Pay"/>
  </r>
  <r>
    <x v="11"/>
    <n v="256779440042"/>
    <s v="Sundry Creditors USD - SCPL"/>
    <n v="5"/>
    <n v="50.75"/>
    <n v="2774.6044786879988"/>
    <s v="Purchase Invoice"/>
    <s v="Purchase Invoice"/>
  </r>
  <r>
    <x v="12"/>
    <n v="256779440333"/>
    <s v="Sundry Creditors USD - SCPL"/>
    <n v="5"/>
    <n v="50.75"/>
    <n v="2728.8544786879988"/>
    <s v="Purchase Invoice"/>
    <s v="Purchase Invoice"/>
  </r>
  <r>
    <x v="13"/>
    <n v="256779418803"/>
    <s v="Sundry Creditors USD - SCPL"/>
    <n v="5"/>
    <n v="50.75"/>
    <n v="2683.1044786879988"/>
    <s v="Purchase Invoice"/>
    <s v="Purchase Invoice"/>
  </r>
  <r>
    <x v="13"/>
    <n v="256779440370"/>
    <s v="Sundry Creditors USD - SCPL"/>
    <n v="1"/>
    <n v="63.21"/>
    <n v="2620.8944786879988"/>
    <s v="Purchase Invoice"/>
    <s v="Purchase Invoice"/>
  </r>
  <r>
    <x v="14"/>
    <n v="256779440336"/>
    <s v="Sundry Creditors USD - SCPL"/>
    <n v="1"/>
    <n v="70"/>
    <n v="2551.8944786879988"/>
    <s v="Purchase Invoice"/>
    <s v="Purchase Invoice"/>
  </r>
  <r>
    <x v="14"/>
    <n v="256779440359"/>
    <s v="Sundry Creditors USD - SCPL"/>
    <n v="1"/>
    <n v="40.04"/>
    <n v="2512.8544786879988"/>
    <s v="Purchase Invoice"/>
    <s v="Purchase Invoice"/>
  </r>
  <r>
    <x v="14"/>
    <n v="256779440256"/>
    <s v="Sundry Creditors USD - SCPL"/>
    <n v="2"/>
    <n v="112.8"/>
    <n v="2402.0544786879991"/>
    <s v="Purchase Invoice"/>
    <s v="Purchase Invoice"/>
  </r>
  <r>
    <x v="14"/>
    <n v="256779440129"/>
    <s v="Sundry Creditors USD - SCPL"/>
    <n v="3"/>
    <n v="169.2"/>
    <n v="2235.8544786879988"/>
    <s v="Purchase Invoice"/>
    <s v="Purchase Invoi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DDE5B-5453-4ADE-B5FC-5423DE1D26F0}" name="PivotTable3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O1:S8" firstHeaderRow="0" firstDataRow="1" firstDataCol="3"/>
  <pivotFields count="10"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dataField="1" compact="0" numFmtId="43" outline="0" showAll="0" defaultSubtotal="0"/>
    <pivotField dataField="1" compact="0" numFmtId="43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sd="0" x="0"/>
        <item x="1"/>
        <item sd="0" x="2"/>
        <item x="3"/>
        <item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3">
    <field x="9"/>
    <field x="8"/>
    <field x="0"/>
  </rowFields>
  <rowItems count="7">
    <i>
      <x v="1"/>
      <x v="1"/>
      <x v="2"/>
    </i>
    <i r="2">
      <x v="3"/>
    </i>
    <i r="1">
      <x v="3"/>
      <x v="9"/>
    </i>
    <i r="1">
      <x v="4"/>
      <x v="10"/>
    </i>
    <i r="2">
      <x v="12"/>
    </i>
    <i>
      <x v="2"/>
      <x v="1"/>
      <x v="1"/>
    </i>
    <i r="2">
      <x v="2"/>
    </i>
  </rowItems>
  <colFields count="1">
    <field x="-2"/>
  </colFields>
  <colItems count="2">
    <i>
      <x/>
    </i>
    <i i="1">
      <x v="1"/>
    </i>
  </colItems>
  <dataFields count="2">
    <dataField name="Sum of Debit (USD)" fld="3" baseField="0" baseItem="0"/>
    <dataField name="Sum of Credit (USD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78AE9-DD77-401D-86C6-98ADBAEB61A2}">
  <dimension ref="A1:C12"/>
  <sheetViews>
    <sheetView zoomScale="130" zoomScaleNormal="130" workbookViewId="0">
      <selection activeCell="C5" sqref="C5"/>
    </sheetView>
  </sheetViews>
  <sheetFormatPr defaultRowHeight="14.5" x14ac:dyDescent="0.35"/>
  <cols>
    <col min="1" max="1" width="53" style="71" bestFit="1" customWidth="1"/>
    <col min="2" max="2" width="10.6328125" style="68" customWidth="1"/>
    <col min="3" max="3" width="35" bestFit="1" customWidth="1"/>
  </cols>
  <sheetData>
    <row r="1" spans="1:3" ht="28.5" customHeight="1" thickBot="1" x14ac:dyDescent="0.4">
      <c r="A1" s="106" t="s">
        <v>364</v>
      </c>
      <c r="B1" s="107"/>
    </row>
    <row r="2" spans="1:3" ht="29.5" thickBot="1" x14ac:dyDescent="0.4">
      <c r="A2" s="74" t="s">
        <v>365</v>
      </c>
      <c r="B2" s="75" t="s">
        <v>509</v>
      </c>
    </row>
    <row r="3" spans="1:3" x14ac:dyDescent="0.35">
      <c r="A3" s="69" t="s">
        <v>371</v>
      </c>
      <c r="B3" s="65">
        <f>-'Customer Data'!F59</f>
        <v>-2231.8014839419989</v>
      </c>
    </row>
    <row r="4" spans="1:3" x14ac:dyDescent="0.35">
      <c r="A4" s="69" t="s">
        <v>366</v>
      </c>
      <c r="B4" s="66">
        <f>'TDS To be recorded'!N1</f>
        <v>258</v>
      </c>
    </row>
    <row r="5" spans="1:3" x14ac:dyDescent="0.35">
      <c r="A5" s="69" t="s">
        <v>367</v>
      </c>
      <c r="B5" s="66">
        <f>'Invoices not in customers books'!G35</f>
        <v>14357.35</v>
      </c>
      <c r="C5" t="s">
        <v>404</v>
      </c>
    </row>
    <row r="6" spans="1:3" x14ac:dyDescent="0.35">
      <c r="A6" s="69" t="s">
        <v>368</v>
      </c>
      <c r="B6" s="66">
        <f>'Payment Reco'!M8</f>
        <v>-25.102469779146929</v>
      </c>
      <c r="C6" t="s">
        <v>403</v>
      </c>
    </row>
    <row r="7" spans="1:3" x14ac:dyDescent="0.35">
      <c r="A7" s="69" t="s">
        <v>400</v>
      </c>
      <c r="B7" s="66">
        <f>'Difference in Invoice value'!H5</f>
        <v>778.75</v>
      </c>
      <c r="C7" t="s">
        <v>404</v>
      </c>
    </row>
    <row r="8" spans="1:3" x14ac:dyDescent="0.35">
      <c r="A8" s="69" t="s">
        <v>402</v>
      </c>
      <c r="B8" s="66">
        <f>'Duplicate Invoice'!G2</f>
        <v>-50.75</v>
      </c>
      <c r="C8" t="s">
        <v>403</v>
      </c>
    </row>
    <row r="9" spans="1:3" x14ac:dyDescent="0.35">
      <c r="A9" s="69" t="s">
        <v>369</v>
      </c>
      <c r="B9" s="66">
        <f>SUM(B3:B8)</f>
        <v>13086.446046278854</v>
      </c>
    </row>
    <row r="10" spans="1:3" x14ac:dyDescent="0.35">
      <c r="A10" s="69" t="s">
        <v>370</v>
      </c>
      <c r="B10" s="66">
        <f>'Ascendus Data'!G120</f>
        <v>-2045.4279955700003</v>
      </c>
    </row>
    <row r="11" spans="1:3" ht="15" thickBot="1" x14ac:dyDescent="0.4">
      <c r="A11" s="70"/>
      <c r="B11" s="67"/>
    </row>
    <row r="12" spans="1:3" ht="15" thickBot="1" x14ac:dyDescent="0.4">
      <c r="A12" s="72" t="s">
        <v>354</v>
      </c>
      <c r="B12" s="73">
        <f>B9-B10-B11</f>
        <v>15131.874041848854</v>
      </c>
    </row>
  </sheetData>
  <autoFilter ref="A1:B10" xr:uid="{67C78AE9-DD77-401D-86C6-98ADBAEB61A2}">
    <filterColumn colId="0" showButton="0"/>
  </autoFilter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58D7-2EEE-4B02-9EDC-F7602A7380A6}">
  <dimension ref="A1:N10"/>
  <sheetViews>
    <sheetView workbookViewId="0">
      <selection activeCell="M6" sqref="M6"/>
    </sheetView>
  </sheetViews>
  <sheetFormatPr defaultRowHeight="14.5" x14ac:dyDescent="0.35"/>
  <cols>
    <col min="1" max="1" width="16.81640625" bestFit="1" customWidth="1"/>
    <col min="2" max="2" width="10.453125" customWidth="1"/>
    <col min="3" max="3" width="13.90625" bestFit="1" customWidth="1"/>
    <col min="4" max="4" width="9.36328125" customWidth="1"/>
    <col min="5" max="5" width="10.90625" bestFit="1" customWidth="1"/>
    <col min="6" max="6" width="10.08984375" customWidth="1"/>
    <col min="7" max="7" width="10.90625" bestFit="1" customWidth="1"/>
    <col min="8" max="8" width="10.54296875" customWidth="1"/>
    <col min="9" max="9" width="12.453125" bestFit="1" customWidth="1"/>
    <col min="10" max="10" width="11.1796875" bestFit="1" customWidth="1"/>
    <col min="11" max="11" width="11.81640625" bestFit="1" customWidth="1"/>
    <col min="12" max="12" width="13" bestFit="1" customWidth="1"/>
    <col min="13" max="13" width="7.54296875" bestFit="1" customWidth="1"/>
    <col min="14" max="14" width="35.08984375" bestFit="1" customWidth="1"/>
  </cols>
  <sheetData>
    <row r="1" spans="1:14" x14ac:dyDescent="0.35">
      <c r="A1" s="109" t="s">
        <v>350</v>
      </c>
      <c r="B1" s="110"/>
      <c r="C1" s="110"/>
      <c r="D1" s="110"/>
      <c r="E1" s="110"/>
      <c r="F1" s="110"/>
      <c r="G1" s="110"/>
      <c r="H1" s="110"/>
      <c r="I1" s="111"/>
      <c r="J1" s="108" t="s">
        <v>359</v>
      </c>
      <c r="K1" s="108"/>
      <c r="L1" s="108"/>
      <c r="M1" s="112" t="s">
        <v>360</v>
      </c>
      <c r="N1" s="113"/>
    </row>
    <row r="2" spans="1:14" ht="58" x14ac:dyDescent="0.35">
      <c r="A2" s="34" t="s">
        <v>120</v>
      </c>
      <c r="B2" s="35" t="s">
        <v>121</v>
      </c>
      <c r="C2" s="34" t="s">
        <v>122</v>
      </c>
      <c r="D2" s="35" t="s">
        <v>125</v>
      </c>
      <c r="E2" s="35" t="s">
        <v>126</v>
      </c>
      <c r="F2" s="35" t="s">
        <v>127</v>
      </c>
      <c r="G2" s="35" t="s">
        <v>128</v>
      </c>
      <c r="H2" s="35" t="s">
        <v>358</v>
      </c>
      <c r="I2" s="35" t="s">
        <v>361</v>
      </c>
      <c r="J2" s="36" t="s">
        <v>0</v>
      </c>
      <c r="K2" s="37" t="s">
        <v>2</v>
      </c>
      <c r="L2" s="38" t="s">
        <v>5</v>
      </c>
      <c r="M2" s="39" t="s">
        <v>362</v>
      </c>
      <c r="N2" s="39" t="s">
        <v>355</v>
      </c>
    </row>
    <row r="3" spans="1:14" x14ac:dyDescent="0.35">
      <c r="A3" s="34" t="s">
        <v>133</v>
      </c>
      <c r="B3" s="34" t="s">
        <v>134</v>
      </c>
      <c r="C3" s="40">
        <v>45861</v>
      </c>
      <c r="D3" s="34" t="s">
        <v>131</v>
      </c>
      <c r="E3" s="41">
        <v>8729.06</v>
      </c>
      <c r="F3" s="34" t="s">
        <v>131</v>
      </c>
      <c r="G3" s="41">
        <v>8822.56</v>
      </c>
      <c r="H3" s="41"/>
      <c r="I3" s="34"/>
      <c r="J3" s="36"/>
      <c r="K3" s="37"/>
      <c r="L3" s="38"/>
      <c r="M3" s="42">
        <f>I3-K3</f>
        <v>0</v>
      </c>
      <c r="N3" s="39"/>
    </row>
    <row r="4" spans="1:14" x14ac:dyDescent="0.35">
      <c r="A4" s="34" t="s">
        <v>133</v>
      </c>
      <c r="B4" s="34" t="s">
        <v>134</v>
      </c>
      <c r="C4" s="40">
        <v>45861</v>
      </c>
      <c r="D4" s="34" t="s">
        <v>131</v>
      </c>
      <c r="E4" s="41">
        <v>-8729.06</v>
      </c>
      <c r="F4" s="34" t="s">
        <v>131</v>
      </c>
      <c r="G4" s="41">
        <v>-8822.56</v>
      </c>
      <c r="H4" s="41"/>
      <c r="I4" s="34"/>
      <c r="J4" s="36"/>
      <c r="K4" s="37"/>
      <c r="L4" s="38"/>
      <c r="M4" s="42">
        <f t="shared" ref="M4:M7" si="0">I4-K4</f>
        <v>0</v>
      </c>
      <c r="N4" s="39"/>
    </row>
    <row r="5" spans="1:14" x14ac:dyDescent="0.35">
      <c r="A5" s="34" t="s">
        <v>135</v>
      </c>
      <c r="B5" s="34" t="s">
        <v>134</v>
      </c>
      <c r="C5" s="40">
        <v>45959</v>
      </c>
      <c r="D5" s="34" t="s">
        <v>131</v>
      </c>
      <c r="E5" s="41">
        <v>-500000</v>
      </c>
      <c r="F5" s="34" t="s">
        <v>131</v>
      </c>
      <c r="G5" s="41">
        <v>-500000</v>
      </c>
      <c r="H5" s="41">
        <f>G5/K5</f>
        <v>-86.000000000001378</v>
      </c>
      <c r="I5" s="34">
        <f>G5/H5</f>
        <v>5813.9534883719998</v>
      </c>
      <c r="J5" s="36" t="s">
        <v>22</v>
      </c>
      <c r="K5" s="37">
        <v>5813.9534883719998</v>
      </c>
      <c r="L5" s="38" t="s">
        <v>23</v>
      </c>
      <c r="M5" s="42">
        <f t="shared" si="0"/>
        <v>0</v>
      </c>
      <c r="N5" s="39"/>
    </row>
    <row r="6" spans="1:14" ht="29" x14ac:dyDescent="0.35">
      <c r="A6" s="34" t="s">
        <v>137</v>
      </c>
      <c r="B6" s="34" t="s">
        <v>134</v>
      </c>
      <c r="C6" s="40">
        <v>45743</v>
      </c>
      <c r="D6" s="34" t="s">
        <v>131</v>
      </c>
      <c r="E6" s="41">
        <v>-26397.48</v>
      </c>
      <c r="F6" s="34" t="s">
        <v>131</v>
      </c>
      <c r="G6" s="41">
        <v>-26279.46</v>
      </c>
      <c r="H6" s="43">
        <v>86.543675547204558</v>
      </c>
      <c r="I6" s="34">
        <f>G6/H6</f>
        <v>-303.65546452514695</v>
      </c>
      <c r="J6" s="36" t="s">
        <v>103</v>
      </c>
      <c r="K6" s="37">
        <v>278.55299474600002</v>
      </c>
      <c r="L6" s="38" t="s">
        <v>23</v>
      </c>
      <c r="M6" s="42">
        <f>I6+K6</f>
        <v>-25.102469779146929</v>
      </c>
      <c r="N6" s="44" t="s">
        <v>372</v>
      </c>
    </row>
    <row r="7" spans="1:14" x14ac:dyDescent="0.35">
      <c r="A7" s="34" t="s">
        <v>348</v>
      </c>
      <c r="B7" s="34" t="s">
        <v>134</v>
      </c>
      <c r="C7" s="40">
        <v>46041</v>
      </c>
      <c r="D7" s="34" t="s">
        <v>131</v>
      </c>
      <c r="E7" s="41">
        <v>-500000</v>
      </c>
      <c r="F7" s="34" t="s">
        <v>131</v>
      </c>
      <c r="G7" s="41">
        <v>-500000</v>
      </c>
      <c r="H7" s="41">
        <f>G7/K7</f>
        <v>-90.300009210606163</v>
      </c>
      <c r="I7" s="34">
        <f>G7/H7</f>
        <v>5537.0979955700004</v>
      </c>
      <c r="J7" s="36" t="s">
        <v>74</v>
      </c>
      <c r="K7" s="37">
        <v>5537.0979955700004</v>
      </c>
      <c r="L7" s="38" t="s">
        <v>23</v>
      </c>
      <c r="M7" s="42">
        <f t="shared" si="0"/>
        <v>0</v>
      </c>
      <c r="N7" s="39"/>
    </row>
    <row r="8" spans="1:14" s="31" customFormat="1" x14ac:dyDescent="0.35">
      <c r="A8" s="45"/>
      <c r="B8" s="45"/>
      <c r="C8" s="45"/>
      <c r="D8" s="45"/>
      <c r="E8" s="45"/>
      <c r="F8" s="45"/>
      <c r="G8" s="45"/>
      <c r="H8" s="45"/>
      <c r="I8" s="45">
        <f>SUM(I5:I7)</f>
        <v>11047.396019416854</v>
      </c>
      <c r="J8" s="45"/>
      <c r="K8" s="45">
        <f>SUM(K5:K7)</f>
        <v>11629.604478688001</v>
      </c>
      <c r="L8" s="45"/>
      <c r="M8" s="46">
        <f>SUM(M3:M7)</f>
        <v>-25.102469779146929</v>
      </c>
      <c r="N8" s="45"/>
    </row>
    <row r="9" spans="1:14" x14ac:dyDescent="0.35">
      <c r="G9" s="33"/>
    </row>
    <row r="10" spans="1:14" x14ac:dyDescent="0.35">
      <c r="G10" s="30"/>
    </row>
  </sheetData>
  <mergeCells count="3">
    <mergeCell ref="J1:L1"/>
    <mergeCell ref="A1:I1"/>
    <mergeCell ref="M1:N1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CE629-1214-447C-AED4-3930FF95AE9C}">
  <dimension ref="A1:J2"/>
  <sheetViews>
    <sheetView workbookViewId="0">
      <selection activeCell="G2" sqref="G2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20.1796875" bestFit="1" customWidth="1"/>
    <col min="5" max="5" width="12.90625" bestFit="1" customWidth="1"/>
    <col min="6" max="7" width="8.26953125" bestFit="1" customWidth="1"/>
    <col min="10" max="10" width="31.26953125" bestFit="1" customWidth="1"/>
  </cols>
  <sheetData>
    <row r="1" spans="1:10" ht="58" x14ac:dyDescent="0.35">
      <c r="A1" s="27" t="s">
        <v>120</v>
      </c>
      <c r="B1" s="28" t="s">
        <v>121</v>
      </c>
      <c r="C1" s="27" t="s">
        <v>122</v>
      </c>
      <c r="D1" s="27" t="s">
        <v>123</v>
      </c>
      <c r="E1" s="27" t="s">
        <v>124</v>
      </c>
      <c r="F1" s="28" t="s">
        <v>125</v>
      </c>
      <c r="G1" s="28" t="s">
        <v>126</v>
      </c>
      <c r="H1" s="28" t="s">
        <v>127</v>
      </c>
      <c r="I1" s="28" t="s">
        <v>128</v>
      </c>
      <c r="J1" s="27"/>
    </row>
    <row r="2" spans="1:10" x14ac:dyDescent="0.35">
      <c r="A2" s="18" t="s">
        <v>152</v>
      </c>
      <c r="B2" s="18" t="s">
        <v>153</v>
      </c>
      <c r="C2" s="19">
        <v>45693</v>
      </c>
      <c r="D2" s="18" t="s">
        <v>144</v>
      </c>
      <c r="E2" s="20">
        <v>246779420002</v>
      </c>
      <c r="F2" s="18" t="s">
        <v>141</v>
      </c>
      <c r="G2" s="21">
        <v>-50.75</v>
      </c>
      <c r="H2" s="18" t="s">
        <v>131</v>
      </c>
      <c r="I2" s="21">
        <v>-4299.63</v>
      </c>
      <c r="J2" s="18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9B017-0355-4899-87CD-AE7E8AE0CA0B}">
  <dimension ref="A1:J50"/>
  <sheetViews>
    <sheetView workbookViewId="0">
      <selection activeCell="K21" sqref="K21"/>
    </sheetView>
  </sheetViews>
  <sheetFormatPr defaultRowHeight="14.5" x14ac:dyDescent="0.35"/>
  <cols>
    <col min="1" max="1" width="11.90625" customWidth="1"/>
    <col min="2" max="2" width="3.6328125" customWidth="1"/>
    <col min="3" max="3" width="11.36328125" customWidth="1"/>
    <col min="4" max="4" width="9.26953125" customWidth="1"/>
    <col min="5" max="5" width="12.90625" bestFit="1" customWidth="1"/>
    <col min="6" max="6" width="8.81640625" bestFit="1" customWidth="1"/>
    <col min="7" max="7" width="9.7265625" bestFit="1" customWidth="1"/>
    <col min="8" max="8" width="8.7265625" bestFit="1" customWidth="1"/>
    <col min="9" max="9" width="14.08984375" customWidth="1"/>
    <col min="10" max="10" width="44.81640625" style="24" bestFit="1" customWidth="1"/>
  </cols>
  <sheetData>
    <row r="1" spans="1:10" x14ac:dyDescent="0.35">
      <c r="G1" s="13">
        <f>SUBTOTAL(9,G3:G46)</f>
        <v>15890.1</v>
      </c>
      <c r="H1" s="22">
        <f>'CN not in customers book'!G15</f>
        <v>-1532.29</v>
      </c>
      <c r="I1" s="30">
        <f>G1+H1</f>
        <v>14357.810000000001</v>
      </c>
    </row>
    <row r="2" spans="1:10" ht="58" x14ac:dyDescent="0.35">
      <c r="A2" s="27" t="s">
        <v>120</v>
      </c>
      <c r="B2" s="28" t="s">
        <v>121</v>
      </c>
      <c r="C2" s="27" t="s">
        <v>122</v>
      </c>
      <c r="D2" s="27" t="s">
        <v>123</v>
      </c>
      <c r="E2" s="27" t="s">
        <v>124</v>
      </c>
      <c r="F2" s="28" t="s">
        <v>125</v>
      </c>
      <c r="G2" s="28" t="s">
        <v>126</v>
      </c>
      <c r="H2" s="28" t="s">
        <v>127</v>
      </c>
      <c r="I2" s="28" t="s">
        <v>128</v>
      </c>
      <c r="J2" s="27"/>
    </row>
    <row r="3" spans="1:10" x14ac:dyDescent="0.35">
      <c r="A3" s="18" t="s">
        <v>142</v>
      </c>
      <c r="B3" s="18" t="s">
        <v>143</v>
      </c>
      <c r="C3" s="19">
        <v>45688</v>
      </c>
      <c r="D3" s="18" t="s">
        <v>144</v>
      </c>
      <c r="E3" s="20">
        <v>246779410001</v>
      </c>
      <c r="F3" s="18" t="s">
        <v>141</v>
      </c>
      <c r="G3" s="21">
        <v>50.75</v>
      </c>
      <c r="H3" s="18" t="s">
        <v>131</v>
      </c>
      <c r="I3" s="21">
        <v>4299.63</v>
      </c>
      <c r="J3" s="18" t="s">
        <v>145</v>
      </c>
    </row>
    <row r="4" spans="1:10" x14ac:dyDescent="0.35">
      <c r="A4" s="18" t="s">
        <v>146</v>
      </c>
      <c r="B4" s="18" t="s">
        <v>143</v>
      </c>
      <c r="C4" s="19">
        <v>45981</v>
      </c>
      <c r="D4" s="18" t="s">
        <v>144</v>
      </c>
      <c r="E4" s="20">
        <v>256779419474</v>
      </c>
      <c r="F4" s="18" t="s">
        <v>141</v>
      </c>
      <c r="G4" s="21">
        <v>20.28</v>
      </c>
      <c r="H4" s="18" t="s">
        <v>131</v>
      </c>
      <c r="I4" s="21">
        <v>1784.71</v>
      </c>
      <c r="J4" s="18" t="s">
        <v>147</v>
      </c>
    </row>
    <row r="5" spans="1:10" x14ac:dyDescent="0.35">
      <c r="A5" s="18" t="s">
        <v>148</v>
      </c>
      <c r="B5" s="18" t="s">
        <v>143</v>
      </c>
      <c r="C5" s="19">
        <v>45692</v>
      </c>
      <c r="D5" s="18" t="s">
        <v>144</v>
      </c>
      <c r="E5" s="20">
        <v>246779410003</v>
      </c>
      <c r="F5" s="18" t="s">
        <v>141</v>
      </c>
      <c r="G5" s="21">
        <v>50.75</v>
      </c>
      <c r="H5" s="18" t="s">
        <v>131</v>
      </c>
      <c r="I5" s="21">
        <v>4379.91</v>
      </c>
      <c r="J5" s="18" t="s">
        <v>145</v>
      </c>
    </row>
    <row r="6" spans="1:10" x14ac:dyDescent="0.35">
      <c r="A6" s="18" t="s">
        <v>149</v>
      </c>
      <c r="B6" s="18" t="s">
        <v>143</v>
      </c>
      <c r="C6" s="19">
        <v>45692</v>
      </c>
      <c r="D6" s="18" t="s">
        <v>144</v>
      </c>
      <c r="E6" s="20">
        <v>246779410002</v>
      </c>
      <c r="F6" s="18" t="s">
        <v>141</v>
      </c>
      <c r="G6" s="21">
        <v>50.75</v>
      </c>
      <c r="H6" s="18" t="s">
        <v>131</v>
      </c>
      <c r="I6" s="21">
        <v>4379.91</v>
      </c>
      <c r="J6" s="18" t="s">
        <v>145</v>
      </c>
    </row>
    <row r="7" spans="1:10" x14ac:dyDescent="0.35">
      <c r="A7" s="18" t="s">
        <v>170</v>
      </c>
      <c r="B7" s="18" t="s">
        <v>143</v>
      </c>
      <c r="C7" s="19">
        <v>45842</v>
      </c>
      <c r="D7" s="18" t="s">
        <v>144</v>
      </c>
      <c r="E7" s="20">
        <v>256779415197</v>
      </c>
      <c r="F7" s="18" t="s">
        <v>141</v>
      </c>
      <c r="G7" s="21">
        <v>492.25</v>
      </c>
      <c r="H7" s="18" t="s">
        <v>131</v>
      </c>
      <c r="I7" s="21">
        <v>42333.83</v>
      </c>
      <c r="J7" s="18" t="s">
        <v>171</v>
      </c>
    </row>
    <row r="8" spans="1:10" x14ac:dyDescent="0.35">
      <c r="A8" s="18" t="s">
        <v>172</v>
      </c>
      <c r="B8" s="18" t="s">
        <v>143</v>
      </c>
      <c r="C8" s="19">
        <v>45842</v>
      </c>
      <c r="D8" s="18" t="s">
        <v>144</v>
      </c>
      <c r="E8" s="20">
        <v>256779415262</v>
      </c>
      <c r="F8" s="18" t="s">
        <v>141</v>
      </c>
      <c r="G8" s="21">
        <v>476.32</v>
      </c>
      <c r="H8" s="18" t="s">
        <v>131</v>
      </c>
      <c r="I8" s="21">
        <v>40963.839999999997</v>
      </c>
      <c r="J8" s="18" t="s">
        <v>173</v>
      </c>
    </row>
    <row r="9" spans="1:10" x14ac:dyDescent="0.35">
      <c r="A9" s="18" t="s">
        <v>178</v>
      </c>
      <c r="B9" s="18" t="s">
        <v>143</v>
      </c>
      <c r="C9" s="19">
        <v>45966</v>
      </c>
      <c r="D9" s="18" t="s">
        <v>144</v>
      </c>
      <c r="E9" s="20">
        <v>256779418826</v>
      </c>
      <c r="F9" s="18" t="s">
        <v>141</v>
      </c>
      <c r="G9" s="21">
        <v>60.86</v>
      </c>
      <c r="H9" s="18" t="s">
        <v>131</v>
      </c>
      <c r="I9" s="21">
        <v>5355.89</v>
      </c>
      <c r="J9" s="18" t="s">
        <v>179</v>
      </c>
    </row>
    <row r="10" spans="1:10" x14ac:dyDescent="0.35">
      <c r="A10" s="18" t="s">
        <v>180</v>
      </c>
      <c r="B10" s="18" t="s">
        <v>143</v>
      </c>
      <c r="C10" s="19">
        <v>45966</v>
      </c>
      <c r="D10" s="18" t="s">
        <v>144</v>
      </c>
      <c r="E10" s="20">
        <v>256779418886</v>
      </c>
      <c r="F10" s="18" t="s">
        <v>141</v>
      </c>
      <c r="G10" s="21">
        <v>1457.24</v>
      </c>
      <c r="H10" s="18" t="s">
        <v>131</v>
      </c>
      <c r="I10" s="21">
        <v>128242.06</v>
      </c>
      <c r="J10" s="18" t="s">
        <v>181</v>
      </c>
    </row>
    <row r="11" spans="1:10" x14ac:dyDescent="0.35">
      <c r="A11" s="18" t="s">
        <v>186</v>
      </c>
      <c r="B11" s="18" t="s">
        <v>143</v>
      </c>
      <c r="C11" s="19">
        <v>45966</v>
      </c>
      <c r="D11" s="18" t="s">
        <v>187</v>
      </c>
      <c r="E11" s="20">
        <v>256779419229</v>
      </c>
      <c r="F11" s="18" t="s">
        <v>141</v>
      </c>
      <c r="G11" s="21">
        <v>77.069999999999993</v>
      </c>
      <c r="H11" s="18" t="s">
        <v>131</v>
      </c>
      <c r="I11" s="21">
        <v>6782.42</v>
      </c>
      <c r="J11" s="18" t="s">
        <v>188</v>
      </c>
    </row>
    <row r="12" spans="1:10" x14ac:dyDescent="0.35">
      <c r="A12" s="18" t="s">
        <v>189</v>
      </c>
      <c r="B12" s="18" t="s">
        <v>143</v>
      </c>
      <c r="C12" s="19">
        <v>45877</v>
      </c>
      <c r="D12" s="18" t="s">
        <v>144</v>
      </c>
      <c r="E12" s="20">
        <v>256779416087</v>
      </c>
      <c r="F12" s="18" t="s">
        <v>141</v>
      </c>
      <c r="G12" s="21">
        <v>916.56</v>
      </c>
      <c r="H12" s="18" t="s">
        <v>131</v>
      </c>
      <c r="I12" s="21">
        <v>78851.77</v>
      </c>
      <c r="J12" s="18" t="s">
        <v>190</v>
      </c>
    </row>
    <row r="13" spans="1:10" x14ac:dyDescent="0.35">
      <c r="A13" s="18" t="s">
        <v>195</v>
      </c>
      <c r="B13" s="18" t="s">
        <v>143</v>
      </c>
      <c r="C13" s="19">
        <v>45805</v>
      </c>
      <c r="D13" s="18" t="s">
        <v>144</v>
      </c>
      <c r="E13" s="20">
        <v>256779413898</v>
      </c>
      <c r="F13" s="18" t="s">
        <v>141</v>
      </c>
      <c r="G13" s="21">
        <v>928.64</v>
      </c>
      <c r="H13" s="18" t="s">
        <v>131</v>
      </c>
      <c r="I13" s="21">
        <v>79847.899999999994</v>
      </c>
      <c r="J13" s="18" t="s">
        <v>196</v>
      </c>
    </row>
    <row r="14" spans="1:10" x14ac:dyDescent="0.35">
      <c r="A14" s="18" t="s">
        <v>211</v>
      </c>
      <c r="B14" s="18" t="s">
        <v>143</v>
      </c>
      <c r="C14" s="19">
        <v>45708</v>
      </c>
      <c r="D14" s="18" t="s">
        <v>144</v>
      </c>
      <c r="E14" s="20">
        <v>246779410073</v>
      </c>
      <c r="F14" s="18" t="s">
        <v>141</v>
      </c>
      <c r="G14" s="21">
        <v>50.75</v>
      </c>
      <c r="H14" s="18" t="s">
        <v>131</v>
      </c>
      <c r="I14" s="21">
        <v>4379.91</v>
      </c>
      <c r="J14" s="18" t="s">
        <v>212</v>
      </c>
    </row>
    <row r="15" spans="1:10" x14ac:dyDescent="0.35">
      <c r="A15" s="18" t="s">
        <v>219</v>
      </c>
      <c r="B15" s="18" t="s">
        <v>143</v>
      </c>
      <c r="C15" s="19">
        <v>45750</v>
      </c>
      <c r="D15" s="18" t="s">
        <v>144</v>
      </c>
      <c r="E15" s="20">
        <v>256779410251</v>
      </c>
      <c r="F15" s="18" t="s">
        <v>141</v>
      </c>
      <c r="G15" s="21">
        <v>50.75</v>
      </c>
      <c r="H15" s="18" t="s">
        <v>131</v>
      </c>
      <c r="I15" s="21">
        <v>4411.28</v>
      </c>
      <c r="J15" s="18" t="s">
        <v>208</v>
      </c>
    </row>
    <row r="16" spans="1:10" x14ac:dyDescent="0.35">
      <c r="A16" s="18" t="s">
        <v>220</v>
      </c>
      <c r="B16" s="18" t="s">
        <v>143</v>
      </c>
      <c r="C16" s="19">
        <v>45750</v>
      </c>
      <c r="D16" s="18" t="s">
        <v>144</v>
      </c>
      <c r="E16" s="20">
        <v>256779410292</v>
      </c>
      <c r="F16" s="18" t="s">
        <v>141</v>
      </c>
      <c r="G16" s="21">
        <v>50.75</v>
      </c>
      <c r="H16" s="18" t="s">
        <v>131</v>
      </c>
      <c r="I16" s="21">
        <v>4411.28</v>
      </c>
      <c r="J16" s="18" t="s">
        <v>210</v>
      </c>
    </row>
    <row r="17" spans="1:10" x14ac:dyDescent="0.35">
      <c r="A17" s="18" t="s">
        <v>229</v>
      </c>
      <c r="B17" s="18" t="s">
        <v>143</v>
      </c>
      <c r="C17" s="19">
        <v>45862</v>
      </c>
      <c r="D17" s="18" t="s">
        <v>144</v>
      </c>
      <c r="E17" s="20">
        <v>256779415830</v>
      </c>
      <c r="F17" s="18" t="s">
        <v>141</v>
      </c>
      <c r="G17" s="21">
        <v>50.75</v>
      </c>
      <c r="H17" s="18" t="s">
        <v>131</v>
      </c>
      <c r="I17" s="21">
        <v>4364.53</v>
      </c>
      <c r="J17" s="18" t="s">
        <v>230</v>
      </c>
    </row>
    <row r="18" spans="1:10" x14ac:dyDescent="0.35">
      <c r="A18" s="18" t="s">
        <v>231</v>
      </c>
      <c r="B18" s="18" t="s">
        <v>143</v>
      </c>
      <c r="C18" s="19">
        <v>45862</v>
      </c>
      <c r="D18" s="18" t="s">
        <v>144</v>
      </c>
      <c r="E18" s="20">
        <v>256779415831</v>
      </c>
      <c r="F18" s="18" t="s">
        <v>141</v>
      </c>
      <c r="G18" s="21">
        <v>50.75</v>
      </c>
      <c r="H18" s="18" t="s">
        <v>131</v>
      </c>
      <c r="I18" s="21">
        <v>4364.53</v>
      </c>
      <c r="J18" s="18" t="s">
        <v>232</v>
      </c>
    </row>
    <row r="19" spans="1:10" x14ac:dyDescent="0.35">
      <c r="A19" s="18" t="s">
        <v>241</v>
      </c>
      <c r="B19" s="18" t="s">
        <v>143</v>
      </c>
      <c r="C19" s="19">
        <v>45826</v>
      </c>
      <c r="D19" s="18" t="s">
        <v>144</v>
      </c>
      <c r="E19" s="20">
        <v>256779414425</v>
      </c>
      <c r="F19" s="18" t="s">
        <v>141</v>
      </c>
      <c r="G19" s="21">
        <v>50.75</v>
      </c>
      <c r="H19" s="18" t="s">
        <v>131</v>
      </c>
      <c r="I19" s="21">
        <v>4338.66</v>
      </c>
      <c r="J19" s="18" t="s">
        <v>204</v>
      </c>
    </row>
    <row r="20" spans="1:10" x14ac:dyDescent="0.35">
      <c r="A20" s="18" t="s">
        <v>242</v>
      </c>
      <c r="B20" s="18" t="s">
        <v>143</v>
      </c>
      <c r="C20" s="19">
        <v>45826</v>
      </c>
      <c r="D20" s="18" t="s">
        <v>144</v>
      </c>
      <c r="E20" s="20">
        <v>256779414460</v>
      </c>
      <c r="F20" s="18" t="s">
        <v>141</v>
      </c>
      <c r="G20" s="21">
        <v>50.75</v>
      </c>
      <c r="H20" s="18" t="s">
        <v>131</v>
      </c>
      <c r="I20" s="21">
        <v>4338.66</v>
      </c>
      <c r="J20" s="18" t="s">
        <v>208</v>
      </c>
    </row>
    <row r="21" spans="1:10" x14ac:dyDescent="0.35">
      <c r="A21" s="18" t="s">
        <v>243</v>
      </c>
      <c r="B21" s="18" t="s">
        <v>143</v>
      </c>
      <c r="C21" s="19">
        <v>45826</v>
      </c>
      <c r="D21" s="18" t="s">
        <v>144</v>
      </c>
      <c r="E21" s="20">
        <v>256779414477</v>
      </c>
      <c r="F21" s="18" t="s">
        <v>141</v>
      </c>
      <c r="G21" s="21">
        <v>50.75</v>
      </c>
      <c r="H21" s="18" t="s">
        <v>131</v>
      </c>
      <c r="I21" s="21">
        <v>4338.66</v>
      </c>
      <c r="J21" s="18" t="s">
        <v>210</v>
      </c>
    </row>
    <row r="22" spans="1:10" x14ac:dyDescent="0.35">
      <c r="A22" s="18" t="s">
        <v>244</v>
      </c>
      <c r="B22" s="18" t="s">
        <v>143</v>
      </c>
      <c r="C22" s="19">
        <v>45826</v>
      </c>
      <c r="D22" s="18" t="s">
        <v>144</v>
      </c>
      <c r="E22" s="20">
        <v>256779414403</v>
      </c>
      <c r="F22" s="18" t="s">
        <v>141</v>
      </c>
      <c r="G22" s="21">
        <v>50.75</v>
      </c>
      <c r="H22" s="18" t="s">
        <v>131</v>
      </c>
      <c r="I22" s="21">
        <v>4338.66</v>
      </c>
      <c r="J22" s="18" t="s">
        <v>245</v>
      </c>
    </row>
    <row r="23" spans="1:10" x14ac:dyDescent="0.35">
      <c r="A23" s="18" t="s">
        <v>246</v>
      </c>
      <c r="B23" s="18" t="s">
        <v>143</v>
      </c>
      <c r="C23" s="19">
        <v>45951</v>
      </c>
      <c r="D23" s="18" t="s">
        <v>144</v>
      </c>
      <c r="E23" s="20">
        <v>256779418476</v>
      </c>
      <c r="F23" s="18" t="s">
        <v>141</v>
      </c>
      <c r="G23" s="21">
        <v>950.87</v>
      </c>
      <c r="H23" s="18" t="s">
        <v>131</v>
      </c>
      <c r="I23" s="21">
        <v>83857.960000000006</v>
      </c>
      <c r="J23" s="18" t="s">
        <v>247</v>
      </c>
    </row>
    <row r="24" spans="1:10" x14ac:dyDescent="0.35">
      <c r="A24" s="18" t="s">
        <v>250</v>
      </c>
      <c r="B24" s="18" t="s">
        <v>143</v>
      </c>
      <c r="C24" s="19">
        <v>45951</v>
      </c>
      <c r="D24" s="18" t="s">
        <v>144</v>
      </c>
      <c r="E24" s="20">
        <v>256779418491</v>
      </c>
      <c r="F24" s="18" t="s">
        <v>141</v>
      </c>
      <c r="G24" s="21">
        <v>950.87</v>
      </c>
      <c r="H24" s="18" t="s">
        <v>131</v>
      </c>
      <c r="I24" s="21">
        <v>83857.960000000006</v>
      </c>
      <c r="J24" s="18" t="s">
        <v>247</v>
      </c>
    </row>
    <row r="25" spans="1:10" x14ac:dyDescent="0.35">
      <c r="A25" s="18" t="s">
        <v>251</v>
      </c>
      <c r="B25" s="18" t="s">
        <v>143</v>
      </c>
      <c r="C25" s="19">
        <v>45951</v>
      </c>
      <c r="D25" s="18" t="s">
        <v>144</v>
      </c>
      <c r="E25" s="20">
        <v>256779418496</v>
      </c>
      <c r="F25" s="18" t="s">
        <v>141</v>
      </c>
      <c r="G25" s="21">
        <v>40.770000000000003</v>
      </c>
      <c r="H25" s="18" t="s">
        <v>131</v>
      </c>
      <c r="I25" s="21">
        <v>3595.54</v>
      </c>
      <c r="J25" s="18" t="s">
        <v>249</v>
      </c>
    </row>
    <row r="26" spans="1:10" x14ac:dyDescent="0.35">
      <c r="A26" s="18" t="s">
        <v>256</v>
      </c>
      <c r="B26" s="18" t="s">
        <v>143</v>
      </c>
      <c r="C26" s="19">
        <v>45981</v>
      </c>
      <c r="D26" s="18" t="s">
        <v>144</v>
      </c>
      <c r="E26" s="20">
        <v>256779419463</v>
      </c>
      <c r="F26" s="18" t="s">
        <v>141</v>
      </c>
      <c r="G26" s="21">
        <v>602.03</v>
      </c>
      <c r="H26" s="18" t="s">
        <v>131</v>
      </c>
      <c r="I26" s="21">
        <v>52980.68</v>
      </c>
      <c r="J26" s="18" t="s">
        <v>257</v>
      </c>
    </row>
    <row r="27" spans="1:10" x14ac:dyDescent="0.35">
      <c r="A27" s="18" t="s">
        <v>258</v>
      </c>
      <c r="B27" s="18" t="s">
        <v>143</v>
      </c>
      <c r="C27" s="19">
        <v>45981</v>
      </c>
      <c r="D27" s="18" t="s">
        <v>144</v>
      </c>
      <c r="E27" s="20">
        <v>256779419533</v>
      </c>
      <c r="F27" s="18" t="s">
        <v>141</v>
      </c>
      <c r="G27" s="21">
        <v>131.6</v>
      </c>
      <c r="H27" s="18" t="s">
        <v>131</v>
      </c>
      <c r="I27" s="21">
        <v>11581.25</v>
      </c>
      <c r="J27" s="18" t="s">
        <v>259</v>
      </c>
    </row>
    <row r="28" spans="1:10" x14ac:dyDescent="0.35">
      <c r="A28" s="18" t="s">
        <v>260</v>
      </c>
      <c r="B28" s="18" t="s">
        <v>143</v>
      </c>
      <c r="C28" s="19">
        <v>45981</v>
      </c>
      <c r="D28" s="18" t="s">
        <v>144</v>
      </c>
      <c r="E28" s="20">
        <v>256779419546</v>
      </c>
      <c r="F28" s="18" t="s">
        <v>141</v>
      </c>
      <c r="G28" s="21">
        <v>56.4</v>
      </c>
      <c r="H28" s="18" t="s">
        <v>131</v>
      </c>
      <c r="I28" s="21">
        <v>4963.3900000000003</v>
      </c>
      <c r="J28" s="18" t="s">
        <v>261</v>
      </c>
    </row>
    <row r="29" spans="1:10" x14ac:dyDescent="0.35">
      <c r="A29" s="18" t="s">
        <v>262</v>
      </c>
      <c r="B29" s="18" t="s">
        <v>143</v>
      </c>
      <c r="C29" s="19">
        <v>45918</v>
      </c>
      <c r="D29" s="18" t="s">
        <v>144</v>
      </c>
      <c r="E29" s="20">
        <v>256779417488</v>
      </c>
      <c r="F29" s="18" t="s">
        <v>141</v>
      </c>
      <c r="G29" s="21">
        <v>52.64</v>
      </c>
      <c r="H29" s="18" t="s">
        <v>131</v>
      </c>
      <c r="I29" s="21">
        <v>4606.75</v>
      </c>
      <c r="J29" s="18" t="s">
        <v>263</v>
      </c>
    </row>
    <row r="30" spans="1:10" x14ac:dyDescent="0.35">
      <c r="A30" s="18" t="s">
        <v>272</v>
      </c>
      <c r="B30" s="18" t="s">
        <v>143</v>
      </c>
      <c r="C30" s="19">
        <v>45810</v>
      </c>
      <c r="D30" s="18" t="s">
        <v>144</v>
      </c>
      <c r="E30" s="20">
        <v>256779413945</v>
      </c>
      <c r="F30" s="18" t="s">
        <v>141</v>
      </c>
      <c r="G30" s="21">
        <v>50.75</v>
      </c>
      <c r="H30" s="18" t="s">
        <v>131</v>
      </c>
      <c r="I30" s="21">
        <v>4338.66</v>
      </c>
      <c r="J30" s="18" t="s">
        <v>212</v>
      </c>
    </row>
    <row r="31" spans="1:10" x14ac:dyDescent="0.35">
      <c r="A31" s="18" t="s">
        <v>273</v>
      </c>
      <c r="B31" s="18" t="s">
        <v>143</v>
      </c>
      <c r="C31" s="19">
        <v>45810</v>
      </c>
      <c r="D31" s="18" t="s">
        <v>144</v>
      </c>
      <c r="E31" s="20">
        <v>256779413955</v>
      </c>
      <c r="F31" s="18" t="s">
        <v>141</v>
      </c>
      <c r="G31" s="21">
        <v>50.75</v>
      </c>
      <c r="H31" s="18" t="s">
        <v>131</v>
      </c>
      <c r="I31" s="21">
        <v>4338.66</v>
      </c>
      <c r="J31" s="18" t="s">
        <v>274</v>
      </c>
    </row>
    <row r="32" spans="1:10" x14ac:dyDescent="0.35">
      <c r="A32" s="18" t="s">
        <v>285</v>
      </c>
      <c r="B32" s="18" t="s">
        <v>143</v>
      </c>
      <c r="C32" s="19">
        <v>45857</v>
      </c>
      <c r="D32" s="18" t="s">
        <v>144</v>
      </c>
      <c r="E32" s="20">
        <v>256779415770</v>
      </c>
      <c r="F32" s="18" t="s">
        <v>141</v>
      </c>
      <c r="G32" s="21">
        <v>1425.77</v>
      </c>
      <c r="H32" s="18" t="s">
        <v>131</v>
      </c>
      <c r="I32" s="21">
        <v>122617.18</v>
      </c>
      <c r="J32" s="18" t="s">
        <v>286</v>
      </c>
    </row>
    <row r="33" spans="1:10" x14ac:dyDescent="0.35">
      <c r="A33" s="18" t="s">
        <v>287</v>
      </c>
      <c r="B33" s="18" t="s">
        <v>143</v>
      </c>
      <c r="C33" s="19">
        <v>45857</v>
      </c>
      <c r="D33" s="18" t="s">
        <v>144</v>
      </c>
      <c r="E33" s="20">
        <v>256779415776</v>
      </c>
      <c r="F33" s="18" t="s">
        <v>141</v>
      </c>
      <c r="G33" s="21">
        <v>83.9</v>
      </c>
      <c r="H33" s="18" t="s">
        <v>131</v>
      </c>
      <c r="I33" s="21">
        <v>7215.46</v>
      </c>
      <c r="J33" s="18" t="s">
        <v>288</v>
      </c>
    </row>
    <row r="34" spans="1:10" x14ac:dyDescent="0.35">
      <c r="A34" s="18" t="s">
        <v>297</v>
      </c>
      <c r="B34" s="18" t="s">
        <v>143</v>
      </c>
      <c r="C34" s="19">
        <v>45787</v>
      </c>
      <c r="D34" s="18" t="s">
        <v>144</v>
      </c>
      <c r="E34" s="20">
        <v>256779413251</v>
      </c>
      <c r="F34" s="18" t="s">
        <v>141</v>
      </c>
      <c r="G34" s="21">
        <v>87.01</v>
      </c>
      <c r="H34" s="18" t="s">
        <v>131</v>
      </c>
      <c r="I34" s="21">
        <v>7481.44</v>
      </c>
      <c r="J34" s="18" t="s">
        <v>298</v>
      </c>
    </row>
    <row r="35" spans="1:10" x14ac:dyDescent="0.35">
      <c r="A35" s="18" t="s">
        <v>299</v>
      </c>
      <c r="B35" s="18" t="s">
        <v>143</v>
      </c>
      <c r="C35" s="19">
        <v>45948</v>
      </c>
      <c r="D35" s="18" t="s">
        <v>144</v>
      </c>
      <c r="E35" s="20">
        <v>256779418426</v>
      </c>
      <c r="F35" s="18" t="s">
        <v>141</v>
      </c>
      <c r="G35" s="21">
        <v>124.55</v>
      </c>
      <c r="H35" s="18" t="s">
        <v>131</v>
      </c>
      <c r="I35" s="21">
        <v>10984.16</v>
      </c>
      <c r="J35" s="18" t="s">
        <v>300</v>
      </c>
    </row>
    <row r="36" spans="1:10" x14ac:dyDescent="0.35">
      <c r="A36" s="18" t="s">
        <v>301</v>
      </c>
      <c r="B36" s="18" t="s">
        <v>143</v>
      </c>
      <c r="C36" s="19">
        <v>45948</v>
      </c>
      <c r="D36" s="18" t="s">
        <v>144</v>
      </c>
      <c r="E36" s="20">
        <v>256779418441</v>
      </c>
      <c r="F36" s="18" t="s">
        <v>141</v>
      </c>
      <c r="G36" s="21">
        <v>112.8</v>
      </c>
      <c r="H36" s="18" t="s">
        <v>131</v>
      </c>
      <c r="I36" s="21">
        <v>9947.92</v>
      </c>
      <c r="J36" s="18" t="s">
        <v>302</v>
      </c>
    </row>
    <row r="37" spans="1:10" x14ac:dyDescent="0.35">
      <c r="A37" s="18" t="s">
        <v>303</v>
      </c>
      <c r="B37" s="18" t="s">
        <v>143</v>
      </c>
      <c r="C37" s="19">
        <v>45815</v>
      </c>
      <c r="D37" s="18" t="s">
        <v>144</v>
      </c>
      <c r="E37" s="20">
        <v>256779414241</v>
      </c>
      <c r="F37" s="18" t="s">
        <v>141</v>
      </c>
      <c r="G37" s="21">
        <v>632.96</v>
      </c>
      <c r="H37" s="18" t="s">
        <v>131</v>
      </c>
      <c r="I37" s="21">
        <v>54112.24</v>
      </c>
      <c r="J37" s="18" t="s">
        <v>304</v>
      </c>
    </row>
    <row r="38" spans="1:10" x14ac:dyDescent="0.35">
      <c r="A38" s="18" t="s">
        <v>305</v>
      </c>
      <c r="B38" s="18" t="s">
        <v>143</v>
      </c>
      <c r="C38" s="19">
        <v>45936</v>
      </c>
      <c r="D38" s="18" t="s">
        <v>144</v>
      </c>
      <c r="E38" s="20">
        <v>256779418009</v>
      </c>
      <c r="F38" s="18" t="s">
        <v>141</v>
      </c>
      <c r="G38" s="21">
        <v>1480.75</v>
      </c>
      <c r="H38" s="18" t="s">
        <v>131</v>
      </c>
      <c r="I38" s="21">
        <v>130588.48</v>
      </c>
      <c r="J38" s="18" t="s">
        <v>306</v>
      </c>
    </row>
    <row r="39" spans="1:10" x14ac:dyDescent="0.35">
      <c r="A39" s="18" t="s">
        <v>307</v>
      </c>
      <c r="B39" s="18" t="s">
        <v>143</v>
      </c>
      <c r="C39" s="19">
        <v>45935</v>
      </c>
      <c r="D39" s="18" t="s">
        <v>144</v>
      </c>
      <c r="E39" s="20">
        <v>256779417991</v>
      </c>
      <c r="F39" s="18" t="s">
        <v>141</v>
      </c>
      <c r="G39" s="21">
        <v>184.54</v>
      </c>
      <c r="H39" s="18" t="s">
        <v>131</v>
      </c>
      <c r="I39" s="21">
        <v>16274.72</v>
      </c>
      <c r="J39" s="18" t="s">
        <v>308</v>
      </c>
    </row>
    <row r="40" spans="1:10" x14ac:dyDescent="0.35">
      <c r="A40" s="18" t="s">
        <v>311</v>
      </c>
      <c r="B40" s="18" t="s">
        <v>143</v>
      </c>
      <c r="C40" s="19">
        <v>45906</v>
      </c>
      <c r="D40" s="18" t="s">
        <v>144</v>
      </c>
      <c r="E40" s="20">
        <v>256779417083</v>
      </c>
      <c r="F40" s="18" t="s">
        <v>141</v>
      </c>
      <c r="G40" s="21">
        <v>634.36</v>
      </c>
      <c r="H40" s="18" t="s">
        <v>131</v>
      </c>
      <c r="I40" s="21">
        <v>55515.59</v>
      </c>
      <c r="J40" s="18" t="s">
        <v>312</v>
      </c>
    </row>
    <row r="41" spans="1:10" x14ac:dyDescent="0.35">
      <c r="A41" s="18" t="s">
        <v>314</v>
      </c>
      <c r="B41" s="18" t="s">
        <v>143</v>
      </c>
      <c r="C41" s="19">
        <v>46024</v>
      </c>
      <c r="D41" s="18" t="s">
        <v>144</v>
      </c>
      <c r="E41" s="20">
        <v>256779440021</v>
      </c>
      <c r="F41" s="18" t="s">
        <v>141</v>
      </c>
      <c r="G41" s="21">
        <v>950.6</v>
      </c>
      <c r="H41" s="18" t="s">
        <v>131</v>
      </c>
      <c r="I41" s="21">
        <v>86260.43</v>
      </c>
      <c r="J41" s="18" t="s">
        <v>315</v>
      </c>
    </row>
    <row r="42" spans="1:10" x14ac:dyDescent="0.35">
      <c r="A42" s="18" t="s">
        <v>323</v>
      </c>
      <c r="B42" s="18" t="s">
        <v>143</v>
      </c>
      <c r="C42" s="19">
        <v>46028</v>
      </c>
      <c r="D42" s="18" t="s">
        <v>324</v>
      </c>
      <c r="E42" s="20">
        <v>256779440161</v>
      </c>
      <c r="F42" s="18" t="s">
        <v>141</v>
      </c>
      <c r="G42" s="21">
        <v>56.74</v>
      </c>
      <c r="H42" s="18" t="s">
        <v>131</v>
      </c>
      <c r="I42" s="21">
        <v>5148.7700000000004</v>
      </c>
      <c r="J42" s="18" t="s">
        <v>325</v>
      </c>
    </row>
    <row r="43" spans="1:10" x14ac:dyDescent="0.35">
      <c r="A43" s="18" t="s">
        <v>326</v>
      </c>
      <c r="B43" s="18" t="s">
        <v>143</v>
      </c>
      <c r="C43" s="19">
        <v>46034</v>
      </c>
      <c r="D43" s="18" t="s">
        <v>327</v>
      </c>
      <c r="E43" s="20">
        <v>256779440171</v>
      </c>
      <c r="F43" s="18" t="s">
        <v>141</v>
      </c>
      <c r="G43" s="21">
        <v>180.4</v>
      </c>
      <c r="H43" s="18" t="s">
        <v>131</v>
      </c>
      <c r="I43" s="21">
        <v>16370.06</v>
      </c>
      <c r="J43" s="18" t="s">
        <v>328</v>
      </c>
    </row>
    <row r="44" spans="1:10" x14ac:dyDescent="0.35">
      <c r="A44" s="18" t="s">
        <v>329</v>
      </c>
      <c r="B44" s="18" t="s">
        <v>143</v>
      </c>
      <c r="C44" s="19">
        <v>46028</v>
      </c>
      <c r="D44" s="18" t="s">
        <v>330</v>
      </c>
      <c r="E44" s="20">
        <v>256779440249</v>
      </c>
      <c r="F44" s="18" t="s">
        <v>141</v>
      </c>
      <c r="G44" s="21">
        <v>1037.05</v>
      </c>
      <c r="H44" s="18" t="s">
        <v>131</v>
      </c>
      <c r="I44" s="21">
        <v>94105.17</v>
      </c>
      <c r="J44" s="18" t="s">
        <v>331</v>
      </c>
    </row>
    <row r="45" spans="1:10" x14ac:dyDescent="0.35">
      <c r="A45" s="18" t="s">
        <v>335</v>
      </c>
      <c r="B45" s="18" t="s">
        <v>143</v>
      </c>
      <c r="C45" s="19">
        <v>46034</v>
      </c>
      <c r="D45" s="18" t="s">
        <v>336</v>
      </c>
      <c r="E45" s="20">
        <v>256779440281</v>
      </c>
      <c r="F45" s="18" t="s">
        <v>141</v>
      </c>
      <c r="G45" s="21">
        <v>933.73</v>
      </c>
      <c r="H45" s="18" t="s">
        <v>131</v>
      </c>
      <c r="I45" s="21">
        <v>84729.59</v>
      </c>
      <c r="J45" s="18" t="s">
        <v>337</v>
      </c>
    </row>
    <row r="46" spans="1:10" x14ac:dyDescent="0.35">
      <c r="A46" s="18" t="s">
        <v>338</v>
      </c>
      <c r="B46" s="18" t="s">
        <v>143</v>
      </c>
      <c r="C46" s="19">
        <v>46034</v>
      </c>
      <c r="D46" s="18" t="s">
        <v>336</v>
      </c>
      <c r="E46" s="20">
        <v>256779440292</v>
      </c>
      <c r="F46" s="18" t="s">
        <v>141</v>
      </c>
      <c r="G46" s="21">
        <v>40.04</v>
      </c>
      <c r="H46" s="18" t="s">
        <v>131</v>
      </c>
      <c r="I46" s="21">
        <v>3633.36</v>
      </c>
      <c r="J46" s="18" t="s">
        <v>339</v>
      </c>
    </row>
    <row r="47" spans="1:10" x14ac:dyDescent="0.35">
      <c r="A47" s="25"/>
      <c r="B47" s="18"/>
      <c r="C47" s="19"/>
      <c r="D47" s="20"/>
      <c r="E47" s="18"/>
      <c r="F47" s="21"/>
      <c r="G47" s="18"/>
      <c r="H47" s="21"/>
      <c r="I47" s="18"/>
      <c r="J47" s="23"/>
    </row>
    <row r="48" spans="1:10" x14ac:dyDescent="0.35">
      <c r="F48" s="22"/>
    </row>
    <row r="50" spans="6:6" x14ac:dyDescent="0.35">
      <c r="F50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98748-849C-4001-933A-8F82D22E427C}">
  <dimension ref="A2:J15"/>
  <sheetViews>
    <sheetView workbookViewId="0">
      <selection activeCell="K21" sqref="K21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20.1796875" bestFit="1" customWidth="1"/>
    <col min="5" max="5" width="12.90625" bestFit="1" customWidth="1"/>
    <col min="6" max="6" width="8.26953125" bestFit="1" customWidth="1"/>
    <col min="7" max="7" width="8.453125" bestFit="1" customWidth="1"/>
    <col min="9" max="9" width="9.453125" bestFit="1" customWidth="1"/>
    <col min="10" max="10" width="41.26953125" bestFit="1" customWidth="1"/>
  </cols>
  <sheetData>
    <row r="2" spans="1:10" ht="58" x14ac:dyDescent="0.35">
      <c r="A2" s="27" t="s">
        <v>120</v>
      </c>
      <c r="B2" s="28" t="s">
        <v>121</v>
      </c>
      <c r="C2" s="27" t="s">
        <v>122</v>
      </c>
      <c r="D2" s="27" t="s">
        <v>123</v>
      </c>
      <c r="E2" s="27" t="s">
        <v>124</v>
      </c>
      <c r="F2" s="28" t="s">
        <v>125</v>
      </c>
      <c r="G2" s="28" t="s">
        <v>126</v>
      </c>
      <c r="H2" s="28" t="s">
        <v>127</v>
      </c>
      <c r="I2" s="28" t="s">
        <v>128</v>
      </c>
      <c r="J2" s="27"/>
    </row>
    <row r="3" spans="1:10" x14ac:dyDescent="0.35">
      <c r="A3" s="1" t="s">
        <v>155</v>
      </c>
      <c r="B3" s="1" t="s">
        <v>153</v>
      </c>
      <c r="C3" s="2">
        <v>45693</v>
      </c>
      <c r="D3" s="1" t="s">
        <v>144</v>
      </c>
      <c r="E3" s="16">
        <v>246779420001</v>
      </c>
      <c r="F3" s="1" t="s">
        <v>141</v>
      </c>
      <c r="G3" s="3">
        <v>-50.75</v>
      </c>
      <c r="H3" s="1" t="s">
        <v>131</v>
      </c>
      <c r="I3" s="3">
        <v>-4379.91</v>
      </c>
      <c r="J3" s="1" t="s">
        <v>156</v>
      </c>
    </row>
    <row r="4" spans="1:10" x14ac:dyDescent="0.35">
      <c r="A4" s="1" t="s">
        <v>191</v>
      </c>
      <c r="B4" s="1" t="s">
        <v>153</v>
      </c>
      <c r="C4" s="2">
        <v>45791</v>
      </c>
      <c r="D4" s="1" t="s">
        <v>144</v>
      </c>
      <c r="E4" s="16">
        <v>256779420425</v>
      </c>
      <c r="F4" s="1" t="s">
        <v>141</v>
      </c>
      <c r="G4" s="3">
        <v>-50.75</v>
      </c>
      <c r="H4" s="1" t="s">
        <v>131</v>
      </c>
      <c r="I4" s="3">
        <v>-4411.28</v>
      </c>
      <c r="J4" s="1" t="s">
        <v>192</v>
      </c>
    </row>
    <row r="5" spans="1:10" x14ac:dyDescent="0.35">
      <c r="A5" s="1" t="s">
        <v>193</v>
      </c>
      <c r="B5" s="1" t="s">
        <v>153</v>
      </c>
      <c r="C5" s="2">
        <v>45791</v>
      </c>
      <c r="D5" s="1" t="s">
        <v>144</v>
      </c>
      <c r="E5" s="16">
        <v>256779420512</v>
      </c>
      <c r="F5" s="1" t="s">
        <v>141</v>
      </c>
      <c r="G5" s="3">
        <v>-50.75</v>
      </c>
      <c r="H5" s="1" t="s">
        <v>131</v>
      </c>
      <c r="I5" s="3">
        <v>-4411.28</v>
      </c>
      <c r="J5" s="1" t="s">
        <v>194</v>
      </c>
    </row>
    <row r="6" spans="1:10" x14ac:dyDescent="0.35">
      <c r="A6" s="1" t="s">
        <v>217</v>
      </c>
      <c r="B6" s="1" t="s">
        <v>153</v>
      </c>
      <c r="C6" s="2">
        <v>45873</v>
      </c>
      <c r="D6" s="1" t="s">
        <v>144</v>
      </c>
      <c r="E6" s="16">
        <v>256779421609</v>
      </c>
      <c r="F6" s="1" t="s">
        <v>141</v>
      </c>
      <c r="G6" s="3">
        <v>-83.9</v>
      </c>
      <c r="H6" s="1" t="s">
        <v>131</v>
      </c>
      <c r="I6" s="3">
        <v>-7215.46</v>
      </c>
      <c r="J6" s="1" t="s">
        <v>218</v>
      </c>
    </row>
    <row r="7" spans="1:10" x14ac:dyDescent="0.35">
      <c r="A7" s="1" t="s">
        <v>223</v>
      </c>
      <c r="B7" s="1" t="s">
        <v>153</v>
      </c>
      <c r="C7" s="2">
        <v>45862</v>
      </c>
      <c r="D7" s="1" t="s">
        <v>144</v>
      </c>
      <c r="E7" s="16">
        <v>256779421493</v>
      </c>
      <c r="F7" s="1" t="s">
        <v>141</v>
      </c>
      <c r="G7" s="3">
        <v>-50.75</v>
      </c>
      <c r="H7" s="1" t="s">
        <v>131</v>
      </c>
      <c r="I7" s="3">
        <v>-4364.53</v>
      </c>
      <c r="J7" s="1" t="s">
        <v>224</v>
      </c>
    </row>
    <row r="8" spans="1:10" x14ac:dyDescent="0.35">
      <c r="A8" s="1" t="s">
        <v>225</v>
      </c>
      <c r="B8" s="1" t="s">
        <v>153</v>
      </c>
      <c r="C8" s="2">
        <v>45862</v>
      </c>
      <c r="D8" s="1" t="s">
        <v>144</v>
      </c>
      <c r="E8" s="16">
        <v>256779421527</v>
      </c>
      <c r="F8" s="1" t="s">
        <v>141</v>
      </c>
      <c r="G8" s="3">
        <v>-50.75</v>
      </c>
      <c r="H8" s="1" t="s">
        <v>131</v>
      </c>
      <c r="I8" s="3">
        <v>-4364.53</v>
      </c>
      <c r="J8" s="1" t="s">
        <v>226</v>
      </c>
    </row>
    <row r="9" spans="1:10" x14ac:dyDescent="0.35">
      <c r="A9" s="1" t="s">
        <v>227</v>
      </c>
      <c r="B9" s="1" t="s">
        <v>153</v>
      </c>
      <c r="C9" s="2">
        <v>45862</v>
      </c>
      <c r="D9" s="1" t="s">
        <v>144</v>
      </c>
      <c r="E9" s="16">
        <v>256779421544</v>
      </c>
      <c r="F9" s="1" t="s">
        <v>141</v>
      </c>
      <c r="G9" s="3">
        <v>-50.75</v>
      </c>
      <c r="H9" s="1" t="s">
        <v>131</v>
      </c>
      <c r="I9" s="3">
        <v>-4364.53</v>
      </c>
      <c r="J9" s="1" t="s">
        <v>228</v>
      </c>
    </row>
    <row r="10" spans="1:10" x14ac:dyDescent="0.35">
      <c r="A10" s="1" t="s">
        <v>233</v>
      </c>
      <c r="B10" s="1" t="s">
        <v>153</v>
      </c>
      <c r="C10" s="2">
        <v>45862</v>
      </c>
      <c r="D10" s="1" t="s">
        <v>144</v>
      </c>
      <c r="E10" s="16">
        <v>256779421471</v>
      </c>
      <c r="F10" s="1" t="s">
        <v>141</v>
      </c>
      <c r="G10" s="3">
        <v>-50.75</v>
      </c>
      <c r="H10" s="1" t="s">
        <v>131</v>
      </c>
      <c r="I10" s="3">
        <v>-4364.53</v>
      </c>
      <c r="J10" s="1" t="s">
        <v>234</v>
      </c>
    </row>
    <row r="11" spans="1:10" x14ac:dyDescent="0.35">
      <c r="A11" s="1" t="s">
        <v>268</v>
      </c>
      <c r="B11" s="1" t="s">
        <v>153</v>
      </c>
      <c r="C11" s="2">
        <v>45799</v>
      </c>
      <c r="D11" s="1" t="s">
        <v>144</v>
      </c>
      <c r="E11" s="16">
        <v>256779420758</v>
      </c>
      <c r="F11" s="1" t="s">
        <v>141</v>
      </c>
      <c r="G11" s="3">
        <v>-50.75</v>
      </c>
      <c r="H11" s="1" t="s">
        <v>131</v>
      </c>
      <c r="I11" s="3">
        <v>-4379.91</v>
      </c>
      <c r="J11" s="1" t="s">
        <v>269</v>
      </c>
    </row>
    <row r="12" spans="1:10" x14ac:dyDescent="0.35">
      <c r="A12" s="1" t="s">
        <v>270</v>
      </c>
      <c r="B12" s="1" t="s">
        <v>153</v>
      </c>
      <c r="C12" s="2">
        <v>45799</v>
      </c>
      <c r="D12" s="1" t="s">
        <v>144</v>
      </c>
      <c r="E12" s="16">
        <v>256779420757</v>
      </c>
      <c r="F12" s="1" t="s">
        <v>141</v>
      </c>
      <c r="G12" s="3">
        <v>-50.75</v>
      </c>
      <c r="H12" s="1" t="s">
        <v>131</v>
      </c>
      <c r="I12" s="3">
        <v>-4379.91</v>
      </c>
      <c r="J12" s="1" t="s">
        <v>271</v>
      </c>
    </row>
    <row r="13" spans="1:10" x14ac:dyDescent="0.35">
      <c r="A13" s="1" t="s">
        <v>318</v>
      </c>
      <c r="B13" s="1" t="s">
        <v>153</v>
      </c>
      <c r="C13" s="2">
        <v>46027</v>
      </c>
      <c r="D13" s="1" t="s">
        <v>144</v>
      </c>
      <c r="E13" s="16">
        <v>256779422166</v>
      </c>
      <c r="F13" s="1" t="s">
        <v>141</v>
      </c>
      <c r="G13" s="3">
        <v>-950.87</v>
      </c>
      <c r="H13" s="1" t="s">
        <v>131</v>
      </c>
      <c r="I13" s="3">
        <v>-86284.93</v>
      </c>
      <c r="J13" s="1" t="s">
        <v>319</v>
      </c>
    </row>
    <row r="14" spans="1:10" x14ac:dyDescent="0.35">
      <c r="A14" s="1" t="s">
        <v>320</v>
      </c>
      <c r="B14" s="1" t="s">
        <v>153</v>
      </c>
      <c r="C14" s="2">
        <v>46027</v>
      </c>
      <c r="D14" s="1" t="s">
        <v>144</v>
      </c>
      <c r="E14" s="16">
        <v>256779422171</v>
      </c>
      <c r="F14" s="1" t="s">
        <v>141</v>
      </c>
      <c r="G14" s="3">
        <v>-40.770000000000003</v>
      </c>
      <c r="H14" s="1" t="s">
        <v>131</v>
      </c>
      <c r="I14" s="3">
        <v>-3699.6</v>
      </c>
      <c r="J14" s="1" t="s">
        <v>321</v>
      </c>
    </row>
    <row r="15" spans="1:10" x14ac:dyDescent="0.35">
      <c r="G15" s="22">
        <f>SUM(G3:G14)</f>
        <v>-1532.29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C543-5EA6-4A30-B311-49D81F90F47B}">
  <dimension ref="A1:N4"/>
  <sheetViews>
    <sheetView zoomScale="115" zoomScaleNormal="115" workbookViewId="0">
      <selection activeCell="C1" sqref="C1:C1048576"/>
    </sheetView>
  </sheetViews>
  <sheetFormatPr defaultRowHeight="14.5" x14ac:dyDescent="0.35"/>
  <cols>
    <col min="1" max="1" width="16.81640625" bestFit="1" customWidth="1"/>
    <col min="2" max="2" width="9.90625" customWidth="1"/>
    <col min="3" max="3" width="11.81640625" style="60" customWidth="1"/>
    <col min="4" max="4" width="13.26953125" bestFit="1" customWidth="1"/>
    <col min="5" max="5" width="11.6328125" bestFit="1" customWidth="1"/>
    <col min="6" max="6" width="7.36328125" bestFit="1" customWidth="1"/>
    <col min="7" max="7" width="7.54296875" bestFit="1" customWidth="1"/>
    <col min="8" max="8" width="8.81640625" bestFit="1" customWidth="1"/>
    <col min="9" max="9" width="23.08984375" bestFit="1" customWidth="1"/>
    <col min="10" max="10" width="1.81640625" bestFit="1" customWidth="1"/>
    <col min="11" max="11" width="12.7265625" bestFit="1" customWidth="1"/>
    <col min="12" max="12" width="10.90625" bestFit="1" customWidth="1"/>
    <col min="13" max="13" width="22.90625" bestFit="1" customWidth="1"/>
    <col min="14" max="14" width="7" bestFit="1" customWidth="1"/>
  </cols>
  <sheetData>
    <row r="1" spans="1:14" ht="58" x14ac:dyDescent="0.35">
      <c r="A1" s="27" t="s">
        <v>120</v>
      </c>
      <c r="B1" s="28" t="s">
        <v>121</v>
      </c>
      <c r="C1" s="28" t="s">
        <v>122</v>
      </c>
      <c r="D1" s="27" t="s">
        <v>124</v>
      </c>
      <c r="E1" s="28" t="s">
        <v>125</v>
      </c>
      <c r="F1" s="28" t="s">
        <v>126</v>
      </c>
      <c r="G1" s="28" t="s">
        <v>127</v>
      </c>
      <c r="H1" s="28" t="s">
        <v>128</v>
      </c>
      <c r="I1" s="27"/>
      <c r="J1" s="27"/>
      <c r="K1" s="27" t="s">
        <v>353</v>
      </c>
      <c r="L1" s="27" t="s">
        <v>351</v>
      </c>
      <c r="M1" s="49" t="s">
        <v>401</v>
      </c>
    </row>
    <row r="2" spans="1:14" x14ac:dyDescent="0.35">
      <c r="A2" s="1" t="s">
        <v>344</v>
      </c>
      <c r="B2" s="1" t="s">
        <v>143</v>
      </c>
      <c r="C2" s="59">
        <v>46035</v>
      </c>
      <c r="D2" s="16">
        <v>256779440359</v>
      </c>
      <c r="E2" s="1" t="s">
        <v>141</v>
      </c>
      <c r="F2" s="3">
        <v>821.64</v>
      </c>
      <c r="G2" s="1" t="s">
        <v>131</v>
      </c>
      <c r="H2" s="3">
        <v>74558.19</v>
      </c>
      <c r="I2" s="1" t="s">
        <v>345</v>
      </c>
      <c r="J2">
        <v>1</v>
      </c>
      <c r="K2">
        <v>40.04</v>
      </c>
      <c r="L2">
        <v>39.04</v>
      </c>
      <c r="M2" s="13">
        <f>F2-K2</f>
        <v>781.6</v>
      </c>
      <c r="N2" s="22"/>
    </row>
    <row r="3" spans="1:14" x14ac:dyDescent="0.35">
      <c r="A3" s="1" t="s">
        <v>346</v>
      </c>
      <c r="B3" s="1" t="s">
        <v>143</v>
      </c>
      <c r="C3" s="59">
        <v>46035</v>
      </c>
      <c r="D3" s="16">
        <v>256779440370</v>
      </c>
      <c r="E3" s="1" t="s">
        <v>141</v>
      </c>
      <c r="F3" s="3">
        <v>60.36</v>
      </c>
      <c r="G3" s="1" t="s">
        <v>131</v>
      </c>
      <c r="H3" s="3">
        <v>5477.26</v>
      </c>
      <c r="I3" s="1" t="s">
        <v>347</v>
      </c>
      <c r="J3">
        <v>1</v>
      </c>
      <c r="K3">
        <v>63.21</v>
      </c>
      <c r="L3">
        <f>K3-J3</f>
        <v>62.21</v>
      </c>
      <c r="M3" s="13">
        <f t="shared" ref="M3" si="0">F3-K3</f>
        <v>-2.8500000000000014</v>
      </c>
    </row>
    <row r="4" spans="1:14" x14ac:dyDescent="0.35">
      <c r="M4" s="30">
        <f>SUM(M2:M3)</f>
        <v>778.75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0EA3-CAFE-4D2E-AEDC-3641996925B1}">
  <dimension ref="A1:O47"/>
  <sheetViews>
    <sheetView topLeftCell="E15" workbookViewId="0">
      <selection activeCell="N47" sqref="N47"/>
    </sheetView>
  </sheetViews>
  <sheetFormatPr defaultRowHeight="14.5" x14ac:dyDescent="0.35"/>
  <cols>
    <col min="1" max="1" width="16.81640625" bestFit="1" customWidth="1"/>
    <col min="2" max="2" width="14" bestFit="1" customWidth="1"/>
    <col min="3" max="3" width="13.90625" bestFit="1" customWidth="1"/>
    <col min="4" max="4" width="20.1796875" hidden="1" customWidth="1"/>
    <col min="5" max="5" width="12.90625" bestFit="1" customWidth="1"/>
    <col min="6" max="7" width="9.453125" bestFit="1" customWidth="1"/>
    <col min="8" max="8" width="25" bestFit="1" customWidth="1"/>
    <col min="9" max="9" width="10.26953125" bestFit="1" customWidth="1"/>
    <col min="10" max="10" width="36.453125" bestFit="1" customWidth="1"/>
    <col min="11" max="11" width="2.81640625" bestFit="1" customWidth="1"/>
    <col min="12" max="12" width="7.81640625" bestFit="1" customWidth="1"/>
    <col min="13" max="13" width="11.6328125" style="15" bestFit="1" customWidth="1"/>
    <col min="14" max="14" width="8.7265625" style="48"/>
  </cols>
  <sheetData>
    <row r="1" spans="1:15" x14ac:dyDescent="0.35">
      <c r="N1" s="48">
        <f>SUM(N3:N47)</f>
        <v>258</v>
      </c>
    </row>
    <row r="2" spans="1:15" ht="58" x14ac:dyDescent="0.35">
      <c r="A2" s="27" t="s">
        <v>120</v>
      </c>
      <c r="B2" s="28" t="s">
        <v>121</v>
      </c>
      <c r="C2" s="27" t="s">
        <v>122</v>
      </c>
      <c r="D2" s="27" t="s">
        <v>123</v>
      </c>
      <c r="E2" s="27" t="s">
        <v>124</v>
      </c>
      <c r="F2" s="28" t="s">
        <v>125</v>
      </c>
      <c r="G2" s="28" t="s">
        <v>126</v>
      </c>
      <c r="H2" s="28" t="s">
        <v>127</v>
      </c>
      <c r="I2" s="28" t="s">
        <v>128</v>
      </c>
      <c r="J2" s="27"/>
      <c r="K2" s="27"/>
      <c r="L2" s="27" t="s">
        <v>353</v>
      </c>
      <c r="M2" s="27" t="s">
        <v>351</v>
      </c>
      <c r="N2" s="49" t="s">
        <v>352</v>
      </c>
      <c r="O2" s="47" t="s">
        <v>356</v>
      </c>
    </row>
    <row r="3" spans="1:15" x14ac:dyDescent="0.35">
      <c r="A3" s="1" t="s">
        <v>150</v>
      </c>
      <c r="B3" s="1" t="s">
        <v>143</v>
      </c>
      <c r="C3" s="2">
        <v>45870</v>
      </c>
      <c r="D3" s="1" t="s">
        <v>144</v>
      </c>
      <c r="E3" s="16">
        <v>256779416055</v>
      </c>
      <c r="F3" s="1" t="s">
        <v>141</v>
      </c>
      <c r="G3" s="3">
        <v>50.75</v>
      </c>
      <c r="H3" s="1" t="s">
        <v>131</v>
      </c>
      <c r="I3" s="3">
        <v>4366.03</v>
      </c>
      <c r="J3" s="1" t="s">
        <v>151</v>
      </c>
      <c r="K3">
        <v>0</v>
      </c>
      <c r="L3">
        <v>45.75</v>
      </c>
      <c r="M3">
        <f t="shared" ref="M3:M47" si="0">L3-K3</f>
        <v>45.75</v>
      </c>
      <c r="N3" s="15">
        <f t="shared" ref="N3:N47" si="1">G3-M3</f>
        <v>5</v>
      </c>
      <c r="O3" s="26">
        <f t="shared" ref="O3:O47" si="2">N3/G3</f>
        <v>9.8522167487684734E-2</v>
      </c>
    </row>
    <row r="4" spans="1:15" x14ac:dyDescent="0.35">
      <c r="A4" s="1" t="s">
        <v>157</v>
      </c>
      <c r="B4" s="1" t="s">
        <v>143</v>
      </c>
      <c r="C4" s="2">
        <v>45818</v>
      </c>
      <c r="D4" s="1" t="s">
        <v>144</v>
      </c>
      <c r="E4" s="16">
        <v>256779414387</v>
      </c>
      <c r="F4" s="1" t="s">
        <v>141</v>
      </c>
      <c r="G4" s="3">
        <v>50.75</v>
      </c>
      <c r="H4" s="1" t="s">
        <v>131</v>
      </c>
      <c r="I4" s="3">
        <v>4338.66</v>
      </c>
      <c r="J4" s="1" t="s">
        <v>158</v>
      </c>
      <c r="K4">
        <v>0</v>
      </c>
      <c r="L4">
        <v>45.75</v>
      </c>
      <c r="M4">
        <f t="shared" si="0"/>
        <v>45.75</v>
      </c>
      <c r="N4" s="15">
        <f t="shared" si="1"/>
        <v>5</v>
      </c>
      <c r="O4" s="26">
        <f t="shared" si="2"/>
        <v>9.8522167487684734E-2</v>
      </c>
    </row>
    <row r="5" spans="1:15" x14ac:dyDescent="0.35">
      <c r="A5" s="1" t="s">
        <v>159</v>
      </c>
      <c r="B5" s="1" t="s">
        <v>143</v>
      </c>
      <c r="C5" s="2">
        <v>45917</v>
      </c>
      <c r="D5" s="1" t="s">
        <v>144</v>
      </c>
      <c r="E5" s="16">
        <v>256779417441</v>
      </c>
      <c r="F5" s="1" t="s">
        <v>141</v>
      </c>
      <c r="G5" s="3">
        <v>1902.19</v>
      </c>
      <c r="H5" s="1" t="s">
        <v>131</v>
      </c>
      <c r="I5" s="3">
        <v>166468.88</v>
      </c>
      <c r="J5" s="1" t="s">
        <v>160</v>
      </c>
      <c r="K5">
        <v>38</v>
      </c>
      <c r="L5">
        <v>1902.19</v>
      </c>
      <c r="M5">
        <f t="shared" si="0"/>
        <v>1864.19</v>
      </c>
      <c r="N5" s="15">
        <f t="shared" si="1"/>
        <v>38</v>
      </c>
      <c r="O5" s="26">
        <f t="shared" si="2"/>
        <v>1.9976973909020656E-2</v>
      </c>
    </row>
    <row r="6" spans="1:15" x14ac:dyDescent="0.35">
      <c r="A6" s="1" t="s">
        <v>161</v>
      </c>
      <c r="B6" s="1" t="s">
        <v>143</v>
      </c>
      <c r="C6" s="2">
        <v>45917</v>
      </c>
      <c r="D6" s="1" t="s">
        <v>144</v>
      </c>
      <c r="E6" s="16">
        <v>256779417450</v>
      </c>
      <c r="F6" s="1" t="s">
        <v>141</v>
      </c>
      <c r="G6" s="3">
        <v>81.569999999999993</v>
      </c>
      <c r="H6" s="1" t="s">
        <v>131</v>
      </c>
      <c r="I6" s="3">
        <v>7138.54</v>
      </c>
      <c r="J6" s="1" t="s">
        <v>162</v>
      </c>
      <c r="K6">
        <v>0</v>
      </c>
      <c r="L6">
        <v>79.569999999999993</v>
      </c>
      <c r="M6">
        <f t="shared" si="0"/>
        <v>79.569999999999993</v>
      </c>
      <c r="N6" s="15">
        <f t="shared" si="1"/>
        <v>2</v>
      </c>
      <c r="O6" s="26">
        <f t="shared" si="2"/>
        <v>2.4518818192963102E-2</v>
      </c>
    </row>
    <row r="7" spans="1:15" x14ac:dyDescent="0.35">
      <c r="A7" s="1" t="s">
        <v>163</v>
      </c>
      <c r="B7" s="1" t="s">
        <v>143</v>
      </c>
      <c r="C7" s="2">
        <v>45845</v>
      </c>
      <c r="D7" s="1" t="s">
        <v>144</v>
      </c>
      <c r="E7" s="16">
        <v>256779414967</v>
      </c>
      <c r="F7" s="1" t="s">
        <v>141</v>
      </c>
      <c r="G7" s="3">
        <v>216.2</v>
      </c>
      <c r="H7" s="1" t="s">
        <v>131</v>
      </c>
      <c r="I7" s="3">
        <v>18593.34</v>
      </c>
      <c r="J7" s="1" t="s">
        <v>130</v>
      </c>
      <c r="K7">
        <v>0</v>
      </c>
      <c r="L7">
        <v>212.2</v>
      </c>
      <c r="M7">
        <f t="shared" si="0"/>
        <v>212.2</v>
      </c>
      <c r="N7" s="15">
        <f t="shared" si="1"/>
        <v>4</v>
      </c>
      <c r="O7" s="26">
        <f t="shared" si="2"/>
        <v>1.8501387604070305E-2</v>
      </c>
    </row>
    <row r="8" spans="1:15" x14ac:dyDescent="0.35">
      <c r="A8" s="1" t="s">
        <v>164</v>
      </c>
      <c r="B8" s="1" t="s">
        <v>143</v>
      </c>
      <c r="C8" s="2">
        <v>45904</v>
      </c>
      <c r="D8" s="1" t="s">
        <v>144</v>
      </c>
      <c r="E8" s="16">
        <v>256779417374</v>
      </c>
      <c r="F8" s="1" t="s">
        <v>141</v>
      </c>
      <c r="G8" s="3">
        <v>50.75</v>
      </c>
      <c r="H8" s="1" t="s">
        <v>131</v>
      </c>
      <c r="I8" s="3">
        <v>4441.3500000000004</v>
      </c>
      <c r="J8" s="1" t="s">
        <v>165</v>
      </c>
      <c r="K8">
        <v>0</v>
      </c>
      <c r="L8">
        <v>45.75</v>
      </c>
      <c r="M8">
        <f t="shared" si="0"/>
        <v>45.75</v>
      </c>
      <c r="N8" s="15">
        <f t="shared" si="1"/>
        <v>5</v>
      </c>
      <c r="O8" s="26">
        <f t="shared" si="2"/>
        <v>9.8522167487684734E-2</v>
      </c>
    </row>
    <row r="9" spans="1:15" x14ac:dyDescent="0.35">
      <c r="A9" s="1" t="s">
        <v>166</v>
      </c>
      <c r="B9" s="1" t="s">
        <v>143</v>
      </c>
      <c r="C9" s="2">
        <v>45842</v>
      </c>
      <c r="D9" s="1" t="s">
        <v>144</v>
      </c>
      <c r="E9" s="16">
        <v>256779414767</v>
      </c>
      <c r="F9" s="1" t="s">
        <v>141</v>
      </c>
      <c r="G9" s="3">
        <v>19.7</v>
      </c>
      <c r="H9" s="1" t="s">
        <v>131</v>
      </c>
      <c r="I9" s="3">
        <v>1694.21</v>
      </c>
      <c r="J9" s="1" t="s">
        <v>167</v>
      </c>
      <c r="K9">
        <v>0</v>
      </c>
      <c r="L9">
        <v>19.7</v>
      </c>
      <c r="M9">
        <f t="shared" si="0"/>
        <v>19.7</v>
      </c>
      <c r="N9" s="15">
        <f t="shared" si="1"/>
        <v>0</v>
      </c>
      <c r="O9" s="26">
        <f t="shared" si="2"/>
        <v>0</v>
      </c>
    </row>
    <row r="10" spans="1:15" x14ac:dyDescent="0.35">
      <c r="A10" s="1" t="s">
        <v>168</v>
      </c>
      <c r="B10" s="1" t="s">
        <v>143</v>
      </c>
      <c r="C10" s="2">
        <v>45842</v>
      </c>
      <c r="D10" s="1" t="s">
        <v>144</v>
      </c>
      <c r="E10" s="16">
        <v>256779414945</v>
      </c>
      <c r="F10" s="1" t="s">
        <v>141</v>
      </c>
      <c r="G10" s="3">
        <v>50.75</v>
      </c>
      <c r="H10" s="1" t="s">
        <v>131</v>
      </c>
      <c r="I10" s="3">
        <v>4364.53</v>
      </c>
      <c r="J10" s="1" t="s">
        <v>169</v>
      </c>
      <c r="K10">
        <v>0</v>
      </c>
      <c r="L10">
        <v>45.75</v>
      </c>
      <c r="M10">
        <f t="shared" si="0"/>
        <v>45.75</v>
      </c>
      <c r="N10" s="15">
        <f t="shared" si="1"/>
        <v>5</v>
      </c>
      <c r="O10" s="26">
        <f t="shared" si="2"/>
        <v>9.8522167487684734E-2</v>
      </c>
    </row>
    <row r="11" spans="1:15" x14ac:dyDescent="0.35">
      <c r="A11" s="1" t="s">
        <v>174</v>
      </c>
      <c r="B11" s="1" t="s">
        <v>143</v>
      </c>
      <c r="C11" s="2">
        <v>45966</v>
      </c>
      <c r="D11" s="1" t="s">
        <v>144</v>
      </c>
      <c r="E11" s="16">
        <v>256779418803</v>
      </c>
      <c r="F11" s="1" t="s">
        <v>141</v>
      </c>
      <c r="G11" s="3">
        <v>50.75</v>
      </c>
      <c r="H11" s="1" t="s">
        <v>131</v>
      </c>
      <c r="I11" s="3">
        <v>4466.17</v>
      </c>
      <c r="J11" s="1" t="s">
        <v>175</v>
      </c>
      <c r="K11">
        <v>5</v>
      </c>
      <c r="L11">
        <v>50.75</v>
      </c>
      <c r="M11">
        <f t="shared" si="0"/>
        <v>45.75</v>
      </c>
      <c r="N11" s="15">
        <f t="shared" si="1"/>
        <v>5</v>
      </c>
      <c r="O11" s="26">
        <f t="shared" si="2"/>
        <v>9.8522167487684734E-2</v>
      </c>
    </row>
    <row r="12" spans="1:15" x14ac:dyDescent="0.35">
      <c r="A12" s="1" t="s">
        <v>176</v>
      </c>
      <c r="B12" s="1" t="s">
        <v>143</v>
      </c>
      <c r="C12" s="2">
        <v>45966</v>
      </c>
      <c r="D12" s="1" t="s">
        <v>144</v>
      </c>
      <c r="E12" s="16">
        <v>256779418818</v>
      </c>
      <c r="F12" s="1" t="s">
        <v>141</v>
      </c>
      <c r="G12" s="3">
        <v>1468.91</v>
      </c>
      <c r="H12" s="1" t="s">
        <v>131</v>
      </c>
      <c r="I12" s="3">
        <v>129269.06</v>
      </c>
      <c r="J12" s="1" t="s">
        <v>177</v>
      </c>
      <c r="K12">
        <v>29</v>
      </c>
      <c r="L12">
        <v>1468.91</v>
      </c>
      <c r="M12">
        <f t="shared" si="0"/>
        <v>1439.91</v>
      </c>
      <c r="N12" s="15">
        <f t="shared" si="1"/>
        <v>29</v>
      </c>
      <c r="O12" s="26">
        <f t="shared" si="2"/>
        <v>1.9742530175436208E-2</v>
      </c>
    </row>
    <row r="13" spans="1:15" x14ac:dyDescent="0.35">
      <c r="A13" s="1" t="s">
        <v>182</v>
      </c>
      <c r="B13" s="1" t="s">
        <v>143</v>
      </c>
      <c r="C13" s="2">
        <v>45966</v>
      </c>
      <c r="D13" s="1" t="s">
        <v>144</v>
      </c>
      <c r="E13" s="16">
        <v>256779418894</v>
      </c>
      <c r="F13" s="1" t="s">
        <v>141</v>
      </c>
      <c r="G13" s="3">
        <v>131.6</v>
      </c>
      <c r="H13" s="1" t="s">
        <v>131</v>
      </c>
      <c r="I13" s="3">
        <v>11581.25</v>
      </c>
      <c r="J13" s="1" t="s">
        <v>183</v>
      </c>
      <c r="K13">
        <v>0</v>
      </c>
      <c r="L13">
        <v>128.6</v>
      </c>
      <c r="M13">
        <f t="shared" si="0"/>
        <v>128.6</v>
      </c>
      <c r="N13" s="15">
        <f t="shared" si="1"/>
        <v>3</v>
      </c>
      <c r="O13" s="26">
        <f t="shared" si="2"/>
        <v>2.2796352583586626E-2</v>
      </c>
    </row>
    <row r="14" spans="1:15" x14ac:dyDescent="0.35">
      <c r="A14" s="1" t="s">
        <v>184</v>
      </c>
      <c r="B14" s="1" t="s">
        <v>143</v>
      </c>
      <c r="C14" s="2">
        <v>45966</v>
      </c>
      <c r="D14" s="1" t="s">
        <v>144</v>
      </c>
      <c r="E14" s="16">
        <v>256779418907</v>
      </c>
      <c r="F14" s="1" t="s">
        <v>141</v>
      </c>
      <c r="G14" s="3">
        <v>112.8</v>
      </c>
      <c r="H14" s="1" t="s">
        <v>131</v>
      </c>
      <c r="I14" s="3">
        <v>9926.7800000000007</v>
      </c>
      <c r="J14" s="1" t="s">
        <v>185</v>
      </c>
      <c r="K14">
        <v>0</v>
      </c>
      <c r="L14">
        <v>110.8</v>
      </c>
      <c r="M14">
        <f t="shared" si="0"/>
        <v>110.8</v>
      </c>
      <c r="N14" s="15">
        <f t="shared" si="1"/>
        <v>2</v>
      </c>
      <c r="O14" s="26">
        <f t="shared" si="2"/>
        <v>1.7730496453900711E-2</v>
      </c>
    </row>
    <row r="15" spans="1:15" x14ac:dyDescent="0.35">
      <c r="A15" s="1" t="s">
        <v>197</v>
      </c>
      <c r="B15" s="1" t="s">
        <v>143</v>
      </c>
      <c r="C15" s="2">
        <v>45856</v>
      </c>
      <c r="D15" s="1" t="s">
        <v>144</v>
      </c>
      <c r="E15" s="16">
        <v>256779415455</v>
      </c>
      <c r="F15" s="1" t="s">
        <v>141</v>
      </c>
      <c r="G15" s="3">
        <v>490.4</v>
      </c>
      <c r="H15" s="1" t="s">
        <v>131</v>
      </c>
      <c r="I15" s="3">
        <v>42174.73</v>
      </c>
      <c r="J15" s="1" t="s">
        <v>198</v>
      </c>
      <c r="K15">
        <v>0</v>
      </c>
      <c r="L15">
        <v>480.4</v>
      </c>
      <c r="M15">
        <f t="shared" si="0"/>
        <v>480.4</v>
      </c>
      <c r="N15" s="15">
        <f t="shared" si="1"/>
        <v>10</v>
      </c>
      <c r="O15" s="26">
        <f t="shared" si="2"/>
        <v>2.0391517128874388E-2</v>
      </c>
    </row>
    <row r="16" spans="1:15" x14ac:dyDescent="0.35">
      <c r="A16" s="1" t="s">
        <v>199</v>
      </c>
      <c r="B16" s="1" t="s">
        <v>143</v>
      </c>
      <c r="C16" s="2">
        <v>45708</v>
      </c>
      <c r="D16" s="1" t="s">
        <v>144</v>
      </c>
      <c r="E16" s="16">
        <v>246779410304</v>
      </c>
      <c r="F16" s="1" t="s">
        <v>141</v>
      </c>
      <c r="G16" s="3">
        <v>50.75</v>
      </c>
      <c r="H16" s="1" t="s">
        <v>131</v>
      </c>
      <c r="I16" s="3">
        <v>4379.91</v>
      </c>
      <c r="J16" s="1" t="s">
        <v>200</v>
      </c>
      <c r="K16">
        <v>0</v>
      </c>
      <c r="L16">
        <v>45.75</v>
      </c>
      <c r="M16">
        <f t="shared" si="0"/>
        <v>45.75</v>
      </c>
      <c r="N16" s="15">
        <f t="shared" si="1"/>
        <v>5</v>
      </c>
      <c r="O16" s="26">
        <f t="shared" si="2"/>
        <v>9.8522167487684734E-2</v>
      </c>
    </row>
    <row r="17" spans="1:15" x14ac:dyDescent="0.35">
      <c r="A17" s="1" t="s">
        <v>201</v>
      </c>
      <c r="B17" s="1" t="s">
        <v>143</v>
      </c>
      <c r="C17" s="2">
        <v>45708</v>
      </c>
      <c r="D17" s="1" t="s">
        <v>144</v>
      </c>
      <c r="E17" s="16">
        <v>246779410050</v>
      </c>
      <c r="F17" s="1" t="s">
        <v>141</v>
      </c>
      <c r="G17" s="3">
        <v>50.75</v>
      </c>
      <c r="H17" s="1" t="s">
        <v>131</v>
      </c>
      <c r="I17" s="3">
        <v>4379.91</v>
      </c>
      <c r="J17" s="1" t="s">
        <v>202</v>
      </c>
      <c r="K17">
        <v>0</v>
      </c>
      <c r="L17">
        <v>45.75</v>
      </c>
      <c r="M17">
        <f t="shared" si="0"/>
        <v>45.75</v>
      </c>
      <c r="N17" s="15">
        <f t="shared" si="1"/>
        <v>5</v>
      </c>
      <c r="O17" s="26">
        <f t="shared" si="2"/>
        <v>9.8522167487684734E-2</v>
      </c>
    </row>
    <row r="18" spans="1:15" x14ac:dyDescent="0.35">
      <c r="A18" s="1" t="s">
        <v>203</v>
      </c>
      <c r="B18" s="1" t="s">
        <v>143</v>
      </c>
      <c r="C18" s="2">
        <v>45708</v>
      </c>
      <c r="D18" s="1" t="s">
        <v>144</v>
      </c>
      <c r="E18" s="16">
        <v>246779410118</v>
      </c>
      <c r="F18" s="1" t="s">
        <v>141</v>
      </c>
      <c r="G18" s="3">
        <v>50.75</v>
      </c>
      <c r="H18" s="1" t="s">
        <v>131</v>
      </c>
      <c r="I18" s="3">
        <v>4379.91</v>
      </c>
      <c r="J18" s="1" t="s">
        <v>204</v>
      </c>
      <c r="K18">
        <v>0</v>
      </c>
      <c r="L18">
        <v>45.75</v>
      </c>
      <c r="M18">
        <f t="shared" si="0"/>
        <v>45.75</v>
      </c>
      <c r="N18" s="15">
        <f t="shared" si="1"/>
        <v>5</v>
      </c>
      <c r="O18" s="26">
        <f t="shared" si="2"/>
        <v>9.8522167487684734E-2</v>
      </c>
    </row>
    <row r="19" spans="1:15" x14ac:dyDescent="0.35">
      <c r="A19" s="1" t="s">
        <v>205</v>
      </c>
      <c r="B19" s="1" t="s">
        <v>143</v>
      </c>
      <c r="C19" s="2">
        <v>45708</v>
      </c>
      <c r="D19" s="1" t="s">
        <v>144</v>
      </c>
      <c r="E19" s="16">
        <v>246779410161</v>
      </c>
      <c r="F19" s="1" t="s">
        <v>141</v>
      </c>
      <c r="G19" s="3">
        <v>50.75</v>
      </c>
      <c r="H19" s="1" t="s">
        <v>131</v>
      </c>
      <c r="I19" s="3">
        <v>4379.91</v>
      </c>
      <c r="J19" s="1" t="s">
        <v>206</v>
      </c>
      <c r="K19">
        <v>0</v>
      </c>
      <c r="L19">
        <v>45.75</v>
      </c>
      <c r="M19">
        <f t="shared" si="0"/>
        <v>45.75</v>
      </c>
      <c r="N19" s="15">
        <f t="shared" si="1"/>
        <v>5</v>
      </c>
      <c r="O19" s="26">
        <f t="shared" si="2"/>
        <v>9.8522167487684734E-2</v>
      </c>
    </row>
    <row r="20" spans="1:15" x14ac:dyDescent="0.35">
      <c r="A20" s="1" t="s">
        <v>207</v>
      </c>
      <c r="B20" s="1" t="s">
        <v>143</v>
      </c>
      <c r="C20" s="2">
        <v>45708</v>
      </c>
      <c r="D20" s="1" t="s">
        <v>144</v>
      </c>
      <c r="E20" s="16">
        <v>246779410204</v>
      </c>
      <c r="F20" s="1" t="s">
        <v>141</v>
      </c>
      <c r="G20" s="3">
        <v>50.75</v>
      </c>
      <c r="H20" s="1" t="s">
        <v>131</v>
      </c>
      <c r="I20" s="3">
        <v>4379.91</v>
      </c>
      <c r="J20" s="1" t="s">
        <v>208</v>
      </c>
      <c r="K20">
        <v>0</v>
      </c>
      <c r="L20">
        <v>45.75</v>
      </c>
      <c r="M20">
        <f t="shared" si="0"/>
        <v>45.75</v>
      </c>
      <c r="N20" s="15">
        <f t="shared" si="1"/>
        <v>5</v>
      </c>
      <c r="O20" s="26">
        <f t="shared" si="2"/>
        <v>9.8522167487684734E-2</v>
      </c>
    </row>
    <row r="21" spans="1:15" x14ac:dyDescent="0.35">
      <c r="A21" s="1" t="s">
        <v>209</v>
      </c>
      <c r="B21" s="1" t="s">
        <v>143</v>
      </c>
      <c r="C21" s="2">
        <v>45708</v>
      </c>
      <c r="D21" s="1" t="s">
        <v>144</v>
      </c>
      <c r="E21" s="16">
        <v>246779410247</v>
      </c>
      <c r="F21" s="1" t="s">
        <v>141</v>
      </c>
      <c r="G21" s="3">
        <v>50.75</v>
      </c>
      <c r="H21" s="1" t="s">
        <v>131</v>
      </c>
      <c r="I21" s="3">
        <v>4379.91</v>
      </c>
      <c r="J21" s="1" t="s">
        <v>210</v>
      </c>
      <c r="K21">
        <v>0</v>
      </c>
      <c r="L21">
        <v>45.75</v>
      </c>
      <c r="M21">
        <f t="shared" si="0"/>
        <v>45.75</v>
      </c>
      <c r="N21" s="15">
        <f t="shared" si="1"/>
        <v>5</v>
      </c>
      <c r="O21" s="26">
        <f t="shared" si="2"/>
        <v>9.8522167487684734E-2</v>
      </c>
    </row>
    <row r="22" spans="1:15" x14ac:dyDescent="0.35">
      <c r="A22" s="1" t="s">
        <v>213</v>
      </c>
      <c r="B22" s="1" t="s">
        <v>143</v>
      </c>
      <c r="C22" s="2">
        <v>45797</v>
      </c>
      <c r="D22" s="1" t="s">
        <v>144</v>
      </c>
      <c r="E22" s="16">
        <v>256779413836</v>
      </c>
      <c r="F22" s="1" t="s">
        <v>141</v>
      </c>
      <c r="G22" s="3">
        <v>793.07</v>
      </c>
      <c r="H22" s="1" t="s">
        <v>131</v>
      </c>
      <c r="I22" s="3">
        <v>68191.09</v>
      </c>
      <c r="J22" s="1" t="s">
        <v>214</v>
      </c>
      <c r="K22">
        <v>16</v>
      </c>
      <c r="L22">
        <v>793.07</v>
      </c>
      <c r="M22">
        <f t="shared" si="0"/>
        <v>777.07</v>
      </c>
      <c r="N22" s="15">
        <f t="shared" si="1"/>
        <v>16</v>
      </c>
      <c r="O22" s="26">
        <f t="shared" si="2"/>
        <v>2.0174763892216323E-2</v>
      </c>
    </row>
    <row r="23" spans="1:15" x14ac:dyDescent="0.35">
      <c r="A23" s="1" t="s">
        <v>215</v>
      </c>
      <c r="B23" s="1" t="s">
        <v>143</v>
      </c>
      <c r="C23" s="2">
        <v>45797</v>
      </c>
      <c r="D23" s="1" t="s">
        <v>144</v>
      </c>
      <c r="E23" s="16">
        <v>256779413840</v>
      </c>
      <c r="F23" s="1" t="s">
        <v>141</v>
      </c>
      <c r="G23" s="3">
        <v>42.14</v>
      </c>
      <c r="H23" s="1" t="s">
        <v>131</v>
      </c>
      <c r="I23" s="3">
        <v>3623.35</v>
      </c>
      <c r="J23" s="1" t="s">
        <v>216</v>
      </c>
      <c r="K23">
        <v>0</v>
      </c>
      <c r="L23">
        <v>41.14</v>
      </c>
      <c r="M23">
        <f t="shared" si="0"/>
        <v>41.14</v>
      </c>
      <c r="N23" s="15">
        <f t="shared" si="1"/>
        <v>1</v>
      </c>
      <c r="O23" s="26">
        <f t="shared" si="2"/>
        <v>2.3730422401518746E-2</v>
      </c>
    </row>
    <row r="24" spans="1:15" x14ac:dyDescent="0.35">
      <c r="A24" s="1" t="s">
        <v>221</v>
      </c>
      <c r="B24" s="1" t="s">
        <v>143</v>
      </c>
      <c r="C24" s="2">
        <v>45768</v>
      </c>
      <c r="D24" s="1" t="s">
        <v>144</v>
      </c>
      <c r="E24" s="16">
        <v>256779412170</v>
      </c>
      <c r="F24" s="1" t="s">
        <v>141</v>
      </c>
      <c r="G24" s="3">
        <v>50.75</v>
      </c>
      <c r="H24" s="1" t="s">
        <v>131</v>
      </c>
      <c r="I24" s="3">
        <v>4354.8599999999997</v>
      </c>
      <c r="J24" s="1" t="s">
        <v>222</v>
      </c>
      <c r="K24">
        <v>0</v>
      </c>
      <c r="L24">
        <v>45.75</v>
      </c>
      <c r="M24">
        <f t="shared" si="0"/>
        <v>45.75</v>
      </c>
      <c r="N24" s="15">
        <f t="shared" si="1"/>
        <v>5</v>
      </c>
      <c r="O24" s="26">
        <f t="shared" si="2"/>
        <v>9.8522167487684734E-2</v>
      </c>
    </row>
    <row r="25" spans="1:15" x14ac:dyDescent="0.35">
      <c r="A25" s="1" t="s">
        <v>235</v>
      </c>
      <c r="B25" s="1" t="s">
        <v>143</v>
      </c>
      <c r="C25" s="2">
        <v>45798</v>
      </c>
      <c r="D25" s="1" t="s">
        <v>144</v>
      </c>
      <c r="E25" s="16">
        <v>256779413425</v>
      </c>
      <c r="F25" s="1" t="s">
        <v>141</v>
      </c>
      <c r="G25" s="3">
        <v>37.6</v>
      </c>
      <c r="H25" s="1" t="s">
        <v>131</v>
      </c>
      <c r="I25" s="3">
        <v>3232.99</v>
      </c>
      <c r="J25" s="1" t="s">
        <v>236</v>
      </c>
      <c r="K25">
        <v>0</v>
      </c>
      <c r="L25">
        <v>36.6</v>
      </c>
      <c r="M25">
        <f t="shared" si="0"/>
        <v>36.6</v>
      </c>
      <c r="N25" s="15">
        <f t="shared" si="1"/>
        <v>1</v>
      </c>
      <c r="O25" s="26">
        <f t="shared" si="2"/>
        <v>2.6595744680851064E-2</v>
      </c>
    </row>
    <row r="26" spans="1:15" x14ac:dyDescent="0.35">
      <c r="A26" s="1" t="s">
        <v>237</v>
      </c>
      <c r="B26" s="1" t="s">
        <v>143</v>
      </c>
      <c r="C26" s="2">
        <v>45798</v>
      </c>
      <c r="D26" s="1" t="s">
        <v>144</v>
      </c>
      <c r="E26" s="16">
        <v>256779413426</v>
      </c>
      <c r="F26" s="1" t="s">
        <v>141</v>
      </c>
      <c r="G26" s="3">
        <v>2.35</v>
      </c>
      <c r="H26" s="1" t="s">
        <v>131</v>
      </c>
      <c r="I26" s="3">
        <v>202.06</v>
      </c>
      <c r="J26" s="1" t="s">
        <v>238</v>
      </c>
      <c r="K26">
        <v>0</v>
      </c>
      <c r="L26">
        <v>2.35</v>
      </c>
      <c r="M26">
        <f t="shared" si="0"/>
        <v>2.35</v>
      </c>
      <c r="N26" s="15">
        <f t="shared" si="1"/>
        <v>0</v>
      </c>
      <c r="O26" s="26">
        <f t="shared" si="2"/>
        <v>0</v>
      </c>
    </row>
    <row r="27" spans="1:15" x14ac:dyDescent="0.35">
      <c r="A27" s="1" t="s">
        <v>239</v>
      </c>
      <c r="B27" s="1" t="s">
        <v>143</v>
      </c>
      <c r="C27" s="2">
        <v>45826</v>
      </c>
      <c r="D27" s="1" t="s">
        <v>144</v>
      </c>
      <c r="E27" s="16">
        <v>256779414757</v>
      </c>
      <c r="F27" s="1" t="s">
        <v>141</v>
      </c>
      <c r="G27" s="3">
        <v>117.9</v>
      </c>
      <c r="H27" s="1" t="s">
        <v>131</v>
      </c>
      <c r="I27" s="3">
        <v>10079.36</v>
      </c>
      <c r="J27" s="1" t="s">
        <v>240</v>
      </c>
      <c r="K27">
        <v>0</v>
      </c>
      <c r="L27">
        <v>115.9</v>
      </c>
      <c r="M27">
        <f t="shared" si="0"/>
        <v>115.9</v>
      </c>
      <c r="N27" s="15">
        <f t="shared" si="1"/>
        <v>2</v>
      </c>
      <c r="O27" s="26">
        <f t="shared" si="2"/>
        <v>1.6963528413910092E-2</v>
      </c>
    </row>
    <row r="28" spans="1:15" x14ac:dyDescent="0.35">
      <c r="A28" s="1" t="s">
        <v>248</v>
      </c>
      <c r="B28" s="1" t="s">
        <v>143</v>
      </c>
      <c r="C28" s="2">
        <v>45951</v>
      </c>
      <c r="D28" s="1" t="s">
        <v>144</v>
      </c>
      <c r="E28" s="16">
        <v>256779418481</v>
      </c>
      <c r="F28" s="1" t="s">
        <v>141</v>
      </c>
      <c r="G28" s="3">
        <v>40.770000000000003</v>
      </c>
      <c r="H28" s="1" t="s">
        <v>131</v>
      </c>
      <c r="I28" s="3">
        <v>3595.54</v>
      </c>
      <c r="J28" s="1" t="s">
        <v>249</v>
      </c>
      <c r="K28">
        <v>0</v>
      </c>
      <c r="L28">
        <v>39.770000000000003</v>
      </c>
      <c r="M28">
        <f t="shared" si="0"/>
        <v>39.770000000000003</v>
      </c>
      <c r="N28" s="15">
        <f t="shared" si="1"/>
        <v>1</v>
      </c>
      <c r="O28" s="26">
        <f t="shared" si="2"/>
        <v>2.452783909737552E-2</v>
      </c>
    </row>
    <row r="29" spans="1:15" x14ac:dyDescent="0.35">
      <c r="A29" s="1" t="s">
        <v>252</v>
      </c>
      <c r="B29" s="1" t="s">
        <v>143</v>
      </c>
      <c r="C29" s="2">
        <v>45735</v>
      </c>
      <c r="D29" s="1" t="s">
        <v>144</v>
      </c>
      <c r="E29" s="16">
        <v>246779413009</v>
      </c>
      <c r="F29" s="1" t="s">
        <v>141</v>
      </c>
      <c r="G29" s="3">
        <v>50.75</v>
      </c>
      <c r="H29" s="1" t="s">
        <v>131</v>
      </c>
      <c r="I29" s="3">
        <v>4399.58</v>
      </c>
      <c r="J29" s="1" t="s">
        <v>253</v>
      </c>
      <c r="K29">
        <v>0</v>
      </c>
      <c r="L29">
        <v>45.75</v>
      </c>
      <c r="M29">
        <f t="shared" si="0"/>
        <v>45.75</v>
      </c>
      <c r="N29" s="15">
        <f t="shared" si="1"/>
        <v>5</v>
      </c>
      <c r="O29" s="26">
        <f t="shared" si="2"/>
        <v>9.8522167487684734E-2</v>
      </c>
    </row>
    <row r="30" spans="1:15" x14ac:dyDescent="0.35">
      <c r="A30" s="1" t="s">
        <v>254</v>
      </c>
      <c r="B30" s="1" t="s">
        <v>143</v>
      </c>
      <c r="C30" s="2">
        <v>45827</v>
      </c>
      <c r="D30" s="1" t="s">
        <v>144</v>
      </c>
      <c r="E30" s="16">
        <v>256779414742</v>
      </c>
      <c r="F30" s="1" t="s">
        <v>141</v>
      </c>
      <c r="G30" s="3">
        <v>332.22</v>
      </c>
      <c r="H30" s="1" t="s">
        <v>131</v>
      </c>
      <c r="I30" s="3">
        <v>28401.75</v>
      </c>
      <c r="J30" s="1" t="s">
        <v>255</v>
      </c>
      <c r="K30">
        <v>0</v>
      </c>
      <c r="L30">
        <v>325.22000000000003</v>
      </c>
      <c r="M30">
        <f t="shared" si="0"/>
        <v>325.22000000000003</v>
      </c>
      <c r="N30" s="15">
        <f t="shared" si="1"/>
        <v>7</v>
      </c>
      <c r="O30" s="26">
        <f t="shared" si="2"/>
        <v>2.1070375052675935E-2</v>
      </c>
    </row>
    <row r="31" spans="1:15" x14ac:dyDescent="0.35">
      <c r="A31" s="1" t="s">
        <v>264</v>
      </c>
      <c r="B31" s="1" t="s">
        <v>143</v>
      </c>
      <c r="C31" s="2">
        <v>45918</v>
      </c>
      <c r="D31" s="1" t="s">
        <v>144</v>
      </c>
      <c r="E31" s="16">
        <v>256779417583</v>
      </c>
      <c r="F31" s="1" t="s">
        <v>141</v>
      </c>
      <c r="G31" s="3">
        <v>279.45</v>
      </c>
      <c r="H31" s="1" t="s">
        <v>131</v>
      </c>
      <c r="I31" s="3">
        <v>24455.88</v>
      </c>
      <c r="J31" s="1" t="s">
        <v>265</v>
      </c>
      <c r="K31">
        <v>0</v>
      </c>
      <c r="L31">
        <v>273.45</v>
      </c>
      <c r="M31">
        <f t="shared" si="0"/>
        <v>273.45</v>
      </c>
      <c r="N31" s="15">
        <f t="shared" si="1"/>
        <v>6</v>
      </c>
      <c r="O31" s="26">
        <f t="shared" si="2"/>
        <v>2.147074610842727E-2</v>
      </c>
    </row>
    <row r="32" spans="1:15" x14ac:dyDescent="0.35">
      <c r="A32" s="1" t="s">
        <v>266</v>
      </c>
      <c r="B32" s="1" t="s">
        <v>143</v>
      </c>
      <c r="C32" s="2">
        <v>45918</v>
      </c>
      <c r="D32" s="1" t="s">
        <v>144</v>
      </c>
      <c r="E32" s="16">
        <v>256779417598</v>
      </c>
      <c r="F32" s="1" t="s">
        <v>141</v>
      </c>
      <c r="G32" s="3">
        <v>150.4</v>
      </c>
      <c r="H32" s="1" t="s">
        <v>131</v>
      </c>
      <c r="I32" s="3">
        <v>13162.16</v>
      </c>
      <c r="J32" s="1" t="s">
        <v>267</v>
      </c>
      <c r="K32">
        <v>0</v>
      </c>
      <c r="L32">
        <v>147.4</v>
      </c>
      <c r="M32">
        <f t="shared" si="0"/>
        <v>147.4</v>
      </c>
      <c r="N32" s="15">
        <f t="shared" si="1"/>
        <v>3</v>
      </c>
      <c r="O32" s="26">
        <f t="shared" si="2"/>
        <v>1.9946808510638295E-2</v>
      </c>
    </row>
    <row r="33" spans="1:15" x14ac:dyDescent="0.35">
      <c r="A33" s="1" t="s">
        <v>275</v>
      </c>
      <c r="B33" s="1" t="s">
        <v>143</v>
      </c>
      <c r="C33" s="2">
        <v>45937</v>
      </c>
      <c r="D33" s="1" t="s">
        <v>144</v>
      </c>
      <c r="E33" s="16">
        <v>256779418167</v>
      </c>
      <c r="F33" s="1" t="s">
        <v>141</v>
      </c>
      <c r="G33" s="3">
        <v>70</v>
      </c>
      <c r="H33" s="1" t="s">
        <v>131</v>
      </c>
      <c r="I33" s="3">
        <v>6173.35</v>
      </c>
      <c r="J33" s="1" t="s">
        <v>276</v>
      </c>
      <c r="K33">
        <v>0</v>
      </c>
      <c r="L33">
        <v>69</v>
      </c>
      <c r="M33">
        <f t="shared" si="0"/>
        <v>69</v>
      </c>
      <c r="N33" s="15">
        <f t="shared" si="1"/>
        <v>1</v>
      </c>
      <c r="O33" s="26">
        <f t="shared" si="2"/>
        <v>1.4285714285714285E-2</v>
      </c>
    </row>
    <row r="34" spans="1:15" x14ac:dyDescent="0.35">
      <c r="A34" s="1" t="s">
        <v>277</v>
      </c>
      <c r="B34" s="1" t="s">
        <v>143</v>
      </c>
      <c r="C34" s="2">
        <v>45937</v>
      </c>
      <c r="D34" s="1" t="s">
        <v>144</v>
      </c>
      <c r="E34" s="16">
        <v>256779418178</v>
      </c>
      <c r="F34" s="1" t="s">
        <v>141</v>
      </c>
      <c r="G34" s="3">
        <v>472.74</v>
      </c>
      <c r="H34" s="1" t="s">
        <v>131</v>
      </c>
      <c r="I34" s="3">
        <v>41691.300000000003</v>
      </c>
      <c r="J34" s="1" t="s">
        <v>278</v>
      </c>
      <c r="K34">
        <v>9</v>
      </c>
      <c r="L34">
        <v>472.74</v>
      </c>
      <c r="M34">
        <f t="shared" si="0"/>
        <v>463.74</v>
      </c>
      <c r="N34" s="15">
        <f t="shared" si="1"/>
        <v>9</v>
      </c>
      <c r="O34" s="26">
        <f t="shared" si="2"/>
        <v>1.9037948978296738E-2</v>
      </c>
    </row>
    <row r="35" spans="1:15" x14ac:dyDescent="0.35">
      <c r="A35" s="1" t="s">
        <v>279</v>
      </c>
      <c r="B35" s="1" t="s">
        <v>143</v>
      </c>
      <c r="C35" s="2">
        <v>45937</v>
      </c>
      <c r="D35" s="1" t="s">
        <v>144</v>
      </c>
      <c r="E35" s="16">
        <v>256779418186</v>
      </c>
      <c r="F35" s="1" t="s">
        <v>141</v>
      </c>
      <c r="G35" s="3">
        <v>20.27</v>
      </c>
      <c r="H35" s="1" t="s">
        <v>131</v>
      </c>
      <c r="I35" s="3">
        <v>1787.63</v>
      </c>
      <c r="J35" s="1" t="s">
        <v>280</v>
      </c>
      <c r="K35">
        <v>0</v>
      </c>
      <c r="L35">
        <v>20.27</v>
      </c>
      <c r="M35">
        <f t="shared" si="0"/>
        <v>20.27</v>
      </c>
      <c r="N35" s="15">
        <f t="shared" si="1"/>
        <v>0</v>
      </c>
      <c r="O35" s="26">
        <f t="shared" si="2"/>
        <v>0</v>
      </c>
    </row>
    <row r="36" spans="1:15" x14ac:dyDescent="0.35">
      <c r="A36" s="1" t="s">
        <v>281</v>
      </c>
      <c r="B36" s="1" t="s">
        <v>143</v>
      </c>
      <c r="C36" s="2">
        <v>45937</v>
      </c>
      <c r="D36" s="1" t="s">
        <v>144</v>
      </c>
      <c r="E36" s="16">
        <v>256779418340</v>
      </c>
      <c r="F36" s="1" t="s">
        <v>141</v>
      </c>
      <c r="G36" s="3">
        <v>76.55</v>
      </c>
      <c r="H36" s="1" t="s">
        <v>131</v>
      </c>
      <c r="I36" s="3">
        <v>6751</v>
      </c>
      <c r="J36" s="1" t="s">
        <v>282</v>
      </c>
      <c r="K36">
        <v>2</v>
      </c>
      <c r="L36">
        <v>76.55</v>
      </c>
      <c r="M36">
        <f t="shared" si="0"/>
        <v>74.55</v>
      </c>
      <c r="N36" s="15">
        <f t="shared" si="1"/>
        <v>2</v>
      </c>
      <c r="O36" s="26">
        <f t="shared" si="2"/>
        <v>2.6126714565643371E-2</v>
      </c>
    </row>
    <row r="37" spans="1:15" x14ac:dyDescent="0.35">
      <c r="A37" s="1" t="s">
        <v>283</v>
      </c>
      <c r="B37" s="1" t="s">
        <v>143</v>
      </c>
      <c r="C37" s="2">
        <v>45937</v>
      </c>
      <c r="D37" s="1" t="s">
        <v>144</v>
      </c>
      <c r="E37" s="16">
        <v>256779418355</v>
      </c>
      <c r="F37" s="1" t="s">
        <v>141</v>
      </c>
      <c r="G37" s="3">
        <v>37.6</v>
      </c>
      <c r="H37" s="1" t="s">
        <v>131</v>
      </c>
      <c r="I37" s="3">
        <v>3315.97</v>
      </c>
      <c r="J37" s="1" t="s">
        <v>284</v>
      </c>
      <c r="K37">
        <v>0</v>
      </c>
      <c r="L37">
        <v>36.6</v>
      </c>
      <c r="M37">
        <f t="shared" si="0"/>
        <v>36.6</v>
      </c>
      <c r="N37" s="15">
        <f t="shared" si="1"/>
        <v>1</v>
      </c>
      <c r="O37" s="26">
        <f t="shared" si="2"/>
        <v>2.6595744680851064E-2</v>
      </c>
    </row>
    <row r="38" spans="1:15" x14ac:dyDescent="0.35">
      <c r="A38" s="1" t="s">
        <v>289</v>
      </c>
      <c r="B38" s="1" t="s">
        <v>143</v>
      </c>
      <c r="C38" s="2">
        <v>45787</v>
      </c>
      <c r="D38" s="1" t="s">
        <v>144</v>
      </c>
      <c r="E38" s="16">
        <v>256779413128</v>
      </c>
      <c r="F38" s="1" t="s">
        <v>141</v>
      </c>
      <c r="G38" s="3">
        <v>50.75</v>
      </c>
      <c r="H38" s="1" t="s">
        <v>131</v>
      </c>
      <c r="I38" s="3">
        <v>4363.67</v>
      </c>
      <c r="J38" s="1" t="s">
        <v>290</v>
      </c>
      <c r="K38">
        <v>0</v>
      </c>
      <c r="L38">
        <v>45.75</v>
      </c>
      <c r="M38">
        <f t="shared" si="0"/>
        <v>45.75</v>
      </c>
      <c r="N38" s="15">
        <f t="shared" si="1"/>
        <v>5</v>
      </c>
      <c r="O38" s="26">
        <f t="shared" si="2"/>
        <v>9.8522167487684734E-2</v>
      </c>
    </row>
    <row r="39" spans="1:15" x14ac:dyDescent="0.35">
      <c r="A39" s="1" t="s">
        <v>291</v>
      </c>
      <c r="B39" s="1" t="s">
        <v>143</v>
      </c>
      <c r="C39" s="2">
        <v>45787</v>
      </c>
      <c r="D39" s="1" t="s">
        <v>144</v>
      </c>
      <c r="E39" s="16">
        <v>256779413162</v>
      </c>
      <c r="F39" s="1" t="s">
        <v>141</v>
      </c>
      <c r="G39" s="3">
        <v>131.6</v>
      </c>
      <c r="H39" s="1" t="s">
        <v>131</v>
      </c>
      <c r="I39" s="3">
        <v>11315.45</v>
      </c>
      <c r="J39" s="1" t="s">
        <v>292</v>
      </c>
      <c r="K39">
        <v>0</v>
      </c>
      <c r="L39">
        <v>128.6</v>
      </c>
      <c r="M39">
        <f t="shared" si="0"/>
        <v>128.6</v>
      </c>
      <c r="N39" s="15">
        <f t="shared" si="1"/>
        <v>3</v>
      </c>
      <c r="O39" s="26">
        <f t="shared" si="2"/>
        <v>2.2796352583586626E-2</v>
      </c>
    </row>
    <row r="40" spans="1:15" x14ac:dyDescent="0.35">
      <c r="A40" s="1" t="s">
        <v>293</v>
      </c>
      <c r="B40" s="1" t="s">
        <v>143</v>
      </c>
      <c r="C40" s="2">
        <v>45787</v>
      </c>
      <c r="D40" s="1" t="s">
        <v>144</v>
      </c>
      <c r="E40" s="16">
        <v>256779413171</v>
      </c>
      <c r="F40" s="1" t="s">
        <v>141</v>
      </c>
      <c r="G40" s="3">
        <v>112.8</v>
      </c>
      <c r="H40" s="1" t="s">
        <v>131</v>
      </c>
      <c r="I40" s="3">
        <v>9698.9599999999991</v>
      </c>
      <c r="J40" s="1" t="s">
        <v>294</v>
      </c>
      <c r="K40">
        <v>0</v>
      </c>
      <c r="L40">
        <v>110.8</v>
      </c>
      <c r="M40">
        <f t="shared" si="0"/>
        <v>110.8</v>
      </c>
      <c r="N40" s="15">
        <f t="shared" si="1"/>
        <v>2</v>
      </c>
      <c r="O40" s="26">
        <f t="shared" si="2"/>
        <v>1.7730496453900711E-2</v>
      </c>
    </row>
    <row r="41" spans="1:15" x14ac:dyDescent="0.35">
      <c r="A41" s="1" t="s">
        <v>295</v>
      </c>
      <c r="B41" s="1" t="s">
        <v>143</v>
      </c>
      <c r="C41" s="2">
        <v>45787</v>
      </c>
      <c r="D41" s="1" t="s">
        <v>144</v>
      </c>
      <c r="E41" s="16">
        <v>256779413242</v>
      </c>
      <c r="F41" s="1" t="s">
        <v>141</v>
      </c>
      <c r="G41" s="3">
        <v>1194.92</v>
      </c>
      <c r="H41" s="1" t="s">
        <v>131</v>
      </c>
      <c r="I41" s="3">
        <v>102743.64</v>
      </c>
      <c r="J41" s="1" t="s">
        <v>296</v>
      </c>
      <c r="K41">
        <v>0</v>
      </c>
      <c r="L41">
        <v>1170.92</v>
      </c>
      <c r="M41">
        <f t="shared" si="0"/>
        <v>1170.92</v>
      </c>
      <c r="N41" s="15">
        <f t="shared" si="1"/>
        <v>24</v>
      </c>
      <c r="O41" s="26">
        <f t="shared" si="2"/>
        <v>2.0085026612660262E-2</v>
      </c>
    </row>
    <row r="42" spans="1:15" x14ac:dyDescent="0.35">
      <c r="A42" s="1" t="s">
        <v>309</v>
      </c>
      <c r="B42" s="1" t="s">
        <v>143</v>
      </c>
      <c r="C42" s="2">
        <v>45935</v>
      </c>
      <c r="D42" s="1" t="s">
        <v>144</v>
      </c>
      <c r="E42" s="16">
        <v>256779418037</v>
      </c>
      <c r="F42" s="1" t="s">
        <v>141</v>
      </c>
      <c r="G42" s="3">
        <v>50.75</v>
      </c>
      <c r="H42" s="1" t="s">
        <v>131</v>
      </c>
      <c r="I42" s="3">
        <v>4475.68</v>
      </c>
      <c r="J42" s="1" t="s">
        <v>310</v>
      </c>
      <c r="K42">
        <v>0</v>
      </c>
      <c r="L42">
        <v>45.75</v>
      </c>
      <c r="M42">
        <f t="shared" si="0"/>
        <v>45.75</v>
      </c>
      <c r="N42" s="15">
        <f t="shared" si="1"/>
        <v>5</v>
      </c>
      <c r="O42" s="26">
        <f t="shared" si="2"/>
        <v>9.8522167487684734E-2</v>
      </c>
    </row>
    <row r="43" spans="1:15" x14ac:dyDescent="0.35">
      <c r="A43" s="1" t="s">
        <v>316</v>
      </c>
      <c r="B43" s="1" t="s">
        <v>143</v>
      </c>
      <c r="C43" s="2">
        <v>46024</v>
      </c>
      <c r="D43" s="1" t="s">
        <v>144</v>
      </c>
      <c r="E43" s="16">
        <v>256779440042</v>
      </c>
      <c r="F43" s="1" t="s">
        <v>141</v>
      </c>
      <c r="G43" s="3">
        <v>50.75</v>
      </c>
      <c r="H43" s="1" t="s">
        <v>131</v>
      </c>
      <c r="I43" s="3">
        <v>4605.21</v>
      </c>
      <c r="J43" s="1" t="s">
        <v>317</v>
      </c>
      <c r="K43">
        <v>5</v>
      </c>
      <c r="L43">
        <v>50.75</v>
      </c>
      <c r="M43">
        <f t="shared" si="0"/>
        <v>45.75</v>
      </c>
      <c r="N43" s="15">
        <f t="shared" si="1"/>
        <v>5</v>
      </c>
      <c r="O43" s="26">
        <f t="shared" si="2"/>
        <v>9.8522167487684734E-2</v>
      </c>
    </row>
    <row r="44" spans="1:15" x14ac:dyDescent="0.35">
      <c r="A44" s="1" t="s">
        <v>322</v>
      </c>
      <c r="B44" s="1" t="s">
        <v>143</v>
      </c>
      <c r="C44" s="2">
        <v>46031</v>
      </c>
      <c r="D44" s="1" t="s">
        <v>144</v>
      </c>
      <c r="E44" s="16">
        <v>256779440129</v>
      </c>
      <c r="F44" s="1" t="s">
        <v>141</v>
      </c>
      <c r="G44" s="3">
        <v>169.2</v>
      </c>
      <c r="H44" s="1" t="s">
        <v>131</v>
      </c>
      <c r="I44" s="3">
        <v>15353.74</v>
      </c>
      <c r="J44" s="1" t="s">
        <v>261</v>
      </c>
      <c r="K44">
        <v>3</v>
      </c>
      <c r="L44">
        <v>169.2</v>
      </c>
      <c r="M44">
        <f t="shared" si="0"/>
        <v>166.2</v>
      </c>
      <c r="N44" s="15">
        <f t="shared" si="1"/>
        <v>3</v>
      </c>
      <c r="O44" s="26">
        <f t="shared" si="2"/>
        <v>1.7730496453900711E-2</v>
      </c>
    </row>
    <row r="45" spans="1:15" x14ac:dyDescent="0.35">
      <c r="A45" s="1" t="s">
        <v>332</v>
      </c>
      <c r="B45" s="1" t="s">
        <v>143</v>
      </c>
      <c r="C45" s="2">
        <v>46028</v>
      </c>
      <c r="D45" s="1" t="s">
        <v>333</v>
      </c>
      <c r="E45" s="16">
        <v>256779440256</v>
      </c>
      <c r="F45" s="1" t="s">
        <v>141</v>
      </c>
      <c r="G45" s="3">
        <v>112.8</v>
      </c>
      <c r="H45" s="1" t="s">
        <v>131</v>
      </c>
      <c r="I45" s="3">
        <v>10235.83</v>
      </c>
      <c r="J45" s="1" t="s">
        <v>334</v>
      </c>
      <c r="K45">
        <v>2</v>
      </c>
      <c r="L45">
        <v>112.8</v>
      </c>
      <c r="M45">
        <f t="shared" si="0"/>
        <v>110.8</v>
      </c>
      <c r="N45" s="15">
        <f t="shared" si="1"/>
        <v>2</v>
      </c>
      <c r="O45" s="26">
        <f t="shared" si="2"/>
        <v>1.7730496453900711E-2</v>
      </c>
    </row>
    <row r="46" spans="1:15" x14ac:dyDescent="0.35">
      <c r="A46" s="1" t="s">
        <v>340</v>
      </c>
      <c r="B46" s="1" t="s">
        <v>143</v>
      </c>
      <c r="C46" s="2">
        <v>46028</v>
      </c>
      <c r="D46" s="1" t="s">
        <v>144</v>
      </c>
      <c r="E46" s="16">
        <v>256779440333</v>
      </c>
      <c r="F46" s="1" t="s">
        <v>141</v>
      </c>
      <c r="G46" s="3">
        <v>50.75</v>
      </c>
      <c r="H46" s="1" t="s">
        <v>131</v>
      </c>
      <c r="I46" s="3">
        <v>4605.21</v>
      </c>
      <c r="J46" s="1" t="s">
        <v>341</v>
      </c>
      <c r="K46">
        <v>5</v>
      </c>
      <c r="L46">
        <v>50.75</v>
      </c>
      <c r="M46">
        <f t="shared" si="0"/>
        <v>45.75</v>
      </c>
      <c r="N46" s="15">
        <f t="shared" si="1"/>
        <v>5</v>
      </c>
      <c r="O46" s="26">
        <f t="shared" si="2"/>
        <v>9.8522167487684734E-2</v>
      </c>
    </row>
    <row r="47" spans="1:15" x14ac:dyDescent="0.35">
      <c r="A47" s="1" t="s">
        <v>342</v>
      </c>
      <c r="B47" s="1" t="s">
        <v>143</v>
      </c>
      <c r="C47" s="2">
        <v>46035</v>
      </c>
      <c r="D47" s="1" t="s">
        <v>144</v>
      </c>
      <c r="E47" s="16">
        <v>256779440336</v>
      </c>
      <c r="F47" s="1" t="s">
        <v>141</v>
      </c>
      <c r="G47" s="3">
        <v>70</v>
      </c>
      <c r="H47" s="1" t="s">
        <v>131</v>
      </c>
      <c r="I47" s="3">
        <v>6352.02</v>
      </c>
      <c r="J47" s="1" t="s">
        <v>343</v>
      </c>
      <c r="K47">
        <v>1</v>
      </c>
      <c r="L47">
        <v>70</v>
      </c>
      <c r="M47">
        <f t="shared" si="0"/>
        <v>69</v>
      </c>
      <c r="N47" s="15">
        <f t="shared" si="1"/>
        <v>1</v>
      </c>
      <c r="O47" s="26">
        <f t="shared" si="2"/>
        <v>1.4285714285714285E-2</v>
      </c>
    </row>
  </sheetData>
  <autoFilter ref="A2:O48" xr:uid="{785B0EA3-CAFE-4D2E-AEDC-3641996925B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E56A4-D7C5-423C-9D0C-5ABB2CB7EB8C}">
  <dimension ref="A2:L18"/>
  <sheetViews>
    <sheetView workbookViewId="0">
      <selection activeCell="E18" sqref="E18"/>
    </sheetView>
  </sheetViews>
  <sheetFormatPr defaultRowHeight="14.5" x14ac:dyDescent="0.35"/>
  <cols>
    <col min="1" max="1" width="5.36328125" bestFit="1" customWidth="1"/>
    <col min="2" max="2" width="11.1796875" bestFit="1" customWidth="1"/>
    <col min="3" max="3" width="16.81640625" bestFit="1" customWidth="1"/>
    <col min="4" max="4" width="17.453125" bestFit="1" customWidth="1"/>
    <col min="5" max="5" width="9.36328125" bestFit="1" customWidth="1"/>
    <col min="8" max="8" width="9.36328125" bestFit="1" customWidth="1"/>
    <col min="9" max="9" width="9.7265625" bestFit="1" customWidth="1"/>
    <col min="10" max="10" width="9.7265625" style="17" customWidth="1"/>
    <col min="11" max="11" width="10.36328125" bestFit="1" customWidth="1"/>
  </cols>
  <sheetData>
    <row r="2" spans="1:12" x14ac:dyDescent="0.35">
      <c r="A2" s="114" t="s">
        <v>392</v>
      </c>
      <c r="B2" s="114"/>
      <c r="C2" s="114"/>
      <c r="D2" s="114"/>
      <c r="F2" s="114" t="s">
        <v>393</v>
      </c>
      <c r="G2" s="114"/>
      <c r="H2" s="114"/>
      <c r="I2" s="114"/>
      <c r="J2" s="114"/>
      <c r="K2" s="114"/>
    </row>
    <row r="3" spans="1:12" x14ac:dyDescent="0.35">
      <c r="A3" s="54" t="s">
        <v>390</v>
      </c>
      <c r="B3" s="54" t="s">
        <v>0</v>
      </c>
      <c r="C3" s="54" t="s">
        <v>396</v>
      </c>
      <c r="D3" s="54" t="s">
        <v>399</v>
      </c>
      <c r="F3" s="10" t="s">
        <v>390</v>
      </c>
      <c r="G3" s="10" t="s">
        <v>122</v>
      </c>
      <c r="H3" s="10" t="s">
        <v>395</v>
      </c>
      <c r="I3" s="10" t="s">
        <v>398</v>
      </c>
      <c r="J3" s="57" t="s">
        <v>397</v>
      </c>
      <c r="K3" s="10" t="s">
        <v>394</v>
      </c>
    </row>
    <row r="4" spans="1:12" x14ac:dyDescent="0.35">
      <c r="A4" s="54"/>
      <c r="B4" s="54"/>
      <c r="C4" s="54"/>
      <c r="D4" s="54"/>
      <c r="F4" s="53">
        <v>2025</v>
      </c>
      <c r="G4" s="10" t="s">
        <v>376</v>
      </c>
      <c r="H4" s="14"/>
      <c r="I4" s="14">
        <v>50.75</v>
      </c>
      <c r="J4" s="14">
        <f>SUM(H4:I4)</f>
        <v>50.75</v>
      </c>
      <c r="K4" s="14"/>
    </row>
    <row r="5" spans="1:12" x14ac:dyDescent="0.35">
      <c r="A5" s="55">
        <v>2025</v>
      </c>
      <c r="B5" s="54" t="s">
        <v>377</v>
      </c>
      <c r="C5" s="56">
        <v>0</v>
      </c>
      <c r="D5" s="56">
        <v>274.5</v>
      </c>
      <c r="F5" s="53">
        <v>2025</v>
      </c>
      <c r="G5" s="10" t="s">
        <v>377</v>
      </c>
      <c r="H5" s="14">
        <v>-101.5</v>
      </c>
      <c r="I5" s="14">
        <v>456.75</v>
      </c>
      <c r="J5" s="14">
        <f t="shared" ref="J5:J16" si="0">SUM(H5:I5)</f>
        <v>355.25</v>
      </c>
      <c r="K5" s="14"/>
    </row>
    <row r="6" spans="1:12" x14ac:dyDescent="0.35">
      <c r="A6" s="55">
        <v>2025</v>
      </c>
      <c r="B6" s="54" t="s">
        <v>378</v>
      </c>
      <c r="C6" s="56">
        <v>-282.60599474600002</v>
      </c>
      <c r="D6" s="56">
        <v>4.0529999999999999</v>
      </c>
      <c r="F6" s="53">
        <v>2025</v>
      </c>
      <c r="G6" s="10" t="s">
        <v>378</v>
      </c>
      <c r="H6" s="14"/>
      <c r="I6" s="14">
        <v>50.75</v>
      </c>
      <c r="J6" s="14">
        <f t="shared" si="0"/>
        <v>50.75</v>
      </c>
      <c r="K6" s="14">
        <v>-302.06275862068998</v>
      </c>
    </row>
    <row r="7" spans="1:12" x14ac:dyDescent="0.35">
      <c r="A7" s="55"/>
      <c r="B7" s="54"/>
      <c r="C7" s="56"/>
      <c r="D7" s="56"/>
      <c r="F7" s="53">
        <v>2025</v>
      </c>
      <c r="G7" s="10" t="s">
        <v>379</v>
      </c>
      <c r="H7" s="14"/>
      <c r="I7" s="14">
        <v>152.25</v>
      </c>
      <c r="J7" s="14">
        <f t="shared" si="0"/>
        <v>152.25</v>
      </c>
      <c r="K7" s="14"/>
    </row>
    <row r="8" spans="1:12" x14ac:dyDescent="0.35">
      <c r="A8" s="55"/>
      <c r="B8" s="54"/>
      <c r="C8" s="56"/>
      <c r="D8" s="56"/>
      <c r="F8" s="53">
        <v>2025</v>
      </c>
      <c r="G8" s="10" t="s">
        <v>380</v>
      </c>
      <c r="H8" s="14">
        <v>-203</v>
      </c>
      <c r="I8" s="14">
        <v>3380.88</v>
      </c>
      <c r="J8" s="14">
        <f t="shared" si="0"/>
        <v>3177.88</v>
      </c>
      <c r="K8" s="14"/>
    </row>
    <row r="9" spans="1:12" x14ac:dyDescent="0.35">
      <c r="A9" s="55"/>
      <c r="B9" s="54"/>
      <c r="C9" s="56"/>
      <c r="D9" s="56"/>
      <c r="F9" s="53">
        <v>2025</v>
      </c>
      <c r="G9" s="10" t="s">
        <v>381</v>
      </c>
      <c r="H9" s="14"/>
      <c r="I9" s="14">
        <v>1438.33</v>
      </c>
      <c r="J9" s="14">
        <f t="shared" si="0"/>
        <v>1438.33</v>
      </c>
      <c r="K9" s="14"/>
    </row>
    <row r="10" spans="1:12" x14ac:dyDescent="0.35">
      <c r="A10" s="55"/>
      <c r="B10" s="54"/>
      <c r="C10" s="56"/>
      <c r="D10" s="56"/>
      <c r="F10" s="53">
        <v>2025</v>
      </c>
      <c r="G10" s="10" t="s">
        <v>383</v>
      </c>
      <c r="H10" s="14">
        <v>-203</v>
      </c>
      <c r="I10" s="14">
        <v>3356.79</v>
      </c>
      <c r="J10" s="14">
        <f t="shared" si="0"/>
        <v>3153.79</v>
      </c>
      <c r="K10" s="14">
        <v>0</v>
      </c>
    </row>
    <row r="11" spans="1:12" x14ac:dyDescent="0.35">
      <c r="A11" s="55"/>
      <c r="B11" s="54"/>
      <c r="C11" s="56"/>
      <c r="D11" s="56"/>
      <c r="F11" s="53">
        <v>2025</v>
      </c>
      <c r="G11" s="10" t="s">
        <v>384</v>
      </c>
      <c r="H11" s="14">
        <v>-83.9</v>
      </c>
      <c r="I11" s="14">
        <v>967.31</v>
      </c>
      <c r="J11" s="14">
        <f t="shared" si="0"/>
        <v>883.41</v>
      </c>
      <c r="K11" s="14"/>
    </row>
    <row r="12" spans="1:12" x14ac:dyDescent="0.35">
      <c r="A12" s="55">
        <v>2025</v>
      </c>
      <c r="B12" s="54" t="s">
        <v>385</v>
      </c>
      <c r="C12" s="56">
        <v>0</v>
      </c>
      <c r="D12" s="56">
        <v>45.75</v>
      </c>
      <c r="F12" s="53">
        <v>2025</v>
      </c>
      <c r="G12" s="10" t="s">
        <v>385</v>
      </c>
      <c r="H12" s="14"/>
      <c r="I12" s="14">
        <v>3151.36</v>
      </c>
      <c r="J12" s="14">
        <f t="shared" si="0"/>
        <v>3151.36</v>
      </c>
      <c r="K12" s="14"/>
    </row>
    <row r="13" spans="1:12" x14ac:dyDescent="0.35">
      <c r="A13" s="55">
        <v>2025</v>
      </c>
      <c r="B13" s="54" t="s">
        <v>387</v>
      </c>
      <c r="C13" s="56">
        <v>-5813.9534883719998</v>
      </c>
      <c r="D13" s="56">
        <v>274.5</v>
      </c>
      <c r="F13" s="53">
        <v>2025</v>
      </c>
      <c r="G13" s="10" t="s">
        <v>387</v>
      </c>
      <c r="H13" s="14"/>
      <c r="I13" s="14">
        <v>4613.83</v>
      </c>
      <c r="J13" s="14">
        <f t="shared" si="0"/>
        <v>4613.83</v>
      </c>
      <c r="K13" s="14">
        <v>-5813.9534883719998</v>
      </c>
    </row>
    <row r="14" spans="1:12" x14ac:dyDescent="0.35">
      <c r="A14" s="55"/>
      <c r="B14" s="54"/>
      <c r="C14" s="56"/>
      <c r="D14" s="56"/>
      <c r="F14" s="53">
        <v>2025</v>
      </c>
      <c r="G14" s="10" t="s">
        <v>388</v>
      </c>
      <c r="H14" s="14"/>
      <c r="I14" s="14">
        <v>4169.54</v>
      </c>
      <c r="J14" s="14">
        <f t="shared" si="0"/>
        <v>4169.54</v>
      </c>
      <c r="K14" s="14"/>
    </row>
    <row r="15" spans="1:12" x14ac:dyDescent="0.35">
      <c r="A15" s="55">
        <v>2025</v>
      </c>
      <c r="B15" s="54" t="s">
        <v>389</v>
      </c>
      <c r="C15" s="56">
        <v>-2</v>
      </c>
      <c r="D15" s="56">
        <v>3671.5899999999997</v>
      </c>
      <c r="F15" s="53">
        <v>2026</v>
      </c>
      <c r="G15" s="54" t="s">
        <v>376</v>
      </c>
      <c r="H15" s="14">
        <v>-991.64</v>
      </c>
      <c r="I15" s="14">
        <v>4534.0599999999995</v>
      </c>
      <c r="J15" s="14">
        <f t="shared" si="0"/>
        <v>3542.4199999999996</v>
      </c>
      <c r="K15" s="14">
        <v>-5537.0979955700004</v>
      </c>
    </row>
    <row r="16" spans="1:12" x14ac:dyDescent="0.35">
      <c r="A16" s="55">
        <v>2026</v>
      </c>
      <c r="B16" s="54" t="s">
        <v>376</v>
      </c>
      <c r="C16" s="56">
        <v>-5639.0979955700004</v>
      </c>
      <c r="D16" s="56">
        <v>4738.4100000000008</v>
      </c>
      <c r="H16" s="15">
        <f>SUM(H4:H15)</f>
        <v>-1583.04</v>
      </c>
      <c r="I16" s="15">
        <f t="shared" ref="I16:K16" si="1">SUM(I4:I15)</f>
        <v>26322.6</v>
      </c>
      <c r="J16" s="14">
        <f t="shared" si="0"/>
        <v>24739.559999999998</v>
      </c>
      <c r="K16" s="15">
        <f t="shared" si="1"/>
        <v>-11653.114242562689</v>
      </c>
      <c r="L16" s="48">
        <f>SUM(J16:K16)</f>
        <v>13086.445757437308</v>
      </c>
    </row>
    <row r="17" spans="1:5" x14ac:dyDescent="0.35">
      <c r="A17" s="55">
        <v>2026</v>
      </c>
      <c r="B17" s="54" t="s">
        <v>377</v>
      </c>
      <c r="C17" s="56">
        <v>-13</v>
      </c>
      <c r="D17" s="56">
        <v>506</v>
      </c>
    </row>
    <row r="18" spans="1:5" x14ac:dyDescent="0.35">
      <c r="C18" s="13">
        <f>SUM(C4:C17)</f>
        <v>-11750.657478688001</v>
      </c>
      <c r="D18" s="13">
        <f>SUM(D4:D17)</f>
        <v>9514.8029999999999</v>
      </c>
      <c r="E18" s="30">
        <f>SUM(C18:D18)</f>
        <v>-2235.8544786880011</v>
      </c>
    </row>
  </sheetData>
  <mergeCells count="2">
    <mergeCell ref="A2:D2"/>
    <mergeCell ref="F2:K2"/>
  </mergeCells>
  <pageMargins left="0.7" right="0.7" top="0.75" bottom="0.75" header="0.3" footer="0.3"/>
  <ignoredErrors>
    <ignoredError sqref="J1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C9C02-B904-431C-B825-36CDB17DFAD6}">
  <dimension ref="A1:S65"/>
  <sheetViews>
    <sheetView tabSelected="1" topLeftCell="A38" workbookViewId="0">
      <selection activeCell="C55" sqref="C55"/>
    </sheetView>
  </sheetViews>
  <sheetFormatPr defaultRowHeight="14.5" x14ac:dyDescent="0.35"/>
  <cols>
    <col min="1" max="1" width="11.1796875" bestFit="1" customWidth="1"/>
    <col min="2" max="2" width="17" bestFit="1" customWidth="1"/>
    <col min="3" max="3" width="24.26953125" bestFit="1" customWidth="1"/>
    <col min="4" max="4" width="11.81640625" style="13" bestFit="1" customWidth="1"/>
    <col min="5" max="5" width="11" style="13" bestFit="1" customWidth="1"/>
    <col min="6" max="6" width="12.453125" style="13" bestFit="1" customWidth="1"/>
    <col min="7" max="7" width="14.81640625" bestFit="1" customWidth="1"/>
    <col min="8" max="8" width="23.36328125" bestFit="1" customWidth="1"/>
    <col min="9" max="9" width="19.54296875" hidden="1" customWidth="1"/>
    <col min="10" max="10" width="255.6328125" hidden="1" customWidth="1"/>
    <col min="11" max="11" width="44.7265625" hidden="1" customWidth="1"/>
    <col min="12" max="12" width="110.6328125" hidden="1" customWidth="1"/>
    <col min="15" max="15" width="12.36328125" bestFit="1" customWidth="1"/>
    <col min="16" max="16" width="17" bestFit="1" customWidth="1"/>
    <col min="17" max="17" width="13.7265625" bestFit="1" customWidth="1"/>
    <col min="18" max="18" width="17" bestFit="1" customWidth="1"/>
    <col min="19" max="19" width="17.54296875" bestFit="1" customWidth="1"/>
    <col min="20" max="20" width="5.81640625" bestFit="1" customWidth="1"/>
    <col min="21" max="23" width="6.81640625" bestFit="1" customWidth="1"/>
    <col min="24" max="25" width="7.81640625" bestFit="1" customWidth="1"/>
    <col min="26" max="26" width="7.26953125" bestFit="1" customWidth="1"/>
    <col min="27" max="28" width="8.81640625" bestFit="1" customWidth="1"/>
    <col min="29" max="30" width="9.81640625" bestFit="1" customWidth="1"/>
    <col min="31" max="31" width="11.6328125" bestFit="1" customWidth="1"/>
  </cols>
  <sheetData>
    <row r="1" spans="1:19" x14ac:dyDescent="0.35">
      <c r="A1" s="10" t="s">
        <v>0</v>
      </c>
      <c r="B1" s="10" t="s">
        <v>11</v>
      </c>
      <c r="C1" s="10" t="s">
        <v>1</v>
      </c>
      <c r="D1" s="12" t="s">
        <v>2</v>
      </c>
      <c r="E1" s="12" t="s">
        <v>3</v>
      </c>
      <c r="F1" s="12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O1" s="50" t="s">
        <v>390</v>
      </c>
      <c r="P1" s="50" t="s">
        <v>391</v>
      </c>
      <c r="Q1" s="50" t="s">
        <v>0</v>
      </c>
      <c r="R1" t="s">
        <v>373</v>
      </c>
      <c r="S1" t="s">
        <v>374</v>
      </c>
    </row>
    <row r="2" spans="1:19" x14ac:dyDescent="0.35">
      <c r="A2" s="51">
        <v>45714</v>
      </c>
      <c r="B2" s="11">
        <v>246779410050</v>
      </c>
      <c r="C2" s="10" t="s">
        <v>12</v>
      </c>
      <c r="D2" s="12">
        <v>0</v>
      </c>
      <c r="E2" s="12">
        <v>45.75</v>
      </c>
      <c r="F2" s="12">
        <v>-45.75</v>
      </c>
      <c r="G2" s="10" t="s">
        <v>13</v>
      </c>
      <c r="H2" s="10" t="s">
        <v>13</v>
      </c>
      <c r="I2" s="10" t="s">
        <v>97</v>
      </c>
      <c r="J2" s="10" t="s">
        <v>15</v>
      </c>
      <c r="K2" s="10"/>
      <c r="L2" s="10" t="s">
        <v>97</v>
      </c>
      <c r="O2" t="s">
        <v>129</v>
      </c>
      <c r="P2" t="s">
        <v>375</v>
      </c>
      <c r="Q2" s="52" t="s">
        <v>377</v>
      </c>
      <c r="R2" s="8">
        <v>0</v>
      </c>
      <c r="S2" s="8">
        <v>274.5</v>
      </c>
    </row>
    <row r="3" spans="1:19" x14ac:dyDescent="0.35">
      <c r="A3" s="51">
        <v>45714</v>
      </c>
      <c r="B3" s="11">
        <v>246779410304</v>
      </c>
      <c r="C3" s="10" t="s">
        <v>12</v>
      </c>
      <c r="D3" s="12">
        <v>0</v>
      </c>
      <c r="E3" s="12">
        <v>45.75</v>
      </c>
      <c r="F3" s="12">
        <v>-91.5</v>
      </c>
      <c r="G3" s="10" t="s">
        <v>13</v>
      </c>
      <c r="H3" s="10" t="s">
        <v>13</v>
      </c>
      <c r="I3" s="10" t="s">
        <v>98</v>
      </c>
      <c r="J3" s="10" t="s">
        <v>15</v>
      </c>
      <c r="K3" s="10"/>
      <c r="L3" s="10" t="s">
        <v>98</v>
      </c>
      <c r="Q3" s="52" t="s">
        <v>378</v>
      </c>
      <c r="R3" s="8">
        <v>282.60599474600002</v>
      </c>
      <c r="S3" s="8">
        <v>4.0529999999999999</v>
      </c>
    </row>
    <row r="4" spans="1:19" x14ac:dyDescent="0.35">
      <c r="A4" s="51">
        <v>45714</v>
      </c>
      <c r="B4" s="11">
        <v>246779410118</v>
      </c>
      <c r="C4" s="10" t="s">
        <v>12</v>
      </c>
      <c r="D4" s="12">
        <v>0</v>
      </c>
      <c r="E4" s="12">
        <v>45.75</v>
      </c>
      <c r="F4" s="12">
        <v>-137.25</v>
      </c>
      <c r="G4" s="10" t="s">
        <v>13</v>
      </c>
      <c r="H4" s="10" t="s">
        <v>13</v>
      </c>
      <c r="I4" s="10" t="s">
        <v>99</v>
      </c>
      <c r="J4" s="10" t="s">
        <v>15</v>
      </c>
      <c r="K4" s="10"/>
      <c r="L4" s="10" t="s">
        <v>99</v>
      </c>
      <c r="P4" t="s">
        <v>382</v>
      </c>
      <c r="Q4" s="52" t="s">
        <v>385</v>
      </c>
      <c r="R4" s="8">
        <v>0</v>
      </c>
      <c r="S4" s="8">
        <v>45.75</v>
      </c>
    </row>
    <row r="5" spans="1:19" x14ac:dyDescent="0.35">
      <c r="A5" s="51">
        <v>45714</v>
      </c>
      <c r="B5" s="11">
        <v>246779410161</v>
      </c>
      <c r="C5" s="10" t="s">
        <v>12</v>
      </c>
      <c r="D5" s="12">
        <v>0</v>
      </c>
      <c r="E5" s="12">
        <v>45.75</v>
      </c>
      <c r="F5" s="12">
        <v>-183</v>
      </c>
      <c r="G5" s="10" t="s">
        <v>13</v>
      </c>
      <c r="H5" s="10" t="s">
        <v>13</v>
      </c>
      <c r="I5" s="10" t="s">
        <v>100</v>
      </c>
      <c r="J5" s="10" t="s">
        <v>15</v>
      </c>
      <c r="K5" s="10"/>
      <c r="L5" s="10" t="s">
        <v>100</v>
      </c>
      <c r="P5" t="s">
        <v>386</v>
      </c>
      <c r="Q5" s="52" t="s">
        <v>387</v>
      </c>
      <c r="R5" s="8">
        <v>5813.9534883719998</v>
      </c>
      <c r="S5" s="8">
        <v>274.5</v>
      </c>
    </row>
    <row r="6" spans="1:19" x14ac:dyDescent="0.35">
      <c r="A6" s="51">
        <v>45714</v>
      </c>
      <c r="B6" s="11">
        <v>246779410247</v>
      </c>
      <c r="C6" s="10" t="s">
        <v>12</v>
      </c>
      <c r="D6" s="12">
        <v>0</v>
      </c>
      <c r="E6" s="12">
        <v>45.75</v>
      </c>
      <c r="F6" s="12">
        <v>-228.75</v>
      </c>
      <c r="G6" s="10" t="s">
        <v>13</v>
      </c>
      <c r="H6" s="10" t="s">
        <v>13</v>
      </c>
      <c r="I6" s="10" t="s">
        <v>101</v>
      </c>
      <c r="J6" s="10" t="s">
        <v>15</v>
      </c>
      <c r="K6" s="10"/>
      <c r="L6" s="10" t="s">
        <v>101</v>
      </c>
      <c r="Q6" s="52" t="s">
        <v>389</v>
      </c>
      <c r="R6" s="8">
        <v>2</v>
      </c>
      <c r="S6" s="8">
        <v>3671.5899999999997</v>
      </c>
    </row>
    <row r="7" spans="1:19" x14ac:dyDescent="0.35">
      <c r="A7" s="51">
        <v>45714</v>
      </c>
      <c r="B7" s="11">
        <v>246779410204</v>
      </c>
      <c r="C7" s="10" t="s">
        <v>12</v>
      </c>
      <c r="D7" s="12">
        <v>0</v>
      </c>
      <c r="E7" s="12">
        <v>45.75</v>
      </c>
      <c r="F7" s="12">
        <v>-274.5</v>
      </c>
      <c r="G7" s="10" t="s">
        <v>13</v>
      </c>
      <c r="H7" s="10" t="s">
        <v>13</v>
      </c>
      <c r="I7" s="10" t="s">
        <v>102</v>
      </c>
      <c r="J7" s="10" t="s">
        <v>15</v>
      </c>
      <c r="K7" s="10"/>
      <c r="L7" s="10" t="s">
        <v>102</v>
      </c>
      <c r="O7" t="s">
        <v>313</v>
      </c>
      <c r="P7" t="s">
        <v>375</v>
      </c>
      <c r="Q7" s="52" t="s">
        <v>376</v>
      </c>
      <c r="R7" s="8">
        <v>5639.0979955700004</v>
      </c>
      <c r="S7" s="8">
        <v>4738.4100000000008</v>
      </c>
    </row>
    <row r="8" spans="1:19" x14ac:dyDescent="0.35">
      <c r="A8" s="51">
        <v>45742</v>
      </c>
      <c r="B8" s="11">
        <v>246779410050</v>
      </c>
      <c r="C8" s="10" t="s">
        <v>12</v>
      </c>
      <c r="D8" s="12">
        <v>278.55299474600002</v>
      </c>
      <c r="E8" s="12">
        <v>0</v>
      </c>
      <c r="F8" s="12">
        <v>4.0529947460000244</v>
      </c>
      <c r="G8" s="10" t="s">
        <v>23</v>
      </c>
      <c r="H8" s="10" t="s">
        <v>24</v>
      </c>
      <c r="I8" s="10" t="s">
        <v>104</v>
      </c>
      <c r="J8" s="10" t="s">
        <v>105</v>
      </c>
      <c r="K8" s="10"/>
      <c r="L8" s="10" t="s">
        <v>106</v>
      </c>
      <c r="Q8" s="52" t="s">
        <v>377</v>
      </c>
      <c r="R8" s="8">
        <v>13</v>
      </c>
      <c r="S8" s="8">
        <v>506</v>
      </c>
    </row>
    <row r="9" spans="1:19" x14ac:dyDescent="0.35">
      <c r="A9" s="51">
        <v>45742</v>
      </c>
      <c r="B9" s="11">
        <v>246779410050</v>
      </c>
      <c r="C9" s="10" t="s">
        <v>12</v>
      </c>
      <c r="D9" s="12">
        <v>0</v>
      </c>
      <c r="E9" s="12">
        <v>0</v>
      </c>
      <c r="F9" s="12">
        <v>4.0529947460000244</v>
      </c>
      <c r="G9" s="10" t="s">
        <v>107</v>
      </c>
      <c r="H9" s="10" t="s">
        <v>108</v>
      </c>
      <c r="I9" s="10" t="s">
        <v>109</v>
      </c>
      <c r="J9" s="10" t="s">
        <v>110</v>
      </c>
      <c r="K9" s="10"/>
      <c r="L9" s="10" t="s">
        <v>97</v>
      </c>
    </row>
    <row r="10" spans="1:19" x14ac:dyDescent="0.35">
      <c r="A10" s="51">
        <v>45742</v>
      </c>
      <c r="B10" s="11">
        <v>246779410304</v>
      </c>
      <c r="C10" s="10" t="s">
        <v>12</v>
      </c>
      <c r="D10" s="12">
        <v>0</v>
      </c>
      <c r="E10" s="12">
        <v>0</v>
      </c>
      <c r="F10" s="12">
        <v>4.0529947460000244</v>
      </c>
      <c r="G10" s="10" t="s">
        <v>107</v>
      </c>
      <c r="H10" s="10" t="s">
        <v>108</v>
      </c>
      <c r="I10" s="10" t="s">
        <v>111</v>
      </c>
      <c r="J10" s="10" t="s">
        <v>110</v>
      </c>
      <c r="K10" s="10"/>
      <c r="L10" s="10" t="s">
        <v>98</v>
      </c>
    </row>
    <row r="11" spans="1:19" x14ac:dyDescent="0.35">
      <c r="A11" s="51">
        <v>45742</v>
      </c>
      <c r="B11" s="11">
        <v>246779410118</v>
      </c>
      <c r="C11" s="10" t="s">
        <v>12</v>
      </c>
      <c r="D11" s="12">
        <v>0</v>
      </c>
      <c r="E11" s="12">
        <v>0</v>
      </c>
      <c r="F11" s="12">
        <v>4.0529947460000244</v>
      </c>
      <c r="G11" s="10" t="s">
        <v>107</v>
      </c>
      <c r="H11" s="10" t="s">
        <v>108</v>
      </c>
      <c r="I11" s="10" t="s">
        <v>112</v>
      </c>
      <c r="J11" s="10" t="s">
        <v>110</v>
      </c>
      <c r="K11" s="10"/>
      <c r="L11" s="10" t="s">
        <v>99</v>
      </c>
    </row>
    <row r="12" spans="1:19" x14ac:dyDescent="0.35">
      <c r="A12" s="51">
        <v>45742</v>
      </c>
      <c r="B12" s="11">
        <v>246779410161</v>
      </c>
      <c r="C12" s="10" t="s">
        <v>12</v>
      </c>
      <c r="D12" s="12">
        <v>0</v>
      </c>
      <c r="E12" s="12">
        <v>0</v>
      </c>
      <c r="F12" s="12">
        <v>4.0529947460000244</v>
      </c>
      <c r="G12" s="10" t="s">
        <v>107</v>
      </c>
      <c r="H12" s="10" t="s">
        <v>108</v>
      </c>
      <c r="I12" s="10" t="s">
        <v>113</v>
      </c>
      <c r="J12" s="10" t="s">
        <v>110</v>
      </c>
      <c r="K12" s="10"/>
      <c r="L12" s="10" t="s">
        <v>100</v>
      </c>
    </row>
    <row r="13" spans="1:19" x14ac:dyDescent="0.35">
      <c r="A13" s="51">
        <v>45742</v>
      </c>
      <c r="B13" s="11">
        <v>246779410204</v>
      </c>
      <c r="C13" s="10" t="s">
        <v>12</v>
      </c>
      <c r="D13" s="12">
        <v>0</v>
      </c>
      <c r="E13" s="12">
        <v>0</v>
      </c>
      <c r="F13" s="12">
        <v>4.0529947460000244</v>
      </c>
      <c r="G13" s="10" t="s">
        <v>107</v>
      </c>
      <c r="H13" s="10" t="s">
        <v>108</v>
      </c>
      <c r="I13" s="10" t="s">
        <v>114</v>
      </c>
      <c r="J13" s="10" t="s">
        <v>110</v>
      </c>
      <c r="K13" s="10"/>
      <c r="L13" s="10" t="s">
        <v>102</v>
      </c>
    </row>
    <row r="14" spans="1:19" x14ac:dyDescent="0.35">
      <c r="A14" s="51">
        <v>45742</v>
      </c>
      <c r="B14" s="11">
        <v>246779410247</v>
      </c>
      <c r="C14" s="10" t="s">
        <v>12</v>
      </c>
      <c r="D14" s="12">
        <v>0</v>
      </c>
      <c r="E14" s="12">
        <v>0</v>
      </c>
      <c r="F14" s="12">
        <v>4.0529947460000244</v>
      </c>
      <c r="G14" s="10" t="s">
        <v>107</v>
      </c>
      <c r="H14" s="10" t="s">
        <v>108</v>
      </c>
      <c r="I14" s="10" t="s">
        <v>115</v>
      </c>
      <c r="J14" s="10" t="s">
        <v>110</v>
      </c>
      <c r="K14" s="10"/>
      <c r="L14" s="10" t="s">
        <v>101</v>
      </c>
    </row>
    <row r="15" spans="1:19" x14ac:dyDescent="0.35">
      <c r="A15" s="51">
        <v>45747</v>
      </c>
      <c r="B15" s="11"/>
      <c r="C15" s="10" t="s">
        <v>12</v>
      </c>
      <c r="D15" s="12">
        <v>4.0529999999999999</v>
      </c>
      <c r="E15" s="12">
        <v>4.0529999999999999</v>
      </c>
      <c r="F15" s="12">
        <v>4.0529947460000244</v>
      </c>
      <c r="G15" s="10" t="s">
        <v>107</v>
      </c>
      <c r="H15" s="10" t="s">
        <v>116</v>
      </c>
      <c r="I15" s="10" t="s">
        <v>117</v>
      </c>
      <c r="J15" s="10" t="s">
        <v>118</v>
      </c>
      <c r="K15" s="10"/>
      <c r="L15" s="10" t="s">
        <v>119</v>
      </c>
    </row>
    <row r="16" spans="1:19" x14ac:dyDescent="0.35">
      <c r="A16" s="51">
        <v>45904</v>
      </c>
      <c r="B16" s="11">
        <v>256779417374</v>
      </c>
      <c r="C16" s="10" t="s">
        <v>12</v>
      </c>
      <c r="D16" s="12">
        <v>0</v>
      </c>
      <c r="E16" s="12">
        <v>45.75</v>
      </c>
      <c r="F16" s="12">
        <v>-41.697005253999997</v>
      </c>
      <c r="G16" s="10" t="s">
        <v>13</v>
      </c>
      <c r="H16" s="10" t="s">
        <v>13</v>
      </c>
      <c r="I16" s="10" t="s">
        <v>14</v>
      </c>
      <c r="J16" s="10" t="s">
        <v>15</v>
      </c>
      <c r="K16" s="10"/>
      <c r="L16" s="10" t="s">
        <v>14</v>
      </c>
    </row>
    <row r="17" spans="1:12" x14ac:dyDescent="0.35">
      <c r="A17" s="51">
        <v>45946</v>
      </c>
      <c r="B17" s="11">
        <v>246779413009</v>
      </c>
      <c r="C17" s="10" t="s">
        <v>12</v>
      </c>
      <c r="D17" s="12">
        <v>0</v>
      </c>
      <c r="E17" s="12">
        <v>45.75</v>
      </c>
      <c r="F17" s="12">
        <v>-87.447005254000004</v>
      </c>
      <c r="G17" s="10" t="s">
        <v>13</v>
      </c>
      <c r="H17" s="10" t="s">
        <v>13</v>
      </c>
      <c r="I17" s="10" t="s">
        <v>16</v>
      </c>
      <c r="J17" s="10" t="s">
        <v>15</v>
      </c>
      <c r="K17" s="10"/>
      <c r="L17" s="10" t="s">
        <v>16</v>
      </c>
    </row>
    <row r="18" spans="1:12" x14ac:dyDescent="0.35">
      <c r="A18" s="51">
        <v>45946</v>
      </c>
      <c r="B18" s="11">
        <v>256779412170</v>
      </c>
      <c r="C18" s="10" t="s">
        <v>12</v>
      </c>
      <c r="D18" s="12">
        <v>0</v>
      </c>
      <c r="E18" s="12">
        <v>45.75</v>
      </c>
      <c r="F18" s="12">
        <v>-133.197005254</v>
      </c>
      <c r="G18" s="10" t="s">
        <v>13</v>
      </c>
      <c r="H18" s="10" t="s">
        <v>13</v>
      </c>
      <c r="I18" s="10" t="s">
        <v>17</v>
      </c>
      <c r="J18" s="10" t="s">
        <v>15</v>
      </c>
      <c r="K18" s="10"/>
      <c r="L18" s="10" t="s">
        <v>17</v>
      </c>
    </row>
    <row r="19" spans="1:12" x14ac:dyDescent="0.35">
      <c r="A19" s="51">
        <v>45946</v>
      </c>
      <c r="B19" s="11">
        <v>256779413128</v>
      </c>
      <c r="C19" s="10" t="s">
        <v>12</v>
      </c>
      <c r="D19" s="12">
        <v>0</v>
      </c>
      <c r="E19" s="12">
        <v>45.75</v>
      </c>
      <c r="F19" s="12">
        <v>-178.947005254</v>
      </c>
      <c r="G19" s="10" t="s">
        <v>13</v>
      </c>
      <c r="H19" s="10" t="s">
        <v>13</v>
      </c>
      <c r="I19" s="10" t="s">
        <v>18</v>
      </c>
      <c r="J19" s="10" t="s">
        <v>15</v>
      </c>
      <c r="K19" s="10"/>
      <c r="L19" s="10" t="s">
        <v>18</v>
      </c>
    </row>
    <row r="20" spans="1:12" x14ac:dyDescent="0.35">
      <c r="A20" s="51">
        <v>45946</v>
      </c>
      <c r="B20" s="11">
        <v>256779414387</v>
      </c>
      <c r="C20" s="10" t="s">
        <v>12</v>
      </c>
      <c r="D20" s="12">
        <v>0</v>
      </c>
      <c r="E20" s="12">
        <v>45.75</v>
      </c>
      <c r="F20" s="12">
        <v>-224.697005254</v>
      </c>
      <c r="G20" s="10" t="s">
        <v>13</v>
      </c>
      <c r="H20" s="10" t="s">
        <v>13</v>
      </c>
      <c r="I20" s="10" t="s">
        <v>19</v>
      </c>
      <c r="J20" s="10" t="s">
        <v>15</v>
      </c>
      <c r="K20" s="10"/>
      <c r="L20" s="10" t="s">
        <v>19</v>
      </c>
    </row>
    <row r="21" spans="1:12" x14ac:dyDescent="0.35">
      <c r="A21" s="51">
        <v>45946</v>
      </c>
      <c r="B21" s="11">
        <v>256779414945</v>
      </c>
      <c r="C21" s="10" t="s">
        <v>12</v>
      </c>
      <c r="D21" s="12">
        <v>0</v>
      </c>
      <c r="E21" s="12">
        <v>45.75</v>
      </c>
      <c r="F21" s="12">
        <v>-270.44700525399998</v>
      </c>
      <c r="G21" s="10" t="s">
        <v>13</v>
      </c>
      <c r="H21" s="10" t="s">
        <v>13</v>
      </c>
      <c r="I21" s="10" t="s">
        <v>20</v>
      </c>
      <c r="J21" s="10" t="s">
        <v>15</v>
      </c>
      <c r="K21" s="10"/>
      <c r="L21" s="10" t="s">
        <v>20</v>
      </c>
    </row>
    <row r="22" spans="1:12" x14ac:dyDescent="0.35">
      <c r="A22" s="51">
        <v>45946</v>
      </c>
      <c r="B22" s="11">
        <v>256779416055</v>
      </c>
      <c r="C22" s="10" t="s">
        <v>12</v>
      </c>
      <c r="D22" s="12">
        <v>0</v>
      </c>
      <c r="E22" s="12">
        <v>45.75</v>
      </c>
      <c r="F22" s="12">
        <v>-316.19700525399998</v>
      </c>
      <c r="G22" s="10" t="s">
        <v>13</v>
      </c>
      <c r="H22" s="10" t="s">
        <v>13</v>
      </c>
      <c r="I22" s="10" t="s">
        <v>21</v>
      </c>
      <c r="J22" s="10" t="s">
        <v>15</v>
      </c>
      <c r="K22" s="10"/>
      <c r="L22" s="10" t="s">
        <v>21</v>
      </c>
    </row>
    <row r="23" spans="1:12" x14ac:dyDescent="0.35">
      <c r="A23" s="51">
        <v>45954</v>
      </c>
      <c r="B23" s="11"/>
      <c r="C23" s="10" t="s">
        <v>12</v>
      </c>
      <c r="D23" s="12">
        <v>5813.9534883719998</v>
      </c>
      <c r="E23" s="12">
        <v>0</v>
      </c>
      <c r="F23" s="12">
        <v>5497.7564831179998</v>
      </c>
      <c r="G23" s="10" t="s">
        <v>23</v>
      </c>
      <c r="H23" s="10" t="s">
        <v>24</v>
      </c>
      <c r="I23" s="10" t="s">
        <v>25</v>
      </c>
      <c r="J23" s="10" t="s">
        <v>26</v>
      </c>
      <c r="K23" s="10"/>
      <c r="L23" s="10"/>
    </row>
    <row r="24" spans="1:12" x14ac:dyDescent="0.35">
      <c r="A24" s="51">
        <v>46014</v>
      </c>
      <c r="B24" s="11">
        <v>256779418037</v>
      </c>
      <c r="C24" s="10" t="s">
        <v>12</v>
      </c>
      <c r="D24" s="12">
        <v>0</v>
      </c>
      <c r="E24" s="12">
        <v>45.75</v>
      </c>
      <c r="F24" s="12">
        <v>5452.0064831179998</v>
      </c>
      <c r="G24" s="10" t="s">
        <v>13</v>
      </c>
      <c r="H24" s="10" t="s">
        <v>13</v>
      </c>
      <c r="I24" s="10" t="s">
        <v>27</v>
      </c>
      <c r="J24" s="10" t="s">
        <v>15</v>
      </c>
      <c r="K24" s="10"/>
      <c r="L24" s="10" t="s">
        <v>27</v>
      </c>
    </row>
    <row r="25" spans="1:12" x14ac:dyDescent="0.35">
      <c r="A25" s="51">
        <v>46014</v>
      </c>
      <c r="B25" s="11">
        <v>256779413840</v>
      </c>
      <c r="C25" s="10" t="s">
        <v>12</v>
      </c>
      <c r="D25" s="12">
        <v>0</v>
      </c>
      <c r="E25" s="12">
        <v>41.14</v>
      </c>
      <c r="F25" s="12">
        <v>5410.8664831179995</v>
      </c>
      <c r="G25" s="10" t="s">
        <v>13</v>
      </c>
      <c r="H25" s="10" t="s">
        <v>13</v>
      </c>
      <c r="I25" s="10" t="s">
        <v>28</v>
      </c>
      <c r="J25" s="10" t="s">
        <v>29</v>
      </c>
      <c r="K25" s="10"/>
      <c r="L25" s="10" t="s">
        <v>28</v>
      </c>
    </row>
    <row r="26" spans="1:12" x14ac:dyDescent="0.35">
      <c r="A26" s="51">
        <v>46014</v>
      </c>
      <c r="B26" s="11">
        <v>256779413242</v>
      </c>
      <c r="C26" s="10" t="s">
        <v>12</v>
      </c>
      <c r="D26" s="12">
        <v>0</v>
      </c>
      <c r="E26" s="12">
        <v>1170.92</v>
      </c>
      <c r="F26" s="12">
        <v>4239.9464831179994</v>
      </c>
      <c r="G26" s="10" t="s">
        <v>13</v>
      </c>
      <c r="H26" s="10" t="s">
        <v>13</v>
      </c>
      <c r="I26" s="10" t="s">
        <v>30</v>
      </c>
      <c r="J26" s="10" t="s">
        <v>31</v>
      </c>
      <c r="K26" s="10"/>
      <c r="L26" s="10" t="s">
        <v>30</v>
      </c>
    </row>
    <row r="27" spans="1:12" x14ac:dyDescent="0.35">
      <c r="A27" s="51">
        <v>46014</v>
      </c>
      <c r="B27" s="11">
        <v>256779414742</v>
      </c>
      <c r="C27" s="10" t="s">
        <v>12</v>
      </c>
      <c r="D27" s="12">
        <v>0</v>
      </c>
      <c r="E27" s="12">
        <v>325.22000000000003</v>
      </c>
      <c r="F27" s="12">
        <v>3914.7264831179991</v>
      </c>
      <c r="G27" s="10" t="s">
        <v>13</v>
      </c>
      <c r="H27" s="10" t="s">
        <v>13</v>
      </c>
      <c r="I27" s="10" t="s">
        <v>32</v>
      </c>
      <c r="J27" s="10" t="s">
        <v>31</v>
      </c>
      <c r="K27" s="10" t="s">
        <v>33</v>
      </c>
      <c r="L27" s="10" t="s">
        <v>32</v>
      </c>
    </row>
    <row r="28" spans="1:12" x14ac:dyDescent="0.35">
      <c r="A28" s="51">
        <v>46014</v>
      </c>
      <c r="B28" s="11">
        <v>256779417450</v>
      </c>
      <c r="C28" s="10" t="s">
        <v>12</v>
      </c>
      <c r="D28" s="12">
        <v>0</v>
      </c>
      <c r="E28" s="12">
        <v>79.569999999999993</v>
      </c>
      <c r="F28" s="12">
        <v>3835.156483117999</v>
      </c>
      <c r="G28" s="10" t="s">
        <v>13</v>
      </c>
      <c r="H28" s="10" t="s">
        <v>13</v>
      </c>
      <c r="I28" s="10" t="s">
        <v>34</v>
      </c>
      <c r="J28" s="10" t="s">
        <v>29</v>
      </c>
      <c r="K28" s="10"/>
      <c r="L28" s="10" t="s">
        <v>34</v>
      </c>
    </row>
    <row r="29" spans="1:12" x14ac:dyDescent="0.35">
      <c r="A29" s="51">
        <v>46015</v>
      </c>
      <c r="B29" s="11">
        <v>256779418186</v>
      </c>
      <c r="C29" s="10" t="s">
        <v>12</v>
      </c>
      <c r="D29" s="12">
        <v>0</v>
      </c>
      <c r="E29" s="12">
        <v>20.27</v>
      </c>
      <c r="F29" s="12">
        <v>3814.886483117999</v>
      </c>
      <c r="G29" s="10" t="s">
        <v>13</v>
      </c>
      <c r="H29" s="10" t="s">
        <v>13</v>
      </c>
      <c r="I29" s="10" t="s">
        <v>35</v>
      </c>
      <c r="J29" s="10" t="s">
        <v>29</v>
      </c>
      <c r="K29" s="10" t="s">
        <v>36</v>
      </c>
      <c r="L29" s="10" t="s">
        <v>35</v>
      </c>
    </row>
    <row r="30" spans="1:12" x14ac:dyDescent="0.35">
      <c r="A30" s="51">
        <v>46015</v>
      </c>
      <c r="B30" s="11">
        <v>256779418481</v>
      </c>
      <c r="C30" s="10" t="s">
        <v>12</v>
      </c>
      <c r="D30" s="12">
        <v>0</v>
      </c>
      <c r="E30" s="12">
        <v>39.770000000000003</v>
      </c>
      <c r="F30" s="12">
        <v>3775.116483117999</v>
      </c>
      <c r="G30" s="10" t="s">
        <v>13</v>
      </c>
      <c r="H30" s="10" t="s">
        <v>13</v>
      </c>
      <c r="I30" s="10" t="s">
        <v>37</v>
      </c>
      <c r="J30" s="10" t="s">
        <v>29</v>
      </c>
      <c r="K30" s="10"/>
      <c r="L30" s="10" t="s">
        <v>37</v>
      </c>
    </row>
    <row r="31" spans="1:12" x14ac:dyDescent="0.35">
      <c r="A31" s="51">
        <v>46015</v>
      </c>
      <c r="B31" s="11">
        <v>256779413162</v>
      </c>
      <c r="C31" s="10" t="s">
        <v>12</v>
      </c>
      <c r="D31" s="12">
        <v>0</v>
      </c>
      <c r="E31" s="12">
        <v>128.6</v>
      </c>
      <c r="F31" s="12">
        <v>3646.5164831179991</v>
      </c>
      <c r="G31" s="10" t="s">
        <v>13</v>
      </c>
      <c r="H31" s="10" t="s">
        <v>13</v>
      </c>
      <c r="I31" s="10" t="s">
        <v>38</v>
      </c>
      <c r="J31" s="10" t="s">
        <v>39</v>
      </c>
      <c r="K31" s="10" t="s">
        <v>40</v>
      </c>
      <c r="L31" s="10" t="s">
        <v>38</v>
      </c>
    </row>
    <row r="32" spans="1:12" x14ac:dyDescent="0.35">
      <c r="A32" s="51">
        <v>46015</v>
      </c>
      <c r="B32" s="11">
        <v>256779413171</v>
      </c>
      <c r="C32" s="10" t="s">
        <v>12</v>
      </c>
      <c r="D32" s="12">
        <v>0</v>
      </c>
      <c r="E32" s="12">
        <v>110.8</v>
      </c>
      <c r="F32" s="12">
        <v>3535.7164831179989</v>
      </c>
      <c r="G32" s="10" t="s">
        <v>13</v>
      </c>
      <c r="H32" s="10" t="s">
        <v>13</v>
      </c>
      <c r="I32" s="10" t="s">
        <v>41</v>
      </c>
      <c r="J32" s="10" t="s">
        <v>39</v>
      </c>
      <c r="K32" s="10"/>
      <c r="L32" s="10" t="s">
        <v>41</v>
      </c>
    </row>
    <row r="33" spans="1:12" x14ac:dyDescent="0.35">
      <c r="A33" s="51">
        <v>46015</v>
      </c>
      <c r="B33" s="11">
        <v>256779413425</v>
      </c>
      <c r="C33" s="10" t="s">
        <v>12</v>
      </c>
      <c r="D33" s="12">
        <v>0</v>
      </c>
      <c r="E33" s="12">
        <v>36.6</v>
      </c>
      <c r="F33" s="12">
        <v>3499.116483117999</v>
      </c>
      <c r="G33" s="10" t="s">
        <v>13</v>
      </c>
      <c r="H33" s="10" t="s">
        <v>13</v>
      </c>
      <c r="I33" s="10" t="s">
        <v>42</v>
      </c>
      <c r="J33" s="10" t="s">
        <v>39</v>
      </c>
      <c r="K33" s="10" t="s">
        <v>43</v>
      </c>
      <c r="L33" s="10" t="s">
        <v>42</v>
      </c>
    </row>
    <row r="34" spans="1:12" x14ac:dyDescent="0.35">
      <c r="A34" s="51">
        <v>46015</v>
      </c>
      <c r="B34" s="11">
        <v>256779413426</v>
      </c>
      <c r="C34" s="10" t="s">
        <v>12</v>
      </c>
      <c r="D34" s="12">
        <v>0</v>
      </c>
      <c r="E34" s="12">
        <v>2.35</v>
      </c>
      <c r="F34" s="12">
        <v>3496.7664831179991</v>
      </c>
      <c r="G34" s="10" t="s">
        <v>13</v>
      </c>
      <c r="H34" s="10" t="s">
        <v>13</v>
      </c>
      <c r="I34" s="10" t="s">
        <v>44</v>
      </c>
      <c r="J34" s="10" t="s">
        <v>39</v>
      </c>
      <c r="K34" s="10" t="s">
        <v>45</v>
      </c>
      <c r="L34" s="10" t="s">
        <v>44</v>
      </c>
    </row>
    <row r="35" spans="1:12" x14ac:dyDescent="0.35">
      <c r="A35" s="51">
        <v>46015</v>
      </c>
      <c r="B35" s="11">
        <v>256779414757</v>
      </c>
      <c r="C35" s="10" t="s">
        <v>12</v>
      </c>
      <c r="D35" s="12">
        <v>0</v>
      </c>
      <c r="E35" s="12">
        <v>115.9</v>
      </c>
      <c r="F35" s="12">
        <v>3380.866483117999</v>
      </c>
      <c r="G35" s="10" t="s">
        <v>13</v>
      </c>
      <c r="H35" s="10" t="s">
        <v>13</v>
      </c>
      <c r="I35" s="10" t="s">
        <v>46</v>
      </c>
      <c r="J35" s="10" t="s">
        <v>47</v>
      </c>
      <c r="K35" s="10" t="s">
        <v>33</v>
      </c>
      <c r="L35" s="10" t="s">
        <v>46</v>
      </c>
    </row>
    <row r="36" spans="1:12" x14ac:dyDescent="0.35">
      <c r="A36" s="51">
        <v>46015</v>
      </c>
      <c r="B36" s="11">
        <v>256779414767</v>
      </c>
      <c r="C36" s="10" t="s">
        <v>12</v>
      </c>
      <c r="D36" s="12">
        <v>0</v>
      </c>
      <c r="E36" s="12">
        <v>19.7</v>
      </c>
      <c r="F36" s="12">
        <v>3361.1664831179992</v>
      </c>
      <c r="G36" s="10" t="s">
        <v>13</v>
      </c>
      <c r="H36" s="10" t="s">
        <v>13</v>
      </c>
      <c r="I36" s="10" t="s">
        <v>48</v>
      </c>
      <c r="J36" s="10" t="s">
        <v>47</v>
      </c>
      <c r="K36" s="10" t="s">
        <v>49</v>
      </c>
      <c r="L36" s="10" t="s">
        <v>48</v>
      </c>
    </row>
    <row r="37" spans="1:12" x14ac:dyDescent="0.35">
      <c r="A37" s="51">
        <v>46015</v>
      </c>
      <c r="B37" s="11">
        <v>256779414967</v>
      </c>
      <c r="C37" s="10" t="s">
        <v>12</v>
      </c>
      <c r="D37" s="12">
        <v>0</v>
      </c>
      <c r="E37" s="12">
        <v>212.2</v>
      </c>
      <c r="F37" s="12">
        <v>3148.9664831179989</v>
      </c>
      <c r="G37" s="10" t="s">
        <v>13</v>
      </c>
      <c r="H37" s="10" t="s">
        <v>13</v>
      </c>
      <c r="I37" s="10" t="s">
        <v>50</v>
      </c>
      <c r="J37" s="10" t="s">
        <v>39</v>
      </c>
      <c r="K37" s="10" t="s">
        <v>51</v>
      </c>
      <c r="L37" s="10" t="s">
        <v>50</v>
      </c>
    </row>
    <row r="38" spans="1:12" x14ac:dyDescent="0.35">
      <c r="A38" s="51">
        <v>46015</v>
      </c>
      <c r="B38" s="11">
        <v>256779415455</v>
      </c>
      <c r="C38" s="10" t="s">
        <v>12</v>
      </c>
      <c r="D38" s="12">
        <v>0</v>
      </c>
      <c r="E38" s="12">
        <v>480.4</v>
      </c>
      <c r="F38" s="12">
        <v>2668.5664831179988</v>
      </c>
      <c r="G38" s="10" t="s">
        <v>13</v>
      </c>
      <c r="H38" s="10" t="s">
        <v>13</v>
      </c>
      <c r="I38" s="10" t="s">
        <v>52</v>
      </c>
      <c r="J38" s="10" t="s">
        <v>47</v>
      </c>
      <c r="K38" s="10"/>
      <c r="L38" s="10" t="s">
        <v>52</v>
      </c>
    </row>
    <row r="39" spans="1:12" x14ac:dyDescent="0.35">
      <c r="A39" s="51">
        <v>46015</v>
      </c>
      <c r="B39" s="11">
        <v>256779417583</v>
      </c>
      <c r="C39" s="10" t="s">
        <v>12</v>
      </c>
      <c r="D39" s="12">
        <v>0</v>
      </c>
      <c r="E39" s="12">
        <v>273.45</v>
      </c>
      <c r="F39" s="12">
        <v>2395.116483117999</v>
      </c>
      <c r="G39" s="10" t="s">
        <v>13</v>
      </c>
      <c r="H39" s="10" t="s">
        <v>13</v>
      </c>
      <c r="I39" s="10" t="s">
        <v>53</v>
      </c>
      <c r="J39" s="10" t="s">
        <v>47</v>
      </c>
      <c r="K39" s="10" t="s">
        <v>54</v>
      </c>
      <c r="L39" s="10" t="s">
        <v>53</v>
      </c>
    </row>
    <row r="40" spans="1:12" x14ac:dyDescent="0.35">
      <c r="A40" s="51">
        <v>46015</v>
      </c>
      <c r="B40" s="11">
        <v>256779418907</v>
      </c>
      <c r="C40" s="10" t="s">
        <v>12</v>
      </c>
      <c r="D40" s="12">
        <v>0</v>
      </c>
      <c r="E40" s="12">
        <v>110.8</v>
      </c>
      <c r="F40" s="12">
        <v>2284.3164831179988</v>
      </c>
      <c r="G40" s="10" t="s">
        <v>13</v>
      </c>
      <c r="H40" s="10" t="s">
        <v>13</v>
      </c>
      <c r="I40" s="10" t="s">
        <v>55</v>
      </c>
      <c r="J40" s="10" t="s">
        <v>39</v>
      </c>
      <c r="K40" s="10"/>
      <c r="L40" s="10" t="s">
        <v>55</v>
      </c>
    </row>
    <row r="41" spans="1:12" x14ac:dyDescent="0.35">
      <c r="A41" s="51">
        <v>46015</v>
      </c>
      <c r="B41" s="11">
        <v>256779418894</v>
      </c>
      <c r="C41" s="10" t="s">
        <v>12</v>
      </c>
      <c r="D41" s="12">
        <v>0</v>
      </c>
      <c r="E41" s="12">
        <v>128.6</v>
      </c>
      <c r="F41" s="12">
        <v>2155.7164831179989</v>
      </c>
      <c r="G41" s="10" t="s">
        <v>13</v>
      </c>
      <c r="H41" s="10" t="s">
        <v>13</v>
      </c>
      <c r="I41" s="10" t="s">
        <v>56</v>
      </c>
      <c r="J41" s="10" t="s">
        <v>39</v>
      </c>
      <c r="K41" s="10" t="s">
        <v>57</v>
      </c>
      <c r="L41" s="10" t="s">
        <v>56</v>
      </c>
    </row>
    <row r="42" spans="1:12" x14ac:dyDescent="0.35">
      <c r="A42" s="51">
        <v>46015</v>
      </c>
      <c r="B42" s="11">
        <v>256779417598</v>
      </c>
      <c r="C42" s="10" t="s">
        <v>12</v>
      </c>
      <c r="D42" s="12">
        <v>0</v>
      </c>
      <c r="E42" s="12">
        <v>147.4</v>
      </c>
      <c r="F42" s="12">
        <v>2008.316483117999</v>
      </c>
      <c r="G42" s="10" t="s">
        <v>13</v>
      </c>
      <c r="H42" s="10" t="s">
        <v>13</v>
      </c>
      <c r="I42" s="10" t="s">
        <v>58</v>
      </c>
      <c r="J42" s="10" t="s">
        <v>39</v>
      </c>
      <c r="K42" s="10"/>
      <c r="L42" s="10" t="s">
        <v>58</v>
      </c>
    </row>
    <row r="43" spans="1:12" x14ac:dyDescent="0.35">
      <c r="A43" s="51">
        <v>46015</v>
      </c>
      <c r="B43" s="11">
        <v>256779418355</v>
      </c>
      <c r="C43" s="10" t="s">
        <v>12</v>
      </c>
      <c r="D43" s="12">
        <v>0</v>
      </c>
      <c r="E43" s="12">
        <v>36.6</v>
      </c>
      <c r="F43" s="12">
        <v>1971.7164831179989</v>
      </c>
      <c r="G43" s="10" t="s">
        <v>13</v>
      </c>
      <c r="H43" s="10" t="s">
        <v>13</v>
      </c>
      <c r="I43" s="10" t="s">
        <v>59</v>
      </c>
      <c r="J43" s="10" t="s">
        <v>39</v>
      </c>
      <c r="K43" s="10" t="s">
        <v>36</v>
      </c>
      <c r="L43" s="10" t="s">
        <v>59</v>
      </c>
    </row>
    <row r="44" spans="1:12" x14ac:dyDescent="0.35">
      <c r="A44" s="51">
        <v>46015</v>
      </c>
      <c r="B44" s="11">
        <v>256779418167</v>
      </c>
      <c r="C44" s="10" t="s">
        <v>12</v>
      </c>
      <c r="D44" s="12">
        <v>0</v>
      </c>
      <c r="E44" s="12">
        <v>69</v>
      </c>
      <c r="F44" s="12">
        <v>1902.7164831179989</v>
      </c>
      <c r="G44" s="10" t="s">
        <v>13</v>
      </c>
      <c r="H44" s="10" t="s">
        <v>13</v>
      </c>
      <c r="I44" s="10" t="s">
        <v>60</v>
      </c>
      <c r="J44" s="10" t="s">
        <v>61</v>
      </c>
      <c r="K44" s="10" t="s">
        <v>62</v>
      </c>
      <c r="L44" s="10" t="s">
        <v>60</v>
      </c>
    </row>
    <row r="45" spans="1:12" x14ac:dyDescent="0.35">
      <c r="A45" s="51">
        <v>46022</v>
      </c>
      <c r="B45" s="11">
        <v>256779418340</v>
      </c>
      <c r="C45" s="10" t="s">
        <v>12</v>
      </c>
      <c r="D45" s="12">
        <v>2</v>
      </c>
      <c r="E45" s="12">
        <v>76.55</v>
      </c>
      <c r="F45" s="12">
        <v>1828.166483117999</v>
      </c>
      <c r="G45" s="10" t="s">
        <v>13</v>
      </c>
      <c r="H45" s="10" t="s">
        <v>13</v>
      </c>
      <c r="I45" s="10" t="s">
        <v>63</v>
      </c>
      <c r="J45" s="10" t="s">
        <v>64</v>
      </c>
      <c r="K45" s="10"/>
      <c r="L45" s="10" t="s">
        <v>65</v>
      </c>
    </row>
    <row r="46" spans="1:12" x14ac:dyDescent="0.35">
      <c r="A46" s="51">
        <v>46023</v>
      </c>
      <c r="B46" s="11">
        <v>256779417441</v>
      </c>
      <c r="C46" s="10" t="s">
        <v>12</v>
      </c>
      <c r="D46" s="12">
        <v>38</v>
      </c>
      <c r="E46" s="12">
        <v>1902.19</v>
      </c>
      <c r="F46" s="12">
        <v>-36.023516882000649</v>
      </c>
      <c r="G46" s="10" t="s">
        <v>13</v>
      </c>
      <c r="H46" s="10" t="s">
        <v>13</v>
      </c>
      <c r="I46" s="10" t="s">
        <v>66</v>
      </c>
      <c r="J46" s="10" t="s">
        <v>31</v>
      </c>
      <c r="K46" s="10"/>
      <c r="L46" s="10" t="s">
        <v>67</v>
      </c>
    </row>
    <row r="47" spans="1:12" x14ac:dyDescent="0.35">
      <c r="A47" s="51">
        <v>46023</v>
      </c>
      <c r="B47" s="11">
        <v>256779418178</v>
      </c>
      <c r="C47" s="10" t="s">
        <v>12</v>
      </c>
      <c r="D47" s="12">
        <v>9</v>
      </c>
      <c r="E47" s="12">
        <v>472.74</v>
      </c>
      <c r="F47" s="12">
        <v>-499.76351688200072</v>
      </c>
      <c r="G47" s="10" t="s">
        <v>13</v>
      </c>
      <c r="H47" s="10" t="s">
        <v>13</v>
      </c>
      <c r="I47" s="10" t="s">
        <v>68</v>
      </c>
      <c r="J47" s="10" t="s">
        <v>31</v>
      </c>
      <c r="K47" s="10" t="s">
        <v>36</v>
      </c>
      <c r="L47" s="10" t="s">
        <v>69</v>
      </c>
    </row>
    <row r="48" spans="1:12" x14ac:dyDescent="0.35">
      <c r="A48" s="51">
        <v>46023</v>
      </c>
      <c r="B48" s="11">
        <v>256779413836</v>
      </c>
      <c r="C48" s="10" t="s">
        <v>12</v>
      </c>
      <c r="D48" s="12">
        <v>16</v>
      </c>
      <c r="E48" s="12">
        <v>793.07</v>
      </c>
      <c r="F48" s="12">
        <v>-1276.833516882001</v>
      </c>
      <c r="G48" s="10" t="s">
        <v>13</v>
      </c>
      <c r="H48" s="10" t="s">
        <v>13</v>
      </c>
      <c r="I48" s="10" t="s">
        <v>70</v>
      </c>
      <c r="J48" s="10" t="s">
        <v>31</v>
      </c>
      <c r="K48" s="10"/>
      <c r="L48" s="10" t="s">
        <v>71</v>
      </c>
    </row>
    <row r="49" spans="1:12" x14ac:dyDescent="0.35">
      <c r="A49" s="51">
        <v>46023</v>
      </c>
      <c r="B49" s="11">
        <v>256779418818</v>
      </c>
      <c r="C49" s="10" t="s">
        <v>12</v>
      </c>
      <c r="D49" s="12">
        <v>29</v>
      </c>
      <c r="E49" s="12">
        <v>1468.91</v>
      </c>
      <c r="F49" s="12">
        <v>-2716.7435168820011</v>
      </c>
      <c r="G49" s="10" t="s">
        <v>13</v>
      </c>
      <c r="H49" s="10" t="s">
        <v>13</v>
      </c>
      <c r="I49" s="10" t="s">
        <v>72</v>
      </c>
      <c r="J49" s="10" t="s">
        <v>31</v>
      </c>
      <c r="K49" s="10"/>
      <c r="L49" s="10" t="s">
        <v>73</v>
      </c>
    </row>
    <row r="50" spans="1:12" x14ac:dyDescent="0.35">
      <c r="A50" s="51">
        <v>46036</v>
      </c>
      <c r="B50" s="11"/>
      <c r="C50" s="10" t="s">
        <v>12</v>
      </c>
      <c r="D50" s="12">
        <v>5537.0979955700004</v>
      </c>
      <c r="E50" s="12">
        <v>0</v>
      </c>
      <c r="F50" s="12">
        <v>2820.3544786879988</v>
      </c>
      <c r="G50" s="10" t="s">
        <v>23</v>
      </c>
      <c r="H50" s="10" t="s">
        <v>24</v>
      </c>
      <c r="I50" s="10" t="s">
        <v>75</v>
      </c>
      <c r="J50" s="10" t="s">
        <v>26</v>
      </c>
      <c r="K50" s="10"/>
      <c r="L50" s="10"/>
    </row>
    <row r="51" spans="1:12" x14ac:dyDescent="0.35">
      <c r="A51" s="51">
        <v>46038</v>
      </c>
      <c r="B51" s="11">
        <v>256779440042</v>
      </c>
      <c r="C51" s="10" t="s">
        <v>12</v>
      </c>
      <c r="D51" s="12">
        <v>5</v>
      </c>
      <c r="E51" s="12">
        <v>50.75</v>
      </c>
      <c r="F51" s="12">
        <v>2774.6044786879988</v>
      </c>
      <c r="G51" s="10" t="s">
        <v>13</v>
      </c>
      <c r="H51" s="10" t="s">
        <v>13</v>
      </c>
      <c r="I51" s="10" t="s">
        <v>76</v>
      </c>
      <c r="J51" s="10" t="s">
        <v>15</v>
      </c>
      <c r="K51" s="10" t="s">
        <v>77</v>
      </c>
      <c r="L51" s="10" t="s">
        <v>78</v>
      </c>
    </row>
    <row r="52" spans="1:12" x14ac:dyDescent="0.35">
      <c r="A52" s="51">
        <v>46045</v>
      </c>
      <c r="B52" s="11">
        <v>256779440333</v>
      </c>
      <c r="C52" s="10" t="s">
        <v>12</v>
      </c>
      <c r="D52" s="12">
        <v>5</v>
      </c>
      <c r="E52" s="12">
        <v>50.75</v>
      </c>
      <c r="F52" s="12">
        <v>2728.8544786879988</v>
      </c>
      <c r="G52" s="10" t="s">
        <v>13</v>
      </c>
      <c r="H52" s="10" t="s">
        <v>13</v>
      </c>
      <c r="I52" s="10" t="s">
        <v>79</v>
      </c>
      <c r="J52" s="10" t="s">
        <v>15</v>
      </c>
      <c r="K52" s="10" t="s">
        <v>80</v>
      </c>
      <c r="L52" s="10" t="s">
        <v>81</v>
      </c>
    </row>
    <row r="53" spans="1:12" x14ac:dyDescent="0.35">
      <c r="A53" s="51">
        <v>46065</v>
      </c>
      <c r="B53" s="11">
        <v>256779418803</v>
      </c>
      <c r="C53" s="10" t="s">
        <v>12</v>
      </c>
      <c r="D53" s="12">
        <v>5</v>
      </c>
      <c r="E53" s="12">
        <v>50.75</v>
      </c>
      <c r="F53" s="12">
        <v>2683.1044786879988</v>
      </c>
      <c r="G53" s="10" t="s">
        <v>13</v>
      </c>
      <c r="H53" s="10" t="s">
        <v>13</v>
      </c>
      <c r="I53" s="10" t="s">
        <v>82</v>
      </c>
      <c r="J53" s="10" t="s">
        <v>15</v>
      </c>
      <c r="K53" s="10" t="s">
        <v>83</v>
      </c>
      <c r="L53" s="10" t="s">
        <v>84</v>
      </c>
    </row>
    <row r="54" spans="1:12" x14ac:dyDescent="0.35">
      <c r="A54" s="51">
        <v>46065</v>
      </c>
      <c r="B54" s="11">
        <v>256779440370</v>
      </c>
      <c r="C54" s="10" t="s">
        <v>12</v>
      </c>
      <c r="D54" s="12">
        <v>1</v>
      </c>
      <c r="E54" s="12">
        <v>63.21</v>
      </c>
      <c r="F54" s="12">
        <v>2620.8944786879988</v>
      </c>
      <c r="G54" s="10" t="s">
        <v>13</v>
      </c>
      <c r="H54" s="10" t="s">
        <v>13</v>
      </c>
      <c r="I54" s="10" t="s">
        <v>85</v>
      </c>
      <c r="J54" s="10" t="s">
        <v>29</v>
      </c>
      <c r="K54" s="10"/>
      <c r="L54" s="10" t="s">
        <v>86</v>
      </c>
    </row>
    <row r="55" spans="1:12" x14ac:dyDescent="0.35">
      <c r="A55" s="51">
        <v>46066</v>
      </c>
      <c r="B55" s="11">
        <v>256779440336</v>
      </c>
      <c r="C55" s="10" t="s">
        <v>12</v>
      </c>
      <c r="D55" s="12">
        <v>1</v>
      </c>
      <c r="E55" s="12">
        <v>70</v>
      </c>
      <c r="F55" s="12">
        <v>2551.8944786879988</v>
      </c>
      <c r="G55" s="10" t="s">
        <v>13</v>
      </c>
      <c r="H55" s="10" t="s">
        <v>13</v>
      </c>
      <c r="I55" s="10" t="s">
        <v>87</v>
      </c>
      <c r="J55" s="10" t="s">
        <v>61</v>
      </c>
      <c r="K55" s="10"/>
      <c r="L55" s="10" t="s">
        <v>88</v>
      </c>
    </row>
    <row r="56" spans="1:12" x14ac:dyDescent="0.35">
      <c r="A56" s="51">
        <v>46066</v>
      </c>
      <c r="B56" s="11">
        <v>256779440359</v>
      </c>
      <c r="C56" s="10" t="s">
        <v>12</v>
      </c>
      <c r="D56" s="12">
        <v>1</v>
      </c>
      <c r="E56" s="12">
        <v>40.04</v>
      </c>
      <c r="F56" s="12">
        <v>2512.8544786879988</v>
      </c>
      <c r="G56" s="10" t="s">
        <v>13</v>
      </c>
      <c r="H56" s="10" t="s">
        <v>13</v>
      </c>
      <c r="I56" s="10" t="s">
        <v>89</v>
      </c>
      <c r="J56" s="10" t="s">
        <v>29</v>
      </c>
      <c r="K56" s="10"/>
      <c r="L56" s="10" t="s">
        <v>90</v>
      </c>
    </row>
    <row r="57" spans="1:12" x14ac:dyDescent="0.35">
      <c r="A57" s="51">
        <v>46066</v>
      </c>
      <c r="B57" s="11">
        <v>256779440256</v>
      </c>
      <c r="C57" s="10" t="s">
        <v>12</v>
      </c>
      <c r="D57" s="12">
        <v>2</v>
      </c>
      <c r="E57" s="12">
        <v>112.8</v>
      </c>
      <c r="F57" s="12">
        <v>2402.0544786879991</v>
      </c>
      <c r="G57" s="10" t="s">
        <v>13</v>
      </c>
      <c r="H57" s="10" t="s">
        <v>13</v>
      </c>
      <c r="I57" s="10" t="s">
        <v>91</v>
      </c>
      <c r="J57" s="10" t="s">
        <v>39</v>
      </c>
      <c r="K57" s="10"/>
      <c r="L57" s="10" t="s">
        <v>92</v>
      </c>
    </row>
    <row r="58" spans="1:12" x14ac:dyDescent="0.35">
      <c r="A58" s="51">
        <v>46066</v>
      </c>
      <c r="B58" s="11">
        <v>256779440129</v>
      </c>
      <c r="C58" s="10" t="s">
        <v>12</v>
      </c>
      <c r="D58" s="12">
        <v>3</v>
      </c>
      <c r="E58" s="12">
        <v>169.2</v>
      </c>
      <c r="F58" s="12">
        <v>2235.8544786879988</v>
      </c>
      <c r="G58" s="10" t="s">
        <v>13</v>
      </c>
      <c r="H58" s="10" t="s">
        <v>13</v>
      </c>
      <c r="I58" s="10" t="s">
        <v>93</v>
      </c>
      <c r="J58" s="10" t="s">
        <v>39</v>
      </c>
      <c r="K58" s="10"/>
      <c r="L58" s="10" t="s">
        <v>94</v>
      </c>
    </row>
    <row r="59" spans="1:12" x14ac:dyDescent="0.35">
      <c r="A59" s="10"/>
      <c r="B59" s="11"/>
      <c r="C59" s="10" t="s">
        <v>95</v>
      </c>
      <c r="D59" s="12">
        <v>11468.051483941999</v>
      </c>
      <c r="E59" s="12">
        <v>9236.25</v>
      </c>
      <c r="F59" s="12">
        <v>2231.8014839419989</v>
      </c>
      <c r="G59" s="10"/>
      <c r="H59" s="10"/>
      <c r="I59" s="10"/>
      <c r="J59" s="10"/>
      <c r="K59" s="10"/>
      <c r="L59" s="10"/>
    </row>
    <row r="60" spans="1:12" x14ac:dyDescent="0.35">
      <c r="A60" s="10"/>
      <c r="B60" s="11"/>
      <c r="C60" s="10" t="s">
        <v>96</v>
      </c>
      <c r="D60" s="12">
        <v>11472.104478687999</v>
      </c>
      <c r="E60" s="12">
        <v>9236.25</v>
      </c>
      <c r="F60" s="12">
        <v>2235.8544786880011</v>
      </c>
      <c r="G60" s="10"/>
      <c r="H60" s="10"/>
      <c r="I60" s="10"/>
      <c r="J60" s="10"/>
      <c r="K60" s="10"/>
      <c r="L60" s="10"/>
    </row>
    <row r="61" spans="1:12" x14ac:dyDescent="0.35">
      <c r="B61" s="9"/>
    </row>
    <row r="62" spans="1:12" x14ac:dyDescent="0.35">
      <c r="B62" s="9"/>
    </row>
    <row r="63" spans="1:12" x14ac:dyDescent="0.35">
      <c r="B63" s="9"/>
    </row>
    <row r="64" spans="1:12" x14ac:dyDescent="0.35">
      <c r="B64" s="9"/>
    </row>
    <row r="65" spans="2:2" x14ac:dyDescent="0.35">
      <c r="B65" s="9"/>
    </row>
  </sheetData>
  <autoFilter ref="A1:M60" xr:uid="{A18C9C02-B904-431C-B825-36CDB17DFAD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A7BE-3E94-4673-B261-64958CA31325}">
  <dimension ref="A1:I86"/>
  <sheetViews>
    <sheetView topLeftCell="B2" zoomScale="115" zoomScaleNormal="115" workbookViewId="0">
      <selection activeCell="E16" sqref="E16"/>
    </sheetView>
  </sheetViews>
  <sheetFormatPr defaultRowHeight="14.5" x14ac:dyDescent="0.35"/>
  <cols>
    <col min="1" max="1" width="11.1796875" bestFit="1" customWidth="1"/>
    <col min="2" max="2" width="23.36328125" bestFit="1" customWidth="1"/>
    <col min="3" max="3" width="17" bestFit="1" customWidth="1"/>
    <col min="4" max="4" width="11.36328125" bestFit="1" customWidth="1"/>
    <col min="5" max="5" width="11.90625" bestFit="1" customWidth="1"/>
    <col min="6" max="6" width="13.453125" bestFit="1" customWidth="1"/>
    <col min="7" max="7" width="19.54296875" bestFit="1" customWidth="1"/>
    <col min="8" max="8" width="36.7265625" customWidth="1"/>
    <col min="9" max="9" width="110.6328125" bestFit="1" customWidth="1"/>
  </cols>
  <sheetData>
    <row r="1" spans="1:9" x14ac:dyDescent="0.35">
      <c r="A1" s="54" t="s">
        <v>0</v>
      </c>
      <c r="B1" s="54" t="s">
        <v>6</v>
      </c>
      <c r="C1" s="62" t="s">
        <v>11</v>
      </c>
      <c r="D1" s="61" t="s">
        <v>2</v>
      </c>
      <c r="E1" s="61" t="s">
        <v>3</v>
      </c>
      <c r="F1" s="61" t="s">
        <v>4</v>
      </c>
      <c r="G1" s="54" t="s">
        <v>7</v>
      </c>
      <c r="H1" s="54" t="s">
        <v>8</v>
      </c>
      <c r="I1" s="54" t="s">
        <v>408</v>
      </c>
    </row>
    <row r="2" spans="1:9" x14ac:dyDescent="0.35">
      <c r="A2" s="54" t="s">
        <v>409</v>
      </c>
      <c r="B2" s="54" t="s">
        <v>13</v>
      </c>
      <c r="C2" s="62">
        <v>246779410050</v>
      </c>
      <c r="D2" s="61">
        <v>0</v>
      </c>
      <c r="E2" s="61">
        <v>45.75</v>
      </c>
      <c r="F2" s="61">
        <v>-45.75</v>
      </c>
      <c r="G2" s="54" t="s">
        <v>97</v>
      </c>
      <c r="H2" s="54" t="s">
        <v>15</v>
      </c>
      <c r="I2" s="54" t="s">
        <v>97</v>
      </c>
    </row>
    <row r="3" spans="1:9" x14ac:dyDescent="0.35">
      <c r="A3" s="54" t="s">
        <v>409</v>
      </c>
      <c r="B3" s="54" t="s">
        <v>13</v>
      </c>
      <c r="C3" s="62">
        <v>246779410304</v>
      </c>
      <c r="D3" s="61">
        <v>0</v>
      </c>
      <c r="E3" s="61">
        <v>45.75</v>
      </c>
      <c r="F3" s="61">
        <v>-91.5</v>
      </c>
      <c r="G3" s="54" t="s">
        <v>98</v>
      </c>
      <c r="H3" s="54" t="s">
        <v>15</v>
      </c>
      <c r="I3" s="54" t="s">
        <v>98</v>
      </c>
    </row>
    <row r="4" spans="1:9" x14ac:dyDescent="0.35">
      <c r="A4" s="54" t="s">
        <v>409</v>
      </c>
      <c r="B4" s="54" t="s">
        <v>13</v>
      </c>
      <c r="C4" s="62">
        <v>246779410118</v>
      </c>
      <c r="D4" s="61">
        <v>0</v>
      </c>
      <c r="E4" s="61">
        <v>45.75</v>
      </c>
      <c r="F4" s="61">
        <v>-137.25</v>
      </c>
      <c r="G4" s="54" t="s">
        <v>99</v>
      </c>
      <c r="H4" s="54" t="s">
        <v>15</v>
      </c>
      <c r="I4" s="54" t="s">
        <v>99</v>
      </c>
    </row>
    <row r="5" spans="1:9" x14ac:dyDescent="0.35">
      <c r="A5" s="54" t="s">
        <v>409</v>
      </c>
      <c r="B5" s="54" t="s">
        <v>13</v>
      </c>
      <c r="C5" s="62">
        <v>246779410161</v>
      </c>
      <c r="D5" s="61">
        <v>0</v>
      </c>
      <c r="E5" s="61">
        <v>45.75</v>
      </c>
      <c r="F5" s="61">
        <v>-183</v>
      </c>
      <c r="G5" s="54" t="s">
        <v>100</v>
      </c>
      <c r="H5" s="54" t="s">
        <v>15</v>
      </c>
      <c r="I5" s="54" t="s">
        <v>100</v>
      </c>
    </row>
    <row r="6" spans="1:9" x14ac:dyDescent="0.35">
      <c r="A6" s="54" t="s">
        <v>409</v>
      </c>
      <c r="B6" s="54" t="s">
        <v>13</v>
      </c>
      <c r="C6" s="62">
        <v>246779410247</v>
      </c>
      <c r="D6" s="61">
        <v>0</v>
      </c>
      <c r="E6" s="61">
        <v>45.75</v>
      </c>
      <c r="F6" s="61">
        <v>-228.75</v>
      </c>
      <c r="G6" s="54" t="s">
        <v>101</v>
      </c>
      <c r="H6" s="54" t="s">
        <v>15</v>
      </c>
      <c r="I6" s="54" t="s">
        <v>101</v>
      </c>
    </row>
    <row r="7" spans="1:9" x14ac:dyDescent="0.35">
      <c r="A7" s="54" t="s">
        <v>409</v>
      </c>
      <c r="B7" s="54" t="s">
        <v>13</v>
      </c>
      <c r="C7" s="62">
        <v>246779410204</v>
      </c>
      <c r="D7" s="61">
        <v>0</v>
      </c>
      <c r="E7" s="61">
        <v>45.75</v>
      </c>
      <c r="F7" s="61">
        <v>-274.5</v>
      </c>
      <c r="G7" s="54" t="s">
        <v>102</v>
      </c>
      <c r="H7" s="54" t="s">
        <v>15</v>
      </c>
      <c r="I7" s="54" t="s">
        <v>102</v>
      </c>
    </row>
    <row r="8" spans="1:9" x14ac:dyDescent="0.35">
      <c r="A8" s="54" t="s">
        <v>103</v>
      </c>
      <c r="B8" s="54" t="s">
        <v>24</v>
      </c>
      <c r="C8" s="62">
        <v>246779410050</v>
      </c>
      <c r="D8" s="61">
        <v>278.55299474600002</v>
      </c>
      <c r="E8" s="61">
        <v>0</v>
      </c>
      <c r="F8" s="61">
        <v>4.0529947460000244</v>
      </c>
      <c r="G8" s="54" t="s">
        <v>104</v>
      </c>
      <c r="H8" s="54" t="s">
        <v>105</v>
      </c>
      <c r="I8" s="54" t="s">
        <v>106</v>
      </c>
    </row>
    <row r="9" spans="1:9" x14ac:dyDescent="0.35">
      <c r="A9" s="54" t="s">
        <v>410</v>
      </c>
      <c r="B9" s="54" t="s">
        <v>116</v>
      </c>
      <c r="C9" s="62"/>
      <c r="D9" s="61">
        <v>4.0529999999999999</v>
      </c>
      <c r="E9" s="61">
        <v>4.0529999999999999</v>
      </c>
      <c r="F9" s="61">
        <v>4.0529947460000244</v>
      </c>
      <c r="G9" s="54" t="s">
        <v>117</v>
      </c>
      <c r="H9" s="54" t="s">
        <v>118</v>
      </c>
      <c r="I9" s="54" t="s">
        <v>119</v>
      </c>
    </row>
    <row r="10" spans="1:9" x14ac:dyDescent="0.35">
      <c r="A10" s="54" t="s">
        <v>411</v>
      </c>
      <c r="B10" s="54" t="s">
        <v>13</v>
      </c>
      <c r="C10" s="62">
        <v>256779417374</v>
      </c>
      <c r="D10" s="61">
        <v>0</v>
      </c>
      <c r="E10" s="61">
        <v>45.75</v>
      </c>
      <c r="F10" s="61">
        <v>-41.697005253999983</v>
      </c>
      <c r="G10" s="54" t="s">
        <v>14</v>
      </c>
      <c r="H10" s="54" t="s">
        <v>15</v>
      </c>
      <c r="I10" s="54" t="s">
        <v>14</v>
      </c>
    </row>
    <row r="11" spans="1:9" x14ac:dyDescent="0.35">
      <c r="A11" s="54" t="s">
        <v>412</v>
      </c>
      <c r="B11" s="54" t="s">
        <v>13</v>
      </c>
      <c r="C11" s="62">
        <v>246779413009</v>
      </c>
      <c r="D11" s="61">
        <v>0</v>
      </c>
      <c r="E11" s="61">
        <v>45.75</v>
      </c>
      <c r="F11" s="61">
        <v>-87.447005253999976</v>
      </c>
      <c r="G11" s="54" t="s">
        <v>16</v>
      </c>
      <c r="H11" s="54" t="s">
        <v>15</v>
      </c>
      <c r="I11" s="54" t="s">
        <v>16</v>
      </c>
    </row>
    <row r="12" spans="1:9" x14ac:dyDescent="0.35">
      <c r="A12" s="54" t="s">
        <v>412</v>
      </c>
      <c r="B12" s="54" t="s">
        <v>13</v>
      </c>
      <c r="C12" s="62">
        <v>256779412170</v>
      </c>
      <c r="D12" s="61">
        <v>0</v>
      </c>
      <c r="E12" s="61">
        <v>45.75</v>
      </c>
      <c r="F12" s="61">
        <v>-133.197005254</v>
      </c>
      <c r="G12" s="54" t="s">
        <v>17</v>
      </c>
      <c r="H12" s="54" t="s">
        <v>15</v>
      </c>
      <c r="I12" s="54" t="s">
        <v>17</v>
      </c>
    </row>
    <row r="13" spans="1:9" x14ac:dyDescent="0.35">
      <c r="A13" s="54" t="s">
        <v>412</v>
      </c>
      <c r="B13" s="54" t="s">
        <v>13</v>
      </c>
      <c r="C13" s="62">
        <v>256779413128</v>
      </c>
      <c r="D13" s="61">
        <v>0</v>
      </c>
      <c r="E13" s="61">
        <v>45.75</v>
      </c>
      <c r="F13" s="61">
        <v>-178.947005254</v>
      </c>
      <c r="G13" s="54" t="s">
        <v>18</v>
      </c>
      <c r="H13" s="54" t="s">
        <v>15</v>
      </c>
      <c r="I13" s="54" t="s">
        <v>18</v>
      </c>
    </row>
    <row r="14" spans="1:9" x14ac:dyDescent="0.35">
      <c r="A14" s="54" t="s">
        <v>412</v>
      </c>
      <c r="B14" s="54" t="s">
        <v>13</v>
      </c>
      <c r="C14" s="62">
        <v>256779414387</v>
      </c>
      <c r="D14" s="61">
        <v>0</v>
      </c>
      <c r="E14" s="61">
        <v>45.75</v>
      </c>
      <c r="F14" s="61">
        <v>-224.697005254</v>
      </c>
      <c r="G14" s="54" t="s">
        <v>19</v>
      </c>
      <c r="H14" s="54" t="s">
        <v>15</v>
      </c>
      <c r="I14" s="54" t="s">
        <v>19</v>
      </c>
    </row>
    <row r="15" spans="1:9" x14ac:dyDescent="0.35">
      <c r="A15" s="54" t="s">
        <v>412</v>
      </c>
      <c r="B15" s="54" t="s">
        <v>13</v>
      </c>
      <c r="C15" s="62">
        <v>256779414945</v>
      </c>
      <c r="D15" s="61">
        <v>0</v>
      </c>
      <c r="E15" s="61">
        <v>45.75</v>
      </c>
      <c r="F15" s="61">
        <v>-270.44700525399998</v>
      </c>
      <c r="G15" s="54" t="s">
        <v>20</v>
      </c>
      <c r="H15" s="54" t="s">
        <v>15</v>
      </c>
      <c r="I15" s="54" t="s">
        <v>20</v>
      </c>
    </row>
    <row r="16" spans="1:9" x14ac:dyDescent="0.35">
      <c r="A16" s="54" t="s">
        <v>412</v>
      </c>
      <c r="B16" s="54" t="s">
        <v>13</v>
      </c>
      <c r="C16" s="62">
        <v>256779416055</v>
      </c>
      <c r="D16" s="61">
        <v>0</v>
      </c>
      <c r="E16" s="61">
        <v>45.75</v>
      </c>
      <c r="F16" s="61">
        <v>-316.19700525399998</v>
      </c>
      <c r="G16" s="54" t="s">
        <v>21</v>
      </c>
      <c r="H16" s="54" t="s">
        <v>15</v>
      </c>
      <c r="I16" s="54" t="s">
        <v>21</v>
      </c>
    </row>
    <row r="17" spans="1:9" x14ac:dyDescent="0.35">
      <c r="A17" s="54" t="s">
        <v>22</v>
      </c>
      <c r="B17" s="54" t="s">
        <v>24</v>
      </c>
      <c r="C17" s="62"/>
      <c r="D17" s="61">
        <v>5813.9534883719998</v>
      </c>
      <c r="E17" s="61">
        <v>0</v>
      </c>
      <c r="F17" s="61">
        <v>5497.7564831179998</v>
      </c>
      <c r="G17" s="54" t="s">
        <v>25</v>
      </c>
      <c r="H17" s="54" t="s">
        <v>26</v>
      </c>
      <c r="I17" s="54"/>
    </row>
    <row r="18" spans="1:9" x14ac:dyDescent="0.35">
      <c r="A18" s="54" t="s">
        <v>413</v>
      </c>
      <c r="B18" s="54" t="s">
        <v>13</v>
      </c>
      <c r="C18" s="62">
        <v>256779418037</v>
      </c>
      <c r="D18" s="61">
        <v>0</v>
      </c>
      <c r="E18" s="61">
        <v>45.75</v>
      </c>
      <c r="F18" s="61">
        <v>5452.0064831179998</v>
      </c>
      <c r="G18" s="54" t="s">
        <v>27</v>
      </c>
      <c r="H18" s="54" t="s">
        <v>15</v>
      </c>
      <c r="I18" s="54" t="s">
        <v>27</v>
      </c>
    </row>
    <row r="19" spans="1:9" x14ac:dyDescent="0.35">
      <c r="A19" s="54" t="s">
        <v>413</v>
      </c>
      <c r="B19" s="54" t="s">
        <v>13</v>
      </c>
      <c r="C19" s="62">
        <v>256779413840</v>
      </c>
      <c r="D19" s="61">
        <v>0</v>
      </c>
      <c r="E19" s="61">
        <v>41.14</v>
      </c>
      <c r="F19" s="61">
        <v>5410.8664831179995</v>
      </c>
      <c r="G19" s="54" t="s">
        <v>28</v>
      </c>
      <c r="H19" s="54" t="s">
        <v>29</v>
      </c>
      <c r="I19" s="54" t="s">
        <v>28</v>
      </c>
    </row>
    <row r="20" spans="1:9" x14ac:dyDescent="0.35">
      <c r="A20" s="54" t="s">
        <v>413</v>
      </c>
      <c r="B20" s="54" t="s">
        <v>13</v>
      </c>
      <c r="C20" s="62">
        <v>256779413242</v>
      </c>
      <c r="D20" s="61">
        <v>0</v>
      </c>
      <c r="E20" s="61">
        <v>1170.92</v>
      </c>
      <c r="F20" s="61">
        <v>4239.9464831179994</v>
      </c>
      <c r="G20" s="54" t="s">
        <v>30</v>
      </c>
      <c r="H20" s="54" t="s">
        <v>31</v>
      </c>
      <c r="I20" s="54" t="s">
        <v>30</v>
      </c>
    </row>
    <row r="21" spans="1:9" x14ac:dyDescent="0.35">
      <c r="A21" s="54" t="s">
        <v>413</v>
      </c>
      <c r="B21" s="54" t="s">
        <v>13</v>
      </c>
      <c r="C21" s="62">
        <v>256779414742</v>
      </c>
      <c r="D21" s="61">
        <v>0</v>
      </c>
      <c r="E21" s="61">
        <v>325.22000000000003</v>
      </c>
      <c r="F21" s="61">
        <v>3914.7264831179991</v>
      </c>
      <c r="G21" s="54" t="s">
        <v>32</v>
      </c>
      <c r="H21" s="54" t="s">
        <v>31</v>
      </c>
      <c r="I21" s="54" t="s">
        <v>32</v>
      </c>
    </row>
    <row r="22" spans="1:9" x14ac:dyDescent="0.35">
      <c r="A22" s="54" t="s">
        <v>413</v>
      </c>
      <c r="B22" s="54" t="s">
        <v>13</v>
      </c>
      <c r="C22" s="62">
        <v>256779417450</v>
      </c>
      <c r="D22" s="61">
        <v>0</v>
      </c>
      <c r="E22" s="61">
        <v>79.569999999999993</v>
      </c>
      <c r="F22" s="61">
        <v>3835.156483117999</v>
      </c>
      <c r="G22" s="54" t="s">
        <v>34</v>
      </c>
      <c r="H22" s="54" t="s">
        <v>29</v>
      </c>
      <c r="I22" s="54" t="s">
        <v>34</v>
      </c>
    </row>
    <row r="23" spans="1:9" x14ac:dyDescent="0.35">
      <c r="A23" s="54" t="s">
        <v>414</v>
      </c>
      <c r="B23" s="54" t="s">
        <v>13</v>
      </c>
      <c r="C23" s="62">
        <v>256779418186</v>
      </c>
      <c r="D23" s="61">
        <v>0</v>
      </c>
      <c r="E23" s="61">
        <v>20.27</v>
      </c>
      <c r="F23" s="61">
        <v>3814.886483117999</v>
      </c>
      <c r="G23" s="54" t="s">
        <v>35</v>
      </c>
      <c r="H23" s="54" t="s">
        <v>29</v>
      </c>
      <c r="I23" s="54" t="s">
        <v>35</v>
      </c>
    </row>
    <row r="24" spans="1:9" x14ac:dyDescent="0.35">
      <c r="A24" s="54" t="s">
        <v>414</v>
      </c>
      <c r="B24" s="54" t="s">
        <v>13</v>
      </c>
      <c r="C24" s="62">
        <v>256779418481</v>
      </c>
      <c r="D24" s="61">
        <v>0</v>
      </c>
      <c r="E24" s="61">
        <v>39.770000000000003</v>
      </c>
      <c r="F24" s="61">
        <v>3775.116483117999</v>
      </c>
      <c r="G24" s="54" t="s">
        <v>37</v>
      </c>
      <c r="H24" s="54" t="s">
        <v>29</v>
      </c>
      <c r="I24" s="54" t="s">
        <v>37</v>
      </c>
    </row>
    <row r="25" spans="1:9" x14ac:dyDescent="0.35">
      <c r="A25" s="54" t="s">
        <v>414</v>
      </c>
      <c r="B25" s="54" t="s">
        <v>13</v>
      </c>
      <c r="C25" s="62">
        <v>256779413162</v>
      </c>
      <c r="D25" s="61">
        <v>0</v>
      </c>
      <c r="E25" s="61">
        <v>128.6</v>
      </c>
      <c r="F25" s="61">
        <v>3646.5164831179991</v>
      </c>
      <c r="G25" s="54" t="s">
        <v>38</v>
      </c>
      <c r="H25" s="54" t="s">
        <v>39</v>
      </c>
      <c r="I25" s="54" t="s">
        <v>38</v>
      </c>
    </row>
    <row r="26" spans="1:9" x14ac:dyDescent="0.35">
      <c r="A26" s="54" t="s">
        <v>414</v>
      </c>
      <c r="B26" s="54" t="s">
        <v>13</v>
      </c>
      <c r="C26" s="62">
        <v>256779413171</v>
      </c>
      <c r="D26" s="61">
        <v>0</v>
      </c>
      <c r="E26" s="61">
        <v>110.8</v>
      </c>
      <c r="F26" s="61">
        <v>3535.7164831179989</v>
      </c>
      <c r="G26" s="54" t="s">
        <v>41</v>
      </c>
      <c r="H26" s="54" t="s">
        <v>39</v>
      </c>
      <c r="I26" s="54" t="s">
        <v>41</v>
      </c>
    </row>
    <row r="27" spans="1:9" x14ac:dyDescent="0.35">
      <c r="A27" s="54" t="s">
        <v>414</v>
      </c>
      <c r="B27" s="54" t="s">
        <v>13</v>
      </c>
      <c r="C27" s="62">
        <v>256779413425</v>
      </c>
      <c r="D27" s="61">
        <v>0</v>
      </c>
      <c r="E27" s="61">
        <v>36.6</v>
      </c>
      <c r="F27" s="61">
        <v>3499.116483117999</v>
      </c>
      <c r="G27" s="54" t="s">
        <v>42</v>
      </c>
      <c r="H27" s="54" t="s">
        <v>39</v>
      </c>
      <c r="I27" s="54" t="s">
        <v>42</v>
      </c>
    </row>
    <row r="28" spans="1:9" x14ac:dyDescent="0.35">
      <c r="A28" s="54" t="s">
        <v>414</v>
      </c>
      <c r="B28" s="54" t="s">
        <v>13</v>
      </c>
      <c r="C28" s="62">
        <v>256779413426</v>
      </c>
      <c r="D28" s="61">
        <v>0</v>
      </c>
      <c r="E28" s="61">
        <v>2.35</v>
      </c>
      <c r="F28" s="61">
        <v>3496.7664831179991</v>
      </c>
      <c r="G28" s="54" t="s">
        <v>44</v>
      </c>
      <c r="H28" s="54" t="s">
        <v>39</v>
      </c>
      <c r="I28" s="54" t="s">
        <v>44</v>
      </c>
    </row>
    <row r="29" spans="1:9" x14ac:dyDescent="0.35">
      <c r="A29" s="54" t="s">
        <v>414</v>
      </c>
      <c r="B29" s="54" t="s">
        <v>13</v>
      </c>
      <c r="C29" s="62">
        <v>256779414757</v>
      </c>
      <c r="D29" s="61">
        <v>0</v>
      </c>
      <c r="E29" s="61">
        <v>115.9</v>
      </c>
      <c r="F29" s="61">
        <v>3380.866483117999</v>
      </c>
      <c r="G29" s="54" t="s">
        <v>46</v>
      </c>
      <c r="H29" s="54" t="s">
        <v>47</v>
      </c>
      <c r="I29" s="54" t="s">
        <v>46</v>
      </c>
    </row>
    <row r="30" spans="1:9" x14ac:dyDescent="0.35">
      <c r="A30" s="54" t="s">
        <v>414</v>
      </c>
      <c r="B30" s="54" t="s">
        <v>13</v>
      </c>
      <c r="C30" s="62">
        <v>256779414767</v>
      </c>
      <c r="D30" s="61">
        <v>0</v>
      </c>
      <c r="E30" s="61">
        <v>19.7</v>
      </c>
      <c r="F30" s="61">
        <v>3361.1664831179992</v>
      </c>
      <c r="G30" s="54" t="s">
        <v>48</v>
      </c>
      <c r="H30" s="54" t="s">
        <v>47</v>
      </c>
      <c r="I30" s="54" t="s">
        <v>48</v>
      </c>
    </row>
    <row r="31" spans="1:9" x14ac:dyDescent="0.35">
      <c r="A31" s="54" t="s">
        <v>414</v>
      </c>
      <c r="B31" s="54" t="s">
        <v>13</v>
      </c>
      <c r="C31" s="62">
        <v>256779414967</v>
      </c>
      <c r="D31" s="61">
        <v>0</v>
      </c>
      <c r="E31" s="61">
        <v>212.2</v>
      </c>
      <c r="F31" s="61">
        <v>3148.9664831179989</v>
      </c>
      <c r="G31" s="54" t="s">
        <v>50</v>
      </c>
      <c r="H31" s="54" t="s">
        <v>39</v>
      </c>
      <c r="I31" s="54" t="s">
        <v>50</v>
      </c>
    </row>
    <row r="32" spans="1:9" x14ac:dyDescent="0.35">
      <c r="A32" s="54" t="s">
        <v>414</v>
      </c>
      <c r="B32" s="54" t="s">
        <v>13</v>
      </c>
      <c r="C32" s="62">
        <v>256779415455</v>
      </c>
      <c r="D32" s="61">
        <v>0</v>
      </c>
      <c r="E32" s="61">
        <v>480.4</v>
      </c>
      <c r="F32" s="61">
        <v>2668.5664831179988</v>
      </c>
      <c r="G32" s="54" t="s">
        <v>52</v>
      </c>
      <c r="H32" s="54" t="s">
        <v>47</v>
      </c>
      <c r="I32" s="54" t="s">
        <v>52</v>
      </c>
    </row>
    <row r="33" spans="1:9" x14ac:dyDescent="0.35">
      <c r="A33" s="54" t="s">
        <v>414</v>
      </c>
      <c r="B33" s="54" t="s">
        <v>13</v>
      </c>
      <c r="C33" s="62">
        <v>256779417583</v>
      </c>
      <c r="D33" s="61">
        <v>0</v>
      </c>
      <c r="E33" s="61">
        <v>273.45</v>
      </c>
      <c r="F33" s="61">
        <v>2395.116483117999</v>
      </c>
      <c r="G33" s="54" t="s">
        <v>53</v>
      </c>
      <c r="H33" s="54" t="s">
        <v>47</v>
      </c>
      <c r="I33" s="54" t="s">
        <v>53</v>
      </c>
    </row>
    <row r="34" spans="1:9" x14ac:dyDescent="0.35">
      <c r="A34" s="54" t="s">
        <v>414</v>
      </c>
      <c r="B34" s="54" t="s">
        <v>13</v>
      </c>
      <c r="C34" s="62">
        <v>256779418907</v>
      </c>
      <c r="D34" s="61">
        <v>0</v>
      </c>
      <c r="E34" s="61">
        <v>110.8</v>
      </c>
      <c r="F34" s="61">
        <v>2284.3164831179988</v>
      </c>
      <c r="G34" s="54" t="s">
        <v>55</v>
      </c>
      <c r="H34" s="54" t="s">
        <v>39</v>
      </c>
      <c r="I34" s="54" t="s">
        <v>55</v>
      </c>
    </row>
    <row r="35" spans="1:9" x14ac:dyDescent="0.35">
      <c r="A35" s="54" t="s">
        <v>414</v>
      </c>
      <c r="B35" s="54" t="s">
        <v>13</v>
      </c>
      <c r="C35" s="62">
        <v>256779418894</v>
      </c>
      <c r="D35" s="61">
        <v>0</v>
      </c>
      <c r="E35" s="61">
        <v>128.6</v>
      </c>
      <c r="F35" s="61">
        <v>2155.7164831179989</v>
      </c>
      <c r="G35" s="54" t="s">
        <v>56</v>
      </c>
      <c r="H35" s="54" t="s">
        <v>39</v>
      </c>
      <c r="I35" s="54" t="s">
        <v>56</v>
      </c>
    </row>
    <row r="36" spans="1:9" x14ac:dyDescent="0.35">
      <c r="A36" s="54" t="s">
        <v>414</v>
      </c>
      <c r="B36" s="54" t="s">
        <v>13</v>
      </c>
      <c r="C36" s="62">
        <v>256779417598</v>
      </c>
      <c r="D36" s="61">
        <v>0</v>
      </c>
      <c r="E36" s="61">
        <v>147.4</v>
      </c>
      <c r="F36" s="61">
        <v>2008.316483117999</v>
      </c>
      <c r="G36" s="54" t="s">
        <v>58</v>
      </c>
      <c r="H36" s="54" t="s">
        <v>39</v>
      </c>
      <c r="I36" s="54" t="s">
        <v>58</v>
      </c>
    </row>
    <row r="37" spans="1:9" x14ac:dyDescent="0.35">
      <c r="A37" s="54" t="s">
        <v>414</v>
      </c>
      <c r="B37" s="54" t="s">
        <v>13</v>
      </c>
      <c r="C37" s="62">
        <v>256779418355</v>
      </c>
      <c r="D37" s="61">
        <v>0</v>
      </c>
      <c r="E37" s="61">
        <v>36.6</v>
      </c>
      <c r="F37" s="61">
        <v>1971.7164831179989</v>
      </c>
      <c r="G37" s="54" t="s">
        <v>59</v>
      </c>
      <c r="H37" s="54" t="s">
        <v>39</v>
      </c>
      <c r="I37" s="54" t="s">
        <v>59</v>
      </c>
    </row>
    <row r="38" spans="1:9" x14ac:dyDescent="0.35">
      <c r="A38" s="54" t="s">
        <v>414</v>
      </c>
      <c r="B38" s="54" t="s">
        <v>13</v>
      </c>
      <c r="C38" s="62">
        <v>256779418167</v>
      </c>
      <c r="D38" s="61">
        <v>0</v>
      </c>
      <c r="E38" s="61">
        <v>69</v>
      </c>
      <c r="F38" s="61">
        <v>1902.7164831179989</v>
      </c>
      <c r="G38" s="54" t="s">
        <v>60</v>
      </c>
      <c r="H38" s="54" t="s">
        <v>61</v>
      </c>
      <c r="I38" s="54" t="s">
        <v>60</v>
      </c>
    </row>
    <row r="39" spans="1:9" x14ac:dyDescent="0.35">
      <c r="A39" s="54" t="s">
        <v>415</v>
      </c>
      <c r="B39" s="54" t="s">
        <v>13</v>
      </c>
      <c r="C39" s="62">
        <v>256779418340</v>
      </c>
      <c r="D39" s="61">
        <v>2</v>
      </c>
      <c r="E39" s="61">
        <v>76.55</v>
      </c>
      <c r="F39" s="61">
        <v>1828.166483117999</v>
      </c>
      <c r="G39" s="54" t="s">
        <v>63</v>
      </c>
      <c r="H39" s="54" t="s">
        <v>64</v>
      </c>
      <c r="I39" s="54" t="s">
        <v>65</v>
      </c>
    </row>
    <row r="40" spans="1:9" x14ac:dyDescent="0.35">
      <c r="A40" s="54" t="s">
        <v>416</v>
      </c>
      <c r="B40" s="54" t="s">
        <v>13</v>
      </c>
      <c r="C40" s="62">
        <v>256779417441</v>
      </c>
      <c r="D40" s="61">
        <v>38</v>
      </c>
      <c r="E40" s="61">
        <v>1902.19</v>
      </c>
      <c r="F40" s="61">
        <v>-36.023516882000649</v>
      </c>
      <c r="G40" s="54" t="s">
        <v>66</v>
      </c>
      <c r="H40" s="54" t="s">
        <v>31</v>
      </c>
      <c r="I40" s="54" t="s">
        <v>67</v>
      </c>
    </row>
    <row r="41" spans="1:9" x14ac:dyDescent="0.35">
      <c r="A41" s="54" t="s">
        <v>416</v>
      </c>
      <c r="B41" s="54" t="s">
        <v>13</v>
      </c>
      <c r="C41" s="62">
        <v>256779418178</v>
      </c>
      <c r="D41" s="61">
        <v>9</v>
      </c>
      <c r="E41" s="61">
        <v>472.74</v>
      </c>
      <c r="F41" s="61">
        <v>-499.76351688200072</v>
      </c>
      <c r="G41" s="54" t="s">
        <v>68</v>
      </c>
      <c r="H41" s="54" t="s">
        <v>31</v>
      </c>
      <c r="I41" s="54" t="s">
        <v>69</v>
      </c>
    </row>
    <row r="42" spans="1:9" x14ac:dyDescent="0.35">
      <c r="A42" s="54" t="s">
        <v>416</v>
      </c>
      <c r="B42" s="54" t="s">
        <v>13</v>
      </c>
      <c r="C42" s="62">
        <v>256779413836</v>
      </c>
      <c r="D42" s="61">
        <v>16</v>
      </c>
      <c r="E42" s="61">
        <v>793.07</v>
      </c>
      <c r="F42" s="61">
        <v>-1276.833516882001</v>
      </c>
      <c r="G42" s="54" t="s">
        <v>70</v>
      </c>
      <c r="H42" s="54" t="s">
        <v>31</v>
      </c>
      <c r="I42" s="54" t="s">
        <v>71</v>
      </c>
    </row>
    <row r="43" spans="1:9" x14ac:dyDescent="0.35">
      <c r="A43" s="54" t="s">
        <v>416</v>
      </c>
      <c r="B43" s="54" t="s">
        <v>13</v>
      </c>
      <c r="C43" s="62">
        <v>256779418818</v>
      </c>
      <c r="D43" s="61">
        <v>29</v>
      </c>
      <c r="E43" s="61">
        <v>1468.91</v>
      </c>
      <c r="F43" s="61">
        <v>-2716.7435168820011</v>
      </c>
      <c r="G43" s="54" t="s">
        <v>72</v>
      </c>
      <c r="H43" s="54" t="s">
        <v>31</v>
      </c>
      <c r="I43" s="54" t="s">
        <v>73</v>
      </c>
    </row>
    <row r="44" spans="1:9" x14ac:dyDescent="0.35">
      <c r="A44" s="54" t="s">
        <v>74</v>
      </c>
      <c r="B44" s="54" t="s">
        <v>24</v>
      </c>
      <c r="C44" s="62"/>
      <c r="D44" s="61">
        <v>5537.0979955700004</v>
      </c>
      <c r="E44" s="61">
        <v>0</v>
      </c>
      <c r="F44" s="61">
        <v>2820.3544786879988</v>
      </c>
      <c r="G44" s="54" t="s">
        <v>75</v>
      </c>
      <c r="H44" s="54" t="s">
        <v>26</v>
      </c>
      <c r="I44" s="54"/>
    </row>
    <row r="45" spans="1:9" x14ac:dyDescent="0.35">
      <c r="A45" s="54" t="s">
        <v>417</v>
      </c>
      <c r="B45" s="54" t="s">
        <v>13</v>
      </c>
      <c r="C45" s="62">
        <v>256779440042</v>
      </c>
      <c r="D45" s="61">
        <v>5</v>
      </c>
      <c r="E45" s="61">
        <v>50.75</v>
      </c>
      <c r="F45" s="61">
        <v>2774.6044786879988</v>
      </c>
      <c r="G45" s="54" t="s">
        <v>76</v>
      </c>
      <c r="H45" s="54" t="s">
        <v>15</v>
      </c>
      <c r="I45" s="54" t="s">
        <v>78</v>
      </c>
    </row>
    <row r="46" spans="1:9" x14ac:dyDescent="0.35">
      <c r="A46" s="54" t="s">
        <v>418</v>
      </c>
      <c r="B46" s="54" t="s">
        <v>13</v>
      </c>
      <c r="C46" s="62">
        <v>256779440333</v>
      </c>
      <c r="D46" s="61">
        <v>5</v>
      </c>
      <c r="E46" s="61">
        <v>50.75</v>
      </c>
      <c r="F46" s="61">
        <v>2728.8544786879988</v>
      </c>
      <c r="G46" s="54" t="s">
        <v>79</v>
      </c>
      <c r="H46" s="54" t="s">
        <v>15</v>
      </c>
      <c r="I46" s="54" t="s">
        <v>81</v>
      </c>
    </row>
    <row r="47" spans="1:9" x14ac:dyDescent="0.35">
      <c r="A47" s="54" t="s">
        <v>419</v>
      </c>
      <c r="B47" s="54" t="s">
        <v>13</v>
      </c>
      <c r="C47" s="62">
        <v>256779418803</v>
      </c>
      <c r="D47" s="61">
        <v>5</v>
      </c>
      <c r="E47" s="61">
        <v>50.75</v>
      </c>
      <c r="F47" s="61">
        <v>2683.1044786879988</v>
      </c>
      <c r="G47" s="54" t="s">
        <v>82</v>
      </c>
      <c r="H47" s="54" t="s">
        <v>15</v>
      </c>
      <c r="I47" s="54" t="s">
        <v>84</v>
      </c>
    </row>
    <row r="48" spans="1:9" x14ac:dyDescent="0.35">
      <c r="A48" s="54" t="s">
        <v>419</v>
      </c>
      <c r="B48" s="54" t="s">
        <v>13</v>
      </c>
      <c r="C48" s="62">
        <v>256779440370</v>
      </c>
      <c r="D48" s="61">
        <v>1</v>
      </c>
      <c r="E48" s="61">
        <v>60.36</v>
      </c>
      <c r="F48" s="61">
        <v>2623.7444786879992</v>
      </c>
      <c r="G48" s="54" t="s">
        <v>420</v>
      </c>
      <c r="H48" s="54" t="s">
        <v>29</v>
      </c>
      <c r="I48" s="54" t="s">
        <v>421</v>
      </c>
    </row>
    <row r="49" spans="1:9" x14ac:dyDescent="0.35">
      <c r="A49" s="54" t="s">
        <v>422</v>
      </c>
      <c r="B49" s="54" t="s">
        <v>13</v>
      </c>
      <c r="C49" s="62">
        <v>256779440336</v>
      </c>
      <c r="D49" s="61">
        <v>1</v>
      </c>
      <c r="E49" s="61">
        <v>70</v>
      </c>
      <c r="F49" s="61">
        <v>2554.7444786879992</v>
      </c>
      <c r="G49" s="54" t="s">
        <v>87</v>
      </c>
      <c r="H49" s="54" t="s">
        <v>61</v>
      </c>
      <c r="I49" s="54" t="s">
        <v>88</v>
      </c>
    </row>
    <row r="50" spans="1:9" x14ac:dyDescent="0.35">
      <c r="A50" s="54" t="s">
        <v>422</v>
      </c>
      <c r="B50" s="54" t="s">
        <v>13</v>
      </c>
      <c r="C50" s="62">
        <v>256779440256</v>
      </c>
      <c r="D50" s="61">
        <v>2</v>
      </c>
      <c r="E50" s="61">
        <v>112.8</v>
      </c>
      <c r="F50" s="61">
        <v>2443.944478687999</v>
      </c>
      <c r="G50" s="54" t="s">
        <v>91</v>
      </c>
      <c r="H50" s="54" t="s">
        <v>39</v>
      </c>
      <c r="I50" s="54" t="s">
        <v>92</v>
      </c>
    </row>
    <row r="51" spans="1:9" x14ac:dyDescent="0.35">
      <c r="A51" s="54" t="s">
        <v>422</v>
      </c>
      <c r="B51" s="54" t="s">
        <v>13</v>
      </c>
      <c r="C51" s="62">
        <v>256779440129</v>
      </c>
      <c r="D51" s="61">
        <v>3</v>
      </c>
      <c r="E51" s="61">
        <v>169.2</v>
      </c>
      <c r="F51" s="61">
        <v>2277.7444786879992</v>
      </c>
      <c r="G51" s="54" t="s">
        <v>93</v>
      </c>
      <c r="H51" s="54" t="s">
        <v>39</v>
      </c>
      <c r="I51" s="54" t="s">
        <v>94</v>
      </c>
    </row>
    <row r="52" spans="1:9" x14ac:dyDescent="0.35">
      <c r="A52" s="54" t="s">
        <v>422</v>
      </c>
      <c r="B52" s="54" t="s">
        <v>13</v>
      </c>
      <c r="C52" s="62">
        <v>256779440171</v>
      </c>
      <c r="D52" s="61">
        <v>4</v>
      </c>
      <c r="E52" s="61">
        <v>180.4</v>
      </c>
      <c r="F52" s="61">
        <v>2101.3444786879991</v>
      </c>
      <c r="G52" s="54" t="s">
        <v>423</v>
      </c>
      <c r="H52" s="54" t="s">
        <v>64</v>
      </c>
      <c r="I52" s="54" t="s">
        <v>424</v>
      </c>
    </row>
    <row r="53" spans="1:9" x14ac:dyDescent="0.35">
      <c r="A53" s="54" t="s">
        <v>422</v>
      </c>
      <c r="B53" s="54" t="s">
        <v>13</v>
      </c>
      <c r="C53" s="62">
        <v>256779440292</v>
      </c>
      <c r="D53" s="61">
        <v>1</v>
      </c>
      <c r="E53" s="61">
        <v>40.04</v>
      </c>
      <c r="F53" s="61">
        <v>2062.3044786879991</v>
      </c>
      <c r="G53" s="54" t="s">
        <v>425</v>
      </c>
      <c r="H53" s="54" t="s">
        <v>29</v>
      </c>
      <c r="I53" s="54" t="s">
        <v>426</v>
      </c>
    </row>
    <row r="54" spans="1:9" x14ac:dyDescent="0.35">
      <c r="A54" s="54" t="s">
        <v>422</v>
      </c>
      <c r="B54" s="54" t="s">
        <v>13</v>
      </c>
      <c r="C54" s="62">
        <v>256779419471</v>
      </c>
      <c r="D54" s="61">
        <v>0</v>
      </c>
      <c r="E54" s="61">
        <v>20.28</v>
      </c>
      <c r="F54" s="61">
        <v>2042.0244786879989</v>
      </c>
      <c r="G54" s="54" t="s">
        <v>427</v>
      </c>
      <c r="H54" s="54" t="s">
        <v>29</v>
      </c>
      <c r="I54" s="54" t="s">
        <v>427</v>
      </c>
    </row>
    <row r="55" spans="1:9" x14ac:dyDescent="0.35">
      <c r="A55" s="54" t="s">
        <v>428</v>
      </c>
      <c r="B55" s="54" t="s">
        <v>13</v>
      </c>
      <c r="C55" s="62">
        <v>256779440359</v>
      </c>
      <c r="D55" s="61">
        <v>16</v>
      </c>
      <c r="E55" s="61">
        <v>821.64</v>
      </c>
      <c r="F55" s="61">
        <v>1236.384478687999</v>
      </c>
      <c r="G55" s="54" t="s">
        <v>429</v>
      </c>
      <c r="H55" s="54" t="s">
        <v>31</v>
      </c>
      <c r="I55" s="54" t="s">
        <v>430</v>
      </c>
    </row>
    <row r="56" spans="1:9" x14ac:dyDescent="0.35">
      <c r="A56" s="54" t="s">
        <v>428</v>
      </c>
      <c r="B56" s="54" t="s">
        <v>13</v>
      </c>
      <c r="C56" s="62">
        <v>256779440281</v>
      </c>
      <c r="D56" s="61">
        <v>19</v>
      </c>
      <c r="E56" s="61">
        <v>933.73</v>
      </c>
      <c r="F56" s="61">
        <v>321.65447868799902</v>
      </c>
      <c r="G56" s="54" t="s">
        <v>431</v>
      </c>
      <c r="H56" s="54" t="s">
        <v>31</v>
      </c>
      <c r="I56" s="54" t="s">
        <v>432</v>
      </c>
    </row>
    <row r="57" spans="1:9" x14ac:dyDescent="0.35">
      <c r="A57" s="54" t="s">
        <v>428</v>
      </c>
      <c r="B57" s="54" t="s">
        <v>13</v>
      </c>
      <c r="C57" s="62">
        <v>256779419463</v>
      </c>
      <c r="D57" s="61">
        <v>12</v>
      </c>
      <c r="E57" s="61">
        <v>602.03</v>
      </c>
      <c r="F57" s="61">
        <v>-268.37552131200101</v>
      </c>
      <c r="G57" s="54" t="s">
        <v>433</v>
      </c>
      <c r="H57" s="54" t="s">
        <v>31</v>
      </c>
      <c r="I57" s="54" t="s">
        <v>434</v>
      </c>
    </row>
    <row r="58" spans="1:9" x14ac:dyDescent="0.35">
      <c r="A58" s="54" t="s">
        <v>428</v>
      </c>
      <c r="B58" s="54" t="s">
        <v>13</v>
      </c>
      <c r="C58" s="62">
        <v>256779418476</v>
      </c>
      <c r="D58" s="61">
        <v>19</v>
      </c>
      <c r="E58" s="61">
        <v>950.87</v>
      </c>
      <c r="F58" s="61">
        <v>-1200.2455213120011</v>
      </c>
      <c r="G58" s="54" t="s">
        <v>435</v>
      </c>
      <c r="H58" s="54" t="s">
        <v>31</v>
      </c>
      <c r="I58" s="54" t="s">
        <v>436</v>
      </c>
    </row>
    <row r="59" spans="1:9" x14ac:dyDescent="0.35">
      <c r="A59" s="54" t="s">
        <v>428</v>
      </c>
      <c r="B59" s="54" t="s">
        <v>13</v>
      </c>
      <c r="C59" s="62">
        <v>256779415262</v>
      </c>
      <c r="D59" s="61">
        <v>10</v>
      </c>
      <c r="E59" s="61">
        <v>476.32</v>
      </c>
      <c r="F59" s="61">
        <v>-1666.565521312001</v>
      </c>
      <c r="G59" s="54" t="s">
        <v>437</v>
      </c>
      <c r="H59" s="54" t="s">
        <v>31</v>
      </c>
      <c r="I59" s="54" t="s">
        <v>438</v>
      </c>
    </row>
    <row r="60" spans="1:9" x14ac:dyDescent="0.35">
      <c r="A60" s="54" t="s">
        <v>428</v>
      </c>
      <c r="B60" s="54" t="s">
        <v>13</v>
      </c>
      <c r="C60" s="62">
        <v>256779418826</v>
      </c>
      <c r="D60" s="61">
        <v>1</v>
      </c>
      <c r="E60" s="61">
        <v>60.86</v>
      </c>
      <c r="F60" s="61">
        <v>-1726.4255213120009</v>
      </c>
      <c r="G60" s="54" t="s">
        <v>439</v>
      </c>
      <c r="H60" s="54" t="s">
        <v>29</v>
      </c>
      <c r="I60" s="54" t="s">
        <v>440</v>
      </c>
    </row>
    <row r="61" spans="1:9" x14ac:dyDescent="0.35">
      <c r="A61" s="54" t="s">
        <v>428</v>
      </c>
      <c r="B61" s="54" t="s">
        <v>13</v>
      </c>
      <c r="C61" s="62">
        <v>256779419533</v>
      </c>
      <c r="D61" s="61">
        <v>3</v>
      </c>
      <c r="E61" s="61">
        <v>131.6</v>
      </c>
      <c r="F61" s="61">
        <v>-1855.025521312001</v>
      </c>
      <c r="G61" s="54" t="s">
        <v>441</v>
      </c>
      <c r="H61" s="54" t="s">
        <v>39</v>
      </c>
      <c r="I61" s="54" t="s">
        <v>442</v>
      </c>
    </row>
    <row r="62" spans="1:9" x14ac:dyDescent="0.35">
      <c r="A62" s="54" t="s">
        <v>443</v>
      </c>
      <c r="B62" s="54" t="s">
        <v>13</v>
      </c>
      <c r="C62" s="62">
        <v>256779440481</v>
      </c>
      <c r="D62" s="61">
        <v>5</v>
      </c>
      <c r="E62" s="61">
        <v>50.75</v>
      </c>
      <c r="F62" s="61">
        <v>-1900.775521312001</v>
      </c>
      <c r="G62" s="54" t="s">
        <v>444</v>
      </c>
      <c r="H62" s="54" t="s">
        <v>15</v>
      </c>
      <c r="I62" s="54" t="s">
        <v>445</v>
      </c>
    </row>
    <row r="63" spans="1:9" x14ac:dyDescent="0.35">
      <c r="A63" s="54" t="s">
        <v>443</v>
      </c>
      <c r="B63" s="54" t="s">
        <v>13</v>
      </c>
      <c r="C63" s="62">
        <v>256779419546</v>
      </c>
      <c r="D63" s="61">
        <v>1</v>
      </c>
      <c r="E63" s="61">
        <v>56.4</v>
      </c>
      <c r="F63" s="61">
        <v>-1956.1755213120009</v>
      </c>
      <c r="G63" s="54" t="s">
        <v>446</v>
      </c>
      <c r="H63" s="54" t="s">
        <v>39</v>
      </c>
      <c r="I63" s="54" t="s">
        <v>447</v>
      </c>
    </row>
    <row r="64" spans="1:9" x14ac:dyDescent="0.35">
      <c r="A64" s="54" t="s">
        <v>443</v>
      </c>
      <c r="B64" s="54" t="s">
        <v>13</v>
      </c>
      <c r="C64" s="62">
        <v>256779418426</v>
      </c>
      <c r="D64" s="61">
        <v>2</v>
      </c>
      <c r="E64" s="61">
        <v>124.55</v>
      </c>
      <c r="F64" s="61">
        <v>-2078.7255213120011</v>
      </c>
      <c r="G64" s="54" t="s">
        <v>448</v>
      </c>
      <c r="H64" s="54" t="s">
        <v>39</v>
      </c>
      <c r="I64" s="54" t="s">
        <v>449</v>
      </c>
    </row>
    <row r="65" spans="1:9" x14ac:dyDescent="0.35">
      <c r="A65" s="54" t="s">
        <v>443</v>
      </c>
      <c r="B65" s="54" t="s">
        <v>13</v>
      </c>
      <c r="C65" s="62">
        <v>256779418441</v>
      </c>
      <c r="D65" s="61">
        <v>2</v>
      </c>
      <c r="E65" s="61">
        <v>112.8</v>
      </c>
      <c r="F65" s="61">
        <v>-2189.5255213120008</v>
      </c>
      <c r="G65" s="54" t="s">
        <v>450</v>
      </c>
      <c r="H65" s="54" t="s">
        <v>39</v>
      </c>
      <c r="I65" s="54" t="s">
        <v>451</v>
      </c>
    </row>
    <row r="66" spans="1:9" x14ac:dyDescent="0.35">
      <c r="A66" s="54" t="s">
        <v>452</v>
      </c>
      <c r="B66" s="54" t="s">
        <v>13</v>
      </c>
      <c r="C66" s="62">
        <v>256779451299</v>
      </c>
      <c r="D66" s="61">
        <v>8</v>
      </c>
      <c r="E66" s="61">
        <v>420.37</v>
      </c>
      <c r="F66" s="61">
        <v>-2601.8955213120012</v>
      </c>
      <c r="G66" s="54" t="s">
        <v>453</v>
      </c>
      <c r="H66" s="54" t="s">
        <v>31</v>
      </c>
      <c r="I66" s="54" t="s">
        <v>454</v>
      </c>
    </row>
    <row r="67" spans="1:9" x14ac:dyDescent="0.35">
      <c r="A67" s="54" t="s">
        <v>452</v>
      </c>
      <c r="B67" s="54" t="s">
        <v>13</v>
      </c>
      <c r="C67" s="62">
        <v>256779451312</v>
      </c>
      <c r="D67" s="61">
        <v>0</v>
      </c>
      <c r="E67" s="61">
        <v>19.920000000000002</v>
      </c>
      <c r="F67" s="61">
        <v>-2621.8155213120008</v>
      </c>
      <c r="G67" s="54" t="s">
        <v>455</v>
      </c>
      <c r="H67" s="54" t="s">
        <v>29</v>
      </c>
      <c r="I67" s="54" t="s">
        <v>455</v>
      </c>
    </row>
    <row r="68" spans="1:9" x14ac:dyDescent="0.35">
      <c r="A68" s="54" t="s">
        <v>456</v>
      </c>
      <c r="B68" s="54" t="s">
        <v>13</v>
      </c>
      <c r="C68" s="62">
        <v>256779451331</v>
      </c>
      <c r="D68" s="61">
        <v>77</v>
      </c>
      <c r="E68" s="61">
        <v>774.93</v>
      </c>
      <c r="F68" s="61">
        <v>-3319.7455213120011</v>
      </c>
      <c r="G68" s="54" t="s">
        <v>457</v>
      </c>
      <c r="H68" s="54" t="s">
        <v>458</v>
      </c>
      <c r="I68" s="54" t="s">
        <v>459</v>
      </c>
    </row>
    <row r="69" spans="1:9" x14ac:dyDescent="0.35">
      <c r="A69" s="54" t="s">
        <v>456</v>
      </c>
      <c r="B69" s="54" t="s">
        <v>13</v>
      </c>
      <c r="C69" s="62">
        <v>256779440249</v>
      </c>
      <c r="D69" s="61">
        <v>104</v>
      </c>
      <c r="E69" s="61">
        <v>1037</v>
      </c>
      <c r="F69" s="61">
        <v>-4252.7455213120011</v>
      </c>
      <c r="G69" s="54" t="s">
        <v>460</v>
      </c>
      <c r="H69" s="54" t="s">
        <v>458</v>
      </c>
      <c r="I69" s="54" t="s">
        <v>461</v>
      </c>
    </row>
    <row r="70" spans="1:9" x14ac:dyDescent="0.35">
      <c r="A70" s="54" t="s">
        <v>456</v>
      </c>
      <c r="B70" s="54" t="s">
        <v>13</v>
      </c>
      <c r="C70" s="62">
        <v>256779440021</v>
      </c>
      <c r="D70" s="61">
        <v>95</v>
      </c>
      <c r="E70" s="61">
        <v>950.6</v>
      </c>
      <c r="F70" s="61">
        <v>-5108.3455213120014</v>
      </c>
      <c r="G70" s="54" t="s">
        <v>462</v>
      </c>
      <c r="H70" s="54" t="s">
        <v>458</v>
      </c>
      <c r="I70" s="54" t="s">
        <v>463</v>
      </c>
    </row>
    <row r="71" spans="1:9" x14ac:dyDescent="0.35">
      <c r="A71" s="54" t="s">
        <v>456</v>
      </c>
      <c r="B71" s="54" t="s">
        <v>13</v>
      </c>
      <c r="C71" s="62">
        <v>256779418886</v>
      </c>
      <c r="D71" s="61">
        <v>146</v>
      </c>
      <c r="E71" s="61">
        <v>1457.24</v>
      </c>
      <c r="F71" s="61">
        <v>-6419.5855213120012</v>
      </c>
      <c r="G71" s="54" t="s">
        <v>464</v>
      </c>
      <c r="H71" s="54" t="s">
        <v>458</v>
      </c>
      <c r="I71" s="54" t="s">
        <v>465</v>
      </c>
    </row>
    <row r="72" spans="1:9" x14ac:dyDescent="0.35">
      <c r="A72" s="54" t="s">
        <v>456</v>
      </c>
      <c r="B72" s="54" t="s">
        <v>13</v>
      </c>
      <c r="C72" s="62">
        <v>256779418009</v>
      </c>
      <c r="D72" s="61">
        <v>30</v>
      </c>
      <c r="E72" s="61">
        <v>1480.75</v>
      </c>
      <c r="F72" s="61">
        <v>-7870.3355213120012</v>
      </c>
      <c r="G72" s="54" t="s">
        <v>466</v>
      </c>
      <c r="H72" s="54" t="s">
        <v>458</v>
      </c>
      <c r="I72" s="54" t="s">
        <v>467</v>
      </c>
    </row>
    <row r="73" spans="1:9" x14ac:dyDescent="0.35">
      <c r="A73" s="54" t="s">
        <v>456</v>
      </c>
      <c r="B73" s="54" t="s">
        <v>13</v>
      </c>
      <c r="C73" s="62">
        <v>256779417083</v>
      </c>
      <c r="D73" s="61">
        <v>63</v>
      </c>
      <c r="E73" s="61">
        <v>634.36</v>
      </c>
      <c r="F73" s="61">
        <v>-8441.6955213120018</v>
      </c>
      <c r="G73" s="54" t="s">
        <v>468</v>
      </c>
      <c r="H73" s="54" t="s">
        <v>458</v>
      </c>
      <c r="I73" s="54" t="s">
        <v>469</v>
      </c>
    </row>
    <row r="74" spans="1:9" x14ac:dyDescent="0.35">
      <c r="A74" s="54" t="s">
        <v>456</v>
      </c>
      <c r="B74" s="54" t="s">
        <v>13</v>
      </c>
      <c r="C74" s="62">
        <v>256779416087</v>
      </c>
      <c r="D74" s="61">
        <v>92</v>
      </c>
      <c r="E74" s="61">
        <v>916.56</v>
      </c>
      <c r="F74" s="61">
        <v>-9266.2555213120013</v>
      </c>
      <c r="G74" s="54" t="s">
        <v>470</v>
      </c>
      <c r="H74" s="54" t="s">
        <v>458</v>
      </c>
      <c r="I74" s="54" t="s">
        <v>471</v>
      </c>
    </row>
    <row r="75" spans="1:9" x14ac:dyDescent="0.35">
      <c r="A75" s="54" t="s">
        <v>456</v>
      </c>
      <c r="B75" s="54" t="s">
        <v>13</v>
      </c>
      <c r="C75" s="62">
        <v>256779415197</v>
      </c>
      <c r="D75" s="61">
        <v>49</v>
      </c>
      <c r="E75" s="61">
        <v>492.25</v>
      </c>
      <c r="F75" s="61">
        <v>-9709.5055213120013</v>
      </c>
      <c r="G75" s="54" t="s">
        <v>472</v>
      </c>
      <c r="H75" s="54" t="s">
        <v>458</v>
      </c>
      <c r="I75" s="54" t="s">
        <v>473</v>
      </c>
    </row>
    <row r="76" spans="1:9" x14ac:dyDescent="0.35">
      <c r="A76" s="54" t="s">
        <v>456</v>
      </c>
      <c r="B76" s="54" t="s">
        <v>13</v>
      </c>
      <c r="C76" s="62">
        <v>256779414241</v>
      </c>
      <c r="D76" s="61">
        <v>63</v>
      </c>
      <c r="E76" s="61">
        <v>632.96</v>
      </c>
      <c r="F76" s="61">
        <v>-10279.465521312</v>
      </c>
      <c r="G76" s="54" t="s">
        <v>474</v>
      </c>
      <c r="H76" s="54" t="s">
        <v>458</v>
      </c>
      <c r="I76" s="54" t="s">
        <v>475</v>
      </c>
    </row>
    <row r="77" spans="1:9" x14ac:dyDescent="0.35">
      <c r="A77" s="54" t="s">
        <v>456</v>
      </c>
      <c r="B77" s="54" t="s">
        <v>13</v>
      </c>
      <c r="C77" s="62">
        <v>256779413898</v>
      </c>
      <c r="D77" s="61">
        <v>93</v>
      </c>
      <c r="E77" s="61">
        <v>928.64</v>
      </c>
      <c r="F77" s="61">
        <v>-11115.105521312</v>
      </c>
      <c r="G77" s="54" t="s">
        <v>476</v>
      </c>
      <c r="H77" s="54" t="s">
        <v>458</v>
      </c>
      <c r="I77" s="54" t="s">
        <v>477</v>
      </c>
    </row>
    <row r="78" spans="1:9" x14ac:dyDescent="0.35">
      <c r="A78" s="54" t="s">
        <v>478</v>
      </c>
      <c r="B78" s="54" t="s">
        <v>13</v>
      </c>
      <c r="C78" s="62">
        <v>256779452850</v>
      </c>
      <c r="D78" s="61">
        <v>2</v>
      </c>
      <c r="E78" s="61">
        <v>84.9</v>
      </c>
      <c r="F78" s="61">
        <v>-11198.005521311999</v>
      </c>
      <c r="G78" s="54" t="s">
        <v>479</v>
      </c>
      <c r="H78" s="54" t="s">
        <v>64</v>
      </c>
      <c r="I78" s="54" t="s">
        <v>480</v>
      </c>
    </row>
    <row r="79" spans="1:9" x14ac:dyDescent="0.35">
      <c r="A79" s="54" t="s">
        <v>478</v>
      </c>
      <c r="B79" s="54" t="s">
        <v>13</v>
      </c>
      <c r="C79" s="62">
        <v>256779452728</v>
      </c>
      <c r="D79" s="61">
        <v>1</v>
      </c>
      <c r="E79" s="61">
        <v>70</v>
      </c>
      <c r="F79" s="61">
        <v>-11267.005521311999</v>
      </c>
      <c r="G79" s="54" t="s">
        <v>481</v>
      </c>
      <c r="H79" s="54" t="s">
        <v>61</v>
      </c>
      <c r="I79" s="54" t="s">
        <v>482</v>
      </c>
    </row>
    <row r="80" spans="1:9" x14ac:dyDescent="0.35">
      <c r="A80" s="54" t="s">
        <v>478</v>
      </c>
      <c r="B80" s="54" t="s">
        <v>13</v>
      </c>
      <c r="C80" s="62">
        <v>256779452755</v>
      </c>
      <c r="D80" s="61">
        <v>8</v>
      </c>
      <c r="E80" s="61">
        <v>415.38</v>
      </c>
      <c r="F80" s="61">
        <v>-11674.385521312</v>
      </c>
      <c r="G80" s="54" t="s">
        <v>483</v>
      </c>
      <c r="H80" s="54" t="s">
        <v>31</v>
      </c>
      <c r="I80" s="54" t="s">
        <v>484</v>
      </c>
    </row>
    <row r="81" spans="1:9" x14ac:dyDescent="0.35">
      <c r="A81" s="54" t="s">
        <v>485</v>
      </c>
      <c r="B81" s="54" t="s">
        <v>24</v>
      </c>
      <c r="C81" s="62"/>
      <c r="D81" s="61">
        <v>5351.6</v>
      </c>
      <c r="E81" s="61">
        <v>0</v>
      </c>
      <c r="F81" s="61">
        <v>-6322.7855213120001</v>
      </c>
      <c r="G81" s="54" t="s">
        <v>486</v>
      </c>
      <c r="H81" s="54" t="s">
        <v>487</v>
      </c>
      <c r="I81" s="54"/>
    </row>
    <row r="82" spans="1:9" x14ac:dyDescent="0.35">
      <c r="A82" s="54" t="s">
        <v>488</v>
      </c>
      <c r="B82" s="54" t="s">
        <v>13</v>
      </c>
      <c r="C82" s="62">
        <v>256779452139</v>
      </c>
      <c r="D82" s="61">
        <v>0</v>
      </c>
      <c r="E82" s="61">
        <v>508.32</v>
      </c>
      <c r="F82" s="61">
        <v>-6831.1055213119998</v>
      </c>
      <c r="G82" s="54" t="s">
        <v>489</v>
      </c>
      <c r="H82" s="54" t="s">
        <v>458</v>
      </c>
      <c r="I82" s="54" t="s">
        <v>489</v>
      </c>
    </row>
    <row r="83" spans="1:9" x14ac:dyDescent="0.35">
      <c r="A83" s="54" t="s">
        <v>488</v>
      </c>
      <c r="B83" s="54" t="s">
        <v>13</v>
      </c>
      <c r="C83" s="62">
        <v>256779452770</v>
      </c>
      <c r="D83" s="61">
        <v>0</v>
      </c>
      <c r="E83" s="61">
        <v>19.87</v>
      </c>
      <c r="F83" s="61">
        <v>-6850.9755213119997</v>
      </c>
      <c r="G83" s="54" t="s">
        <v>490</v>
      </c>
      <c r="H83" s="54" t="s">
        <v>29</v>
      </c>
      <c r="I83" s="54" t="s">
        <v>490</v>
      </c>
    </row>
    <row r="84" spans="1:9" x14ac:dyDescent="0.35">
      <c r="A84" s="54" t="s">
        <v>491</v>
      </c>
      <c r="B84" s="54" t="s">
        <v>13</v>
      </c>
      <c r="C84" s="62">
        <v>266779410039</v>
      </c>
      <c r="D84" s="61">
        <v>0</v>
      </c>
      <c r="E84" s="61">
        <v>50.75</v>
      </c>
      <c r="F84" s="61">
        <v>-6901.7255213119997</v>
      </c>
      <c r="G84" s="54" t="s">
        <v>492</v>
      </c>
      <c r="H84" s="54" t="s">
        <v>458</v>
      </c>
      <c r="I84" s="54" t="s">
        <v>492</v>
      </c>
    </row>
    <row r="85" spans="1:9" x14ac:dyDescent="0.35">
      <c r="A85" s="54" t="s">
        <v>493</v>
      </c>
      <c r="B85" s="54" t="s">
        <v>13</v>
      </c>
      <c r="C85" s="62">
        <v>256779415770</v>
      </c>
      <c r="D85" s="61">
        <v>65</v>
      </c>
      <c r="E85" s="61">
        <v>1425.77</v>
      </c>
      <c r="F85" s="61">
        <v>-8262.4955213119993</v>
      </c>
      <c r="G85" s="54" t="s">
        <v>494</v>
      </c>
      <c r="H85" s="54" t="s">
        <v>31</v>
      </c>
      <c r="I85" s="54" t="s">
        <v>495</v>
      </c>
    </row>
    <row r="86" spans="1:9" x14ac:dyDescent="0.35">
      <c r="A86" s="54"/>
      <c r="B86" s="54"/>
      <c r="C86" s="62"/>
      <c r="D86" s="61">
        <f>SUM(D2:D85)</f>
        <v>18092.257478688</v>
      </c>
      <c r="E86" s="61">
        <f>SUM(E2:E85)</f>
        <v>26354.753000000004</v>
      </c>
      <c r="F86" s="61">
        <f>E86-D86</f>
        <v>8262.4955213120047</v>
      </c>
      <c r="G86" s="54"/>
      <c r="H86" s="54"/>
      <c r="I86" s="54"/>
    </row>
  </sheetData>
  <autoFilter ref="A1:I86" xr:uid="{EAD1A7BE-3E94-4673-B261-64958CA31325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66754-450E-4365-9C8B-93B1AFD20820}">
  <dimension ref="A2:R123"/>
  <sheetViews>
    <sheetView zoomScale="85" zoomScaleNormal="85" workbookViewId="0">
      <selection activeCell="A2" sqref="A2"/>
    </sheetView>
  </sheetViews>
  <sheetFormatPr defaultColWidth="16.1796875" defaultRowHeight="14.5" x14ac:dyDescent="0.35"/>
  <cols>
    <col min="1" max="1" width="12.90625" customWidth="1"/>
    <col min="2" max="2" width="3.54296875" customWidth="1"/>
    <col min="3" max="3" width="11.90625" customWidth="1"/>
    <col min="6" max="6" width="4.453125" customWidth="1"/>
    <col min="7" max="7" width="12.08984375" customWidth="1"/>
    <col min="8" max="8" width="3.6328125" customWidth="1"/>
    <col min="9" max="9" width="12.54296875" customWidth="1"/>
    <col min="10" max="10" width="45" bestFit="1" customWidth="1"/>
    <col min="14" max="14" width="30" bestFit="1" customWidth="1"/>
  </cols>
  <sheetData>
    <row r="2" spans="1:18" s="29" customFormat="1" ht="159.5" x14ac:dyDescent="0.35">
      <c r="A2" s="27" t="s">
        <v>120</v>
      </c>
      <c r="B2" s="28" t="s">
        <v>121</v>
      </c>
      <c r="C2" s="27" t="s">
        <v>122</v>
      </c>
      <c r="D2" s="27" t="s">
        <v>123</v>
      </c>
      <c r="E2" s="27" t="s">
        <v>124</v>
      </c>
      <c r="F2" s="28" t="s">
        <v>125</v>
      </c>
      <c r="G2" s="28" t="s">
        <v>126</v>
      </c>
      <c r="H2" s="28" t="s">
        <v>127</v>
      </c>
      <c r="I2" s="28" t="s">
        <v>128</v>
      </c>
      <c r="J2" s="27"/>
      <c r="K2" s="27"/>
      <c r="L2" s="27"/>
      <c r="M2" s="27" t="s">
        <v>405</v>
      </c>
      <c r="N2" s="27" t="s">
        <v>357</v>
      </c>
      <c r="P2"/>
      <c r="Q2"/>
      <c r="R2"/>
    </row>
    <row r="3" spans="1:18" x14ac:dyDescent="0.35">
      <c r="A3" s="25">
        <v>1800000001</v>
      </c>
      <c r="B3" s="18" t="s">
        <v>143</v>
      </c>
      <c r="C3" s="19">
        <v>45688</v>
      </c>
      <c r="D3" s="18" t="s">
        <v>144</v>
      </c>
      <c r="E3" s="20">
        <v>246779410001</v>
      </c>
      <c r="F3" s="18" t="s">
        <v>141</v>
      </c>
      <c r="G3" s="21">
        <v>50.75</v>
      </c>
      <c r="H3" s="18" t="s">
        <v>131</v>
      </c>
      <c r="I3" s="21">
        <v>4299.63</v>
      </c>
      <c r="J3" s="18" t="s">
        <v>145</v>
      </c>
      <c r="K3" s="10" t="e" cm="1">
        <f t="array" ref="K3">VLOOKUP(E3,'Customer Data'!$B$1:$F$58,{3,4},0)</f>
        <v>#N/A</v>
      </c>
      <c r="L3" s="10"/>
      <c r="M3" s="10">
        <v>1400000000</v>
      </c>
      <c r="N3" s="10"/>
    </row>
    <row r="4" spans="1:18" x14ac:dyDescent="0.35">
      <c r="A4" s="25">
        <v>1400000001</v>
      </c>
      <c r="B4" s="18" t="s">
        <v>132</v>
      </c>
      <c r="C4" s="19">
        <v>45692</v>
      </c>
      <c r="D4" s="18" t="s">
        <v>139</v>
      </c>
      <c r="E4" s="18" t="s">
        <v>140</v>
      </c>
      <c r="F4" s="18" t="s">
        <v>141</v>
      </c>
      <c r="G4" s="21">
        <v>50.75</v>
      </c>
      <c r="H4" s="18" t="s">
        <v>131</v>
      </c>
      <c r="I4" s="21">
        <v>4379.91</v>
      </c>
      <c r="J4" s="18" t="s">
        <v>130</v>
      </c>
      <c r="K4" s="10" t="e" cm="1">
        <f t="array" ref="K4">VLOOKUP(E4,'Customer Data'!$B$1:$F$58,{3,4},0)</f>
        <v>#N/A</v>
      </c>
      <c r="L4" s="10"/>
      <c r="M4" s="10">
        <v>1400000001</v>
      </c>
      <c r="N4" s="10"/>
    </row>
    <row r="5" spans="1:18" x14ac:dyDescent="0.35">
      <c r="A5" s="25">
        <v>1400000001</v>
      </c>
      <c r="B5" s="18" t="s">
        <v>132</v>
      </c>
      <c r="C5" s="19">
        <v>45692</v>
      </c>
      <c r="D5" s="18" t="s">
        <v>139</v>
      </c>
      <c r="E5" s="18" t="s">
        <v>140</v>
      </c>
      <c r="F5" s="18" t="s">
        <v>141</v>
      </c>
      <c r="G5" s="21">
        <v>-50.75</v>
      </c>
      <c r="H5" s="18" t="s">
        <v>131</v>
      </c>
      <c r="I5" s="21">
        <v>-4379.91</v>
      </c>
      <c r="J5" s="18" t="s">
        <v>130</v>
      </c>
      <c r="K5" s="10" t="e" cm="1">
        <f t="array" ref="K5">VLOOKUP(E5,'Customer Data'!$B$1:$F$58,{3,4},0)</f>
        <v>#N/A</v>
      </c>
      <c r="L5" s="10"/>
      <c r="M5" s="10">
        <v>1400000001</v>
      </c>
      <c r="N5" s="10"/>
    </row>
    <row r="6" spans="1:18" x14ac:dyDescent="0.35">
      <c r="A6" s="25">
        <v>1800000003</v>
      </c>
      <c r="B6" s="18" t="s">
        <v>143</v>
      </c>
      <c r="C6" s="19">
        <v>45692</v>
      </c>
      <c r="D6" s="18" t="s">
        <v>144</v>
      </c>
      <c r="E6" s="20">
        <v>246779410003</v>
      </c>
      <c r="F6" s="18" t="s">
        <v>141</v>
      </c>
      <c r="G6" s="21">
        <v>50.75</v>
      </c>
      <c r="H6" s="18" t="s">
        <v>131</v>
      </c>
      <c r="I6" s="21">
        <v>4379.91</v>
      </c>
      <c r="J6" s="18" t="s">
        <v>145</v>
      </c>
      <c r="K6" s="10" t="e" cm="1">
        <f t="array" ref="K6">VLOOKUP(E6,'Customer Data'!$B$1:$F$58,{3,4},0)</f>
        <v>#N/A</v>
      </c>
      <c r="L6" s="10"/>
      <c r="M6" s="10" t="s">
        <v>130</v>
      </c>
      <c r="N6" s="10"/>
    </row>
    <row r="7" spans="1:18" x14ac:dyDescent="0.35">
      <c r="A7" s="25">
        <v>1800000002</v>
      </c>
      <c r="B7" s="18" t="s">
        <v>143</v>
      </c>
      <c r="C7" s="19">
        <v>45692</v>
      </c>
      <c r="D7" s="18" t="s">
        <v>144</v>
      </c>
      <c r="E7" s="20">
        <v>246779410002</v>
      </c>
      <c r="F7" s="18" t="s">
        <v>141</v>
      </c>
      <c r="G7" s="21">
        <v>50.75</v>
      </c>
      <c r="H7" s="18" t="s">
        <v>131</v>
      </c>
      <c r="I7" s="21">
        <v>4379.91</v>
      </c>
      <c r="J7" s="18" t="s">
        <v>145</v>
      </c>
      <c r="K7" s="10" t="e" cm="1">
        <f t="array" ref="K7">VLOOKUP(E7,'Customer Data'!$B$1:$F$58,{3,4},0)</f>
        <v>#N/A</v>
      </c>
      <c r="L7" s="10"/>
      <c r="M7" s="10">
        <v>1400000001</v>
      </c>
      <c r="N7" s="10"/>
    </row>
    <row r="8" spans="1:18" x14ac:dyDescent="0.35">
      <c r="A8" s="25">
        <v>1400000000</v>
      </c>
      <c r="B8" s="18" t="s">
        <v>132</v>
      </c>
      <c r="C8" s="19">
        <v>45693</v>
      </c>
      <c r="D8" s="18" t="s">
        <v>139</v>
      </c>
      <c r="E8" s="18" t="s">
        <v>140</v>
      </c>
      <c r="F8" s="18" t="s">
        <v>141</v>
      </c>
      <c r="G8" s="21">
        <v>50.75</v>
      </c>
      <c r="H8" s="18" t="s">
        <v>131</v>
      </c>
      <c r="I8" s="21">
        <v>4299.63</v>
      </c>
      <c r="J8" s="18" t="s">
        <v>130</v>
      </c>
      <c r="K8" s="10" t="e" cm="1">
        <f t="array" ref="K8">VLOOKUP(E8,'Customer Data'!$B$1:$F$58,{3,4},0)</f>
        <v>#N/A</v>
      </c>
      <c r="L8" s="10"/>
      <c r="M8" s="10">
        <v>1400000000</v>
      </c>
      <c r="N8" s="10"/>
    </row>
    <row r="9" spans="1:18" x14ac:dyDescent="0.35">
      <c r="A9" s="25">
        <v>1400000000</v>
      </c>
      <c r="B9" s="18" t="s">
        <v>132</v>
      </c>
      <c r="C9" s="19">
        <v>45693</v>
      </c>
      <c r="D9" s="18" t="s">
        <v>139</v>
      </c>
      <c r="E9" s="18" t="s">
        <v>140</v>
      </c>
      <c r="F9" s="18" t="s">
        <v>141</v>
      </c>
      <c r="G9" s="21">
        <v>-50.75</v>
      </c>
      <c r="H9" s="18" t="s">
        <v>131</v>
      </c>
      <c r="I9" s="21">
        <v>-4299.63</v>
      </c>
      <c r="J9" s="18" t="s">
        <v>130</v>
      </c>
      <c r="K9" s="10" t="e" cm="1">
        <f t="array" ref="K9">VLOOKUP(E9,'Customer Data'!$B$1:$F$58,{3,4},0)</f>
        <v>#N/A</v>
      </c>
      <c r="L9" s="10"/>
      <c r="M9" s="10">
        <v>1400000000</v>
      </c>
      <c r="N9" s="10"/>
    </row>
    <row r="10" spans="1:18" x14ac:dyDescent="0.35">
      <c r="A10" s="25">
        <v>1600000001</v>
      </c>
      <c r="B10" s="18" t="s">
        <v>153</v>
      </c>
      <c r="C10" s="19">
        <v>45693</v>
      </c>
      <c r="D10" s="18" t="s">
        <v>144</v>
      </c>
      <c r="E10" s="20">
        <v>246779420002</v>
      </c>
      <c r="F10" s="18" t="s">
        <v>141</v>
      </c>
      <c r="G10" s="21">
        <v>-50.75</v>
      </c>
      <c r="H10" s="18" t="s">
        <v>131</v>
      </c>
      <c r="I10" s="21">
        <v>-4299.63</v>
      </c>
      <c r="J10" s="18" t="s">
        <v>513</v>
      </c>
      <c r="K10" s="10" t="e" cm="1">
        <f t="array" ref="K10">VLOOKUP(E10,'Customer Data'!$B$1:$F$58,{3,4},0)</f>
        <v>#N/A</v>
      </c>
      <c r="L10" s="10"/>
      <c r="M10" s="10">
        <v>1400000000</v>
      </c>
      <c r="N10" s="10"/>
    </row>
    <row r="11" spans="1:18" x14ac:dyDescent="0.35">
      <c r="A11" s="25">
        <v>1600000000</v>
      </c>
      <c r="B11" s="18" t="s">
        <v>153</v>
      </c>
      <c r="C11" s="19">
        <v>45693</v>
      </c>
      <c r="D11" s="18" t="s">
        <v>144</v>
      </c>
      <c r="E11" s="20">
        <v>246779420001</v>
      </c>
      <c r="F11" s="18" t="s">
        <v>141</v>
      </c>
      <c r="G11" s="21">
        <v>-50.75</v>
      </c>
      <c r="H11" s="18" t="s">
        <v>131</v>
      </c>
      <c r="I11" s="21">
        <v>-4379.91</v>
      </c>
      <c r="J11" s="18" t="s">
        <v>514</v>
      </c>
      <c r="K11" s="10" t="e" cm="1">
        <f t="array" ref="K11">VLOOKUP(E11,'Customer Data'!$B$1:$F$58,{3,4},0)</f>
        <v>#N/A</v>
      </c>
      <c r="L11" s="10"/>
      <c r="M11" s="10">
        <v>1400000001</v>
      </c>
      <c r="N11" s="10"/>
    </row>
    <row r="12" spans="1:18" x14ac:dyDescent="0.35">
      <c r="A12" s="25">
        <v>1800000091</v>
      </c>
      <c r="B12" s="18" t="s">
        <v>143</v>
      </c>
      <c r="C12" s="19">
        <v>45708</v>
      </c>
      <c r="D12" s="18" t="s">
        <v>144</v>
      </c>
      <c r="E12" s="20">
        <v>246779410304</v>
      </c>
      <c r="F12" s="18" t="s">
        <v>141</v>
      </c>
      <c r="G12" s="21">
        <v>50.75</v>
      </c>
      <c r="H12" s="18" t="s">
        <v>131</v>
      </c>
      <c r="I12" s="21">
        <v>4379.91</v>
      </c>
      <c r="J12" s="18" t="s">
        <v>200</v>
      </c>
      <c r="K12" s="10" cm="1">
        <f t="array" ref="K12:L12">VLOOKUP(E12,'Customer Data'!$B$1:$F$58,{3,4},0)</f>
        <v>0</v>
      </c>
      <c r="L12" s="10">
        <v>45.75</v>
      </c>
      <c r="M12" s="10">
        <v>1400000004</v>
      </c>
      <c r="N12" s="10"/>
    </row>
    <row r="13" spans="1:18" x14ac:dyDescent="0.35">
      <c r="A13" s="25">
        <v>1800000320</v>
      </c>
      <c r="B13" s="18" t="s">
        <v>143</v>
      </c>
      <c r="C13" s="19">
        <v>45708</v>
      </c>
      <c r="D13" s="18" t="s">
        <v>144</v>
      </c>
      <c r="E13" s="20">
        <v>246779410247</v>
      </c>
      <c r="F13" s="18" t="s">
        <v>141</v>
      </c>
      <c r="G13" s="21">
        <v>50.75</v>
      </c>
      <c r="H13" s="18" t="s">
        <v>131</v>
      </c>
      <c r="I13" s="21">
        <v>4379.91</v>
      </c>
      <c r="J13" s="18" t="s">
        <v>210</v>
      </c>
      <c r="K13" s="10" cm="1">
        <f t="array" ref="K13:L13">VLOOKUP(E13,'Customer Data'!$B$1:$F$58,{3,4},0)</f>
        <v>0</v>
      </c>
      <c r="L13" s="10">
        <v>45.75</v>
      </c>
      <c r="M13" s="10">
        <v>1400000004</v>
      </c>
      <c r="N13" s="10"/>
    </row>
    <row r="14" spans="1:18" x14ac:dyDescent="0.35">
      <c r="A14" s="25">
        <v>1800000277</v>
      </c>
      <c r="B14" s="18" t="s">
        <v>143</v>
      </c>
      <c r="C14" s="19">
        <v>45708</v>
      </c>
      <c r="D14" s="18" t="s">
        <v>144</v>
      </c>
      <c r="E14" s="20">
        <v>246779410204</v>
      </c>
      <c r="F14" s="18" t="s">
        <v>141</v>
      </c>
      <c r="G14" s="21">
        <v>50.75</v>
      </c>
      <c r="H14" s="18" t="s">
        <v>131</v>
      </c>
      <c r="I14" s="21">
        <v>4379.91</v>
      </c>
      <c r="J14" s="18" t="s">
        <v>208</v>
      </c>
      <c r="K14" s="10" cm="1">
        <f t="array" ref="K14:L14">VLOOKUP(E14,'Customer Data'!$B$1:$F$58,{3,4},0)</f>
        <v>0</v>
      </c>
      <c r="L14" s="10">
        <v>45.75</v>
      </c>
      <c r="M14" s="10">
        <v>1400000004</v>
      </c>
      <c r="N14" s="10"/>
    </row>
    <row r="15" spans="1:18" x14ac:dyDescent="0.35">
      <c r="A15" s="25">
        <v>1800000234</v>
      </c>
      <c r="B15" s="18" t="s">
        <v>143</v>
      </c>
      <c r="C15" s="19">
        <v>45708</v>
      </c>
      <c r="D15" s="18" t="s">
        <v>144</v>
      </c>
      <c r="E15" s="20">
        <v>246779410161</v>
      </c>
      <c r="F15" s="18" t="s">
        <v>141</v>
      </c>
      <c r="G15" s="21">
        <v>50.75</v>
      </c>
      <c r="H15" s="18" t="s">
        <v>131</v>
      </c>
      <c r="I15" s="21">
        <v>4379.91</v>
      </c>
      <c r="J15" s="18" t="s">
        <v>206</v>
      </c>
      <c r="K15" s="10" cm="1">
        <f t="array" ref="K15:L15">VLOOKUP(E15,'Customer Data'!$B$1:$F$58,{3,4},0)</f>
        <v>0</v>
      </c>
      <c r="L15" s="10">
        <v>45.75</v>
      </c>
      <c r="M15" s="10">
        <v>1400000004</v>
      </c>
      <c r="N15" s="10"/>
    </row>
    <row r="16" spans="1:18" x14ac:dyDescent="0.35">
      <c r="A16" s="25">
        <v>1800000191</v>
      </c>
      <c r="B16" s="18" t="s">
        <v>143</v>
      </c>
      <c r="C16" s="19">
        <v>45708</v>
      </c>
      <c r="D16" s="18" t="s">
        <v>144</v>
      </c>
      <c r="E16" s="20">
        <v>246779410118</v>
      </c>
      <c r="F16" s="18" t="s">
        <v>141</v>
      </c>
      <c r="G16" s="21">
        <v>50.75</v>
      </c>
      <c r="H16" s="18" t="s">
        <v>131</v>
      </c>
      <c r="I16" s="21">
        <v>4379.91</v>
      </c>
      <c r="J16" s="18" t="s">
        <v>204</v>
      </c>
      <c r="K16" s="10" cm="1">
        <f t="array" ref="K16:L16">VLOOKUP(E16,'Customer Data'!$B$1:$F$58,{3,4},0)</f>
        <v>0</v>
      </c>
      <c r="L16" s="10">
        <v>45.75</v>
      </c>
      <c r="M16" s="10">
        <v>1400000004</v>
      </c>
      <c r="N16" s="10"/>
    </row>
    <row r="17" spans="1:14" x14ac:dyDescent="0.35">
      <c r="A17" s="25">
        <v>1800000028</v>
      </c>
      <c r="B17" s="18" t="s">
        <v>143</v>
      </c>
      <c r="C17" s="19">
        <v>45708</v>
      </c>
      <c r="D17" s="18" t="s">
        <v>144</v>
      </c>
      <c r="E17" s="20">
        <v>246779410073</v>
      </c>
      <c r="F17" s="18" t="s">
        <v>141</v>
      </c>
      <c r="G17" s="21">
        <v>50.75</v>
      </c>
      <c r="H17" s="18" t="s">
        <v>131</v>
      </c>
      <c r="I17" s="21">
        <v>4379.91</v>
      </c>
      <c r="J17" s="18" t="s">
        <v>212</v>
      </c>
      <c r="K17" s="10" t="e" cm="1">
        <f t="array" ref="K17">VLOOKUP(E17,'Customer Data'!$B$1:$F$58,{3,4},0)</f>
        <v>#N/A</v>
      </c>
      <c r="L17" s="10"/>
      <c r="M17" s="10">
        <v>1400000789</v>
      </c>
      <c r="N17" s="10"/>
    </row>
    <row r="18" spans="1:14" x14ac:dyDescent="0.35">
      <c r="A18" s="25">
        <v>1800000122</v>
      </c>
      <c r="B18" s="18" t="s">
        <v>143</v>
      </c>
      <c r="C18" s="19">
        <v>45708</v>
      </c>
      <c r="D18" s="18" t="s">
        <v>144</v>
      </c>
      <c r="E18" s="20">
        <v>246779410050</v>
      </c>
      <c r="F18" s="18" t="s">
        <v>141</v>
      </c>
      <c r="G18" s="21">
        <v>50.75</v>
      </c>
      <c r="H18" s="18" t="s">
        <v>131</v>
      </c>
      <c r="I18" s="21">
        <v>4379.91</v>
      </c>
      <c r="J18" s="18" t="s">
        <v>202</v>
      </c>
      <c r="K18" s="10" cm="1">
        <f t="array" ref="K18:L18">VLOOKUP(E18,'Customer Data'!$B$1:$F$58,{3,4},0)</f>
        <v>0</v>
      </c>
      <c r="L18" s="10">
        <v>45.75</v>
      </c>
      <c r="M18" s="10">
        <v>1400000004</v>
      </c>
      <c r="N18" s="10"/>
    </row>
    <row r="19" spans="1:14" x14ac:dyDescent="0.35">
      <c r="A19" s="25">
        <v>1800003142</v>
      </c>
      <c r="B19" s="18" t="s">
        <v>143</v>
      </c>
      <c r="C19" s="19">
        <v>45735</v>
      </c>
      <c r="D19" s="18" t="s">
        <v>144</v>
      </c>
      <c r="E19" s="20">
        <v>246779413009</v>
      </c>
      <c r="F19" s="18" t="s">
        <v>141</v>
      </c>
      <c r="G19" s="21">
        <v>50.75</v>
      </c>
      <c r="H19" s="18" t="s">
        <v>131</v>
      </c>
      <c r="I19" s="21">
        <v>4399.58</v>
      </c>
      <c r="J19" s="18" t="s">
        <v>253</v>
      </c>
      <c r="K19" s="10" cm="1">
        <f t="array" ref="K19:L19">VLOOKUP(E19,'Customer Data'!$B$1:$F$58,{3,4},0)</f>
        <v>0</v>
      </c>
      <c r="L19" s="10">
        <v>45.75</v>
      </c>
      <c r="M19" s="10" t="s">
        <v>130</v>
      </c>
      <c r="N19" s="10"/>
    </row>
    <row r="20" spans="1:14" x14ac:dyDescent="0.35">
      <c r="A20" s="25">
        <v>1400000004</v>
      </c>
      <c r="B20" s="18" t="s">
        <v>134</v>
      </c>
      <c r="C20" s="19">
        <v>45743</v>
      </c>
      <c r="D20" s="18" t="s">
        <v>138</v>
      </c>
      <c r="E20" s="18" t="s">
        <v>130</v>
      </c>
      <c r="F20" s="18" t="s">
        <v>131</v>
      </c>
      <c r="G20" s="58">
        <v>-302.06275862068998</v>
      </c>
      <c r="H20" s="18" t="s">
        <v>131</v>
      </c>
      <c r="I20" s="21">
        <v>-26279.46</v>
      </c>
      <c r="J20" s="18" t="s">
        <v>138</v>
      </c>
      <c r="K20" s="10" t="e" cm="1">
        <f t="array" ref="K20">VLOOKUP(E20,'Customer Data'!$B$1:$F$58,{3,4},0)</f>
        <v>#N/A</v>
      </c>
      <c r="L20" s="10"/>
      <c r="M20" s="10">
        <v>1400000004</v>
      </c>
      <c r="N20" s="10" t="s">
        <v>363</v>
      </c>
    </row>
    <row r="21" spans="1:14" x14ac:dyDescent="0.35">
      <c r="A21" s="25">
        <v>1800005400</v>
      </c>
      <c r="B21" s="18" t="s">
        <v>143</v>
      </c>
      <c r="C21" s="19">
        <v>45750</v>
      </c>
      <c r="D21" s="18" t="s">
        <v>144</v>
      </c>
      <c r="E21" s="20">
        <v>256779410292</v>
      </c>
      <c r="F21" s="18" t="s">
        <v>141</v>
      </c>
      <c r="G21" s="21">
        <v>50.75</v>
      </c>
      <c r="H21" s="18" t="s">
        <v>131</v>
      </c>
      <c r="I21" s="21">
        <v>4411.28</v>
      </c>
      <c r="J21" s="18" t="s">
        <v>210</v>
      </c>
      <c r="K21" s="10" t="e" cm="1">
        <f t="array" ref="K21">VLOOKUP(E21,'Customer Data'!$B$1:$F$58,{3,4},0)</f>
        <v>#N/A</v>
      </c>
      <c r="L21" s="10"/>
      <c r="M21" s="10">
        <v>1400000789</v>
      </c>
      <c r="N21" s="10"/>
    </row>
    <row r="22" spans="1:14" x14ac:dyDescent="0.35">
      <c r="A22" s="25">
        <v>1800005359</v>
      </c>
      <c r="B22" s="18" t="s">
        <v>143</v>
      </c>
      <c r="C22" s="19">
        <v>45750</v>
      </c>
      <c r="D22" s="18" t="s">
        <v>144</v>
      </c>
      <c r="E22" s="20">
        <v>256779410251</v>
      </c>
      <c r="F22" s="18" t="s">
        <v>141</v>
      </c>
      <c r="G22" s="21">
        <v>50.75</v>
      </c>
      <c r="H22" s="18" t="s">
        <v>131</v>
      </c>
      <c r="I22" s="21">
        <v>4411.28</v>
      </c>
      <c r="J22" s="18" t="s">
        <v>208</v>
      </c>
      <c r="K22" s="10" t="e" cm="1">
        <f t="array" ref="K22">VLOOKUP(E22,'Customer Data'!$B$1:$F$58,{3,4},0)</f>
        <v>#N/A</v>
      </c>
      <c r="L22" s="10"/>
      <c r="M22" s="10">
        <v>1400000789</v>
      </c>
      <c r="N22" s="10"/>
    </row>
    <row r="23" spans="1:14" x14ac:dyDescent="0.35">
      <c r="A23" s="25">
        <v>1800007279</v>
      </c>
      <c r="B23" s="18" t="s">
        <v>143</v>
      </c>
      <c r="C23" s="19">
        <v>45768</v>
      </c>
      <c r="D23" s="18" t="s">
        <v>144</v>
      </c>
      <c r="E23" s="20">
        <v>256779412170</v>
      </c>
      <c r="F23" s="18" t="s">
        <v>141</v>
      </c>
      <c r="G23" s="21">
        <v>50.75</v>
      </c>
      <c r="H23" s="18" t="s">
        <v>131</v>
      </c>
      <c r="I23" s="21">
        <v>4354.8599999999997</v>
      </c>
      <c r="J23" s="18" t="s">
        <v>222</v>
      </c>
      <c r="K23" s="10" cm="1">
        <f t="array" ref="K23:L23">VLOOKUP(E23,'Customer Data'!$B$1:$F$58,{3,4},0)</f>
        <v>0</v>
      </c>
      <c r="L23" s="10">
        <v>45.75</v>
      </c>
      <c r="M23" s="10" t="s">
        <v>130</v>
      </c>
      <c r="N23" s="10"/>
    </row>
    <row r="24" spans="1:14" x14ac:dyDescent="0.35">
      <c r="A24" s="25">
        <v>1800008368</v>
      </c>
      <c r="B24" s="18" t="s">
        <v>143</v>
      </c>
      <c r="C24" s="19">
        <v>45787</v>
      </c>
      <c r="D24" s="18" t="s">
        <v>144</v>
      </c>
      <c r="E24" s="20">
        <v>256779413251</v>
      </c>
      <c r="F24" s="18" t="s">
        <v>141</v>
      </c>
      <c r="G24" s="21">
        <v>87.01</v>
      </c>
      <c r="H24" s="18" t="s">
        <v>131</v>
      </c>
      <c r="I24" s="21">
        <v>7481.44</v>
      </c>
      <c r="J24" s="18" t="s">
        <v>298</v>
      </c>
      <c r="K24" s="10" t="e" cm="1">
        <f t="array" ref="K24">VLOOKUP(E24,'Customer Data'!$B$1:$F$58,{3,4},0)</f>
        <v>#N/A</v>
      </c>
      <c r="L24" s="10"/>
      <c r="M24" s="10" t="s">
        <v>130</v>
      </c>
      <c r="N24" s="10"/>
    </row>
    <row r="25" spans="1:14" x14ac:dyDescent="0.35">
      <c r="A25" s="25">
        <v>1800008359</v>
      </c>
      <c r="B25" s="18" t="s">
        <v>143</v>
      </c>
      <c r="C25" s="19">
        <v>45787</v>
      </c>
      <c r="D25" s="18" t="s">
        <v>144</v>
      </c>
      <c r="E25" s="20">
        <v>256779413242</v>
      </c>
      <c r="F25" s="18" t="s">
        <v>141</v>
      </c>
      <c r="G25" s="21">
        <v>1194.92</v>
      </c>
      <c r="H25" s="18" t="s">
        <v>131</v>
      </c>
      <c r="I25" s="21">
        <v>102743.64</v>
      </c>
      <c r="J25" s="18" t="s">
        <v>296</v>
      </c>
      <c r="K25" s="10" cm="1">
        <f t="array" ref="K25:L25">VLOOKUP(E25,'Customer Data'!$B$1:$F$58,{3,4},0)</f>
        <v>0</v>
      </c>
      <c r="L25" s="10">
        <v>1170.92</v>
      </c>
      <c r="M25" s="10" t="s">
        <v>130</v>
      </c>
      <c r="N25" s="10"/>
    </row>
    <row r="26" spans="1:14" x14ac:dyDescent="0.35">
      <c r="A26" s="25">
        <v>1800008288</v>
      </c>
      <c r="B26" s="18" t="s">
        <v>143</v>
      </c>
      <c r="C26" s="19">
        <v>45787</v>
      </c>
      <c r="D26" s="18" t="s">
        <v>144</v>
      </c>
      <c r="E26" s="20">
        <v>256779413171</v>
      </c>
      <c r="F26" s="18" t="s">
        <v>141</v>
      </c>
      <c r="G26" s="21">
        <v>112.8</v>
      </c>
      <c r="H26" s="18" t="s">
        <v>131</v>
      </c>
      <c r="I26" s="21">
        <v>9698.9599999999991</v>
      </c>
      <c r="J26" s="18" t="s">
        <v>294</v>
      </c>
      <c r="K26" s="10" cm="1">
        <f t="array" ref="K26:L26">VLOOKUP(E26,'Customer Data'!$B$1:$F$58,{3,4},0)</f>
        <v>0</v>
      </c>
      <c r="L26" s="10">
        <v>110.8</v>
      </c>
      <c r="M26" s="10" t="s">
        <v>130</v>
      </c>
      <c r="N26" s="10"/>
    </row>
    <row r="27" spans="1:14" x14ac:dyDescent="0.35">
      <c r="A27" s="25">
        <v>1800008279</v>
      </c>
      <c r="B27" s="18" t="s">
        <v>143</v>
      </c>
      <c r="C27" s="19">
        <v>45787</v>
      </c>
      <c r="D27" s="18" t="s">
        <v>144</v>
      </c>
      <c r="E27" s="20">
        <v>256779413162</v>
      </c>
      <c r="F27" s="18" t="s">
        <v>141</v>
      </c>
      <c r="G27" s="21">
        <v>131.6</v>
      </c>
      <c r="H27" s="18" t="s">
        <v>131</v>
      </c>
      <c r="I27" s="21">
        <v>11315.45</v>
      </c>
      <c r="J27" s="18" t="s">
        <v>292</v>
      </c>
      <c r="K27" s="10" cm="1">
        <f t="array" ref="K27:L27">VLOOKUP(E27,'Customer Data'!$B$1:$F$58,{3,4},0)</f>
        <v>0</v>
      </c>
      <c r="L27" s="10">
        <v>128.6</v>
      </c>
      <c r="M27" s="10" t="s">
        <v>130</v>
      </c>
      <c r="N27" s="10"/>
    </row>
    <row r="28" spans="1:14" x14ac:dyDescent="0.35">
      <c r="A28" s="25">
        <v>1800008244</v>
      </c>
      <c r="B28" s="18" t="s">
        <v>143</v>
      </c>
      <c r="C28" s="19">
        <v>45787</v>
      </c>
      <c r="D28" s="18" t="s">
        <v>144</v>
      </c>
      <c r="E28" s="20">
        <v>256779413128</v>
      </c>
      <c r="F28" s="18" t="s">
        <v>141</v>
      </c>
      <c r="G28" s="21">
        <v>50.75</v>
      </c>
      <c r="H28" s="18" t="s">
        <v>131</v>
      </c>
      <c r="I28" s="21">
        <v>4363.67</v>
      </c>
      <c r="J28" s="18" t="s">
        <v>290</v>
      </c>
      <c r="K28" s="10" cm="1">
        <f t="array" ref="K28:L28">VLOOKUP(E28,'Customer Data'!$B$1:$F$58,{3,4},0)</f>
        <v>0</v>
      </c>
      <c r="L28" s="10">
        <v>45.75</v>
      </c>
      <c r="M28" s="10" t="s">
        <v>130</v>
      </c>
      <c r="N28" s="10"/>
    </row>
    <row r="29" spans="1:14" x14ac:dyDescent="0.35">
      <c r="A29" s="25">
        <v>1600000803</v>
      </c>
      <c r="B29" s="18" t="s">
        <v>153</v>
      </c>
      <c r="C29" s="19">
        <v>45791</v>
      </c>
      <c r="D29" s="18" t="s">
        <v>144</v>
      </c>
      <c r="E29" s="20">
        <v>256779420512</v>
      </c>
      <c r="F29" s="18" t="s">
        <v>141</v>
      </c>
      <c r="G29" s="21">
        <v>-50.75</v>
      </c>
      <c r="H29" s="18" t="s">
        <v>131</v>
      </c>
      <c r="I29" s="21">
        <v>-4411.28</v>
      </c>
      <c r="J29" s="18" t="s">
        <v>194</v>
      </c>
      <c r="K29" s="10" t="e" cm="1">
        <f t="array" ref="K29">VLOOKUP(E29,'Customer Data'!$B$1:$F$58,{3,4},0)</f>
        <v>#N/A</v>
      </c>
      <c r="L29" s="10"/>
      <c r="M29" s="10">
        <v>1400000789</v>
      </c>
      <c r="N29" s="10"/>
    </row>
    <row r="30" spans="1:14" x14ac:dyDescent="0.35">
      <c r="A30" s="25">
        <v>1600000716</v>
      </c>
      <c r="B30" s="18" t="s">
        <v>153</v>
      </c>
      <c r="C30" s="19">
        <v>45791</v>
      </c>
      <c r="D30" s="18" t="s">
        <v>144</v>
      </c>
      <c r="E30" s="20">
        <v>256779420425</v>
      </c>
      <c r="F30" s="18" t="s">
        <v>141</v>
      </c>
      <c r="G30" s="21">
        <v>-50.75</v>
      </c>
      <c r="H30" s="18" t="s">
        <v>131</v>
      </c>
      <c r="I30" s="21">
        <v>-4411.28</v>
      </c>
      <c r="J30" s="18" t="s">
        <v>192</v>
      </c>
      <c r="K30" s="10" t="e" cm="1">
        <f t="array" ref="K30">VLOOKUP(E30,'Customer Data'!$B$1:$F$58,{3,4},0)</f>
        <v>#N/A</v>
      </c>
      <c r="L30" s="10"/>
      <c r="M30" s="10">
        <v>1400000789</v>
      </c>
      <c r="N30" s="10"/>
    </row>
    <row r="31" spans="1:14" x14ac:dyDescent="0.35">
      <c r="A31" s="25">
        <v>1800009076</v>
      </c>
      <c r="B31" s="18" t="s">
        <v>143</v>
      </c>
      <c r="C31" s="19">
        <v>45797</v>
      </c>
      <c r="D31" s="18" t="s">
        <v>144</v>
      </c>
      <c r="E31" s="20">
        <v>256779413840</v>
      </c>
      <c r="F31" s="18" t="s">
        <v>141</v>
      </c>
      <c r="G31" s="21">
        <v>42.14</v>
      </c>
      <c r="H31" s="18" t="s">
        <v>131</v>
      </c>
      <c r="I31" s="21">
        <v>3623.35</v>
      </c>
      <c r="J31" s="18" t="s">
        <v>216</v>
      </c>
      <c r="K31" s="10" cm="1">
        <f t="array" ref="K31:L31">VLOOKUP(E31,'Customer Data'!$B$1:$F$58,{3,4},0)</f>
        <v>0</v>
      </c>
      <c r="L31" s="10">
        <v>41.14</v>
      </c>
      <c r="M31" s="10" t="s">
        <v>130</v>
      </c>
      <c r="N31" s="10"/>
    </row>
    <row r="32" spans="1:14" x14ac:dyDescent="0.35">
      <c r="A32" s="25">
        <v>1800009072</v>
      </c>
      <c r="B32" s="18" t="s">
        <v>143</v>
      </c>
      <c r="C32" s="19">
        <v>45797</v>
      </c>
      <c r="D32" s="18" t="s">
        <v>144</v>
      </c>
      <c r="E32" s="20">
        <v>256779413836</v>
      </c>
      <c r="F32" s="18" t="s">
        <v>141</v>
      </c>
      <c r="G32" s="21">
        <v>793.07</v>
      </c>
      <c r="H32" s="18" t="s">
        <v>131</v>
      </c>
      <c r="I32" s="21">
        <v>68191.09</v>
      </c>
      <c r="J32" s="18" t="s">
        <v>214</v>
      </c>
      <c r="K32" s="10" cm="1">
        <f t="array" ref="K32:L32">VLOOKUP(E32,'Customer Data'!$B$1:$F$58,{3,4},0)</f>
        <v>16</v>
      </c>
      <c r="L32" s="10">
        <v>793.07</v>
      </c>
      <c r="M32" s="10" t="s">
        <v>130</v>
      </c>
      <c r="N32" s="10"/>
    </row>
    <row r="33" spans="1:14" x14ac:dyDescent="0.35">
      <c r="A33" s="25">
        <v>1800008662</v>
      </c>
      <c r="B33" s="18" t="s">
        <v>143</v>
      </c>
      <c r="C33" s="19">
        <v>45798</v>
      </c>
      <c r="D33" s="18" t="s">
        <v>144</v>
      </c>
      <c r="E33" s="20">
        <v>256779413426</v>
      </c>
      <c r="F33" s="18" t="s">
        <v>141</v>
      </c>
      <c r="G33" s="21">
        <v>2.35</v>
      </c>
      <c r="H33" s="18" t="s">
        <v>131</v>
      </c>
      <c r="I33" s="21">
        <v>202.06</v>
      </c>
      <c r="J33" s="18" t="s">
        <v>238</v>
      </c>
      <c r="K33" s="10" cm="1">
        <f t="array" ref="K33:L33">VLOOKUP(E33,'Customer Data'!$B$1:$F$58,{3,4},0)</f>
        <v>0</v>
      </c>
      <c r="L33" s="10">
        <v>2.35</v>
      </c>
      <c r="M33" s="10" t="s">
        <v>130</v>
      </c>
      <c r="N33" s="10"/>
    </row>
    <row r="34" spans="1:14" x14ac:dyDescent="0.35">
      <c r="A34" s="25">
        <v>1800008661</v>
      </c>
      <c r="B34" s="18" t="s">
        <v>143</v>
      </c>
      <c r="C34" s="19">
        <v>45798</v>
      </c>
      <c r="D34" s="18" t="s">
        <v>144</v>
      </c>
      <c r="E34" s="20">
        <v>256779413425</v>
      </c>
      <c r="F34" s="18" t="s">
        <v>141</v>
      </c>
      <c r="G34" s="21">
        <v>37.6</v>
      </c>
      <c r="H34" s="18" t="s">
        <v>131</v>
      </c>
      <c r="I34" s="21">
        <v>3232.99</v>
      </c>
      <c r="J34" s="18" t="s">
        <v>236</v>
      </c>
      <c r="K34" s="10" cm="1">
        <f t="array" ref="K34:L34">VLOOKUP(E34,'Customer Data'!$B$1:$F$58,{3,4},0)</f>
        <v>0</v>
      </c>
      <c r="L34" s="10">
        <v>36.6</v>
      </c>
      <c r="M34" s="10" t="s">
        <v>130</v>
      </c>
      <c r="N34" s="10"/>
    </row>
    <row r="35" spans="1:14" x14ac:dyDescent="0.35">
      <c r="A35" s="25">
        <v>1600001070</v>
      </c>
      <c r="B35" s="18" t="s">
        <v>153</v>
      </c>
      <c r="C35" s="19">
        <v>45799</v>
      </c>
      <c r="D35" s="18" t="s">
        <v>144</v>
      </c>
      <c r="E35" s="20">
        <v>256779420758</v>
      </c>
      <c r="F35" s="18" t="s">
        <v>141</v>
      </c>
      <c r="G35" s="21">
        <v>-50.75</v>
      </c>
      <c r="H35" s="18" t="s">
        <v>131</v>
      </c>
      <c r="I35" s="21">
        <v>-4379.91</v>
      </c>
      <c r="J35" s="18" t="s">
        <v>269</v>
      </c>
      <c r="K35" s="10" t="e" cm="1">
        <f t="array" ref="K35">VLOOKUP(E35,'Customer Data'!$B$1:$F$58,{3,4},0)</f>
        <v>#N/A</v>
      </c>
      <c r="L35" s="10"/>
      <c r="M35" s="10" t="s">
        <v>130</v>
      </c>
      <c r="N35" s="10"/>
    </row>
    <row r="36" spans="1:14" x14ac:dyDescent="0.35">
      <c r="A36" s="25">
        <v>1600001069</v>
      </c>
      <c r="B36" s="18" t="s">
        <v>153</v>
      </c>
      <c r="C36" s="19">
        <v>45799</v>
      </c>
      <c r="D36" s="18" t="s">
        <v>144</v>
      </c>
      <c r="E36" s="20">
        <v>256779420757</v>
      </c>
      <c r="F36" s="18" t="s">
        <v>141</v>
      </c>
      <c r="G36" s="21">
        <v>-50.75</v>
      </c>
      <c r="H36" s="18" t="s">
        <v>131</v>
      </c>
      <c r="I36" s="21">
        <v>-4379.91</v>
      </c>
      <c r="J36" s="18" t="s">
        <v>271</v>
      </c>
      <c r="K36" s="10" t="e" cm="1">
        <f t="array" ref="K36">VLOOKUP(E36,'Customer Data'!$B$1:$F$58,{3,4},0)</f>
        <v>#N/A</v>
      </c>
      <c r="L36" s="10"/>
      <c r="M36" s="10">
        <v>1400000789</v>
      </c>
      <c r="N36" s="10"/>
    </row>
    <row r="37" spans="1:14" x14ac:dyDescent="0.35">
      <c r="A37" s="25">
        <v>1800009134</v>
      </c>
      <c r="B37" s="18" t="s">
        <v>143</v>
      </c>
      <c r="C37" s="19">
        <v>45805</v>
      </c>
      <c r="D37" s="18" t="s">
        <v>144</v>
      </c>
      <c r="E37" s="20">
        <v>256779413898</v>
      </c>
      <c r="F37" s="18" t="s">
        <v>141</v>
      </c>
      <c r="G37" s="21">
        <v>928.64</v>
      </c>
      <c r="H37" s="18" t="s">
        <v>131</v>
      </c>
      <c r="I37" s="21">
        <v>79847.899999999994</v>
      </c>
      <c r="J37" s="18" t="s">
        <v>196</v>
      </c>
      <c r="K37" s="10" t="e" cm="1">
        <f t="array" ref="K37">VLOOKUP(E37,'Customer Data'!$B$1:$F$58,{3,4},0)</f>
        <v>#N/A</v>
      </c>
      <c r="L37" s="10"/>
      <c r="M37" s="10" t="s">
        <v>130</v>
      </c>
      <c r="N37" s="10"/>
    </row>
    <row r="38" spans="1:14" x14ac:dyDescent="0.35">
      <c r="A38" s="25">
        <v>1800009191</v>
      </c>
      <c r="B38" s="18" t="s">
        <v>143</v>
      </c>
      <c r="C38" s="19">
        <v>45810</v>
      </c>
      <c r="D38" s="18" t="s">
        <v>144</v>
      </c>
      <c r="E38" s="20">
        <v>256779413955</v>
      </c>
      <c r="F38" s="18" t="s">
        <v>141</v>
      </c>
      <c r="G38" s="21">
        <v>50.75</v>
      </c>
      <c r="H38" s="18" t="s">
        <v>131</v>
      </c>
      <c r="I38" s="21">
        <v>4338.66</v>
      </c>
      <c r="J38" s="18" t="s">
        <v>274</v>
      </c>
      <c r="K38" s="10" t="e" cm="1">
        <f t="array" ref="K38">VLOOKUP(E38,'Customer Data'!$B$1:$F$58,{3,4},0)</f>
        <v>#N/A</v>
      </c>
      <c r="L38" s="10"/>
      <c r="M38" s="10" t="s">
        <v>130</v>
      </c>
      <c r="N38" s="10"/>
    </row>
    <row r="39" spans="1:14" x14ac:dyDescent="0.35">
      <c r="A39" s="25">
        <v>1800009181</v>
      </c>
      <c r="B39" s="18" t="s">
        <v>143</v>
      </c>
      <c r="C39" s="19">
        <v>45810</v>
      </c>
      <c r="D39" s="18" t="s">
        <v>144</v>
      </c>
      <c r="E39" s="20">
        <v>256779413945</v>
      </c>
      <c r="F39" s="18" t="s">
        <v>141</v>
      </c>
      <c r="G39" s="21">
        <v>50.75</v>
      </c>
      <c r="H39" s="18" t="s">
        <v>131</v>
      </c>
      <c r="I39" s="21">
        <v>4338.66</v>
      </c>
      <c r="J39" s="18" t="s">
        <v>212</v>
      </c>
      <c r="K39" s="10" t="e" cm="1">
        <f t="array" ref="K39">VLOOKUP(E39,'Customer Data'!$B$1:$F$58,{3,4},0)</f>
        <v>#N/A</v>
      </c>
      <c r="L39" s="10"/>
      <c r="M39" s="10" t="s">
        <v>130</v>
      </c>
      <c r="N39" s="10"/>
    </row>
    <row r="40" spans="1:14" x14ac:dyDescent="0.35">
      <c r="A40" s="25">
        <v>1800009477</v>
      </c>
      <c r="B40" s="18" t="s">
        <v>143</v>
      </c>
      <c r="C40" s="19">
        <v>45815</v>
      </c>
      <c r="D40" s="18" t="s">
        <v>144</v>
      </c>
      <c r="E40" s="20">
        <v>256779414241</v>
      </c>
      <c r="F40" s="18" t="s">
        <v>141</v>
      </c>
      <c r="G40" s="21">
        <v>632.96</v>
      </c>
      <c r="H40" s="18" t="s">
        <v>131</v>
      </c>
      <c r="I40" s="21">
        <v>54112.24</v>
      </c>
      <c r="J40" s="18" t="s">
        <v>304</v>
      </c>
      <c r="K40" s="10" t="e" cm="1">
        <f t="array" ref="K40">VLOOKUP(E40,'Customer Data'!$B$1:$F$58,{3,4},0)</f>
        <v>#N/A</v>
      </c>
      <c r="L40" s="10"/>
      <c r="M40" s="10" t="s">
        <v>130</v>
      </c>
      <c r="N40" s="10"/>
    </row>
    <row r="41" spans="1:14" x14ac:dyDescent="0.35">
      <c r="A41" s="25">
        <v>1800009623</v>
      </c>
      <c r="B41" s="18" t="s">
        <v>143</v>
      </c>
      <c r="C41" s="19">
        <v>45818</v>
      </c>
      <c r="D41" s="18" t="s">
        <v>144</v>
      </c>
      <c r="E41" s="20">
        <v>256779414387</v>
      </c>
      <c r="F41" s="18" t="s">
        <v>141</v>
      </c>
      <c r="G41" s="21">
        <v>50.75</v>
      </c>
      <c r="H41" s="18" t="s">
        <v>131</v>
      </c>
      <c r="I41" s="21">
        <v>4338.66</v>
      </c>
      <c r="J41" s="18" t="s">
        <v>158</v>
      </c>
      <c r="K41" s="10" cm="1">
        <f t="array" ref="K41:L41">VLOOKUP(E41,'Customer Data'!$B$1:$F$58,{3,4},0)</f>
        <v>0</v>
      </c>
      <c r="L41" s="10">
        <v>45.75</v>
      </c>
      <c r="M41" s="10" t="s">
        <v>130</v>
      </c>
      <c r="N41" s="10"/>
    </row>
    <row r="42" spans="1:14" x14ac:dyDescent="0.35">
      <c r="A42" s="25">
        <v>1800009993</v>
      </c>
      <c r="B42" s="18" t="s">
        <v>143</v>
      </c>
      <c r="C42" s="19">
        <v>45826</v>
      </c>
      <c r="D42" s="18" t="s">
        <v>144</v>
      </c>
      <c r="E42" s="20">
        <v>256779414757</v>
      </c>
      <c r="F42" s="18" t="s">
        <v>141</v>
      </c>
      <c r="G42" s="21">
        <v>117.9</v>
      </c>
      <c r="H42" s="18" t="s">
        <v>131</v>
      </c>
      <c r="I42" s="21">
        <v>10079.36</v>
      </c>
      <c r="J42" s="18" t="s">
        <v>240</v>
      </c>
      <c r="K42" s="10" cm="1">
        <f t="array" ref="K42:L42">VLOOKUP(E42,'Customer Data'!$B$1:$F$58,{3,4},0)</f>
        <v>0</v>
      </c>
      <c r="L42" s="10">
        <v>115.9</v>
      </c>
      <c r="M42" s="10" t="s">
        <v>130</v>
      </c>
      <c r="N42" s="10"/>
    </row>
    <row r="43" spans="1:14" x14ac:dyDescent="0.35">
      <c r="A43" s="25">
        <v>1800009713</v>
      </c>
      <c r="B43" s="18" t="s">
        <v>143</v>
      </c>
      <c r="C43" s="19">
        <v>45826</v>
      </c>
      <c r="D43" s="18" t="s">
        <v>144</v>
      </c>
      <c r="E43" s="20">
        <v>256779414477</v>
      </c>
      <c r="F43" s="18" t="s">
        <v>141</v>
      </c>
      <c r="G43" s="21">
        <v>50.75</v>
      </c>
      <c r="H43" s="18" t="s">
        <v>131</v>
      </c>
      <c r="I43" s="21">
        <v>4338.66</v>
      </c>
      <c r="J43" s="18" t="s">
        <v>210</v>
      </c>
      <c r="K43" s="10" t="e" cm="1">
        <f t="array" ref="K43">VLOOKUP(E43,'Customer Data'!$B$1:$F$58,{3,4},0)</f>
        <v>#N/A</v>
      </c>
      <c r="L43" s="10"/>
      <c r="M43" s="10">
        <v>1400001113</v>
      </c>
      <c r="N43" s="10"/>
    </row>
    <row r="44" spans="1:14" x14ac:dyDescent="0.35">
      <c r="A44" s="25">
        <v>1800009696</v>
      </c>
      <c r="B44" s="18" t="s">
        <v>143</v>
      </c>
      <c r="C44" s="19">
        <v>45826</v>
      </c>
      <c r="D44" s="18" t="s">
        <v>144</v>
      </c>
      <c r="E44" s="20">
        <v>256779414460</v>
      </c>
      <c r="F44" s="18" t="s">
        <v>141</v>
      </c>
      <c r="G44" s="21">
        <v>50.75</v>
      </c>
      <c r="H44" s="18" t="s">
        <v>131</v>
      </c>
      <c r="I44" s="21">
        <v>4338.66</v>
      </c>
      <c r="J44" s="18" t="s">
        <v>208</v>
      </c>
      <c r="K44" s="10" t="e" cm="1">
        <f t="array" ref="K44">VLOOKUP(E44,'Customer Data'!$B$1:$F$58,{3,4},0)</f>
        <v>#N/A</v>
      </c>
      <c r="L44" s="10"/>
      <c r="M44" s="10">
        <v>1400001113</v>
      </c>
      <c r="N44" s="10"/>
    </row>
    <row r="45" spans="1:14" x14ac:dyDescent="0.35">
      <c r="A45" s="25">
        <v>1800009661</v>
      </c>
      <c r="B45" s="18" t="s">
        <v>143</v>
      </c>
      <c r="C45" s="19">
        <v>45826</v>
      </c>
      <c r="D45" s="18" t="s">
        <v>144</v>
      </c>
      <c r="E45" s="20">
        <v>256779414425</v>
      </c>
      <c r="F45" s="18" t="s">
        <v>141</v>
      </c>
      <c r="G45" s="21">
        <v>50.75</v>
      </c>
      <c r="H45" s="18" t="s">
        <v>131</v>
      </c>
      <c r="I45" s="21">
        <v>4338.66</v>
      </c>
      <c r="J45" s="18" t="s">
        <v>204</v>
      </c>
      <c r="K45" s="10" t="e" cm="1">
        <f t="array" ref="K45">VLOOKUP(E45,'Customer Data'!$B$1:$F$58,{3,4},0)</f>
        <v>#N/A</v>
      </c>
      <c r="L45" s="10"/>
      <c r="M45" s="10">
        <v>1400001113</v>
      </c>
      <c r="N45" s="10"/>
    </row>
    <row r="46" spans="1:14" x14ac:dyDescent="0.35">
      <c r="A46" s="25">
        <v>1800009639</v>
      </c>
      <c r="B46" s="18" t="s">
        <v>143</v>
      </c>
      <c r="C46" s="19">
        <v>45826</v>
      </c>
      <c r="D46" s="18" t="s">
        <v>144</v>
      </c>
      <c r="E46" s="20">
        <v>256779414403</v>
      </c>
      <c r="F46" s="18" t="s">
        <v>141</v>
      </c>
      <c r="G46" s="21">
        <v>50.75</v>
      </c>
      <c r="H46" s="18" t="s">
        <v>131</v>
      </c>
      <c r="I46" s="21">
        <v>4338.66</v>
      </c>
      <c r="J46" s="18" t="s">
        <v>245</v>
      </c>
      <c r="K46" s="10" t="e" cm="1">
        <f t="array" ref="K46">VLOOKUP(E46,'Customer Data'!$B$1:$F$58,{3,4},0)</f>
        <v>#N/A</v>
      </c>
      <c r="L46" s="10"/>
      <c r="M46" s="10">
        <v>1400001113</v>
      </c>
      <c r="N46" s="10"/>
    </row>
    <row r="47" spans="1:14" x14ac:dyDescent="0.35">
      <c r="A47" s="25">
        <v>1800009978</v>
      </c>
      <c r="B47" s="18" t="s">
        <v>143</v>
      </c>
      <c r="C47" s="19">
        <v>45827</v>
      </c>
      <c r="D47" s="18" t="s">
        <v>144</v>
      </c>
      <c r="E47" s="20">
        <v>256779414742</v>
      </c>
      <c r="F47" s="18" t="s">
        <v>141</v>
      </c>
      <c r="G47" s="21">
        <v>332.22</v>
      </c>
      <c r="H47" s="18" t="s">
        <v>131</v>
      </c>
      <c r="I47" s="21">
        <v>28401.75</v>
      </c>
      <c r="J47" s="18" t="s">
        <v>255</v>
      </c>
      <c r="K47" s="10" cm="1">
        <f t="array" ref="K47:L47">VLOOKUP(E47,'Customer Data'!$B$1:$F$58,{3,4},0)</f>
        <v>0</v>
      </c>
      <c r="L47" s="10">
        <v>325.22000000000003</v>
      </c>
      <c r="M47" s="10" t="s">
        <v>130</v>
      </c>
      <c r="N47" s="10"/>
    </row>
    <row r="48" spans="1:14" x14ac:dyDescent="0.35">
      <c r="A48" s="25">
        <v>1800010502</v>
      </c>
      <c r="B48" s="18" t="s">
        <v>143</v>
      </c>
      <c r="C48" s="19">
        <v>45842</v>
      </c>
      <c r="D48" s="18" t="s">
        <v>144</v>
      </c>
      <c r="E48" s="20">
        <v>256779415262</v>
      </c>
      <c r="F48" s="18" t="s">
        <v>141</v>
      </c>
      <c r="G48" s="21">
        <v>476.32</v>
      </c>
      <c r="H48" s="18" t="s">
        <v>131</v>
      </c>
      <c r="I48" s="21">
        <v>40963.839999999997</v>
      </c>
      <c r="J48" s="18" t="s">
        <v>173</v>
      </c>
      <c r="K48" s="10" t="e" cm="1">
        <f t="array" ref="K48">VLOOKUP(E48,'Customer Data'!$B$1:$F$58,{3,4},0)</f>
        <v>#N/A</v>
      </c>
      <c r="L48" s="10"/>
      <c r="M48" s="10" t="s">
        <v>130</v>
      </c>
      <c r="N48" s="10"/>
    </row>
    <row r="49" spans="1:14" x14ac:dyDescent="0.35">
      <c r="A49" s="25">
        <v>1800010437</v>
      </c>
      <c r="B49" s="18" t="s">
        <v>143</v>
      </c>
      <c r="C49" s="19">
        <v>45842</v>
      </c>
      <c r="D49" s="18" t="s">
        <v>144</v>
      </c>
      <c r="E49" s="20">
        <v>256779415197</v>
      </c>
      <c r="F49" s="18" t="s">
        <v>141</v>
      </c>
      <c r="G49" s="21">
        <v>492.25</v>
      </c>
      <c r="H49" s="18" t="s">
        <v>131</v>
      </c>
      <c r="I49" s="21">
        <v>42333.83</v>
      </c>
      <c r="J49" s="18" t="s">
        <v>171</v>
      </c>
      <c r="K49" s="10" t="e" cm="1">
        <f t="array" ref="K49">VLOOKUP(E49,'Customer Data'!$B$1:$F$58,{3,4},0)</f>
        <v>#N/A</v>
      </c>
      <c r="L49" s="10"/>
      <c r="M49" s="10" t="s">
        <v>130</v>
      </c>
      <c r="N49" s="10"/>
    </row>
    <row r="50" spans="1:14" x14ac:dyDescent="0.35">
      <c r="A50" s="25">
        <v>1800010185</v>
      </c>
      <c r="B50" s="18" t="s">
        <v>143</v>
      </c>
      <c r="C50" s="19">
        <v>45842</v>
      </c>
      <c r="D50" s="18" t="s">
        <v>144</v>
      </c>
      <c r="E50" s="20">
        <v>256779414945</v>
      </c>
      <c r="F50" s="18" t="s">
        <v>141</v>
      </c>
      <c r="G50" s="21">
        <v>50.75</v>
      </c>
      <c r="H50" s="18" t="s">
        <v>131</v>
      </c>
      <c r="I50" s="21">
        <v>4364.53</v>
      </c>
      <c r="J50" s="18" t="s">
        <v>169</v>
      </c>
      <c r="K50" s="10" cm="1">
        <f t="array" ref="K50:L50">VLOOKUP(E50,'Customer Data'!$B$1:$F$58,{3,4},0)</f>
        <v>0</v>
      </c>
      <c r="L50" s="10">
        <v>45.75</v>
      </c>
      <c r="M50" s="10" t="s">
        <v>130</v>
      </c>
      <c r="N50" s="10"/>
    </row>
    <row r="51" spans="1:14" x14ac:dyDescent="0.35">
      <c r="A51" s="25">
        <v>1800010003</v>
      </c>
      <c r="B51" s="18" t="s">
        <v>143</v>
      </c>
      <c r="C51" s="19">
        <v>45842</v>
      </c>
      <c r="D51" s="18" t="s">
        <v>144</v>
      </c>
      <c r="E51" s="20">
        <v>256779414767</v>
      </c>
      <c r="F51" s="18" t="s">
        <v>141</v>
      </c>
      <c r="G51" s="21">
        <v>19.7</v>
      </c>
      <c r="H51" s="18" t="s">
        <v>131</v>
      </c>
      <c r="I51" s="21">
        <v>1694.21</v>
      </c>
      <c r="J51" s="18" t="s">
        <v>167</v>
      </c>
      <c r="K51" s="10" cm="1">
        <f t="array" ref="K51:L51">VLOOKUP(E51,'Customer Data'!$B$1:$F$58,{3,4},0)</f>
        <v>0</v>
      </c>
      <c r="L51" s="10">
        <v>19.7</v>
      </c>
      <c r="M51" s="10" t="s">
        <v>130</v>
      </c>
      <c r="N51" s="10"/>
    </row>
    <row r="52" spans="1:14" x14ac:dyDescent="0.35">
      <c r="A52" s="25">
        <v>1800010207</v>
      </c>
      <c r="B52" s="18" t="s">
        <v>143</v>
      </c>
      <c r="C52" s="19">
        <v>45845</v>
      </c>
      <c r="D52" s="18" t="s">
        <v>144</v>
      </c>
      <c r="E52" s="20">
        <v>256779414967</v>
      </c>
      <c r="F52" s="18" t="s">
        <v>141</v>
      </c>
      <c r="G52" s="21">
        <v>216.2</v>
      </c>
      <c r="H52" s="18" t="s">
        <v>131</v>
      </c>
      <c r="I52" s="21">
        <v>18593.34</v>
      </c>
      <c r="J52" s="18" t="s">
        <v>130</v>
      </c>
      <c r="K52" s="10" cm="1">
        <f t="array" ref="K52:L52">VLOOKUP(E52,'Customer Data'!$B$1:$F$58,{3,4},0)</f>
        <v>0</v>
      </c>
      <c r="L52" s="10">
        <v>212.2</v>
      </c>
      <c r="M52" s="10" t="s">
        <v>130</v>
      </c>
      <c r="N52" s="10"/>
    </row>
    <row r="53" spans="1:14" x14ac:dyDescent="0.35">
      <c r="A53" s="25">
        <v>1800010671</v>
      </c>
      <c r="B53" s="18" t="s">
        <v>143</v>
      </c>
      <c r="C53" s="19">
        <v>45856</v>
      </c>
      <c r="D53" s="18" t="s">
        <v>144</v>
      </c>
      <c r="E53" s="20">
        <v>256779415455</v>
      </c>
      <c r="F53" s="18" t="s">
        <v>141</v>
      </c>
      <c r="G53" s="21">
        <v>490.4</v>
      </c>
      <c r="H53" s="18" t="s">
        <v>131</v>
      </c>
      <c r="I53" s="21">
        <v>42174.73</v>
      </c>
      <c r="J53" s="18" t="s">
        <v>198</v>
      </c>
      <c r="K53" s="10" cm="1">
        <f t="array" ref="K53:L53">VLOOKUP(E53,'Customer Data'!$B$1:$F$58,{3,4},0)</f>
        <v>0</v>
      </c>
      <c r="L53" s="10">
        <v>480.4</v>
      </c>
      <c r="M53" s="10" t="s">
        <v>130</v>
      </c>
      <c r="N53" s="10"/>
    </row>
    <row r="54" spans="1:14" x14ac:dyDescent="0.35">
      <c r="A54" s="25">
        <v>1800011016</v>
      </c>
      <c r="B54" s="18" t="s">
        <v>143</v>
      </c>
      <c r="C54" s="19">
        <v>45857</v>
      </c>
      <c r="D54" s="18" t="s">
        <v>144</v>
      </c>
      <c r="E54" s="20">
        <v>256779415776</v>
      </c>
      <c r="F54" s="18" t="s">
        <v>141</v>
      </c>
      <c r="G54" s="21">
        <v>83.9</v>
      </c>
      <c r="H54" s="18" t="s">
        <v>131</v>
      </c>
      <c r="I54" s="21">
        <v>7215.46</v>
      </c>
      <c r="J54" s="18" t="s">
        <v>288</v>
      </c>
      <c r="K54" s="10" t="e" cm="1">
        <f t="array" ref="K54">VLOOKUP(E54,'Customer Data'!$B$1:$F$58,{3,4},0)</f>
        <v>#N/A</v>
      </c>
      <c r="L54" s="10"/>
      <c r="M54" s="10" t="s">
        <v>130</v>
      </c>
      <c r="N54" s="10"/>
    </row>
    <row r="55" spans="1:14" x14ac:dyDescent="0.35">
      <c r="A55" s="25">
        <v>1800011010</v>
      </c>
      <c r="B55" s="18" t="s">
        <v>143</v>
      </c>
      <c r="C55" s="19">
        <v>45857</v>
      </c>
      <c r="D55" s="18" t="s">
        <v>144</v>
      </c>
      <c r="E55" s="20">
        <v>256779415770</v>
      </c>
      <c r="F55" s="18" t="s">
        <v>141</v>
      </c>
      <c r="G55" s="21">
        <v>1425.77</v>
      </c>
      <c r="H55" s="18" t="s">
        <v>131</v>
      </c>
      <c r="I55" s="21">
        <v>122617.18</v>
      </c>
      <c r="J55" s="18" t="s">
        <v>286</v>
      </c>
      <c r="K55" s="10" t="e" cm="1">
        <f t="array" ref="K55">VLOOKUP(E55,'Customer Data'!$B$1:$F$58,{3,4},0)</f>
        <v>#N/A</v>
      </c>
      <c r="L55" s="10"/>
      <c r="M55" s="10" t="s">
        <v>130</v>
      </c>
      <c r="N55" s="10"/>
    </row>
    <row r="56" spans="1:14" x14ac:dyDescent="0.35">
      <c r="A56" s="25">
        <v>1400000789</v>
      </c>
      <c r="B56" s="18" t="s">
        <v>134</v>
      </c>
      <c r="C56" s="19">
        <v>45861</v>
      </c>
      <c r="D56" s="18" t="s">
        <v>130</v>
      </c>
      <c r="E56" s="18" t="s">
        <v>130</v>
      </c>
      <c r="F56" s="18" t="s">
        <v>131</v>
      </c>
      <c r="G56" s="21">
        <v>8729.06</v>
      </c>
      <c r="H56" s="18" t="s">
        <v>131</v>
      </c>
      <c r="I56" s="21">
        <v>8822.56</v>
      </c>
      <c r="J56" s="18" t="s">
        <v>130</v>
      </c>
      <c r="K56" s="10" t="e" cm="1">
        <f t="array" ref="K56">VLOOKUP(E56,'Customer Data'!$B$1:$F$58,{3,4},0)</f>
        <v>#N/A</v>
      </c>
      <c r="L56" s="10"/>
      <c r="M56" s="10">
        <v>1400000789</v>
      </c>
      <c r="N56" s="10"/>
    </row>
    <row r="57" spans="1:14" x14ac:dyDescent="0.35">
      <c r="A57" s="25">
        <v>1400000789</v>
      </c>
      <c r="B57" s="18" t="s">
        <v>134</v>
      </c>
      <c r="C57" s="19">
        <v>45861</v>
      </c>
      <c r="D57" s="18" t="s">
        <v>130</v>
      </c>
      <c r="E57" s="18" t="s">
        <v>130</v>
      </c>
      <c r="F57" s="18" t="s">
        <v>131</v>
      </c>
      <c r="G57" s="21">
        <v>-8729.06</v>
      </c>
      <c r="H57" s="18" t="s">
        <v>131</v>
      </c>
      <c r="I57" s="21">
        <v>-8822.56</v>
      </c>
      <c r="J57" s="18" t="s">
        <v>130</v>
      </c>
      <c r="K57" s="10" t="e" cm="1">
        <f t="array" ref="K57">VLOOKUP(E57,'Customer Data'!$B$1:$F$58,{3,4},0)</f>
        <v>#N/A</v>
      </c>
      <c r="L57" s="10"/>
      <c r="M57" s="10">
        <v>1400000789</v>
      </c>
      <c r="N57" s="10"/>
    </row>
    <row r="58" spans="1:14" x14ac:dyDescent="0.35">
      <c r="A58" s="25">
        <v>1600001924</v>
      </c>
      <c r="B58" s="18" t="s">
        <v>153</v>
      </c>
      <c r="C58" s="19">
        <v>45862</v>
      </c>
      <c r="D58" s="18" t="s">
        <v>144</v>
      </c>
      <c r="E58" s="20">
        <v>256779421544</v>
      </c>
      <c r="F58" s="18" t="s">
        <v>141</v>
      </c>
      <c r="G58" s="21">
        <v>-50.75</v>
      </c>
      <c r="H58" s="18" t="s">
        <v>131</v>
      </c>
      <c r="I58" s="21">
        <v>-4364.53</v>
      </c>
      <c r="J58" s="18" t="s">
        <v>228</v>
      </c>
      <c r="K58" s="10" t="e" cm="1">
        <f t="array" ref="K58">VLOOKUP(E58,'Customer Data'!$B$1:$F$58,{3,4},0)</f>
        <v>#N/A</v>
      </c>
      <c r="L58" s="10"/>
      <c r="M58" s="10">
        <v>1400001113</v>
      </c>
      <c r="N58" s="10"/>
    </row>
    <row r="59" spans="1:14" x14ac:dyDescent="0.35">
      <c r="A59" s="25">
        <v>1600001907</v>
      </c>
      <c r="B59" s="18" t="s">
        <v>153</v>
      </c>
      <c r="C59" s="19">
        <v>45862</v>
      </c>
      <c r="D59" s="18" t="s">
        <v>144</v>
      </c>
      <c r="E59" s="20">
        <v>256779421527</v>
      </c>
      <c r="F59" s="18" t="s">
        <v>141</v>
      </c>
      <c r="G59" s="21">
        <v>-50.75</v>
      </c>
      <c r="H59" s="18" t="s">
        <v>131</v>
      </c>
      <c r="I59" s="21">
        <v>-4364.53</v>
      </c>
      <c r="J59" s="18" t="s">
        <v>226</v>
      </c>
      <c r="K59" s="10" t="e" cm="1">
        <f t="array" ref="K59">VLOOKUP(E59,'Customer Data'!$B$1:$F$58,{3,4},0)</f>
        <v>#N/A</v>
      </c>
      <c r="L59" s="10"/>
      <c r="M59" s="10">
        <v>1400001113</v>
      </c>
      <c r="N59" s="10"/>
    </row>
    <row r="60" spans="1:14" x14ac:dyDescent="0.35">
      <c r="A60" s="25">
        <v>1600001873</v>
      </c>
      <c r="B60" s="18" t="s">
        <v>153</v>
      </c>
      <c r="C60" s="19">
        <v>45862</v>
      </c>
      <c r="D60" s="18" t="s">
        <v>144</v>
      </c>
      <c r="E60" s="20">
        <v>256779421493</v>
      </c>
      <c r="F60" s="18" t="s">
        <v>141</v>
      </c>
      <c r="G60" s="21">
        <v>-50.75</v>
      </c>
      <c r="H60" s="18" t="s">
        <v>131</v>
      </c>
      <c r="I60" s="21">
        <v>-4364.53</v>
      </c>
      <c r="J60" s="18" t="s">
        <v>224</v>
      </c>
      <c r="K60" s="10" t="e" cm="1">
        <f t="array" ref="K60">VLOOKUP(E60,'Customer Data'!$B$1:$F$58,{3,4},0)</f>
        <v>#N/A</v>
      </c>
      <c r="L60" s="10"/>
      <c r="M60" s="10">
        <v>1400001113</v>
      </c>
      <c r="N60" s="10"/>
    </row>
    <row r="61" spans="1:14" x14ac:dyDescent="0.35">
      <c r="A61" s="25">
        <v>1600001851</v>
      </c>
      <c r="B61" s="18" t="s">
        <v>153</v>
      </c>
      <c r="C61" s="19">
        <v>45862</v>
      </c>
      <c r="D61" s="18" t="s">
        <v>144</v>
      </c>
      <c r="E61" s="20">
        <v>256779421471</v>
      </c>
      <c r="F61" s="18" t="s">
        <v>141</v>
      </c>
      <c r="G61" s="21">
        <v>-50.75</v>
      </c>
      <c r="H61" s="18" t="s">
        <v>131</v>
      </c>
      <c r="I61" s="21">
        <v>-4364.53</v>
      </c>
      <c r="J61" s="18" t="s">
        <v>234</v>
      </c>
      <c r="K61" s="10" t="e" cm="1">
        <f t="array" ref="K61">VLOOKUP(E61,'Customer Data'!$B$1:$F$58,{3,4},0)</f>
        <v>#N/A</v>
      </c>
      <c r="L61" s="10"/>
      <c r="M61" s="10">
        <v>1400001113</v>
      </c>
      <c r="N61" s="10"/>
    </row>
    <row r="62" spans="1:14" x14ac:dyDescent="0.35">
      <c r="A62" s="25">
        <v>1800011071</v>
      </c>
      <c r="B62" s="18" t="s">
        <v>143</v>
      </c>
      <c r="C62" s="19">
        <v>45862</v>
      </c>
      <c r="D62" s="18" t="s">
        <v>144</v>
      </c>
      <c r="E62" s="20">
        <v>256779415831</v>
      </c>
      <c r="F62" s="18" t="s">
        <v>141</v>
      </c>
      <c r="G62" s="21">
        <v>50.75</v>
      </c>
      <c r="H62" s="18" t="s">
        <v>131</v>
      </c>
      <c r="I62" s="21">
        <v>4364.53</v>
      </c>
      <c r="J62" s="18" t="s">
        <v>232</v>
      </c>
      <c r="K62" s="10" t="e" cm="1">
        <f t="array" ref="K62">VLOOKUP(E62,'Customer Data'!$B$1:$F$58,{3,4},0)</f>
        <v>#N/A</v>
      </c>
      <c r="L62" s="10"/>
      <c r="M62" s="10" t="s">
        <v>130</v>
      </c>
      <c r="N62" s="10"/>
    </row>
    <row r="63" spans="1:14" x14ac:dyDescent="0.35">
      <c r="A63" s="25">
        <v>1800011070</v>
      </c>
      <c r="B63" s="18" t="s">
        <v>143</v>
      </c>
      <c r="C63" s="19">
        <v>45862</v>
      </c>
      <c r="D63" s="18" t="s">
        <v>144</v>
      </c>
      <c r="E63" s="20">
        <v>256779415830</v>
      </c>
      <c r="F63" s="18" t="s">
        <v>141</v>
      </c>
      <c r="G63" s="21">
        <v>50.75</v>
      </c>
      <c r="H63" s="18" t="s">
        <v>131</v>
      </c>
      <c r="I63" s="21">
        <v>4364.53</v>
      </c>
      <c r="J63" s="18" t="s">
        <v>230</v>
      </c>
      <c r="K63" s="10" t="e" cm="1">
        <f t="array" ref="K63">VLOOKUP(E63,'Customer Data'!$B$1:$F$58,{3,4},0)</f>
        <v>#N/A</v>
      </c>
      <c r="L63" s="10"/>
      <c r="M63" s="10" t="s">
        <v>130</v>
      </c>
      <c r="N63" s="10"/>
    </row>
    <row r="64" spans="1:14" x14ac:dyDescent="0.35">
      <c r="A64" s="25">
        <v>1800011346</v>
      </c>
      <c r="B64" s="18" t="s">
        <v>143</v>
      </c>
      <c r="C64" s="19">
        <v>45870</v>
      </c>
      <c r="D64" s="18" t="s">
        <v>144</v>
      </c>
      <c r="E64" s="20">
        <v>256779416055</v>
      </c>
      <c r="F64" s="18" t="s">
        <v>141</v>
      </c>
      <c r="G64" s="21">
        <v>50.75</v>
      </c>
      <c r="H64" s="18" t="s">
        <v>131</v>
      </c>
      <c r="I64" s="21">
        <v>4366.03</v>
      </c>
      <c r="J64" s="18" t="s">
        <v>151</v>
      </c>
      <c r="K64" s="10" cm="1">
        <f t="array" ref="K64:L64">VLOOKUP(E64,'Customer Data'!$B$1:$F$58,{3,4},0)</f>
        <v>0</v>
      </c>
      <c r="L64" s="10">
        <v>45.75</v>
      </c>
      <c r="M64" s="10" t="s">
        <v>130</v>
      </c>
      <c r="N64" s="10"/>
    </row>
    <row r="65" spans="1:14" x14ac:dyDescent="0.35">
      <c r="A65" s="25">
        <v>1600002033</v>
      </c>
      <c r="B65" s="18" t="s">
        <v>153</v>
      </c>
      <c r="C65" s="19">
        <v>45873</v>
      </c>
      <c r="D65" s="18" t="s">
        <v>144</v>
      </c>
      <c r="E65" s="20">
        <v>256779421609</v>
      </c>
      <c r="F65" s="18" t="s">
        <v>141</v>
      </c>
      <c r="G65" s="21">
        <v>-83.9</v>
      </c>
      <c r="H65" s="18" t="s">
        <v>131</v>
      </c>
      <c r="I65" s="21">
        <v>-7215.46</v>
      </c>
      <c r="J65" s="18" t="s">
        <v>218</v>
      </c>
      <c r="K65" s="10" t="e" cm="1">
        <f t="array" ref="K65">VLOOKUP(E65,'Customer Data'!$B$1:$F$58,{3,4},0)</f>
        <v>#N/A</v>
      </c>
      <c r="L65" s="10"/>
      <c r="M65" s="10" t="s">
        <v>130</v>
      </c>
      <c r="N65" s="10"/>
    </row>
    <row r="66" spans="1:14" x14ac:dyDescent="0.35">
      <c r="A66" s="25">
        <v>1800011657</v>
      </c>
      <c r="B66" s="18" t="s">
        <v>143</v>
      </c>
      <c r="C66" s="19">
        <v>45877</v>
      </c>
      <c r="D66" s="18" t="s">
        <v>144</v>
      </c>
      <c r="E66" s="20">
        <v>256779416087</v>
      </c>
      <c r="F66" s="18" t="s">
        <v>141</v>
      </c>
      <c r="G66" s="21">
        <v>916.56</v>
      </c>
      <c r="H66" s="18" t="s">
        <v>131</v>
      </c>
      <c r="I66" s="21">
        <v>78851.77</v>
      </c>
      <c r="J66" s="18" t="s">
        <v>190</v>
      </c>
      <c r="K66" s="10" t="e" cm="1">
        <f t="array" ref="K66">VLOOKUP(E66,'Customer Data'!$B$1:$F$58,{3,4},0)</f>
        <v>#N/A</v>
      </c>
      <c r="L66" s="10"/>
      <c r="M66" s="10" t="s">
        <v>130</v>
      </c>
      <c r="N66" s="10"/>
    </row>
    <row r="67" spans="1:14" x14ac:dyDescent="0.35">
      <c r="A67" s="25">
        <v>1400001113</v>
      </c>
      <c r="B67" s="18" t="s">
        <v>132</v>
      </c>
      <c r="C67" s="19">
        <v>45902</v>
      </c>
      <c r="D67" s="18" t="s">
        <v>130</v>
      </c>
      <c r="E67" s="18" t="s">
        <v>130</v>
      </c>
      <c r="F67" s="18" t="s">
        <v>131</v>
      </c>
      <c r="G67" s="21">
        <v>13324.05</v>
      </c>
      <c r="H67" s="18" t="s">
        <v>131</v>
      </c>
      <c r="I67" s="21">
        <v>13093.59</v>
      </c>
      <c r="J67" s="18" t="s">
        <v>130</v>
      </c>
      <c r="K67" s="10" t="e" cm="1">
        <f t="array" ref="K67">VLOOKUP(E67,'Customer Data'!$B$1:$F$58,{3,4},0)</f>
        <v>#N/A</v>
      </c>
      <c r="L67" s="10"/>
      <c r="M67" s="10">
        <v>1400001113</v>
      </c>
      <c r="N67" s="10"/>
    </row>
    <row r="68" spans="1:14" x14ac:dyDescent="0.35">
      <c r="A68" s="25">
        <v>1400001113</v>
      </c>
      <c r="B68" s="18" t="s">
        <v>132</v>
      </c>
      <c r="C68" s="19">
        <v>45902</v>
      </c>
      <c r="D68" s="18" t="s">
        <v>130</v>
      </c>
      <c r="E68" s="18" t="s">
        <v>130</v>
      </c>
      <c r="F68" s="18" t="s">
        <v>131</v>
      </c>
      <c r="G68" s="21">
        <v>-13324.05</v>
      </c>
      <c r="H68" s="18" t="s">
        <v>131</v>
      </c>
      <c r="I68" s="21">
        <v>-13015.98</v>
      </c>
      <c r="J68" s="18" t="s">
        <v>130</v>
      </c>
      <c r="K68" s="10" t="e" cm="1">
        <f t="array" ref="K68">VLOOKUP(E68,'Customer Data'!$B$1:$F$58,{3,4},0)</f>
        <v>#N/A</v>
      </c>
      <c r="L68" s="10"/>
      <c r="M68" s="10">
        <v>1400001113</v>
      </c>
      <c r="N68" s="10"/>
    </row>
    <row r="69" spans="1:14" x14ac:dyDescent="0.35">
      <c r="A69" s="25">
        <v>1400001113</v>
      </c>
      <c r="B69" s="18" t="s">
        <v>132</v>
      </c>
      <c r="C69" s="19">
        <v>45902</v>
      </c>
      <c r="D69" s="18" t="s">
        <v>130</v>
      </c>
      <c r="E69" s="18" t="s">
        <v>130</v>
      </c>
      <c r="F69" s="18" t="s">
        <v>131</v>
      </c>
      <c r="G69" s="21">
        <v>4441.3500000000004</v>
      </c>
      <c r="H69" s="18" t="s">
        <v>131</v>
      </c>
      <c r="I69" s="21">
        <v>4364.53</v>
      </c>
      <c r="J69" s="18" t="s">
        <v>130</v>
      </c>
      <c r="K69" s="10" t="e" cm="1">
        <f t="array" ref="K69">VLOOKUP(E69,'Customer Data'!$B$1:$F$58,{3,4},0)</f>
        <v>#N/A</v>
      </c>
      <c r="L69" s="10"/>
      <c r="M69" s="10">
        <v>1400001113</v>
      </c>
      <c r="N69" s="10"/>
    </row>
    <row r="70" spans="1:14" x14ac:dyDescent="0.35">
      <c r="A70" s="25">
        <v>1400001113</v>
      </c>
      <c r="B70" s="18" t="s">
        <v>132</v>
      </c>
      <c r="C70" s="19">
        <v>45902</v>
      </c>
      <c r="D70" s="18" t="s">
        <v>130</v>
      </c>
      <c r="E70" s="18" t="s">
        <v>130</v>
      </c>
      <c r="F70" s="18" t="s">
        <v>131</v>
      </c>
      <c r="G70" s="21">
        <v>-4441.3500000000004</v>
      </c>
      <c r="H70" s="18" t="s">
        <v>131</v>
      </c>
      <c r="I70" s="21">
        <v>-4338.66</v>
      </c>
      <c r="J70" s="18" t="s">
        <v>130</v>
      </c>
      <c r="K70" s="10" t="e" cm="1">
        <f t="array" ref="K70">VLOOKUP(E70,'Customer Data'!$B$1:$F$58,{3,4},0)</f>
        <v>#N/A</v>
      </c>
      <c r="L70" s="10"/>
      <c r="M70" s="10">
        <v>1400001113</v>
      </c>
      <c r="N70" s="10"/>
    </row>
    <row r="71" spans="1:14" x14ac:dyDescent="0.35">
      <c r="A71" s="25">
        <v>1800012740</v>
      </c>
      <c r="B71" s="18" t="s">
        <v>143</v>
      </c>
      <c r="C71" s="19">
        <v>45904</v>
      </c>
      <c r="D71" s="18" t="s">
        <v>144</v>
      </c>
      <c r="E71" s="20">
        <v>256779417374</v>
      </c>
      <c r="F71" s="18" t="s">
        <v>141</v>
      </c>
      <c r="G71" s="21">
        <v>50.75</v>
      </c>
      <c r="H71" s="18" t="s">
        <v>131</v>
      </c>
      <c r="I71" s="21">
        <v>4441.3500000000004</v>
      </c>
      <c r="J71" s="18" t="s">
        <v>165</v>
      </c>
      <c r="K71" s="10" cm="1">
        <f t="array" ref="K71:L71">VLOOKUP(E71,'Customer Data'!$B$1:$F$58,{3,4},0)</f>
        <v>0</v>
      </c>
      <c r="L71" s="10">
        <v>45.75</v>
      </c>
      <c r="M71" s="10" t="s">
        <v>130</v>
      </c>
      <c r="N71" s="10"/>
    </row>
    <row r="72" spans="1:14" x14ac:dyDescent="0.35">
      <c r="A72" s="25">
        <v>1800012475</v>
      </c>
      <c r="B72" s="18" t="s">
        <v>143</v>
      </c>
      <c r="C72" s="19">
        <v>45906</v>
      </c>
      <c r="D72" s="18" t="s">
        <v>144</v>
      </c>
      <c r="E72" s="20">
        <v>256779417083</v>
      </c>
      <c r="F72" s="18" t="s">
        <v>141</v>
      </c>
      <c r="G72" s="21">
        <v>634.36</v>
      </c>
      <c r="H72" s="18" t="s">
        <v>131</v>
      </c>
      <c r="I72" s="21">
        <v>55515.59</v>
      </c>
      <c r="J72" s="18" t="s">
        <v>312</v>
      </c>
      <c r="K72" s="10" t="e" cm="1">
        <f t="array" ref="K72">VLOOKUP(E72,'Customer Data'!$B$1:$F$58,{3,4},0)</f>
        <v>#N/A</v>
      </c>
      <c r="L72" s="10"/>
      <c r="M72" s="10" t="s">
        <v>130</v>
      </c>
      <c r="N72" s="10"/>
    </row>
    <row r="73" spans="1:14" x14ac:dyDescent="0.35">
      <c r="A73" s="25">
        <v>1800012796</v>
      </c>
      <c r="B73" s="18" t="s">
        <v>143</v>
      </c>
      <c r="C73" s="19">
        <v>45917</v>
      </c>
      <c r="D73" s="18" t="s">
        <v>144</v>
      </c>
      <c r="E73" s="20">
        <v>256779417450</v>
      </c>
      <c r="F73" s="18" t="s">
        <v>141</v>
      </c>
      <c r="G73" s="21">
        <v>81.569999999999993</v>
      </c>
      <c r="H73" s="18" t="s">
        <v>131</v>
      </c>
      <c r="I73" s="21">
        <v>7138.54</v>
      </c>
      <c r="J73" s="18" t="s">
        <v>162</v>
      </c>
      <c r="K73" s="10" cm="1">
        <f t="array" ref="K73:L73">VLOOKUP(E73,'Customer Data'!$B$1:$F$58,{3,4},0)</f>
        <v>0</v>
      </c>
      <c r="L73" s="10">
        <v>79.569999999999993</v>
      </c>
      <c r="M73" s="10" t="s">
        <v>130</v>
      </c>
      <c r="N73" s="10"/>
    </row>
    <row r="74" spans="1:14" x14ac:dyDescent="0.35">
      <c r="A74" s="25">
        <v>1800012787</v>
      </c>
      <c r="B74" s="18" t="s">
        <v>143</v>
      </c>
      <c r="C74" s="19">
        <v>45917</v>
      </c>
      <c r="D74" s="18" t="s">
        <v>144</v>
      </c>
      <c r="E74" s="20">
        <v>256779417441</v>
      </c>
      <c r="F74" s="18" t="s">
        <v>141</v>
      </c>
      <c r="G74" s="21">
        <v>1902.19</v>
      </c>
      <c r="H74" s="18" t="s">
        <v>131</v>
      </c>
      <c r="I74" s="21">
        <v>166468.88</v>
      </c>
      <c r="J74" s="18" t="s">
        <v>160</v>
      </c>
      <c r="K74" s="10" cm="1">
        <f t="array" ref="K74:L74">VLOOKUP(E74,'Customer Data'!$B$1:$F$58,{3,4},0)</f>
        <v>38</v>
      </c>
      <c r="L74" s="10">
        <v>1902.19</v>
      </c>
      <c r="M74" s="10" t="s">
        <v>130</v>
      </c>
      <c r="N74" s="10"/>
    </row>
    <row r="75" spans="1:14" x14ac:dyDescent="0.35">
      <c r="A75" s="25">
        <v>1800012862</v>
      </c>
      <c r="B75" s="18" t="s">
        <v>143</v>
      </c>
      <c r="C75" s="19">
        <v>45918</v>
      </c>
      <c r="D75" s="18" t="s">
        <v>144</v>
      </c>
      <c r="E75" s="20">
        <v>256779417598</v>
      </c>
      <c r="F75" s="18" t="s">
        <v>141</v>
      </c>
      <c r="G75" s="21">
        <v>150.4</v>
      </c>
      <c r="H75" s="18" t="s">
        <v>131</v>
      </c>
      <c r="I75" s="21">
        <v>13162.16</v>
      </c>
      <c r="J75" s="18" t="s">
        <v>267</v>
      </c>
      <c r="K75" s="10" cm="1">
        <f t="array" ref="K75:L75">VLOOKUP(E75,'Customer Data'!$B$1:$F$58,{3,4},0)</f>
        <v>0</v>
      </c>
      <c r="L75" s="10">
        <v>147.4</v>
      </c>
      <c r="M75" s="10" t="s">
        <v>130</v>
      </c>
      <c r="N75" s="10"/>
    </row>
    <row r="76" spans="1:14" x14ac:dyDescent="0.35">
      <c r="A76" s="25">
        <v>1800012944</v>
      </c>
      <c r="B76" s="18" t="s">
        <v>143</v>
      </c>
      <c r="C76" s="19">
        <v>45918</v>
      </c>
      <c r="D76" s="18" t="s">
        <v>144</v>
      </c>
      <c r="E76" s="20">
        <v>256779417583</v>
      </c>
      <c r="F76" s="18" t="s">
        <v>141</v>
      </c>
      <c r="G76" s="21">
        <v>279.45</v>
      </c>
      <c r="H76" s="18" t="s">
        <v>131</v>
      </c>
      <c r="I76" s="21">
        <v>24455.88</v>
      </c>
      <c r="J76" s="18" t="s">
        <v>265</v>
      </c>
      <c r="K76" s="10" cm="1">
        <f t="array" ref="K76:L76">VLOOKUP(E76,'Customer Data'!$B$1:$F$58,{3,4},0)</f>
        <v>0</v>
      </c>
      <c r="L76" s="10">
        <v>273.45</v>
      </c>
      <c r="M76" s="10" t="s">
        <v>130</v>
      </c>
      <c r="N76" s="10"/>
    </row>
    <row r="77" spans="1:14" x14ac:dyDescent="0.35">
      <c r="A77" s="25">
        <v>1800012870</v>
      </c>
      <c r="B77" s="18" t="s">
        <v>143</v>
      </c>
      <c r="C77" s="19">
        <v>45918</v>
      </c>
      <c r="D77" s="18" t="s">
        <v>144</v>
      </c>
      <c r="E77" s="20">
        <v>256779417488</v>
      </c>
      <c r="F77" s="18" t="s">
        <v>141</v>
      </c>
      <c r="G77" s="21">
        <v>52.64</v>
      </c>
      <c r="H77" s="18" t="s">
        <v>131</v>
      </c>
      <c r="I77" s="21">
        <v>4606.75</v>
      </c>
      <c r="J77" s="18" t="s">
        <v>263</v>
      </c>
      <c r="K77" s="10" t="e" cm="1">
        <f t="array" ref="K77">VLOOKUP(E77,'Customer Data'!$B$1:$F$58,{3,4},0)</f>
        <v>#N/A</v>
      </c>
      <c r="L77" s="10"/>
      <c r="M77" s="10" t="s">
        <v>130</v>
      </c>
      <c r="N77" s="10"/>
    </row>
    <row r="78" spans="1:14" x14ac:dyDescent="0.35">
      <c r="A78" s="25">
        <v>1800013461</v>
      </c>
      <c r="B78" s="18" t="s">
        <v>143</v>
      </c>
      <c r="C78" s="19">
        <v>45935</v>
      </c>
      <c r="D78" s="18" t="s">
        <v>144</v>
      </c>
      <c r="E78" s="20">
        <v>256779418037</v>
      </c>
      <c r="F78" s="18" t="s">
        <v>141</v>
      </c>
      <c r="G78" s="21">
        <v>50.75</v>
      </c>
      <c r="H78" s="18" t="s">
        <v>131</v>
      </c>
      <c r="I78" s="21">
        <v>4475.68</v>
      </c>
      <c r="J78" s="18" t="s">
        <v>310</v>
      </c>
      <c r="K78" s="10" cm="1">
        <f t="array" ref="K78:L78">VLOOKUP(E78,'Customer Data'!$B$1:$F$58,{3,4},0)</f>
        <v>0</v>
      </c>
      <c r="L78" s="10">
        <v>45.75</v>
      </c>
      <c r="M78" s="10" t="s">
        <v>130</v>
      </c>
      <c r="N78" s="10"/>
    </row>
    <row r="79" spans="1:14" x14ac:dyDescent="0.35">
      <c r="A79" s="25">
        <v>1800013396</v>
      </c>
      <c r="B79" s="18" t="s">
        <v>143</v>
      </c>
      <c r="C79" s="19">
        <v>45935</v>
      </c>
      <c r="D79" s="18" t="s">
        <v>144</v>
      </c>
      <c r="E79" s="20">
        <v>256779417991</v>
      </c>
      <c r="F79" s="18" t="s">
        <v>141</v>
      </c>
      <c r="G79" s="21">
        <v>184.54</v>
      </c>
      <c r="H79" s="18" t="s">
        <v>131</v>
      </c>
      <c r="I79" s="21">
        <v>16274.72</v>
      </c>
      <c r="J79" s="18" t="s">
        <v>308</v>
      </c>
      <c r="K79" s="10" t="e" cm="1">
        <f t="array" ref="K79">VLOOKUP(E79,'Customer Data'!$B$1:$F$58,{3,4},0)</f>
        <v>#N/A</v>
      </c>
      <c r="L79" s="10"/>
      <c r="M79" s="10" t="s">
        <v>130</v>
      </c>
      <c r="N79" s="10"/>
    </row>
    <row r="80" spans="1:14" x14ac:dyDescent="0.35">
      <c r="A80" s="25">
        <v>1800013273</v>
      </c>
      <c r="B80" s="18" t="s">
        <v>143</v>
      </c>
      <c r="C80" s="19">
        <v>45936</v>
      </c>
      <c r="D80" s="18" t="s">
        <v>144</v>
      </c>
      <c r="E80" s="20">
        <v>256779418009</v>
      </c>
      <c r="F80" s="18" t="s">
        <v>141</v>
      </c>
      <c r="G80" s="21">
        <v>1480.75</v>
      </c>
      <c r="H80" s="18" t="s">
        <v>131</v>
      </c>
      <c r="I80" s="21">
        <v>130588.48</v>
      </c>
      <c r="J80" s="18" t="s">
        <v>306</v>
      </c>
      <c r="K80" s="10" t="e" cm="1">
        <f t="array" ref="K80">VLOOKUP(E80,'Customer Data'!$B$1:$F$58,{3,4},0)</f>
        <v>#N/A</v>
      </c>
      <c r="L80" s="10"/>
      <c r="M80" s="10" t="s">
        <v>130</v>
      </c>
      <c r="N80" s="10"/>
    </row>
    <row r="81" spans="1:14" x14ac:dyDescent="0.35">
      <c r="A81" s="25">
        <v>1800013531</v>
      </c>
      <c r="B81" s="18" t="s">
        <v>143</v>
      </c>
      <c r="C81" s="19">
        <v>45937</v>
      </c>
      <c r="D81" s="18" t="s">
        <v>144</v>
      </c>
      <c r="E81" s="20">
        <v>256779418355</v>
      </c>
      <c r="F81" s="18" t="s">
        <v>141</v>
      </c>
      <c r="G81" s="21">
        <v>37.6</v>
      </c>
      <c r="H81" s="18" t="s">
        <v>131</v>
      </c>
      <c r="I81" s="21">
        <v>3315.97</v>
      </c>
      <c r="J81" s="18" t="s">
        <v>284</v>
      </c>
      <c r="K81" s="10" cm="1">
        <f t="array" ref="K81:L81">VLOOKUP(E81,'Customer Data'!$B$1:$F$58,{3,4},0)</f>
        <v>0</v>
      </c>
      <c r="L81" s="10">
        <v>36.6</v>
      </c>
      <c r="M81" s="10" t="s">
        <v>130</v>
      </c>
      <c r="N81" s="10"/>
    </row>
    <row r="82" spans="1:14" x14ac:dyDescent="0.35">
      <c r="A82" s="25">
        <v>1800013772</v>
      </c>
      <c r="B82" s="18" t="s">
        <v>143</v>
      </c>
      <c r="C82" s="19">
        <v>45937</v>
      </c>
      <c r="D82" s="18" t="s">
        <v>144</v>
      </c>
      <c r="E82" s="20">
        <v>256779418340</v>
      </c>
      <c r="F82" s="18" t="s">
        <v>141</v>
      </c>
      <c r="G82" s="21">
        <v>76.55</v>
      </c>
      <c r="H82" s="18" t="s">
        <v>131</v>
      </c>
      <c r="I82" s="21">
        <v>6751</v>
      </c>
      <c r="J82" s="18" t="s">
        <v>282</v>
      </c>
      <c r="K82" s="10" cm="1">
        <f t="array" ref="K82:L82">VLOOKUP(E82,'Customer Data'!$B$1:$F$58,{3,4},0)</f>
        <v>2</v>
      </c>
      <c r="L82" s="10">
        <v>76.55</v>
      </c>
      <c r="M82" s="10" t="s">
        <v>130</v>
      </c>
      <c r="N82" s="10"/>
    </row>
    <row r="83" spans="1:14" x14ac:dyDescent="0.35">
      <c r="A83" s="25">
        <v>1800013765</v>
      </c>
      <c r="B83" s="18" t="s">
        <v>143</v>
      </c>
      <c r="C83" s="19">
        <v>45937</v>
      </c>
      <c r="D83" s="18" t="s">
        <v>144</v>
      </c>
      <c r="E83" s="20">
        <v>256779418186</v>
      </c>
      <c r="F83" s="18" t="s">
        <v>141</v>
      </c>
      <c r="G83" s="21">
        <v>20.27</v>
      </c>
      <c r="H83" s="18" t="s">
        <v>131</v>
      </c>
      <c r="I83" s="21">
        <v>1787.63</v>
      </c>
      <c r="J83" s="18" t="s">
        <v>280</v>
      </c>
      <c r="K83" s="10" cm="1">
        <f t="array" ref="K83:L83">VLOOKUP(E83,'Customer Data'!$B$1:$F$58,{3,4},0)</f>
        <v>0</v>
      </c>
      <c r="L83" s="10">
        <v>20.27</v>
      </c>
      <c r="M83" s="10" t="s">
        <v>130</v>
      </c>
      <c r="N83" s="10"/>
    </row>
    <row r="84" spans="1:14" x14ac:dyDescent="0.35">
      <c r="A84" s="25">
        <v>1800013757</v>
      </c>
      <c r="B84" s="18" t="s">
        <v>143</v>
      </c>
      <c r="C84" s="19">
        <v>45937</v>
      </c>
      <c r="D84" s="18" t="s">
        <v>144</v>
      </c>
      <c r="E84" s="20">
        <v>256779418178</v>
      </c>
      <c r="F84" s="18" t="s">
        <v>141</v>
      </c>
      <c r="G84" s="21">
        <v>472.74</v>
      </c>
      <c r="H84" s="18" t="s">
        <v>131</v>
      </c>
      <c r="I84" s="21">
        <v>41691.300000000003</v>
      </c>
      <c r="J84" s="18" t="s">
        <v>278</v>
      </c>
      <c r="K84" s="10" cm="1">
        <f t="array" ref="K84:L84">VLOOKUP(E84,'Customer Data'!$B$1:$F$58,{3,4},0)</f>
        <v>9</v>
      </c>
      <c r="L84" s="10">
        <v>472.74</v>
      </c>
      <c r="M84" s="10" t="s">
        <v>130</v>
      </c>
      <c r="N84" s="10"/>
    </row>
    <row r="85" spans="1:14" x14ac:dyDescent="0.35">
      <c r="A85" s="25">
        <v>1800013746</v>
      </c>
      <c r="B85" s="18" t="s">
        <v>143</v>
      </c>
      <c r="C85" s="19">
        <v>45937</v>
      </c>
      <c r="D85" s="18" t="s">
        <v>144</v>
      </c>
      <c r="E85" s="20">
        <v>256779418167</v>
      </c>
      <c r="F85" s="18" t="s">
        <v>141</v>
      </c>
      <c r="G85" s="21">
        <v>70</v>
      </c>
      <c r="H85" s="18" t="s">
        <v>131</v>
      </c>
      <c r="I85" s="21">
        <v>6173.35</v>
      </c>
      <c r="J85" s="18" t="s">
        <v>276</v>
      </c>
      <c r="K85" s="10" cm="1">
        <f t="array" ref="K85:L85">VLOOKUP(E85,'Customer Data'!$B$1:$F$58,{3,4},0)</f>
        <v>0</v>
      </c>
      <c r="L85" s="10">
        <v>69</v>
      </c>
      <c r="M85" s="10" t="s">
        <v>130</v>
      </c>
      <c r="N85" s="10"/>
    </row>
    <row r="86" spans="1:14" x14ac:dyDescent="0.35">
      <c r="A86" s="25">
        <v>1800014149</v>
      </c>
      <c r="B86" s="18" t="s">
        <v>143</v>
      </c>
      <c r="C86" s="19">
        <v>45948</v>
      </c>
      <c r="D86" s="18" t="s">
        <v>144</v>
      </c>
      <c r="E86" s="20">
        <v>256779418441</v>
      </c>
      <c r="F86" s="18" t="s">
        <v>141</v>
      </c>
      <c r="G86" s="21">
        <v>112.8</v>
      </c>
      <c r="H86" s="18" t="s">
        <v>131</v>
      </c>
      <c r="I86" s="21">
        <v>9947.92</v>
      </c>
      <c r="J86" s="18" t="s">
        <v>302</v>
      </c>
      <c r="K86" s="10" t="e" cm="1">
        <f t="array" ref="K86">VLOOKUP(E86,'Customer Data'!$B$1:$F$58,{3,4},0)</f>
        <v>#N/A</v>
      </c>
      <c r="L86" s="10"/>
      <c r="M86" s="10" t="s">
        <v>130</v>
      </c>
      <c r="N86" s="10"/>
    </row>
    <row r="87" spans="1:14" x14ac:dyDescent="0.35">
      <c r="A87" s="25">
        <v>1800014002</v>
      </c>
      <c r="B87" s="18" t="s">
        <v>143</v>
      </c>
      <c r="C87" s="19">
        <v>45948</v>
      </c>
      <c r="D87" s="18" t="s">
        <v>144</v>
      </c>
      <c r="E87" s="20">
        <v>256779418426</v>
      </c>
      <c r="F87" s="18" t="s">
        <v>141</v>
      </c>
      <c r="G87" s="21">
        <v>124.55</v>
      </c>
      <c r="H87" s="18" t="s">
        <v>131</v>
      </c>
      <c r="I87" s="21">
        <v>10984.16</v>
      </c>
      <c r="J87" s="18" t="s">
        <v>300</v>
      </c>
      <c r="K87" s="10" t="e" cm="1">
        <f t="array" ref="K87">VLOOKUP(E87,'Customer Data'!$B$1:$F$58,{3,4},0)</f>
        <v>#N/A</v>
      </c>
      <c r="L87" s="10"/>
      <c r="M87" s="10" t="s">
        <v>130</v>
      </c>
      <c r="N87" s="10"/>
    </row>
    <row r="88" spans="1:14" x14ac:dyDescent="0.35">
      <c r="A88" s="25">
        <v>1800013966</v>
      </c>
      <c r="B88" s="18" t="s">
        <v>143</v>
      </c>
      <c r="C88" s="19">
        <v>45951</v>
      </c>
      <c r="D88" s="18" t="s">
        <v>144</v>
      </c>
      <c r="E88" s="20">
        <v>256779418496</v>
      </c>
      <c r="F88" s="18" t="s">
        <v>141</v>
      </c>
      <c r="G88" s="21">
        <v>40.770000000000003</v>
      </c>
      <c r="H88" s="18" t="s">
        <v>131</v>
      </c>
      <c r="I88" s="21">
        <v>3595.54</v>
      </c>
      <c r="J88" s="18" t="s">
        <v>249</v>
      </c>
      <c r="K88" s="10" t="e" cm="1">
        <f t="array" ref="K88">VLOOKUP(E88,'Customer Data'!$B$1:$F$58,{3,4},0)</f>
        <v>#N/A</v>
      </c>
      <c r="L88" s="10"/>
      <c r="M88" s="10" t="s">
        <v>130</v>
      </c>
      <c r="N88" s="10"/>
    </row>
    <row r="89" spans="1:14" x14ac:dyDescent="0.35">
      <c r="A89" s="25">
        <v>1800013961</v>
      </c>
      <c r="B89" s="18" t="s">
        <v>143</v>
      </c>
      <c r="C89" s="19">
        <v>45951</v>
      </c>
      <c r="D89" s="18" t="s">
        <v>144</v>
      </c>
      <c r="E89" s="20">
        <v>256779418491</v>
      </c>
      <c r="F89" s="18" t="s">
        <v>141</v>
      </c>
      <c r="G89" s="21">
        <v>950.87</v>
      </c>
      <c r="H89" s="18" t="s">
        <v>131</v>
      </c>
      <c r="I89" s="21">
        <v>83857.960000000006</v>
      </c>
      <c r="J89" s="18" t="s">
        <v>247</v>
      </c>
      <c r="K89" s="10" t="e" cm="1">
        <f t="array" ref="K89">VLOOKUP(E89,'Customer Data'!$B$1:$F$58,{3,4},0)</f>
        <v>#N/A</v>
      </c>
      <c r="L89" s="10"/>
      <c r="M89" s="10" t="s">
        <v>130</v>
      </c>
      <c r="N89" s="10"/>
    </row>
    <row r="90" spans="1:14" x14ac:dyDescent="0.35">
      <c r="A90" s="25">
        <v>1800013949</v>
      </c>
      <c r="B90" s="18" t="s">
        <v>143</v>
      </c>
      <c r="C90" s="19">
        <v>45951</v>
      </c>
      <c r="D90" s="18" t="s">
        <v>144</v>
      </c>
      <c r="E90" s="20">
        <v>256779418481</v>
      </c>
      <c r="F90" s="18" t="s">
        <v>141</v>
      </c>
      <c r="G90" s="21">
        <v>40.770000000000003</v>
      </c>
      <c r="H90" s="18" t="s">
        <v>131</v>
      </c>
      <c r="I90" s="21">
        <v>3595.54</v>
      </c>
      <c r="J90" s="18" t="s">
        <v>249</v>
      </c>
      <c r="K90" s="10" cm="1">
        <f t="array" ref="K90:L90">VLOOKUP(E90,'Customer Data'!$B$1:$F$58,{3,4},0)</f>
        <v>0</v>
      </c>
      <c r="L90" s="10">
        <v>39.770000000000003</v>
      </c>
      <c r="M90" s="10" t="s">
        <v>130</v>
      </c>
      <c r="N90" s="10"/>
    </row>
    <row r="91" spans="1:14" x14ac:dyDescent="0.35">
      <c r="A91" s="25">
        <v>1800013944</v>
      </c>
      <c r="B91" s="18" t="s">
        <v>143</v>
      </c>
      <c r="C91" s="19">
        <v>45951</v>
      </c>
      <c r="D91" s="18" t="s">
        <v>144</v>
      </c>
      <c r="E91" s="20">
        <v>256779418476</v>
      </c>
      <c r="F91" s="18" t="s">
        <v>141</v>
      </c>
      <c r="G91" s="21">
        <v>950.87</v>
      </c>
      <c r="H91" s="18" t="s">
        <v>131</v>
      </c>
      <c r="I91" s="21">
        <v>83857.960000000006</v>
      </c>
      <c r="J91" s="18" t="s">
        <v>247</v>
      </c>
      <c r="K91" s="10" t="e" cm="1">
        <f t="array" ref="K91">VLOOKUP(E91,'Customer Data'!$B$1:$F$58,{3,4},0)</f>
        <v>#N/A</v>
      </c>
      <c r="L91" s="10"/>
      <c r="M91" s="10" t="s">
        <v>130</v>
      </c>
      <c r="N91" s="10"/>
    </row>
    <row r="92" spans="1:14" x14ac:dyDescent="0.35">
      <c r="A92" s="25">
        <v>1400001561</v>
      </c>
      <c r="B92" s="18" t="s">
        <v>134</v>
      </c>
      <c r="C92" s="19">
        <v>45959</v>
      </c>
      <c r="D92" s="18" t="s">
        <v>136</v>
      </c>
      <c r="E92" s="18" t="s">
        <v>130</v>
      </c>
      <c r="F92" s="18" t="s">
        <v>131</v>
      </c>
      <c r="G92" s="12">
        <v>-5813.9534883719998</v>
      </c>
      <c r="H92" s="18" t="s">
        <v>131</v>
      </c>
      <c r="I92" s="21">
        <v>-500000</v>
      </c>
      <c r="J92" s="18" t="s">
        <v>130</v>
      </c>
      <c r="K92" s="10" t="s">
        <v>406</v>
      </c>
      <c r="L92" s="10"/>
      <c r="M92" s="10" t="s">
        <v>130</v>
      </c>
      <c r="N92" s="10" t="s">
        <v>363</v>
      </c>
    </row>
    <row r="93" spans="1:14" x14ac:dyDescent="0.35">
      <c r="A93" s="25">
        <v>1800014728</v>
      </c>
      <c r="B93" s="18" t="s">
        <v>143</v>
      </c>
      <c r="C93" s="19">
        <v>45966</v>
      </c>
      <c r="D93" s="18" t="s">
        <v>187</v>
      </c>
      <c r="E93" s="20">
        <v>256779419229</v>
      </c>
      <c r="F93" s="18" t="s">
        <v>141</v>
      </c>
      <c r="G93" s="21">
        <v>77.069999999999993</v>
      </c>
      <c r="H93" s="18" t="s">
        <v>131</v>
      </c>
      <c r="I93" s="21">
        <v>6782.42</v>
      </c>
      <c r="J93" s="18" t="s">
        <v>188</v>
      </c>
      <c r="K93" s="10" t="e" cm="1">
        <f t="array" ref="K93">VLOOKUP(E93,'Customer Data'!$B$1:$F$58,{3,4},0)</f>
        <v>#N/A</v>
      </c>
      <c r="L93" s="10"/>
      <c r="M93" s="10" t="s">
        <v>130</v>
      </c>
      <c r="N93" s="10"/>
    </row>
    <row r="94" spans="1:14" x14ac:dyDescent="0.35">
      <c r="A94" s="25">
        <v>1800014642</v>
      </c>
      <c r="B94" s="18" t="s">
        <v>143</v>
      </c>
      <c r="C94" s="19">
        <v>45966</v>
      </c>
      <c r="D94" s="18" t="s">
        <v>144</v>
      </c>
      <c r="E94" s="20">
        <v>256779418907</v>
      </c>
      <c r="F94" s="18" t="s">
        <v>141</v>
      </c>
      <c r="G94" s="21">
        <v>112.8</v>
      </c>
      <c r="H94" s="18" t="s">
        <v>131</v>
      </c>
      <c r="I94" s="21">
        <v>9926.7800000000007</v>
      </c>
      <c r="J94" s="18" t="s">
        <v>185</v>
      </c>
      <c r="K94" s="10" cm="1">
        <f t="array" ref="K94:L94">VLOOKUP(E94,'Customer Data'!$B$1:$F$58,{3,4},0)</f>
        <v>0</v>
      </c>
      <c r="L94" s="10">
        <v>110.8</v>
      </c>
      <c r="M94" s="10" t="s">
        <v>130</v>
      </c>
      <c r="N94" s="10"/>
    </row>
    <row r="95" spans="1:14" x14ac:dyDescent="0.35">
      <c r="A95" s="25">
        <v>1800014587</v>
      </c>
      <c r="B95" s="18" t="s">
        <v>143</v>
      </c>
      <c r="C95" s="19">
        <v>45966</v>
      </c>
      <c r="D95" s="18" t="s">
        <v>144</v>
      </c>
      <c r="E95" s="20">
        <v>256779418894</v>
      </c>
      <c r="F95" s="18" t="s">
        <v>141</v>
      </c>
      <c r="G95" s="21">
        <v>131.6</v>
      </c>
      <c r="H95" s="18" t="s">
        <v>131</v>
      </c>
      <c r="I95" s="21">
        <v>11581.25</v>
      </c>
      <c r="J95" s="18" t="s">
        <v>183</v>
      </c>
      <c r="K95" s="10" cm="1">
        <f t="array" ref="K95:L95">VLOOKUP(E95,'Customer Data'!$B$1:$F$58,{3,4},0)</f>
        <v>0</v>
      </c>
      <c r="L95" s="10">
        <v>128.6</v>
      </c>
      <c r="M95" s="10" t="s">
        <v>130</v>
      </c>
      <c r="N95" s="10"/>
    </row>
    <row r="96" spans="1:14" x14ac:dyDescent="0.35">
      <c r="A96" s="25">
        <v>1800014554</v>
      </c>
      <c r="B96" s="18" t="s">
        <v>143</v>
      </c>
      <c r="C96" s="19">
        <v>45966</v>
      </c>
      <c r="D96" s="18" t="s">
        <v>144</v>
      </c>
      <c r="E96" s="20">
        <v>256779418886</v>
      </c>
      <c r="F96" s="18" t="s">
        <v>141</v>
      </c>
      <c r="G96" s="21">
        <v>1457.24</v>
      </c>
      <c r="H96" s="18" t="s">
        <v>131</v>
      </c>
      <c r="I96" s="21">
        <v>128242.06</v>
      </c>
      <c r="J96" s="18" t="s">
        <v>181</v>
      </c>
      <c r="K96" s="10" t="e" cm="1">
        <f t="array" ref="K96">VLOOKUP(E96,'Customer Data'!$B$1:$F$58,{3,4},0)</f>
        <v>#N/A</v>
      </c>
      <c r="L96" s="10"/>
      <c r="M96" s="10" t="s">
        <v>130</v>
      </c>
      <c r="N96" s="10"/>
    </row>
    <row r="97" spans="1:14" x14ac:dyDescent="0.35">
      <c r="A97" s="25">
        <v>1800014289</v>
      </c>
      <c r="B97" s="18" t="s">
        <v>143</v>
      </c>
      <c r="C97" s="19">
        <v>45966</v>
      </c>
      <c r="D97" s="18" t="s">
        <v>144</v>
      </c>
      <c r="E97" s="20">
        <v>256779418826</v>
      </c>
      <c r="F97" s="18" t="s">
        <v>141</v>
      </c>
      <c r="G97" s="21">
        <v>60.86</v>
      </c>
      <c r="H97" s="18" t="s">
        <v>131</v>
      </c>
      <c r="I97" s="21">
        <v>5355.89</v>
      </c>
      <c r="J97" s="18" t="s">
        <v>179</v>
      </c>
      <c r="K97" s="10" t="e" cm="1">
        <f t="array" ref="K97">VLOOKUP(E97,'Customer Data'!$B$1:$F$58,{3,4},0)</f>
        <v>#N/A</v>
      </c>
      <c r="L97" s="10"/>
      <c r="M97" s="10" t="s">
        <v>130</v>
      </c>
      <c r="N97" s="10"/>
    </row>
    <row r="98" spans="1:14" x14ac:dyDescent="0.35">
      <c r="A98" s="25">
        <v>1800014281</v>
      </c>
      <c r="B98" s="18" t="s">
        <v>143</v>
      </c>
      <c r="C98" s="19">
        <v>45966</v>
      </c>
      <c r="D98" s="18" t="s">
        <v>144</v>
      </c>
      <c r="E98" s="20">
        <v>256779418818</v>
      </c>
      <c r="F98" s="18" t="s">
        <v>141</v>
      </c>
      <c r="G98" s="21">
        <v>1468.91</v>
      </c>
      <c r="H98" s="18" t="s">
        <v>131</v>
      </c>
      <c r="I98" s="21">
        <v>129269.06</v>
      </c>
      <c r="J98" s="18" t="s">
        <v>177</v>
      </c>
      <c r="K98" s="10" cm="1">
        <f t="array" ref="K98:L98">VLOOKUP(E98,'Customer Data'!$B$1:$F$58,{3,4},0)</f>
        <v>29</v>
      </c>
      <c r="L98" s="10">
        <v>1468.91</v>
      </c>
      <c r="M98" s="10" t="s">
        <v>130</v>
      </c>
      <c r="N98" s="10"/>
    </row>
    <row r="99" spans="1:14" x14ac:dyDescent="0.35">
      <c r="A99" s="25">
        <v>1800014264</v>
      </c>
      <c r="B99" s="18" t="s">
        <v>143</v>
      </c>
      <c r="C99" s="19">
        <v>45966</v>
      </c>
      <c r="D99" s="18" t="s">
        <v>144</v>
      </c>
      <c r="E99" s="20">
        <v>256779418803</v>
      </c>
      <c r="F99" s="18" t="s">
        <v>141</v>
      </c>
      <c r="G99" s="21">
        <v>50.75</v>
      </c>
      <c r="H99" s="18" t="s">
        <v>131</v>
      </c>
      <c r="I99" s="21">
        <v>4466.17</v>
      </c>
      <c r="J99" s="18" t="s">
        <v>175</v>
      </c>
      <c r="K99" s="10" cm="1">
        <f t="array" ref="K99:L99">VLOOKUP(E99,'Customer Data'!$B$1:$F$58,{3,4},0)</f>
        <v>5</v>
      </c>
      <c r="L99" s="10">
        <v>50.75</v>
      </c>
      <c r="M99" s="10" t="s">
        <v>130</v>
      </c>
      <c r="N99" s="10"/>
    </row>
    <row r="100" spans="1:14" x14ac:dyDescent="0.35">
      <c r="A100" s="25">
        <v>1800015095</v>
      </c>
      <c r="B100" s="18" t="s">
        <v>143</v>
      </c>
      <c r="C100" s="19">
        <v>45981</v>
      </c>
      <c r="D100" s="18" t="s">
        <v>144</v>
      </c>
      <c r="E100" s="20">
        <v>256779419546</v>
      </c>
      <c r="F100" s="18" t="s">
        <v>141</v>
      </c>
      <c r="G100" s="21">
        <v>56.4</v>
      </c>
      <c r="H100" s="18" t="s">
        <v>131</v>
      </c>
      <c r="I100" s="21">
        <v>4963.3900000000003</v>
      </c>
      <c r="J100" s="18" t="s">
        <v>261</v>
      </c>
      <c r="K100" s="10" t="e" cm="1">
        <f t="array" ref="K100">VLOOKUP(E100,'Customer Data'!$B$1:$F$58,{3,4},0)</f>
        <v>#N/A</v>
      </c>
      <c r="L100" s="10"/>
      <c r="M100" s="10" t="s">
        <v>130</v>
      </c>
      <c r="N100" s="10"/>
    </row>
    <row r="101" spans="1:14" x14ac:dyDescent="0.35">
      <c r="A101" s="25">
        <v>1800015032</v>
      </c>
      <c r="B101" s="18" t="s">
        <v>143</v>
      </c>
      <c r="C101" s="19">
        <v>45981</v>
      </c>
      <c r="D101" s="18" t="s">
        <v>144</v>
      </c>
      <c r="E101" s="20">
        <v>256779419533</v>
      </c>
      <c r="F101" s="18" t="s">
        <v>141</v>
      </c>
      <c r="G101" s="21">
        <v>131.6</v>
      </c>
      <c r="H101" s="18" t="s">
        <v>131</v>
      </c>
      <c r="I101" s="21">
        <v>11581.25</v>
      </c>
      <c r="J101" s="18" t="s">
        <v>259</v>
      </c>
      <c r="K101" s="10" t="e" cm="1">
        <f t="array" ref="K101">VLOOKUP(E101,'Customer Data'!$B$1:$F$58,{3,4},0)</f>
        <v>#N/A</v>
      </c>
      <c r="L101" s="10"/>
      <c r="M101" s="10" t="s">
        <v>130</v>
      </c>
      <c r="N101" s="10"/>
    </row>
    <row r="102" spans="1:14" x14ac:dyDescent="0.35">
      <c r="A102" s="25">
        <v>1800014973</v>
      </c>
      <c r="B102" s="18" t="s">
        <v>143</v>
      </c>
      <c r="C102" s="19">
        <v>45981</v>
      </c>
      <c r="D102" s="18" t="s">
        <v>144</v>
      </c>
      <c r="E102" s="20">
        <v>256779419471</v>
      </c>
      <c r="F102" s="18" t="s">
        <v>141</v>
      </c>
      <c r="G102" s="21">
        <v>20.28</v>
      </c>
      <c r="H102" s="18" t="s">
        <v>131</v>
      </c>
      <c r="I102" s="21">
        <v>1784.71</v>
      </c>
      <c r="J102" s="18" t="s">
        <v>147</v>
      </c>
      <c r="K102" s="10" t="e" cm="1">
        <f t="array" ref="K102">VLOOKUP(E102,'Customer Data'!$B$1:$F$58,{3,4},0)</f>
        <v>#N/A</v>
      </c>
      <c r="L102" s="10"/>
      <c r="M102" s="10" t="s">
        <v>130</v>
      </c>
      <c r="N102" s="10"/>
    </row>
    <row r="103" spans="1:14" x14ac:dyDescent="0.35">
      <c r="A103" s="25">
        <v>1800014962</v>
      </c>
      <c r="B103" s="18" t="s">
        <v>143</v>
      </c>
      <c r="C103" s="19">
        <v>45981</v>
      </c>
      <c r="D103" s="18" t="s">
        <v>144</v>
      </c>
      <c r="E103" s="20">
        <v>256779419463</v>
      </c>
      <c r="F103" s="18" t="s">
        <v>141</v>
      </c>
      <c r="G103" s="21">
        <v>602.03</v>
      </c>
      <c r="H103" s="18" t="s">
        <v>131</v>
      </c>
      <c r="I103" s="21">
        <v>52980.68</v>
      </c>
      <c r="J103" s="18" t="s">
        <v>257</v>
      </c>
      <c r="K103" s="10" t="e" cm="1">
        <f t="array" ref="K103">VLOOKUP(E103,'Customer Data'!$B$1:$F$58,{3,4},0)</f>
        <v>#N/A</v>
      </c>
      <c r="L103" s="10"/>
      <c r="M103" s="10" t="s">
        <v>130</v>
      </c>
      <c r="N103" s="10"/>
    </row>
    <row r="104" spans="1:14" x14ac:dyDescent="0.35">
      <c r="A104" s="25">
        <v>1800015709</v>
      </c>
      <c r="B104" s="18" t="s">
        <v>143</v>
      </c>
      <c r="C104" s="19">
        <v>46024</v>
      </c>
      <c r="D104" s="18" t="s">
        <v>144</v>
      </c>
      <c r="E104" s="20">
        <v>256779440042</v>
      </c>
      <c r="F104" s="18" t="s">
        <v>141</v>
      </c>
      <c r="G104" s="21">
        <v>50.75</v>
      </c>
      <c r="H104" s="18" t="s">
        <v>131</v>
      </c>
      <c r="I104" s="21">
        <v>4605.21</v>
      </c>
      <c r="J104" s="18" t="s">
        <v>317</v>
      </c>
      <c r="K104" s="10" cm="1">
        <f t="array" ref="K104:L104">VLOOKUP(E104,'Customer Data'!$B$1:$F$58,{3,4},0)</f>
        <v>5</v>
      </c>
      <c r="L104" s="10">
        <v>50.75</v>
      </c>
      <c r="M104" s="10" t="s">
        <v>130</v>
      </c>
      <c r="N104" s="10"/>
    </row>
    <row r="105" spans="1:14" x14ac:dyDescent="0.35">
      <c r="A105" s="25">
        <v>1800015688</v>
      </c>
      <c r="B105" s="18" t="s">
        <v>143</v>
      </c>
      <c r="C105" s="19">
        <v>46024</v>
      </c>
      <c r="D105" s="18" t="s">
        <v>144</v>
      </c>
      <c r="E105" s="20">
        <v>256779440021</v>
      </c>
      <c r="F105" s="18" t="s">
        <v>141</v>
      </c>
      <c r="G105" s="21">
        <v>950.6</v>
      </c>
      <c r="H105" s="18" t="s">
        <v>131</v>
      </c>
      <c r="I105" s="21">
        <v>86260.43</v>
      </c>
      <c r="J105" s="18" t="s">
        <v>315</v>
      </c>
      <c r="K105" s="10" t="e" cm="1">
        <f t="array" ref="K105">VLOOKUP(E105,'Customer Data'!$B$1:$F$58,{3,4},0)</f>
        <v>#N/A</v>
      </c>
      <c r="L105" s="10"/>
      <c r="M105" s="10" t="s">
        <v>130</v>
      </c>
      <c r="N105" s="10"/>
    </row>
    <row r="106" spans="1:14" x14ac:dyDescent="0.35">
      <c r="A106" s="25">
        <v>1600002701</v>
      </c>
      <c r="B106" s="18" t="s">
        <v>153</v>
      </c>
      <c r="C106" s="19">
        <v>46027</v>
      </c>
      <c r="D106" s="18" t="s">
        <v>144</v>
      </c>
      <c r="E106" s="20">
        <v>256779422171</v>
      </c>
      <c r="F106" s="18" t="s">
        <v>141</v>
      </c>
      <c r="G106" s="21">
        <v>-40.770000000000003</v>
      </c>
      <c r="H106" s="18" t="s">
        <v>131</v>
      </c>
      <c r="I106" s="21">
        <v>-3699.6</v>
      </c>
      <c r="J106" s="18" t="s">
        <v>321</v>
      </c>
      <c r="K106" s="10" t="e" cm="1">
        <f t="array" ref="K106">VLOOKUP(E106,'Customer Data'!$B$1:$F$58,{3,4},0)</f>
        <v>#N/A</v>
      </c>
      <c r="L106" s="10"/>
      <c r="M106" s="10" t="s">
        <v>130</v>
      </c>
      <c r="N106" s="10"/>
    </row>
    <row r="107" spans="1:14" x14ac:dyDescent="0.35">
      <c r="A107" s="25">
        <v>1600002696</v>
      </c>
      <c r="B107" s="18" t="s">
        <v>153</v>
      </c>
      <c r="C107" s="19">
        <v>46027</v>
      </c>
      <c r="D107" s="18" t="s">
        <v>144</v>
      </c>
      <c r="E107" s="20">
        <v>256779422166</v>
      </c>
      <c r="F107" s="18" t="s">
        <v>141</v>
      </c>
      <c r="G107" s="21">
        <v>-950.87</v>
      </c>
      <c r="H107" s="18" t="s">
        <v>131</v>
      </c>
      <c r="I107" s="21">
        <v>-86284.93</v>
      </c>
      <c r="J107" s="18" t="s">
        <v>319</v>
      </c>
      <c r="K107" s="10" t="e" cm="1">
        <f t="array" ref="K107">VLOOKUP(E107,'Customer Data'!$B$1:$F$58,{3,4},0)</f>
        <v>#N/A</v>
      </c>
      <c r="L107" s="10"/>
      <c r="M107" s="10" t="s">
        <v>130</v>
      </c>
      <c r="N107" s="10"/>
    </row>
    <row r="108" spans="1:14" x14ac:dyDescent="0.35">
      <c r="A108" s="25">
        <v>1800016624</v>
      </c>
      <c r="B108" s="18" t="s">
        <v>143</v>
      </c>
      <c r="C108" s="19">
        <v>46028</v>
      </c>
      <c r="D108" s="18" t="s">
        <v>144</v>
      </c>
      <c r="E108" s="20">
        <v>256779440333</v>
      </c>
      <c r="F108" s="18" t="s">
        <v>141</v>
      </c>
      <c r="G108" s="21">
        <v>50.75</v>
      </c>
      <c r="H108" s="18" t="s">
        <v>131</v>
      </c>
      <c r="I108" s="21">
        <v>4605.21</v>
      </c>
      <c r="J108" s="18" t="s">
        <v>341</v>
      </c>
      <c r="K108" s="10" cm="1">
        <f t="array" ref="K108:L108">VLOOKUP(E108,'Customer Data'!$B$1:$F$58,{3,4},0)</f>
        <v>5</v>
      </c>
      <c r="L108" s="10">
        <v>50.75</v>
      </c>
      <c r="M108" s="10" t="s">
        <v>130</v>
      </c>
      <c r="N108" s="10"/>
    </row>
    <row r="109" spans="1:14" x14ac:dyDescent="0.35">
      <c r="A109" s="25">
        <v>1800016636</v>
      </c>
      <c r="B109" s="18" t="s">
        <v>143</v>
      </c>
      <c r="C109" s="19">
        <v>46028</v>
      </c>
      <c r="D109" s="18" t="s">
        <v>333</v>
      </c>
      <c r="E109" s="20">
        <v>256779440256</v>
      </c>
      <c r="F109" s="18" t="s">
        <v>141</v>
      </c>
      <c r="G109" s="21">
        <v>112.8</v>
      </c>
      <c r="H109" s="18" t="s">
        <v>131</v>
      </c>
      <c r="I109" s="21">
        <v>10235.83</v>
      </c>
      <c r="J109" s="18" t="s">
        <v>334</v>
      </c>
      <c r="K109" s="10" cm="1">
        <f t="array" ref="K109:L109">VLOOKUP(E109,'Customer Data'!$B$1:$F$58,{3,4},0)</f>
        <v>2</v>
      </c>
      <c r="L109" s="10">
        <v>112.8</v>
      </c>
      <c r="M109" s="10" t="s">
        <v>130</v>
      </c>
      <c r="N109" s="10"/>
    </row>
    <row r="110" spans="1:14" x14ac:dyDescent="0.35">
      <c r="A110" s="25">
        <v>1800016359</v>
      </c>
      <c r="B110" s="18" t="s">
        <v>143</v>
      </c>
      <c r="C110" s="19">
        <v>46028</v>
      </c>
      <c r="D110" s="18" t="s">
        <v>330</v>
      </c>
      <c r="E110" s="20">
        <v>256779440249</v>
      </c>
      <c r="F110" s="18" t="s">
        <v>141</v>
      </c>
      <c r="G110" s="21">
        <v>1037.05</v>
      </c>
      <c r="H110" s="18" t="s">
        <v>131</v>
      </c>
      <c r="I110" s="21">
        <v>94105.17</v>
      </c>
      <c r="J110" s="18" t="s">
        <v>331</v>
      </c>
      <c r="K110" s="10" t="e" cm="1">
        <f t="array" ref="K110">VLOOKUP(E110,'Customer Data'!$B$1:$F$58,{3,4},0)</f>
        <v>#N/A</v>
      </c>
      <c r="L110" s="10"/>
      <c r="M110" s="10" t="s">
        <v>130</v>
      </c>
      <c r="N110" s="10"/>
    </row>
    <row r="111" spans="1:14" x14ac:dyDescent="0.35">
      <c r="A111" s="25">
        <v>1800016281</v>
      </c>
      <c r="B111" s="18" t="s">
        <v>143</v>
      </c>
      <c r="C111" s="19">
        <v>46028</v>
      </c>
      <c r="D111" s="18" t="s">
        <v>324</v>
      </c>
      <c r="E111" s="20">
        <v>256779440161</v>
      </c>
      <c r="F111" s="18" t="s">
        <v>141</v>
      </c>
      <c r="G111" s="21">
        <v>56.74</v>
      </c>
      <c r="H111" s="18" t="s">
        <v>131</v>
      </c>
      <c r="I111" s="21">
        <v>5148.7700000000004</v>
      </c>
      <c r="J111" s="18" t="s">
        <v>325</v>
      </c>
      <c r="K111" s="10" t="e" cm="1">
        <f t="array" ref="K111">VLOOKUP(E111,'Customer Data'!$B$1:$F$58,{3,4},0)</f>
        <v>#N/A</v>
      </c>
      <c r="L111" s="10"/>
      <c r="M111" s="10" t="s">
        <v>130</v>
      </c>
      <c r="N111" s="10"/>
    </row>
    <row r="112" spans="1:14" x14ac:dyDescent="0.35">
      <c r="A112" s="25">
        <v>1800016159</v>
      </c>
      <c r="B112" s="18" t="s">
        <v>143</v>
      </c>
      <c r="C112" s="19">
        <v>46031</v>
      </c>
      <c r="D112" s="18" t="s">
        <v>144</v>
      </c>
      <c r="E112" s="20">
        <v>256779440129</v>
      </c>
      <c r="F112" s="18" t="s">
        <v>141</v>
      </c>
      <c r="G112" s="21">
        <v>169.2</v>
      </c>
      <c r="H112" s="18" t="s">
        <v>131</v>
      </c>
      <c r="I112" s="21">
        <v>15353.74</v>
      </c>
      <c r="J112" s="18" t="s">
        <v>261</v>
      </c>
      <c r="K112" s="10" cm="1">
        <f t="array" ref="K112:L112">VLOOKUP(E112,'Customer Data'!$B$1:$F$58,{3,4},0)</f>
        <v>3</v>
      </c>
      <c r="L112" s="10">
        <v>169.2</v>
      </c>
      <c r="M112" s="10" t="s">
        <v>130</v>
      </c>
      <c r="N112" s="10"/>
    </row>
    <row r="113" spans="1:14" x14ac:dyDescent="0.35">
      <c r="A113" s="25">
        <v>1800016703</v>
      </c>
      <c r="B113" s="18" t="s">
        <v>143</v>
      </c>
      <c r="C113" s="19">
        <v>46034</v>
      </c>
      <c r="D113" s="18" t="s">
        <v>336</v>
      </c>
      <c r="E113" s="20">
        <v>256779440292</v>
      </c>
      <c r="F113" s="18" t="s">
        <v>141</v>
      </c>
      <c r="G113" s="21">
        <v>40.04</v>
      </c>
      <c r="H113" s="18" t="s">
        <v>131</v>
      </c>
      <c r="I113" s="21">
        <v>3633.36</v>
      </c>
      <c r="J113" s="18" t="s">
        <v>339</v>
      </c>
      <c r="K113" s="10" t="e" cm="1">
        <f t="array" ref="K113">VLOOKUP(E113,'Customer Data'!$B$1:$F$58,{3,4},0)</f>
        <v>#N/A</v>
      </c>
      <c r="L113" s="10"/>
      <c r="M113" s="10" t="s">
        <v>130</v>
      </c>
      <c r="N113" s="10"/>
    </row>
    <row r="114" spans="1:14" x14ac:dyDescent="0.35">
      <c r="A114" s="25">
        <v>1800016692</v>
      </c>
      <c r="B114" s="18" t="s">
        <v>143</v>
      </c>
      <c r="C114" s="19">
        <v>46034</v>
      </c>
      <c r="D114" s="18" t="s">
        <v>336</v>
      </c>
      <c r="E114" s="20">
        <v>256779440281</v>
      </c>
      <c r="F114" s="18" t="s">
        <v>141</v>
      </c>
      <c r="G114" s="21">
        <v>933.73</v>
      </c>
      <c r="H114" s="18" t="s">
        <v>131</v>
      </c>
      <c r="I114" s="21">
        <v>84729.59</v>
      </c>
      <c r="J114" s="18" t="s">
        <v>337</v>
      </c>
      <c r="K114" s="10" t="e" cm="1">
        <f t="array" ref="K114">VLOOKUP(E114,'Customer Data'!$B$1:$F$58,{3,4},0)</f>
        <v>#N/A</v>
      </c>
      <c r="L114" s="10"/>
      <c r="M114" s="10" t="s">
        <v>130</v>
      </c>
      <c r="N114" s="10"/>
    </row>
    <row r="115" spans="1:14" x14ac:dyDescent="0.35">
      <c r="A115" s="25">
        <v>1800016318</v>
      </c>
      <c r="B115" s="18" t="s">
        <v>143</v>
      </c>
      <c r="C115" s="19">
        <v>46034</v>
      </c>
      <c r="D115" s="18" t="s">
        <v>327</v>
      </c>
      <c r="E115" s="20">
        <v>256779440171</v>
      </c>
      <c r="F115" s="18" t="s">
        <v>141</v>
      </c>
      <c r="G115" s="21">
        <v>180.4</v>
      </c>
      <c r="H115" s="18" t="s">
        <v>131</v>
      </c>
      <c r="I115" s="21">
        <v>16370.06</v>
      </c>
      <c r="J115" s="18" t="s">
        <v>328</v>
      </c>
      <c r="K115" s="10" t="e" cm="1">
        <f t="array" ref="K115">VLOOKUP(E115,'Customer Data'!$B$1:$F$58,{3,4},0)</f>
        <v>#N/A</v>
      </c>
      <c r="L115" s="10"/>
      <c r="M115" s="10" t="s">
        <v>130</v>
      </c>
      <c r="N115" s="10"/>
    </row>
    <row r="116" spans="1:14" x14ac:dyDescent="0.35">
      <c r="A116" s="25">
        <v>1800016783</v>
      </c>
      <c r="B116" s="18" t="s">
        <v>143</v>
      </c>
      <c r="C116" s="19">
        <v>46035</v>
      </c>
      <c r="D116" s="18" t="s">
        <v>144</v>
      </c>
      <c r="E116" s="20">
        <v>256779440370</v>
      </c>
      <c r="F116" s="18" t="s">
        <v>141</v>
      </c>
      <c r="G116" s="21">
        <v>60.36</v>
      </c>
      <c r="H116" s="18" t="s">
        <v>131</v>
      </c>
      <c r="I116" s="21">
        <v>5477.26</v>
      </c>
      <c r="J116" s="18" t="s">
        <v>347</v>
      </c>
      <c r="K116" s="10" cm="1">
        <f t="array" ref="K116:L116">VLOOKUP(E116,'Customer Data'!$B$1:$F$58,{3,4},0)</f>
        <v>1</v>
      </c>
      <c r="L116" s="10">
        <v>63.21</v>
      </c>
      <c r="M116" s="10" t="s">
        <v>130</v>
      </c>
      <c r="N116" s="10"/>
    </row>
    <row r="117" spans="1:14" x14ac:dyDescent="0.35">
      <c r="A117" s="25">
        <v>1800016772</v>
      </c>
      <c r="B117" s="18" t="s">
        <v>143</v>
      </c>
      <c r="C117" s="19">
        <v>46035</v>
      </c>
      <c r="D117" s="18" t="s">
        <v>144</v>
      </c>
      <c r="E117" s="20">
        <v>256779440359</v>
      </c>
      <c r="F117" s="18" t="s">
        <v>141</v>
      </c>
      <c r="G117" s="21">
        <v>821.64</v>
      </c>
      <c r="H117" s="18" t="s">
        <v>131</v>
      </c>
      <c r="I117" s="21">
        <v>74558.19</v>
      </c>
      <c r="J117" s="18" t="s">
        <v>345</v>
      </c>
      <c r="K117" s="10" cm="1">
        <f t="array" ref="K117:L117">VLOOKUP(E117,'Customer Data'!$B$1:$F$58,{3,4},0)</f>
        <v>1</v>
      </c>
      <c r="L117" s="10">
        <v>40.04</v>
      </c>
      <c r="M117" s="10" t="s">
        <v>130</v>
      </c>
      <c r="N117" s="10"/>
    </row>
    <row r="118" spans="1:14" x14ac:dyDescent="0.35">
      <c r="A118" s="25">
        <v>1800016749</v>
      </c>
      <c r="B118" s="18" t="s">
        <v>143</v>
      </c>
      <c r="C118" s="19">
        <v>46035</v>
      </c>
      <c r="D118" s="18" t="s">
        <v>144</v>
      </c>
      <c r="E118" s="20">
        <v>256779440336</v>
      </c>
      <c r="F118" s="18" t="s">
        <v>141</v>
      </c>
      <c r="G118" s="21">
        <v>70</v>
      </c>
      <c r="H118" s="18" t="s">
        <v>131</v>
      </c>
      <c r="I118" s="21">
        <v>6352.02</v>
      </c>
      <c r="J118" s="18" t="s">
        <v>343</v>
      </c>
      <c r="K118" s="10" cm="1">
        <f t="array" ref="K118:L118">VLOOKUP(E118,'Customer Data'!$B$1:$F$58,{3,4},0)</f>
        <v>1</v>
      </c>
      <c r="L118" s="10">
        <v>70</v>
      </c>
      <c r="M118" s="10" t="s">
        <v>130</v>
      </c>
      <c r="N118" s="10"/>
    </row>
    <row r="119" spans="1:14" x14ac:dyDescent="0.35">
      <c r="A119" s="25">
        <v>1400002476</v>
      </c>
      <c r="B119" s="18" t="s">
        <v>134</v>
      </c>
      <c r="C119" s="19">
        <v>46041</v>
      </c>
      <c r="D119" s="18" t="s">
        <v>349</v>
      </c>
      <c r="E119" s="20" t="s">
        <v>130</v>
      </c>
      <c r="F119" s="18" t="s">
        <v>131</v>
      </c>
      <c r="G119" s="58">
        <v>-5537.0979955700004</v>
      </c>
      <c r="H119" s="18" t="s">
        <v>131</v>
      </c>
      <c r="I119" s="21">
        <v>-500000</v>
      </c>
      <c r="J119" s="18" t="s">
        <v>130</v>
      </c>
      <c r="K119" s="10" t="s">
        <v>407</v>
      </c>
      <c r="L119" s="10"/>
      <c r="M119" s="10" t="s">
        <v>130</v>
      </c>
      <c r="N119" s="10" t="s">
        <v>363</v>
      </c>
    </row>
    <row r="120" spans="1:14" x14ac:dyDescent="0.35">
      <c r="A120" s="4" t="s">
        <v>130</v>
      </c>
      <c r="B120" s="4" t="s">
        <v>130</v>
      </c>
      <c r="C120" s="5"/>
      <c r="D120" s="4" t="s">
        <v>130</v>
      </c>
      <c r="E120" s="4" t="s">
        <v>130</v>
      </c>
      <c r="F120" s="4" t="s">
        <v>141</v>
      </c>
      <c r="G120" s="6">
        <f>SUM(G105:G119)</f>
        <v>-2045.4279955700003</v>
      </c>
      <c r="H120" s="4" t="s">
        <v>131</v>
      </c>
      <c r="I120" s="6">
        <v>1140823.17</v>
      </c>
      <c r="J120" s="4" t="s">
        <v>130</v>
      </c>
      <c r="K120" s="10"/>
      <c r="L120" s="10"/>
      <c r="M120" s="10"/>
      <c r="N120" s="10"/>
    </row>
    <row r="121" spans="1:14" x14ac:dyDescent="0.35">
      <c r="A121" s="4" t="s">
        <v>130</v>
      </c>
      <c r="B121" s="4" t="s">
        <v>130</v>
      </c>
      <c r="C121" s="5"/>
      <c r="D121" s="4" t="s">
        <v>130</v>
      </c>
      <c r="E121" s="4" t="s">
        <v>130</v>
      </c>
      <c r="F121" s="4"/>
      <c r="G121" s="32"/>
      <c r="H121" s="4" t="s">
        <v>130</v>
      </c>
      <c r="I121" s="7"/>
      <c r="J121" s="4" t="s">
        <v>130</v>
      </c>
      <c r="K121" s="10"/>
      <c r="L121" s="10"/>
      <c r="M121" s="10"/>
      <c r="N121" s="10"/>
    </row>
    <row r="123" spans="1:14" x14ac:dyDescent="0.35">
      <c r="G123" s="22"/>
    </row>
  </sheetData>
  <autoFilter ref="A2:N121" xr:uid="{2B366754-450E-4365-9C8B-93B1AFD2082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6FEFA-A28C-4348-9994-C2B770AA741C}">
  <dimension ref="A1:Q37"/>
  <sheetViews>
    <sheetView topLeftCell="A10" zoomScale="85" zoomScaleNormal="85" workbookViewId="0">
      <selection activeCell="L7" sqref="L1:L1048576"/>
    </sheetView>
  </sheetViews>
  <sheetFormatPr defaultRowHeight="14.5" x14ac:dyDescent="0.35"/>
  <cols>
    <col min="1" max="1" width="13.6328125" style="29" customWidth="1"/>
    <col min="2" max="2" width="4.36328125" style="29" customWidth="1"/>
    <col min="3" max="3" width="16.54296875" style="29" bestFit="1" customWidth="1"/>
    <col min="4" max="4" width="9.08984375" style="29" customWidth="1"/>
    <col min="5" max="5" width="13.90625" style="29" bestFit="1" customWidth="1"/>
    <col min="6" max="6" width="5.36328125" style="29" customWidth="1"/>
    <col min="7" max="7" width="10.1796875" style="29" customWidth="1"/>
    <col min="8" max="8" width="5" style="29" customWidth="1"/>
    <col min="9" max="9" width="11.7265625" style="29" customWidth="1"/>
    <col min="10" max="10" width="28.1796875" style="29" customWidth="1"/>
    <col min="11" max="11" width="18.36328125" style="29" bestFit="1" customWidth="1"/>
    <col min="12" max="12" width="32.08984375" style="83" customWidth="1"/>
    <col min="13" max="13" width="17.36328125" style="29" customWidth="1"/>
    <col min="14" max="15" width="8.7265625" style="29"/>
    <col min="16" max="16" width="11.81640625" style="29" customWidth="1"/>
    <col min="17" max="17" width="8.7265625" style="92"/>
    <col min="18" max="16384" width="8.7265625" style="29"/>
  </cols>
  <sheetData>
    <row r="1" spans="1:17" x14ac:dyDescent="0.35">
      <c r="G1" s="81"/>
      <c r="I1" s="82"/>
    </row>
    <row r="2" spans="1:17" ht="101.5" x14ac:dyDescent="0.35">
      <c r="A2" s="77" t="s">
        <v>120</v>
      </c>
      <c r="B2" s="78" t="s">
        <v>121</v>
      </c>
      <c r="C2" s="77" t="s">
        <v>122</v>
      </c>
      <c r="D2" s="77" t="s">
        <v>123</v>
      </c>
      <c r="E2" s="77" t="s">
        <v>124</v>
      </c>
      <c r="F2" s="78" t="s">
        <v>125</v>
      </c>
      <c r="G2" s="78" t="s">
        <v>126</v>
      </c>
      <c r="H2" s="78" t="s">
        <v>127</v>
      </c>
      <c r="I2" s="78" t="s">
        <v>128</v>
      </c>
      <c r="J2" s="27" t="s">
        <v>355</v>
      </c>
      <c r="K2" s="28" t="s">
        <v>496</v>
      </c>
      <c r="L2" s="28" t="s">
        <v>355</v>
      </c>
      <c r="M2" s="28" t="s">
        <v>512</v>
      </c>
      <c r="N2" s="28" t="s">
        <v>508</v>
      </c>
      <c r="O2" s="28" t="s">
        <v>510</v>
      </c>
      <c r="P2" s="28" t="s">
        <v>352</v>
      </c>
      <c r="Q2" s="93" t="s">
        <v>511</v>
      </c>
    </row>
    <row r="3" spans="1:17" x14ac:dyDescent="0.35">
      <c r="A3" s="84">
        <v>1800014973</v>
      </c>
      <c r="B3" s="84" t="s">
        <v>143</v>
      </c>
      <c r="C3" s="85">
        <v>45981</v>
      </c>
      <c r="D3" s="84" t="s">
        <v>144</v>
      </c>
      <c r="E3" s="76">
        <v>256779419471</v>
      </c>
      <c r="F3" s="84" t="s">
        <v>141</v>
      </c>
      <c r="G3" s="86">
        <v>20.28</v>
      </c>
      <c r="H3" s="84" t="s">
        <v>131</v>
      </c>
      <c r="I3" s="86">
        <v>1784.71</v>
      </c>
      <c r="J3" s="84" t="s">
        <v>147</v>
      </c>
      <c r="K3" s="84" t="s">
        <v>427</v>
      </c>
      <c r="L3" s="87"/>
      <c r="M3" s="88" cm="1">
        <f t="array" ref="M3:N3">_xlfn.XLOOKUP(E3,'Updated Customer Ledger'!$C:$C,'Updated Customer Ledger'!$D:$E,,0)</f>
        <v>0</v>
      </c>
      <c r="N3" s="88">
        <v>20.28</v>
      </c>
      <c r="O3" s="90">
        <f t="shared" ref="O3:O30" si="0">N3-M3</f>
        <v>20.28</v>
      </c>
      <c r="P3" s="91">
        <f t="shared" ref="P3" si="1">G3-O3</f>
        <v>0</v>
      </c>
      <c r="Q3" s="94">
        <f t="shared" ref="Q3:Q30" si="2">P3/G3</f>
        <v>0</v>
      </c>
    </row>
    <row r="4" spans="1:17" ht="29" x14ac:dyDescent="0.35">
      <c r="A4" s="84">
        <v>1800000003</v>
      </c>
      <c r="B4" s="84" t="s">
        <v>143</v>
      </c>
      <c r="C4" s="85">
        <v>45692</v>
      </c>
      <c r="D4" s="84" t="s">
        <v>144</v>
      </c>
      <c r="E4" s="76">
        <v>246779410003</v>
      </c>
      <c r="F4" s="84" t="s">
        <v>141</v>
      </c>
      <c r="G4" s="86">
        <v>50.75</v>
      </c>
      <c r="H4" s="84" t="s">
        <v>131</v>
      </c>
      <c r="I4" s="86">
        <v>4379.91</v>
      </c>
      <c r="J4" s="84" t="s">
        <v>145</v>
      </c>
      <c r="K4" s="84" t="s">
        <v>497</v>
      </c>
      <c r="L4" s="79" t="s">
        <v>498</v>
      </c>
      <c r="M4" s="88" t="e" cm="1">
        <f t="array" ref="M4">_xlfn.XLOOKUP(E4,'Updated Customer Ledger'!$C:$C,'Updated Customer Ledger'!$D:$E,,0)</f>
        <v>#N/A</v>
      </c>
      <c r="N4" s="88"/>
      <c r="O4" s="90" t="e">
        <f t="shared" si="0"/>
        <v>#N/A</v>
      </c>
      <c r="P4" s="91" t="e">
        <f t="shared" ref="P4:P30" si="3">G4-O4</f>
        <v>#N/A</v>
      </c>
      <c r="Q4" s="94" t="e">
        <f t="shared" si="2"/>
        <v>#N/A</v>
      </c>
    </row>
    <row r="5" spans="1:17" x14ac:dyDescent="0.35">
      <c r="A5" s="84">
        <v>1800010437</v>
      </c>
      <c r="B5" s="84" t="s">
        <v>143</v>
      </c>
      <c r="C5" s="85">
        <v>45842</v>
      </c>
      <c r="D5" s="84" t="s">
        <v>144</v>
      </c>
      <c r="E5" s="76">
        <v>256779415197</v>
      </c>
      <c r="F5" s="84" t="s">
        <v>141</v>
      </c>
      <c r="G5" s="86">
        <v>492.25</v>
      </c>
      <c r="H5" s="84" t="s">
        <v>131</v>
      </c>
      <c r="I5" s="86">
        <v>42333.83</v>
      </c>
      <c r="J5" s="84" t="s">
        <v>171</v>
      </c>
      <c r="K5" s="84" t="s">
        <v>472</v>
      </c>
      <c r="L5" s="87"/>
      <c r="M5" s="88" cm="1">
        <f t="array" ref="M5:N5">_xlfn.XLOOKUP(E5,'Updated Customer Ledger'!$C:$C,'Updated Customer Ledger'!$D:$E,,0)</f>
        <v>49</v>
      </c>
      <c r="N5" s="88">
        <v>492.25</v>
      </c>
      <c r="O5" s="90">
        <f t="shared" si="0"/>
        <v>443.25</v>
      </c>
      <c r="P5" s="91">
        <f t="shared" si="3"/>
        <v>49</v>
      </c>
      <c r="Q5" s="94">
        <f t="shared" si="2"/>
        <v>9.9542915185373282E-2</v>
      </c>
    </row>
    <row r="6" spans="1:17" x14ac:dyDescent="0.35">
      <c r="A6" s="84">
        <v>1800010502</v>
      </c>
      <c r="B6" s="84" t="s">
        <v>143</v>
      </c>
      <c r="C6" s="85">
        <v>45842</v>
      </c>
      <c r="D6" s="84" t="s">
        <v>144</v>
      </c>
      <c r="E6" s="76">
        <v>256779415262</v>
      </c>
      <c r="F6" s="84" t="s">
        <v>141</v>
      </c>
      <c r="G6" s="86">
        <v>476.32</v>
      </c>
      <c r="H6" s="84" t="s">
        <v>131</v>
      </c>
      <c r="I6" s="86">
        <v>40963.839999999997</v>
      </c>
      <c r="J6" s="84" t="s">
        <v>173</v>
      </c>
      <c r="K6" s="84" t="s">
        <v>437</v>
      </c>
      <c r="L6" s="87"/>
      <c r="M6" s="88" cm="1">
        <f t="array" ref="M6:N6">_xlfn.XLOOKUP(E6,'Updated Customer Ledger'!$C:$C,'Updated Customer Ledger'!$D:$E,,0)</f>
        <v>10</v>
      </c>
      <c r="N6" s="88">
        <v>476.32</v>
      </c>
      <c r="O6" s="90">
        <f t="shared" si="0"/>
        <v>466.32</v>
      </c>
      <c r="P6" s="91">
        <f t="shared" si="3"/>
        <v>10</v>
      </c>
      <c r="Q6" s="94">
        <f t="shared" si="2"/>
        <v>2.0994289553241518E-2</v>
      </c>
    </row>
    <row r="7" spans="1:17" x14ac:dyDescent="0.35">
      <c r="A7" s="84">
        <v>1800014289</v>
      </c>
      <c r="B7" s="84" t="s">
        <v>143</v>
      </c>
      <c r="C7" s="85">
        <v>45966</v>
      </c>
      <c r="D7" s="84" t="s">
        <v>144</v>
      </c>
      <c r="E7" s="76">
        <v>256779418826</v>
      </c>
      <c r="F7" s="84" t="s">
        <v>141</v>
      </c>
      <c r="G7" s="86">
        <v>60.86</v>
      </c>
      <c r="H7" s="84" t="s">
        <v>131</v>
      </c>
      <c r="I7" s="86">
        <v>5355.89</v>
      </c>
      <c r="J7" s="84" t="s">
        <v>179</v>
      </c>
      <c r="K7" s="84" t="s">
        <v>439</v>
      </c>
      <c r="L7" s="87"/>
      <c r="M7" s="88" cm="1">
        <f t="array" ref="M7:N7">_xlfn.XLOOKUP(E7,'Updated Customer Ledger'!$C:$C,'Updated Customer Ledger'!$D:$E,,0)</f>
        <v>1</v>
      </c>
      <c r="N7" s="88">
        <v>60.86</v>
      </c>
      <c r="O7" s="90">
        <f t="shared" si="0"/>
        <v>59.86</v>
      </c>
      <c r="P7" s="91">
        <f t="shared" si="3"/>
        <v>1</v>
      </c>
      <c r="Q7" s="94">
        <f t="shared" si="2"/>
        <v>1.6431153466973381E-2</v>
      </c>
    </row>
    <row r="8" spans="1:17" x14ac:dyDescent="0.35">
      <c r="A8" s="84">
        <v>1800014554</v>
      </c>
      <c r="B8" s="84" t="s">
        <v>143</v>
      </c>
      <c r="C8" s="85">
        <v>45966</v>
      </c>
      <c r="D8" s="84" t="s">
        <v>144</v>
      </c>
      <c r="E8" s="76">
        <v>256779418886</v>
      </c>
      <c r="F8" s="84" t="s">
        <v>141</v>
      </c>
      <c r="G8" s="86">
        <v>1457.24</v>
      </c>
      <c r="H8" s="84" t="s">
        <v>131</v>
      </c>
      <c r="I8" s="86">
        <v>128242.06</v>
      </c>
      <c r="J8" s="84" t="s">
        <v>181</v>
      </c>
      <c r="K8" s="76" t="s">
        <v>464</v>
      </c>
      <c r="L8" s="87"/>
      <c r="M8" s="88" cm="1">
        <f t="array" ref="M8:N8">_xlfn.XLOOKUP(E8,'Updated Customer Ledger'!$C:$C,'Updated Customer Ledger'!$D:$E,,0)</f>
        <v>146</v>
      </c>
      <c r="N8" s="88">
        <v>1457.24</v>
      </c>
      <c r="O8" s="90">
        <f t="shared" si="0"/>
        <v>1311.24</v>
      </c>
      <c r="P8" s="91">
        <f t="shared" si="3"/>
        <v>146</v>
      </c>
      <c r="Q8" s="94">
        <f t="shared" si="2"/>
        <v>0.10018939913809667</v>
      </c>
    </row>
    <row r="9" spans="1:17" ht="29" x14ac:dyDescent="0.35">
      <c r="A9" s="84">
        <v>1800009181</v>
      </c>
      <c r="B9" s="84" t="s">
        <v>143</v>
      </c>
      <c r="C9" s="85">
        <v>45810</v>
      </c>
      <c r="D9" s="84" t="s">
        <v>144</v>
      </c>
      <c r="E9" s="76">
        <v>256779413945</v>
      </c>
      <c r="F9" s="84" t="s">
        <v>141</v>
      </c>
      <c r="G9" s="86">
        <v>50.75</v>
      </c>
      <c r="H9" s="84" t="s">
        <v>131</v>
      </c>
      <c r="I9" s="86">
        <v>4338.66</v>
      </c>
      <c r="J9" s="84" t="s">
        <v>212</v>
      </c>
      <c r="K9" s="84" t="s">
        <v>497</v>
      </c>
      <c r="L9" s="79" t="s">
        <v>498</v>
      </c>
      <c r="M9" s="88" t="e" cm="1">
        <f t="array" ref="M9">_xlfn.XLOOKUP(E9,'Updated Customer Ledger'!$C:$C,'Updated Customer Ledger'!$D:$E,,0)</f>
        <v>#N/A</v>
      </c>
      <c r="N9" s="88"/>
      <c r="O9" s="90" t="e">
        <f t="shared" si="0"/>
        <v>#N/A</v>
      </c>
      <c r="P9" s="91" t="e">
        <f t="shared" si="3"/>
        <v>#N/A</v>
      </c>
      <c r="Q9" s="94" t="e">
        <f t="shared" si="2"/>
        <v>#N/A</v>
      </c>
    </row>
    <row r="10" spans="1:17" x14ac:dyDescent="0.35">
      <c r="A10" s="84">
        <v>1800011657</v>
      </c>
      <c r="B10" s="84" t="s">
        <v>143</v>
      </c>
      <c r="C10" s="85">
        <v>45877</v>
      </c>
      <c r="D10" s="84" t="s">
        <v>144</v>
      </c>
      <c r="E10" s="76">
        <v>256779416087</v>
      </c>
      <c r="F10" s="84" t="s">
        <v>141</v>
      </c>
      <c r="G10" s="86">
        <v>916.56</v>
      </c>
      <c r="H10" s="84" t="s">
        <v>131</v>
      </c>
      <c r="I10" s="86">
        <v>78851.77</v>
      </c>
      <c r="J10" s="84" t="s">
        <v>190</v>
      </c>
      <c r="K10" s="84" t="s">
        <v>470</v>
      </c>
      <c r="L10" s="87"/>
      <c r="M10" s="88" cm="1">
        <f t="array" ref="M10:N10">_xlfn.XLOOKUP(E10,'Updated Customer Ledger'!$C:$C,'Updated Customer Ledger'!$D:$E,,0)</f>
        <v>92</v>
      </c>
      <c r="N10" s="88">
        <v>916.56</v>
      </c>
      <c r="O10" s="90">
        <f t="shared" si="0"/>
        <v>824.56</v>
      </c>
      <c r="P10" s="91">
        <f t="shared" si="3"/>
        <v>92</v>
      </c>
      <c r="Q10" s="94">
        <f t="shared" si="2"/>
        <v>0.10037531640045387</v>
      </c>
    </row>
    <row r="11" spans="1:17" x14ac:dyDescent="0.35">
      <c r="A11" s="84">
        <v>1800009134</v>
      </c>
      <c r="B11" s="84" t="s">
        <v>143</v>
      </c>
      <c r="C11" s="85">
        <v>45805</v>
      </c>
      <c r="D11" s="84" t="s">
        <v>144</v>
      </c>
      <c r="E11" s="76">
        <v>256779413898</v>
      </c>
      <c r="F11" s="84" t="s">
        <v>141</v>
      </c>
      <c r="G11" s="86">
        <v>928.64</v>
      </c>
      <c r="H11" s="84" t="s">
        <v>131</v>
      </c>
      <c r="I11" s="86">
        <v>79847.899999999994</v>
      </c>
      <c r="J11" s="84" t="s">
        <v>196</v>
      </c>
      <c r="K11" s="84" t="s">
        <v>476</v>
      </c>
      <c r="L11" s="87"/>
      <c r="M11" s="88" cm="1">
        <f t="array" ref="M11:N11">_xlfn.XLOOKUP(E11,'Updated Customer Ledger'!$C:$C,'Updated Customer Ledger'!$D:$E,,0)</f>
        <v>93</v>
      </c>
      <c r="N11" s="88">
        <v>928.64</v>
      </c>
      <c r="O11" s="90">
        <f t="shared" si="0"/>
        <v>835.64</v>
      </c>
      <c r="P11" s="91">
        <f t="shared" si="3"/>
        <v>93</v>
      </c>
      <c r="Q11" s="94">
        <f t="shared" si="2"/>
        <v>0.10014645072363887</v>
      </c>
    </row>
    <row r="12" spans="1:17" s="105" customFormat="1" ht="29" x14ac:dyDescent="0.35">
      <c r="A12" s="84">
        <v>1800009191</v>
      </c>
      <c r="B12" s="84" t="s">
        <v>143</v>
      </c>
      <c r="C12" s="85">
        <v>45810</v>
      </c>
      <c r="D12" s="84" t="s">
        <v>144</v>
      </c>
      <c r="E12" s="76">
        <v>256779413955</v>
      </c>
      <c r="F12" s="84" t="s">
        <v>141</v>
      </c>
      <c r="G12" s="86">
        <v>50.75</v>
      </c>
      <c r="H12" s="84" t="s">
        <v>131</v>
      </c>
      <c r="I12" s="86">
        <v>4338.66</v>
      </c>
      <c r="J12" s="84" t="s">
        <v>145</v>
      </c>
      <c r="K12" s="84" t="s">
        <v>497</v>
      </c>
      <c r="L12" s="79" t="s">
        <v>498</v>
      </c>
      <c r="M12" s="88" t="e" cm="1">
        <f t="array" ref="M12">_xlfn.XLOOKUP(E12,'Updated Customer Ledger'!$C:$C,'Updated Customer Ledger'!$D:$E,,0)</f>
        <v>#N/A</v>
      </c>
      <c r="N12" s="88"/>
      <c r="O12" s="90" t="e">
        <f t="shared" si="0"/>
        <v>#N/A</v>
      </c>
      <c r="P12" s="91" t="e">
        <f t="shared" si="3"/>
        <v>#N/A</v>
      </c>
      <c r="Q12" s="94" t="e">
        <f t="shared" si="2"/>
        <v>#N/A</v>
      </c>
    </row>
    <row r="13" spans="1:17" s="105" customFormat="1" x14ac:dyDescent="0.35">
      <c r="A13" s="95">
        <v>1800011070</v>
      </c>
      <c r="B13" s="95" t="s">
        <v>143</v>
      </c>
      <c r="C13" s="96">
        <v>45862</v>
      </c>
      <c r="D13" s="95" t="s">
        <v>144</v>
      </c>
      <c r="E13" s="97">
        <v>256779415830</v>
      </c>
      <c r="F13" s="95" t="s">
        <v>141</v>
      </c>
      <c r="G13" s="98">
        <v>50.75</v>
      </c>
      <c r="H13" s="95" t="s">
        <v>131</v>
      </c>
      <c r="I13" s="98">
        <v>4364.53</v>
      </c>
      <c r="J13" s="95" t="s">
        <v>230</v>
      </c>
      <c r="K13" s="95" t="e">
        <v>#N/A</v>
      </c>
      <c r="L13" s="99" t="s">
        <v>500</v>
      </c>
      <c r="M13" s="100" t="e" cm="1">
        <f t="array" ref="M13">_xlfn.XLOOKUP(E13,'Updated Customer Ledger'!$C:$C,'Updated Customer Ledger'!$D:$E,,0)</f>
        <v>#N/A</v>
      </c>
      <c r="N13" s="101"/>
      <c r="O13" s="102" t="e">
        <f t="shared" si="0"/>
        <v>#N/A</v>
      </c>
      <c r="P13" s="103" t="e">
        <f t="shared" si="3"/>
        <v>#N/A</v>
      </c>
      <c r="Q13" s="104" t="e">
        <f t="shared" si="2"/>
        <v>#N/A</v>
      </c>
    </row>
    <row r="14" spans="1:17" x14ac:dyDescent="0.35">
      <c r="A14" s="84">
        <v>1800013944</v>
      </c>
      <c r="B14" s="84" t="s">
        <v>143</v>
      </c>
      <c r="C14" s="85">
        <v>45951</v>
      </c>
      <c r="D14" s="84" t="s">
        <v>144</v>
      </c>
      <c r="E14" s="76">
        <v>256779418476</v>
      </c>
      <c r="F14" s="84" t="s">
        <v>141</v>
      </c>
      <c r="G14" s="86">
        <v>950.87</v>
      </c>
      <c r="H14" s="84" t="s">
        <v>131</v>
      </c>
      <c r="I14" s="86">
        <v>83857.960000000006</v>
      </c>
      <c r="J14" s="84" t="s">
        <v>247</v>
      </c>
      <c r="K14" s="84" t="s">
        <v>435</v>
      </c>
      <c r="L14" s="87"/>
      <c r="M14" s="88" cm="1">
        <f t="array" ref="M14:N14">_xlfn.XLOOKUP(E14,'Updated Customer Ledger'!$C:$C,'Updated Customer Ledger'!$D:$E,,0)</f>
        <v>19</v>
      </c>
      <c r="N14" s="88">
        <v>950.87</v>
      </c>
      <c r="O14" s="90">
        <f t="shared" si="0"/>
        <v>931.87</v>
      </c>
      <c r="P14" s="91">
        <f t="shared" si="3"/>
        <v>19</v>
      </c>
      <c r="Q14" s="94">
        <f t="shared" si="2"/>
        <v>1.9981700968586664E-2</v>
      </c>
    </row>
    <row r="15" spans="1:17" x14ac:dyDescent="0.35">
      <c r="A15" s="84">
        <v>1800014962</v>
      </c>
      <c r="B15" s="84" t="s">
        <v>143</v>
      </c>
      <c r="C15" s="85">
        <v>45981</v>
      </c>
      <c r="D15" s="84" t="s">
        <v>144</v>
      </c>
      <c r="E15" s="76">
        <v>256779419463</v>
      </c>
      <c r="F15" s="84" t="s">
        <v>141</v>
      </c>
      <c r="G15" s="86">
        <v>602.03</v>
      </c>
      <c r="H15" s="84" t="s">
        <v>131</v>
      </c>
      <c r="I15" s="86">
        <v>52980.68</v>
      </c>
      <c r="J15" s="84" t="s">
        <v>257</v>
      </c>
      <c r="K15" s="84" t="s">
        <v>433</v>
      </c>
      <c r="L15" s="87"/>
      <c r="M15" s="88" cm="1">
        <f t="array" ref="M15:N15">_xlfn.XLOOKUP(E15,'Updated Customer Ledger'!$C:$C,'Updated Customer Ledger'!$D:$E,,0)</f>
        <v>12</v>
      </c>
      <c r="N15" s="88">
        <v>602.03</v>
      </c>
      <c r="O15" s="90">
        <f t="shared" si="0"/>
        <v>590.03</v>
      </c>
      <c r="P15" s="91">
        <f t="shared" si="3"/>
        <v>12</v>
      </c>
      <c r="Q15" s="94">
        <f t="shared" si="2"/>
        <v>1.9932561500257462E-2</v>
      </c>
    </row>
    <row r="16" spans="1:17" x14ac:dyDescent="0.35">
      <c r="A16" s="84">
        <v>1800015032</v>
      </c>
      <c r="B16" s="84" t="s">
        <v>143</v>
      </c>
      <c r="C16" s="85">
        <v>45981</v>
      </c>
      <c r="D16" s="84" t="s">
        <v>144</v>
      </c>
      <c r="E16" s="76">
        <v>256779419533</v>
      </c>
      <c r="F16" s="84" t="s">
        <v>141</v>
      </c>
      <c r="G16" s="86">
        <v>131.6</v>
      </c>
      <c r="H16" s="84" t="s">
        <v>131</v>
      </c>
      <c r="I16" s="86">
        <v>11581.25</v>
      </c>
      <c r="J16" s="84" t="s">
        <v>259</v>
      </c>
      <c r="K16" s="84" t="s">
        <v>441</v>
      </c>
      <c r="L16" s="87"/>
      <c r="M16" s="88" cm="1">
        <f t="array" ref="M16:N16">_xlfn.XLOOKUP(E16,'Updated Customer Ledger'!$C:$C,'Updated Customer Ledger'!$D:$E,,0)</f>
        <v>3</v>
      </c>
      <c r="N16" s="88">
        <v>131.6</v>
      </c>
      <c r="O16" s="90">
        <f t="shared" si="0"/>
        <v>128.6</v>
      </c>
      <c r="P16" s="91">
        <f t="shared" si="3"/>
        <v>3</v>
      </c>
      <c r="Q16" s="94">
        <f t="shared" si="2"/>
        <v>2.2796352583586626E-2</v>
      </c>
    </row>
    <row r="17" spans="1:17" x14ac:dyDescent="0.35">
      <c r="A17" s="84">
        <v>1800015095</v>
      </c>
      <c r="B17" s="84" t="s">
        <v>143</v>
      </c>
      <c r="C17" s="85">
        <v>45981</v>
      </c>
      <c r="D17" s="84" t="s">
        <v>144</v>
      </c>
      <c r="E17" s="76">
        <v>256779419546</v>
      </c>
      <c r="F17" s="84" t="s">
        <v>141</v>
      </c>
      <c r="G17" s="86">
        <v>56.4</v>
      </c>
      <c r="H17" s="84" t="s">
        <v>131</v>
      </c>
      <c r="I17" s="86">
        <v>4963.3900000000003</v>
      </c>
      <c r="J17" s="84" t="s">
        <v>261</v>
      </c>
      <c r="K17" s="84" t="s">
        <v>446</v>
      </c>
      <c r="L17" s="87"/>
      <c r="M17" s="88" cm="1">
        <f t="array" ref="M17:N17">_xlfn.XLOOKUP(E17,'Updated Customer Ledger'!$C:$C,'Updated Customer Ledger'!$D:$E,,0)</f>
        <v>1</v>
      </c>
      <c r="N17" s="88">
        <v>56.4</v>
      </c>
      <c r="O17" s="90">
        <f t="shared" si="0"/>
        <v>55.4</v>
      </c>
      <c r="P17" s="91">
        <f t="shared" si="3"/>
        <v>1</v>
      </c>
      <c r="Q17" s="94">
        <f t="shared" si="2"/>
        <v>1.7730496453900711E-2</v>
      </c>
    </row>
    <row r="18" spans="1:17" x14ac:dyDescent="0.35">
      <c r="A18" s="95">
        <v>1800011071</v>
      </c>
      <c r="B18" s="95" t="s">
        <v>143</v>
      </c>
      <c r="C18" s="96">
        <v>45862</v>
      </c>
      <c r="D18" s="95" t="s">
        <v>144</v>
      </c>
      <c r="E18" s="97">
        <v>256779415831</v>
      </c>
      <c r="F18" s="95" t="s">
        <v>141</v>
      </c>
      <c r="G18" s="98">
        <v>50.75</v>
      </c>
      <c r="H18" s="95" t="s">
        <v>131</v>
      </c>
      <c r="I18" s="98">
        <v>4364.53</v>
      </c>
      <c r="J18" s="95" t="s">
        <v>232</v>
      </c>
      <c r="K18" s="95" t="e">
        <v>#N/A</v>
      </c>
      <c r="L18" s="99" t="s">
        <v>500</v>
      </c>
      <c r="M18" s="100" t="e" cm="1">
        <f t="array" ref="M18">_xlfn.XLOOKUP(E18,'Updated Customer Ledger'!$C:$C,'Updated Customer Ledger'!$D:$E,,0)</f>
        <v>#N/A</v>
      </c>
      <c r="N18" s="101"/>
      <c r="O18" s="102" t="e">
        <f t="shared" si="0"/>
        <v>#N/A</v>
      </c>
      <c r="P18" s="103" t="e">
        <f t="shared" si="3"/>
        <v>#N/A</v>
      </c>
      <c r="Q18" s="104" t="e">
        <f t="shared" si="2"/>
        <v>#N/A</v>
      </c>
    </row>
    <row r="19" spans="1:17" x14ac:dyDescent="0.35">
      <c r="A19" s="84">
        <v>1800016281</v>
      </c>
      <c r="B19" s="84" t="s">
        <v>143</v>
      </c>
      <c r="C19" s="85">
        <v>46028</v>
      </c>
      <c r="D19" s="84" t="s">
        <v>324</v>
      </c>
      <c r="E19" s="76">
        <v>256779440161</v>
      </c>
      <c r="F19" s="84" t="s">
        <v>141</v>
      </c>
      <c r="G19" s="86">
        <v>56.74</v>
      </c>
      <c r="H19" s="84" t="s">
        <v>131</v>
      </c>
      <c r="I19" s="86">
        <v>5148.7700000000004</v>
      </c>
      <c r="J19" s="84" t="s">
        <v>325</v>
      </c>
      <c r="K19" s="84" t="s">
        <v>497</v>
      </c>
      <c r="L19" s="80" t="s">
        <v>325</v>
      </c>
      <c r="M19" s="88" t="e" cm="1">
        <f t="array" ref="M19">_xlfn.XLOOKUP(E19,'Updated Customer Ledger'!$C:$C,'Updated Customer Ledger'!$D:$E,,0)</f>
        <v>#N/A</v>
      </c>
      <c r="N19" s="88"/>
      <c r="O19" s="90" t="e">
        <f t="shared" si="0"/>
        <v>#N/A</v>
      </c>
      <c r="P19" s="91" t="e">
        <f t="shared" si="3"/>
        <v>#N/A</v>
      </c>
      <c r="Q19" s="94" t="e">
        <f t="shared" si="2"/>
        <v>#N/A</v>
      </c>
    </row>
    <row r="20" spans="1:17" ht="29" x14ac:dyDescent="0.35">
      <c r="A20" s="84">
        <v>1800014728</v>
      </c>
      <c r="B20" s="84" t="s">
        <v>143</v>
      </c>
      <c r="C20" s="85">
        <v>45966</v>
      </c>
      <c r="D20" s="84" t="s">
        <v>187</v>
      </c>
      <c r="E20" s="76">
        <v>256779419229</v>
      </c>
      <c r="F20" s="84" t="s">
        <v>141</v>
      </c>
      <c r="G20" s="86">
        <v>77.069999999999993</v>
      </c>
      <c r="H20" s="84" t="s">
        <v>131</v>
      </c>
      <c r="I20" s="86">
        <v>6782.42</v>
      </c>
      <c r="J20" s="84" t="s">
        <v>188</v>
      </c>
      <c r="K20" s="84" t="s">
        <v>497</v>
      </c>
      <c r="L20" s="80" t="s">
        <v>499</v>
      </c>
      <c r="M20" s="88" t="e" cm="1">
        <f t="array" ref="M20">_xlfn.XLOOKUP(E20,'Updated Customer Ledger'!$C:$C,'Updated Customer Ledger'!$D:$E,,0)</f>
        <v>#N/A</v>
      </c>
      <c r="N20" s="88"/>
      <c r="O20" s="90" t="e">
        <f t="shared" si="0"/>
        <v>#N/A</v>
      </c>
      <c r="P20" s="91" t="e">
        <f t="shared" si="3"/>
        <v>#N/A</v>
      </c>
      <c r="Q20" s="94" t="e">
        <f t="shared" si="2"/>
        <v>#N/A</v>
      </c>
    </row>
    <row r="21" spans="1:17" x14ac:dyDescent="0.35">
      <c r="A21" s="84">
        <v>1800011010</v>
      </c>
      <c r="B21" s="84" t="s">
        <v>143</v>
      </c>
      <c r="C21" s="85">
        <v>45857</v>
      </c>
      <c r="D21" s="84" t="s">
        <v>144</v>
      </c>
      <c r="E21" s="76">
        <v>256779415770</v>
      </c>
      <c r="F21" s="84" t="s">
        <v>141</v>
      </c>
      <c r="G21" s="86">
        <v>1425.77</v>
      </c>
      <c r="H21" s="84" t="s">
        <v>131</v>
      </c>
      <c r="I21" s="86">
        <v>122617.18</v>
      </c>
      <c r="J21" s="84" t="s">
        <v>286</v>
      </c>
      <c r="K21" s="84" t="s">
        <v>497</v>
      </c>
      <c r="L21" s="79" t="s">
        <v>502</v>
      </c>
      <c r="M21" s="88" cm="1">
        <f t="array" ref="M21:N21">_xlfn.XLOOKUP(E21,'Updated Customer Ledger'!$C:$C,'Updated Customer Ledger'!$D:$E,,0)</f>
        <v>65</v>
      </c>
      <c r="N21" s="88">
        <v>1425.77</v>
      </c>
      <c r="O21" s="90">
        <f t="shared" si="0"/>
        <v>1360.77</v>
      </c>
      <c r="P21" s="91">
        <f t="shared" si="3"/>
        <v>65</v>
      </c>
      <c r="Q21" s="94">
        <f t="shared" si="2"/>
        <v>4.558940081499821E-2</v>
      </c>
    </row>
    <row r="22" spans="1:17" ht="43.5" x14ac:dyDescent="0.35">
      <c r="A22" s="84">
        <v>1800012870</v>
      </c>
      <c r="B22" s="84" t="s">
        <v>143</v>
      </c>
      <c r="C22" s="85">
        <v>45918</v>
      </c>
      <c r="D22" s="84" t="s">
        <v>144</v>
      </c>
      <c r="E22" s="76">
        <v>256779417488</v>
      </c>
      <c r="F22" s="84" t="s">
        <v>141</v>
      </c>
      <c r="G22" s="86">
        <v>52.64</v>
      </c>
      <c r="H22" s="84" t="s">
        <v>131</v>
      </c>
      <c r="I22" s="86">
        <v>4606.75</v>
      </c>
      <c r="J22" s="84" t="s">
        <v>263</v>
      </c>
      <c r="K22" s="84" t="s">
        <v>497</v>
      </c>
      <c r="L22" s="79" t="s">
        <v>501</v>
      </c>
      <c r="M22" s="88" t="e" cm="1">
        <f t="array" ref="M22">_xlfn.XLOOKUP(E22,'Updated Customer Ledger'!$C:$C,'Updated Customer Ledger'!$D:$E,,0)</f>
        <v>#N/A</v>
      </c>
      <c r="N22" s="88"/>
      <c r="O22" s="90" t="e">
        <f t="shared" si="0"/>
        <v>#N/A</v>
      </c>
      <c r="P22" s="91" t="e">
        <f t="shared" si="3"/>
        <v>#N/A</v>
      </c>
      <c r="Q22" s="94" t="e">
        <f t="shared" si="2"/>
        <v>#N/A</v>
      </c>
    </row>
    <row r="23" spans="1:17" x14ac:dyDescent="0.35">
      <c r="A23" s="84">
        <v>1800014002</v>
      </c>
      <c r="B23" s="84" t="s">
        <v>143</v>
      </c>
      <c r="C23" s="85">
        <v>45948</v>
      </c>
      <c r="D23" s="84" t="s">
        <v>144</v>
      </c>
      <c r="E23" s="76">
        <v>256779418426</v>
      </c>
      <c r="F23" s="84" t="s">
        <v>141</v>
      </c>
      <c r="G23" s="86">
        <v>124.55</v>
      </c>
      <c r="H23" s="84" t="s">
        <v>131</v>
      </c>
      <c r="I23" s="86">
        <v>10984.16</v>
      </c>
      <c r="J23" s="84" t="s">
        <v>300</v>
      </c>
      <c r="K23" s="84" t="s">
        <v>448</v>
      </c>
      <c r="L23" s="87"/>
      <c r="M23" s="88" cm="1">
        <f t="array" ref="M23:N23">_xlfn.XLOOKUP(E23,'Updated Customer Ledger'!$C:$C,'Updated Customer Ledger'!$D:$E,,0)</f>
        <v>2</v>
      </c>
      <c r="N23" s="88">
        <v>124.55</v>
      </c>
      <c r="O23" s="90">
        <f t="shared" si="0"/>
        <v>122.55</v>
      </c>
      <c r="P23" s="91">
        <f t="shared" si="3"/>
        <v>2</v>
      </c>
      <c r="Q23" s="94">
        <f t="shared" si="2"/>
        <v>1.6057808109193095E-2</v>
      </c>
    </row>
    <row r="24" spans="1:17" x14ac:dyDescent="0.35">
      <c r="A24" s="84">
        <v>1800014149</v>
      </c>
      <c r="B24" s="84" t="s">
        <v>143</v>
      </c>
      <c r="C24" s="85">
        <v>45948</v>
      </c>
      <c r="D24" s="84" t="s">
        <v>144</v>
      </c>
      <c r="E24" s="76">
        <v>256779418441</v>
      </c>
      <c r="F24" s="84" t="s">
        <v>141</v>
      </c>
      <c r="G24" s="86">
        <v>112.8</v>
      </c>
      <c r="H24" s="84" t="s">
        <v>131</v>
      </c>
      <c r="I24" s="86">
        <v>9947.92</v>
      </c>
      <c r="J24" s="84" t="s">
        <v>302</v>
      </c>
      <c r="K24" s="84" t="s">
        <v>450</v>
      </c>
      <c r="L24" s="87"/>
      <c r="M24" s="88" cm="1">
        <f t="array" ref="M24:N24">_xlfn.XLOOKUP(E24,'Updated Customer Ledger'!$C:$C,'Updated Customer Ledger'!$D:$E,,0)</f>
        <v>2</v>
      </c>
      <c r="N24" s="88">
        <v>112.8</v>
      </c>
      <c r="O24" s="90">
        <f t="shared" si="0"/>
        <v>110.8</v>
      </c>
      <c r="P24" s="91">
        <f t="shared" si="3"/>
        <v>2</v>
      </c>
      <c r="Q24" s="94">
        <f t="shared" si="2"/>
        <v>1.7730496453900711E-2</v>
      </c>
    </row>
    <row r="25" spans="1:17" x14ac:dyDescent="0.35">
      <c r="A25" s="84">
        <v>1800009477</v>
      </c>
      <c r="B25" s="84" t="s">
        <v>143</v>
      </c>
      <c r="C25" s="85">
        <v>45815</v>
      </c>
      <c r="D25" s="84" t="s">
        <v>144</v>
      </c>
      <c r="E25" s="76">
        <v>256779414241</v>
      </c>
      <c r="F25" s="84" t="s">
        <v>141</v>
      </c>
      <c r="G25" s="86">
        <v>632.96</v>
      </c>
      <c r="H25" s="84" t="s">
        <v>131</v>
      </c>
      <c r="I25" s="86">
        <v>54112.24</v>
      </c>
      <c r="J25" s="84" t="s">
        <v>304</v>
      </c>
      <c r="K25" s="84" t="s">
        <v>474</v>
      </c>
      <c r="L25" s="87"/>
      <c r="M25" s="88" cm="1">
        <f t="array" ref="M25:N25">_xlfn.XLOOKUP(E25,'Updated Customer Ledger'!$C:$C,'Updated Customer Ledger'!$D:$E,,0)</f>
        <v>63</v>
      </c>
      <c r="N25" s="88">
        <v>632.96</v>
      </c>
      <c r="O25" s="90">
        <f t="shared" si="0"/>
        <v>569.96</v>
      </c>
      <c r="P25" s="91">
        <f t="shared" si="3"/>
        <v>63</v>
      </c>
      <c r="Q25" s="94">
        <f t="shared" si="2"/>
        <v>9.9532355915065721E-2</v>
      </c>
    </row>
    <row r="26" spans="1:17" x14ac:dyDescent="0.35">
      <c r="A26" s="84">
        <v>1800013273</v>
      </c>
      <c r="B26" s="84" t="s">
        <v>143</v>
      </c>
      <c r="C26" s="85">
        <v>45936</v>
      </c>
      <c r="D26" s="84" t="s">
        <v>144</v>
      </c>
      <c r="E26" s="76">
        <v>256779418009</v>
      </c>
      <c r="F26" s="84" t="s">
        <v>141</v>
      </c>
      <c r="G26" s="86">
        <v>1480.75</v>
      </c>
      <c r="H26" s="84" t="s">
        <v>131</v>
      </c>
      <c r="I26" s="86">
        <v>130588.48</v>
      </c>
      <c r="J26" s="84" t="s">
        <v>306</v>
      </c>
      <c r="K26" s="84" t="s">
        <v>466</v>
      </c>
      <c r="L26" s="87"/>
      <c r="M26" s="88" cm="1">
        <f t="array" ref="M26:N26">_xlfn.XLOOKUP(E26,'Updated Customer Ledger'!$C:$C,'Updated Customer Ledger'!$D:$E,,0)</f>
        <v>30</v>
      </c>
      <c r="N26" s="88">
        <v>1480.75</v>
      </c>
      <c r="O26" s="90">
        <f t="shared" si="0"/>
        <v>1450.75</v>
      </c>
      <c r="P26" s="91">
        <f t="shared" si="3"/>
        <v>30</v>
      </c>
      <c r="Q26" s="94">
        <f t="shared" si="2"/>
        <v>2.0260003376667231E-2</v>
      </c>
    </row>
    <row r="27" spans="1:17" ht="43.5" x14ac:dyDescent="0.35">
      <c r="A27" s="84">
        <v>1800013396</v>
      </c>
      <c r="B27" s="84" t="s">
        <v>143</v>
      </c>
      <c r="C27" s="85">
        <v>45935</v>
      </c>
      <c r="D27" s="84" t="s">
        <v>144</v>
      </c>
      <c r="E27" s="76">
        <v>256779417991</v>
      </c>
      <c r="F27" s="84" t="s">
        <v>141</v>
      </c>
      <c r="G27" s="86">
        <v>184.54</v>
      </c>
      <c r="H27" s="84" t="s">
        <v>131</v>
      </c>
      <c r="I27" s="86">
        <v>16274.72</v>
      </c>
      <c r="J27" s="84" t="s">
        <v>308</v>
      </c>
      <c r="K27" s="84" t="s">
        <v>497</v>
      </c>
      <c r="L27" s="79" t="s">
        <v>501</v>
      </c>
      <c r="M27" s="88" t="e" cm="1">
        <f t="array" ref="M27">_xlfn.XLOOKUP(E27,'Updated Customer Ledger'!$C:$C,'Updated Customer Ledger'!$D:$E,,0)</f>
        <v>#N/A</v>
      </c>
      <c r="N27" s="88"/>
      <c r="O27" s="90" t="e">
        <f t="shared" si="0"/>
        <v>#N/A</v>
      </c>
      <c r="P27" s="91" t="e">
        <f t="shared" si="3"/>
        <v>#N/A</v>
      </c>
      <c r="Q27" s="94" t="e">
        <f t="shared" si="2"/>
        <v>#N/A</v>
      </c>
    </row>
    <row r="28" spans="1:17" x14ac:dyDescent="0.35">
      <c r="A28" s="84">
        <v>1800012475</v>
      </c>
      <c r="B28" s="84" t="s">
        <v>143</v>
      </c>
      <c r="C28" s="85">
        <v>45906</v>
      </c>
      <c r="D28" s="84" t="s">
        <v>144</v>
      </c>
      <c r="E28" s="76">
        <v>256779417083</v>
      </c>
      <c r="F28" s="84" t="s">
        <v>141</v>
      </c>
      <c r="G28" s="86">
        <v>634.36</v>
      </c>
      <c r="H28" s="84" t="s">
        <v>131</v>
      </c>
      <c r="I28" s="86">
        <v>55515.59</v>
      </c>
      <c r="J28" s="84" t="s">
        <v>312</v>
      </c>
      <c r="K28" s="84" t="s">
        <v>468</v>
      </c>
      <c r="L28" s="87"/>
      <c r="M28" s="88" cm="1">
        <f t="array" ref="M28:N28">_xlfn.XLOOKUP(E28,'Updated Customer Ledger'!$C:$C,'Updated Customer Ledger'!$D:$E,,0)</f>
        <v>63</v>
      </c>
      <c r="N28" s="88">
        <v>634.36</v>
      </c>
      <c r="O28" s="90">
        <f t="shared" si="0"/>
        <v>571.36</v>
      </c>
      <c r="P28" s="91">
        <f t="shared" si="3"/>
        <v>63</v>
      </c>
      <c r="Q28" s="94">
        <f t="shared" si="2"/>
        <v>9.9312693108014369E-2</v>
      </c>
    </row>
    <row r="29" spans="1:17" x14ac:dyDescent="0.35">
      <c r="A29" s="84">
        <v>1800015688</v>
      </c>
      <c r="B29" s="84" t="s">
        <v>143</v>
      </c>
      <c r="C29" s="85">
        <v>46024</v>
      </c>
      <c r="D29" s="84" t="s">
        <v>144</v>
      </c>
      <c r="E29" s="76">
        <v>256779440021</v>
      </c>
      <c r="F29" s="84" t="s">
        <v>141</v>
      </c>
      <c r="G29" s="86">
        <v>950.6</v>
      </c>
      <c r="H29" s="84" t="s">
        <v>131</v>
      </c>
      <c r="I29" s="86">
        <v>86260.43</v>
      </c>
      <c r="J29" s="84" t="s">
        <v>315</v>
      </c>
      <c r="K29" s="76" t="s">
        <v>462</v>
      </c>
      <c r="L29" s="87"/>
      <c r="M29" s="88" cm="1">
        <f t="array" ref="M29:N29">_xlfn.XLOOKUP(E29,'Updated Customer Ledger'!$C:$C,'Updated Customer Ledger'!$D:$E,,0)</f>
        <v>95</v>
      </c>
      <c r="N29" s="88">
        <v>950.6</v>
      </c>
      <c r="O29" s="90">
        <f t="shared" si="0"/>
        <v>855.6</v>
      </c>
      <c r="P29" s="91">
        <f t="shared" si="3"/>
        <v>95</v>
      </c>
      <c r="Q29" s="94">
        <f t="shared" si="2"/>
        <v>9.9936881969282562E-2</v>
      </c>
    </row>
    <row r="30" spans="1:17" x14ac:dyDescent="0.35">
      <c r="A30" s="84">
        <v>1800008368</v>
      </c>
      <c r="B30" s="84" t="s">
        <v>143</v>
      </c>
      <c r="C30" s="85">
        <v>45787</v>
      </c>
      <c r="D30" s="84" t="s">
        <v>144</v>
      </c>
      <c r="E30" s="76">
        <v>256779413251</v>
      </c>
      <c r="F30" s="84" t="s">
        <v>141</v>
      </c>
      <c r="G30" s="86">
        <v>87.01</v>
      </c>
      <c r="H30" s="84" t="s">
        <v>131</v>
      </c>
      <c r="I30" s="86">
        <v>7481.44</v>
      </c>
      <c r="J30" s="84" t="s">
        <v>298</v>
      </c>
      <c r="K30" s="84" t="s">
        <v>497</v>
      </c>
      <c r="L30" s="79" t="s">
        <v>503</v>
      </c>
      <c r="M30" s="88" t="e" cm="1">
        <f t="array" ref="M30">_xlfn.XLOOKUP(E30,'Updated Customer Ledger'!$C:$C,'Updated Customer Ledger'!$D:$E,,0)</f>
        <v>#N/A</v>
      </c>
      <c r="N30" s="88"/>
      <c r="O30" s="90" t="e">
        <f t="shared" si="0"/>
        <v>#N/A</v>
      </c>
      <c r="P30" s="91" t="e">
        <f t="shared" si="3"/>
        <v>#N/A</v>
      </c>
      <c r="Q30" s="94" t="e">
        <f t="shared" si="2"/>
        <v>#N/A</v>
      </c>
    </row>
    <row r="31" spans="1:17" x14ac:dyDescent="0.35">
      <c r="A31" s="84">
        <v>1800016318</v>
      </c>
      <c r="B31" s="84" t="s">
        <v>143</v>
      </c>
      <c r="C31" s="85">
        <v>46034</v>
      </c>
      <c r="D31" s="84" t="s">
        <v>327</v>
      </c>
      <c r="E31" s="76">
        <v>256779440171</v>
      </c>
      <c r="F31" s="84" t="s">
        <v>141</v>
      </c>
      <c r="G31" s="86">
        <v>180.4</v>
      </c>
      <c r="H31" s="84" t="s">
        <v>131</v>
      </c>
      <c r="I31" s="86">
        <v>16370.06</v>
      </c>
      <c r="J31" s="84" t="s">
        <v>328</v>
      </c>
      <c r="K31" s="84" t="s">
        <v>423</v>
      </c>
      <c r="L31" s="87"/>
      <c r="M31" s="88" cm="1">
        <f t="array" ref="M31:N31">_xlfn.XLOOKUP(E31,'Updated Customer Ledger'!$C:$C,'Updated Customer Ledger'!$D:$E,,0)</f>
        <v>4</v>
      </c>
      <c r="N31" s="88">
        <v>180.4</v>
      </c>
      <c r="O31" s="90">
        <f t="shared" ref="O31:O34" si="4">N31-M31</f>
        <v>176.4</v>
      </c>
      <c r="P31" s="91">
        <f t="shared" ref="P31:P34" si="5">G31-O31</f>
        <v>4</v>
      </c>
      <c r="Q31" s="94">
        <f t="shared" ref="Q31:Q34" si="6">P31/G31</f>
        <v>2.2172949002217293E-2</v>
      </c>
    </row>
    <row r="32" spans="1:17" x14ac:dyDescent="0.35">
      <c r="A32" s="84">
        <v>1800016359</v>
      </c>
      <c r="B32" s="84" t="s">
        <v>143</v>
      </c>
      <c r="C32" s="85">
        <v>46028</v>
      </c>
      <c r="D32" s="84" t="s">
        <v>330</v>
      </c>
      <c r="E32" s="76">
        <v>256779440249</v>
      </c>
      <c r="F32" s="84" t="s">
        <v>141</v>
      </c>
      <c r="G32" s="86">
        <v>1037.05</v>
      </c>
      <c r="H32" s="84" t="s">
        <v>131</v>
      </c>
      <c r="I32" s="86">
        <v>94105.17</v>
      </c>
      <c r="J32" s="84" t="s">
        <v>331</v>
      </c>
      <c r="K32" s="76" t="s">
        <v>460</v>
      </c>
      <c r="L32" s="87"/>
      <c r="M32" s="88" cm="1">
        <f t="array" ref="M32:N32">_xlfn.XLOOKUP(E32,'Updated Customer Ledger'!$C:$C,'Updated Customer Ledger'!$D:$E,,0)</f>
        <v>104</v>
      </c>
      <c r="N32" s="88">
        <v>1037</v>
      </c>
      <c r="O32" s="90">
        <f t="shared" si="4"/>
        <v>933</v>
      </c>
      <c r="P32" s="91">
        <f t="shared" si="5"/>
        <v>104.04999999999995</v>
      </c>
      <c r="Q32" s="94">
        <f t="shared" si="6"/>
        <v>0.10033267441299837</v>
      </c>
    </row>
    <row r="33" spans="1:17" x14ac:dyDescent="0.35">
      <c r="A33" s="84">
        <v>1800016692</v>
      </c>
      <c r="B33" s="84" t="s">
        <v>143</v>
      </c>
      <c r="C33" s="85">
        <v>46034</v>
      </c>
      <c r="D33" s="84" t="s">
        <v>336</v>
      </c>
      <c r="E33" s="76">
        <v>256779440281</v>
      </c>
      <c r="F33" s="84" t="s">
        <v>141</v>
      </c>
      <c r="G33" s="86">
        <v>933.73</v>
      </c>
      <c r="H33" s="84" t="s">
        <v>131</v>
      </c>
      <c r="I33" s="86">
        <v>84729.59</v>
      </c>
      <c r="J33" s="84" t="s">
        <v>337</v>
      </c>
      <c r="K33" s="84" t="s">
        <v>431</v>
      </c>
      <c r="L33" s="87"/>
      <c r="M33" s="88" cm="1">
        <f t="array" ref="M33:N33">_xlfn.XLOOKUP(E33,'Updated Customer Ledger'!$C:$C,'Updated Customer Ledger'!$D:$E,,0)</f>
        <v>19</v>
      </c>
      <c r="N33" s="88">
        <v>933.73</v>
      </c>
      <c r="O33" s="90">
        <f t="shared" si="4"/>
        <v>914.73</v>
      </c>
      <c r="P33" s="91">
        <f t="shared" si="5"/>
        <v>19</v>
      </c>
      <c r="Q33" s="94">
        <f t="shared" si="6"/>
        <v>2.0348494746875435E-2</v>
      </c>
    </row>
    <row r="34" spans="1:17" x14ac:dyDescent="0.35">
      <c r="A34" s="84">
        <v>1800016703</v>
      </c>
      <c r="B34" s="84" t="s">
        <v>143</v>
      </c>
      <c r="C34" s="85">
        <v>46034</v>
      </c>
      <c r="D34" s="84" t="s">
        <v>336</v>
      </c>
      <c r="E34" s="76">
        <v>256779440292</v>
      </c>
      <c r="F34" s="84" t="s">
        <v>141</v>
      </c>
      <c r="G34" s="86">
        <v>40.04</v>
      </c>
      <c r="H34" s="84" t="s">
        <v>131</v>
      </c>
      <c r="I34" s="86">
        <v>3633.36</v>
      </c>
      <c r="J34" s="84" t="s">
        <v>339</v>
      </c>
      <c r="K34" s="84" t="s">
        <v>89</v>
      </c>
      <c r="L34" s="87"/>
      <c r="M34" s="88" cm="1">
        <f t="array" ref="M34:N34">_xlfn.XLOOKUP(E34,'Updated Customer Ledger'!$C:$C,'Updated Customer Ledger'!$D:$E,,0)</f>
        <v>1</v>
      </c>
      <c r="N34" s="88">
        <v>40.04</v>
      </c>
      <c r="O34" s="90">
        <f t="shared" si="4"/>
        <v>39.04</v>
      </c>
      <c r="P34" s="91">
        <f t="shared" si="5"/>
        <v>1</v>
      </c>
      <c r="Q34" s="94">
        <f t="shared" si="6"/>
        <v>2.4975024975024976E-2</v>
      </c>
    </row>
    <row r="35" spans="1:17" x14ac:dyDescent="0.35">
      <c r="F35" s="89"/>
      <c r="G35" s="89">
        <f>SUM(G3:G34)-0.46</f>
        <v>14357.35</v>
      </c>
    </row>
    <row r="37" spans="1:17" x14ac:dyDescent="0.35">
      <c r="F37" s="89"/>
    </row>
  </sheetData>
  <autoFilter ref="A2:Q35" xr:uid="{8946FEFA-A28C-4348-9994-C2B770AA741C}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278F2-362D-412D-8E89-025DF6957C51}">
  <dimension ref="A2:M5"/>
  <sheetViews>
    <sheetView workbookViewId="0">
      <selection activeCell="C4" sqref="C4"/>
    </sheetView>
  </sheetViews>
  <sheetFormatPr defaultRowHeight="14.5" x14ac:dyDescent="0.35"/>
  <cols>
    <col min="1" max="1" width="16.81640625" bestFit="1" customWidth="1"/>
    <col min="2" max="2" width="9.453125" bestFit="1" customWidth="1"/>
    <col min="3" max="3" width="12.90625" bestFit="1" customWidth="1"/>
    <col min="4" max="4" width="9.453125" bestFit="1" customWidth="1"/>
    <col min="5" max="5" width="13.08984375" bestFit="1" customWidth="1"/>
    <col min="6" max="6" width="23.08984375" bestFit="1" customWidth="1"/>
    <col min="7" max="7" width="5.81640625" bestFit="1" customWidth="1"/>
    <col min="8" max="8" width="9.1796875" customWidth="1"/>
    <col min="9" max="9" width="19.54296875" bestFit="1" customWidth="1"/>
    <col min="10" max="10" width="10.08984375" bestFit="1" customWidth="1"/>
    <col min="12" max="12" width="10.7265625" bestFit="1" customWidth="1"/>
    <col min="13" max="13" width="12.90625" bestFit="1" customWidth="1"/>
  </cols>
  <sheetData>
    <row r="2" spans="1:13" ht="43.5" x14ac:dyDescent="0.35">
      <c r="A2" s="27" t="s">
        <v>120</v>
      </c>
      <c r="B2" s="28" t="s">
        <v>121</v>
      </c>
      <c r="C2" s="27" t="s">
        <v>124</v>
      </c>
      <c r="D2" s="28" t="s">
        <v>126</v>
      </c>
      <c r="E2" s="28" t="s">
        <v>128</v>
      </c>
      <c r="F2" s="27" t="s">
        <v>355</v>
      </c>
      <c r="G2" s="27" t="s">
        <v>508</v>
      </c>
      <c r="H2" s="27" t="s">
        <v>354</v>
      </c>
      <c r="I2" s="28" t="s">
        <v>496</v>
      </c>
      <c r="J2" s="28" t="s">
        <v>504</v>
      </c>
      <c r="K2" s="28" t="s">
        <v>505</v>
      </c>
      <c r="L2" s="28" t="s">
        <v>506</v>
      </c>
    </row>
    <row r="3" spans="1:13" x14ac:dyDescent="0.35">
      <c r="A3" s="18" t="s">
        <v>344</v>
      </c>
      <c r="B3" s="18" t="s">
        <v>143</v>
      </c>
      <c r="C3" s="20">
        <v>256779440359</v>
      </c>
      <c r="D3" s="21">
        <v>821.64</v>
      </c>
      <c r="E3" s="21">
        <v>74558.19</v>
      </c>
      <c r="F3" s="18" t="s">
        <v>345</v>
      </c>
      <c r="G3" s="10">
        <v>40.04</v>
      </c>
      <c r="H3" s="64">
        <f>D3-G3</f>
        <v>781.6</v>
      </c>
      <c r="I3" s="63" t="s">
        <v>429</v>
      </c>
      <c r="J3" s="51">
        <v>46069</v>
      </c>
      <c r="K3" s="10">
        <f>D3*2%</f>
        <v>16.4328</v>
      </c>
      <c r="L3" s="63">
        <f>D3-K3</f>
        <v>805.20719999999994</v>
      </c>
    </row>
    <row r="4" spans="1:13" x14ac:dyDescent="0.35">
      <c r="A4" s="18" t="s">
        <v>346</v>
      </c>
      <c r="B4" s="18" t="s">
        <v>143</v>
      </c>
      <c r="C4" s="20">
        <v>256779440370</v>
      </c>
      <c r="D4" s="21">
        <v>60.36</v>
      </c>
      <c r="E4" s="21">
        <v>5477.26</v>
      </c>
      <c r="F4" s="18" t="s">
        <v>347</v>
      </c>
      <c r="G4" s="10">
        <v>63.21</v>
      </c>
      <c r="H4" s="64">
        <f>D4-G4</f>
        <v>-2.8500000000000014</v>
      </c>
      <c r="I4" s="21" t="s">
        <v>420</v>
      </c>
      <c r="J4" s="51">
        <v>46065</v>
      </c>
      <c r="K4" s="10">
        <v>1</v>
      </c>
      <c r="L4" s="63">
        <f>D4-K4</f>
        <v>59.36</v>
      </c>
      <c r="M4" t="s">
        <v>507</v>
      </c>
    </row>
    <row r="5" spans="1:13" x14ac:dyDescent="0.35">
      <c r="H5" s="22">
        <f>SUM(H3:H4)</f>
        <v>778.75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Payment Reco</vt:lpstr>
      <vt:lpstr>Duplicate Invoice</vt:lpstr>
      <vt:lpstr>Invoices not in customers old</vt:lpstr>
      <vt:lpstr>CN not in customers book</vt:lpstr>
      <vt:lpstr>Difference in Invoice old</vt:lpstr>
      <vt:lpstr>TDS To be recorded</vt:lpstr>
      <vt:lpstr>Sheet10</vt:lpstr>
      <vt:lpstr>Customer Data</vt:lpstr>
      <vt:lpstr>Updated Customer Ledger</vt:lpstr>
      <vt:lpstr>Ascendus Data</vt:lpstr>
      <vt:lpstr>Invoices not in customers books</vt:lpstr>
      <vt:lpstr>Difference in Invoice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2026-02-18T08:06:17Z</dcterms:created>
  <dcterms:modified xsi:type="dcterms:W3CDTF">2026-04-20T12:06:10Z</dcterms:modified>
</cp:coreProperties>
</file>