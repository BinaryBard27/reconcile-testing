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 (K)\1. Tax and assurance\Capital Land\16. SCOPE CHEMICALS PVT.LTD\"/>
    </mc:Choice>
  </mc:AlternateContent>
  <xr:revisionPtr revIDLastSave="0" documentId="13_ncr:1_{1923ACE1-8B07-4984-A8AF-1E3A590FD14D}" xr6:coauthVersionLast="47" xr6:coauthVersionMax="47" xr10:uidLastSave="{00000000-0000-0000-0000-000000000000}"/>
  <bookViews>
    <workbookView xWindow="-110" yWindow="-110" windowWidth="21820" windowHeight="14020" activeTab="1" xr2:uid="{DA97D441-0F91-45CB-85FB-9AFBF9DB0515}"/>
  </bookViews>
  <sheets>
    <sheet name="DZ" sheetId="5" r:id="rId1"/>
    <sheet name="DR" sheetId="3" r:id="rId2"/>
  </sheets>
  <externalReferences>
    <externalReference r:id="rId3"/>
  </externalReferences>
  <definedNames>
    <definedName name="_xlnm._FilterDatabase" localSheetId="1" hidden="1">DR!$A$3:$P$42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42" i="3" l="1"/>
  <c r="Q41" i="3"/>
  <c r="Q39" i="3"/>
  <c r="Q37" i="3"/>
  <c r="Q36" i="3"/>
  <c r="Q35" i="3"/>
  <c r="Q33" i="3"/>
  <c r="Q32" i="3"/>
  <c r="Q31" i="3"/>
  <c r="Q30" i="3"/>
  <c r="Q29" i="3"/>
  <c r="Q28" i="3"/>
  <c r="Q26" i="3"/>
  <c r="Q25" i="3"/>
  <c r="Q24" i="3"/>
  <c r="Q23" i="3"/>
  <c r="Q20" i="3"/>
  <c r="Q19" i="3"/>
  <c r="Q17" i="3"/>
  <c r="Q16" i="3"/>
  <c r="Q15" i="3"/>
  <c r="Q13" i="3"/>
  <c r="Q12" i="3"/>
  <c r="Q11" i="3"/>
  <c r="Q10" i="3"/>
  <c r="Q9" i="3"/>
  <c r="Q8" i="3"/>
  <c r="Q7" i="3"/>
  <c r="Q40" i="3"/>
  <c r="Q38" i="3"/>
  <c r="Q34" i="3"/>
  <c r="Q27" i="3"/>
  <c r="Q22" i="3"/>
  <c r="Q21" i="3"/>
  <c r="Q18" i="3"/>
  <c r="Q14" i="3"/>
  <c r="Q6" i="3"/>
  <c r="Q5" i="3"/>
  <c r="Q4" i="3"/>
  <c r="F4" i="5"/>
  <c r="F2" i="3"/>
  <c r="O42" i="3"/>
  <c r="P42" i="3" s="1"/>
  <c r="O39" i="3"/>
  <c r="P39" i="3" s="1"/>
  <c r="O41" i="3"/>
  <c r="P41" i="3" s="1"/>
  <c r="O9" i="3"/>
  <c r="P9" i="3" s="1"/>
  <c r="O8" i="3"/>
  <c r="P8" i="3" s="1"/>
  <c r="O7" i="3"/>
  <c r="P7" i="3" s="1"/>
  <c r="O32" i="3"/>
  <c r="P32" i="3" s="1"/>
  <c r="O31" i="3"/>
  <c r="P31" i="3" s="1"/>
  <c r="O30" i="3"/>
  <c r="P30" i="3" s="1"/>
  <c r="O29" i="3"/>
  <c r="P29" i="3" s="1"/>
  <c r="O28" i="3"/>
  <c r="P28" i="3" s="1"/>
  <c r="O26" i="3"/>
  <c r="P26" i="3" s="1"/>
  <c r="O25" i="3"/>
  <c r="P25" i="3" s="1"/>
  <c r="O16" i="3"/>
  <c r="P16" i="3" s="1"/>
  <c r="O33" i="3"/>
  <c r="P33" i="3" s="1"/>
  <c r="O15" i="3"/>
  <c r="P15" i="3" s="1"/>
  <c r="O13" i="3"/>
  <c r="P13" i="3" s="1"/>
  <c r="O12" i="3"/>
  <c r="P12" i="3" s="1"/>
  <c r="O11" i="3"/>
  <c r="P11" i="3" s="1"/>
  <c r="O10" i="3"/>
  <c r="P10" i="3" s="1"/>
  <c r="O20" i="3"/>
  <c r="P20" i="3" s="1"/>
  <c r="O37" i="3"/>
  <c r="P37" i="3" s="1"/>
  <c r="O36" i="3"/>
  <c r="P36" i="3" s="1"/>
  <c r="O35" i="3"/>
  <c r="P35" i="3" s="1"/>
  <c r="O17" i="3"/>
  <c r="O19" i="3"/>
  <c r="P19" i="3" s="1"/>
  <c r="O24" i="3"/>
  <c r="P24" i="3" s="1"/>
  <c r="O23" i="3"/>
  <c r="P23" i="3" s="1"/>
  <c r="O40" i="3"/>
  <c r="P40" i="3" s="1"/>
  <c r="O38" i="3"/>
  <c r="P38" i="3" s="1"/>
  <c r="O27" i="3"/>
  <c r="P27" i="3" s="1"/>
  <c r="O6" i="3"/>
  <c r="P6" i="3" s="1"/>
  <c r="O4" i="3"/>
  <c r="P4" i="3" s="1"/>
  <c r="O5" i="3"/>
  <c r="P5" i="3" s="1"/>
  <c r="O34" i="3"/>
  <c r="P34" i="3" s="1"/>
  <c r="O18" i="3"/>
  <c r="P18" i="3" s="1"/>
  <c r="P17" i="3"/>
  <c r="O22" i="3"/>
  <c r="P22" i="3" s="1"/>
  <c r="O14" i="3"/>
  <c r="P14" i="3" s="1"/>
  <c r="O21" i="3"/>
  <c r="P21" i="3" s="1"/>
  <c r="P2" i="3" l="1"/>
  <c r="H2" i="3" l="1" a="1"/>
  <c r="H2" i="3" s="1"/>
  <c r="L42" i="3"/>
  <c r="L40" i="3"/>
  <c r="L39" i="3"/>
  <c r="L41" i="3"/>
  <c r="L38" i="3"/>
  <c r="L27" i="3"/>
  <c r="L9" i="3"/>
  <c r="L8" i="3"/>
  <c r="L7" i="3"/>
  <c r="L6" i="3"/>
  <c r="L32" i="3"/>
  <c r="L31" i="3"/>
  <c r="L30" i="3"/>
  <c r="L29" i="3"/>
  <c r="L28" i="3"/>
  <c r="L26" i="3"/>
  <c r="L25" i="3"/>
  <c r="L16" i="3"/>
  <c r="L4" i="3"/>
  <c r="L33" i="3"/>
  <c r="L15" i="3"/>
  <c r="L13" i="3"/>
  <c r="L12" i="3"/>
  <c r="L5" i="3"/>
  <c r="L11" i="3"/>
  <c r="L10" i="3"/>
  <c r="L20" i="3"/>
  <c r="L37" i="3"/>
  <c r="L36" i="3"/>
  <c r="L35" i="3"/>
  <c r="L34" i="3"/>
  <c r="L18" i="3"/>
  <c r="L17" i="3"/>
  <c r="L22" i="3"/>
  <c r="L19" i="3"/>
  <c r="L24" i="3"/>
  <c r="L23" i="3"/>
  <c r="L14" i="3"/>
  <c r="L21" i="3"/>
  <c r="M42" i="3"/>
  <c r="N42" i="3" s="1"/>
  <c r="M40" i="3"/>
  <c r="N40" i="3" s="1"/>
  <c r="M39" i="3"/>
  <c r="N39" i="3" s="1"/>
  <c r="M41" i="3"/>
  <c r="N41" i="3" s="1"/>
  <c r="M38" i="3"/>
  <c r="N38" i="3" s="1"/>
  <c r="M27" i="3"/>
  <c r="N27" i="3" s="1"/>
  <c r="M9" i="3"/>
  <c r="N9" i="3" s="1"/>
  <c r="M8" i="3"/>
  <c r="N8" i="3" s="1"/>
  <c r="M7" i="3"/>
  <c r="N7" i="3" s="1"/>
  <c r="M6" i="3"/>
  <c r="N6" i="3" s="1"/>
  <c r="M32" i="3"/>
  <c r="N32" i="3" s="1"/>
  <c r="M31" i="3"/>
  <c r="N31" i="3" s="1"/>
  <c r="M30" i="3"/>
  <c r="N30" i="3" s="1"/>
  <c r="M29" i="3"/>
  <c r="N29" i="3" s="1"/>
  <c r="M28" i="3"/>
  <c r="N28" i="3" s="1"/>
  <c r="M26" i="3"/>
  <c r="N26" i="3" s="1"/>
  <c r="M25" i="3"/>
  <c r="N25" i="3" s="1"/>
  <c r="M16" i="3"/>
  <c r="N16" i="3" s="1"/>
  <c r="M4" i="3"/>
  <c r="N4" i="3" s="1"/>
  <c r="M33" i="3"/>
  <c r="N33" i="3" s="1"/>
  <c r="M15" i="3"/>
  <c r="N15" i="3" s="1"/>
  <c r="M13" i="3"/>
  <c r="N13" i="3" s="1"/>
  <c r="M12" i="3"/>
  <c r="N12" i="3" s="1"/>
  <c r="M5" i="3"/>
  <c r="N5" i="3" s="1"/>
  <c r="M11" i="3"/>
  <c r="N11" i="3" s="1"/>
  <c r="M10" i="3"/>
  <c r="N10" i="3" s="1"/>
  <c r="M20" i="3"/>
  <c r="N20" i="3" s="1"/>
  <c r="M37" i="3"/>
  <c r="N37" i="3" s="1"/>
  <c r="M36" i="3"/>
  <c r="N36" i="3" s="1"/>
  <c r="M35" i="3"/>
  <c r="N35" i="3" s="1"/>
  <c r="M34" i="3"/>
  <c r="N34" i="3" s="1"/>
  <c r="M18" i="3"/>
  <c r="N18" i="3" s="1"/>
  <c r="M17" i="3"/>
  <c r="N17" i="3" s="1"/>
  <c r="M22" i="3"/>
  <c r="N22" i="3" s="1"/>
  <c r="M19" i="3"/>
  <c r="N19" i="3" s="1"/>
  <c r="M24" i="3"/>
  <c r="N24" i="3" s="1"/>
  <c r="M23" i="3"/>
  <c r="N23" i="3" s="1"/>
  <c r="M14" i="3"/>
  <c r="N14" i="3" s="1"/>
  <c r="M21" i="3"/>
  <c r="N21" i="3" s="1"/>
  <c r="L2" i="3" l="1"/>
</calcChain>
</file>

<file path=xl/sharedStrings.xml><?xml version="1.0" encoding="utf-8"?>
<sst xmlns="http://schemas.openxmlformats.org/spreadsheetml/2006/main" count="190" uniqueCount="64">
  <si>
    <t>Document Number</t>
  </si>
  <si>
    <t>Document Type</t>
  </si>
  <si>
    <t>Document Date</t>
  </si>
  <si>
    <t>Document Header Text</t>
  </si>
  <si>
    <t>Reference</t>
  </si>
  <si>
    <t>Document Currency Key</t>
  </si>
  <si>
    <t>Document Currency Value</t>
  </si>
  <si>
    <t>Company Code Currency Key</t>
  </si>
  <si>
    <t>Company Code Currency Value</t>
  </si>
  <si>
    <t>DR</t>
  </si>
  <si>
    <t>USD</t>
  </si>
  <si>
    <t>INR</t>
  </si>
  <si>
    <t>Fixed Storage Charges for August 2025</t>
  </si>
  <si>
    <t>Fixed Storage Charges fo JUNE 2025</t>
  </si>
  <si>
    <t>VAS -1-15 Sept-25</t>
  </si>
  <si>
    <t>Weighment -1-15 Sept-25</t>
  </si>
  <si>
    <t/>
  </si>
  <si>
    <t>Fixed Storage Charges for September 2025</t>
  </si>
  <si>
    <t>CODC LCL Chgs - 01 - 15 Jun 25</t>
  </si>
  <si>
    <t>Fixed Storage Charges fo JULY 2025</t>
  </si>
  <si>
    <t>Fixed Storage Charges for November 2025</t>
  </si>
  <si>
    <t>VAS-16 -31 Oct 25</t>
  </si>
  <si>
    <t>CODC Inbound chgs - 16-31 Oct 25</t>
  </si>
  <si>
    <t>CODC Out chgs -16-31 Oct 25</t>
  </si>
  <si>
    <t>CODC GATE Out chgs - 01 - 15 July 25</t>
  </si>
  <si>
    <t>VAS -1-15 May 25, Ex.rate 85.43</t>
  </si>
  <si>
    <t>Weighment &amp; Misc, 1-15 May 25</t>
  </si>
  <si>
    <t>Fixed Storage Charges for April 2025</t>
  </si>
  <si>
    <t>OutKPI-CODC-1-15-MAY-25-1478252</t>
  </si>
  <si>
    <t>OutKPI-CODC-1-15-MAY-25-1608594</t>
  </si>
  <si>
    <t>CODC Out chgs - 01 - 15 Jun 25</t>
  </si>
  <si>
    <t>Weighment  -1-15 Oct 2025</t>
  </si>
  <si>
    <t>Fixed Storage Charges for Mar 2025</t>
  </si>
  <si>
    <t>VAS 1-15 June 25, Exch 86.10</t>
  </si>
  <si>
    <t>CODC LCL Chgs -1-15 Sep 25</t>
  </si>
  <si>
    <t>CODC Out chgs -1-15 Sep 25</t>
  </si>
  <si>
    <t>Intra - SEZ-16-30 Sept 25</t>
  </si>
  <si>
    <t>VAS-16-30 Sept 25</t>
  </si>
  <si>
    <t>Weighment-16-30 Sept 25</t>
  </si>
  <si>
    <t>CODC LCL Chgs -16-30 Sep 25</t>
  </si>
  <si>
    <t>CODC Out chgs -16-30 Sep 25</t>
  </si>
  <si>
    <t>Fixed Storage Charges fo MAY 2025</t>
  </si>
  <si>
    <t>CODC Inbound chgs - 16 - 30 Apr 25</t>
  </si>
  <si>
    <t>CODC Out chgs - 16 - 30 Apr 25</t>
  </si>
  <si>
    <t>VAS - 16-30 April 25, Ex.Rate-85.05</t>
  </si>
  <si>
    <t>Fixed Storage Charges for October 2025</t>
  </si>
  <si>
    <t>Fixed Storage Charges for December 2025</t>
  </si>
  <si>
    <t>CODC Out chgs -1-15 Nov 25</t>
  </si>
  <si>
    <t>CODC Out chgs -16-31 DEC 25</t>
  </si>
  <si>
    <t>Fixed Storage Charges for January 2026</t>
  </si>
  <si>
    <t>INTRA  -NOV 25,16-30</t>
  </si>
  <si>
    <t>DZ</t>
  </si>
  <si>
    <t>INDBR32025102400124824</t>
  </si>
  <si>
    <t>INDBR32026011400432336</t>
  </si>
  <si>
    <t>TDS</t>
  </si>
  <si>
    <t>Dr</t>
  </si>
  <si>
    <t>Cr</t>
  </si>
  <si>
    <t>Rate</t>
  </si>
  <si>
    <t>Net Receivable by CL</t>
  </si>
  <si>
    <t>Net Payable By Customer</t>
  </si>
  <si>
    <t>Difference</t>
  </si>
  <si>
    <t xml:space="preserve"> </t>
  </si>
  <si>
    <t>DZ Tagging</t>
  </si>
  <si>
    <t>Tds in 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</si>
</sst>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0" fillId="0" borderId="1" xfId="0" applyBorder="1"/>
    <xf numFmtId="43" fontId="0" fillId="0" borderId="1" xfId="1" applyFont="1" applyBorder="1"/>
    <xf numFmtId="43" fontId="0" fillId="0" borderId="1" xfId="1" applyFont="1" applyBorder="1" applyAlignment="1">
      <alignment horizontal="right" vertical="top"/>
    </xf>
    <xf numFmtId="1" fontId="0" fillId="0" borderId="1" xfId="0" applyNumberFormat="1" applyBorder="1" applyAlignment="1">
      <alignment vertical="top"/>
    </xf>
    <xf numFmtId="164" fontId="0" fillId="0" borderId="1" xfId="1" applyNumberFormat="1" applyFont="1" applyBorder="1"/>
    <xf numFmtId="9" fontId="0" fillId="0" borderId="0" xfId="2" applyFont="1"/>
    <xf numFmtId="43" fontId="0" fillId="2" borderId="2" xfId="1" applyFont="1" applyFill="1" applyBorder="1" applyAlignment="1">
      <alignment horizontal="left" vertical="center"/>
    </xf>
    <xf numFmtId="43" fontId="0" fillId="0" borderId="0" xfId="1" applyFont="1"/>
    <xf numFmtId="9" fontId="0" fillId="2" borderId="1" xfId="2" applyFont="1" applyFill="1" applyBorder="1" applyAlignment="1">
      <alignment horizontal="left" vertical="center"/>
    </xf>
    <xf numFmtId="9" fontId="0" fillId="0" borderId="1" xfId="2" applyFont="1" applyBorder="1"/>
    <xf numFmtId="43" fontId="0" fillId="2" borderId="1" xfId="1" applyFont="1" applyFill="1" applyBorder="1" applyAlignment="1">
      <alignment horizontal="left" vertical="center"/>
    </xf>
    <xf numFmtId="43" fontId="0" fillId="0" borderId="0" xfId="0" applyNumberFormat="1"/>
    <xf numFmtId="43" fontId="0" fillId="0" borderId="0" xfId="1" applyFont="1" applyBorder="1"/>
    <xf numFmtId="0" fontId="0" fillId="0" borderId="0" xfId="0" applyBorder="1"/>
    <xf numFmtId="164" fontId="0" fillId="0" borderId="0" xfId="1" applyNumberFormat="1" applyFont="1" applyBorder="1"/>
    <xf numFmtId="164" fontId="0" fillId="0" borderId="0" xfId="0" applyNumberFormat="1" applyBorder="1"/>
    <xf numFmtId="164" fontId="0" fillId="0" borderId="0" xfId="2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orking%20-%20SCOPE%20CHEMICALS%20PVT.L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ayment Reco"/>
      <sheetName val="Duplicate Invoice"/>
      <sheetName val="Invoices not in customers old"/>
      <sheetName val="CN not in customers book"/>
      <sheetName val="Difference in Invoice old"/>
      <sheetName val="TDS To be recorded"/>
      <sheetName val="Sheet10"/>
      <sheetName val="Customer Data"/>
      <sheetName val="Updated Customer Ledger"/>
      <sheetName val="Ascendus Data"/>
      <sheetName val="Invoices not in customers books"/>
      <sheetName val="Difference in Invoice valu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N1">
            <v>258</v>
          </cell>
        </row>
        <row r="2">
          <cell r="E2" t="str">
            <v>Reference</v>
          </cell>
          <cell r="N2" t="str">
            <v>TDS</v>
          </cell>
        </row>
        <row r="3">
          <cell r="E3">
            <v>256779416055</v>
          </cell>
          <cell r="N3">
            <v>5</v>
          </cell>
        </row>
        <row r="4">
          <cell r="E4">
            <v>256779414387</v>
          </cell>
          <cell r="N4">
            <v>5</v>
          </cell>
        </row>
        <row r="5">
          <cell r="E5">
            <v>256779417441</v>
          </cell>
          <cell r="N5">
            <v>38</v>
          </cell>
        </row>
        <row r="6">
          <cell r="E6">
            <v>256779417450</v>
          </cell>
          <cell r="N6">
            <v>2</v>
          </cell>
        </row>
        <row r="7">
          <cell r="E7">
            <v>256779414967</v>
          </cell>
          <cell r="N7">
            <v>4</v>
          </cell>
        </row>
        <row r="8">
          <cell r="E8">
            <v>256779417374</v>
          </cell>
          <cell r="N8">
            <v>5</v>
          </cell>
        </row>
        <row r="9">
          <cell r="E9">
            <v>256779414767</v>
          </cell>
          <cell r="N9">
            <v>0</v>
          </cell>
        </row>
        <row r="10">
          <cell r="E10">
            <v>256779414945</v>
          </cell>
          <cell r="N10">
            <v>5</v>
          </cell>
        </row>
        <row r="11">
          <cell r="E11">
            <v>256779418803</v>
          </cell>
          <cell r="N11">
            <v>5</v>
          </cell>
        </row>
        <row r="12">
          <cell r="E12">
            <v>256779418818</v>
          </cell>
          <cell r="N12">
            <v>29</v>
          </cell>
        </row>
        <row r="13">
          <cell r="E13">
            <v>256779418894</v>
          </cell>
          <cell r="N13">
            <v>3</v>
          </cell>
        </row>
        <row r="14">
          <cell r="E14">
            <v>256779418907</v>
          </cell>
          <cell r="N14">
            <v>2</v>
          </cell>
        </row>
        <row r="15">
          <cell r="E15">
            <v>256779415455</v>
          </cell>
          <cell r="N15">
            <v>10</v>
          </cell>
        </row>
        <row r="16">
          <cell r="E16">
            <v>246779410304</v>
          </cell>
          <cell r="N16">
            <v>5</v>
          </cell>
        </row>
        <row r="17">
          <cell r="E17">
            <v>246779410050</v>
          </cell>
          <cell r="N17">
            <v>5</v>
          </cell>
        </row>
        <row r="18">
          <cell r="E18">
            <v>246779410118</v>
          </cell>
          <cell r="N18">
            <v>5</v>
          </cell>
        </row>
        <row r="19">
          <cell r="E19">
            <v>246779410161</v>
          </cell>
          <cell r="N19">
            <v>5</v>
          </cell>
        </row>
        <row r="20">
          <cell r="E20">
            <v>246779410204</v>
          </cell>
          <cell r="N20">
            <v>5</v>
          </cell>
        </row>
        <row r="21">
          <cell r="E21">
            <v>246779410247</v>
          </cell>
          <cell r="N21">
            <v>5</v>
          </cell>
        </row>
        <row r="22">
          <cell r="E22">
            <v>256779413836</v>
          </cell>
          <cell r="N22">
            <v>16</v>
          </cell>
        </row>
        <row r="23">
          <cell r="E23">
            <v>256779413840</v>
          </cell>
          <cell r="N23">
            <v>1</v>
          </cell>
        </row>
        <row r="24">
          <cell r="E24">
            <v>256779412170</v>
          </cell>
          <cell r="N24">
            <v>5</v>
          </cell>
        </row>
        <row r="25">
          <cell r="E25">
            <v>256779413425</v>
          </cell>
          <cell r="N25">
            <v>1</v>
          </cell>
        </row>
        <row r="26">
          <cell r="E26">
            <v>256779413426</v>
          </cell>
          <cell r="N26">
            <v>0</v>
          </cell>
        </row>
        <row r="27">
          <cell r="E27">
            <v>256779414757</v>
          </cell>
          <cell r="N27">
            <v>2</v>
          </cell>
        </row>
        <row r="28">
          <cell r="E28">
            <v>256779418481</v>
          </cell>
          <cell r="N28">
            <v>1</v>
          </cell>
        </row>
        <row r="29">
          <cell r="E29">
            <v>246779413009</v>
          </cell>
          <cell r="N29">
            <v>5</v>
          </cell>
        </row>
        <row r="30">
          <cell r="E30">
            <v>256779414742</v>
          </cell>
          <cell r="N30">
            <v>7</v>
          </cell>
        </row>
        <row r="31">
          <cell r="E31">
            <v>256779417583</v>
          </cell>
          <cell r="N31">
            <v>6</v>
          </cell>
        </row>
        <row r="32">
          <cell r="E32">
            <v>256779417598</v>
          </cell>
          <cell r="N32">
            <v>3</v>
          </cell>
        </row>
        <row r="33">
          <cell r="E33">
            <v>256779418167</v>
          </cell>
          <cell r="N33">
            <v>1</v>
          </cell>
        </row>
        <row r="34">
          <cell r="E34">
            <v>256779418178</v>
          </cell>
          <cell r="N34">
            <v>9</v>
          </cell>
        </row>
        <row r="35">
          <cell r="E35">
            <v>256779418186</v>
          </cell>
          <cell r="N35">
            <v>0</v>
          </cell>
        </row>
        <row r="36">
          <cell r="E36">
            <v>256779418340</v>
          </cell>
          <cell r="N36">
            <v>2</v>
          </cell>
        </row>
        <row r="37">
          <cell r="E37">
            <v>256779418355</v>
          </cell>
          <cell r="N37">
            <v>1</v>
          </cell>
        </row>
        <row r="38">
          <cell r="E38">
            <v>256779413128</v>
          </cell>
          <cell r="N38">
            <v>5</v>
          </cell>
        </row>
        <row r="39">
          <cell r="E39">
            <v>256779413162</v>
          </cell>
          <cell r="N39">
            <v>3</v>
          </cell>
        </row>
        <row r="40">
          <cell r="E40">
            <v>256779413171</v>
          </cell>
          <cell r="N40">
            <v>2</v>
          </cell>
        </row>
        <row r="41">
          <cell r="E41">
            <v>256779413242</v>
          </cell>
          <cell r="N41">
            <v>24</v>
          </cell>
        </row>
        <row r="42">
          <cell r="E42">
            <v>256779418037</v>
          </cell>
          <cell r="N42">
            <v>5</v>
          </cell>
        </row>
        <row r="43">
          <cell r="E43">
            <v>256779440042</v>
          </cell>
          <cell r="N43">
            <v>5</v>
          </cell>
        </row>
        <row r="44">
          <cell r="E44">
            <v>256779440129</v>
          </cell>
          <cell r="N44">
            <v>3</v>
          </cell>
        </row>
        <row r="45">
          <cell r="E45">
            <v>256779440256</v>
          </cell>
          <cell r="N45">
            <v>2</v>
          </cell>
        </row>
        <row r="46">
          <cell r="E46">
            <v>256779440333</v>
          </cell>
          <cell r="N46">
            <v>5</v>
          </cell>
        </row>
        <row r="47">
          <cell r="E47">
            <v>256779440336</v>
          </cell>
          <cell r="N47">
            <v>1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014F1-DACD-4E32-8266-2366CB37DF8E}">
  <dimension ref="A1:H4"/>
  <sheetViews>
    <sheetView workbookViewId="0">
      <selection activeCell="F2" sqref="F2"/>
    </sheetView>
  </sheetViews>
  <sheetFormatPr defaultRowHeight="14.5" x14ac:dyDescent="0.35"/>
  <cols>
    <col min="1" max="1" width="16.81640625" bestFit="1" customWidth="1"/>
    <col min="2" max="2" width="7.7265625" bestFit="1" customWidth="1"/>
    <col min="3" max="3" width="13.90625" bestFit="1" customWidth="1"/>
    <col min="4" max="4" width="23.36328125" bestFit="1" customWidth="1"/>
    <col min="5" max="5" width="8.26953125" bestFit="1" customWidth="1"/>
    <col min="6" max="6" width="10.36328125" bestFit="1" customWidth="1"/>
    <col min="8" max="8" width="10.90625" bestFit="1" customWidth="1"/>
  </cols>
  <sheetData>
    <row r="1" spans="1:8" ht="58" x14ac:dyDescent="0.35">
      <c r="A1" s="1" t="s">
        <v>0</v>
      </c>
      <c r="B1" s="2" t="s">
        <v>1</v>
      </c>
      <c r="C1" s="1" t="s">
        <v>2</v>
      </c>
      <c r="D1" s="1" t="s">
        <v>3</v>
      </c>
      <c r="E1" s="2" t="s">
        <v>5</v>
      </c>
      <c r="F1" s="2" t="s">
        <v>6</v>
      </c>
      <c r="G1" s="2" t="s">
        <v>7</v>
      </c>
      <c r="H1" s="2" t="s">
        <v>8</v>
      </c>
    </row>
    <row r="2" spans="1:8" x14ac:dyDescent="0.35">
      <c r="A2" s="3">
        <v>1400001561</v>
      </c>
      <c r="B2" s="3" t="s">
        <v>51</v>
      </c>
      <c r="C2" s="4">
        <v>45959</v>
      </c>
      <c r="D2" s="3" t="s">
        <v>52</v>
      </c>
      <c r="E2" s="3" t="s">
        <v>11</v>
      </c>
      <c r="F2" s="7">
        <v>-5813.9534883719998</v>
      </c>
      <c r="G2" s="3" t="s">
        <v>11</v>
      </c>
      <c r="H2" s="5">
        <v>-500000</v>
      </c>
    </row>
    <row r="3" spans="1:8" x14ac:dyDescent="0.35">
      <c r="A3" s="3">
        <v>1400002476</v>
      </c>
      <c r="B3" s="3" t="s">
        <v>51</v>
      </c>
      <c r="C3" s="4">
        <v>46041</v>
      </c>
      <c r="D3" s="3" t="s">
        <v>53</v>
      </c>
      <c r="E3" s="3" t="s">
        <v>11</v>
      </c>
      <c r="F3" s="8">
        <v>-5537.0979955700004</v>
      </c>
      <c r="G3" s="3" t="s">
        <v>11</v>
      </c>
      <c r="H3" s="5">
        <v>-500000</v>
      </c>
    </row>
    <row r="4" spans="1:8" x14ac:dyDescent="0.35">
      <c r="F4" s="17">
        <f>SUM(F2:F3)</f>
        <v>-11351.051483941999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7C984-EFC0-4E93-8A03-39500F7ADF00}">
  <dimension ref="A2:R42"/>
  <sheetViews>
    <sheetView tabSelected="1" topLeftCell="E1" workbookViewId="0">
      <selection activeCell="D25" sqref="D25:D42"/>
    </sheetView>
  </sheetViews>
  <sheetFormatPr defaultRowHeight="14.5" x14ac:dyDescent="0.35"/>
  <cols>
    <col min="1" max="1" width="19.08984375" bestFit="1" customWidth="1"/>
    <col min="2" max="2" width="11.7265625" bestFit="1" customWidth="1"/>
    <col min="3" max="3" width="16.1796875" bestFit="1" customWidth="1"/>
    <col min="4" max="4" width="12.90625" bestFit="1" customWidth="1"/>
    <col min="5" max="5" width="11.7265625" bestFit="1" customWidth="1"/>
    <col min="6" max="6" width="9.26953125" customWidth="1"/>
    <col min="7" max="7" width="5.08984375" customWidth="1"/>
    <col min="8" max="8" width="11" bestFit="1" customWidth="1"/>
    <col min="9" max="9" width="36.453125" bestFit="1" customWidth="1"/>
    <col min="10" max="10" width="5.08984375" hidden="1" customWidth="1"/>
    <col min="11" max="11" width="7.81640625" hidden="1" customWidth="1"/>
    <col min="12" max="12" width="24.1796875" bestFit="1" customWidth="1"/>
    <col min="13" max="13" width="6.26953125" style="13" bestFit="1" customWidth="1"/>
    <col min="14" max="14" width="6.81640625" style="11" bestFit="1" customWidth="1"/>
    <col min="15" max="15" width="7.1796875" style="13" bestFit="1" customWidth="1"/>
    <col min="16" max="16" width="21.1796875" style="13" bestFit="1" customWidth="1"/>
    <col min="17" max="17" width="21.1796875" style="13" customWidth="1"/>
    <col min="18" max="18" width="12.1796875" customWidth="1"/>
  </cols>
  <sheetData>
    <row r="2" spans="1:18" s="19" customFormat="1" x14ac:dyDescent="0.35">
      <c r="C2" s="19" t="s">
        <v>61</v>
      </c>
      <c r="F2" s="19">
        <f>SUBTOTAL(9,F4:F42)</f>
        <v>9246</v>
      </c>
      <c r="H2" s="20">
        <f t="array" ref="H2">SUBTOTAL(9,H4:H42)</f>
        <v>805990.80999999994</v>
      </c>
      <c r="I2" s="21"/>
      <c r="J2" s="21"/>
      <c r="K2" s="21"/>
      <c r="L2" s="19">
        <f>SUBTOTAL(9,L4:L42)</f>
        <v>9018</v>
      </c>
      <c r="M2" s="18"/>
      <c r="N2" s="22"/>
      <c r="O2" s="18"/>
      <c r="P2" s="20">
        <f>SUBTOTAL(9,P4:P42)</f>
        <v>9016.4200000000019</v>
      </c>
      <c r="Q2" s="20"/>
    </row>
    <row r="3" spans="1:18" ht="87" x14ac:dyDescent="0.35">
      <c r="A3" s="1" t="s">
        <v>0</v>
      </c>
      <c r="B3" s="2" t="s">
        <v>1</v>
      </c>
      <c r="C3" s="1" t="s">
        <v>2</v>
      </c>
      <c r="D3" s="1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1"/>
      <c r="J3" s="1" t="s">
        <v>55</v>
      </c>
      <c r="K3" s="1" t="s">
        <v>56</v>
      </c>
      <c r="L3" s="1" t="s">
        <v>59</v>
      </c>
      <c r="M3" s="16" t="s">
        <v>60</v>
      </c>
      <c r="N3" s="14" t="s">
        <v>57</v>
      </c>
      <c r="O3" s="16" t="s">
        <v>54</v>
      </c>
      <c r="P3" s="16" t="s">
        <v>58</v>
      </c>
      <c r="Q3" s="12" t="s">
        <v>63</v>
      </c>
      <c r="R3" s="12" t="s">
        <v>62</v>
      </c>
    </row>
    <row r="4" spans="1:18" x14ac:dyDescent="0.35">
      <c r="A4" s="3">
        <v>1800003142</v>
      </c>
      <c r="B4" s="3" t="s">
        <v>9</v>
      </c>
      <c r="C4" s="4">
        <v>45735</v>
      </c>
      <c r="D4" s="9">
        <v>246779413009</v>
      </c>
      <c r="E4" s="3" t="s">
        <v>10</v>
      </c>
      <c r="F4" s="5">
        <v>50.75</v>
      </c>
      <c r="G4" s="3" t="s">
        <v>11</v>
      </c>
      <c r="H4" s="5">
        <v>4399.58</v>
      </c>
      <c r="I4" s="3" t="s">
        <v>32</v>
      </c>
      <c r="J4" s="6">
        <v>0</v>
      </c>
      <c r="K4" s="6">
        <v>45.75</v>
      </c>
      <c r="L4" s="10">
        <f t="shared" ref="L4:L42" si="0">K4-J4</f>
        <v>45.75</v>
      </c>
      <c r="M4" s="7">
        <f>_xlfn.XLOOKUP(D4,'[1]TDS To be recorded'!$E:$E,'[1]TDS To be recorded'!$N:$N,,0)</f>
        <v>5</v>
      </c>
      <c r="N4" s="15">
        <f t="shared" ref="N4:N42" si="1">M4/F4</f>
        <v>9.8522167487684734E-2</v>
      </c>
      <c r="O4" s="7">
        <f>F4*10%</f>
        <v>5.0750000000000002</v>
      </c>
      <c r="P4" s="7">
        <f t="shared" ref="P4:P42" si="2">F4-O4</f>
        <v>45.674999999999997</v>
      </c>
      <c r="Q4" s="18">
        <f>H4*10%</f>
        <v>439.95800000000003</v>
      </c>
    </row>
    <row r="5" spans="1:18" x14ac:dyDescent="0.35">
      <c r="A5" s="3">
        <v>1800007279</v>
      </c>
      <c r="B5" s="3" t="s">
        <v>9</v>
      </c>
      <c r="C5" s="4">
        <v>45768</v>
      </c>
      <c r="D5" s="9">
        <v>256779412170</v>
      </c>
      <c r="E5" s="3" t="s">
        <v>10</v>
      </c>
      <c r="F5" s="5">
        <v>50.75</v>
      </c>
      <c r="G5" s="3" t="s">
        <v>11</v>
      </c>
      <c r="H5" s="5">
        <v>4354.8599999999997</v>
      </c>
      <c r="I5" s="3" t="s">
        <v>27</v>
      </c>
      <c r="J5" s="6">
        <v>0</v>
      </c>
      <c r="K5" s="6">
        <v>45.75</v>
      </c>
      <c r="L5" s="10">
        <f t="shared" si="0"/>
        <v>45.75</v>
      </c>
      <c r="M5" s="7">
        <f>_xlfn.XLOOKUP(D5,'[1]TDS To be recorded'!$E:$E,'[1]TDS To be recorded'!$N:$N,,0)</f>
        <v>5</v>
      </c>
      <c r="N5" s="15">
        <f t="shared" si="1"/>
        <v>9.8522167487684734E-2</v>
      </c>
      <c r="O5" s="7">
        <f>F5*10%</f>
        <v>5.0750000000000002</v>
      </c>
      <c r="P5" s="7">
        <f t="shared" si="2"/>
        <v>45.674999999999997</v>
      </c>
      <c r="Q5" s="18">
        <f t="shared" ref="Q5:Q6" si="3">H5*10%</f>
        <v>435.48599999999999</v>
      </c>
    </row>
    <row r="6" spans="1:18" x14ac:dyDescent="0.35">
      <c r="A6" s="3">
        <v>1800008244</v>
      </c>
      <c r="B6" s="3" t="s">
        <v>9</v>
      </c>
      <c r="C6" s="4">
        <v>45787</v>
      </c>
      <c r="D6" s="9">
        <v>256779413128</v>
      </c>
      <c r="E6" s="3" t="s">
        <v>10</v>
      </c>
      <c r="F6" s="5">
        <v>50.75</v>
      </c>
      <c r="G6" s="3" t="s">
        <v>11</v>
      </c>
      <c r="H6" s="5">
        <v>4363.67</v>
      </c>
      <c r="I6" s="3" t="s">
        <v>41</v>
      </c>
      <c r="J6" s="6">
        <v>0</v>
      </c>
      <c r="K6" s="6">
        <v>45.75</v>
      </c>
      <c r="L6" s="10">
        <f t="shared" si="0"/>
        <v>45.75</v>
      </c>
      <c r="M6" s="7">
        <f>_xlfn.XLOOKUP(D6,'[1]TDS To be recorded'!$E:$E,'[1]TDS To be recorded'!$N:$N,,0)</f>
        <v>5</v>
      </c>
      <c r="N6" s="15">
        <f t="shared" si="1"/>
        <v>9.8522167487684734E-2</v>
      </c>
      <c r="O6" s="7">
        <f>F6*10%</f>
        <v>5.0750000000000002</v>
      </c>
      <c r="P6" s="7">
        <f t="shared" si="2"/>
        <v>45.674999999999997</v>
      </c>
      <c r="Q6" s="18">
        <f t="shared" si="3"/>
        <v>436.36700000000002</v>
      </c>
    </row>
    <row r="7" spans="1:18" x14ac:dyDescent="0.35">
      <c r="A7" s="3">
        <v>1800008279</v>
      </c>
      <c r="B7" s="3" t="s">
        <v>9</v>
      </c>
      <c r="C7" s="4">
        <v>45787</v>
      </c>
      <c r="D7" s="9">
        <v>256779413162</v>
      </c>
      <c r="E7" s="3" t="s">
        <v>10</v>
      </c>
      <c r="F7" s="5">
        <v>131.6</v>
      </c>
      <c r="G7" s="3" t="s">
        <v>11</v>
      </c>
      <c r="H7" s="5">
        <v>11315.45</v>
      </c>
      <c r="I7" s="3" t="s">
        <v>42</v>
      </c>
      <c r="J7" s="6">
        <v>0</v>
      </c>
      <c r="K7" s="6">
        <v>128.6</v>
      </c>
      <c r="L7" s="10">
        <f t="shared" si="0"/>
        <v>128.6</v>
      </c>
      <c r="M7" s="7">
        <f>_xlfn.XLOOKUP(D7,'[1]TDS To be recorded'!$E:$E,'[1]TDS To be recorded'!$N:$N,,0)</f>
        <v>3</v>
      </c>
      <c r="N7" s="15">
        <f t="shared" si="1"/>
        <v>2.2796352583586626E-2</v>
      </c>
      <c r="O7" s="7">
        <f t="shared" ref="O7:O13" si="4">F7*2%</f>
        <v>2.6320000000000001</v>
      </c>
      <c r="P7" s="7">
        <f t="shared" si="2"/>
        <v>128.96799999999999</v>
      </c>
      <c r="Q7" s="18">
        <f>H7*2%</f>
        <v>226.30900000000003</v>
      </c>
    </row>
    <row r="8" spans="1:18" x14ac:dyDescent="0.35">
      <c r="A8" s="3">
        <v>1800008288</v>
      </c>
      <c r="B8" s="3" t="s">
        <v>9</v>
      </c>
      <c r="C8" s="4">
        <v>45787</v>
      </c>
      <c r="D8" s="9">
        <v>256779413171</v>
      </c>
      <c r="E8" s="3" t="s">
        <v>10</v>
      </c>
      <c r="F8" s="5">
        <v>112.8</v>
      </c>
      <c r="G8" s="3" t="s">
        <v>11</v>
      </c>
      <c r="H8" s="5">
        <v>9698.9599999999991</v>
      </c>
      <c r="I8" s="3" t="s">
        <v>43</v>
      </c>
      <c r="J8" s="6">
        <v>0</v>
      </c>
      <c r="K8" s="6">
        <v>110.8</v>
      </c>
      <c r="L8" s="10">
        <f t="shared" si="0"/>
        <v>110.8</v>
      </c>
      <c r="M8" s="7">
        <f>_xlfn.XLOOKUP(D8,'[1]TDS To be recorded'!$E:$E,'[1]TDS To be recorded'!$N:$N,,0)</f>
        <v>2</v>
      </c>
      <c r="N8" s="15">
        <f t="shared" si="1"/>
        <v>1.7730496453900711E-2</v>
      </c>
      <c r="O8" s="7">
        <f t="shared" si="4"/>
        <v>2.2559999999999998</v>
      </c>
      <c r="P8" s="7">
        <f t="shared" si="2"/>
        <v>110.544</v>
      </c>
      <c r="Q8" s="18">
        <f t="shared" ref="Q8:Q13" si="5">H8*2%</f>
        <v>193.97919999999999</v>
      </c>
    </row>
    <row r="9" spans="1:18" x14ac:dyDescent="0.35">
      <c r="A9" s="3">
        <v>1800008359</v>
      </c>
      <c r="B9" s="3" t="s">
        <v>9</v>
      </c>
      <c r="C9" s="4">
        <v>45787</v>
      </c>
      <c r="D9" s="9">
        <v>256779413242</v>
      </c>
      <c r="E9" s="3" t="s">
        <v>10</v>
      </c>
      <c r="F9" s="5">
        <v>1194.92</v>
      </c>
      <c r="G9" s="3" t="s">
        <v>11</v>
      </c>
      <c r="H9" s="5">
        <v>102743.64</v>
      </c>
      <c r="I9" s="3" t="s">
        <v>44</v>
      </c>
      <c r="J9" s="6">
        <v>0</v>
      </c>
      <c r="K9" s="6">
        <v>1170.92</v>
      </c>
      <c r="L9" s="10">
        <f t="shared" si="0"/>
        <v>1170.92</v>
      </c>
      <c r="M9" s="7">
        <f>_xlfn.XLOOKUP(D9,'[1]TDS To be recorded'!$E:$E,'[1]TDS To be recorded'!$N:$N,,0)</f>
        <v>24</v>
      </c>
      <c r="N9" s="15">
        <f t="shared" si="1"/>
        <v>2.0085026612660262E-2</v>
      </c>
      <c r="O9" s="7">
        <f t="shared" si="4"/>
        <v>23.898400000000002</v>
      </c>
      <c r="P9" s="7">
        <f t="shared" si="2"/>
        <v>1171.0216</v>
      </c>
      <c r="Q9" s="18">
        <f t="shared" si="5"/>
        <v>2054.8728000000001</v>
      </c>
    </row>
    <row r="10" spans="1:18" x14ac:dyDescent="0.35">
      <c r="A10" s="3">
        <v>1800009072</v>
      </c>
      <c r="B10" s="3" t="s">
        <v>9</v>
      </c>
      <c r="C10" s="4">
        <v>45797</v>
      </c>
      <c r="D10" s="9">
        <v>256779413836</v>
      </c>
      <c r="E10" s="3" t="s">
        <v>10</v>
      </c>
      <c r="F10" s="5">
        <v>793.07</v>
      </c>
      <c r="G10" s="3" t="s">
        <v>11</v>
      </c>
      <c r="H10" s="5">
        <v>68191.09</v>
      </c>
      <c r="I10" s="3" t="s">
        <v>25</v>
      </c>
      <c r="J10" s="6">
        <v>16</v>
      </c>
      <c r="K10" s="6">
        <v>793.07</v>
      </c>
      <c r="L10" s="10">
        <f t="shared" si="0"/>
        <v>777.07</v>
      </c>
      <c r="M10" s="7">
        <f>_xlfn.XLOOKUP(D10,'[1]TDS To be recorded'!$E:$E,'[1]TDS To be recorded'!$N:$N,,0)</f>
        <v>16</v>
      </c>
      <c r="N10" s="15">
        <f t="shared" si="1"/>
        <v>2.0174763892216323E-2</v>
      </c>
      <c r="O10" s="7">
        <f t="shared" si="4"/>
        <v>15.861400000000001</v>
      </c>
      <c r="P10" s="7">
        <f t="shared" si="2"/>
        <v>777.20860000000005</v>
      </c>
      <c r="Q10" s="18">
        <f t="shared" si="5"/>
        <v>1363.8217999999999</v>
      </c>
    </row>
    <row r="11" spans="1:18" x14ac:dyDescent="0.35">
      <c r="A11" s="3">
        <v>1800009076</v>
      </c>
      <c r="B11" s="3" t="s">
        <v>9</v>
      </c>
      <c r="C11" s="4">
        <v>45797</v>
      </c>
      <c r="D11" s="9">
        <v>256779413840</v>
      </c>
      <c r="E11" s="3" t="s">
        <v>10</v>
      </c>
      <c r="F11" s="5">
        <v>42.14</v>
      </c>
      <c r="G11" s="3" t="s">
        <v>11</v>
      </c>
      <c r="H11" s="5">
        <v>3623.35</v>
      </c>
      <c r="I11" s="3" t="s">
        <v>26</v>
      </c>
      <c r="J11" s="6">
        <v>0</v>
      </c>
      <c r="K11" s="6">
        <v>41.14</v>
      </c>
      <c r="L11" s="10">
        <f t="shared" si="0"/>
        <v>41.14</v>
      </c>
      <c r="M11" s="7">
        <f>_xlfn.XLOOKUP(D11,'[1]TDS To be recorded'!$E:$E,'[1]TDS To be recorded'!$N:$N,,0)</f>
        <v>1</v>
      </c>
      <c r="N11" s="15">
        <f t="shared" si="1"/>
        <v>2.3730422401518746E-2</v>
      </c>
      <c r="O11" s="7">
        <f t="shared" si="4"/>
        <v>0.84279999999999999</v>
      </c>
      <c r="P11" s="7">
        <f t="shared" si="2"/>
        <v>41.297200000000004</v>
      </c>
      <c r="Q11" s="18">
        <f t="shared" si="5"/>
        <v>72.466999999999999</v>
      </c>
    </row>
    <row r="12" spans="1:18" x14ac:dyDescent="0.35">
      <c r="A12" s="3">
        <v>1800008661</v>
      </c>
      <c r="B12" s="3" t="s">
        <v>9</v>
      </c>
      <c r="C12" s="4">
        <v>45798</v>
      </c>
      <c r="D12" s="9">
        <v>256779413425</v>
      </c>
      <c r="E12" s="3" t="s">
        <v>10</v>
      </c>
      <c r="F12" s="5">
        <v>37.6</v>
      </c>
      <c r="G12" s="3" t="s">
        <v>11</v>
      </c>
      <c r="H12" s="5">
        <v>3232.99</v>
      </c>
      <c r="I12" s="3" t="s">
        <v>28</v>
      </c>
      <c r="J12" s="6">
        <v>0</v>
      </c>
      <c r="K12" s="6">
        <v>36.6</v>
      </c>
      <c r="L12" s="10">
        <f t="shared" si="0"/>
        <v>36.6</v>
      </c>
      <c r="M12" s="7">
        <f>_xlfn.XLOOKUP(D12,'[1]TDS To be recorded'!$E:$E,'[1]TDS To be recorded'!$N:$N,,0)</f>
        <v>1</v>
      </c>
      <c r="N12" s="15">
        <f t="shared" si="1"/>
        <v>2.6595744680851064E-2</v>
      </c>
      <c r="O12" s="7">
        <f t="shared" si="4"/>
        <v>0.752</v>
      </c>
      <c r="P12" s="7">
        <f t="shared" si="2"/>
        <v>36.847999999999999</v>
      </c>
      <c r="Q12" s="18">
        <f t="shared" si="5"/>
        <v>64.65979999999999</v>
      </c>
    </row>
    <row r="13" spans="1:18" x14ac:dyDescent="0.35">
      <c r="A13" s="3">
        <v>1800008662</v>
      </c>
      <c r="B13" s="3" t="s">
        <v>9</v>
      </c>
      <c r="C13" s="4">
        <v>45798</v>
      </c>
      <c r="D13" s="9">
        <v>256779413426</v>
      </c>
      <c r="E13" s="3" t="s">
        <v>10</v>
      </c>
      <c r="F13" s="5">
        <v>2.35</v>
      </c>
      <c r="G13" s="3" t="s">
        <v>11</v>
      </c>
      <c r="H13" s="5">
        <v>202.06</v>
      </c>
      <c r="I13" s="3" t="s">
        <v>29</v>
      </c>
      <c r="J13" s="6">
        <v>0</v>
      </c>
      <c r="K13" s="6">
        <v>2.35</v>
      </c>
      <c r="L13" s="10">
        <f t="shared" si="0"/>
        <v>2.35</v>
      </c>
      <c r="M13" s="7">
        <f>_xlfn.XLOOKUP(D13,'[1]TDS To be recorded'!$E:$E,'[1]TDS To be recorded'!$N:$N,,0)</f>
        <v>0</v>
      </c>
      <c r="N13" s="15">
        <f t="shared" si="1"/>
        <v>0</v>
      </c>
      <c r="O13" s="7">
        <f t="shared" si="4"/>
        <v>4.7E-2</v>
      </c>
      <c r="P13" s="7">
        <f t="shared" si="2"/>
        <v>2.3029999999999999</v>
      </c>
      <c r="Q13" s="18">
        <f t="shared" si="5"/>
        <v>4.0411999999999999</v>
      </c>
    </row>
    <row r="14" spans="1:18" x14ac:dyDescent="0.35">
      <c r="A14" s="3">
        <v>1800009623</v>
      </c>
      <c r="B14" s="3" t="s">
        <v>9</v>
      </c>
      <c r="C14" s="4">
        <v>45818</v>
      </c>
      <c r="D14" s="9">
        <v>256779414387</v>
      </c>
      <c r="E14" s="3" t="s">
        <v>10</v>
      </c>
      <c r="F14" s="5">
        <v>50.75</v>
      </c>
      <c r="G14" s="3" t="s">
        <v>11</v>
      </c>
      <c r="H14" s="5">
        <v>4338.66</v>
      </c>
      <c r="I14" s="3" t="s">
        <v>13</v>
      </c>
      <c r="J14" s="6">
        <v>0</v>
      </c>
      <c r="K14" s="6">
        <v>45.75</v>
      </c>
      <c r="L14" s="10">
        <f t="shared" si="0"/>
        <v>45.75</v>
      </c>
      <c r="M14" s="7">
        <f>_xlfn.XLOOKUP(D14,'[1]TDS To be recorded'!$E:$E,'[1]TDS To be recorded'!$N:$N,,0)</f>
        <v>5</v>
      </c>
      <c r="N14" s="15">
        <f t="shared" si="1"/>
        <v>9.8522167487684734E-2</v>
      </c>
      <c r="O14" s="7">
        <f>F14*10%</f>
        <v>5.0750000000000002</v>
      </c>
      <c r="P14" s="7">
        <f t="shared" si="2"/>
        <v>45.674999999999997</v>
      </c>
      <c r="Q14" s="18">
        <f>H14*10%</f>
        <v>433.86599999999999</v>
      </c>
    </row>
    <row r="15" spans="1:18" x14ac:dyDescent="0.35">
      <c r="A15" s="3">
        <v>1800009993</v>
      </c>
      <c r="B15" s="3" t="s">
        <v>9</v>
      </c>
      <c r="C15" s="4">
        <v>45826</v>
      </c>
      <c r="D15" s="9">
        <v>256779414757</v>
      </c>
      <c r="E15" s="3" t="s">
        <v>10</v>
      </c>
      <c r="F15" s="5">
        <v>117.9</v>
      </c>
      <c r="G15" s="3" t="s">
        <v>11</v>
      </c>
      <c r="H15" s="5">
        <v>10079.36</v>
      </c>
      <c r="I15" s="3" t="s">
        <v>30</v>
      </c>
      <c r="J15" s="6">
        <v>0</v>
      </c>
      <c r="K15" s="6">
        <v>115.9</v>
      </c>
      <c r="L15" s="10">
        <f t="shared" si="0"/>
        <v>115.9</v>
      </c>
      <c r="M15" s="7">
        <f>_xlfn.XLOOKUP(D15,'[1]TDS To be recorded'!$E:$E,'[1]TDS To be recorded'!$N:$N,,0)</f>
        <v>2</v>
      </c>
      <c r="N15" s="15">
        <f t="shared" si="1"/>
        <v>1.6963528413910092E-2</v>
      </c>
      <c r="O15" s="7">
        <f>F15*2%</f>
        <v>2.3580000000000001</v>
      </c>
      <c r="P15" s="7">
        <f t="shared" si="2"/>
        <v>115.542</v>
      </c>
      <c r="Q15" s="18">
        <f t="shared" ref="Q15:Q17" si="6">H15*2%</f>
        <v>201.58720000000002</v>
      </c>
    </row>
    <row r="16" spans="1:18" x14ac:dyDescent="0.35">
      <c r="A16" s="3">
        <v>1800009978</v>
      </c>
      <c r="B16" s="3" t="s">
        <v>9</v>
      </c>
      <c r="C16" s="4">
        <v>45827</v>
      </c>
      <c r="D16" s="9">
        <v>256779414742</v>
      </c>
      <c r="E16" s="3" t="s">
        <v>10</v>
      </c>
      <c r="F16" s="5">
        <v>332.22</v>
      </c>
      <c r="G16" s="3" t="s">
        <v>11</v>
      </c>
      <c r="H16" s="5">
        <v>28401.75</v>
      </c>
      <c r="I16" s="3" t="s">
        <v>33</v>
      </c>
      <c r="J16" s="6">
        <v>0</v>
      </c>
      <c r="K16" s="6">
        <v>325.22000000000003</v>
      </c>
      <c r="L16" s="10">
        <f t="shared" si="0"/>
        <v>325.22000000000003</v>
      </c>
      <c r="M16" s="7">
        <f>_xlfn.XLOOKUP(D16,'[1]TDS To be recorded'!$E:$E,'[1]TDS To be recorded'!$N:$N,,0)</f>
        <v>7</v>
      </c>
      <c r="N16" s="15">
        <f t="shared" si="1"/>
        <v>2.1070375052675935E-2</v>
      </c>
      <c r="O16" s="7">
        <f>F16*2%</f>
        <v>6.644400000000001</v>
      </c>
      <c r="P16" s="7">
        <f t="shared" si="2"/>
        <v>325.57560000000001</v>
      </c>
      <c r="Q16" s="18">
        <f t="shared" si="6"/>
        <v>568.03499999999997</v>
      </c>
    </row>
    <row r="17" spans="1:17" x14ac:dyDescent="0.35">
      <c r="A17" s="3">
        <v>1800010003</v>
      </c>
      <c r="B17" s="3" t="s">
        <v>9</v>
      </c>
      <c r="C17" s="4">
        <v>45842</v>
      </c>
      <c r="D17" s="9">
        <v>256779414767</v>
      </c>
      <c r="E17" s="3" t="s">
        <v>10</v>
      </c>
      <c r="F17" s="5">
        <v>19.7</v>
      </c>
      <c r="G17" s="3" t="s">
        <v>11</v>
      </c>
      <c r="H17" s="5">
        <v>1694.21</v>
      </c>
      <c r="I17" s="3" t="s">
        <v>18</v>
      </c>
      <c r="J17" s="6">
        <v>0</v>
      </c>
      <c r="K17" s="6">
        <v>19.7</v>
      </c>
      <c r="L17" s="10">
        <f t="shared" si="0"/>
        <v>19.7</v>
      </c>
      <c r="M17" s="7">
        <f>_xlfn.XLOOKUP(D17,'[1]TDS To be recorded'!$E:$E,'[1]TDS To be recorded'!$N:$N,,0)</f>
        <v>0</v>
      </c>
      <c r="N17" s="15">
        <f t="shared" si="1"/>
        <v>0</v>
      </c>
      <c r="O17" s="7">
        <f>F17*2%</f>
        <v>0.39400000000000002</v>
      </c>
      <c r="P17" s="7">
        <f t="shared" si="2"/>
        <v>19.306000000000001</v>
      </c>
      <c r="Q17" s="18">
        <f t="shared" si="6"/>
        <v>33.8842</v>
      </c>
    </row>
    <row r="18" spans="1:17" x14ac:dyDescent="0.35">
      <c r="A18" s="3">
        <v>1800010185</v>
      </c>
      <c r="B18" s="3" t="s">
        <v>9</v>
      </c>
      <c r="C18" s="4">
        <v>45842</v>
      </c>
      <c r="D18" s="9">
        <v>256779414945</v>
      </c>
      <c r="E18" s="3" t="s">
        <v>10</v>
      </c>
      <c r="F18" s="5">
        <v>50.75</v>
      </c>
      <c r="G18" s="3" t="s">
        <v>11</v>
      </c>
      <c r="H18" s="5">
        <v>4364.53</v>
      </c>
      <c r="I18" s="3" t="s">
        <v>19</v>
      </c>
      <c r="J18" s="6">
        <v>0</v>
      </c>
      <c r="K18" s="6">
        <v>45.75</v>
      </c>
      <c r="L18" s="10">
        <f t="shared" si="0"/>
        <v>45.75</v>
      </c>
      <c r="M18" s="7">
        <f>_xlfn.XLOOKUP(D18,'[1]TDS To be recorded'!$E:$E,'[1]TDS To be recorded'!$N:$N,,0)</f>
        <v>5</v>
      </c>
      <c r="N18" s="15">
        <f t="shared" si="1"/>
        <v>9.8522167487684734E-2</v>
      </c>
      <c r="O18" s="7">
        <f>F18*10%</f>
        <v>5.0750000000000002</v>
      </c>
      <c r="P18" s="7">
        <f t="shared" si="2"/>
        <v>45.674999999999997</v>
      </c>
      <c r="Q18" s="18">
        <f>H18*10%</f>
        <v>436.45299999999997</v>
      </c>
    </row>
    <row r="19" spans="1:17" x14ac:dyDescent="0.35">
      <c r="A19" s="3">
        <v>1800010207</v>
      </c>
      <c r="B19" s="3" t="s">
        <v>9</v>
      </c>
      <c r="C19" s="4">
        <v>45845</v>
      </c>
      <c r="D19" s="9">
        <v>256779414967</v>
      </c>
      <c r="E19" s="3" t="s">
        <v>10</v>
      </c>
      <c r="F19" s="5">
        <v>216.2</v>
      </c>
      <c r="G19" s="3" t="s">
        <v>11</v>
      </c>
      <c r="H19" s="5">
        <v>18593.34</v>
      </c>
      <c r="I19" s="3" t="s">
        <v>16</v>
      </c>
      <c r="J19" s="6">
        <v>0</v>
      </c>
      <c r="K19" s="6">
        <v>212.2</v>
      </c>
      <c r="L19" s="10">
        <f t="shared" si="0"/>
        <v>212.2</v>
      </c>
      <c r="M19" s="7">
        <f>_xlfn.XLOOKUP(D19,'[1]TDS To be recorded'!$E:$E,'[1]TDS To be recorded'!$N:$N,,0)</f>
        <v>4</v>
      </c>
      <c r="N19" s="15">
        <f t="shared" si="1"/>
        <v>1.8501387604070305E-2</v>
      </c>
      <c r="O19" s="7">
        <f>F19*2%</f>
        <v>4.3239999999999998</v>
      </c>
      <c r="P19" s="7">
        <f t="shared" si="2"/>
        <v>211.87599999999998</v>
      </c>
      <c r="Q19" s="18">
        <f t="shared" ref="Q19:Q20" si="7">H19*2%</f>
        <v>371.86680000000001</v>
      </c>
    </row>
    <row r="20" spans="1:17" x14ac:dyDescent="0.35">
      <c r="A20" s="3">
        <v>1800010671</v>
      </c>
      <c r="B20" s="3" t="s">
        <v>9</v>
      </c>
      <c r="C20" s="4">
        <v>45856</v>
      </c>
      <c r="D20" s="9">
        <v>256779415455</v>
      </c>
      <c r="E20" s="3" t="s">
        <v>10</v>
      </c>
      <c r="F20" s="5">
        <v>490.4</v>
      </c>
      <c r="G20" s="3" t="s">
        <v>11</v>
      </c>
      <c r="H20" s="5">
        <v>42174.73</v>
      </c>
      <c r="I20" s="3" t="s">
        <v>24</v>
      </c>
      <c r="J20" s="6">
        <v>0</v>
      </c>
      <c r="K20" s="6">
        <v>480.4</v>
      </c>
      <c r="L20" s="10">
        <f t="shared" si="0"/>
        <v>480.4</v>
      </c>
      <c r="M20" s="7">
        <f>_xlfn.XLOOKUP(D20,'[1]TDS To be recorded'!$E:$E,'[1]TDS To be recorded'!$N:$N,,0)</f>
        <v>10</v>
      </c>
      <c r="N20" s="15">
        <f t="shared" si="1"/>
        <v>2.0391517128874388E-2</v>
      </c>
      <c r="O20" s="7">
        <f>F20*2%</f>
        <v>9.8079999999999998</v>
      </c>
      <c r="P20" s="7">
        <f t="shared" si="2"/>
        <v>480.59199999999998</v>
      </c>
      <c r="Q20" s="18">
        <f t="shared" si="7"/>
        <v>843.4946000000001</v>
      </c>
    </row>
    <row r="21" spans="1:17" x14ac:dyDescent="0.35">
      <c r="A21" s="3">
        <v>1800011346</v>
      </c>
      <c r="B21" s="3" t="s">
        <v>9</v>
      </c>
      <c r="C21" s="4">
        <v>45870</v>
      </c>
      <c r="D21" s="9">
        <v>256779416055</v>
      </c>
      <c r="E21" s="3" t="s">
        <v>10</v>
      </c>
      <c r="F21" s="5">
        <v>50.75</v>
      </c>
      <c r="G21" s="3" t="s">
        <v>11</v>
      </c>
      <c r="H21" s="5">
        <v>4366.03</v>
      </c>
      <c r="I21" s="3" t="s">
        <v>12</v>
      </c>
      <c r="J21" s="6">
        <v>0</v>
      </c>
      <c r="K21" s="6">
        <v>45.75</v>
      </c>
      <c r="L21" s="10">
        <f t="shared" si="0"/>
        <v>45.75</v>
      </c>
      <c r="M21" s="7">
        <f>_xlfn.XLOOKUP(D21,'[1]TDS To be recorded'!$E:$E,'[1]TDS To be recorded'!$N:$N,,0)</f>
        <v>5</v>
      </c>
      <c r="N21" s="15">
        <f t="shared" si="1"/>
        <v>9.8522167487684734E-2</v>
      </c>
      <c r="O21" s="7">
        <f>F21*10%</f>
        <v>5.0750000000000002</v>
      </c>
      <c r="P21" s="7">
        <f t="shared" si="2"/>
        <v>45.674999999999997</v>
      </c>
      <c r="Q21" s="18">
        <f t="shared" ref="Q21:Q22" si="8">H21*10%</f>
        <v>436.60300000000001</v>
      </c>
    </row>
    <row r="22" spans="1:17" x14ac:dyDescent="0.35">
      <c r="A22" s="3">
        <v>1800012740</v>
      </c>
      <c r="B22" s="3" t="s">
        <v>9</v>
      </c>
      <c r="C22" s="4">
        <v>45904</v>
      </c>
      <c r="D22" s="9">
        <v>256779417374</v>
      </c>
      <c r="E22" s="3" t="s">
        <v>10</v>
      </c>
      <c r="F22" s="5">
        <v>50.75</v>
      </c>
      <c r="G22" s="3" t="s">
        <v>11</v>
      </c>
      <c r="H22" s="5">
        <v>4441.3500000000004</v>
      </c>
      <c r="I22" s="3" t="s">
        <v>17</v>
      </c>
      <c r="J22" s="6">
        <v>0</v>
      </c>
      <c r="K22" s="6">
        <v>45.75</v>
      </c>
      <c r="L22" s="10">
        <f t="shared" si="0"/>
        <v>45.75</v>
      </c>
      <c r="M22" s="7">
        <f>_xlfn.XLOOKUP(D22,'[1]TDS To be recorded'!$E:$E,'[1]TDS To be recorded'!$N:$N,,0)</f>
        <v>5</v>
      </c>
      <c r="N22" s="15">
        <f t="shared" si="1"/>
        <v>9.8522167487684734E-2</v>
      </c>
      <c r="O22" s="7">
        <f>F22*10%</f>
        <v>5.0750000000000002</v>
      </c>
      <c r="P22" s="7">
        <f t="shared" si="2"/>
        <v>45.674999999999997</v>
      </c>
      <c r="Q22" s="18">
        <f t="shared" si="8"/>
        <v>444.13500000000005</v>
      </c>
    </row>
    <row r="23" spans="1:17" x14ac:dyDescent="0.35">
      <c r="A23" s="3">
        <v>1800012787</v>
      </c>
      <c r="B23" s="3" t="s">
        <v>9</v>
      </c>
      <c r="C23" s="4">
        <v>45917</v>
      </c>
      <c r="D23" s="9">
        <v>256779417441</v>
      </c>
      <c r="E23" s="3" t="s">
        <v>10</v>
      </c>
      <c r="F23" s="5">
        <v>1902.19</v>
      </c>
      <c r="G23" s="3" t="s">
        <v>11</v>
      </c>
      <c r="H23" s="5">
        <v>166468.88</v>
      </c>
      <c r="I23" s="3" t="s">
        <v>14</v>
      </c>
      <c r="J23" s="6">
        <v>38</v>
      </c>
      <c r="K23" s="6">
        <v>1902.19</v>
      </c>
      <c r="L23" s="10">
        <f t="shared" si="0"/>
        <v>1864.19</v>
      </c>
      <c r="M23" s="7">
        <f>_xlfn.XLOOKUP(D23,'[1]TDS To be recorded'!$E:$E,'[1]TDS To be recorded'!$N:$N,,0)</f>
        <v>38</v>
      </c>
      <c r="N23" s="15">
        <f t="shared" si="1"/>
        <v>1.9976973909020656E-2</v>
      </c>
      <c r="O23" s="7">
        <f>F23*2%</f>
        <v>38.043800000000005</v>
      </c>
      <c r="P23" s="7">
        <f t="shared" si="2"/>
        <v>1864.1462000000001</v>
      </c>
      <c r="Q23" s="18">
        <f t="shared" ref="Q23:Q26" si="9">H23*2%</f>
        <v>3329.3776000000003</v>
      </c>
    </row>
    <row r="24" spans="1:17" x14ac:dyDescent="0.35">
      <c r="A24" s="3">
        <v>1800012796</v>
      </c>
      <c r="B24" s="3" t="s">
        <v>9</v>
      </c>
      <c r="C24" s="4">
        <v>45917</v>
      </c>
      <c r="D24" s="9">
        <v>256779417450</v>
      </c>
      <c r="E24" s="3" t="s">
        <v>10</v>
      </c>
      <c r="F24" s="5">
        <v>81.569999999999993</v>
      </c>
      <c r="G24" s="3" t="s">
        <v>11</v>
      </c>
      <c r="H24" s="5">
        <v>7138.54</v>
      </c>
      <c r="I24" s="3" t="s">
        <v>15</v>
      </c>
      <c r="J24" s="6">
        <v>0</v>
      </c>
      <c r="K24" s="6">
        <v>79.569999999999993</v>
      </c>
      <c r="L24" s="10">
        <f t="shared" si="0"/>
        <v>79.569999999999993</v>
      </c>
      <c r="M24" s="7">
        <f>_xlfn.XLOOKUP(D24,'[1]TDS To be recorded'!$E:$E,'[1]TDS To be recorded'!$N:$N,,0)</f>
        <v>2</v>
      </c>
      <c r="N24" s="15">
        <f t="shared" si="1"/>
        <v>2.4518818192963102E-2</v>
      </c>
      <c r="O24" s="7">
        <f>F24*2%</f>
        <v>1.6314</v>
      </c>
      <c r="P24" s="7">
        <f t="shared" si="2"/>
        <v>79.938599999999994</v>
      </c>
      <c r="Q24" s="18">
        <f t="shared" si="9"/>
        <v>142.77080000000001</v>
      </c>
    </row>
    <row r="25" spans="1:17" x14ac:dyDescent="0.35">
      <c r="A25" s="3">
        <v>1800012944</v>
      </c>
      <c r="B25" s="3" t="s">
        <v>9</v>
      </c>
      <c r="C25" s="4">
        <v>45918</v>
      </c>
      <c r="D25" s="9">
        <v>256779417583</v>
      </c>
      <c r="E25" s="3" t="s">
        <v>10</v>
      </c>
      <c r="F25" s="5">
        <v>279.45</v>
      </c>
      <c r="G25" s="3" t="s">
        <v>11</v>
      </c>
      <c r="H25" s="5">
        <v>24455.88</v>
      </c>
      <c r="I25" s="3" t="s">
        <v>34</v>
      </c>
      <c r="J25" s="6">
        <v>0</v>
      </c>
      <c r="K25" s="6">
        <v>273.45</v>
      </c>
      <c r="L25" s="10">
        <f t="shared" si="0"/>
        <v>273.45</v>
      </c>
      <c r="M25" s="7">
        <f>_xlfn.XLOOKUP(D25,'[1]TDS To be recorded'!$E:$E,'[1]TDS To be recorded'!$N:$N,,0)</f>
        <v>6</v>
      </c>
      <c r="N25" s="15">
        <f t="shared" si="1"/>
        <v>2.147074610842727E-2</v>
      </c>
      <c r="O25" s="7">
        <f>F25*2%</f>
        <v>5.5889999999999995</v>
      </c>
      <c r="P25" s="7">
        <f t="shared" si="2"/>
        <v>273.86099999999999</v>
      </c>
      <c r="Q25" s="18">
        <f t="shared" si="9"/>
        <v>489.11760000000004</v>
      </c>
    </row>
    <row r="26" spans="1:17" x14ac:dyDescent="0.35">
      <c r="A26" s="3">
        <v>1800012862</v>
      </c>
      <c r="B26" s="3" t="s">
        <v>9</v>
      </c>
      <c r="C26" s="4">
        <v>45918</v>
      </c>
      <c r="D26" s="9">
        <v>256779417598</v>
      </c>
      <c r="E26" s="3" t="s">
        <v>10</v>
      </c>
      <c r="F26" s="5">
        <v>150.4</v>
      </c>
      <c r="G26" s="3" t="s">
        <v>11</v>
      </c>
      <c r="H26" s="5">
        <v>13162.16</v>
      </c>
      <c r="I26" s="3" t="s">
        <v>35</v>
      </c>
      <c r="J26" s="6">
        <v>0</v>
      </c>
      <c r="K26" s="6">
        <v>147.4</v>
      </c>
      <c r="L26" s="10">
        <f t="shared" si="0"/>
        <v>147.4</v>
      </c>
      <c r="M26" s="7">
        <f>_xlfn.XLOOKUP(D26,'[1]TDS To be recorded'!$E:$E,'[1]TDS To be recorded'!$N:$N,,0)</f>
        <v>3</v>
      </c>
      <c r="N26" s="15">
        <f t="shared" si="1"/>
        <v>1.9946808510638295E-2</v>
      </c>
      <c r="O26" s="7">
        <f>F26*2%</f>
        <v>3.008</v>
      </c>
      <c r="P26" s="7">
        <f t="shared" si="2"/>
        <v>147.392</v>
      </c>
      <c r="Q26" s="18">
        <f t="shared" si="9"/>
        <v>263.2432</v>
      </c>
    </row>
    <row r="27" spans="1:17" x14ac:dyDescent="0.35">
      <c r="A27" s="3">
        <v>1800013461</v>
      </c>
      <c r="B27" s="3" t="s">
        <v>9</v>
      </c>
      <c r="C27" s="4">
        <v>45935</v>
      </c>
      <c r="D27" s="9">
        <v>256779418037</v>
      </c>
      <c r="E27" s="3" t="s">
        <v>10</v>
      </c>
      <c r="F27" s="5">
        <v>50.75</v>
      </c>
      <c r="G27" s="3" t="s">
        <v>11</v>
      </c>
      <c r="H27" s="5">
        <v>4475.68</v>
      </c>
      <c r="I27" s="3" t="s">
        <v>45</v>
      </c>
      <c r="J27" s="6">
        <v>0</v>
      </c>
      <c r="K27" s="6">
        <v>45.75</v>
      </c>
      <c r="L27" s="10">
        <f t="shared" si="0"/>
        <v>45.75</v>
      </c>
      <c r="M27" s="7">
        <f>_xlfn.XLOOKUP(D27,'[1]TDS To be recorded'!$E:$E,'[1]TDS To be recorded'!$N:$N,,0)</f>
        <v>5</v>
      </c>
      <c r="N27" s="15">
        <f t="shared" si="1"/>
        <v>9.8522167487684734E-2</v>
      </c>
      <c r="O27" s="7">
        <f>F27*10%</f>
        <v>5.0750000000000002</v>
      </c>
      <c r="P27" s="7">
        <f t="shared" si="2"/>
        <v>45.674999999999997</v>
      </c>
      <c r="Q27" s="18">
        <f>H27*10%</f>
        <v>447.56800000000004</v>
      </c>
    </row>
    <row r="28" spans="1:17" x14ac:dyDescent="0.35">
      <c r="A28" s="3">
        <v>1800013746</v>
      </c>
      <c r="B28" s="3" t="s">
        <v>9</v>
      </c>
      <c r="C28" s="4">
        <v>45937</v>
      </c>
      <c r="D28" s="9">
        <v>256779418167</v>
      </c>
      <c r="E28" s="3" t="s">
        <v>10</v>
      </c>
      <c r="F28" s="5">
        <v>70</v>
      </c>
      <c r="G28" s="3" t="s">
        <v>11</v>
      </c>
      <c r="H28" s="5">
        <v>6173.35</v>
      </c>
      <c r="I28" s="3" t="s">
        <v>36</v>
      </c>
      <c r="J28" s="6">
        <v>0</v>
      </c>
      <c r="K28" s="6">
        <v>69</v>
      </c>
      <c r="L28" s="10">
        <f t="shared" si="0"/>
        <v>69</v>
      </c>
      <c r="M28" s="7">
        <f>_xlfn.XLOOKUP(D28,'[1]TDS To be recorded'!$E:$E,'[1]TDS To be recorded'!$N:$N,,0)</f>
        <v>1</v>
      </c>
      <c r="N28" s="15">
        <f t="shared" si="1"/>
        <v>1.4285714285714285E-2</v>
      </c>
      <c r="O28" s="7">
        <f t="shared" ref="O28:O33" si="10">F28*2%</f>
        <v>1.4000000000000001</v>
      </c>
      <c r="P28" s="7">
        <f t="shared" si="2"/>
        <v>68.599999999999994</v>
      </c>
      <c r="Q28" s="18">
        <f t="shared" ref="Q28:Q33" si="11">H28*2%</f>
        <v>123.46700000000001</v>
      </c>
    </row>
    <row r="29" spans="1:17" x14ac:dyDescent="0.35">
      <c r="A29" s="3">
        <v>1800013757</v>
      </c>
      <c r="B29" s="3" t="s">
        <v>9</v>
      </c>
      <c r="C29" s="4">
        <v>45937</v>
      </c>
      <c r="D29" s="9">
        <v>256779418178</v>
      </c>
      <c r="E29" s="3" t="s">
        <v>10</v>
      </c>
      <c r="F29" s="5">
        <v>472.74</v>
      </c>
      <c r="G29" s="3" t="s">
        <v>11</v>
      </c>
      <c r="H29" s="5">
        <v>41691.300000000003</v>
      </c>
      <c r="I29" s="3" t="s">
        <v>37</v>
      </c>
      <c r="J29" s="6">
        <v>9</v>
      </c>
      <c r="K29" s="6">
        <v>472.74</v>
      </c>
      <c r="L29" s="10">
        <f t="shared" si="0"/>
        <v>463.74</v>
      </c>
      <c r="M29" s="7">
        <f>_xlfn.XLOOKUP(D29,'[1]TDS To be recorded'!$E:$E,'[1]TDS To be recorded'!$N:$N,,0)</f>
        <v>9</v>
      </c>
      <c r="N29" s="15">
        <f t="shared" si="1"/>
        <v>1.9037948978296738E-2</v>
      </c>
      <c r="O29" s="7">
        <f t="shared" si="10"/>
        <v>9.4548000000000005</v>
      </c>
      <c r="P29" s="7">
        <f t="shared" si="2"/>
        <v>463.28520000000003</v>
      </c>
      <c r="Q29" s="18">
        <f t="shared" si="11"/>
        <v>833.82600000000002</v>
      </c>
    </row>
    <row r="30" spans="1:17" x14ac:dyDescent="0.35">
      <c r="A30" s="3">
        <v>1800013765</v>
      </c>
      <c r="B30" s="3" t="s">
        <v>9</v>
      </c>
      <c r="C30" s="4">
        <v>45937</v>
      </c>
      <c r="D30" s="9">
        <v>256779418186</v>
      </c>
      <c r="E30" s="3" t="s">
        <v>10</v>
      </c>
      <c r="F30" s="5">
        <v>20.27</v>
      </c>
      <c r="G30" s="3" t="s">
        <v>11</v>
      </c>
      <c r="H30" s="5">
        <v>1787.63</v>
      </c>
      <c r="I30" s="3" t="s">
        <v>38</v>
      </c>
      <c r="J30" s="6">
        <v>0</v>
      </c>
      <c r="K30" s="6">
        <v>20.27</v>
      </c>
      <c r="L30" s="10">
        <f t="shared" si="0"/>
        <v>20.27</v>
      </c>
      <c r="M30" s="7">
        <f>_xlfn.XLOOKUP(D30,'[1]TDS To be recorded'!$E:$E,'[1]TDS To be recorded'!$N:$N,,0)</f>
        <v>0</v>
      </c>
      <c r="N30" s="15">
        <f t="shared" si="1"/>
        <v>0</v>
      </c>
      <c r="O30" s="7">
        <f t="shared" si="10"/>
        <v>0.40539999999999998</v>
      </c>
      <c r="P30" s="7">
        <f t="shared" si="2"/>
        <v>19.864599999999999</v>
      </c>
      <c r="Q30" s="18">
        <f t="shared" si="11"/>
        <v>35.752600000000001</v>
      </c>
    </row>
    <row r="31" spans="1:17" x14ac:dyDescent="0.35">
      <c r="A31" s="3">
        <v>1800013772</v>
      </c>
      <c r="B31" s="3" t="s">
        <v>9</v>
      </c>
      <c r="C31" s="4">
        <v>45937</v>
      </c>
      <c r="D31" s="9">
        <v>256779418340</v>
      </c>
      <c r="E31" s="3" t="s">
        <v>10</v>
      </c>
      <c r="F31" s="5">
        <v>76.55</v>
      </c>
      <c r="G31" s="3" t="s">
        <v>11</v>
      </c>
      <c r="H31" s="5">
        <v>6751</v>
      </c>
      <c r="I31" s="3" t="s">
        <v>39</v>
      </c>
      <c r="J31" s="6">
        <v>2</v>
      </c>
      <c r="K31" s="6">
        <v>76.55</v>
      </c>
      <c r="L31" s="10">
        <f t="shared" si="0"/>
        <v>74.55</v>
      </c>
      <c r="M31" s="7">
        <f>_xlfn.XLOOKUP(D31,'[1]TDS To be recorded'!$E:$E,'[1]TDS To be recorded'!$N:$N,,0)</f>
        <v>2</v>
      </c>
      <c r="N31" s="15">
        <f t="shared" si="1"/>
        <v>2.6126714565643371E-2</v>
      </c>
      <c r="O31" s="7">
        <f t="shared" si="10"/>
        <v>1.5309999999999999</v>
      </c>
      <c r="P31" s="7">
        <f t="shared" si="2"/>
        <v>75.018999999999991</v>
      </c>
      <c r="Q31" s="18">
        <f t="shared" si="11"/>
        <v>135.02000000000001</v>
      </c>
    </row>
    <row r="32" spans="1:17" x14ac:dyDescent="0.35">
      <c r="A32" s="3">
        <v>1800013531</v>
      </c>
      <c r="B32" s="3" t="s">
        <v>9</v>
      </c>
      <c r="C32" s="4">
        <v>45937</v>
      </c>
      <c r="D32" s="9">
        <v>256779418355</v>
      </c>
      <c r="E32" s="3" t="s">
        <v>10</v>
      </c>
      <c r="F32" s="5">
        <v>37.6</v>
      </c>
      <c r="G32" s="3" t="s">
        <v>11</v>
      </c>
      <c r="H32" s="5">
        <v>3315.97</v>
      </c>
      <c r="I32" s="3" t="s">
        <v>40</v>
      </c>
      <c r="J32" s="6">
        <v>0</v>
      </c>
      <c r="K32" s="6">
        <v>36.6</v>
      </c>
      <c r="L32" s="10">
        <f t="shared" si="0"/>
        <v>36.6</v>
      </c>
      <c r="M32" s="7">
        <f>_xlfn.XLOOKUP(D32,'[1]TDS To be recorded'!$E:$E,'[1]TDS To be recorded'!$N:$N,,0)</f>
        <v>1</v>
      </c>
      <c r="N32" s="15">
        <f t="shared" si="1"/>
        <v>2.6595744680851064E-2</v>
      </c>
      <c r="O32" s="7">
        <f t="shared" si="10"/>
        <v>0.752</v>
      </c>
      <c r="P32" s="7">
        <f t="shared" si="2"/>
        <v>36.847999999999999</v>
      </c>
      <c r="Q32" s="18">
        <f t="shared" si="11"/>
        <v>66.319400000000002</v>
      </c>
    </row>
    <row r="33" spans="1:17" x14ac:dyDescent="0.35">
      <c r="A33" s="3">
        <v>1800013949</v>
      </c>
      <c r="B33" s="3" t="s">
        <v>9</v>
      </c>
      <c r="C33" s="4">
        <v>45951</v>
      </c>
      <c r="D33" s="9">
        <v>256779418481</v>
      </c>
      <c r="E33" s="3" t="s">
        <v>10</v>
      </c>
      <c r="F33" s="5">
        <v>40.770000000000003</v>
      </c>
      <c r="G33" s="3" t="s">
        <v>11</v>
      </c>
      <c r="H33" s="5">
        <v>3595.54</v>
      </c>
      <c r="I33" s="3" t="s">
        <v>31</v>
      </c>
      <c r="J33" s="6">
        <v>0</v>
      </c>
      <c r="K33" s="6">
        <v>39.770000000000003</v>
      </c>
      <c r="L33" s="10">
        <f t="shared" si="0"/>
        <v>39.770000000000003</v>
      </c>
      <c r="M33" s="7">
        <f>_xlfn.XLOOKUP(D33,'[1]TDS To be recorded'!$E:$E,'[1]TDS To be recorded'!$N:$N,,0)</f>
        <v>1</v>
      </c>
      <c r="N33" s="15">
        <f t="shared" si="1"/>
        <v>2.452783909737552E-2</v>
      </c>
      <c r="O33" s="7">
        <f t="shared" si="10"/>
        <v>0.81540000000000012</v>
      </c>
      <c r="P33" s="7">
        <f t="shared" si="2"/>
        <v>39.954600000000006</v>
      </c>
      <c r="Q33" s="18">
        <f t="shared" si="11"/>
        <v>71.910799999999995</v>
      </c>
    </row>
    <row r="34" spans="1:17" x14ac:dyDescent="0.35">
      <c r="A34" s="3">
        <v>1800014264</v>
      </c>
      <c r="B34" s="3" t="s">
        <v>9</v>
      </c>
      <c r="C34" s="4">
        <v>45966</v>
      </c>
      <c r="D34" s="9">
        <v>256779418803</v>
      </c>
      <c r="E34" s="3" t="s">
        <v>10</v>
      </c>
      <c r="F34" s="5">
        <v>50.75</v>
      </c>
      <c r="G34" s="3" t="s">
        <v>11</v>
      </c>
      <c r="H34" s="5">
        <v>4466.17</v>
      </c>
      <c r="I34" s="3" t="s">
        <v>20</v>
      </c>
      <c r="J34" s="6">
        <v>5</v>
      </c>
      <c r="K34" s="6">
        <v>50.75</v>
      </c>
      <c r="L34" s="10">
        <f t="shared" si="0"/>
        <v>45.75</v>
      </c>
      <c r="M34" s="7">
        <f>_xlfn.XLOOKUP(D34,'[1]TDS To be recorded'!$E:$E,'[1]TDS To be recorded'!$N:$N,,0)</f>
        <v>5</v>
      </c>
      <c r="N34" s="15">
        <f t="shared" si="1"/>
        <v>9.8522167487684734E-2</v>
      </c>
      <c r="O34" s="7">
        <f>F34*10%</f>
        <v>5.0750000000000002</v>
      </c>
      <c r="P34" s="7">
        <f t="shared" si="2"/>
        <v>45.674999999999997</v>
      </c>
      <c r="Q34" s="18">
        <f>H34*10%</f>
        <v>446.61700000000002</v>
      </c>
    </row>
    <row r="35" spans="1:17" x14ac:dyDescent="0.35">
      <c r="A35" s="3">
        <v>1800014281</v>
      </c>
      <c r="B35" s="3" t="s">
        <v>9</v>
      </c>
      <c r="C35" s="4">
        <v>45966</v>
      </c>
      <c r="D35" s="9">
        <v>256779418818</v>
      </c>
      <c r="E35" s="3" t="s">
        <v>10</v>
      </c>
      <c r="F35" s="5">
        <v>1468.91</v>
      </c>
      <c r="G35" s="3" t="s">
        <v>11</v>
      </c>
      <c r="H35" s="5">
        <v>129269.06</v>
      </c>
      <c r="I35" s="3" t="s">
        <v>21</v>
      </c>
      <c r="J35" s="6">
        <v>29</v>
      </c>
      <c r="K35" s="6">
        <v>1468.91</v>
      </c>
      <c r="L35" s="10">
        <f t="shared" si="0"/>
        <v>1439.91</v>
      </c>
      <c r="M35" s="7">
        <f>_xlfn.XLOOKUP(D35,'[1]TDS To be recorded'!$E:$E,'[1]TDS To be recorded'!$N:$N,,0)</f>
        <v>29</v>
      </c>
      <c r="N35" s="15">
        <f t="shared" si="1"/>
        <v>1.9742530175436208E-2</v>
      </c>
      <c r="O35" s="7">
        <f>F35*2%</f>
        <v>29.378200000000003</v>
      </c>
      <c r="P35" s="7">
        <f t="shared" si="2"/>
        <v>1439.5318</v>
      </c>
      <c r="Q35" s="18">
        <f t="shared" ref="Q35:Q37" si="12">H35*2%</f>
        <v>2585.3811999999998</v>
      </c>
    </row>
    <row r="36" spans="1:17" x14ac:dyDescent="0.35">
      <c r="A36" s="3">
        <v>1800014587</v>
      </c>
      <c r="B36" s="3" t="s">
        <v>9</v>
      </c>
      <c r="C36" s="4">
        <v>45966</v>
      </c>
      <c r="D36" s="9">
        <v>256779418894</v>
      </c>
      <c r="E36" s="3" t="s">
        <v>10</v>
      </c>
      <c r="F36" s="5">
        <v>131.6</v>
      </c>
      <c r="G36" s="3" t="s">
        <v>11</v>
      </c>
      <c r="H36" s="5">
        <v>11581.25</v>
      </c>
      <c r="I36" s="3" t="s">
        <v>22</v>
      </c>
      <c r="J36" s="6">
        <v>0</v>
      </c>
      <c r="K36" s="6">
        <v>128.6</v>
      </c>
      <c r="L36" s="10">
        <f t="shared" si="0"/>
        <v>128.6</v>
      </c>
      <c r="M36" s="7">
        <f>_xlfn.XLOOKUP(D36,'[1]TDS To be recorded'!$E:$E,'[1]TDS To be recorded'!$N:$N,,0)</f>
        <v>3</v>
      </c>
      <c r="N36" s="15">
        <f t="shared" si="1"/>
        <v>2.2796352583586626E-2</v>
      </c>
      <c r="O36" s="7">
        <f>F36*2%</f>
        <v>2.6320000000000001</v>
      </c>
      <c r="P36" s="7">
        <f t="shared" si="2"/>
        <v>128.96799999999999</v>
      </c>
      <c r="Q36" s="18">
        <f t="shared" si="12"/>
        <v>231.625</v>
      </c>
    </row>
    <row r="37" spans="1:17" x14ac:dyDescent="0.35">
      <c r="A37" s="3">
        <v>1800014642</v>
      </c>
      <c r="B37" s="3" t="s">
        <v>9</v>
      </c>
      <c r="C37" s="4">
        <v>45966</v>
      </c>
      <c r="D37" s="9">
        <v>256779418907</v>
      </c>
      <c r="E37" s="3" t="s">
        <v>10</v>
      </c>
      <c r="F37" s="5">
        <v>112.8</v>
      </c>
      <c r="G37" s="3" t="s">
        <v>11</v>
      </c>
      <c r="H37" s="5">
        <v>9926.7800000000007</v>
      </c>
      <c r="I37" s="3" t="s">
        <v>23</v>
      </c>
      <c r="J37" s="6">
        <v>0</v>
      </c>
      <c r="K37" s="6">
        <v>110.8</v>
      </c>
      <c r="L37" s="10">
        <f t="shared" si="0"/>
        <v>110.8</v>
      </c>
      <c r="M37" s="7">
        <f>_xlfn.XLOOKUP(D37,'[1]TDS To be recorded'!$E:$E,'[1]TDS To be recorded'!$N:$N,,0)</f>
        <v>2</v>
      </c>
      <c r="N37" s="15">
        <f t="shared" si="1"/>
        <v>1.7730496453900711E-2</v>
      </c>
      <c r="O37" s="7">
        <f>F37*2%</f>
        <v>2.2559999999999998</v>
      </c>
      <c r="P37" s="7">
        <f t="shared" si="2"/>
        <v>110.544</v>
      </c>
      <c r="Q37" s="18">
        <f t="shared" si="12"/>
        <v>198.53560000000002</v>
      </c>
    </row>
    <row r="38" spans="1:17" x14ac:dyDescent="0.35">
      <c r="A38" s="3">
        <v>1800015709</v>
      </c>
      <c r="B38" s="3" t="s">
        <v>9</v>
      </c>
      <c r="C38" s="4">
        <v>46024</v>
      </c>
      <c r="D38" s="9">
        <v>256779440042</v>
      </c>
      <c r="E38" s="3" t="s">
        <v>10</v>
      </c>
      <c r="F38" s="5">
        <v>50.75</v>
      </c>
      <c r="G38" s="3" t="s">
        <v>11</v>
      </c>
      <c r="H38" s="5">
        <v>4605.21</v>
      </c>
      <c r="I38" s="3" t="s">
        <v>46</v>
      </c>
      <c r="J38" s="6">
        <v>5</v>
      </c>
      <c r="K38" s="6">
        <v>50.75</v>
      </c>
      <c r="L38" s="10">
        <f t="shared" si="0"/>
        <v>45.75</v>
      </c>
      <c r="M38" s="7">
        <f>_xlfn.XLOOKUP(D38,'[1]TDS To be recorded'!$E:$E,'[1]TDS To be recorded'!$N:$N,,0)</f>
        <v>5</v>
      </c>
      <c r="N38" s="15">
        <f t="shared" si="1"/>
        <v>9.8522167487684734E-2</v>
      </c>
      <c r="O38" s="7">
        <f>F38*10%</f>
        <v>5.0750000000000002</v>
      </c>
      <c r="P38" s="7">
        <f t="shared" si="2"/>
        <v>45.674999999999997</v>
      </c>
      <c r="Q38" s="18">
        <f>H38*10%</f>
        <v>460.52100000000002</v>
      </c>
    </row>
    <row r="39" spans="1:17" x14ac:dyDescent="0.35">
      <c r="A39" s="3">
        <v>1800016636</v>
      </c>
      <c r="B39" s="3" t="s">
        <v>9</v>
      </c>
      <c r="C39" s="4">
        <v>46028</v>
      </c>
      <c r="D39" s="9">
        <v>256779440256</v>
      </c>
      <c r="E39" s="3" t="s">
        <v>10</v>
      </c>
      <c r="F39" s="5">
        <v>112.8</v>
      </c>
      <c r="G39" s="3" t="s">
        <v>11</v>
      </c>
      <c r="H39" s="5">
        <v>10235.83</v>
      </c>
      <c r="I39" s="3" t="s">
        <v>48</v>
      </c>
      <c r="J39" s="6">
        <v>2</v>
      </c>
      <c r="K39" s="6">
        <v>112.8</v>
      </c>
      <c r="L39" s="10">
        <f t="shared" si="0"/>
        <v>110.8</v>
      </c>
      <c r="M39" s="7">
        <f>_xlfn.XLOOKUP(D39,'[1]TDS To be recorded'!$E:$E,'[1]TDS To be recorded'!$N:$N,,0)</f>
        <v>2</v>
      </c>
      <c r="N39" s="15">
        <f t="shared" si="1"/>
        <v>1.7730496453900711E-2</v>
      </c>
      <c r="O39" s="7">
        <f>F39*2%</f>
        <v>2.2559999999999998</v>
      </c>
      <c r="P39" s="7">
        <f t="shared" si="2"/>
        <v>110.544</v>
      </c>
      <c r="Q39" s="18">
        <f>H39*2%</f>
        <v>204.7166</v>
      </c>
    </row>
    <row r="40" spans="1:17" x14ac:dyDescent="0.35">
      <c r="A40" s="3">
        <v>1800016624</v>
      </c>
      <c r="B40" s="3" t="s">
        <v>9</v>
      </c>
      <c r="C40" s="4">
        <v>46028</v>
      </c>
      <c r="D40" s="9">
        <v>256779440333</v>
      </c>
      <c r="E40" s="3" t="s">
        <v>10</v>
      </c>
      <c r="F40" s="5">
        <v>50.75</v>
      </c>
      <c r="G40" s="3" t="s">
        <v>11</v>
      </c>
      <c r="H40" s="5">
        <v>4605.21</v>
      </c>
      <c r="I40" s="3" t="s">
        <v>49</v>
      </c>
      <c r="J40" s="6">
        <v>5</v>
      </c>
      <c r="K40" s="6">
        <v>50.75</v>
      </c>
      <c r="L40" s="10">
        <f t="shared" si="0"/>
        <v>45.75</v>
      </c>
      <c r="M40" s="7">
        <f>_xlfn.XLOOKUP(D40,'[1]TDS To be recorded'!$E:$E,'[1]TDS To be recorded'!$N:$N,,0)</f>
        <v>5</v>
      </c>
      <c r="N40" s="15">
        <f t="shared" si="1"/>
        <v>9.8522167487684734E-2</v>
      </c>
      <c r="O40" s="7">
        <f>F40*10%</f>
        <v>5.0750000000000002</v>
      </c>
      <c r="P40" s="7">
        <f t="shared" si="2"/>
        <v>45.674999999999997</v>
      </c>
      <c r="Q40" s="18">
        <f>H40*10%</f>
        <v>460.52100000000002</v>
      </c>
    </row>
    <row r="41" spans="1:17" x14ac:dyDescent="0.35">
      <c r="A41" s="3">
        <v>1800016159</v>
      </c>
      <c r="B41" s="3" t="s">
        <v>9</v>
      </c>
      <c r="C41" s="4">
        <v>46031</v>
      </c>
      <c r="D41" s="9">
        <v>256779440129</v>
      </c>
      <c r="E41" s="3" t="s">
        <v>10</v>
      </c>
      <c r="F41" s="5">
        <v>169.2</v>
      </c>
      <c r="G41" s="3" t="s">
        <v>11</v>
      </c>
      <c r="H41" s="5">
        <v>15353.74</v>
      </c>
      <c r="I41" s="3" t="s">
        <v>47</v>
      </c>
      <c r="J41" s="6">
        <v>3</v>
      </c>
      <c r="K41" s="6">
        <v>169.2</v>
      </c>
      <c r="L41" s="10">
        <f t="shared" si="0"/>
        <v>166.2</v>
      </c>
      <c r="M41" s="7">
        <f>_xlfn.XLOOKUP(D41,'[1]TDS To be recorded'!$E:$E,'[1]TDS To be recorded'!$N:$N,,0)</f>
        <v>3</v>
      </c>
      <c r="N41" s="15">
        <f t="shared" si="1"/>
        <v>1.7730496453900711E-2</v>
      </c>
      <c r="O41" s="7">
        <f>F41*2%</f>
        <v>3.3839999999999999</v>
      </c>
      <c r="P41" s="7">
        <f t="shared" si="2"/>
        <v>165.816</v>
      </c>
      <c r="Q41" s="18">
        <f t="shared" ref="Q41:Q42" si="13">H41*2%</f>
        <v>307.07479999999998</v>
      </c>
    </row>
    <row r="42" spans="1:17" x14ac:dyDescent="0.35">
      <c r="A42" s="3">
        <v>1800016749</v>
      </c>
      <c r="B42" s="3" t="s">
        <v>9</v>
      </c>
      <c r="C42" s="4">
        <v>46035</v>
      </c>
      <c r="D42" s="9">
        <v>256779440336</v>
      </c>
      <c r="E42" s="3" t="s">
        <v>10</v>
      </c>
      <c r="F42" s="5">
        <v>70</v>
      </c>
      <c r="G42" s="3" t="s">
        <v>11</v>
      </c>
      <c r="H42" s="5">
        <v>6352.02</v>
      </c>
      <c r="I42" s="3" t="s">
        <v>50</v>
      </c>
      <c r="J42" s="6">
        <v>1</v>
      </c>
      <c r="K42" s="6">
        <v>70</v>
      </c>
      <c r="L42" s="10">
        <f t="shared" si="0"/>
        <v>69</v>
      </c>
      <c r="M42" s="7">
        <f>_xlfn.XLOOKUP(D42,'[1]TDS To be recorded'!$E:$E,'[1]TDS To be recorded'!$N:$N,,0)</f>
        <v>1</v>
      </c>
      <c r="N42" s="15">
        <f t="shared" si="1"/>
        <v>1.4285714285714285E-2</v>
      </c>
      <c r="O42" s="7">
        <f>F42*2%</f>
        <v>1.4000000000000001</v>
      </c>
      <c r="P42" s="7">
        <f t="shared" si="2"/>
        <v>68.599999999999994</v>
      </c>
      <c r="Q42" s="18">
        <f t="shared" si="13"/>
        <v>127.04040000000001</v>
      </c>
    </row>
  </sheetData>
  <autoFilter ref="A3:P42" xr:uid="{D567C984-EFC0-4E93-8A03-39500F7ADF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DZ</vt:lpstr>
      <vt:lpstr>DR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2026-03-30T08:24:36Z</dcterms:created>
  <dcterms:modified xsi:type="dcterms:W3CDTF">2026-04-20T11:46:02Z</dcterms:modified>
</cp:coreProperties>
</file>