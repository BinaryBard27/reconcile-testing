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erver (K)\1. Tax and assurance\Capital Land\16. SCOPE CHEMICALS PVT.LTD\"/>
    </mc:Choice>
  </mc:AlternateContent>
  <xr:revisionPtr revIDLastSave="0" documentId="13_ncr:1_{2BADFB48-11DB-4638-8CEA-7E9D33AD9DE5}" xr6:coauthVersionLast="47" xr6:coauthVersionMax="47" xr10:uidLastSave="{00000000-0000-0000-0000-000000000000}"/>
  <bookViews>
    <workbookView xWindow="-110" yWindow="-110" windowWidth="21820" windowHeight="14020" xr2:uid="{896A880A-1724-4D25-8DE6-14C3E2A41EA2}"/>
  </bookViews>
  <sheets>
    <sheet name="Invoices not in customers books" sheetId="2" r:id="rId1"/>
    <sheet name="Difference in Invoice value" sheetId="4" r:id="rId2"/>
  </sheets>
  <definedNames>
    <definedName name="_xlnm._FilterDatabase" localSheetId="0" hidden="1">'Invoices not in customers books'!$A$2:$K$34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5" i="2" l="1"/>
  <c r="M4" i="4"/>
  <c r="M3" i="4"/>
  <c r="L3" i="4"/>
</calcChain>
</file>

<file path=xl/sharedStrings.xml><?xml version="1.0" encoding="utf-8"?>
<sst xmlns="http://schemas.openxmlformats.org/spreadsheetml/2006/main" count="239" uniqueCount="89">
  <si>
    <t>Document Number</t>
  </si>
  <si>
    <t>Document Type</t>
  </si>
  <si>
    <t>Document Date</t>
  </si>
  <si>
    <t>Document Header Text</t>
  </si>
  <si>
    <t>Reference</t>
  </si>
  <si>
    <t>Document Currency Key</t>
  </si>
  <si>
    <t>Document Currency Value</t>
  </si>
  <si>
    <t>Company Code Currency Key</t>
  </si>
  <si>
    <t>Company Code Currency Value</t>
  </si>
  <si>
    <t>DR</t>
  </si>
  <si>
    <t>NA</t>
  </si>
  <si>
    <t>USD</t>
  </si>
  <si>
    <t>INR</t>
  </si>
  <si>
    <t>Towards Fixed charges for the month of August2024</t>
  </si>
  <si>
    <t>Weighment-Nov 1-15, 2025</t>
  </si>
  <si>
    <t>Unit Storage - 1-30 June 25</t>
  </si>
  <si>
    <t>VAS - 16-30 June 25</t>
  </si>
  <si>
    <t>WEIGHTMENT-16 -31 Oct 25</t>
  </si>
  <si>
    <t>Unit Storage - 1-31 Oct 2025</t>
  </si>
  <si>
    <t>2123630</t>
  </si>
  <si>
    <t>PORT SSR Chgs Oct 25</t>
  </si>
  <si>
    <t>Unit Storage - 1-31 July 25</t>
  </si>
  <si>
    <t>Storage Chgs - 01 - 31 Apr 25</t>
  </si>
  <si>
    <t>Fixed Rental charges for Aug 2024</t>
  </si>
  <si>
    <t>Debit Note against 246779420001</t>
  </si>
  <si>
    <t>Debit Note against 246779420002</t>
  </si>
  <si>
    <t>VAS  -1-15 Oct 2025</t>
  </si>
  <si>
    <t>VAS-Nov 1-15, 2025</t>
  </si>
  <si>
    <t>CODC Inbound chgs - 1-15 Nov 25</t>
  </si>
  <si>
    <t>CODC Out chgs -1-15 Nov 25</t>
  </si>
  <si>
    <t>CY Ground rent Chgs - 01 - 15 Sep 25</t>
  </si>
  <si>
    <t>VAS - 1-15 July 25</t>
  </si>
  <si>
    <t>Weighment-16-30 April25, Ex.Rate-85.05</t>
  </si>
  <si>
    <t>CODC LCL Chgs -1-15 Oct 25</t>
  </si>
  <si>
    <t>CODC Out chgs -1-15 Oct 25</t>
  </si>
  <si>
    <t>Unit storage -1-31 May 25</t>
  </si>
  <si>
    <t>Unit Storage - 1-30 Sept 2025</t>
  </si>
  <si>
    <t>CY - CY Grd Rent Chgs - 16 - 30 SEP 25</t>
  </si>
  <si>
    <t>Unit-Storage-1-31 Aug 25</t>
  </si>
  <si>
    <t>Unit Storage - 1-30 Nov 2025</t>
  </si>
  <si>
    <t>2158342</t>
  </si>
  <si>
    <t>PORT SSR Chgs Dec 25</t>
  </si>
  <si>
    <t>2158401</t>
  </si>
  <si>
    <t>CODC LCL Chgs -16-31 DEC 25</t>
  </si>
  <si>
    <t>2158411</t>
  </si>
  <si>
    <t>Unit Storage - 1-31 DEC 2025</t>
  </si>
  <si>
    <t>2158638</t>
  </si>
  <si>
    <t>VAS-Dec 25 - 16-31</t>
  </si>
  <si>
    <t>Weighment-Dec 25 - 16-31</t>
  </si>
  <si>
    <t>1800016772</t>
  </si>
  <si>
    <t>VAS - NOV 25,16-30</t>
  </si>
  <si>
    <t>1800016783</t>
  </si>
  <si>
    <t>Weighment -NOV 25,16-30</t>
  </si>
  <si>
    <t>Remarks</t>
  </si>
  <si>
    <t>PU/26/SCP/OT/0835</t>
  </si>
  <si>
    <t>TDS @2%</t>
  </si>
  <si>
    <t>Net payable</t>
  </si>
  <si>
    <t>Booking Date</t>
  </si>
  <si>
    <t>Purchase voucher no</t>
  </si>
  <si>
    <t>PU/26/SCP/OT/0827-1</t>
  </si>
  <si>
    <t>now corrected</t>
  </si>
  <si>
    <t>PU/26/SCP/OT/0834</t>
  </si>
  <si>
    <t>pending</t>
  </si>
  <si>
    <t>PU/26/SCP/OT/0840</t>
  </si>
  <si>
    <t>PU/26/SCP/OT/0841</t>
  </si>
  <si>
    <t>PU/26/SCP/OT/0839</t>
  </si>
  <si>
    <t>PU/26/SCP/OT/0838</t>
  </si>
  <si>
    <t>PU/26/SCP/OT/0842</t>
  </si>
  <si>
    <t>PU/26/SCP/OT/0845</t>
  </si>
  <si>
    <t>PU/26/SCP/OT/0846</t>
  </si>
  <si>
    <t>PU/26/SCP/OT/0847</t>
  </si>
  <si>
    <t>PU/26/SCP/OT/0833</t>
  </si>
  <si>
    <t>PU/26/SCP/OT/0837</t>
  </si>
  <si>
    <t>PU/26/SCP/OT/0830</t>
  </si>
  <si>
    <t>Invoices not received</t>
  </si>
  <si>
    <t>PU/26/SCP/OT/0929</t>
  </si>
  <si>
    <t>PU/26/SCP/OT/0928</t>
  </si>
  <si>
    <t>PU/26/SCP/OT/0931</t>
  </si>
  <si>
    <t>PU/26/SCP/OT/0930</t>
  </si>
  <si>
    <t>PU/26/SCP/OT/0926</t>
  </si>
  <si>
    <t>PU/26/SCP/OT/0927</t>
  </si>
  <si>
    <t>PU/26/SCP/OT/0924</t>
  </si>
  <si>
    <t>PU/26/SCP/OT/0923</t>
  </si>
  <si>
    <t>PU/26/SCP/OT/0922</t>
  </si>
  <si>
    <t>Fixed Storage for Aug'24 already invoiced (256779413955)</t>
  </si>
  <si>
    <t>Why is royalty charged</t>
  </si>
  <si>
    <t>val diff as per anexure &amp; Inv</t>
  </si>
  <si>
    <t>Towards SCOPE Logistics Shipment; not to be invoiced in SCOPE Chemicals</t>
  </si>
  <si>
    <t>PORT SSR Chgs Oct 25 Not to be booked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</si>
</sst>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43" fontId="0" fillId="0" borderId="0" xfId="1" applyFont="1"/>
    <xf numFmtId="43" fontId="0" fillId="0" borderId="0" xfId="0" applyNumberFormat="1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vertical="top"/>
    </xf>
    <xf numFmtId="4" fontId="0" fillId="0" borderId="1" xfId="0" applyNumberFormat="1" applyBorder="1" applyAlignment="1">
      <alignment horizontal="right" vertical="top"/>
    </xf>
    <xf numFmtId="4" fontId="0" fillId="0" borderId="0" xfId="0" applyNumberFormat="1"/>
    <xf numFmtId="14" fontId="0" fillId="0" borderId="0" xfId="0" applyNumberFormat="1"/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4" fontId="0" fillId="0" borderId="3" xfId="0" applyNumberForma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14" fontId="2" fillId="0" borderId="1" xfId="0" applyNumberFormat="1" applyFont="1" applyBorder="1" applyAlignment="1">
      <alignment horizontal="right" vertical="top"/>
    </xf>
    <xf numFmtId="1" fontId="2" fillId="0" borderId="1" xfId="0" applyNumberFormat="1" applyFont="1" applyBorder="1" applyAlignment="1">
      <alignment vertical="top"/>
    </xf>
    <xf numFmtId="4" fontId="2" fillId="0" borderId="1" xfId="0" applyNumberFormat="1" applyFont="1" applyBorder="1" applyAlignment="1">
      <alignment horizontal="right" vertical="top"/>
    </xf>
    <xf numFmtId="0" fontId="2" fillId="0" borderId="0" xfId="0" applyFont="1"/>
    <xf numFmtId="1" fontId="3" fillId="0" borderId="1" xfId="0" applyNumberFormat="1" applyFont="1" applyBorder="1" applyAlignment="1">
      <alignment vertical="top"/>
    </xf>
    <xf numFmtId="1" fontId="0" fillId="0" borderId="1" xfId="0" applyNumberFormat="1" applyFill="1" applyBorder="1" applyAlignment="1">
      <alignment horizontal="left" vertical="center"/>
    </xf>
    <xf numFmtId="0" fontId="0" fillId="0" borderId="4" xfId="0" applyBorder="1" applyAlignment="1">
      <alignment vertical="top"/>
    </xf>
    <xf numFmtId="14" fontId="0" fillId="0" borderId="4" xfId="0" applyNumberForma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14" fontId="2" fillId="0" borderId="4" xfId="0" applyNumberFormat="1" applyFont="1" applyBorder="1" applyAlignment="1">
      <alignment horizontal="right" vertical="top"/>
    </xf>
    <xf numFmtId="0" fontId="0" fillId="0" borderId="1" xfId="0" applyFill="1" applyBorder="1"/>
    <xf numFmtId="0" fontId="0" fillId="0" borderId="1" xfId="0" applyBorder="1"/>
    <xf numFmtId="1" fontId="2" fillId="0" borderId="1" xfId="0" applyNumberFormat="1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AFC37-F81F-40EA-8976-3460F0735BB3}">
  <dimension ref="A1:L37"/>
  <sheetViews>
    <sheetView tabSelected="1" topLeftCell="E1" zoomScale="85" zoomScaleNormal="85" workbookViewId="0">
      <selection activeCell="L3" sqref="L3"/>
    </sheetView>
  </sheetViews>
  <sheetFormatPr defaultRowHeight="14.5" x14ac:dyDescent="0.35"/>
  <cols>
    <col min="1" max="1" width="19.453125" bestFit="1" customWidth="1"/>
    <col min="2" max="2" width="12.1796875" bestFit="1" customWidth="1"/>
    <col min="3" max="3" width="16.54296875" bestFit="1" customWidth="1"/>
    <col min="4" max="4" width="22.6328125" bestFit="1" customWidth="1"/>
    <col min="5" max="5" width="13.90625" bestFit="1" customWidth="1"/>
    <col min="6" max="6" width="14.54296875" bestFit="1" customWidth="1"/>
    <col min="7" max="7" width="16.08984375" bestFit="1" customWidth="1"/>
    <col min="8" max="8" width="16" bestFit="1" customWidth="1"/>
    <col min="9" max="9" width="16.08984375" bestFit="1" customWidth="1"/>
    <col min="10" max="10" width="45" style="3" bestFit="1" customWidth="1"/>
    <col min="11" max="11" width="18.36328125" bestFit="1" customWidth="1"/>
    <col min="12" max="12" width="64.7265625" bestFit="1" customWidth="1"/>
  </cols>
  <sheetData>
    <row r="1" spans="1:12" x14ac:dyDescent="0.35">
      <c r="G1" s="1"/>
      <c r="I1" s="2"/>
    </row>
    <row r="2" spans="1:12" ht="43.5" x14ac:dyDescent="0.35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4" t="s">
        <v>53</v>
      </c>
      <c r="K2" s="5" t="s">
        <v>58</v>
      </c>
      <c r="L2" s="5" t="s">
        <v>53</v>
      </c>
    </row>
    <row r="3" spans="1:12" x14ac:dyDescent="0.35">
      <c r="A3" s="22">
        <v>1800014973</v>
      </c>
      <c r="B3" s="22" t="s">
        <v>9</v>
      </c>
      <c r="C3" s="23">
        <v>45981</v>
      </c>
      <c r="D3" s="22" t="s">
        <v>10</v>
      </c>
      <c r="E3" s="8">
        <v>256779419474</v>
      </c>
      <c r="F3" s="6" t="s">
        <v>11</v>
      </c>
      <c r="G3" s="9">
        <v>20.28</v>
      </c>
      <c r="H3" s="6" t="s">
        <v>12</v>
      </c>
      <c r="I3" s="9">
        <v>1784.71</v>
      </c>
      <c r="J3" s="6" t="s">
        <v>14</v>
      </c>
      <c r="K3" s="27" t="s">
        <v>61</v>
      </c>
      <c r="L3" s="27"/>
    </row>
    <row r="4" spans="1:12" x14ac:dyDescent="0.35">
      <c r="A4" s="6">
        <v>1800000003</v>
      </c>
      <c r="B4" s="6" t="s">
        <v>9</v>
      </c>
      <c r="C4" s="7">
        <v>45692</v>
      </c>
      <c r="D4" s="6" t="s">
        <v>10</v>
      </c>
      <c r="E4" s="20">
        <v>246779410003</v>
      </c>
      <c r="F4" s="6" t="s">
        <v>11</v>
      </c>
      <c r="G4" s="9">
        <v>50.75</v>
      </c>
      <c r="H4" s="6" t="s">
        <v>12</v>
      </c>
      <c r="I4" s="9">
        <v>4379.91</v>
      </c>
      <c r="J4" s="6" t="s">
        <v>13</v>
      </c>
      <c r="K4" s="26" t="s">
        <v>62</v>
      </c>
      <c r="L4" s="28" t="s">
        <v>84</v>
      </c>
    </row>
    <row r="5" spans="1:12" x14ac:dyDescent="0.35">
      <c r="A5" s="6">
        <v>1800010437</v>
      </c>
      <c r="B5" s="6" t="s">
        <v>9</v>
      </c>
      <c r="C5" s="7">
        <v>45842</v>
      </c>
      <c r="D5" s="6" t="s">
        <v>10</v>
      </c>
      <c r="E5" s="20">
        <v>256779415197</v>
      </c>
      <c r="F5" s="6" t="s">
        <v>11</v>
      </c>
      <c r="G5" s="9">
        <v>492.25</v>
      </c>
      <c r="H5" s="6" t="s">
        <v>12</v>
      </c>
      <c r="I5" s="9">
        <v>42333.83</v>
      </c>
      <c r="J5" s="6" t="s">
        <v>15</v>
      </c>
      <c r="K5" s="26" t="s">
        <v>75</v>
      </c>
      <c r="L5" s="27"/>
    </row>
    <row r="6" spans="1:12" x14ac:dyDescent="0.35">
      <c r="A6" s="22">
        <v>1800010502</v>
      </c>
      <c r="B6" s="22" t="s">
        <v>9</v>
      </c>
      <c r="C6" s="23">
        <v>45842</v>
      </c>
      <c r="D6" s="22" t="s">
        <v>10</v>
      </c>
      <c r="E6" s="8">
        <v>256779415262</v>
      </c>
      <c r="F6" s="6" t="s">
        <v>11</v>
      </c>
      <c r="G6" s="9">
        <v>476.32</v>
      </c>
      <c r="H6" s="6" t="s">
        <v>12</v>
      </c>
      <c r="I6" s="9">
        <v>40963.839999999997</v>
      </c>
      <c r="J6" s="6" t="s">
        <v>16</v>
      </c>
      <c r="K6" s="27" t="s">
        <v>63</v>
      </c>
      <c r="L6" s="27"/>
    </row>
    <row r="7" spans="1:12" x14ac:dyDescent="0.35">
      <c r="A7" s="6">
        <v>1800014289</v>
      </c>
      <c r="B7" s="6" t="s">
        <v>9</v>
      </c>
      <c r="C7" s="7">
        <v>45966</v>
      </c>
      <c r="D7" s="6" t="s">
        <v>10</v>
      </c>
      <c r="E7" s="8">
        <v>256779418826</v>
      </c>
      <c r="F7" s="6" t="s">
        <v>11</v>
      </c>
      <c r="G7" s="9">
        <v>60.86</v>
      </c>
      <c r="H7" s="6" t="s">
        <v>12</v>
      </c>
      <c r="I7" s="9">
        <v>5355.89</v>
      </c>
      <c r="J7" s="6" t="s">
        <v>17</v>
      </c>
      <c r="K7" s="27" t="s">
        <v>64</v>
      </c>
      <c r="L7" s="27"/>
    </row>
    <row r="8" spans="1:12" x14ac:dyDescent="0.35">
      <c r="A8" s="6">
        <v>1800014554</v>
      </c>
      <c r="B8" s="6" t="s">
        <v>9</v>
      </c>
      <c r="C8" s="7">
        <v>45966</v>
      </c>
      <c r="D8" s="6" t="s">
        <v>10</v>
      </c>
      <c r="E8" s="20">
        <v>256779418886</v>
      </c>
      <c r="F8" s="6" t="s">
        <v>11</v>
      </c>
      <c r="G8" s="9">
        <v>1457.24</v>
      </c>
      <c r="H8" s="6" t="s">
        <v>12</v>
      </c>
      <c r="I8" s="9">
        <v>128242.06</v>
      </c>
      <c r="J8" s="6" t="s">
        <v>18</v>
      </c>
      <c r="K8" s="21" t="s">
        <v>81</v>
      </c>
      <c r="L8" s="27"/>
    </row>
    <row r="9" spans="1:12" x14ac:dyDescent="0.35">
      <c r="A9" s="6">
        <v>1800014728</v>
      </c>
      <c r="B9" s="6" t="s">
        <v>9</v>
      </c>
      <c r="C9" s="7">
        <v>45966</v>
      </c>
      <c r="D9" s="6" t="s">
        <v>19</v>
      </c>
      <c r="E9" s="20">
        <v>256779419229</v>
      </c>
      <c r="F9" s="6" t="s">
        <v>11</v>
      </c>
      <c r="G9" s="9">
        <v>77.069999999999993</v>
      </c>
      <c r="H9" s="6" t="s">
        <v>12</v>
      </c>
      <c r="I9" s="9">
        <v>6782.42</v>
      </c>
      <c r="J9" s="6" t="s">
        <v>20</v>
      </c>
      <c r="K9" s="26" t="s">
        <v>62</v>
      </c>
      <c r="L9" s="30" t="s">
        <v>88</v>
      </c>
    </row>
    <row r="10" spans="1:12" x14ac:dyDescent="0.35">
      <c r="A10" s="6">
        <v>1800011657</v>
      </c>
      <c r="B10" s="6" t="s">
        <v>9</v>
      </c>
      <c r="C10" s="7">
        <v>45877</v>
      </c>
      <c r="D10" s="6" t="s">
        <v>10</v>
      </c>
      <c r="E10" s="20">
        <v>256779416087</v>
      </c>
      <c r="F10" s="6" t="s">
        <v>11</v>
      </c>
      <c r="G10" s="9">
        <v>916.56</v>
      </c>
      <c r="H10" s="6" t="s">
        <v>12</v>
      </c>
      <c r="I10" s="9">
        <v>78851.77</v>
      </c>
      <c r="J10" s="6" t="s">
        <v>21</v>
      </c>
      <c r="K10" s="26" t="s">
        <v>76</v>
      </c>
      <c r="L10" s="27"/>
    </row>
    <row r="11" spans="1:12" x14ac:dyDescent="0.35">
      <c r="A11" s="6">
        <v>1800009134</v>
      </c>
      <c r="B11" s="6" t="s">
        <v>9</v>
      </c>
      <c r="C11" s="7">
        <v>45805</v>
      </c>
      <c r="D11" s="6" t="s">
        <v>10</v>
      </c>
      <c r="E11" s="20">
        <v>256779413898</v>
      </c>
      <c r="F11" s="6" t="s">
        <v>11</v>
      </c>
      <c r="G11" s="9">
        <v>928.64</v>
      </c>
      <c r="H11" s="6" t="s">
        <v>12</v>
      </c>
      <c r="I11" s="9">
        <v>79847.899999999994</v>
      </c>
      <c r="J11" s="6" t="s">
        <v>22</v>
      </c>
      <c r="K11" s="26" t="s">
        <v>77</v>
      </c>
      <c r="L11" s="27"/>
    </row>
    <row r="12" spans="1:12" s="19" customFormat="1" x14ac:dyDescent="0.35">
      <c r="A12" s="24">
        <v>1800011070</v>
      </c>
      <c r="B12" s="24" t="s">
        <v>9</v>
      </c>
      <c r="C12" s="25">
        <v>45862</v>
      </c>
      <c r="D12" s="24" t="s">
        <v>10</v>
      </c>
      <c r="E12" s="17">
        <v>256779415830</v>
      </c>
      <c r="F12" s="15" t="s">
        <v>11</v>
      </c>
      <c r="G12" s="18">
        <v>50.75</v>
      </c>
      <c r="H12" s="15" t="s">
        <v>12</v>
      </c>
      <c r="I12" s="18">
        <v>4364.53</v>
      </c>
      <c r="J12" s="15" t="s">
        <v>24</v>
      </c>
      <c r="K12" s="31" t="e">
        <v>#N/A</v>
      </c>
      <c r="L12" s="31" t="s">
        <v>74</v>
      </c>
    </row>
    <row r="13" spans="1:12" s="19" customFormat="1" x14ac:dyDescent="0.35">
      <c r="A13" s="15">
        <v>1800011071</v>
      </c>
      <c r="B13" s="15" t="s">
        <v>9</v>
      </c>
      <c r="C13" s="16">
        <v>45862</v>
      </c>
      <c r="D13" s="15" t="s">
        <v>10</v>
      </c>
      <c r="E13" s="17">
        <v>256779415831</v>
      </c>
      <c r="F13" s="15" t="s">
        <v>11</v>
      </c>
      <c r="G13" s="18">
        <v>50.75</v>
      </c>
      <c r="H13" s="15" t="s">
        <v>12</v>
      </c>
      <c r="I13" s="18">
        <v>4364.53</v>
      </c>
      <c r="J13" s="15" t="s">
        <v>25</v>
      </c>
      <c r="K13" s="31" t="e">
        <v>#N/A</v>
      </c>
      <c r="L13" s="31" t="s">
        <v>74</v>
      </c>
    </row>
    <row r="14" spans="1:12" x14ac:dyDescent="0.35">
      <c r="A14" s="6">
        <v>1800013944</v>
      </c>
      <c r="B14" s="6" t="s">
        <v>9</v>
      </c>
      <c r="C14" s="7">
        <v>45951</v>
      </c>
      <c r="D14" s="6" t="s">
        <v>10</v>
      </c>
      <c r="E14" s="8">
        <v>256779418476</v>
      </c>
      <c r="F14" s="6" t="s">
        <v>11</v>
      </c>
      <c r="G14" s="9">
        <v>950.87</v>
      </c>
      <c r="H14" s="6" t="s">
        <v>12</v>
      </c>
      <c r="I14" s="9">
        <v>83857.960000000006</v>
      </c>
      <c r="J14" s="6" t="s">
        <v>26</v>
      </c>
      <c r="K14" s="27" t="s">
        <v>65</v>
      </c>
      <c r="L14" s="27"/>
    </row>
    <row r="15" spans="1:12" x14ac:dyDescent="0.35">
      <c r="A15" s="6">
        <v>1800014962</v>
      </c>
      <c r="B15" s="6" t="s">
        <v>9</v>
      </c>
      <c r="C15" s="7">
        <v>45981</v>
      </c>
      <c r="D15" s="6" t="s">
        <v>10</v>
      </c>
      <c r="E15" s="8">
        <v>256779419463</v>
      </c>
      <c r="F15" s="6" t="s">
        <v>11</v>
      </c>
      <c r="G15" s="9">
        <v>602.03</v>
      </c>
      <c r="H15" s="6" t="s">
        <v>12</v>
      </c>
      <c r="I15" s="9">
        <v>52980.68</v>
      </c>
      <c r="J15" s="6" t="s">
        <v>27</v>
      </c>
      <c r="K15" s="27" t="s">
        <v>66</v>
      </c>
      <c r="L15" s="27"/>
    </row>
    <row r="16" spans="1:12" x14ac:dyDescent="0.35">
      <c r="A16" s="6">
        <v>1800015032</v>
      </c>
      <c r="B16" s="6" t="s">
        <v>9</v>
      </c>
      <c r="C16" s="7">
        <v>45981</v>
      </c>
      <c r="D16" s="6" t="s">
        <v>10</v>
      </c>
      <c r="E16" s="8">
        <v>256779419533</v>
      </c>
      <c r="F16" s="6" t="s">
        <v>11</v>
      </c>
      <c r="G16" s="9">
        <v>131.6</v>
      </c>
      <c r="H16" s="6" t="s">
        <v>12</v>
      </c>
      <c r="I16" s="9">
        <v>11581.25</v>
      </c>
      <c r="J16" s="6" t="s">
        <v>28</v>
      </c>
      <c r="K16" s="27" t="s">
        <v>67</v>
      </c>
      <c r="L16" s="27"/>
    </row>
    <row r="17" spans="1:12" x14ac:dyDescent="0.35">
      <c r="A17" s="6">
        <v>1800015095</v>
      </c>
      <c r="B17" s="6" t="s">
        <v>9</v>
      </c>
      <c r="C17" s="7">
        <v>45981</v>
      </c>
      <c r="D17" s="6" t="s">
        <v>10</v>
      </c>
      <c r="E17" s="8">
        <v>256779419546</v>
      </c>
      <c r="F17" s="6" t="s">
        <v>11</v>
      </c>
      <c r="G17" s="9">
        <v>56.4</v>
      </c>
      <c r="H17" s="6" t="s">
        <v>12</v>
      </c>
      <c r="I17" s="9">
        <v>4963.3900000000003</v>
      </c>
      <c r="J17" s="6" t="s">
        <v>29</v>
      </c>
      <c r="K17" s="27" t="s">
        <v>68</v>
      </c>
      <c r="L17" s="27"/>
    </row>
    <row r="18" spans="1:12" x14ac:dyDescent="0.35">
      <c r="A18" s="6">
        <v>1800012870</v>
      </c>
      <c r="B18" s="6" t="s">
        <v>9</v>
      </c>
      <c r="C18" s="7">
        <v>45918</v>
      </c>
      <c r="D18" s="6" t="s">
        <v>10</v>
      </c>
      <c r="E18" s="20">
        <v>256779417488</v>
      </c>
      <c r="F18" s="6" t="s">
        <v>11</v>
      </c>
      <c r="G18" s="9">
        <v>52.64</v>
      </c>
      <c r="H18" s="6" t="s">
        <v>12</v>
      </c>
      <c r="I18" s="9">
        <v>4606.75</v>
      </c>
      <c r="J18" s="6" t="s">
        <v>30</v>
      </c>
      <c r="K18" s="26" t="s">
        <v>62</v>
      </c>
      <c r="L18" s="28" t="s">
        <v>87</v>
      </c>
    </row>
    <row r="19" spans="1:12" x14ac:dyDescent="0.35">
      <c r="A19" s="6">
        <v>1800009181</v>
      </c>
      <c r="B19" s="6" t="s">
        <v>9</v>
      </c>
      <c r="C19" s="7">
        <v>45810</v>
      </c>
      <c r="D19" s="6" t="s">
        <v>10</v>
      </c>
      <c r="E19" s="20">
        <v>256779413945</v>
      </c>
      <c r="F19" s="6" t="s">
        <v>11</v>
      </c>
      <c r="G19" s="9">
        <v>50.75</v>
      </c>
      <c r="H19" s="6" t="s">
        <v>12</v>
      </c>
      <c r="I19" s="9">
        <v>4338.66</v>
      </c>
      <c r="J19" s="6" t="s">
        <v>23</v>
      </c>
      <c r="K19" s="26" t="s">
        <v>62</v>
      </c>
      <c r="L19" s="28" t="s">
        <v>84</v>
      </c>
    </row>
    <row r="20" spans="1:12" x14ac:dyDescent="0.35">
      <c r="A20" s="6">
        <v>1800009191</v>
      </c>
      <c r="B20" s="6" t="s">
        <v>9</v>
      </c>
      <c r="C20" s="7">
        <v>45810</v>
      </c>
      <c r="D20" s="6" t="s">
        <v>10</v>
      </c>
      <c r="E20" s="20">
        <v>256779413955</v>
      </c>
      <c r="F20" s="6" t="s">
        <v>11</v>
      </c>
      <c r="G20" s="9">
        <v>50.75</v>
      </c>
      <c r="H20" s="6" t="s">
        <v>12</v>
      </c>
      <c r="I20" s="9">
        <v>4338.66</v>
      </c>
      <c r="J20" s="6" t="s">
        <v>13</v>
      </c>
      <c r="K20" s="26" t="s">
        <v>62</v>
      </c>
      <c r="L20" s="28" t="s">
        <v>84</v>
      </c>
    </row>
    <row r="21" spans="1:12" x14ac:dyDescent="0.35">
      <c r="A21" s="6">
        <v>1800011010</v>
      </c>
      <c r="B21" s="6" t="s">
        <v>9</v>
      </c>
      <c r="C21" s="7">
        <v>45857</v>
      </c>
      <c r="D21" s="6" t="s">
        <v>10</v>
      </c>
      <c r="E21" s="20">
        <v>256779415770</v>
      </c>
      <c r="F21" s="6" t="s">
        <v>11</v>
      </c>
      <c r="G21" s="9">
        <v>1425.77</v>
      </c>
      <c r="H21" s="6" t="s">
        <v>12</v>
      </c>
      <c r="I21" s="9">
        <v>122617.18</v>
      </c>
      <c r="J21" s="6" t="s">
        <v>31</v>
      </c>
      <c r="K21" s="26" t="s">
        <v>62</v>
      </c>
      <c r="L21" s="28" t="s">
        <v>86</v>
      </c>
    </row>
    <row r="22" spans="1:12" x14ac:dyDescent="0.35">
      <c r="A22" s="6">
        <v>1800008368</v>
      </c>
      <c r="B22" s="6" t="s">
        <v>9</v>
      </c>
      <c r="C22" s="7">
        <v>45787</v>
      </c>
      <c r="D22" s="6" t="s">
        <v>10</v>
      </c>
      <c r="E22" s="20">
        <v>256779413251</v>
      </c>
      <c r="F22" s="6" t="s">
        <v>11</v>
      </c>
      <c r="G22" s="9">
        <v>87.01</v>
      </c>
      <c r="H22" s="6" t="s">
        <v>12</v>
      </c>
      <c r="I22" s="9">
        <v>7481.44</v>
      </c>
      <c r="J22" s="6" t="s">
        <v>32</v>
      </c>
      <c r="K22" s="26" t="s">
        <v>62</v>
      </c>
      <c r="L22" s="28" t="s">
        <v>85</v>
      </c>
    </row>
    <row r="23" spans="1:12" x14ac:dyDescent="0.35">
      <c r="A23" s="22">
        <v>1800014002</v>
      </c>
      <c r="B23" s="22" t="s">
        <v>9</v>
      </c>
      <c r="C23" s="23">
        <v>45948</v>
      </c>
      <c r="D23" s="22" t="s">
        <v>10</v>
      </c>
      <c r="E23" s="8">
        <v>256779418426</v>
      </c>
      <c r="F23" s="6" t="s">
        <v>11</v>
      </c>
      <c r="G23" s="9">
        <v>124.55</v>
      </c>
      <c r="H23" s="6" t="s">
        <v>12</v>
      </c>
      <c r="I23" s="9">
        <v>10984.16</v>
      </c>
      <c r="J23" s="6" t="s">
        <v>33</v>
      </c>
      <c r="K23" s="27" t="s">
        <v>69</v>
      </c>
      <c r="L23" s="27"/>
    </row>
    <row r="24" spans="1:12" x14ac:dyDescent="0.35">
      <c r="A24" s="6">
        <v>1800014149</v>
      </c>
      <c r="B24" s="6" t="s">
        <v>9</v>
      </c>
      <c r="C24" s="7">
        <v>45948</v>
      </c>
      <c r="D24" s="6" t="s">
        <v>10</v>
      </c>
      <c r="E24" s="8">
        <v>256779418441</v>
      </c>
      <c r="F24" s="6" t="s">
        <v>11</v>
      </c>
      <c r="G24" s="9">
        <v>112.8</v>
      </c>
      <c r="H24" s="6" t="s">
        <v>12</v>
      </c>
      <c r="I24" s="9">
        <v>9947.92</v>
      </c>
      <c r="J24" s="6" t="s">
        <v>34</v>
      </c>
      <c r="K24" s="27" t="s">
        <v>70</v>
      </c>
      <c r="L24" s="27"/>
    </row>
    <row r="25" spans="1:12" x14ac:dyDescent="0.35">
      <c r="A25" s="6">
        <v>1800009477</v>
      </c>
      <c r="B25" s="6" t="s">
        <v>9</v>
      </c>
      <c r="C25" s="7">
        <v>45815</v>
      </c>
      <c r="D25" s="6" t="s">
        <v>10</v>
      </c>
      <c r="E25" s="20">
        <v>256779414241</v>
      </c>
      <c r="F25" s="6" t="s">
        <v>11</v>
      </c>
      <c r="G25" s="9">
        <v>632.96</v>
      </c>
      <c r="H25" s="6" t="s">
        <v>12</v>
      </c>
      <c r="I25" s="9">
        <v>54112.24</v>
      </c>
      <c r="J25" s="6" t="s">
        <v>35</v>
      </c>
      <c r="K25" s="26" t="s">
        <v>78</v>
      </c>
      <c r="L25" s="27"/>
    </row>
    <row r="26" spans="1:12" x14ac:dyDescent="0.35">
      <c r="A26" s="6">
        <v>1800013273</v>
      </c>
      <c r="B26" s="6" t="s">
        <v>9</v>
      </c>
      <c r="C26" s="7">
        <v>45936</v>
      </c>
      <c r="D26" s="6" t="s">
        <v>10</v>
      </c>
      <c r="E26" s="20">
        <v>256779418009</v>
      </c>
      <c r="F26" s="6" t="s">
        <v>11</v>
      </c>
      <c r="G26" s="9">
        <v>1480.75</v>
      </c>
      <c r="H26" s="6" t="s">
        <v>12</v>
      </c>
      <c r="I26" s="9">
        <v>130588.48</v>
      </c>
      <c r="J26" s="6" t="s">
        <v>36</v>
      </c>
      <c r="K26" s="26" t="s">
        <v>79</v>
      </c>
      <c r="L26" s="27"/>
    </row>
    <row r="27" spans="1:12" x14ac:dyDescent="0.35">
      <c r="A27" s="6">
        <v>1800013396</v>
      </c>
      <c r="B27" s="6" t="s">
        <v>9</v>
      </c>
      <c r="C27" s="7">
        <v>45935</v>
      </c>
      <c r="D27" s="6" t="s">
        <v>10</v>
      </c>
      <c r="E27" s="20">
        <v>256779417991</v>
      </c>
      <c r="F27" s="6" t="s">
        <v>11</v>
      </c>
      <c r="G27" s="9">
        <v>184.54</v>
      </c>
      <c r="H27" s="6" t="s">
        <v>12</v>
      </c>
      <c r="I27" s="9">
        <v>16274.72</v>
      </c>
      <c r="J27" s="6" t="s">
        <v>37</v>
      </c>
      <c r="K27" s="26" t="s">
        <v>62</v>
      </c>
      <c r="L27" s="28" t="s">
        <v>87</v>
      </c>
    </row>
    <row r="28" spans="1:12" x14ac:dyDescent="0.35">
      <c r="A28" s="6">
        <v>1800012475</v>
      </c>
      <c r="B28" s="6" t="s">
        <v>9</v>
      </c>
      <c r="C28" s="7">
        <v>45906</v>
      </c>
      <c r="D28" s="6" t="s">
        <v>10</v>
      </c>
      <c r="E28" s="20">
        <v>256779417083</v>
      </c>
      <c r="F28" s="6" t="s">
        <v>11</v>
      </c>
      <c r="G28" s="9">
        <v>634.36</v>
      </c>
      <c r="H28" s="6" t="s">
        <v>12</v>
      </c>
      <c r="I28" s="9">
        <v>55515.59</v>
      </c>
      <c r="J28" s="6" t="s">
        <v>38</v>
      </c>
      <c r="K28" s="26" t="s">
        <v>80</v>
      </c>
      <c r="L28" s="27"/>
    </row>
    <row r="29" spans="1:12" x14ac:dyDescent="0.35">
      <c r="A29" s="6">
        <v>1800015688</v>
      </c>
      <c r="B29" s="6" t="s">
        <v>9</v>
      </c>
      <c r="C29" s="7">
        <v>46024</v>
      </c>
      <c r="D29" s="6" t="s">
        <v>10</v>
      </c>
      <c r="E29" s="20">
        <v>256779440021</v>
      </c>
      <c r="F29" s="6" t="s">
        <v>11</v>
      </c>
      <c r="G29" s="9">
        <v>950.6</v>
      </c>
      <c r="H29" s="6" t="s">
        <v>12</v>
      </c>
      <c r="I29" s="9">
        <v>86260.43</v>
      </c>
      <c r="J29" s="6" t="s">
        <v>39</v>
      </c>
      <c r="K29" s="21" t="s">
        <v>82</v>
      </c>
      <c r="L29" s="27"/>
    </row>
    <row r="30" spans="1:12" x14ac:dyDescent="0.35">
      <c r="A30" s="6">
        <v>1800016281</v>
      </c>
      <c r="B30" s="6" t="s">
        <v>9</v>
      </c>
      <c r="C30" s="7">
        <v>46028</v>
      </c>
      <c r="D30" s="6" t="s">
        <v>40</v>
      </c>
      <c r="E30" s="20">
        <v>256779440161</v>
      </c>
      <c r="F30" s="6" t="s">
        <v>11</v>
      </c>
      <c r="G30" s="9">
        <v>56.74</v>
      </c>
      <c r="H30" s="6" t="s">
        <v>12</v>
      </c>
      <c r="I30" s="9">
        <v>5148.7700000000004</v>
      </c>
      <c r="J30" s="6" t="s">
        <v>41</v>
      </c>
      <c r="K30" s="26" t="s">
        <v>62</v>
      </c>
      <c r="L30" s="29" t="s">
        <v>41</v>
      </c>
    </row>
    <row r="31" spans="1:12" x14ac:dyDescent="0.35">
      <c r="A31" s="22">
        <v>1800016318</v>
      </c>
      <c r="B31" s="22" t="s">
        <v>9</v>
      </c>
      <c r="C31" s="23">
        <v>46034</v>
      </c>
      <c r="D31" s="22" t="s">
        <v>42</v>
      </c>
      <c r="E31" s="8">
        <v>256779440171</v>
      </c>
      <c r="F31" s="6" t="s">
        <v>11</v>
      </c>
      <c r="G31" s="9">
        <v>180.4</v>
      </c>
      <c r="H31" s="6" t="s">
        <v>12</v>
      </c>
      <c r="I31" s="9">
        <v>16370.06</v>
      </c>
      <c r="J31" s="6" t="s">
        <v>43</v>
      </c>
      <c r="K31" s="27" t="s">
        <v>71</v>
      </c>
      <c r="L31" s="27"/>
    </row>
    <row r="32" spans="1:12" x14ac:dyDescent="0.35">
      <c r="A32" s="6">
        <v>1800016359</v>
      </c>
      <c r="B32" s="6" t="s">
        <v>9</v>
      </c>
      <c r="C32" s="7">
        <v>46028</v>
      </c>
      <c r="D32" s="6" t="s">
        <v>44</v>
      </c>
      <c r="E32" s="8">
        <v>256779440249</v>
      </c>
      <c r="F32" s="6" t="s">
        <v>11</v>
      </c>
      <c r="G32" s="9">
        <v>1037.05</v>
      </c>
      <c r="H32" s="6" t="s">
        <v>12</v>
      </c>
      <c r="I32" s="9">
        <v>94105.17</v>
      </c>
      <c r="J32" s="6" t="s">
        <v>45</v>
      </c>
      <c r="K32" s="21" t="s">
        <v>83</v>
      </c>
      <c r="L32" s="27"/>
    </row>
    <row r="33" spans="1:12" x14ac:dyDescent="0.35">
      <c r="A33" s="22">
        <v>1800016692</v>
      </c>
      <c r="B33" s="22" t="s">
        <v>9</v>
      </c>
      <c r="C33" s="23">
        <v>46034</v>
      </c>
      <c r="D33" s="22" t="s">
        <v>46</v>
      </c>
      <c r="E33" s="8">
        <v>256779440281</v>
      </c>
      <c r="F33" s="6" t="s">
        <v>11</v>
      </c>
      <c r="G33" s="9">
        <v>933.73</v>
      </c>
      <c r="H33" s="6" t="s">
        <v>12</v>
      </c>
      <c r="I33" s="9">
        <v>84729.59</v>
      </c>
      <c r="J33" s="6" t="s">
        <v>47</v>
      </c>
      <c r="K33" s="27" t="s">
        <v>72</v>
      </c>
      <c r="L33" s="27"/>
    </row>
    <row r="34" spans="1:12" x14ac:dyDescent="0.35">
      <c r="A34" s="6">
        <v>1800016703</v>
      </c>
      <c r="B34" s="6" t="s">
        <v>9</v>
      </c>
      <c r="C34" s="7">
        <v>46034</v>
      </c>
      <c r="D34" s="6" t="s">
        <v>46</v>
      </c>
      <c r="E34" s="8">
        <v>256779440292</v>
      </c>
      <c r="F34" s="6" t="s">
        <v>11</v>
      </c>
      <c r="G34" s="9">
        <v>40.04</v>
      </c>
      <c r="H34" s="6" t="s">
        <v>12</v>
      </c>
      <c r="I34" s="9">
        <v>3633.36</v>
      </c>
      <c r="J34" s="6" t="s">
        <v>48</v>
      </c>
      <c r="K34" s="27" t="s">
        <v>73</v>
      </c>
      <c r="L34" s="27"/>
    </row>
    <row r="35" spans="1:12" x14ac:dyDescent="0.35">
      <c r="F35" s="10"/>
      <c r="G35" s="10">
        <f>SUM(G3:G34)</f>
        <v>14357.810000000003</v>
      </c>
    </row>
    <row r="37" spans="1:12" x14ac:dyDescent="0.35">
      <c r="F37" s="10"/>
    </row>
  </sheetData>
  <autoFilter ref="A2:K34" xr:uid="{1DAAFC37-F81F-40EA-8976-3460F0735BB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F6964-EB2E-48A6-A038-AFF7F423AB1D}">
  <dimension ref="A2:N4"/>
  <sheetViews>
    <sheetView workbookViewId="0">
      <selection activeCell="B2" sqref="B2"/>
    </sheetView>
  </sheetViews>
  <sheetFormatPr defaultRowHeight="14.5" x14ac:dyDescent="0.35"/>
  <cols>
    <col min="1" max="1" width="16.81640625" bestFit="1" customWidth="1"/>
    <col min="2" max="2" width="9.453125" bestFit="1" customWidth="1"/>
    <col min="3" max="3" width="13.90625" bestFit="1" customWidth="1"/>
    <col min="4" max="4" width="12.90625" bestFit="1" customWidth="1"/>
    <col min="5" max="6" width="9.453125" bestFit="1" customWidth="1"/>
    <col min="7" max="7" width="8.7265625" bestFit="1" customWidth="1"/>
    <col min="8" max="8" width="13.08984375" bestFit="1" customWidth="1"/>
    <col min="9" max="9" width="23.08984375" bestFit="1" customWidth="1"/>
    <col min="10" max="10" width="19.54296875" bestFit="1" customWidth="1"/>
    <col min="11" max="11" width="10.08984375" bestFit="1" customWidth="1"/>
    <col min="13" max="13" width="10.7265625" bestFit="1" customWidth="1"/>
    <col min="14" max="14" width="12.90625" bestFit="1" customWidth="1"/>
  </cols>
  <sheetData>
    <row r="2" spans="1:14" ht="58" x14ac:dyDescent="0.35">
      <c r="A2" s="4" t="s">
        <v>0</v>
      </c>
      <c r="B2" s="5" t="s">
        <v>1</v>
      </c>
      <c r="C2" s="4" t="s">
        <v>2</v>
      </c>
      <c r="D2" s="4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4" t="s">
        <v>53</v>
      </c>
      <c r="J2" s="13" t="s">
        <v>58</v>
      </c>
      <c r="K2" s="12" t="s">
        <v>57</v>
      </c>
      <c r="L2" t="s">
        <v>55</v>
      </c>
      <c r="M2" t="s">
        <v>56</v>
      </c>
    </row>
    <row r="3" spans="1:14" x14ac:dyDescent="0.35">
      <c r="A3" s="6" t="s">
        <v>49</v>
      </c>
      <c r="B3" s="6" t="s">
        <v>9</v>
      </c>
      <c r="C3" s="7">
        <v>46035</v>
      </c>
      <c r="D3" s="8">
        <v>256779440359</v>
      </c>
      <c r="E3" s="6" t="s">
        <v>11</v>
      </c>
      <c r="F3" s="9">
        <v>821.64</v>
      </c>
      <c r="G3" s="6" t="s">
        <v>12</v>
      </c>
      <c r="H3" s="9">
        <v>74558.19</v>
      </c>
      <c r="I3" s="6" t="s">
        <v>50</v>
      </c>
      <c r="J3" s="10" t="s">
        <v>54</v>
      </c>
      <c r="K3" s="11">
        <v>46069</v>
      </c>
      <c r="L3">
        <f>F3*2%</f>
        <v>16.4328</v>
      </c>
      <c r="M3" s="10">
        <f>F3-L3</f>
        <v>805.20719999999994</v>
      </c>
    </row>
    <row r="4" spans="1:14" x14ac:dyDescent="0.35">
      <c r="A4" s="6" t="s">
        <v>51</v>
      </c>
      <c r="B4" s="6" t="s">
        <v>9</v>
      </c>
      <c r="C4" s="7">
        <v>46035</v>
      </c>
      <c r="D4" s="8">
        <v>256779440370</v>
      </c>
      <c r="E4" s="6" t="s">
        <v>11</v>
      </c>
      <c r="F4" s="9">
        <v>60.36</v>
      </c>
      <c r="G4" s="6" t="s">
        <v>12</v>
      </c>
      <c r="H4" s="9">
        <v>5477.26</v>
      </c>
      <c r="I4" s="6" t="s">
        <v>52</v>
      </c>
      <c r="J4" s="14" t="s">
        <v>59</v>
      </c>
      <c r="K4" s="11">
        <v>46065</v>
      </c>
      <c r="L4">
        <v>1</v>
      </c>
      <c r="M4" s="10">
        <f>F4-L4</f>
        <v>59.36</v>
      </c>
      <c r="N4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 not in customers books</vt:lpstr>
      <vt:lpstr>Difference in Invoice value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Neuroy Gonsalves</dc:creator>
  <cp:lastModifiedBy>Neuroy Gonsalves</cp:lastModifiedBy>
  <dcterms:created xsi:type="dcterms:W3CDTF">2026-02-24T07:03:15Z</dcterms:created>
  <dcterms:modified xsi:type="dcterms:W3CDTF">2026-04-17T14:08:35Z</dcterms:modified>
</cp:coreProperties>
</file>