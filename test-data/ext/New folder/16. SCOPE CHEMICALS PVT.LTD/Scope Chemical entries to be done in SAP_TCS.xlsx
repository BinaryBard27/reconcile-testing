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ver\2. Tax &amp; Assurance\Capital Land\16. SCOPE CHEMICALS PVT.LTD\"/>
    </mc:Choice>
  </mc:AlternateContent>
  <xr:revisionPtr revIDLastSave="0" documentId="13_ncr:1_{5EE0F863-47AE-4D67-904F-47B47F054772}" xr6:coauthVersionLast="47" xr6:coauthVersionMax="47" xr10:uidLastSave="{00000000-0000-0000-0000-000000000000}"/>
  <bookViews>
    <workbookView xWindow="-110" yWindow="-110" windowWidth="21820" windowHeight="14020" xr2:uid="{08CFC468-C01E-4E8D-9ECE-339AEB54932C}"/>
  </bookViews>
  <sheets>
    <sheet name="Sheet9" sheetId="1" r:id="rId1"/>
  </sheets>
  <externalReferences>
    <externalReference r:id="rId2"/>
  </externalReferences>
  <definedNames>
    <definedName name="_xlnm._FilterDatabase" localSheetId="0" hidden="1">Sheet9!$A$1:$S$25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8" i="1" l="1"/>
  <c r="Q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N48" i="1"/>
  <c r="P24" i="1"/>
  <c r="N24" i="1"/>
  <c r="R28" i="1" l="1"/>
  <c r="Q23" i="1"/>
  <c r="R23" i="1" s="1"/>
  <c r="Q22" i="1"/>
  <c r="R22" i="1" s="1"/>
  <c r="Q21" i="1"/>
  <c r="R21" i="1" s="1"/>
  <c r="Q20" i="1"/>
  <c r="R20" i="1" s="1"/>
  <c r="Q19" i="1"/>
  <c r="R19" i="1" s="1"/>
  <c r="Q18" i="1"/>
  <c r="R18" i="1" s="1"/>
  <c r="Q17" i="1"/>
  <c r="R17" i="1" s="1"/>
  <c r="Q16" i="1"/>
  <c r="R16" i="1" s="1"/>
  <c r="Q15" i="1"/>
  <c r="R15" i="1" s="1"/>
  <c r="Q14" i="1"/>
  <c r="R14" i="1" s="1"/>
  <c r="Q13" i="1"/>
  <c r="R13" i="1" s="1"/>
  <c r="Q12" i="1"/>
  <c r="R12" i="1" s="1"/>
  <c r="Q11" i="1"/>
  <c r="R11" i="1" s="1"/>
  <c r="Q10" i="1"/>
  <c r="R10" i="1" s="1"/>
  <c r="Q9" i="1"/>
  <c r="R9" i="1" s="1"/>
  <c r="Q8" i="1"/>
  <c r="R8" i="1" s="1"/>
  <c r="Q7" i="1"/>
  <c r="R7" i="1" s="1"/>
  <c r="Q6" i="1"/>
  <c r="R6" i="1" s="1"/>
  <c r="Q5" i="1"/>
  <c r="R5" i="1" s="1"/>
  <c r="Q4" i="1"/>
  <c r="R4" i="1" s="1"/>
  <c r="Q3" i="1"/>
  <c r="R2" i="1"/>
  <c r="R3" i="1" l="1"/>
  <c r="Q24" i="1"/>
  <c r="R24" i="1" l="1"/>
  <c r="R29" i="1" l="1"/>
  <c r="R48" i="1" s="1"/>
</calcChain>
</file>

<file path=xl/sharedStrings.xml><?xml version="1.0" encoding="utf-8"?>
<sst xmlns="http://schemas.openxmlformats.org/spreadsheetml/2006/main" count="380" uniqueCount="32">
  <si>
    <t>Company Code</t>
  </si>
  <si>
    <t>Customer</t>
  </si>
  <si>
    <t>Customer Account: Name 1</t>
  </si>
  <si>
    <t>Posting Date</t>
  </si>
  <si>
    <t>Document Number</t>
  </si>
  <si>
    <t>Document Type</t>
  </si>
  <si>
    <t>Document Date</t>
  </si>
  <si>
    <t>Entry Date</t>
  </si>
  <si>
    <t>Document Header Text</t>
  </si>
  <si>
    <t>G/L Account</t>
  </si>
  <si>
    <t>Profit Center</t>
  </si>
  <si>
    <t>Reference</t>
  </si>
  <si>
    <t>Document Currency Key</t>
  </si>
  <si>
    <t>Document Currency Value</t>
  </si>
  <si>
    <t>TDS</t>
  </si>
  <si>
    <t xml:space="preserve">Total </t>
  </si>
  <si>
    <t>Note</t>
  </si>
  <si>
    <t>6779</t>
  </si>
  <si>
    <t>DZ</t>
  </si>
  <si>
    <t>USD</t>
  </si>
  <si>
    <t>DR</t>
  </si>
  <si>
    <t>Invoice</t>
  </si>
  <si>
    <t>INR</t>
  </si>
  <si>
    <t>Company Code Currency Value</t>
  </si>
  <si>
    <t>Company Code Currency Key</t>
  </si>
  <si>
    <t>Exchange gain</t>
  </si>
  <si>
    <t>100222020</t>
  </si>
  <si>
    <t>SCOPE CHEMICALS PVT.LTD</t>
  </si>
  <si>
    <t>INDBR32025102400124824</t>
  </si>
  <si>
    <t>NA</t>
  </si>
  <si>
    <t>Payment</t>
  </si>
  <si>
    <t>2158402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</si>
</sst>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4" fontId="0" fillId="0" borderId="1" xfId="0" applyNumberFormat="1" applyBorder="1" applyAlignment="1">
      <alignment vertical="top"/>
    </xf>
    <xf numFmtId="0" fontId="0" fillId="3" borderId="1" xfId="0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4" fontId="0" fillId="3" borderId="1" xfId="0" applyNumberFormat="1" applyFill="1" applyBorder="1" applyAlignment="1">
      <alignment vertical="top"/>
    </xf>
    <xf numFmtId="4" fontId="0" fillId="0" borderId="0" xfId="0" applyNumberFormat="1" applyAlignment="1">
      <alignment vertical="top"/>
    </xf>
    <xf numFmtId="14" fontId="0" fillId="0" borderId="0" xfId="0" applyNumberFormat="1" applyAlignment="1">
      <alignment horizontal="right" vertical="top"/>
    </xf>
    <xf numFmtId="43" fontId="0" fillId="0" borderId="1" xfId="1" applyFont="1" applyBorder="1"/>
    <xf numFmtId="0" fontId="0" fillId="0" borderId="1" xfId="0" applyBorder="1"/>
    <xf numFmtId="0" fontId="0" fillId="0" borderId="1" xfId="0" applyNumberFormat="1" applyBorder="1" applyAlignment="1">
      <alignment vertical="top"/>
    </xf>
    <xf numFmtId="43" fontId="0" fillId="3" borderId="1" xfId="1" applyFont="1" applyFill="1" applyBorder="1" applyAlignment="1">
      <alignment vertical="top"/>
    </xf>
    <xf numFmtId="43" fontId="0" fillId="2" borderId="1" xfId="1" applyFont="1" applyFill="1" applyBorder="1" applyAlignment="1">
      <alignment vertical="top" wrapText="1"/>
    </xf>
    <xf numFmtId="43" fontId="0" fillId="0" borderId="1" xfId="1" applyFont="1" applyBorder="1" applyAlignment="1">
      <alignment vertical="top"/>
    </xf>
    <xf numFmtId="43" fontId="0" fillId="0" borderId="0" xfId="1" applyFont="1" applyAlignment="1">
      <alignment vertical="top"/>
    </xf>
    <xf numFmtId="43" fontId="0" fillId="0" borderId="1" xfId="1" applyFont="1" applyBorder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Z_Tagg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Z"/>
      <sheetName val="DR"/>
    </sheetNames>
    <sheetDataSet>
      <sheetData sheetId="0"/>
      <sheetData sheetId="1">
        <row r="3">
          <cell r="D3" t="str">
            <v>Reference</v>
          </cell>
          <cell r="Q3" t="str">
            <v>Tds in INR</v>
          </cell>
        </row>
        <row r="4">
          <cell r="D4">
            <v>246779413009</v>
          </cell>
          <cell r="Q4">
            <v>439.95800000000003</v>
          </cell>
        </row>
        <row r="5">
          <cell r="D5">
            <v>256779412170</v>
          </cell>
          <cell r="Q5">
            <v>435.48599999999999</v>
          </cell>
        </row>
        <row r="6">
          <cell r="D6">
            <v>256779413128</v>
          </cell>
          <cell r="Q6">
            <v>436.36700000000002</v>
          </cell>
        </row>
        <row r="7">
          <cell r="D7">
            <v>256779413162</v>
          </cell>
          <cell r="Q7">
            <v>226.30900000000003</v>
          </cell>
        </row>
        <row r="8">
          <cell r="D8">
            <v>256779413171</v>
          </cell>
          <cell r="Q8">
            <v>193.97919999999999</v>
          </cell>
        </row>
        <row r="9">
          <cell r="D9">
            <v>256779413242</v>
          </cell>
          <cell r="Q9">
            <v>2054.8728000000001</v>
          </cell>
        </row>
        <row r="10">
          <cell r="D10">
            <v>256779413836</v>
          </cell>
          <cell r="Q10">
            <v>1363.8217999999999</v>
          </cell>
        </row>
        <row r="11">
          <cell r="D11">
            <v>256779413840</v>
          </cell>
          <cell r="Q11">
            <v>72.466999999999999</v>
          </cell>
        </row>
        <row r="12">
          <cell r="D12">
            <v>256779413425</v>
          </cell>
          <cell r="Q12">
            <v>64.65979999999999</v>
          </cell>
        </row>
        <row r="13">
          <cell r="D13">
            <v>256779413426</v>
          </cell>
          <cell r="Q13">
            <v>4.0411999999999999</v>
          </cell>
        </row>
        <row r="14">
          <cell r="D14">
            <v>256779414387</v>
          </cell>
          <cell r="Q14">
            <v>433.86599999999999</v>
          </cell>
        </row>
        <row r="15">
          <cell r="D15">
            <v>256779414757</v>
          </cell>
          <cell r="Q15">
            <v>201.58720000000002</v>
          </cell>
        </row>
        <row r="16">
          <cell r="D16">
            <v>256779414742</v>
          </cell>
          <cell r="Q16">
            <v>568.03499999999997</v>
          </cell>
        </row>
        <row r="17">
          <cell r="D17">
            <v>256779414767</v>
          </cell>
          <cell r="Q17">
            <v>33.8842</v>
          </cell>
        </row>
        <row r="18">
          <cell r="D18">
            <v>256779414945</v>
          </cell>
          <cell r="Q18">
            <v>436.45299999999997</v>
          </cell>
        </row>
        <row r="19">
          <cell r="D19">
            <v>256779414967</v>
          </cell>
          <cell r="Q19">
            <v>371.86680000000001</v>
          </cell>
        </row>
        <row r="20">
          <cell r="D20">
            <v>256779415455</v>
          </cell>
          <cell r="Q20">
            <v>843.4946000000001</v>
          </cell>
        </row>
        <row r="21">
          <cell r="D21">
            <v>256779416055</v>
          </cell>
          <cell r="Q21">
            <v>436.60300000000001</v>
          </cell>
        </row>
        <row r="22">
          <cell r="D22">
            <v>256779417374</v>
          </cell>
          <cell r="Q22">
            <v>444.13500000000005</v>
          </cell>
        </row>
        <row r="23">
          <cell r="D23">
            <v>256779417441</v>
          </cell>
          <cell r="Q23">
            <v>3329.3776000000003</v>
          </cell>
        </row>
        <row r="24">
          <cell r="D24">
            <v>256779417450</v>
          </cell>
          <cell r="Q24">
            <v>142.77080000000001</v>
          </cell>
        </row>
        <row r="25">
          <cell r="D25">
            <v>256779417583</v>
          </cell>
          <cell r="Q25">
            <v>489.11760000000004</v>
          </cell>
        </row>
        <row r="26">
          <cell r="D26">
            <v>256779417598</v>
          </cell>
          <cell r="Q26">
            <v>263.2432</v>
          </cell>
        </row>
        <row r="27">
          <cell r="D27">
            <v>256779418037</v>
          </cell>
          <cell r="Q27">
            <v>447.56800000000004</v>
          </cell>
        </row>
        <row r="28">
          <cell r="D28">
            <v>256779418167</v>
          </cell>
          <cell r="Q28">
            <v>123.46700000000001</v>
          </cell>
        </row>
        <row r="29">
          <cell r="D29">
            <v>256779418178</v>
          </cell>
          <cell r="Q29">
            <v>833.82600000000002</v>
          </cell>
        </row>
        <row r="30">
          <cell r="D30">
            <v>256779418186</v>
          </cell>
          <cell r="Q30">
            <v>35.752600000000001</v>
          </cell>
        </row>
        <row r="31">
          <cell r="D31">
            <v>256779418340</v>
          </cell>
          <cell r="Q31">
            <v>135.02000000000001</v>
          </cell>
        </row>
        <row r="32">
          <cell r="D32">
            <v>256779418355</v>
          </cell>
          <cell r="Q32">
            <v>66.319400000000002</v>
          </cell>
        </row>
        <row r="33">
          <cell r="D33">
            <v>256779418481</v>
          </cell>
          <cell r="Q33">
            <v>71.910799999999995</v>
          </cell>
        </row>
        <row r="34">
          <cell r="D34">
            <v>256779418803</v>
          </cell>
          <cell r="Q34">
            <v>446.61700000000002</v>
          </cell>
        </row>
        <row r="35">
          <cell r="D35">
            <v>256779418818</v>
          </cell>
          <cell r="Q35">
            <v>2585.3811999999998</v>
          </cell>
        </row>
        <row r="36">
          <cell r="D36">
            <v>256779418894</v>
          </cell>
          <cell r="Q36">
            <v>231.625</v>
          </cell>
        </row>
        <row r="37">
          <cell r="D37">
            <v>256779418907</v>
          </cell>
          <cell r="Q37">
            <v>198.53560000000002</v>
          </cell>
        </row>
        <row r="38">
          <cell r="D38">
            <v>256779440042</v>
          </cell>
          <cell r="Q38">
            <v>460.52100000000002</v>
          </cell>
        </row>
        <row r="39">
          <cell r="D39">
            <v>256779440256</v>
          </cell>
          <cell r="Q39">
            <v>204.7166</v>
          </cell>
        </row>
        <row r="40">
          <cell r="D40">
            <v>256779440333</v>
          </cell>
          <cell r="Q40">
            <v>460.52100000000002</v>
          </cell>
        </row>
        <row r="41">
          <cell r="D41">
            <v>256779440129</v>
          </cell>
          <cell r="Q41">
            <v>307.07479999999998</v>
          </cell>
        </row>
        <row r="42">
          <cell r="D42">
            <v>256779440336</v>
          </cell>
          <cell r="Q42">
            <v>127.04040000000001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DEA2-5E90-4A7E-AC04-18C4F62A0527}">
  <dimension ref="A1:S48"/>
  <sheetViews>
    <sheetView tabSelected="1" topLeftCell="H29" workbookViewId="0">
      <selection activeCell="S47" sqref="S47"/>
    </sheetView>
  </sheetViews>
  <sheetFormatPr defaultColWidth="8.81640625" defaultRowHeight="12.5" x14ac:dyDescent="0.25"/>
  <cols>
    <col min="1" max="1" width="15.54296875" style="3" bestFit="1" customWidth="1"/>
    <col min="2" max="2" width="10.81640625" style="3" bestFit="1" customWidth="1"/>
    <col min="3" max="3" width="26.26953125" style="3" bestFit="1" customWidth="1"/>
    <col min="4" max="4" width="13.36328125" style="3" bestFit="1" customWidth="1"/>
    <col min="5" max="5" width="17.90625" style="3" bestFit="1" customWidth="1"/>
    <col min="6" max="6" width="11.08984375" style="3" bestFit="1" customWidth="1"/>
    <col min="7" max="7" width="15.54296875" style="3" bestFit="1" customWidth="1"/>
    <col min="8" max="8" width="11.6328125" style="3" bestFit="1" customWidth="1"/>
    <col min="9" max="9" width="23.54296875" style="3" bestFit="1" customWidth="1"/>
    <col min="10" max="10" width="13" style="3" bestFit="1" customWidth="1"/>
    <col min="11" max="11" width="13.26953125" style="3" bestFit="1" customWidth="1"/>
    <col min="12" max="12" width="11.36328125" style="3" bestFit="1" customWidth="1"/>
    <col min="13" max="13" width="8.54296875" style="3" bestFit="1" customWidth="1"/>
    <col min="14" max="14" width="11.08984375" style="3" bestFit="1" customWidth="1"/>
    <col min="15" max="15" width="9.7265625" style="3" bestFit="1" customWidth="1"/>
    <col min="16" max="16" width="12.1796875" style="3" bestFit="1" customWidth="1"/>
    <col min="17" max="17" width="10" style="20" bestFit="1" customWidth="1"/>
    <col min="18" max="18" width="12.1796875" style="20" bestFit="1" customWidth="1"/>
    <col min="19" max="19" width="12.36328125" style="3" bestFit="1" customWidth="1"/>
    <col min="20" max="20" width="8.81640625" style="3"/>
    <col min="21" max="21" width="9.08984375" style="3" bestFit="1" customWidth="1"/>
    <col min="22" max="16384" width="8.81640625" style="3"/>
  </cols>
  <sheetData>
    <row r="1" spans="1:19" ht="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24</v>
      </c>
      <c r="P1" s="2" t="s">
        <v>23</v>
      </c>
      <c r="Q1" s="18" t="s">
        <v>14</v>
      </c>
      <c r="R1" s="18" t="s">
        <v>15</v>
      </c>
      <c r="S1" s="2" t="s">
        <v>16</v>
      </c>
    </row>
    <row r="2" spans="1:19" x14ac:dyDescent="0.25">
      <c r="A2" s="4" t="s">
        <v>17</v>
      </c>
      <c r="B2" s="4" t="s">
        <v>26</v>
      </c>
      <c r="C2" s="4" t="s">
        <v>27</v>
      </c>
      <c r="D2" s="5">
        <v>45959</v>
      </c>
      <c r="E2" s="4">
        <v>1400001561</v>
      </c>
      <c r="F2" s="4" t="s">
        <v>18</v>
      </c>
      <c r="G2" s="5">
        <v>45959</v>
      </c>
      <c r="H2" s="5">
        <v>45959</v>
      </c>
      <c r="I2" s="4" t="s">
        <v>28</v>
      </c>
      <c r="J2" s="16">
        <v>212100</v>
      </c>
      <c r="K2" s="4"/>
      <c r="L2" s="4"/>
      <c r="M2" s="4" t="s">
        <v>22</v>
      </c>
      <c r="N2" s="14">
        <v>-5813.9534883719998</v>
      </c>
      <c r="O2" s="4" t="s">
        <v>22</v>
      </c>
      <c r="P2" s="6">
        <v>-500000</v>
      </c>
      <c r="Q2" s="19"/>
      <c r="R2" s="19">
        <f>P2</f>
        <v>-500000</v>
      </c>
      <c r="S2" s="7" t="s">
        <v>30</v>
      </c>
    </row>
    <row r="3" spans="1:19" x14ac:dyDescent="0.25">
      <c r="A3" s="4" t="s">
        <v>17</v>
      </c>
      <c r="B3" s="4" t="s">
        <v>26</v>
      </c>
      <c r="C3" s="4" t="s">
        <v>27</v>
      </c>
      <c r="D3" s="5">
        <v>45735</v>
      </c>
      <c r="E3" s="4">
        <v>1800003142</v>
      </c>
      <c r="F3" s="4" t="s">
        <v>20</v>
      </c>
      <c r="G3" s="5">
        <v>45735</v>
      </c>
      <c r="H3" s="5">
        <v>45736</v>
      </c>
      <c r="I3" s="4" t="s">
        <v>29</v>
      </c>
      <c r="J3" s="16">
        <v>212100</v>
      </c>
      <c r="K3" s="4"/>
      <c r="L3" s="4">
        <v>246779413009</v>
      </c>
      <c r="M3" s="4" t="s">
        <v>19</v>
      </c>
      <c r="N3" s="4">
        <v>50.75</v>
      </c>
      <c r="O3" s="4" t="s">
        <v>22</v>
      </c>
      <c r="P3" s="4">
        <v>4399.58</v>
      </c>
      <c r="Q3" s="19">
        <f>_xlfn.XLOOKUP(L3,[1]DR!$D:$D,[1]DR!$Q:$Q,,0)</f>
        <v>439.95800000000003</v>
      </c>
      <c r="R3" s="19">
        <f>P3-Q3</f>
        <v>3959.6219999999998</v>
      </c>
      <c r="S3" s="7" t="s">
        <v>21</v>
      </c>
    </row>
    <row r="4" spans="1:19" x14ac:dyDescent="0.25">
      <c r="A4" s="4" t="s">
        <v>17</v>
      </c>
      <c r="B4" s="4" t="s">
        <v>26</v>
      </c>
      <c r="C4" s="4" t="s">
        <v>27</v>
      </c>
      <c r="D4" s="5">
        <v>45768</v>
      </c>
      <c r="E4" s="4">
        <v>1800007279</v>
      </c>
      <c r="F4" s="4" t="s">
        <v>20</v>
      </c>
      <c r="G4" s="5">
        <v>45768</v>
      </c>
      <c r="H4" s="5">
        <v>45769</v>
      </c>
      <c r="I4" s="4" t="s">
        <v>29</v>
      </c>
      <c r="J4" s="16">
        <v>212100</v>
      </c>
      <c r="K4" s="4"/>
      <c r="L4" s="4">
        <v>256779412170</v>
      </c>
      <c r="M4" s="4" t="s">
        <v>19</v>
      </c>
      <c r="N4" s="4">
        <v>50.75</v>
      </c>
      <c r="O4" s="4" t="s">
        <v>22</v>
      </c>
      <c r="P4" s="4">
        <v>4354.8599999999997</v>
      </c>
      <c r="Q4" s="19">
        <f>_xlfn.XLOOKUP(L4,[1]DR!$D:$D,[1]DR!$Q:$Q,,0)</f>
        <v>435.48599999999999</v>
      </c>
      <c r="R4" s="19">
        <f t="shared" ref="R4:R23" si="0">P4-Q4</f>
        <v>3919.3739999999998</v>
      </c>
      <c r="S4" s="7" t="s">
        <v>21</v>
      </c>
    </row>
    <row r="5" spans="1:19" x14ac:dyDescent="0.25">
      <c r="A5" s="4" t="s">
        <v>17</v>
      </c>
      <c r="B5" s="4" t="s">
        <v>26</v>
      </c>
      <c r="C5" s="4" t="s">
        <v>27</v>
      </c>
      <c r="D5" s="5">
        <v>45787</v>
      </c>
      <c r="E5" s="4">
        <v>1800008244</v>
      </c>
      <c r="F5" s="4" t="s">
        <v>20</v>
      </c>
      <c r="G5" s="5">
        <v>45787</v>
      </c>
      <c r="H5" s="5">
        <v>45791</v>
      </c>
      <c r="I5" s="4" t="s">
        <v>29</v>
      </c>
      <c r="J5" s="16">
        <v>212100</v>
      </c>
      <c r="K5" s="4"/>
      <c r="L5" s="4">
        <v>256779413128</v>
      </c>
      <c r="M5" s="4" t="s">
        <v>19</v>
      </c>
      <c r="N5" s="4">
        <v>50.75</v>
      </c>
      <c r="O5" s="4" t="s">
        <v>22</v>
      </c>
      <c r="P5" s="4">
        <v>4363.67</v>
      </c>
      <c r="Q5" s="19">
        <f>_xlfn.XLOOKUP(L5,[1]DR!$D:$D,[1]DR!$Q:$Q,,0)</f>
        <v>436.36700000000002</v>
      </c>
      <c r="R5" s="19">
        <f t="shared" si="0"/>
        <v>3927.3029999999999</v>
      </c>
      <c r="S5" s="7" t="s">
        <v>21</v>
      </c>
    </row>
    <row r="6" spans="1:19" x14ac:dyDescent="0.25">
      <c r="A6" s="4" t="s">
        <v>17</v>
      </c>
      <c r="B6" s="4" t="s">
        <v>26</v>
      </c>
      <c r="C6" s="4" t="s">
        <v>27</v>
      </c>
      <c r="D6" s="5">
        <v>45787</v>
      </c>
      <c r="E6" s="4">
        <v>1800008279</v>
      </c>
      <c r="F6" s="4" t="s">
        <v>20</v>
      </c>
      <c r="G6" s="5">
        <v>45787</v>
      </c>
      <c r="H6" s="5">
        <v>45792</v>
      </c>
      <c r="I6" s="4" t="s">
        <v>29</v>
      </c>
      <c r="J6" s="16">
        <v>212100</v>
      </c>
      <c r="K6" s="4"/>
      <c r="L6" s="4">
        <v>256779413162</v>
      </c>
      <c r="M6" s="4" t="s">
        <v>19</v>
      </c>
      <c r="N6" s="4">
        <v>131.6</v>
      </c>
      <c r="O6" s="4" t="s">
        <v>22</v>
      </c>
      <c r="P6" s="4">
        <v>11315.45</v>
      </c>
      <c r="Q6" s="19">
        <f>_xlfn.XLOOKUP(L6,[1]DR!$D:$D,[1]DR!$Q:$Q,,0)</f>
        <v>226.30900000000003</v>
      </c>
      <c r="R6" s="19">
        <f t="shared" si="0"/>
        <v>11089.141000000001</v>
      </c>
      <c r="S6" s="7" t="s">
        <v>21</v>
      </c>
    </row>
    <row r="7" spans="1:19" x14ac:dyDescent="0.25">
      <c r="A7" s="4" t="s">
        <v>17</v>
      </c>
      <c r="B7" s="4" t="s">
        <v>26</v>
      </c>
      <c r="C7" s="4" t="s">
        <v>27</v>
      </c>
      <c r="D7" s="5">
        <v>45787</v>
      </c>
      <c r="E7" s="4">
        <v>1800008288</v>
      </c>
      <c r="F7" s="4" t="s">
        <v>20</v>
      </c>
      <c r="G7" s="5">
        <v>45787</v>
      </c>
      <c r="H7" s="5">
        <v>45792</v>
      </c>
      <c r="I7" s="4" t="s">
        <v>29</v>
      </c>
      <c r="J7" s="16">
        <v>212100</v>
      </c>
      <c r="K7" s="4"/>
      <c r="L7" s="4">
        <v>256779413171</v>
      </c>
      <c r="M7" s="4" t="s">
        <v>19</v>
      </c>
      <c r="N7" s="4">
        <v>112.8</v>
      </c>
      <c r="O7" s="4" t="s">
        <v>22</v>
      </c>
      <c r="P7" s="4">
        <v>9698.9599999999991</v>
      </c>
      <c r="Q7" s="19">
        <f>_xlfn.XLOOKUP(L7,[1]DR!$D:$D,[1]DR!$Q:$Q,,0)</f>
        <v>193.97919999999999</v>
      </c>
      <c r="R7" s="19">
        <f t="shared" si="0"/>
        <v>9504.9807999999994</v>
      </c>
      <c r="S7" s="7" t="s">
        <v>21</v>
      </c>
    </row>
    <row r="8" spans="1:19" x14ac:dyDescent="0.25">
      <c r="A8" s="4" t="s">
        <v>17</v>
      </c>
      <c r="B8" s="4" t="s">
        <v>26</v>
      </c>
      <c r="C8" s="4" t="s">
        <v>27</v>
      </c>
      <c r="D8" s="5">
        <v>45787</v>
      </c>
      <c r="E8" s="4">
        <v>1800008359</v>
      </c>
      <c r="F8" s="4" t="s">
        <v>20</v>
      </c>
      <c r="G8" s="5">
        <v>45787</v>
      </c>
      <c r="H8" s="5">
        <v>45792</v>
      </c>
      <c r="I8" s="4" t="s">
        <v>29</v>
      </c>
      <c r="J8" s="16">
        <v>212100</v>
      </c>
      <c r="K8" s="4"/>
      <c r="L8" s="4">
        <v>256779413242</v>
      </c>
      <c r="M8" s="4" t="s">
        <v>19</v>
      </c>
      <c r="N8" s="4">
        <v>1194.92</v>
      </c>
      <c r="O8" s="4" t="s">
        <v>22</v>
      </c>
      <c r="P8" s="4">
        <v>102743.64</v>
      </c>
      <c r="Q8" s="19">
        <f>_xlfn.XLOOKUP(L8,[1]DR!$D:$D,[1]DR!$Q:$Q,,0)</f>
        <v>2054.8728000000001</v>
      </c>
      <c r="R8" s="19">
        <f t="shared" si="0"/>
        <v>100688.7672</v>
      </c>
      <c r="S8" s="7" t="s">
        <v>21</v>
      </c>
    </row>
    <row r="9" spans="1:19" x14ac:dyDescent="0.25">
      <c r="A9" s="4" t="s">
        <v>17</v>
      </c>
      <c r="B9" s="4" t="s">
        <v>26</v>
      </c>
      <c r="C9" s="4" t="s">
        <v>27</v>
      </c>
      <c r="D9" s="5">
        <v>45797</v>
      </c>
      <c r="E9" s="4">
        <v>1800009072</v>
      </c>
      <c r="F9" s="4" t="s">
        <v>20</v>
      </c>
      <c r="G9" s="5">
        <v>45797</v>
      </c>
      <c r="H9" s="5">
        <v>45805</v>
      </c>
      <c r="I9" s="4" t="s">
        <v>29</v>
      </c>
      <c r="J9" s="16">
        <v>212100</v>
      </c>
      <c r="K9" s="4"/>
      <c r="L9" s="4">
        <v>256779413836</v>
      </c>
      <c r="M9" s="4" t="s">
        <v>19</v>
      </c>
      <c r="N9" s="4">
        <v>793.07</v>
      </c>
      <c r="O9" s="4" t="s">
        <v>22</v>
      </c>
      <c r="P9" s="4">
        <v>68191.09</v>
      </c>
      <c r="Q9" s="19">
        <f>_xlfn.XLOOKUP(L9,[1]DR!$D:$D,[1]DR!$Q:$Q,,0)</f>
        <v>1363.8217999999999</v>
      </c>
      <c r="R9" s="19">
        <f t="shared" si="0"/>
        <v>66827.268199999991</v>
      </c>
      <c r="S9" s="7" t="s">
        <v>21</v>
      </c>
    </row>
    <row r="10" spans="1:19" x14ac:dyDescent="0.25">
      <c r="A10" s="4" t="s">
        <v>17</v>
      </c>
      <c r="B10" s="4" t="s">
        <v>26</v>
      </c>
      <c r="C10" s="4" t="s">
        <v>27</v>
      </c>
      <c r="D10" s="5">
        <v>45797</v>
      </c>
      <c r="E10" s="4">
        <v>1800009076</v>
      </c>
      <c r="F10" s="4" t="s">
        <v>20</v>
      </c>
      <c r="G10" s="5">
        <v>45797</v>
      </c>
      <c r="H10" s="5">
        <v>45805</v>
      </c>
      <c r="I10" s="4" t="s">
        <v>29</v>
      </c>
      <c r="J10" s="16">
        <v>212100</v>
      </c>
      <c r="K10" s="4"/>
      <c r="L10" s="4">
        <v>256779413840</v>
      </c>
      <c r="M10" s="4" t="s">
        <v>19</v>
      </c>
      <c r="N10" s="4">
        <v>42.14</v>
      </c>
      <c r="O10" s="4" t="s">
        <v>22</v>
      </c>
      <c r="P10" s="4">
        <v>3623.35</v>
      </c>
      <c r="Q10" s="19">
        <f>_xlfn.XLOOKUP(L10,[1]DR!$D:$D,[1]DR!$Q:$Q,,0)</f>
        <v>72.466999999999999</v>
      </c>
      <c r="R10" s="19">
        <f t="shared" si="0"/>
        <v>3550.8829999999998</v>
      </c>
      <c r="S10" s="7" t="s">
        <v>21</v>
      </c>
    </row>
    <row r="11" spans="1:19" x14ac:dyDescent="0.25">
      <c r="A11" s="4" t="s">
        <v>17</v>
      </c>
      <c r="B11" s="4" t="s">
        <v>26</v>
      </c>
      <c r="C11" s="4" t="s">
        <v>27</v>
      </c>
      <c r="D11" s="5">
        <v>45798</v>
      </c>
      <c r="E11" s="4">
        <v>1800008661</v>
      </c>
      <c r="F11" s="4" t="s">
        <v>20</v>
      </c>
      <c r="G11" s="5">
        <v>45798</v>
      </c>
      <c r="H11" s="5">
        <v>45800</v>
      </c>
      <c r="I11" s="4" t="s">
        <v>29</v>
      </c>
      <c r="J11" s="16">
        <v>212100</v>
      </c>
      <c r="K11" s="4"/>
      <c r="L11" s="4">
        <v>256779413425</v>
      </c>
      <c r="M11" s="4" t="s">
        <v>19</v>
      </c>
      <c r="N11" s="4">
        <v>37.6</v>
      </c>
      <c r="O11" s="4" t="s">
        <v>22</v>
      </c>
      <c r="P11" s="4">
        <v>3232.99</v>
      </c>
      <c r="Q11" s="19">
        <f>_xlfn.XLOOKUP(L11,[1]DR!$D:$D,[1]DR!$Q:$Q,,0)</f>
        <v>64.65979999999999</v>
      </c>
      <c r="R11" s="19">
        <f t="shared" si="0"/>
        <v>3168.3301999999999</v>
      </c>
      <c r="S11" s="7" t="s">
        <v>21</v>
      </c>
    </row>
    <row r="12" spans="1:19" x14ac:dyDescent="0.25">
      <c r="A12" s="4" t="s">
        <v>17</v>
      </c>
      <c r="B12" s="4" t="s">
        <v>26</v>
      </c>
      <c r="C12" s="4" t="s">
        <v>27</v>
      </c>
      <c r="D12" s="5">
        <v>45798</v>
      </c>
      <c r="E12" s="4">
        <v>1800008662</v>
      </c>
      <c r="F12" s="4" t="s">
        <v>20</v>
      </c>
      <c r="G12" s="5">
        <v>45798</v>
      </c>
      <c r="H12" s="5">
        <v>45800</v>
      </c>
      <c r="I12" s="4" t="s">
        <v>29</v>
      </c>
      <c r="J12" s="16">
        <v>212100</v>
      </c>
      <c r="K12" s="4"/>
      <c r="L12" s="4">
        <v>256779413426</v>
      </c>
      <c r="M12" s="4" t="s">
        <v>19</v>
      </c>
      <c r="N12" s="4">
        <v>2.35</v>
      </c>
      <c r="O12" s="4" t="s">
        <v>22</v>
      </c>
      <c r="P12" s="4">
        <v>202.06</v>
      </c>
      <c r="Q12" s="19">
        <f>_xlfn.XLOOKUP(L12,[1]DR!$D:$D,[1]DR!$Q:$Q,,0)</f>
        <v>4.0411999999999999</v>
      </c>
      <c r="R12" s="19">
        <f t="shared" si="0"/>
        <v>198.0188</v>
      </c>
      <c r="S12" s="7" t="s">
        <v>21</v>
      </c>
    </row>
    <row r="13" spans="1:19" x14ac:dyDescent="0.25">
      <c r="A13" s="4" t="s">
        <v>17</v>
      </c>
      <c r="B13" s="4" t="s">
        <v>26</v>
      </c>
      <c r="C13" s="4" t="s">
        <v>27</v>
      </c>
      <c r="D13" s="5">
        <v>45818</v>
      </c>
      <c r="E13" s="4">
        <v>1800009623</v>
      </c>
      <c r="F13" s="4" t="s">
        <v>20</v>
      </c>
      <c r="G13" s="5">
        <v>45818</v>
      </c>
      <c r="H13" s="5">
        <v>45825</v>
      </c>
      <c r="I13" s="4" t="s">
        <v>29</v>
      </c>
      <c r="J13" s="16">
        <v>212100</v>
      </c>
      <c r="K13" s="4"/>
      <c r="L13" s="4">
        <v>256779414387</v>
      </c>
      <c r="M13" s="4" t="s">
        <v>19</v>
      </c>
      <c r="N13" s="4">
        <v>50.75</v>
      </c>
      <c r="O13" s="4" t="s">
        <v>22</v>
      </c>
      <c r="P13" s="4">
        <v>4338.66</v>
      </c>
      <c r="Q13" s="19">
        <f>_xlfn.XLOOKUP(L13,[1]DR!$D:$D,[1]DR!$Q:$Q,,0)</f>
        <v>433.86599999999999</v>
      </c>
      <c r="R13" s="19">
        <f t="shared" si="0"/>
        <v>3904.7939999999999</v>
      </c>
      <c r="S13" s="7" t="s">
        <v>21</v>
      </c>
    </row>
    <row r="14" spans="1:19" x14ac:dyDescent="0.25">
      <c r="A14" s="4" t="s">
        <v>17</v>
      </c>
      <c r="B14" s="4" t="s">
        <v>26</v>
      </c>
      <c r="C14" s="4" t="s">
        <v>27</v>
      </c>
      <c r="D14" s="5">
        <v>45826</v>
      </c>
      <c r="E14" s="4">
        <v>1800009993</v>
      </c>
      <c r="F14" s="4" t="s">
        <v>20</v>
      </c>
      <c r="G14" s="5">
        <v>45826</v>
      </c>
      <c r="H14" s="5">
        <v>45829</v>
      </c>
      <c r="I14" s="4" t="s">
        <v>29</v>
      </c>
      <c r="J14" s="16">
        <v>212100</v>
      </c>
      <c r="K14" s="4"/>
      <c r="L14" s="4">
        <v>256779414757</v>
      </c>
      <c r="M14" s="4" t="s">
        <v>19</v>
      </c>
      <c r="N14" s="4">
        <v>117.9</v>
      </c>
      <c r="O14" s="4" t="s">
        <v>22</v>
      </c>
      <c r="P14" s="4">
        <v>10079.36</v>
      </c>
      <c r="Q14" s="19">
        <f>_xlfn.XLOOKUP(L14,[1]DR!$D:$D,[1]DR!$Q:$Q,,0)</f>
        <v>201.58720000000002</v>
      </c>
      <c r="R14" s="19">
        <f t="shared" si="0"/>
        <v>9877.7728000000006</v>
      </c>
      <c r="S14" s="7" t="s">
        <v>21</v>
      </c>
    </row>
    <row r="15" spans="1:19" x14ac:dyDescent="0.25">
      <c r="A15" s="4" t="s">
        <v>17</v>
      </c>
      <c r="B15" s="4" t="s">
        <v>26</v>
      </c>
      <c r="C15" s="4" t="s">
        <v>27</v>
      </c>
      <c r="D15" s="5">
        <v>45827</v>
      </c>
      <c r="E15" s="4">
        <v>1800009978</v>
      </c>
      <c r="F15" s="4" t="s">
        <v>20</v>
      </c>
      <c r="G15" s="5">
        <v>45827</v>
      </c>
      <c r="H15" s="5">
        <v>45829</v>
      </c>
      <c r="I15" s="4" t="s">
        <v>29</v>
      </c>
      <c r="J15" s="16">
        <v>212100</v>
      </c>
      <c r="K15" s="4"/>
      <c r="L15" s="4">
        <v>256779414742</v>
      </c>
      <c r="M15" s="4" t="s">
        <v>19</v>
      </c>
      <c r="N15" s="4">
        <v>332.22</v>
      </c>
      <c r="O15" s="4" t="s">
        <v>22</v>
      </c>
      <c r="P15" s="4">
        <v>28401.75</v>
      </c>
      <c r="Q15" s="19">
        <f>_xlfn.XLOOKUP(L15,[1]DR!$D:$D,[1]DR!$Q:$Q,,0)</f>
        <v>568.03499999999997</v>
      </c>
      <c r="R15" s="19">
        <f t="shared" si="0"/>
        <v>27833.715</v>
      </c>
      <c r="S15" s="7" t="s">
        <v>21</v>
      </c>
    </row>
    <row r="16" spans="1:19" x14ac:dyDescent="0.25">
      <c r="A16" s="4" t="s">
        <v>17</v>
      </c>
      <c r="B16" s="4" t="s">
        <v>26</v>
      </c>
      <c r="C16" s="4" t="s">
        <v>27</v>
      </c>
      <c r="D16" s="5">
        <v>45842</v>
      </c>
      <c r="E16" s="4">
        <v>1800010003</v>
      </c>
      <c r="F16" s="4" t="s">
        <v>20</v>
      </c>
      <c r="G16" s="5">
        <v>45842</v>
      </c>
      <c r="H16" s="5">
        <v>45845</v>
      </c>
      <c r="I16" s="4" t="s">
        <v>29</v>
      </c>
      <c r="J16" s="16">
        <v>212100</v>
      </c>
      <c r="K16" s="4"/>
      <c r="L16" s="4">
        <v>256779414767</v>
      </c>
      <c r="M16" s="4" t="s">
        <v>19</v>
      </c>
      <c r="N16" s="4">
        <v>19.7</v>
      </c>
      <c r="O16" s="4" t="s">
        <v>22</v>
      </c>
      <c r="P16" s="4">
        <v>1694.21</v>
      </c>
      <c r="Q16" s="19">
        <f>_xlfn.XLOOKUP(L16,[1]DR!$D:$D,[1]DR!$Q:$Q,,0)</f>
        <v>33.8842</v>
      </c>
      <c r="R16" s="19">
        <f t="shared" si="0"/>
        <v>1660.3258000000001</v>
      </c>
      <c r="S16" s="7" t="s">
        <v>21</v>
      </c>
    </row>
    <row r="17" spans="1:19" x14ac:dyDescent="0.25">
      <c r="A17" s="4" t="s">
        <v>17</v>
      </c>
      <c r="B17" s="4" t="s">
        <v>26</v>
      </c>
      <c r="C17" s="4" t="s">
        <v>27</v>
      </c>
      <c r="D17" s="5">
        <v>45842</v>
      </c>
      <c r="E17" s="4">
        <v>1800010185</v>
      </c>
      <c r="F17" s="4" t="s">
        <v>20</v>
      </c>
      <c r="G17" s="5">
        <v>45842</v>
      </c>
      <c r="H17" s="5">
        <v>45847</v>
      </c>
      <c r="I17" s="4" t="s">
        <v>29</v>
      </c>
      <c r="J17" s="16">
        <v>212100</v>
      </c>
      <c r="K17" s="4"/>
      <c r="L17" s="4">
        <v>256779414945</v>
      </c>
      <c r="M17" s="4" t="s">
        <v>19</v>
      </c>
      <c r="N17" s="4">
        <v>50.75</v>
      </c>
      <c r="O17" s="4" t="s">
        <v>22</v>
      </c>
      <c r="P17" s="4">
        <v>4364.53</v>
      </c>
      <c r="Q17" s="19">
        <f>_xlfn.XLOOKUP(L17,[1]DR!$D:$D,[1]DR!$Q:$Q,,0)</f>
        <v>436.45299999999997</v>
      </c>
      <c r="R17" s="19">
        <f t="shared" si="0"/>
        <v>3928.0769999999998</v>
      </c>
      <c r="S17" s="7" t="s">
        <v>21</v>
      </c>
    </row>
    <row r="18" spans="1:19" x14ac:dyDescent="0.25">
      <c r="A18" s="4" t="s">
        <v>17</v>
      </c>
      <c r="B18" s="4" t="s">
        <v>26</v>
      </c>
      <c r="C18" s="4" t="s">
        <v>27</v>
      </c>
      <c r="D18" s="5">
        <v>45845</v>
      </c>
      <c r="E18" s="4">
        <v>1800010207</v>
      </c>
      <c r="F18" s="4" t="s">
        <v>20</v>
      </c>
      <c r="G18" s="5">
        <v>45845</v>
      </c>
      <c r="H18" s="5">
        <v>45847</v>
      </c>
      <c r="I18" s="4" t="s">
        <v>29</v>
      </c>
      <c r="J18" s="16">
        <v>212100</v>
      </c>
      <c r="K18" s="4"/>
      <c r="L18" s="4">
        <v>256779414967</v>
      </c>
      <c r="M18" s="4" t="s">
        <v>19</v>
      </c>
      <c r="N18" s="4">
        <v>216.2</v>
      </c>
      <c r="O18" s="4" t="s">
        <v>22</v>
      </c>
      <c r="P18" s="4">
        <v>18593.34</v>
      </c>
      <c r="Q18" s="19">
        <f>_xlfn.XLOOKUP(L18,[1]DR!$D:$D,[1]DR!$Q:$Q,,0)</f>
        <v>371.86680000000001</v>
      </c>
      <c r="R18" s="19">
        <f t="shared" si="0"/>
        <v>18221.4732</v>
      </c>
      <c r="S18" s="7" t="s">
        <v>21</v>
      </c>
    </row>
    <row r="19" spans="1:19" x14ac:dyDescent="0.25">
      <c r="A19" s="4" t="s">
        <v>17</v>
      </c>
      <c r="B19" s="4" t="s">
        <v>26</v>
      </c>
      <c r="C19" s="4" t="s">
        <v>27</v>
      </c>
      <c r="D19" s="5">
        <v>45856</v>
      </c>
      <c r="E19" s="4">
        <v>1800010671</v>
      </c>
      <c r="F19" s="4" t="s">
        <v>20</v>
      </c>
      <c r="G19" s="5">
        <v>45856</v>
      </c>
      <c r="H19" s="5">
        <v>45859</v>
      </c>
      <c r="I19" s="4" t="s">
        <v>29</v>
      </c>
      <c r="J19" s="16">
        <v>212100</v>
      </c>
      <c r="K19" s="4"/>
      <c r="L19" s="4">
        <v>256779415455</v>
      </c>
      <c r="M19" s="4" t="s">
        <v>19</v>
      </c>
      <c r="N19" s="4">
        <v>490.4</v>
      </c>
      <c r="O19" s="4" t="s">
        <v>22</v>
      </c>
      <c r="P19" s="4">
        <v>42174.73</v>
      </c>
      <c r="Q19" s="19">
        <f>_xlfn.XLOOKUP(L19,[1]DR!$D:$D,[1]DR!$Q:$Q,,0)</f>
        <v>843.4946000000001</v>
      </c>
      <c r="R19" s="19">
        <f t="shared" si="0"/>
        <v>41331.235400000005</v>
      </c>
      <c r="S19" s="7" t="s">
        <v>21</v>
      </c>
    </row>
    <row r="20" spans="1:19" x14ac:dyDescent="0.25">
      <c r="A20" s="4" t="s">
        <v>17</v>
      </c>
      <c r="B20" s="4" t="s">
        <v>26</v>
      </c>
      <c r="C20" s="4" t="s">
        <v>27</v>
      </c>
      <c r="D20" s="5">
        <v>45870</v>
      </c>
      <c r="E20" s="4">
        <v>1800011346</v>
      </c>
      <c r="F20" s="4" t="s">
        <v>20</v>
      </c>
      <c r="G20" s="5">
        <v>45870</v>
      </c>
      <c r="H20" s="5">
        <v>45873</v>
      </c>
      <c r="I20" s="4" t="s">
        <v>29</v>
      </c>
      <c r="J20" s="16">
        <v>212100</v>
      </c>
      <c r="K20" s="4"/>
      <c r="L20" s="4">
        <v>256779416055</v>
      </c>
      <c r="M20" s="4" t="s">
        <v>19</v>
      </c>
      <c r="N20" s="4">
        <v>50.75</v>
      </c>
      <c r="O20" s="4" t="s">
        <v>22</v>
      </c>
      <c r="P20" s="4">
        <v>4366.03</v>
      </c>
      <c r="Q20" s="19">
        <f>_xlfn.XLOOKUP(L20,[1]DR!$D:$D,[1]DR!$Q:$Q,,0)</f>
        <v>436.60300000000001</v>
      </c>
      <c r="R20" s="19">
        <f t="shared" si="0"/>
        <v>3929.4269999999997</v>
      </c>
      <c r="S20" s="7" t="s">
        <v>21</v>
      </c>
    </row>
    <row r="21" spans="1:19" x14ac:dyDescent="0.25">
      <c r="A21" s="4" t="s">
        <v>17</v>
      </c>
      <c r="B21" s="4" t="s">
        <v>26</v>
      </c>
      <c r="C21" s="4" t="s">
        <v>27</v>
      </c>
      <c r="D21" s="5">
        <v>45904</v>
      </c>
      <c r="E21" s="4">
        <v>1800012740</v>
      </c>
      <c r="F21" s="4" t="s">
        <v>20</v>
      </c>
      <c r="G21" s="5">
        <v>45904</v>
      </c>
      <c r="H21" s="5">
        <v>45909</v>
      </c>
      <c r="I21" s="4" t="s">
        <v>29</v>
      </c>
      <c r="J21" s="16">
        <v>212100</v>
      </c>
      <c r="K21" s="4"/>
      <c r="L21" s="4">
        <v>256779417374</v>
      </c>
      <c r="M21" s="4" t="s">
        <v>19</v>
      </c>
      <c r="N21" s="4">
        <v>50.75</v>
      </c>
      <c r="O21" s="4" t="s">
        <v>22</v>
      </c>
      <c r="P21" s="4">
        <v>4441.3500000000004</v>
      </c>
      <c r="Q21" s="19">
        <f>_xlfn.XLOOKUP(L21,[1]DR!$D:$D,[1]DR!$Q:$Q,,0)</f>
        <v>444.13500000000005</v>
      </c>
      <c r="R21" s="19">
        <f t="shared" si="0"/>
        <v>3997.2150000000001</v>
      </c>
      <c r="S21" s="7" t="s">
        <v>21</v>
      </c>
    </row>
    <row r="22" spans="1:19" x14ac:dyDescent="0.25">
      <c r="A22" s="4" t="s">
        <v>17</v>
      </c>
      <c r="B22" s="4" t="s">
        <v>26</v>
      </c>
      <c r="C22" s="4" t="s">
        <v>27</v>
      </c>
      <c r="D22" s="5">
        <v>45917</v>
      </c>
      <c r="E22" s="4">
        <v>1800012787</v>
      </c>
      <c r="F22" s="4" t="s">
        <v>20</v>
      </c>
      <c r="G22" s="5">
        <v>45917</v>
      </c>
      <c r="H22" s="5">
        <v>45922</v>
      </c>
      <c r="I22" s="4" t="s">
        <v>29</v>
      </c>
      <c r="J22" s="16">
        <v>212100</v>
      </c>
      <c r="K22" s="4"/>
      <c r="L22" s="4">
        <v>256779417441</v>
      </c>
      <c r="M22" s="4" t="s">
        <v>19</v>
      </c>
      <c r="N22" s="4">
        <v>1902.19</v>
      </c>
      <c r="O22" s="4" t="s">
        <v>22</v>
      </c>
      <c r="P22" s="4">
        <v>166468.88</v>
      </c>
      <c r="Q22" s="19">
        <f>_xlfn.XLOOKUP(L22,[1]DR!$D:$D,[1]DR!$Q:$Q,,0)</f>
        <v>3329.3776000000003</v>
      </c>
      <c r="R22" s="19">
        <f t="shared" si="0"/>
        <v>163139.5024</v>
      </c>
      <c r="S22" s="7" t="s">
        <v>21</v>
      </c>
    </row>
    <row r="23" spans="1:19" x14ac:dyDescent="0.25">
      <c r="A23" s="3" t="s">
        <v>17</v>
      </c>
      <c r="B23" s="3" t="s">
        <v>26</v>
      </c>
      <c r="C23" s="3" t="s">
        <v>27</v>
      </c>
      <c r="D23" s="13">
        <v>45917</v>
      </c>
      <c r="E23" s="3">
        <v>1800012796</v>
      </c>
      <c r="F23" s="3" t="s">
        <v>20</v>
      </c>
      <c r="G23" s="13">
        <v>45917</v>
      </c>
      <c r="H23" s="13">
        <v>45922</v>
      </c>
      <c r="I23" s="4" t="s">
        <v>29</v>
      </c>
      <c r="J23" s="16">
        <v>212100</v>
      </c>
      <c r="K23" s="4"/>
      <c r="L23" s="4">
        <v>256779417450</v>
      </c>
      <c r="M23" s="4" t="s">
        <v>19</v>
      </c>
      <c r="N23" s="6">
        <v>65.613488371999665</v>
      </c>
      <c r="O23" s="4" t="s">
        <v>22</v>
      </c>
      <c r="P23" s="6">
        <v>5742.1173382745437</v>
      </c>
      <c r="Q23" s="19">
        <f>_xlfn.XLOOKUP(L23,[1]DR!$D:$D,[1]DR!$Q:$Q,,0)</f>
        <v>142.77080000000001</v>
      </c>
      <c r="R23" s="19">
        <f t="shared" si="0"/>
        <v>5599.3465382745435</v>
      </c>
      <c r="S23" s="7" t="s">
        <v>21</v>
      </c>
    </row>
    <row r="24" spans="1:19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0" t="s">
        <v>15</v>
      </c>
      <c r="M24" s="9" t="s">
        <v>19</v>
      </c>
      <c r="N24" s="11">
        <f>SUM(N2:N23)</f>
        <v>0</v>
      </c>
      <c r="O24" s="11"/>
      <c r="P24" s="11">
        <f>SUM(P2:P23)</f>
        <v>2790.6073382744762</v>
      </c>
      <c r="Q24" s="17">
        <f>SUM(Q3:Q23)</f>
        <v>12534.034999999998</v>
      </c>
      <c r="R24" s="17">
        <f>SUM(R2:R23)</f>
        <v>-9743.4276617254709</v>
      </c>
      <c r="S24" s="9" t="s">
        <v>25</v>
      </c>
    </row>
    <row r="25" spans="1:19" x14ac:dyDescent="0.25">
      <c r="N25" s="12"/>
      <c r="P25" s="12"/>
    </row>
    <row r="26" spans="1:19" x14ac:dyDescent="0.25">
      <c r="N26" s="12"/>
      <c r="P26" s="12"/>
    </row>
    <row r="27" spans="1:19" ht="50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2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2" t="s">
        <v>12</v>
      </c>
      <c r="N27" s="2" t="s">
        <v>13</v>
      </c>
      <c r="O27" s="2" t="s">
        <v>24</v>
      </c>
      <c r="P27" s="2" t="s">
        <v>23</v>
      </c>
      <c r="Q27" s="18" t="s">
        <v>14</v>
      </c>
      <c r="R27" s="18" t="s">
        <v>15</v>
      </c>
      <c r="S27" s="2" t="s">
        <v>16</v>
      </c>
    </row>
    <row r="28" spans="1:19" x14ac:dyDescent="0.25">
      <c r="A28" s="4" t="s">
        <v>17</v>
      </c>
      <c r="B28" s="4" t="s">
        <v>26</v>
      </c>
      <c r="C28" s="4" t="s">
        <v>27</v>
      </c>
      <c r="D28" s="5">
        <v>45959</v>
      </c>
      <c r="E28" s="4">
        <v>1400001561</v>
      </c>
      <c r="F28" s="4" t="s">
        <v>18</v>
      </c>
      <c r="G28" s="5">
        <v>45959</v>
      </c>
      <c r="H28" s="5">
        <v>45959</v>
      </c>
      <c r="I28" s="4" t="s">
        <v>28</v>
      </c>
      <c r="J28" s="16">
        <v>212100</v>
      </c>
      <c r="K28" s="4"/>
      <c r="L28" s="4"/>
      <c r="M28" s="4" t="s">
        <v>22</v>
      </c>
      <c r="N28" s="14">
        <v>-5813.9534883719998</v>
      </c>
      <c r="O28" s="4" t="s">
        <v>22</v>
      </c>
      <c r="P28" s="21">
        <v>-500000</v>
      </c>
      <c r="Q28" s="19"/>
      <c r="R28" s="19">
        <f>P28</f>
        <v>-500000</v>
      </c>
      <c r="S28" s="7" t="s">
        <v>30</v>
      </c>
    </row>
    <row r="29" spans="1:19" x14ac:dyDescent="0.25">
      <c r="A29" s="4" t="s">
        <v>17</v>
      </c>
      <c r="B29" s="4" t="s">
        <v>26</v>
      </c>
      <c r="C29" s="4" t="s">
        <v>27</v>
      </c>
      <c r="D29" s="5">
        <v>45917</v>
      </c>
      <c r="E29" s="4">
        <v>1800012796</v>
      </c>
      <c r="F29" s="4" t="s">
        <v>20</v>
      </c>
      <c r="G29" s="5">
        <v>45917</v>
      </c>
      <c r="H29" s="5">
        <v>45922</v>
      </c>
      <c r="I29" s="4" t="s">
        <v>29</v>
      </c>
      <c r="J29" s="16">
        <v>212100</v>
      </c>
      <c r="K29" s="4"/>
      <c r="L29" s="4">
        <v>256779417450</v>
      </c>
      <c r="M29" s="4" t="s">
        <v>19</v>
      </c>
      <c r="N29" s="21">
        <v>15.956511628000328</v>
      </c>
      <c r="O29" s="4" t="s">
        <v>22</v>
      </c>
      <c r="P29" s="21">
        <v>1396.4226617254562</v>
      </c>
      <c r="Q29" s="19"/>
      <c r="R29" s="19">
        <f t="shared" ref="R29" si="1">P29-Q29</f>
        <v>1396.4226617254562</v>
      </c>
      <c r="S29" s="7" t="s">
        <v>21</v>
      </c>
    </row>
    <row r="30" spans="1:19" x14ac:dyDescent="0.25">
      <c r="A30" s="15" t="s">
        <v>17</v>
      </c>
      <c r="B30" s="15" t="s">
        <v>26</v>
      </c>
      <c r="C30" s="15" t="s">
        <v>27</v>
      </c>
      <c r="D30" s="15">
        <v>45918</v>
      </c>
      <c r="E30" s="15">
        <v>1800012944</v>
      </c>
      <c r="F30" s="15" t="s">
        <v>20</v>
      </c>
      <c r="G30" s="15">
        <v>45918</v>
      </c>
      <c r="H30" s="15">
        <v>45922</v>
      </c>
      <c r="I30" s="15" t="s">
        <v>29</v>
      </c>
      <c r="J30" s="16">
        <v>212100</v>
      </c>
      <c r="K30" s="4"/>
      <c r="L30" s="15">
        <v>256779417583</v>
      </c>
      <c r="M30" s="15" t="s">
        <v>19</v>
      </c>
      <c r="N30" s="14">
        <v>279.45</v>
      </c>
      <c r="O30" s="15" t="s">
        <v>22</v>
      </c>
      <c r="P30" s="14">
        <v>24455.88</v>
      </c>
      <c r="Q30" s="8">
        <f>_xlfn.XLOOKUP(L30,[1]DR!$D:$D,[1]DR!$Q:$Q,,0)</f>
        <v>489.11760000000004</v>
      </c>
      <c r="R30" s="19">
        <f>P30-Q30</f>
        <v>23966.7624</v>
      </c>
      <c r="S30" s="7" t="s">
        <v>21</v>
      </c>
    </row>
    <row r="31" spans="1:19" x14ac:dyDescent="0.25">
      <c r="A31" s="15" t="s">
        <v>17</v>
      </c>
      <c r="B31" s="15" t="s">
        <v>26</v>
      </c>
      <c r="C31" s="15" t="s">
        <v>27</v>
      </c>
      <c r="D31" s="15">
        <v>45918</v>
      </c>
      <c r="E31" s="15">
        <v>1800012862</v>
      </c>
      <c r="F31" s="15" t="s">
        <v>20</v>
      </c>
      <c r="G31" s="15">
        <v>45918</v>
      </c>
      <c r="H31" s="15">
        <v>45922</v>
      </c>
      <c r="I31" s="15" t="s">
        <v>29</v>
      </c>
      <c r="J31" s="16">
        <v>212100</v>
      </c>
      <c r="K31" s="4"/>
      <c r="L31" s="15">
        <v>256779417598</v>
      </c>
      <c r="M31" s="15" t="s">
        <v>19</v>
      </c>
      <c r="N31" s="14">
        <v>150.4</v>
      </c>
      <c r="O31" s="15" t="s">
        <v>22</v>
      </c>
      <c r="P31" s="14">
        <v>13162.16</v>
      </c>
      <c r="Q31" s="8">
        <f>_xlfn.XLOOKUP(L31,[1]DR!$D:$D,[1]DR!$Q:$Q,,0)</f>
        <v>263.2432</v>
      </c>
      <c r="R31" s="19">
        <f t="shared" ref="R31:R47" si="2">P31-Q31</f>
        <v>12898.916799999999</v>
      </c>
      <c r="S31" s="7" t="s">
        <v>21</v>
      </c>
    </row>
    <row r="32" spans="1:19" x14ac:dyDescent="0.25">
      <c r="A32" s="15" t="s">
        <v>17</v>
      </c>
      <c r="B32" s="15" t="s">
        <v>26</v>
      </c>
      <c r="C32" s="15" t="s">
        <v>27</v>
      </c>
      <c r="D32" s="15">
        <v>45935</v>
      </c>
      <c r="E32" s="15">
        <v>1800013461</v>
      </c>
      <c r="F32" s="15" t="s">
        <v>20</v>
      </c>
      <c r="G32" s="15">
        <v>45935</v>
      </c>
      <c r="H32" s="15">
        <v>45937</v>
      </c>
      <c r="I32" s="15" t="s">
        <v>29</v>
      </c>
      <c r="J32" s="16">
        <v>212100</v>
      </c>
      <c r="K32" s="4"/>
      <c r="L32" s="15">
        <v>256779418037</v>
      </c>
      <c r="M32" s="15" t="s">
        <v>19</v>
      </c>
      <c r="N32" s="14">
        <v>50.75</v>
      </c>
      <c r="O32" s="15" t="s">
        <v>22</v>
      </c>
      <c r="P32" s="14">
        <v>4475.68</v>
      </c>
      <c r="Q32" s="8">
        <f>_xlfn.XLOOKUP(L32,[1]DR!$D:$D,[1]DR!$Q:$Q,,0)</f>
        <v>447.56800000000004</v>
      </c>
      <c r="R32" s="19">
        <f t="shared" si="2"/>
        <v>4028.1120000000001</v>
      </c>
      <c r="S32" s="7" t="s">
        <v>21</v>
      </c>
    </row>
    <row r="33" spans="1:19" x14ac:dyDescent="0.25">
      <c r="A33" s="15" t="s">
        <v>17</v>
      </c>
      <c r="B33" s="15" t="s">
        <v>26</v>
      </c>
      <c r="C33" s="15" t="s">
        <v>27</v>
      </c>
      <c r="D33" s="15">
        <v>45937</v>
      </c>
      <c r="E33" s="15">
        <v>1800013746</v>
      </c>
      <c r="F33" s="15" t="s">
        <v>20</v>
      </c>
      <c r="G33" s="15">
        <v>45937</v>
      </c>
      <c r="H33" s="15">
        <v>45939</v>
      </c>
      <c r="I33" s="15" t="s">
        <v>29</v>
      </c>
      <c r="J33" s="16">
        <v>212100</v>
      </c>
      <c r="K33" s="4"/>
      <c r="L33" s="15">
        <v>256779418167</v>
      </c>
      <c r="M33" s="15" t="s">
        <v>19</v>
      </c>
      <c r="N33" s="14">
        <v>70</v>
      </c>
      <c r="O33" s="15" t="s">
        <v>22</v>
      </c>
      <c r="P33" s="14">
        <v>6173.35</v>
      </c>
      <c r="Q33" s="8">
        <f>_xlfn.XLOOKUP(L33,[1]DR!$D:$D,[1]DR!$Q:$Q,,0)</f>
        <v>123.46700000000001</v>
      </c>
      <c r="R33" s="19">
        <f t="shared" si="2"/>
        <v>6049.8830000000007</v>
      </c>
      <c r="S33" s="7" t="s">
        <v>21</v>
      </c>
    </row>
    <row r="34" spans="1:19" x14ac:dyDescent="0.25">
      <c r="A34" s="15" t="s">
        <v>17</v>
      </c>
      <c r="B34" s="15" t="s">
        <v>26</v>
      </c>
      <c r="C34" s="15" t="s">
        <v>27</v>
      </c>
      <c r="D34" s="15">
        <v>45937</v>
      </c>
      <c r="E34" s="15">
        <v>1800013757</v>
      </c>
      <c r="F34" s="15" t="s">
        <v>20</v>
      </c>
      <c r="G34" s="15">
        <v>45937</v>
      </c>
      <c r="H34" s="15">
        <v>45939</v>
      </c>
      <c r="I34" s="15" t="s">
        <v>29</v>
      </c>
      <c r="J34" s="16">
        <v>212100</v>
      </c>
      <c r="K34" s="4"/>
      <c r="L34" s="15">
        <v>256779418178</v>
      </c>
      <c r="M34" s="15" t="s">
        <v>19</v>
      </c>
      <c r="N34" s="14">
        <v>472.74</v>
      </c>
      <c r="O34" s="15" t="s">
        <v>22</v>
      </c>
      <c r="P34" s="14">
        <v>41691.300000000003</v>
      </c>
      <c r="Q34" s="8">
        <f>_xlfn.XLOOKUP(L34,[1]DR!$D:$D,[1]DR!$Q:$Q,,0)</f>
        <v>833.82600000000002</v>
      </c>
      <c r="R34" s="19">
        <f t="shared" si="2"/>
        <v>40857.474000000002</v>
      </c>
      <c r="S34" s="7" t="s">
        <v>21</v>
      </c>
    </row>
    <row r="35" spans="1:19" x14ac:dyDescent="0.25">
      <c r="A35" s="15" t="s">
        <v>17</v>
      </c>
      <c r="B35" s="15" t="s">
        <v>26</v>
      </c>
      <c r="C35" s="15" t="s">
        <v>27</v>
      </c>
      <c r="D35" s="15">
        <v>45937</v>
      </c>
      <c r="E35" s="15">
        <v>1800013765</v>
      </c>
      <c r="F35" s="15" t="s">
        <v>20</v>
      </c>
      <c r="G35" s="15">
        <v>45937</v>
      </c>
      <c r="H35" s="15">
        <v>45939</v>
      </c>
      <c r="I35" s="15" t="s">
        <v>29</v>
      </c>
      <c r="J35" s="16">
        <v>212100</v>
      </c>
      <c r="K35" s="4"/>
      <c r="L35" s="15">
        <v>256779418186</v>
      </c>
      <c r="M35" s="15" t="s">
        <v>19</v>
      </c>
      <c r="N35" s="14">
        <v>20.27</v>
      </c>
      <c r="O35" s="15" t="s">
        <v>22</v>
      </c>
      <c r="P35" s="14">
        <v>1787.63</v>
      </c>
      <c r="Q35" s="8">
        <f>_xlfn.XLOOKUP(L35,[1]DR!$D:$D,[1]DR!$Q:$Q,,0)</f>
        <v>35.752600000000001</v>
      </c>
      <c r="R35" s="19">
        <f t="shared" si="2"/>
        <v>1751.8774000000001</v>
      </c>
      <c r="S35" s="7" t="s">
        <v>21</v>
      </c>
    </row>
    <row r="36" spans="1:19" x14ac:dyDescent="0.25">
      <c r="A36" s="15" t="s">
        <v>17</v>
      </c>
      <c r="B36" s="15" t="s">
        <v>26</v>
      </c>
      <c r="C36" s="15" t="s">
        <v>27</v>
      </c>
      <c r="D36" s="15">
        <v>45937</v>
      </c>
      <c r="E36" s="15">
        <v>1800013772</v>
      </c>
      <c r="F36" s="15" t="s">
        <v>20</v>
      </c>
      <c r="G36" s="15">
        <v>45937</v>
      </c>
      <c r="H36" s="15">
        <v>45940</v>
      </c>
      <c r="I36" s="15" t="s">
        <v>29</v>
      </c>
      <c r="J36" s="16">
        <v>212100</v>
      </c>
      <c r="K36" s="4"/>
      <c r="L36" s="15">
        <v>256779418340</v>
      </c>
      <c r="M36" s="15" t="s">
        <v>19</v>
      </c>
      <c r="N36" s="14">
        <v>76.55</v>
      </c>
      <c r="O36" s="15" t="s">
        <v>22</v>
      </c>
      <c r="P36" s="14">
        <v>6751</v>
      </c>
      <c r="Q36" s="8">
        <f>_xlfn.XLOOKUP(L36,[1]DR!$D:$D,[1]DR!$Q:$Q,,0)</f>
        <v>135.02000000000001</v>
      </c>
      <c r="R36" s="19">
        <f t="shared" si="2"/>
        <v>6615.98</v>
      </c>
      <c r="S36" s="7" t="s">
        <v>21</v>
      </c>
    </row>
    <row r="37" spans="1:19" x14ac:dyDescent="0.25">
      <c r="A37" s="15" t="s">
        <v>17</v>
      </c>
      <c r="B37" s="15" t="s">
        <v>26</v>
      </c>
      <c r="C37" s="15" t="s">
        <v>27</v>
      </c>
      <c r="D37" s="15">
        <v>45937</v>
      </c>
      <c r="E37" s="15">
        <v>1800013531</v>
      </c>
      <c r="F37" s="15" t="s">
        <v>20</v>
      </c>
      <c r="G37" s="15">
        <v>45937</v>
      </c>
      <c r="H37" s="15">
        <v>45940</v>
      </c>
      <c r="I37" s="15" t="s">
        <v>29</v>
      </c>
      <c r="J37" s="16">
        <v>212100</v>
      </c>
      <c r="K37" s="4"/>
      <c r="L37" s="15">
        <v>256779418355</v>
      </c>
      <c r="M37" s="15" t="s">
        <v>19</v>
      </c>
      <c r="N37" s="14">
        <v>37.6</v>
      </c>
      <c r="O37" s="15" t="s">
        <v>22</v>
      </c>
      <c r="P37" s="14">
        <v>3315.97</v>
      </c>
      <c r="Q37" s="8">
        <f>_xlfn.XLOOKUP(L37,[1]DR!$D:$D,[1]DR!$Q:$Q,,0)</f>
        <v>66.319400000000002</v>
      </c>
      <c r="R37" s="19">
        <f t="shared" si="2"/>
        <v>3249.6505999999999</v>
      </c>
      <c r="S37" s="7" t="s">
        <v>21</v>
      </c>
    </row>
    <row r="38" spans="1:19" x14ac:dyDescent="0.25">
      <c r="A38" s="15" t="s">
        <v>17</v>
      </c>
      <c r="B38" s="15" t="s">
        <v>26</v>
      </c>
      <c r="C38" s="15" t="s">
        <v>27</v>
      </c>
      <c r="D38" s="15">
        <v>45951</v>
      </c>
      <c r="E38" s="15">
        <v>1800013949</v>
      </c>
      <c r="F38" s="15" t="s">
        <v>20</v>
      </c>
      <c r="G38" s="15">
        <v>45951</v>
      </c>
      <c r="H38" s="15">
        <v>45951</v>
      </c>
      <c r="I38" s="15" t="s">
        <v>29</v>
      </c>
      <c r="J38" s="16">
        <v>212100</v>
      </c>
      <c r="K38" s="4"/>
      <c r="L38" s="15">
        <v>256779418481</v>
      </c>
      <c r="M38" s="15" t="s">
        <v>19</v>
      </c>
      <c r="N38" s="14">
        <v>40.770000000000003</v>
      </c>
      <c r="O38" s="15" t="s">
        <v>22</v>
      </c>
      <c r="P38" s="14">
        <v>3595.54</v>
      </c>
      <c r="Q38" s="8">
        <f>_xlfn.XLOOKUP(L38,[1]DR!$D:$D,[1]DR!$Q:$Q,,0)</f>
        <v>71.910799999999995</v>
      </c>
      <c r="R38" s="19">
        <f t="shared" si="2"/>
        <v>3523.6291999999999</v>
      </c>
      <c r="S38" s="7" t="s">
        <v>21</v>
      </c>
    </row>
    <row r="39" spans="1:19" x14ac:dyDescent="0.25">
      <c r="A39" s="15" t="s">
        <v>17</v>
      </c>
      <c r="B39" s="15" t="s">
        <v>26</v>
      </c>
      <c r="C39" s="15" t="s">
        <v>27</v>
      </c>
      <c r="D39" s="15">
        <v>45966</v>
      </c>
      <c r="E39" s="15">
        <v>1800014264</v>
      </c>
      <c r="F39" s="15" t="s">
        <v>20</v>
      </c>
      <c r="G39" s="15">
        <v>45966</v>
      </c>
      <c r="H39" s="15">
        <v>45966</v>
      </c>
      <c r="I39" s="15" t="s">
        <v>29</v>
      </c>
      <c r="J39" s="16">
        <v>212100</v>
      </c>
      <c r="K39" s="4"/>
      <c r="L39" s="15">
        <v>256779418803</v>
      </c>
      <c r="M39" s="15" t="s">
        <v>19</v>
      </c>
      <c r="N39" s="14">
        <v>50.75</v>
      </c>
      <c r="O39" s="15" t="s">
        <v>22</v>
      </c>
      <c r="P39" s="14">
        <v>4466.17</v>
      </c>
      <c r="Q39" s="8">
        <f>_xlfn.XLOOKUP(L39,[1]DR!$D:$D,[1]DR!$Q:$Q,,0)</f>
        <v>446.61700000000002</v>
      </c>
      <c r="R39" s="19">
        <f t="shared" si="2"/>
        <v>4019.5529999999999</v>
      </c>
      <c r="S39" s="7" t="s">
        <v>21</v>
      </c>
    </row>
    <row r="40" spans="1:19" x14ac:dyDescent="0.25">
      <c r="A40" s="15" t="s">
        <v>17</v>
      </c>
      <c r="B40" s="15" t="s">
        <v>26</v>
      </c>
      <c r="C40" s="15" t="s">
        <v>27</v>
      </c>
      <c r="D40" s="15">
        <v>45966</v>
      </c>
      <c r="E40" s="15">
        <v>1800014281</v>
      </c>
      <c r="F40" s="15" t="s">
        <v>20</v>
      </c>
      <c r="G40" s="15">
        <v>45966</v>
      </c>
      <c r="H40" s="15">
        <v>45967</v>
      </c>
      <c r="I40" s="15" t="s">
        <v>29</v>
      </c>
      <c r="J40" s="16">
        <v>212100</v>
      </c>
      <c r="K40" s="4"/>
      <c r="L40" s="15">
        <v>256779418818</v>
      </c>
      <c r="M40" s="15" t="s">
        <v>19</v>
      </c>
      <c r="N40" s="14">
        <v>1468.91</v>
      </c>
      <c r="O40" s="15" t="s">
        <v>22</v>
      </c>
      <c r="P40" s="14">
        <v>129269.06</v>
      </c>
      <c r="Q40" s="8">
        <f>_xlfn.XLOOKUP(L40,[1]DR!$D:$D,[1]DR!$Q:$Q,,0)</f>
        <v>2585.3811999999998</v>
      </c>
      <c r="R40" s="19">
        <f t="shared" si="2"/>
        <v>126683.67879999999</v>
      </c>
      <c r="S40" s="7" t="s">
        <v>21</v>
      </c>
    </row>
    <row r="41" spans="1:19" x14ac:dyDescent="0.25">
      <c r="A41" s="15" t="s">
        <v>17</v>
      </c>
      <c r="B41" s="15" t="s">
        <v>26</v>
      </c>
      <c r="C41" s="15" t="s">
        <v>27</v>
      </c>
      <c r="D41" s="15">
        <v>45966</v>
      </c>
      <c r="E41" s="15">
        <v>1800014587</v>
      </c>
      <c r="F41" s="15" t="s">
        <v>20</v>
      </c>
      <c r="G41" s="15">
        <v>45966</v>
      </c>
      <c r="H41" s="15">
        <v>45967</v>
      </c>
      <c r="I41" s="15" t="s">
        <v>29</v>
      </c>
      <c r="J41" s="16">
        <v>212100</v>
      </c>
      <c r="K41" s="4"/>
      <c r="L41" s="15">
        <v>256779418894</v>
      </c>
      <c r="M41" s="15" t="s">
        <v>19</v>
      </c>
      <c r="N41" s="14">
        <v>131.6</v>
      </c>
      <c r="O41" s="15" t="s">
        <v>22</v>
      </c>
      <c r="P41" s="14">
        <v>11581.25</v>
      </c>
      <c r="Q41" s="8">
        <f>_xlfn.XLOOKUP(L41,[1]DR!$D:$D,[1]DR!$Q:$Q,,0)</f>
        <v>231.625</v>
      </c>
      <c r="R41" s="19">
        <f t="shared" si="2"/>
        <v>11349.625</v>
      </c>
      <c r="S41" s="7" t="s">
        <v>21</v>
      </c>
    </row>
    <row r="42" spans="1:19" x14ac:dyDescent="0.25">
      <c r="A42" s="15" t="s">
        <v>17</v>
      </c>
      <c r="B42" s="15" t="s">
        <v>26</v>
      </c>
      <c r="C42" s="15" t="s">
        <v>27</v>
      </c>
      <c r="D42" s="15">
        <v>45966</v>
      </c>
      <c r="E42" s="15">
        <v>1800014642</v>
      </c>
      <c r="F42" s="15" t="s">
        <v>20</v>
      </c>
      <c r="G42" s="15">
        <v>45966</v>
      </c>
      <c r="H42" s="15">
        <v>45967</v>
      </c>
      <c r="I42" s="15" t="s">
        <v>29</v>
      </c>
      <c r="J42" s="16">
        <v>212100</v>
      </c>
      <c r="K42" s="4"/>
      <c r="L42" s="15">
        <v>256779418907</v>
      </c>
      <c r="M42" s="15" t="s">
        <v>19</v>
      </c>
      <c r="N42" s="14">
        <v>112.8</v>
      </c>
      <c r="O42" s="15" t="s">
        <v>22</v>
      </c>
      <c r="P42" s="14">
        <v>9926.7800000000007</v>
      </c>
      <c r="Q42" s="8">
        <f>_xlfn.XLOOKUP(L42,[1]DR!$D:$D,[1]DR!$Q:$Q,,0)</f>
        <v>198.53560000000002</v>
      </c>
      <c r="R42" s="19">
        <f t="shared" si="2"/>
        <v>9728.2444000000014</v>
      </c>
      <c r="S42" s="7" t="s">
        <v>21</v>
      </c>
    </row>
    <row r="43" spans="1:19" x14ac:dyDescent="0.25">
      <c r="A43" s="15" t="s">
        <v>17</v>
      </c>
      <c r="B43" s="15" t="s">
        <v>26</v>
      </c>
      <c r="C43" s="15" t="s">
        <v>27</v>
      </c>
      <c r="D43" s="15">
        <v>46024</v>
      </c>
      <c r="E43" s="15">
        <v>1800015709</v>
      </c>
      <c r="F43" s="15" t="s">
        <v>20</v>
      </c>
      <c r="G43" s="15">
        <v>46024</v>
      </c>
      <c r="H43" s="15">
        <v>46024</v>
      </c>
      <c r="I43" s="15" t="s">
        <v>29</v>
      </c>
      <c r="J43" s="16">
        <v>212100</v>
      </c>
      <c r="K43" s="4"/>
      <c r="L43" s="15">
        <v>256779440042</v>
      </c>
      <c r="M43" s="15" t="s">
        <v>19</v>
      </c>
      <c r="N43" s="14">
        <v>50.75</v>
      </c>
      <c r="O43" s="15" t="s">
        <v>22</v>
      </c>
      <c r="P43" s="14">
        <v>4605.21</v>
      </c>
      <c r="Q43" s="8">
        <f>_xlfn.XLOOKUP(L43,[1]DR!$D:$D,[1]DR!$Q:$Q,,0)</f>
        <v>460.52100000000002</v>
      </c>
      <c r="R43" s="19">
        <f t="shared" si="2"/>
        <v>4144.6890000000003</v>
      </c>
      <c r="S43" s="7" t="s">
        <v>21</v>
      </c>
    </row>
    <row r="44" spans="1:19" x14ac:dyDescent="0.25">
      <c r="A44" s="15" t="s">
        <v>17</v>
      </c>
      <c r="B44" s="15" t="s">
        <v>26</v>
      </c>
      <c r="C44" s="15" t="s">
        <v>27</v>
      </c>
      <c r="D44" s="15">
        <v>46028</v>
      </c>
      <c r="E44" s="15">
        <v>1800016636</v>
      </c>
      <c r="F44" s="15" t="s">
        <v>20</v>
      </c>
      <c r="G44" s="15">
        <v>46028</v>
      </c>
      <c r="H44" s="15">
        <v>46035</v>
      </c>
      <c r="I44" s="15" t="s">
        <v>31</v>
      </c>
      <c r="J44" s="16">
        <v>212100</v>
      </c>
      <c r="K44" s="4"/>
      <c r="L44" s="15">
        <v>256779440256</v>
      </c>
      <c r="M44" s="15" t="s">
        <v>19</v>
      </c>
      <c r="N44" s="14">
        <v>112.8</v>
      </c>
      <c r="O44" s="15" t="s">
        <v>22</v>
      </c>
      <c r="P44" s="14">
        <v>10235.83</v>
      </c>
      <c r="Q44" s="8">
        <f>_xlfn.XLOOKUP(L44,[1]DR!$D:$D,[1]DR!$Q:$Q,,0)</f>
        <v>204.7166</v>
      </c>
      <c r="R44" s="19">
        <f t="shared" si="2"/>
        <v>10031.1134</v>
      </c>
      <c r="S44" s="7" t="s">
        <v>21</v>
      </c>
    </row>
    <row r="45" spans="1:19" x14ac:dyDescent="0.25">
      <c r="A45" s="15" t="s">
        <v>17</v>
      </c>
      <c r="B45" s="15" t="s">
        <v>26</v>
      </c>
      <c r="C45" s="15" t="s">
        <v>27</v>
      </c>
      <c r="D45" s="15">
        <v>46028</v>
      </c>
      <c r="E45" s="15">
        <v>1800016624</v>
      </c>
      <c r="F45" s="15" t="s">
        <v>20</v>
      </c>
      <c r="G45" s="15">
        <v>46028</v>
      </c>
      <c r="H45" s="15">
        <v>46035</v>
      </c>
      <c r="I45" s="15" t="s">
        <v>29</v>
      </c>
      <c r="J45" s="16">
        <v>212100</v>
      </c>
      <c r="K45" s="4"/>
      <c r="L45" s="15">
        <v>256779440333</v>
      </c>
      <c r="M45" s="15" t="s">
        <v>19</v>
      </c>
      <c r="N45" s="14">
        <v>50.75</v>
      </c>
      <c r="O45" s="15" t="s">
        <v>22</v>
      </c>
      <c r="P45" s="14">
        <v>4605.21</v>
      </c>
      <c r="Q45" s="8">
        <f>_xlfn.XLOOKUP(L45,[1]DR!$D:$D,[1]DR!$Q:$Q,,0)</f>
        <v>460.52100000000002</v>
      </c>
      <c r="R45" s="19">
        <f t="shared" si="2"/>
        <v>4144.6890000000003</v>
      </c>
      <c r="S45" s="7" t="s">
        <v>21</v>
      </c>
    </row>
    <row r="46" spans="1:19" x14ac:dyDescent="0.25">
      <c r="A46" s="15" t="s">
        <v>17</v>
      </c>
      <c r="B46" s="15" t="s">
        <v>26</v>
      </c>
      <c r="C46" s="15" t="s">
        <v>27</v>
      </c>
      <c r="D46" s="15">
        <v>46031</v>
      </c>
      <c r="E46" s="15">
        <v>1800016159</v>
      </c>
      <c r="F46" s="15" t="s">
        <v>20</v>
      </c>
      <c r="G46" s="15">
        <v>46031</v>
      </c>
      <c r="H46" s="15">
        <v>46031</v>
      </c>
      <c r="I46" s="15" t="s">
        <v>29</v>
      </c>
      <c r="J46" s="16">
        <v>212100</v>
      </c>
      <c r="K46" s="4"/>
      <c r="L46" s="15">
        <v>256779440129</v>
      </c>
      <c r="M46" s="15" t="s">
        <v>19</v>
      </c>
      <c r="N46" s="14">
        <v>169.2</v>
      </c>
      <c r="O46" s="15" t="s">
        <v>22</v>
      </c>
      <c r="P46" s="14">
        <v>15353.74</v>
      </c>
      <c r="Q46" s="8">
        <f>_xlfn.XLOOKUP(L46,[1]DR!$D:$D,[1]DR!$Q:$Q,,0)</f>
        <v>307.07479999999998</v>
      </c>
      <c r="R46" s="19">
        <f t="shared" si="2"/>
        <v>15046.665199999999</v>
      </c>
      <c r="S46" s="7" t="s">
        <v>21</v>
      </c>
    </row>
    <row r="47" spans="1:19" x14ac:dyDescent="0.25">
      <c r="A47" s="15" t="s">
        <v>17</v>
      </c>
      <c r="B47" s="15" t="s">
        <v>26</v>
      </c>
      <c r="C47" s="15" t="s">
        <v>27</v>
      </c>
      <c r="D47" s="15">
        <v>46035</v>
      </c>
      <c r="E47" s="15">
        <v>1800016749</v>
      </c>
      <c r="F47" s="15" t="s">
        <v>20</v>
      </c>
      <c r="G47" s="15">
        <v>46035</v>
      </c>
      <c r="H47" s="15">
        <v>46035</v>
      </c>
      <c r="I47" s="15" t="s">
        <v>29</v>
      </c>
      <c r="J47" s="16">
        <v>212100</v>
      </c>
      <c r="K47" s="4"/>
      <c r="L47" s="15">
        <v>256779440336</v>
      </c>
      <c r="M47" s="15" t="s">
        <v>19</v>
      </c>
      <c r="N47" s="14">
        <v>70</v>
      </c>
      <c r="O47" s="15" t="s">
        <v>22</v>
      </c>
      <c r="P47" s="14">
        <v>6352.02</v>
      </c>
      <c r="Q47" s="8">
        <f>_xlfn.XLOOKUP(L47,[1]DR!$D:$D,[1]DR!$Q:$Q,,0)</f>
        <v>127.04040000000001</v>
      </c>
      <c r="R47" s="19">
        <f t="shared" si="2"/>
        <v>6224.9796000000006</v>
      </c>
      <c r="S47" s="7" t="s">
        <v>21</v>
      </c>
    </row>
    <row r="48" spans="1:19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10" t="s">
        <v>15</v>
      </c>
      <c r="M48" s="9" t="s">
        <v>19</v>
      </c>
      <c r="N48" s="11">
        <f>SUM(N28:N47)</f>
        <v>-2381.9069767439992</v>
      </c>
      <c r="O48" s="11"/>
      <c r="P48" s="11">
        <f>SUM(P28:P47)</f>
        <v>-196799.79733827474</v>
      </c>
      <c r="Q48" s="17">
        <f>SUM(Q30:Q47)</f>
        <v>7488.2571999999991</v>
      </c>
      <c r="R48" s="17">
        <f>SUM(R28:R47)</f>
        <v>-204288.05453827456</v>
      </c>
      <c r="S48" s="9" t="s">
        <v>25</v>
      </c>
    </row>
  </sheetData>
  <autoFilter ref="A1:S25" xr:uid="{9A64DEA2-5E90-4A7E-AC04-18C4F62A0527}"/>
  <phoneticPr fontId="2" type="noConversion"/>
  <pageMargins left="0.7" right="0.7" top="0.75" bottom="0.75" header="0.3" footer="0.3"/>
  <ignoredErrors>
    <ignoredError sqref="Q24 Q4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PARTE Prasad/Sr Executive-Finance &amp; Accounts/APFTWZ/IN</dc:creator>
  <cp:lastModifiedBy>Neuroy Gonsalves</cp:lastModifiedBy>
  <dcterms:created xsi:type="dcterms:W3CDTF">2026-01-19T10:42:57Z</dcterms:created>
  <dcterms:modified xsi:type="dcterms:W3CDTF">2026-03-30T10:27:30Z</dcterms:modified>
</cp:coreProperties>
</file>