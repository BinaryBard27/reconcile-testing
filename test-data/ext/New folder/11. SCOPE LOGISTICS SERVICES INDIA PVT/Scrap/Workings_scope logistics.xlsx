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11. SCOPE LOGISTICS SERVICES INDIA PVT\"/>
    </mc:Choice>
  </mc:AlternateContent>
  <xr:revisionPtr revIDLastSave="0" documentId="13_ncr:1_{F1E5EF40-57CE-4D40-B0EF-A33A7AECC6F5}" xr6:coauthVersionLast="47" xr6:coauthVersionMax="47" xr10:uidLastSave="{00000000-0000-0000-0000-000000000000}"/>
  <bookViews>
    <workbookView xWindow="-110" yWindow="-110" windowWidth="21820" windowHeight="14020" tabRatio="993" firstSheet="3" activeTab="11" xr2:uid="{8AAF1F61-3DC3-4FAC-8075-0B06006A4C03}"/>
  </bookViews>
  <sheets>
    <sheet name="Summary" sheetId="2" r:id="rId1"/>
    <sheet name="Payment Reco" sheetId="10" r:id="rId2"/>
    <sheet name="Sheet2" sheetId="13" r:id="rId3"/>
    <sheet name="Customer Data Vlookup" sheetId="12" r:id="rId4"/>
    <sheet name="Customer Data" sheetId="4" r:id="rId5"/>
    <sheet name="Ascendus Data" sheetId="3" r:id="rId6"/>
    <sheet name="Knock off entries difference" sheetId="9" r:id="rId7"/>
    <sheet name="Diffrence in Invoice value" sheetId="8" r:id="rId8"/>
    <sheet name="TDS to be recorded " sheetId="7" r:id="rId9"/>
    <sheet name="Invoice&amp;DN in Customer's ledger" sheetId="5" r:id="rId10"/>
    <sheet name="working" sheetId="1" r:id="rId11"/>
    <sheet name="Sheet1" sheetId="11" r:id="rId12"/>
  </sheets>
  <definedNames>
    <definedName name="_xlnm._FilterDatabase" localSheetId="5" hidden="1">'Ascendus Data'!$H$1:$AN$479</definedName>
    <definedName name="_xlnm._FilterDatabase" localSheetId="4" hidden="1">'Customer Data'!$A$1:$R$389</definedName>
    <definedName name="_xlnm._FilterDatabase" localSheetId="3" hidden="1">'Customer Data Vlookup'!$A$2:$H$390</definedName>
    <definedName name="_xlnm._FilterDatabase" localSheetId="7" hidden="1">'Diffrence in Invoice value'!$A$2:$O$27</definedName>
    <definedName name="_xlnm._FilterDatabase" localSheetId="9" hidden="1">'Invoice&amp;DN in Customer''s ledger'!$A$2:$J$2</definedName>
    <definedName name="_xlnm._FilterDatabase" localSheetId="11" hidden="1">Sheet1!$A$1:$K$389</definedName>
    <definedName name="_xlnm._FilterDatabase" localSheetId="8" hidden="1">'TDS to be recorded '!$A$2:$L$333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AJ475" i="3" l="1" a="1"/>
  <c r="AJ475" i="3" s="1"/>
  <c r="AJ474" i="3" a="1"/>
  <c r="AJ474" i="3" s="1"/>
  <c r="AJ473" i="3" a="1"/>
  <c r="AJ473" i="3" s="1"/>
  <c r="AJ472" i="3" a="1"/>
  <c r="AJ472" i="3" s="1"/>
  <c r="AJ471" i="3" a="1"/>
  <c r="AJ471" i="3" s="1"/>
  <c r="AJ470" i="3" a="1"/>
  <c r="AJ470" i="3" s="1"/>
  <c r="AJ469" i="3" a="1"/>
  <c r="AJ469" i="3" s="1"/>
  <c r="AJ468" i="3" a="1"/>
  <c r="AJ468" i="3" s="1"/>
  <c r="AJ467" i="3" a="1"/>
  <c r="AJ467" i="3" s="1"/>
  <c r="AJ466" i="3" a="1"/>
  <c r="AJ466" i="3" s="1"/>
  <c r="AJ465" i="3" a="1"/>
  <c r="AJ465" i="3" s="1"/>
  <c r="AJ464" i="3" a="1"/>
  <c r="AJ464" i="3" s="1"/>
  <c r="AJ463" i="3" a="1"/>
  <c r="AJ463" i="3" s="1"/>
  <c r="AJ462" i="3" a="1"/>
  <c r="AJ462" i="3" s="1"/>
  <c r="AJ461" i="3" a="1"/>
  <c r="AJ461" i="3" s="1"/>
  <c r="AJ460" i="3" a="1"/>
  <c r="AJ460" i="3" s="1"/>
  <c r="AJ459" i="3" a="1"/>
  <c r="AJ459" i="3" s="1"/>
  <c r="AJ458" i="3" a="1"/>
  <c r="AJ458" i="3" s="1"/>
  <c r="AJ457" i="3" a="1"/>
  <c r="AJ457" i="3" s="1"/>
  <c r="AJ456" i="3" a="1"/>
  <c r="AJ456" i="3" s="1"/>
  <c r="AJ455" i="3" a="1"/>
  <c r="AJ455" i="3" s="1"/>
  <c r="AJ454" i="3" a="1"/>
  <c r="AJ454" i="3" s="1"/>
  <c r="AJ453" i="3" a="1"/>
  <c r="AJ453" i="3" s="1"/>
  <c r="AJ452" i="3" a="1"/>
  <c r="AJ452" i="3" s="1"/>
  <c r="AJ451" i="3" a="1"/>
  <c r="AJ451" i="3" s="1"/>
  <c r="AJ450" i="3" a="1"/>
  <c r="AJ450" i="3" s="1"/>
  <c r="AJ449" i="3" a="1"/>
  <c r="AJ449" i="3" s="1"/>
  <c r="AJ448" i="3" a="1"/>
  <c r="AJ448" i="3" s="1"/>
  <c r="AJ447" i="3" a="1"/>
  <c r="AJ447" i="3" s="1"/>
  <c r="AJ446" i="3" a="1"/>
  <c r="AJ446" i="3" s="1"/>
  <c r="AJ445" i="3" a="1"/>
  <c r="AJ445" i="3" s="1"/>
  <c r="AJ444" i="3" a="1"/>
  <c r="AJ444" i="3" s="1"/>
  <c r="AJ443" i="3" a="1"/>
  <c r="AJ443" i="3" s="1"/>
  <c r="AJ442" i="3" a="1"/>
  <c r="AJ442" i="3" s="1"/>
  <c r="AJ441" i="3" a="1"/>
  <c r="AJ441" i="3" s="1"/>
  <c r="AJ440" i="3" a="1"/>
  <c r="AJ440" i="3" s="1"/>
  <c r="AJ439" i="3" a="1"/>
  <c r="AJ439" i="3" s="1"/>
  <c r="AJ438" i="3" a="1"/>
  <c r="AJ438" i="3" s="1"/>
  <c r="AJ437" i="3" a="1"/>
  <c r="AJ437" i="3" s="1"/>
  <c r="AJ436" i="3" a="1"/>
  <c r="AJ436" i="3" s="1"/>
  <c r="AJ435" i="3" a="1"/>
  <c r="AJ435" i="3" s="1"/>
  <c r="AJ434" i="3" a="1"/>
  <c r="AJ434" i="3" s="1"/>
  <c r="AJ433" i="3" a="1"/>
  <c r="AJ433" i="3" s="1"/>
  <c r="AJ432" i="3" a="1"/>
  <c r="AJ432" i="3" s="1"/>
  <c r="AJ431" i="3" a="1"/>
  <c r="AJ431" i="3" s="1"/>
  <c r="AJ430" i="3" a="1"/>
  <c r="AJ430" i="3" s="1"/>
  <c r="AJ429" i="3" a="1"/>
  <c r="AJ429" i="3" s="1"/>
  <c r="AJ428" i="3" a="1"/>
  <c r="AJ428" i="3" s="1"/>
  <c r="AJ427" i="3" a="1"/>
  <c r="AJ427" i="3" s="1"/>
  <c r="AJ426" i="3" a="1"/>
  <c r="AJ426" i="3" s="1"/>
  <c r="AJ425" i="3" a="1"/>
  <c r="AJ425" i="3" s="1"/>
  <c r="AJ424" i="3" a="1"/>
  <c r="AJ424" i="3" s="1"/>
  <c r="AJ423" i="3" a="1"/>
  <c r="AJ423" i="3" s="1"/>
  <c r="AJ422" i="3" a="1"/>
  <c r="AJ422" i="3" s="1"/>
  <c r="AJ421" i="3" a="1"/>
  <c r="AJ421" i="3" s="1"/>
  <c r="AJ420" i="3" a="1"/>
  <c r="AJ420" i="3" s="1"/>
  <c r="AJ419" i="3" a="1"/>
  <c r="AJ419" i="3" s="1"/>
  <c r="AJ418" i="3" a="1"/>
  <c r="AJ418" i="3" s="1"/>
  <c r="AJ417" i="3" a="1"/>
  <c r="AJ417" i="3" s="1"/>
  <c r="AJ416" i="3" a="1"/>
  <c r="AJ416" i="3" s="1"/>
  <c r="AJ415" i="3" a="1"/>
  <c r="AJ415" i="3" s="1"/>
  <c r="AJ414" i="3" a="1"/>
  <c r="AJ414" i="3" s="1"/>
  <c r="AJ413" i="3" a="1"/>
  <c r="AJ413" i="3" s="1"/>
  <c r="AJ412" i="3" a="1"/>
  <c r="AJ412" i="3" s="1"/>
  <c r="AJ411" i="3" a="1"/>
  <c r="AJ411" i="3" s="1"/>
  <c r="AJ410" i="3" a="1"/>
  <c r="AJ410" i="3" s="1"/>
  <c r="AJ409" i="3" a="1"/>
  <c r="AJ409" i="3" s="1"/>
  <c r="AJ408" i="3" a="1"/>
  <c r="AJ408" i="3" s="1"/>
  <c r="AJ407" i="3" a="1"/>
  <c r="AJ407" i="3" s="1"/>
  <c r="AJ406" i="3" a="1"/>
  <c r="AJ406" i="3" s="1"/>
  <c r="AJ405" i="3" a="1"/>
  <c r="AJ405" i="3" s="1"/>
  <c r="AJ404" i="3" a="1"/>
  <c r="AJ404" i="3" s="1"/>
  <c r="AJ403" i="3" a="1"/>
  <c r="AJ403" i="3" s="1"/>
  <c r="AJ402" i="3" a="1"/>
  <c r="AJ402" i="3" s="1"/>
  <c r="AJ401" i="3" a="1"/>
  <c r="AJ401" i="3" s="1"/>
  <c r="AJ400" i="3" a="1"/>
  <c r="AJ400" i="3" s="1"/>
  <c r="AJ399" i="3" a="1"/>
  <c r="AJ399" i="3" s="1"/>
  <c r="AJ398" i="3" a="1"/>
  <c r="AJ398" i="3" s="1"/>
  <c r="AJ397" i="3" a="1"/>
  <c r="AJ397" i="3" s="1"/>
  <c r="AJ396" i="3" a="1"/>
  <c r="AJ396" i="3" s="1"/>
  <c r="AJ395" i="3" a="1"/>
  <c r="AJ395" i="3" s="1"/>
  <c r="AJ394" i="3" a="1"/>
  <c r="AJ394" i="3" s="1"/>
  <c r="AJ393" i="3" a="1"/>
  <c r="AJ393" i="3" s="1"/>
  <c r="AJ392" i="3" a="1"/>
  <c r="AJ392" i="3" s="1"/>
  <c r="AJ391" i="3" a="1"/>
  <c r="AJ391" i="3" s="1"/>
  <c r="AJ390" i="3" a="1"/>
  <c r="AJ390" i="3" s="1"/>
  <c r="AJ389" i="3" a="1"/>
  <c r="AJ389" i="3" s="1"/>
  <c r="AJ388" i="3" a="1"/>
  <c r="AJ388" i="3" s="1"/>
  <c r="AJ387" i="3" a="1"/>
  <c r="AJ387" i="3" s="1"/>
  <c r="AJ386" i="3" a="1"/>
  <c r="AJ386" i="3" s="1"/>
  <c r="AJ385" i="3" a="1"/>
  <c r="AJ385" i="3" s="1"/>
  <c r="AJ384" i="3" a="1"/>
  <c r="AJ384" i="3" s="1"/>
  <c r="AJ383" i="3" a="1"/>
  <c r="AJ383" i="3" s="1"/>
  <c r="AJ382" i="3" a="1"/>
  <c r="AJ382" i="3" s="1"/>
  <c r="AJ381" i="3" a="1"/>
  <c r="AJ381" i="3" s="1"/>
  <c r="AJ380" i="3" a="1"/>
  <c r="AJ380" i="3" s="1"/>
  <c r="AJ379" i="3" a="1"/>
  <c r="AJ379" i="3" s="1"/>
  <c r="AJ378" i="3" a="1"/>
  <c r="AJ378" i="3" s="1"/>
  <c r="AJ377" i="3" a="1"/>
  <c r="AJ377" i="3" s="1"/>
  <c r="AJ376" i="3" a="1"/>
  <c r="AJ376" i="3" s="1"/>
  <c r="AJ375" i="3" a="1"/>
  <c r="AJ375" i="3" s="1"/>
  <c r="AJ374" i="3" a="1"/>
  <c r="AJ374" i="3" s="1"/>
  <c r="AJ373" i="3" a="1"/>
  <c r="AJ373" i="3" s="1"/>
  <c r="AJ372" i="3" a="1"/>
  <c r="AJ372" i="3" s="1"/>
  <c r="AJ371" i="3" a="1"/>
  <c r="AJ371" i="3" s="1"/>
  <c r="AJ370" i="3" a="1"/>
  <c r="AJ370" i="3" s="1"/>
  <c r="AJ369" i="3" a="1"/>
  <c r="AJ369" i="3" s="1"/>
  <c r="AJ368" i="3" a="1"/>
  <c r="AJ368" i="3" s="1"/>
  <c r="AJ367" i="3" a="1"/>
  <c r="AJ367" i="3" s="1"/>
  <c r="AJ366" i="3" a="1"/>
  <c r="AJ366" i="3" s="1"/>
  <c r="AJ365" i="3" a="1"/>
  <c r="AJ365" i="3" s="1"/>
  <c r="AJ364" i="3" a="1"/>
  <c r="AJ364" i="3" s="1"/>
  <c r="AJ363" i="3" a="1"/>
  <c r="AJ363" i="3" s="1"/>
  <c r="AJ362" i="3" a="1"/>
  <c r="AJ362" i="3" s="1"/>
  <c r="AJ361" i="3" a="1"/>
  <c r="AJ361" i="3" s="1"/>
  <c r="AJ360" i="3" a="1"/>
  <c r="AJ360" i="3" s="1"/>
  <c r="AJ359" i="3" a="1"/>
  <c r="AJ359" i="3" s="1"/>
  <c r="AJ358" i="3" a="1"/>
  <c r="AJ358" i="3" s="1"/>
  <c r="AJ357" i="3" a="1"/>
  <c r="AJ357" i="3" s="1"/>
  <c r="AJ356" i="3" a="1"/>
  <c r="AJ356" i="3" s="1"/>
  <c r="AJ355" i="3" a="1"/>
  <c r="AJ355" i="3" s="1"/>
  <c r="AJ354" i="3" a="1"/>
  <c r="AJ354" i="3" s="1"/>
  <c r="AJ353" i="3" a="1"/>
  <c r="AJ353" i="3" s="1"/>
  <c r="AJ352" i="3" a="1"/>
  <c r="AJ352" i="3" s="1"/>
  <c r="AJ351" i="3" a="1"/>
  <c r="AJ351" i="3" s="1"/>
  <c r="AJ350" i="3" a="1"/>
  <c r="AJ350" i="3" s="1"/>
  <c r="AJ349" i="3" a="1"/>
  <c r="AJ349" i="3" s="1"/>
  <c r="AJ348" i="3" a="1"/>
  <c r="AJ348" i="3" s="1"/>
  <c r="AJ347" i="3" a="1"/>
  <c r="AJ347" i="3" s="1"/>
  <c r="AJ346" i="3" a="1"/>
  <c r="AJ346" i="3" s="1"/>
  <c r="AJ345" i="3" a="1"/>
  <c r="AJ345" i="3" s="1"/>
  <c r="AJ344" i="3" a="1"/>
  <c r="AJ344" i="3" s="1"/>
  <c r="AJ343" i="3" a="1"/>
  <c r="AJ343" i="3" s="1"/>
  <c r="AJ342" i="3" a="1"/>
  <c r="AJ342" i="3" s="1"/>
  <c r="AJ341" i="3" a="1"/>
  <c r="AJ341" i="3" s="1"/>
  <c r="AJ340" i="3" a="1"/>
  <c r="AJ340" i="3" s="1"/>
  <c r="AJ339" i="3" a="1"/>
  <c r="AJ339" i="3" s="1"/>
  <c r="AJ338" i="3" a="1"/>
  <c r="AJ338" i="3" s="1"/>
  <c r="AJ337" i="3" a="1"/>
  <c r="AJ337" i="3" s="1"/>
  <c r="AJ336" i="3" a="1"/>
  <c r="AJ336" i="3" s="1"/>
  <c r="AJ335" i="3" a="1"/>
  <c r="AJ335" i="3" s="1"/>
  <c r="AJ334" i="3" a="1"/>
  <c r="AJ334" i="3" s="1"/>
  <c r="AJ333" i="3" a="1"/>
  <c r="AJ333" i="3" s="1"/>
  <c r="AJ332" i="3" a="1"/>
  <c r="AJ332" i="3" s="1"/>
  <c r="AJ331" i="3" a="1"/>
  <c r="AJ331" i="3" s="1"/>
  <c r="AJ330" i="3" a="1"/>
  <c r="AJ330" i="3" s="1"/>
  <c r="AJ329" i="3" a="1"/>
  <c r="AJ329" i="3" s="1"/>
  <c r="AJ328" i="3" a="1"/>
  <c r="AJ328" i="3" s="1"/>
  <c r="AJ327" i="3" a="1"/>
  <c r="AJ327" i="3" s="1"/>
  <c r="AJ326" i="3" a="1"/>
  <c r="AJ326" i="3" s="1"/>
  <c r="AJ325" i="3" a="1"/>
  <c r="AJ325" i="3" s="1"/>
  <c r="AJ324" i="3" a="1"/>
  <c r="AJ324" i="3" s="1"/>
  <c r="AJ323" i="3" a="1"/>
  <c r="AJ323" i="3" s="1"/>
  <c r="AJ322" i="3" a="1"/>
  <c r="AJ322" i="3" s="1"/>
  <c r="AJ321" i="3" a="1"/>
  <c r="AJ321" i="3" s="1"/>
  <c r="AJ320" i="3" a="1"/>
  <c r="AJ320" i="3" s="1"/>
  <c r="AJ319" i="3" a="1"/>
  <c r="AJ319" i="3" s="1"/>
  <c r="AJ318" i="3" a="1"/>
  <c r="AJ318" i="3" s="1"/>
  <c r="AJ317" i="3" a="1"/>
  <c r="AJ317" i="3" s="1"/>
  <c r="AJ316" i="3" a="1"/>
  <c r="AJ316" i="3" s="1"/>
  <c r="AJ315" i="3" a="1"/>
  <c r="AJ315" i="3" s="1"/>
  <c r="AJ314" i="3" a="1"/>
  <c r="AJ314" i="3" s="1"/>
  <c r="AJ313" i="3" a="1"/>
  <c r="AJ313" i="3" s="1"/>
  <c r="AJ312" i="3" a="1"/>
  <c r="AJ312" i="3" s="1"/>
  <c r="AJ311" i="3" a="1"/>
  <c r="AJ311" i="3" s="1"/>
  <c r="AJ310" i="3" a="1"/>
  <c r="AJ310" i="3" s="1"/>
  <c r="AJ309" i="3" a="1"/>
  <c r="AJ309" i="3" s="1"/>
  <c r="AJ308" i="3" a="1"/>
  <c r="AJ308" i="3" s="1"/>
  <c r="AJ307" i="3" a="1"/>
  <c r="AJ307" i="3" s="1"/>
  <c r="AJ306" i="3" a="1"/>
  <c r="AJ306" i="3" s="1"/>
  <c r="AJ305" i="3" a="1"/>
  <c r="AJ305" i="3" s="1"/>
  <c r="AJ304" i="3" a="1"/>
  <c r="AJ304" i="3" s="1"/>
  <c r="AJ303" i="3" a="1"/>
  <c r="AJ303" i="3" s="1"/>
  <c r="AJ302" i="3" a="1"/>
  <c r="AJ302" i="3" s="1"/>
  <c r="AJ301" i="3" a="1"/>
  <c r="AJ301" i="3" s="1"/>
  <c r="AJ300" i="3" a="1"/>
  <c r="AJ300" i="3" s="1"/>
  <c r="AJ299" i="3" a="1"/>
  <c r="AJ299" i="3" s="1"/>
  <c r="AJ298" i="3" a="1"/>
  <c r="AJ298" i="3" s="1"/>
  <c r="AJ297" i="3" a="1"/>
  <c r="AJ297" i="3" s="1"/>
  <c r="AJ296" i="3" a="1"/>
  <c r="AJ296" i="3" s="1"/>
  <c r="AJ295" i="3" a="1"/>
  <c r="AJ295" i="3" s="1"/>
  <c r="AJ294" i="3" a="1"/>
  <c r="AJ294" i="3" s="1"/>
  <c r="AJ293" i="3" a="1"/>
  <c r="AJ293" i="3" s="1"/>
  <c r="AJ292" i="3" a="1"/>
  <c r="AJ292" i="3" s="1"/>
  <c r="AJ291" i="3" a="1"/>
  <c r="AJ291" i="3" s="1"/>
  <c r="AJ290" i="3" a="1"/>
  <c r="AJ290" i="3" s="1"/>
  <c r="AJ289" i="3" a="1"/>
  <c r="AJ289" i="3" s="1"/>
  <c r="AJ288" i="3" a="1"/>
  <c r="AJ288" i="3" s="1"/>
  <c r="AJ287" i="3" a="1"/>
  <c r="AJ287" i="3" s="1"/>
  <c r="AJ286" i="3" a="1"/>
  <c r="AJ286" i="3" s="1"/>
  <c r="AJ285" i="3" a="1"/>
  <c r="AJ285" i="3" s="1"/>
  <c r="AJ284" i="3" a="1"/>
  <c r="AJ284" i="3" s="1"/>
  <c r="AJ283" i="3" a="1"/>
  <c r="AJ283" i="3" s="1"/>
  <c r="AJ282" i="3" a="1"/>
  <c r="AJ282" i="3" s="1"/>
  <c r="AJ281" i="3" a="1"/>
  <c r="AJ281" i="3" s="1"/>
  <c r="AJ280" i="3" a="1"/>
  <c r="AJ280" i="3" s="1"/>
  <c r="AJ279" i="3" a="1"/>
  <c r="AJ279" i="3" s="1"/>
  <c r="AJ278" i="3" a="1"/>
  <c r="AJ278" i="3" s="1"/>
  <c r="AJ277" i="3" a="1"/>
  <c r="AJ277" i="3" s="1"/>
  <c r="AJ276" i="3" a="1"/>
  <c r="AJ276" i="3" s="1"/>
  <c r="AJ275" i="3" a="1"/>
  <c r="AJ275" i="3" s="1"/>
  <c r="AJ274" i="3" a="1"/>
  <c r="AJ274" i="3" s="1"/>
  <c r="AJ273" i="3" a="1"/>
  <c r="AJ273" i="3" s="1"/>
  <c r="AJ272" i="3" a="1"/>
  <c r="AJ272" i="3" s="1"/>
  <c r="AJ271" i="3" a="1"/>
  <c r="AJ271" i="3" s="1"/>
  <c r="AJ270" i="3" a="1"/>
  <c r="AJ270" i="3" s="1"/>
  <c r="AJ269" i="3" a="1"/>
  <c r="AJ269" i="3" s="1"/>
  <c r="AJ268" i="3" a="1"/>
  <c r="AJ268" i="3" s="1"/>
  <c r="AJ267" i="3" a="1"/>
  <c r="AJ267" i="3" s="1"/>
  <c r="AJ266" i="3" a="1"/>
  <c r="AJ266" i="3" s="1"/>
  <c r="AJ265" i="3" a="1"/>
  <c r="AJ265" i="3" s="1"/>
  <c r="AJ264" i="3" a="1"/>
  <c r="AJ264" i="3" s="1"/>
  <c r="AJ263" i="3" a="1"/>
  <c r="AJ263" i="3" s="1"/>
  <c r="AJ262" i="3" a="1"/>
  <c r="AJ262" i="3" s="1"/>
  <c r="AJ261" i="3" a="1"/>
  <c r="AJ261" i="3" s="1"/>
  <c r="AJ260" i="3" a="1"/>
  <c r="AJ260" i="3" s="1"/>
  <c r="AJ259" i="3" a="1"/>
  <c r="AJ259" i="3" s="1"/>
  <c r="AJ258" i="3" a="1"/>
  <c r="AJ258" i="3" s="1"/>
  <c r="AJ257" i="3" a="1"/>
  <c r="AJ257" i="3" s="1"/>
  <c r="AJ256" i="3" a="1"/>
  <c r="AJ256" i="3" s="1"/>
  <c r="AJ255" i="3" a="1"/>
  <c r="AJ255" i="3" s="1"/>
  <c r="AJ254" i="3" a="1"/>
  <c r="AJ254" i="3" s="1"/>
  <c r="AJ253" i="3" a="1"/>
  <c r="AJ253" i="3" s="1"/>
  <c r="AJ252" i="3" a="1"/>
  <c r="AJ252" i="3" s="1"/>
  <c r="AJ251" i="3" a="1"/>
  <c r="AJ251" i="3" s="1"/>
  <c r="AJ250" i="3" a="1"/>
  <c r="AJ250" i="3" s="1"/>
  <c r="AJ249" i="3" a="1"/>
  <c r="AJ249" i="3" s="1"/>
  <c r="AJ248" i="3" a="1"/>
  <c r="AJ248" i="3" s="1"/>
  <c r="AJ247" i="3" a="1"/>
  <c r="AJ247" i="3" s="1"/>
  <c r="AJ246" i="3" a="1"/>
  <c r="AJ246" i="3" s="1"/>
  <c r="AJ245" i="3" a="1"/>
  <c r="AJ245" i="3" s="1"/>
  <c r="AJ244" i="3" a="1"/>
  <c r="AJ244" i="3" s="1"/>
  <c r="AJ243" i="3" a="1"/>
  <c r="AJ243" i="3" s="1"/>
  <c r="AJ242" i="3" a="1"/>
  <c r="AJ242" i="3" s="1"/>
  <c r="AJ241" i="3" a="1"/>
  <c r="AJ241" i="3" s="1"/>
  <c r="AJ240" i="3" a="1"/>
  <c r="AJ240" i="3" s="1"/>
  <c r="AJ239" i="3" a="1"/>
  <c r="AJ239" i="3" s="1"/>
  <c r="AJ238" i="3" a="1"/>
  <c r="AJ238" i="3" s="1"/>
  <c r="AJ237" i="3" a="1"/>
  <c r="AJ237" i="3" s="1"/>
  <c r="AJ236" i="3" a="1"/>
  <c r="AJ236" i="3" s="1"/>
  <c r="AJ235" i="3" a="1"/>
  <c r="AJ235" i="3" s="1"/>
  <c r="AJ234" i="3" a="1"/>
  <c r="AJ234" i="3" s="1"/>
  <c r="AJ233" i="3" a="1"/>
  <c r="AJ233" i="3" s="1"/>
  <c r="AJ232" i="3" a="1"/>
  <c r="AJ232" i="3" s="1"/>
  <c r="AJ231" i="3" a="1"/>
  <c r="AJ231" i="3" s="1"/>
  <c r="AJ230" i="3" a="1"/>
  <c r="AJ230" i="3" s="1"/>
  <c r="AJ229" i="3" a="1"/>
  <c r="AJ229" i="3" s="1"/>
  <c r="AJ228" i="3" a="1"/>
  <c r="AJ228" i="3" s="1"/>
  <c r="AJ227" i="3" a="1"/>
  <c r="AJ227" i="3" s="1"/>
  <c r="AJ226" i="3" a="1"/>
  <c r="AJ226" i="3" s="1"/>
  <c r="AJ225" i="3" a="1"/>
  <c r="AJ225" i="3" s="1"/>
  <c r="AJ224" i="3" a="1"/>
  <c r="AJ224" i="3" s="1"/>
  <c r="AJ223" i="3" a="1"/>
  <c r="AJ223" i="3" s="1"/>
  <c r="AJ222" i="3" a="1"/>
  <c r="AJ222" i="3" s="1"/>
  <c r="AJ221" i="3" a="1"/>
  <c r="AJ221" i="3" s="1"/>
  <c r="AJ220" i="3" a="1"/>
  <c r="AJ220" i="3" s="1"/>
  <c r="AJ219" i="3" a="1"/>
  <c r="AJ219" i="3" s="1"/>
  <c r="AJ218" i="3" a="1"/>
  <c r="AJ218" i="3" s="1"/>
  <c r="AJ217" i="3" a="1"/>
  <c r="AJ217" i="3" s="1"/>
  <c r="AJ216" i="3" a="1"/>
  <c r="AJ216" i="3" s="1"/>
  <c r="AJ215" i="3" a="1"/>
  <c r="AJ215" i="3" s="1"/>
  <c r="AJ214" i="3" a="1"/>
  <c r="AJ214" i="3" s="1"/>
  <c r="AJ213" i="3" a="1"/>
  <c r="AJ213" i="3" s="1"/>
  <c r="AJ212" i="3" a="1"/>
  <c r="AJ212" i="3" s="1"/>
  <c r="AJ211" i="3" a="1"/>
  <c r="AJ211" i="3" s="1"/>
  <c r="AJ210" i="3" a="1"/>
  <c r="AJ210" i="3" s="1"/>
  <c r="AJ209" i="3" a="1"/>
  <c r="AJ209" i="3" s="1"/>
  <c r="AJ208" i="3" a="1"/>
  <c r="AJ208" i="3" s="1"/>
  <c r="AJ207" i="3" a="1"/>
  <c r="AJ207" i="3" s="1"/>
  <c r="AJ206" i="3" a="1"/>
  <c r="AJ206" i="3" s="1"/>
  <c r="AJ205" i="3" a="1"/>
  <c r="AJ205" i="3" s="1"/>
  <c r="AJ204" i="3" a="1"/>
  <c r="AJ204" i="3" s="1"/>
  <c r="AJ203" i="3" a="1"/>
  <c r="AJ203" i="3" s="1"/>
  <c r="AJ202" i="3" a="1"/>
  <c r="AJ202" i="3" s="1"/>
  <c r="AJ201" i="3" a="1"/>
  <c r="AJ201" i="3" s="1"/>
  <c r="AJ200" i="3" a="1"/>
  <c r="AJ200" i="3" s="1"/>
  <c r="AJ199" i="3" a="1"/>
  <c r="AJ199" i="3" s="1"/>
  <c r="AJ198" i="3" a="1"/>
  <c r="AJ198" i="3" s="1"/>
  <c r="AJ197" i="3" a="1"/>
  <c r="AJ197" i="3" s="1"/>
  <c r="AJ196" i="3" a="1"/>
  <c r="AJ196" i="3" s="1"/>
  <c r="AJ195" i="3" a="1"/>
  <c r="AJ195" i="3" s="1"/>
  <c r="AJ194" i="3" a="1"/>
  <c r="AJ194" i="3" s="1"/>
  <c r="AJ193" i="3" a="1"/>
  <c r="AJ193" i="3" s="1"/>
  <c r="AJ192" i="3" a="1"/>
  <c r="AJ192" i="3" s="1"/>
  <c r="AJ191" i="3" a="1"/>
  <c r="AJ191" i="3" s="1"/>
  <c r="AJ190" i="3" a="1"/>
  <c r="AJ190" i="3" s="1"/>
  <c r="AJ189" i="3" a="1"/>
  <c r="AJ189" i="3" s="1"/>
  <c r="AJ188" i="3" a="1"/>
  <c r="AJ188" i="3" s="1"/>
  <c r="AJ187" i="3" a="1"/>
  <c r="AJ187" i="3" s="1"/>
  <c r="AJ186" i="3" a="1"/>
  <c r="AJ186" i="3" s="1"/>
  <c r="AJ185" i="3" a="1"/>
  <c r="AJ185" i="3" s="1"/>
  <c r="AJ184" i="3" a="1"/>
  <c r="AJ184" i="3" s="1"/>
  <c r="AJ183" i="3" a="1"/>
  <c r="AJ183" i="3" s="1"/>
  <c r="AJ182" i="3" a="1"/>
  <c r="AJ182" i="3" s="1"/>
  <c r="AJ181" i="3" a="1"/>
  <c r="AJ181" i="3" s="1"/>
  <c r="AJ180" i="3" a="1"/>
  <c r="AJ180" i="3" s="1"/>
  <c r="AJ179" i="3" a="1"/>
  <c r="AJ179" i="3" s="1"/>
  <c r="AJ178" i="3" a="1"/>
  <c r="AJ178" i="3" s="1"/>
  <c r="AJ177" i="3" a="1"/>
  <c r="AJ177" i="3" s="1"/>
  <c r="AJ176" i="3" a="1"/>
  <c r="AJ176" i="3" s="1"/>
  <c r="AJ175" i="3" a="1"/>
  <c r="AJ175" i="3" s="1"/>
  <c r="AJ174" i="3" a="1"/>
  <c r="AJ174" i="3" s="1"/>
  <c r="AJ173" i="3" a="1"/>
  <c r="AJ173" i="3" s="1"/>
  <c r="AJ172" i="3" a="1"/>
  <c r="AJ172" i="3" s="1"/>
  <c r="AJ171" i="3" a="1"/>
  <c r="AJ171" i="3" s="1"/>
  <c r="AJ170" i="3" a="1"/>
  <c r="AJ170" i="3" s="1"/>
  <c r="AJ169" i="3" a="1"/>
  <c r="AJ169" i="3" s="1"/>
  <c r="AJ168" i="3" a="1"/>
  <c r="AJ168" i="3" s="1"/>
  <c r="AJ167" i="3" a="1"/>
  <c r="AJ167" i="3" s="1"/>
  <c r="AJ166" i="3" a="1"/>
  <c r="AJ166" i="3" s="1"/>
  <c r="AJ165" i="3" a="1"/>
  <c r="AJ165" i="3" s="1"/>
  <c r="AJ164" i="3" a="1"/>
  <c r="AJ164" i="3" s="1"/>
  <c r="AJ163" i="3" a="1"/>
  <c r="AJ163" i="3" s="1"/>
  <c r="AJ162" i="3" a="1"/>
  <c r="AJ162" i="3" s="1"/>
  <c r="AJ161" i="3" a="1"/>
  <c r="AJ161" i="3" s="1"/>
  <c r="AJ160" i="3" a="1"/>
  <c r="AJ160" i="3" s="1"/>
  <c r="AJ159" i="3" a="1"/>
  <c r="AJ159" i="3" s="1"/>
  <c r="AJ158" i="3" a="1"/>
  <c r="AJ158" i="3" s="1"/>
  <c r="AJ157" i="3" a="1"/>
  <c r="AJ157" i="3" s="1"/>
  <c r="AJ156" i="3" a="1"/>
  <c r="AJ156" i="3" s="1"/>
  <c r="AJ155" i="3" a="1"/>
  <c r="AJ155" i="3" s="1"/>
  <c r="AJ154" i="3" a="1"/>
  <c r="AJ154" i="3" s="1"/>
  <c r="AJ153" i="3" a="1"/>
  <c r="AJ153" i="3" s="1"/>
  <c r="AJ152" i="3" a="1"/>
  <c r="AJ152" i="3" s="1"/>
  <c r="AJ151" i="3" a="1"/>
  <c r="AJ151" i="3" s="1"/>
  <c r="AJ150" i="3" a="1"/>
  <c r="AJ150" i="3" s="1"/>
  <c r="AJ149" i="3" a="1"/>
  <c r="AJ149" i="3" s="1"/>
  <c r="AJ148" i="3" a="1"/>
  <c r="AJ148" i="3" s="1"/>
  <c r="AJ147" i="3" a="1"/>
  <c r="AJ147" i="3" s="1"/>
  <c r="AJ146" i="3" a="1"/>
  <c r="AJ146" i="3" s="1"/>
  <c r="AJ145" i="3" a="1"/>
  <c r="AJ145" i="3" s="1"/>
  <c r="AJ144" i="3" a="1"/>
  <c r="AJ144" i="3" s="1"/>
  <c r="AJ143" i="3" a="1"/>
  <c r="AJ143" i="3" s="1"/>
  <c r="AJ142" i="3" a="1"/>
  <c r="AJ142" i="3" s="1"/>
  <c r="AJ141" i="3" a="1"/>
  <c r="AJ141" i="3" s="1"/>
  <c r="AJ140" i="3" a="1"/>
  <c r="AJ140" i="3" s="1"/>
  <c r="AJ139" i="3" a="1"/>
  <c r="AJ139" i="3" s="1"/>
  <c r="AJ138" i="3" a="1"/>
  <c r="AJ138" i="3" s="1"/>
  <c r="AJ137" i="3" a="1"/>
  <c r="AJ137" i="3" s="1"/>
  <c r="AJ136" i="3" a="1"/>
  <c r="AJ136" i="3" s="1"/>
  <c r="AJ135" i="3" a="1"/>
  <c r="AJ135" i="3" s="1"/>
  <c r="AJ134" i="3" a="1"/>
  <c r="AJ134" i="3" s="1"/>
  <c r="AJ133" i="3" a="1"/>
  <c r="AJ133" i="3" s="1"/>
  <c r="AJ132" i="3" a="1"/>
  <c r="AJ132" i="3" s="1"/>
  <c r="AJ131" i="3" a="1"/>
  <c r="AJ131" i="3" s="1"/>
  <c r="AJ130" i="3" a="1"/>
  <c r="AJ130" i="3" s="1"/>
  <c r="AJ129" i="3" a="1"/>
  <c r="AJ129" i="3" s="1"/>
  <c r="AJ128" i="3" a="1"/>
  <c r="AJ128" i="3" s="1"/>
  <c r="AJ127" i="3" a="1"/>
  <c r="AJ127" i="3" s="1"/>
  <c r="AJ126" i="3" a="1"/>
  <c r="AJ126" i="3" s="1"/>
  <c r="AJ125" i="3" a="1"/>
  <c r="AJ125" i="3" s="1"/>
  <c r="AJ124" i="3" a="1"/>
  <c r="AJ124" i="3" s="1"/>
  <c r="AJ123" i="3" a="1"/>
  <c r="AJ123" i="3" s="1"/>
  <c r="AJ122" i="3" a="1"/>
  <c r="AJ122" i="3" s="1"/>
  <c r="AJ121" i="3" a="1"/>
  <c r="AJ121" i="3" s="1"/>
  <c r="AJ120" i="3" a="1"/>
  <c r="AJ120" i="3" s="1"/>
  <c r="AJ119" i="3" a="1"/>
  <c r="AJ119" i="3" s="1"/>
  <c r="AJ118" i="3" a="1"/>
  <c r="AJ118" i="3" s="1"/>
  <c r="AJ117" i="3" a="1"/>
  <c r="AJ117" i="3" s="1"/>
  <c r="AJ116" i="3" a="1"/>
  <c r="AJ116" i="3" s="1"/>
  <c r="AJ115" i="3" a="1"/>
  <c r="AJ115" i="3" s="1"/>
  <c r="AJ114" i="3" a="1"/>
  <c r="AJ114" i="3" s="1"/>
  <c r="AJ113" i="3" a="1"/>
  <c r="AJ113" i="3" s="1"/>
  <c r="AJ112" i="3" a="1"/>
  <c r="AJ112" i="3" s="1"/>
  <c r="AJ111" i="3" a="1"/>
  <c r="AJ111" i="3" s="1"/>
  <c r="AJ110" i="3" a="1"/>
  <c r="AJ110" i="3" s="1"/>
  <c r="AJ109" i="3" a="1"/>
  <c r="AJ109" i="3" s="1"/>
  <c r="AJ108" i="3" a="1"/>
  <c r="AJ108" i="3" s="1"/>
  <c r="AJ107" i="3" a="1"/>
  <c r="AJ107" i="3" s="1"/>
  <c r="AJ106" i="3" a="1"/>
  <c r="AJ106" i="3" s="1"/>
  <c r="AJ105" i="3" a="1"/>
  <c r="AJ105" i="3" s="1"/>
  <c r="AJ104" i="3" a="1"/>
  <c r="AJ104" i="3" s="1"/>
  <c r="AJ103" i="3" a="1"/>
  <c r="AJ103" i="3" s="1"/>
  <c r="AJ102" i="3" a="1"/>
  <c r="AJ102" i="3" s="1"/>
  <c r="AJ101" i="3" a="1"/>
  <c r="AJ101" i="3" s="1"/>
  <c r="AJ100" i="3" a="1"/>
  <c r="AJ100" i="3" s="1"/>
  <c r="AJ99" i="3" a="1"/>
  <c r="AJ99" i="3" s="1"/>
  <c r="AJ98" i="3" a="1"/>
  <c r="AJ98" i="3" s="1"/>
  <c r="AJ97" i="3" a="1"/>
  <c r="AJ97" i="3" s="1"/>
  <c r="AJ96" i="3" a="1"/>
  <c r="AJ96" i="3" s="1"/>
  <c r="AJ95" i="3" a="1"/>
  <c r="AJ95" i="3" s="1"/>
  <c r="AJ94" i="3" a="1"/>
  <c r="AJ94" i="3" s="1"/>
  <c r="AJ93" i="3" a="1"/>
  <c r="AJ93" i="3" s="1"/>
  <c r="AJ92" i="3" a="1"/>
  <c r="AJ92" i="3" s="1"/>
  <c r="AJ91" i="3" a="1"/>
  <c r="AJ91" i="3" s="1"/>
  <c r="AJ90" i="3" a="1"/>
  <c r="AJ90" i="3" s="1"/>
  <c r="AJ89" i="3" a="1"/>
  <c r="AJ89" i="3" s="1"/>
  <c r="AJ88" i="3" a="1"/>
  <c r="AJ88" i="3" s="1"/>
  <c r="AJ87" i="3" a="1"/>
  <c r="AJ87" i="3" s="1"/>
  <c r="AJ86" i="3" a="1"/>
  <c r="AJ86" i="3" s="1"/>
  <c r="AJ85" i="3" a="1"/>
  <c r="AJ85" i="3" s="1"/>
  <c r="AJ84" i="3" a="1"/>
  <c r="AJ84" i="3" s="1"/>
  <c r="AJ83" i="3" a="1"/>
  <c r="AJ83" i="3" s="1"/>
  <c r="AJ82" i="3" a="1"/>
  <c r="AJ82" i="3" s="1"/>
  <c r="AJ81" i="3" a="1"/>
  <c r="AJ81" i="3" s="1"/>
  <c r="AJ80" i="3" a="1"/>
  <c r="AJ80" i="3" s="1"/>
  <c r="AJ79" i="3" a="1"/>
  <c r="AJ79" i="3" s="1"/>
  <c r="AJ78" i="3" a="1"/>
  <c r="AJ78" i="3" s="1"/>
  <c r="AJ77" i="3" a="1"/>
  <c r="AJ77" i="3" s="1"/>
  <c r="AJ76" i="3" a="1"/>
  <c r="AJ76" i="3" s="1"/>
  <c r="AJ75" i="3" a="1"/>
  <c r="AJ75" i="3" s="1"/>
  <c r="AJ74" i="3" a="1"/>
  <c r="AJ74" i="3" s="1"/>
  <c r="AJ73" i="3" a="1"/>
  <c r="AJ73" i="3" s="1"/>
  <c r="AJ72" i="3" a="1"/>
  <c r="AJ72" i="3" s="1"/>
  <c r="AJ71" i="3" a="1"/>
  <c r="AJ71" i="3" s="1"/>
  <c r="AJ70" i="3" a="1"/>
  <c r="AJ70" i="3" s="1"/>
  <c r="AJ69" i="3" a="1"/>
  <c r="AJ69" i="3" s="1"/>
  <c r="AJ68" i="3" a="1"/>
  <c r="AJ68" i="3" s="1"/>
  <c r="AJ67" i="3" a="1"/>
  <c r="AJ67" i="3" s="1"/>
  <c r="AJ66" i="3" a="1"/>
  <c r="AJ66" i="3" s="1"/>
  <c r="AJ65" i="3" a="1"/>
  <c r="AJ65" i="3" s="1"/>
  <c r="AJ64" i="3" a="1"/>
  <c r="AJ64" i="3" s="1"/>
  <c r="AJ63" i="3" a="1"/>
  <c r="AJ63" i="3" s="1"/>
  <c r="AJ62" i="3" a="1"/>
  <c r="AJ62" i="3" s="1"/>
  <c r="AJ61" i="3" a="1"/>
  <c r="AJ61" i="3" s="1"/>
  <c r="AJ60" i="3" a="1"/>
  <c r="AJ60" i="3" s="1"/>
  <c r="AJ59" i="3" a="1"/>
  <c r="AJ59" i="3" s="1"/>
  <c r="AJ58" i="3" a="1"/>
  <c r="AJ58" i="3" s="1"/>
  <c r="AJ57" i="3" a="1"/>
  <c r="AJ57" i="3" s="1"/>
  <c r="AJ56" i="3" a="1"/>
  <c r="AJ56" i="3" s="1"/>
  <c r="AJ55" i="3" a="1"/>
  <c r="AJ55" i="3" s="1"/>
  <c r="AJ54" i="3" a="1"/>
  <c r="AJ54" i="3" s="1"/>
  <c r="AJ53" i="3" a="1"/>
  <c r="AJ53" i="3" s="1"/>
  <c r="AJ52" i="3" a="1"/>
  <c r="AJ52" i="3" s="1"/>
  <c r="AJ51" i="3" a="1"/>
  <c r="AJ51" i="3" s="1"/>
  <c r="AJ50" i="3" a="1"/>
  <c r="AJ50" i="3" s="1"/>
  <c r="AJ49" i="3" a="1"/>
  <c r="AJ49" i="3" s="1"/>
  <c r="AJ48" i="3" a="1"/>
  <c r="AJ48" i="3" s="1"/>
  <c r="AJ47" i="3" a="1"/>
  <c r="AJ47" i="3" s="1"/>
  <c r="AJ46" i="3" a="1"/>
  <c r="AJ46" i="3" s="1"/>
  <c r="AJ45" i="3" a="1"/>
  <c r="AJ45" i="3" s="1"/>
  <c r="AJ44" i="3" a="1"/>
  <c r="AJ44" i="3" s="1"/>
  <c r="AJ43" i="3" a="1"/>
  <c r="AJ43" i="3" s="1"/>
  <c r="AJ42" i="3" a="1"/>
  <c r="AJ42" i="3" s="1"/>
  <c r="AJ41" i="3" a="1"/>
  <c r="AJ41" i="3" s="1"/>
  <c r="AJ40" i="3" a="1"/>
  <c r="AJ40" i="3" s="1"/>
  <c r="AJ39" i="3" a="1"/>
  <c r="AJ39" i="3" s="1"/>
  <c r="AJ38" i="3" a="1"/>
  <c r="AJ38" i="3" s="1"/>
  <c r="AJ37" i="3" a="1"/>
  <c r="AJ37" i="3" s="1"/>
  <c r="AJ36" i="3" a="1"/>
  <c r="AJ36" i="3" s="1"/>
  <c r="AJ35" i="3" a="1"/>
  <c r="AJ35" i="3" s="1"/>
  <c r="AJ34" i="3" a="1"/>
  <c r="AJ34" i="3" s="1"/>
  <c r="AJ33" i="3" a="1"/>
  <c r="AJ33" i="3" s="1"/>
  <c r="AJ32" i="3" a="1"/>
  <c r="AJ32" i="3" s="1"/>
  <c r="AJ31" i="3" a="1"/>
  <c r="AJ31" i="3" s="1"/>
  <c r="AJ30" i="3" a="1"/>
  <c r="AJ30" i="3" s="1"/>
  <c r="AJ29" i="3" a="1"/>
  <c r="AJ29" i="3" s="1"/>
  <c r="AJ28" i="3" a="1"/>
  <c r="AJ28" i="3" s="1"/>
  <c r="AJ27" i="3" a="1"/>
  <c r="AJ27" i="3" s="1"/>
  <c r="AJ26" i="3" a="1"/>
  <c r="AJ26" i="3" s="1"/>
  <c r="AJ25" i="3" a="1"/>
  <c r="AJ25" i="3" s="1"/>
  <c r="AJ24" i="3" a="1"/>
  <c r="AJ24" i="3" s="1"/>
  <c r="AJ23" i="3" a="1"/>
  <c r="AJ23" i="3" s="1"/>
  <c r="AJ22" i="3" a="1"/>
  <c r="AJ22" i="3" s="1"/>
  <c r="AJ21" i="3" a="1"/>
  <c r="AJ21" i="3" s="1"/>
  <c r="AJ20" i="3" a="1"/>
  <c r="AJ20" i="3" s="1"/>
  <c r="AJ19" i="3" a="1"/>
  <c r="AJ19" i="3" s="1"/>
  <c r="AJ18" i="3" a="1"/>
  <c r="AJ18" i="3" s="1"/>
  <c r="AJ17" i="3" a="1"/>
  <c r="AJ17" i="3" s="1"/>
  <c r="AJ16" i="3" a="1"/>
  <c r="AJ16" i="3" s="1"/>
  <c r="AJ15" i="3" a="1"/>
  <c r="AJ15" i="3" s="1"/>
  <c r="AJ14" i="3" a="1"/>
  <c r="AJ14" i="3" s="1"/>
  <c r="AJ13" i="3" a="1"/>
  <c r="AJ13" i="3" s="1"/>
  <c r="AJ12" i="3" a="1"/>
  <c r="AJ12" i="3" s="1"/>
  <c r="AJ11" i="3" a="1"/>
  <c r="AJ11" i="3" s="1"/>
  <c r="AJ10" i="3" a="1"/>
  <c r="AJ10" i="3" s="1"/>
  <c r="AJ9" i="3" a="1"/>
  <c r="AJ9" i="3" s="1"/>
  <c r="AJ8" i="3" a="1"/>
  <c r="AJ8" i="3" s="1"/>
  <c r="AJ7" i="3" a="1"/>
  <c r="AJ7" i="3" s="1"/>
  <c r="AJ6" i="3" a="1"/>
  <c r="AJ6" i="3" s="1"/>
  <c r="AJ5" i="3" a="1"/>
  <c r="AJ5" i="3" s="1"/>
  <c r="AJ4" i="3" a="1"/>
  <c r="AJ4" i="3" s="1"/>
  <c r="AJ3" i="3" a="1"/>
  <c r="AJ3" i="3" s="1"/>
  <c r="AJ2" i="3" a="1"/>
  <c r="AJ2" i="3" s="1"/>
  <c r="B3" i="2"/>
  <c r="H1" i="9"/>
  <c r="B9" i="2"/>
  <c r="AL376" i="3" l="1"/>
  <c r="AM376" i="3" s="1"/>
  <c r="AL424" i="3"/>
  <c r="AM424" i="3" s="1"/>
  <c r="AL419" i="3"/>
  <c r="AM419" i="3" s="1"/>
  <c r="AL447" i="3"/>
  <c r="AM447" i="3" s="1"/>
  <c r="AL459" i="3"/>
  <c r="AM459" i="3" s="1"/>
  <c r="AL394" i="3"/>
  <c r="AM394" i="3" s="1"/>
  <c r="AL395" i="3"/>
  <c r="AM395" i="3" s="1"/>
  <c r="AL399" i="3"/>
  <c r="AM399" i="3" s="1"/>
  <c r="AL418" i="3"/>
  <c r="AM418" i="3" s="1"/>
  <c r="AL435" i="3"/>
  <c r="AM435" i="3" s="1"/>
  <c r="AL442" i="3"/>
  <c r="AM442" i="3" s="1"/>
  <c r="AL383" i="3"/>
  <c r="AM383" i="3" s="1"/>
  <c r="AL471" i="3"/>
  <c r="AM471" i="3" s="1"/>
  <c r="AL387" i="3"/>
  <c r="AM387" i="3" s="1"/>
  <c r="AL245" i="3"/>
  <c r="AM245" i="3" s="1"/>
  <c r="AL388" i="3"/>
  <c r="AM388" i="3" s="1"/>
  <c r="AL443" i="3"/>
  <c r="AM443" i="3" s="1"/>
  <c r="AL448" i="3"/>
  <c r="AM448" i="3" s="1"/>
  <c r="AL400" i="3"/>
  <c r="AM400" i="3" s="1"/>
  <c r="AL460" i="3"/>
  <c r="AM460" i="3" s="1"/>
  <c r="AL412" i="3"/>
  <c r="AM412" i="3" s="1"/>
  <c r="AL472" i="3"/>
  <c r="AM472" i="3" s="1"/>
  <c r="AL375" i="3"/>
  <c r="AM375" i="3" s="1"/>
  <c r="AL423" i="3"/>
  <c r="AM423" i="3" s="1"/>
  <c r="AL454" i="3"/>
  <c r="AM454" i="3" s="1"/>
  <c r="AL370" i="3"/>
  <c r="AM370" i="3" s="1"/>
  <c r="AL426" i="3"/>
  <c r="AM426" i="3" s="1"/>
  <c r="AL455" i="3"/>
  <c r="AM455" i="3" s="1"/>
  <c r="AL371" i="3"/>
  <c r="AM371" i="3" s="1"/>
  <c r="AL430" i="3"/>
  <c r="AM430" i="3" s="1"/>
  <c r="AL414" i="3"/>
  <c r="AM414" i="3" s="1"/>
  <c r="AL474" i="3"/>
  <c r="AM474" i="3" s="1"/>
  <c r="AL390" i="3"/>
  <c r="AM390" i="3" s="1"/>
  <c r="AL450" i="3"/>
  <c r="AM450" i="3" s="1"/>
  <c r="AL402" i="3"/>
  <c r="AM402" i="3" s="1"/>
  <c r="AL431" i="3"/>
  <c r="AM431" i="3" s="1"/>
  <c r="AL406" i="3"/>
  <c r="AM406" i="3" s="1"/>
  <c r="AL462" i="3"/>
  <c r="AM462" i="3" s="1"/>
  <c r="AL378" i="3"/>
  <c r="AM378" i="3" s="1"/>
  <c r="AL407" i="3"/>
  <c r="AM407" i="3" s="1"/>
  <c r="AL436" i="3"/>
  <c r="AM436" i="3" s="1"/>
  <c r="AL466" i="3"/>
  <c r="AM466" i="3" s="1"/>
  <c r="AL382" i="3"/>
  <c r="AM382" i="3" s="1"/>
  <c r="AL411" i="3"/>
  <c r="AM411" i="3" s="1"/>
  <c r="AL438" i="3"/>
  <c r="AM438" i="3" s="1"/>
  <c r="AL467" i="3"/>
  <c r="AM467" i="3" s="1"/>
  <c r="AL48" i="3"/>
  <c r="AM48" i="3" s="1"/>
  <c r="AL70" i="3"/>
  <c r="AM70" i="3" s="1"/>
  <c r="AL88" i="3"/>
  <c r="AM88" i="3" s="1"/>
  <c r="AL100" i="3"/>
  <c r="AM100" i="3" s="1"/>
  <c r="AL115" i="3"/>
  <c r="AM115" i="3" s="1"/>
  <c r="AL130" i="3"/>
  <c r="AM130" i="3" s="1"/>
  <c r="AL161" i="3"/>
  <c r="AM161" i="3" s="1"/>
  <c r="AL173" i="3"/>
  <c r="AM173" i="3" s="1"/>
  <c r="AL186" i="3"/>
  <c r="AM186" i="3" s="1"/>
  <c r="AL202" i="3"/>
  <c r="AM202" i="3" s="1"/>
  <c r="AL216" i="3"/>
  <c r="AM216" i="3" s="1"/>
  <c r="AL229" i="3"/>
  <c r="AM229" i="3" s="1"/>
  <c r="AL246" i="3"/>
  <c r="AM246" i="3" s="1"/>
  <c r="AL259" i="3"/>
  <c r="AM259" i="3" s="1"/>
  <c r="AL271" i="3"/>
  <c r="AM271" i="3" s="1"/>
  <c r="AL283" i="3"/>
  <c r="AM283" i="3" s="1"/>
  <c r="AL295" i="3"/>
  <c r="AM295" i="3" s="1"/>
  <c r="AL307" i="3"/>
  <c r="AM307" i="3" s="1"/>
  <c r="AL319" i="3"/>
  <c r="AM319" i="3" s="1"/>
  <c r="AL49" i="3"/>
  <c r="AM49" i="3" s="1"/>
  <c r="AL71" i="3"/>
  <c r="AM71" i="3" s="1"/>
  <c r="AL89" i="3"/>
  <c r="AM89" i="3" s="1"/>
  <c r="AL102" i="3"/>
  <c r="AM102" i="3" s="1"/>
  <c r="AL116" i="3"/>
  <c r="AM116" i="3" s="1"/>
  <c r="AL133" i="3"/>
  <c r="AM133" i="3" s="1"/>
  <c r="AL162" i="3"/>
  <c r="AM162" i="3" s="1"/>
  <c r="AL174" i="3"/>
  <c r="AM174" i="3" s="1"/>
  <c r="AL190" i="3"/>
  <c r="AM190" i="3" s="1"/>
  <c r="AL203" i="3"/>
  <c r="AM203" i="3" s="1"/>
  <c r="AL217" i="3"/>
  <c r="AM217" i="3" s="1"/>
  <c r="AL230" i="3"/>
  <c r="AM230" i="3" s="1"/>
  <c r="AL248" i="3"/>
  <c r="AM248" i="3" s="1"/>
  <c r="AL260" i="3"/>
  <c r="AM260" i="3" s="1"/>
  <c r="AL272" i="3"/>
  <c r="AM272" i="3" s="1"/>
  <c r="AL284" i="3"/>
  <c r="AM284" i="3" s="1"/>
  <c r="AL296" i="3"/>
  <c r="AM296" i="3" s="1"/>
  <c r="AL308" i="3"/>
  <c r="AM308" i="3" s="1"/>
  <c r="AL367" i="3"/>
  <c r="AM367" i="3" s="1"/>
  <c r="AL379" i="3"/>
  <c r="AM379" i="3" s="1"/>
  <c r="AL391" i="3"/>
  <c r="AM391" i="3" s="1"/>
  <c r="AL403" i="3"/>
  <c r="AM403" i="3" s="1"/>
  <c r="AL415" i="3"/>
  <c r="AM415" i="3" s="1"/>
  <c r="AL427" i="3"/>
  <c r="AM427" i="3" s="1"/>
  <c r="AL439" i="3"/>
  <c r="AM439" i="3" s="1"/>
  <c r="AL451" i="3"/>
  <c r="AM451" i="3" s="1"/>
  <c r="AL463" i="3"/>
  <c r="AM463" i="3" s="1"/>
  <c r="AL475" i="3"/>
  <c r="AM475" i="3" s="1"/>
  <c r="AL36" i="3"/>
  <c r="AM36" i="3" s="1"/>
  <c r="AL50" i="3"/>
  <c r="AM50" i="3" s="1"/>
  <c r="AL72" i="3"/>
  <c r="AM72" i="3" s="1"/>
  <c r="AL90" i="3"/>
  <c r="AM90" i="3" s="1"/>
  <c r="AL103" i="3"/>
  <c r="AM103" i="3" s="1"/>
  <c r="AL117" i="3"/>
  <c r="AM117" i="3" s="1"/>
  <c r="AL136" i="3"/>
  <c r="AM136" i="3" s="1"/>
  <c r="AL163" i="3"/>
  <c r="AM163" i="3" s="1"/>
  <c r="AL175" i="3"/>
  <c r="AM175" i="3" s="1"/>
  <c r="AL191" i="3"/>
  <c r="AM191" i="3" s="1"/>
  <c r="AL205" i="3"/>
  <c r="AM205" i="3" s="1"/>
  <c r="AL218" i="3"/>
  <c r="AM218" i="3" s="1"/>
  <c r="AL231" i="3"/>
  <c r="AM231" i="3" s="1"/>
  <c r="AL249" i="3"/>
  <c r="AM249" i="3" s="1"/>
  <c r="AL261" i="3"/>
  <c r="AM261" i="3" s="1"/>
  <c r="AL273" i="3"/>
  <c r="AM273" i="3" s="1"/>
  <c r="AL285" i="3"/>
  <c r="AM285" i="3" s="1"/>
  <c r="AL297" i="3"/>
  <c r="AM297" i="3" s="1"/>
  <c r="AL309" i="3"/>
  <c r="AM309" i="3" s="1"/>
  <c r="AL368" i="3"/>
  <c r="AM368" i="3" s="1"/>
  <c r="AL380" i="3"/>
  <c r="AM380" i="3" s="1"/>
  <c r="AL392" i="3"/>
  <c r="AM392" i="3" s="1"/>
  <c r="AL404" i="3"/>
  <c r="AM404" i="3" s="1"/>
  <c r="AL416" i="3"/>
  <c r="AM416" i="3" s="1"/>
  <c r="AL428" i="3"/>
  <c r="AM428" i="3" s="1"/>
  <c r="AL440" i="3"/>
  <c r="AM440" i="3" s="1"/>
  <c r="AL452" i="3"/>
  <c r="AM452" i="3" s="1"/>
  <c r="AL464" i="3"/>
  <c r="AM464" i="3" s="1"/>
  <c r="AL55" i="3"/>
  <c r="AM55" i="3" s="1"/>
  <c r="AL79" i="3"/>
  <c r="AM79" i="3" s="1"/>
  <c r="AL91" i="3"/>
  <c r="AM91" i="3" s="1"/>
  <c r="AL104" i="3"/>
  <c r="AM104" i="3" s="1"/>
  <c r="AL118" i="3"/>
  <c r="AM118" i="3" s="1"/>
  <c r="AL138" i="3"/>
  <c r="AM138" i="3" s="1"/>
  <c r="AL164" i="3"/>
  <c r="AM164" i="3" s="1"/>
  <c r="AL176" i="3"/>
  <c r="AM176" i="3" s="1"/>
  <c r="AL192" i="3"/>
  <c r="AM192" i="3" s="1"/>
  <c r="AL206" i="3"/>
  <c r="AM206" i="3" s="1"/>
  <c r="AL219" i="3"/>
  <c r="AM219" i="3" s="1"/>
  <c r="AL232" i="3"/>
  <c r="AM232" i="3" s="1"/>
  <c r="AL250" i="3"/>
  <c r="AM250" i="3" s="1"/>
  <c r="AL262" i="3"/>
  <c r="AM262" i="3" s="1"/>
  <c r="AL274" i="3"/>
  <c r="AM274" i="3" s="1"/>
  <c r="AL286" i="3"/>
  <c r="AM286" i="3" s="1"/>
  <c r="AL298" i="3"/>
  <c r="AM298" i="3" s="1"/>
  <c r="AL310" i="3"/>
  <c r="AM310" i="3" s="1"/>
  <c r="AL369" i="3"/>
  <c r="AM369" i="3" s="1"/>
  <c r="AL381" i="3"/>
  <c r="AM381" i="3" s="1"/>
  <c r="AL393" i="3"/>
  <c r="AM393" i="3" s="1"/>
  <c r="AL405" i="3"/>
  <c r="AM405" i="3" s="1"/>
  <c r="AL417" i="3"/>
  <c r="AM417" i="3" s="1"/>
  <c r="AL429" i="3"/>
  <c r="AM429" i="3" s="1"/>
  <c r="AL441" i="3"/>
  <c r="AM441" i="3" s="1"/>
  <c r="AL453" i="3"/>
  <c r="AM453" i="3" s="1"/>
  <c r="AL465" i="3"/>
  <c r="AM465" i="3" s="1"/>
  <c r="AL37" i="3"/>
  <c r="AM37" i="3" s="1"/>
  <c r="AL57" i="3"/>
  <c r="AM57" i="3" s="1"/>
  <c r="AL80" i="3"/>
  <c r="AM80" i="3" s="1"/>
  <c r="AL92" i="3"/>
  <c r="AM92" i="3" s="1"/>
  <c r="AL105" i="3"/>
  <c r="AM105" i="3" s="1"/>
  <c r="AL120" i="3"/>
  <c r="AM120" i="3" s="1"/>
  <c r="AL139" i="3"/>
  <c r="AM139" i="3" s="1"/>
  <c r="AL165" i="3"/>
  <c r="AM165" i="3" s="1"/>
  <c r="AL177" i="3"/>
  <c r="AM177" i="3" s="1"/>
  <c r="AL193" i="3"/>
  <c r="AM193" i="3" s="1"/>
  <c r="AL207" i="3"/>
  <c r="AM207" i="3" s="1"/>
  <c r="AL220" i="3"/>
  <c r="AM220" i="3" s="1"/>
  <c r="AL233" i="3"/>
  <c r="AM233" i="3" s="1"/>
  <c r="AL251" i="3"/>
  <c r="AM251" i="3" s="1"/>
  <c r="AL263" i="3"/>
  <c r="AM263" i="3" s="1"/>
  <c r="AL275" i="3"/>
  <c r="AM275" i="3" s="1"/>
  <c r="AL287" i="3"/>
  <c r="AM287" i="3" s="1"/>
  <c r="AL299" i="3"/>
  <c r="AM299" i="3" s="1"/>
  <c r="AL311" i="3"/>
  <c r="AM311" i="3" s="1"/>
  <c r="AL39" i="3"/>
  <c r="AM39" i="3" s="1"/>
  <c r="AL58" i="3"/>
  <c r="AM58" i="3" s="1"/>
  <c r="AL81" i="3"/>
  <c r="AM81" i="3" s="1"/>
  <c r="AL93" i="3"/>
  <c r="AM93" i="3" s="1"/>
  <c r="AL106" i="3"/>
  <c r="AM106" i="3" s="1"/>
  <c r="AL121" i="3"/>
  <c r="AM121" i="3" s="1"/>
  <c r="AL146" i="3"/>
  <c r="AM146" i="3" s="1"/>
  <c r="AL166" i="3"/>
  <c r="AM166" i="3" s="1"/>
  <c r="AL178" i="3"/>
  <c r="AM178" i="3" s="1"/>
  <c r="AL194" i="3"/>
  <c r="AM194" i="3" s="1"/>
  <c r="AL208" i="3"/>
  <c r="AM208" i="3" s="1"/>
  <c r="AL221" i="3"/>
  <c r="AM221" i="3" s="1"/>
  <c r="AL235" i="3"/>
  <c r="AM235" i="3" s="1"/>
  <c r="AL252" i="3"/>
  <c r="AM252" i="3" s="1"/>
  <c r="AL264" i="3"/>
  <c r="AM264" i="3" s="1"/>
  <c r="AL276" i="3"/>
  <c r="AM276" i="3" s="1"/>
  <c r="AL288" i="3"/>
  <c r="AM288" i="3" s="1"/>
  <c r="AL300" i="3"/>
  <c r="AM300" i="3" s="1"/>
  <c r="AL312" i="3"/>
  <c r="AM312" i="3" s="1"/>
  <c r="AL40" i="3"/>
  <c r="AM40" i="3" s="1"/>
  <c r="AL62" i="3"/>
  <c r="AM62" i="3" s="1"/>
  <c r="AL82" i="3"/>
  <c r="AM82" i="3" s="1"/>
  <c r="AL94" i="3"/>
  <c r="AM94" i="3" s="1"/>
  <c r="AL107" i="3"/>
  <c r="AM107" i="3" s="1"/>
  <c r="AL122" i="3"/>
  <c r="AM122" i="3" s="1"/>
  <c r="AL153" i="3"/>
  <c r="AM153" i="3" s="1"/>
  <c r="AL167" i="3"/>
  <c r="AM167" i="3" s="1"/>
  <c r="AL179" i="3"/>
  <c r="AM179" i="3" s="1"/>
  <c r="AL195" i="3"/>
  <c r="AM195" i="3" s="1"/>
  <c r="AL209" i="3"/>
  <c r="AM209" i="3" s="1"/>
  <c r="AL222" i="3"/>
  <c r="AM222" i="3" s="1"/>
  <c r="AL236" i="3"/>
  <c r="AM236" i="3" s="1"/>
  <c r="AL253" i="3"/>
  <c r="AM253" i="3" s="1"/>
  <c r="AL265" i="3"/>
  <c r="AM265" i="3" s="1"/>
  <c r="AL277" i="3"/>
  <c r="AM277" i="3" s="1"/>
  <c r="AL289" i="3"/>
  <c r="AM289" i="3" s="1"/>
  <c r="AL301" i="3"/>
  <c r="AM301" i="3" s="1"/>
  <c r="AL313" i="3"/>
  <c r="AM313" i="3" s="1"/>
  <c r="AL372" i="3"/>
  <c r="AM372" i="3" s="1"/>
  <c r="AL384" i="3"/>
  <c r="AM384" i="3" s="1"/>
  <c r="AL396" i="3"/>
  <c r="AM396" i="3" s="1"/>
  <c r="AL408" i="3"/>
  <c r="AM408" i="3" s="1"/>
  <c r="AL420" i="3"/>
  <c r="AM420" i="3" s="1"/>
  <c r="AL432" i="3"/>
  <c r="AM432" i="3" s="1"/>
  <c r="AL444" i="3"/>
  <c r="AM444" i="3" s="1"/>
  <c r="AL456" i="3"/>
  <c r="AM456" i="3" s="1"/>
  <c r="AL468" i="3"/>
  <c r="AM468" i="3" s="1"/>
  <c r="AL41" i="3"/>
  <c r="AM41" i="3" s="1"/>
  <c r="AL63" i="3"/>
  <c r="AM63" i="3" s="1"/>
  <c r="AL83" i="3"/>
  <c r="AM83" i="3" s="1"/>
  <c r="AL95" i="3"/>
  <c r="AM95" i="3" s="1"/>
  <c r="AL108" i="3"/>
  <c r="AM108" i="3" s="1"/>
  <c r="AL123" i="3"/>
  <c r="AM123" i="3" s="1"/>
  <c r="AL154" i="3"/>
  <c r="AM154" i="3" s="1"/>
  <c r="AL168" i="3"/>
  <c r="AM168" i="3" s="1"/>
  <c r="AL180" i="3"/>
  <c r="AM180" i="3" s="1"/>
  <c r="AL196" i="3"/>
  <c r="AM196" i="3" s="1"/>
  <c r="AL210" i="3"/>
  <c r="AM210" i="3" s="1"/>
  <c r="AL223" i="3"/>
  <c r="AM223" i="3" s="1"/>
  <c r="AL237" i="3"/>
  <c r="AM237" i="3" s="1"/>
  <c r="AL254" i="3"/>
  <c r="AM254" i="3" s="1"/>
  <c r="AL266" i="3"/>
  <c r="AM266" i="3" s="1"/>
  <c r="AL278" i="3"/>
  <c r="AM278" i="3" s="1"/>
  <c r="AL290" i="3"/>
  <c r="AM290" i="3" s="1"/>
  <c r="AL302" i="3"/>
  <c r="AM302" i="3" s="1"/>
  <c r="AL314" i="3"/>
  <c r="AM314" i="3" s="1"/>
  <c r="AL373" i="3"/>
  <c r="AM373" i="3" s="1"/>
  <c r="AL385" i="3"/>
  <c r="AM385" i="3" s="1"/>
  <c r="AL397" i="3"/>
  <c r="AM397" i="3" s="1"/>
  <c r="AL409" i="3"/>
  <c r="AM409" i="3" s="1"/>
  <c r="AL421" i="3"/>
  <c r="AM421" i="3" s="1"/>
  <c r="AL433" i="3"/>
  <c r="AM433" i="3" s="1"/>
  <c r="AL445" i="3"/>
  <c r="AM445" i="3" s="1"/>
  <c r="AL457" i="3"/>
  <c r="AM457" i="3" s="1"/>
  <c r="AL469" i="3"/>
  <c r="AM469" i="3" s="1"/>
  <c r="AL42" i="3"/>
  <c r="AM42" i="3" s="1"/>
  <c r="AL64" i="3"/>
  <c r="AM64" i="3" s="1"/>
  <c r="AL84" i="3"/>
  <c r="AM84" i="3" s="1"/>
  <c r="AL96" i="3"/>
  <c r="AM96" i="3" s="1"/>
  <c r="AL110" i="3"/>
  <c r="AM110" i="3" s="1"/>
  <c r="AL124" i="3"/>
  <c r="AM124" i="3" s="1"/>
  <c r="AL155" i="3"/>
  <c r="AM155" i="3" s="1"/>
  <c r="AL169" i="3"/>
  <c r="AM169" i="3" s="1"/>
  <c r="AL181" i="3"/>
  <c r="AM181" i="3" s="1"/>
  <c r="AL197" i="3"/>
  <c r="AM197" i="3" s="1"/>
  <c r="AL211" i="3"/>
  <c r="AM211" i="3" s="1"/>
  <c r="AL224" i="3"/>
  <c r="AM224" i="3" s="1"/>
  <c r="AL239" i="3"/>
  <c r="AM239" i="3" s="1"/>
  <c r="AL255" i="3"/>
  <c r="AM255" i="3" s="1"/>
  <c r="AL267" i="3"/>
  <c r="AM267" i="3" s="1"/>
  <c r="AL279" i="3"/>
  <c r="AM279" i="3" s="1"/>
  <c r="AL291" i="3"/>
  <c r="AM291" i="3" s="1"/>
  <c r="AL303" i="3"/>
  <c r="AM303" i="3" s="1"/>
  <c r="AL315" i="3"/>
  <c r="AM315" i="3" s="1"/>
  <c r="AL374" i="3"/>
  <c r="AM374" i="3" s="1"/>
  <c r="AL386" i="3"/>
  <c r="AM386" i="3" s="1"/>
  <c r="AL398" i="3"/>
  <c r="AM398" i="3" s="1"/>
  <c r="AL410" i="3"/>
  <c r="AM410" i="3" s="1"/>
  <c r="AL422" i="3"/>
  <c r="AM422" i="3" s="1"/>
  <c r="AL434" i="3"/>
  <c r="AM434" i="3" s="1"/>
  <c r="AL446" i="3"/>
  <c r="AM446" i="3" s="1"/>
  <c r="AL458" i="3"/>
  <c r="AM458" i="3" s="1"/>
  <c r="AL470" i="3"/>
  <c r="AM470" i="3" s="1"/>
  <c r="AL43" i="3"/>
  <c r="AM43" i="3" s="1"/>
  <c r="AL65" i="3"/>
  <c r="AM65" i="3" s="1"/>
  <c r="AL85" i="3"/>
  <c r="AM85" i="3" s="1"/>
  <c r="AL97" i="3"/>
  <c r="AM97" i="3" s="1"/>
  <c r="AL112" i="3"/>
  <c r="AM112" i="3" s="1"/>
  <c r="AL125" i="3"/>
  <c r="AM125" i="3" s="1"/>
  <c r="AL156" i="3"/>
  <c r="AM156" i="3" s="1"/>
  <c r="AL170" i="3"/>
  <c r="AM170" i="3" s="1"/>
  <c r="AL182" i="3"/>
  <c r="AM182" i="3" s="1"/>
  <c r="AL199" i="3"/>
  <c r="AM199" i="3" s="1"/>
  <c r="AL212" i="3"/>
  <c r="AM212" i="3" s="1"/>
  <c r="AL225" i="3"/>
  <c r="AM225" i="3" s="1"/>
  <c r="AL240" i="3"/>
  <c r="AM240" i="3" s="1"/>
  <c r="AL256" i="3"/>
  <c r="AM256" i="3" s="1"/>
  <c r="AL268" i="3"/>
  <c r="AM268" i="3" s="1"/>
  <c r="AL280" i="3"/>
  <c r="AM280" i="3" s="1"/>
  <c r="AL292" i="3"/>
  <c r="AM292" i="3" s="1"/>
  <c r="AL304" i="3"/>
  <c r="AM304" i="3" s="1"/>
  <c r="AL316" i="3"/>
  <c r="AM316" i="3" s="1"/>
  <c r="AL44" i="3"/>
  <c r="AM44" i="3" s="1"/>
  <c r="AL66" i="3"/>
  <c r="AM66" i="3" s="1"/>
  <c r="AL86" i="3"/>
  <c r="AM86" i="3" s="1"/>
  <c r="AL98" i="3"/>
  <c r="AM98" i="3" s="1"/>
  <c r="AL113" i="3"/>
  <c r="AM113" i="3" s="1"/>
  <c r="AL126" i="3"/>
  <c r="AM126" i="3" s="1"/>
  <c r="AL157" i="3"/>
  <c r="AM157" i="3" s="1"/>
  <c r="AL171" i="3"/>
  <c r="AM171" i="3" s="1"/>
  <c r="AL184" i="3"/>
  <c r="AM184" i="3" s="1"/>
  <c r="AL200" i="3"/>
  <c r="AM200" i="3" s="1"/>
  <c r="AL213" i="3"/>
  <c r="AM213" i="3" s="1"/>
  <c r="AL226" i="3"/>
  <c r="AM226" i="3" s="1"/>
  <c r="AL244" i="3"/>
  <c r="AM244" i="3" s="1"/>
  <c r="AL257" i="3"/>
  <c r="AM257" i="3" s="1"/>
  <c r="AL269" i="3"/>
  <c r="AM269" i="3" s="1"/>
  <c r="AL281" i="3"/>
  <c r="AM281" i="3" s="1"/>
  <c r="AL293" i="3"/>
  <c r="AM293" i="3" s="1"/>
  <c r="AL305" i="3"/>
  <c r="AM305" i="3" s="1"/>
  <c r="AL317" i="3"/>
  <c r="AM317" i="3" s="1"/>
  <c r="AL45" i="3"/>
  <c r="AM45" i="3" s="1"/>
  <c r="AL67" i="3"/>
  <c r="AM67" i="3" s="1"/>
  <c r="AL87" i="3"/>
  <c r="AM87" i="3" s="1"/>
  <c r="AL99" i="3"/>
  <c r="AM99" i="3" s="1"/>
  <c r="AL114" i="3"/>
  <c r="AM114" i="3" s="1"/>
  <c r="AL127" i="3"/>
  <c r="AM127" i="3" s="1"/>
  <c r="AL160" i="3"/>
  <c r="AM160" i="3" s="1"/>
  <c r="AL172" i="3"/>
  <c r="AM172" i="3" s="1"/>
  <c r="AL185" i="3"/>
  <c r="AM185" i="3" s="1"/>
  <c r="AL201" i="3"/>
  <c r="AM201" i="3" s="1"/>
  <c r="AL214" i="3"/>
  <c r="AM214" i="3" s="1"/>
  <c r="AL228" i="3"/>
  <c r="AM228" i="3" s="1"/>
  <c r="AL258" i="3"/>
  <c r="AM258" i="3" s="1"/>
  <c r="AL270" i="3"/>
  <c r="AM270" i="3" s="1"/>
  <c r="AL282" i="3"/>
  <c r="AM282" i="3" s="1"/>
  <c r="AL294" i="3"/>
  <c r="AM294" i="3" s="1"/>
  <c r="AL306" i="3"/>
  <c r="AM306" i="3" s="1"/>
  <c r="AL318" i="3"/>
  <c r="AM318" i="3" s="1"/>
  <c r="AL377" i="3"/>
  <c r="AM377" i="3" s="1"/>
  <c r="AL389" i="3"/>
  <c r="AM389" i="3" s="1"/>
  <c r="AL401" i="3"/>
  <c r="AM401" i="3" s="1"/>
  <c r="AL413" i="3"/>
  <c r="AM413" i="3" s="1"/>
  <c r="AL425" i="3"/>
  <c r="AM425" i="3" s="1"/>
  <c r="AL437" i="3"/>
  <c r="AM437" i="3" s="1"/>
  <c r="AL449" i="3"/>
  <c r="AM449" i="3" s="1"/>
  <c r="AL461" i="3"/>
  <c r="AM461" i="3" s="1"/>
  <c r="AL473" i="3"/>
  <c r="AM473" i="3" s="1"/>
  <c r="B8" i="2"/>
  <c r="B11" i="2" s="1"/>
  <c r="T18" i="1" l="1"/>
  <c r="S18" i="1"/>
  <c r="R18" i="1"/>
  <c r="Q18" i="1"/>
  <c r="P18" i="1"/>
  <c r="O18" i="1"/>
  <c r="I18" i="1"/>
  <c r="H18" i="1"/>
  <c r="G18" i="1"/>
  <c r="F18" i="1"/>
  <c r="E18" i="1"/>
  <c r="D18" i="1"/>
  <c r="J16" i="1"/>
  <c r="U16" i="1"/>
  <c r="J15" i="1"/>
  <c r="U15" i="1"/>
  <c r="J14" i="1"/>
  <c r="U14" i="1"/>
  <c r="J13" i="1"/>
  <c r="U13" i="1"/>
  <c r="J12" i="1"/>
  <c r="U12" i="1"/>
  <c r="J11" i="1"/>
  <c r="U10" i="1"/>
  <c r="J10" i="1"/>
  <c r="U9" i="1"/>
  <c r="J9" i="1"/>
  <c r="U8" i="1"/>
  <c r="J8" i="1"/>
  <c r="U7" i="1"/>
  <c r="J7" i="1"/>
  <c r="J18" i="1" s="1"/>
  <c r="U6" i="1"/>
  <c r="J6" i="1"/>
  <c r="U5" i="1"/>
  <c r="U18" i="1" s="1"/>
  <c r="J5" i="1"/>
  <c r="U4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<sst xmlns="http://schemas.openxmlformats.org/spreadsheetml/2006/main" count="20522" uniqueCount="1091">
  <si>
    <t>Credit Note</t>
  </si>
  <si>
    <t>Debit Note</t>
  </si>
  <si>
    <t>Pay</t>
  </si>
  <si>
    <t>Purchase Invoice</t>
  </si>
  <si>
    <t>Years</t>
  </si>
  <si>
    <t>Quarters</t>
  </si>
  <si>
    <t>Document Date</t>
  </si>
  <si>
    <t>DA</t>
  </si>
  <si>
    <t>DG</t>
  </si>
  <si>
    <t>DR</t>
  </si>
  <si>
    <t>DY</t>
  </si>
  <si>
    <t>DZ</t>
  </si>
  <si>
    <t>XC</t>
  </si>
  <si>
    <t>Net balance</t>
  </si>
  <si>
    <t>Posting Date</t>
  </si>
  <si>
    <t>Sum of Debit (INR)</t>
  </si>
  <si>
    <t>Sum of Credit (INR)</t>
  </si>
  <si>
    <t>2025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</si>
  <si>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</si>
  <si>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</si>
  <si>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</si>
  <si>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</si>
  <si>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</si>
  <si>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</si>
  <si>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</si>
  <si>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</si>
  <si>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</si>
  <si>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</si>
  <si>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</si>
  <si>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</si>
  <si>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</si>
  <si>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</si>
  <si>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</si>
  <si>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2026</t>
  </si>
  <si>
    <t>Jan</t>
  </si>
  <si>
    <t>Cleared Item</t>
  </si>
  <si>
    <t>Company Code</t>
  </si>
  <si>
    <t>Customer</t>
  </si>
  <si>
    <t>Customer Account: Name 1</t>
  </si>
  <si>
    <t>Fiscal Year</t>
  </si>
  <si>
    <t>Posting period</t>
  </si>
  <si>
    <t>Document Number</t>
  </si>
  <si>
    <t>Document Type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</si>
  <si>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</si>
  <si>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</si>
  <si>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</si>
  <si>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</si>
  <si>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</si>
  <si>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</si>
  <si>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</si>
  <si>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</si>
  <si>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</si>
  <si>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</si>
  <si>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</si>
  <si>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</si>
  <si>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</si>
  <si>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</si>
  <si>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</si>
  <si>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</si>
  <si>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</si>
  <si>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</si>
  <si>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</si>
  <si>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</si>
  <si>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</si>
  <si>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</si>
  <si>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</si>
  <si>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Selected</t>
  </si>
  <si>
    <t>6779</t>
  </si>
  <si>
    <t>100222332</t>
  </si>
  <si>
    <t>SCOPE LOGISTICS SERVICES INDIA PVT.</t>
  </si>
  <si>
    <t>7</t>
  </si>
  <si>
    <t>NA</t>
  </si>
  <si>
    <t>212100</t>
  </si>
  <si>
    <t>Trade Debtors (Ctrl)</t>
  </si>
  <si>
    <t/>
  </si>
  <si>
    <t>11</t>
  </si>
  <si>
    <t>USD</t>
  </si>
  <si>
    <t>INR</t>
  </si>
  <si>
    <t>O0</t>
  </si>
  <si>
    <t>6779224500</t>
  </si>
  <si>
    <t>1</t>
  </si>
  <si>
    <t>Credit Note raised against INV_246779410348</t>
  </si>
  <si>
    <t>1400000285</t>
  </si>
  <si>
    <t>01</t>
  </si>
  <si>
    <t>Debit note Note raised against CN_256779421358</t>
  </si>
  <si>
    <t>Credit Note raised against INV_246779410360</t>
  </si>
  <si>
    <t>1400000286</t>
  </si>
  <si>
    <t>Debit note Note raised against CN_256779421359</t>
  </si>
  <si>
    <t>Credit Note raised against INV_246779413701</t>
  </si>
  <si>
    <t>1400000287</t>
  </si>
  <si>
    <t>Debit note Note raised against CN_256779421360</t>
  </si>
  <si>
    <t>Credit Note raised against INV_246779413796</t>
  </si>
  <si>
    <t>1400000288</t>
  </si>
  <si>
    <t>Debit note Note raised against CN_256779421363</t>
  </si>
  <si>
    <t>Credit Note raised against INV_246779413845</t>
  </si>
  <si>
    <t>1400000289</t>
  </si>
  <si>
    <t>Debit note Note raised against CN_256779421366</t>
  </si>
  <si>
    <t>Credit Note raised against INV_246779411278</t>
  </si>
  <si>
    <t>1400000290</t>
  </si>
  <si>
    <t>Debit note Note raised against CN_256779421371</t>
  </si>
  <si>
    <t>Credit Note raised against INV_246779413702</t>
  </si>
  <si>
    <t>1400001901</t>
  </si>
  <si>
    <t>Credit Note raised against INV_246779413705</t>
  </si>
  <si>
    <t>Credit Note raised against INV_246779413816</t>
  </si>
  <si>
    <t>Credit Note raised against INV_246779413827</t>
  </si>
  <si>
    <t>Credit Note raised against INV_256779410220</t>
  </si>
  <si>
    <t>Credit Note raised against INV_256779410004</t>
  </si>
  <si>
    <t>Credit Note raised against INV_256779410010</t>
  </si>
  <si>
    <t>Credit Note raised against INV_256779411917</t>
  </si>
  <si>
    <t>Credit Note raised against INV_246779411300</t>
  </si>
  <si>
    <t>Credit Note raised against INV_246779411314</t>
  </si>
  <si>
    <t>Credit Note raised against INV_246779411326</t>
  </si>
  <si>
    <t>Credit Note raised against INV_246779411339</t>
  </si>
  <si>
    <t>Credit Note raised against INV_256779412692</t>
  </si>
  <si>
    <t>Credit Note raised against INV_256779413283</t>
  </si>
  <si>
    <t>Credit Note raised against INV_256779413861</t>
  </si>
  <si>
    <t>Credit Note raised against INV_256779414288</t>
  </si>
  <si>
    <t>Credit note Note raised against INV_246779410348</t>
  </si>
  <si>
    <t>1400001902</t>
  </si>
  <si>
    <t>Credit note Note raised against INV_246779410360</t>
  </si>
  <si>
    <t>Credit note Note raised against INV_246779413701</t>
  </si>
  <si>
    <t>Credit note Note raised against INV_246779413796</t>
  </si>
  <si>
    <t>Credit note Note raised against INV_246779413845</t>
  </si>
  <si>
    <t>Credit note Note raised against INV_246779411278</t>
  </si>
  <si>
    <t>Not Selected</t>
  </si>
  <si>
    <t>5</t>
  </si>
  <si>
    <t>Outbound chgs - 01 - 15 MAY 25</t>
  </si>
  <si>
    <t>VAS -1-15 May 25, Ex.rate 85.43</t>
  </si>
  <si>
    <t>Inbound chgs -01-15 MAY 25</t>
  </si>
  <si>
    <t>4</t>
  </si>
  <si>
    <t>Outbound Handling charges for Mar 25</t>
  </si>
  <si>
    <t>Loose loading Handling charges for Mar 25</t>
  </si>
  <si>
    <t>Inbound Handling charges for Mar 25</t>
  </si>
  <si>
    <t>MHE Charges for Mar 25</t>
  </si>
  <si>
    <t>Outbound Handling charges for Feb 2025</t>
  </si>
  <si>
    <t>VAS Activity -1 -15 Mar 25, Ex Rate. 87.01</t>
  </si>
  <si>
    <t>Fixed Rental charges for Feb 2025</t>
  </si>
  <si>
    <t>1400000246</t>
  </si>
  <si>
    <t>Fixed Rental charges for Jan 2025</t>
  </si>
  <si>
    <t>1400000247</t>
  </si>
  <si>
    <t>CY Longstanding container Ground Rent charges for</t>
  </si>
  <si>
    <t>10</t>
  </si>
  <si>
    <t>2114876</t>
  </si>
  <si>
    <t>CY - CY Grd Rent Chgs - 01 - 15 OCT 25</t>
  </si>
  <si>
    <t>2114877</t>
  </si>
  <si>
    <t>CY Ground rent Chgs - 01 - 15 Oct 25</t>
  </si>
  <si>
    <t>2114881</t>
  </si>
  <si>
    <t>Inbound chgs - 01 - 15 OCT 25</t>
  </si>
  <si>
    <t>2114883</t>
  </si>
  <si>
    <t>Outbound chgs - 01 - 15 Oct 25</t>
  </si>
  <si>
    <t>Fixed Storage Charges for April 2025</t>
  </si>
  <si>
    <t>Credit Note raised against 256779413861</t>
  </si>
  <si>
    <t>Scanning  Chgs - 01 - 15 May 25</t>
  </si>
  <si>
    <t>Credit note raised against 256779414459</t>
  </si>
  <si>
    <t>1400001112</t>
  </si>
  <si>
    <t>Credit note raised against 256779414476</t>
  </si>
  <si>
    <t>Credit Note raised against 256779413885</t>
  </si>
  <si>
    <t>InKPI-CODC-1-15 May 25-BOE9790661</t>
  </si>
  <si>
    <t>InKPI-CODC-1-15 May 25-BOE9862672</t>
  </si>
  <si>
    <t>OutKPI-CODC-1-15-MAY-25-9960786</t>
  </si>
  <si>
    <t>OutKPI-CODC-1-15-MAY-25-20045577</t>
  </si>
  <si>
    <t>VAS 1-15 April-25,Ex.Rate-85.69</t>
  </si>
  <si>
    <t>6</t>
  </si>
  <si>
    <t>CODC Out chgs - 01 - 15 Jun 25</t>
  </si>
  <si>
    <t>2114868</t>
  </si>
  <si>
    <t>VAS  -1-15 Oct 2025</t>
  </si>
  <si>
    <t>3</t>
  </si>
  <si>
    <t>Fixed Storage Charges for Mar 2025</t>
  </si>
  <si>
    <t>HMMU6832693-Port SSR Shifting Jan 2025. Exch rate</t>
  </si>
  <si>
    <t>KOCU4372804-Port SSR Shifting Jan 2025. Exch rate</t>
  </si>
  <si>
    <t>TCNU8653352-Port SSR Shifting Jan 2025. Exch rate</t>
  </si>
  <si>
    <t>HDMU6860845-Port SSR Shifting Jan 2025. Exch rate</t>
  </si>
  <si>
    <t>EOLU8212240-Port SSR Shifting Jan 2025. Exch rate</t>
  </si>
  <si>
    <t>EOLU8605417-Port SSR Storage Feb 2025. Exch rate -</t>
  </si>
  <si>
    <t>VAS 1-15 June 25, Exch 86.10</t>
  </si>
  <si>
    <t>WEIGHMENT 1-15 June 25, Exch 86.10</t>
  </si>
  <si>
    <t>2130555</t>
  </si>
  <si>
    <t>VAS-Nov 1-15, 2025</t>
  </si>
  <si>
    <t>Weighment-Nov 1-15, 2025</t>
  </si>
  <si>
    <t>CODC LCL Chgs -1-15 Nov 25</t>
  </si>
  <si>
    <t>2130610</t>
  </si>
  <si>
    <t>CY Ground rent Chgs - 01 - 15 Nov 25</t>
  </si>
  <si>
    <t>2130609</t>
  </si>
  <si>
    <t>CODC Out chgs -1-15 Nov 25</t>
  </si>
  <si>
    <t>2130611</t>
  </si>
  <si>
    <t>LCL Chgs - 01 - 15 NOV 25</t>
  </si>
  <si>
    <t>2130612</t>
  </si>
  <si>
    <t>Loose chgs - 01 - 15 Nov 25</t>
  </si>
  <si>
    <t>Inbound Handling charges for Feb 2025</t>
  </si>
  <si>
    <t>Inbound Handling charges for 31 Mar 2025</t>
  </si>
  <si>
    <t>Outbound Handling charges for 31 Mar 25</t>
  </si>
  <si>
    <t>Inbound Handling chgs for 31 Mar 25</t>
  </si>
  <si>
    <t>9</t>
  </si>
  <si>
    <t>2102474</t>
  </si>
  <si>
    <t>CY - CY Grd Rent Chgs - 01 - 15 SEP 25</t>
  </si>
  <si>
    <t>2102476</t>
  </si>
  <si>
    <t>CY Ground rent Chgs - 01 - 15 Sep 25</t>
  </si>
  <si>
    <t>2102483</t>
  </si>
  <si>
    <t>Outbound chgs - 01 - 15 Sep 25</t>
  </si>
  <si>
    <t>2102480</t>
  </si>
  <si>
    <t>Inbound chgs - 01 - 15 SEP 25</t>
  </si>
  <si>
    <t>2102527</t>
  </si>
  <si>
    <t>CODC LCL Chgs -1-15 Sep 25</t>
  </si>
  <si>
    <t>12</t>
  </si>
  <si>
    <t>2140068</t>
  </si>
  <si>
    <t>CY Ground rent Chgs - 16 - 30 Nov 25</t>
  </si>
  <si>
    <t>2140088</t>
  </si>
  <si>
    <t>Outbound chgs - 16 - 30 Nov 25</t>
  </si>
  <si>
    <t>Credit Note against 246779413088</t>
  </si>
  <si>
    <t>1400000248</t>
  </si>
  <si>
    <t>Outbound chgs - 01 - 15 Apr 25</t>
  </si>
  <si>
    <t>LCL Chgs - 01 - 15 Apr 25</t>
  </si>
  <si>
    <t>Scanning Chgs - 01 - 15 Apr 25</t>
  </si>
  <si>
    <t>2</t>
  </si>
  <si>
    <t>CY-CY Ground Rent charges for Aug 2024</t>
  </si>
  <si>
    <t>Inbound Handling charges for Oct 2024</t>
  </si>
  <si>
    <t>2110497</t>
  </si>
  <si>
    <t>Bond Stamp Paper Chgs 01 - 30 Sep 25</t>
  </si>
  <si>
    <t>O2</t>
  </si>
  <si>
    <t>Port SSR Charges - Shifting for Aug to D</t>
  </si>
  <si>
    <t>2110802</t>
  </si>
  <si>
    <t>Intra - SEZ-16-30 Sept 25</t>
  </si>
  <si>
    <t>VAS-16-30 Sept 25</t>
  </si>
  <si>
    <t>VAS - 1-15 July 25</t>
  </si>
  <si>
    <t>Fixed Storage Charges fo MAY 2025</t>
  </si>
  <si>
    <t>CODC Inbound chgs - 16 - 30 Apr 25</t>
  </si>
  <si>
    <t>CODC Out chgs - 16 - 30 Apr 25</t>
  </si>
  <si>
    <t>CY Ground rent Chgs - 01 - 30 Apr 25</t>
  </si>
  <si>
    <t>VAS - 16-30 April 25, Ex.Rate-85.05</t>
  </si>
  <si>
    <t>2140454</t>
  </si>
  <si>
    <t>CY - CY Grd Rent Chgs - 16 - 30 Nov 25</t>
  </si>
  <si>
    <t>2140458</t>
  </si>
  <si>
    <t>PORT SSR Chgs Nov 25</t>
  </si>
  <si>
    <t>2114864</t>
  </si>
  <si>
    <t>CODC Inbound chgs - 1-15 Oct 25</t>
  </si>
  <si>
    <t>2114865</t>
  </si>
  <si>
    <t>CODC Out chgs -1-15 Oct 25</t>
  </si>
  <si>
    <t>Unit storage -1-31 May 25</t>
  </si>
  <si>
    <t>2110511</t>
  </si>
  <si>
    <t>Unit Storage - 1-30 Sept 2025</t>
  </si>
  <si>
    <t>Inbound chgs - 16 - 30 SEP 25</t>
  </si>
  <si>
    <t>2110504</t>
  </si>
  <si>
    <t>Outbound chgs - 16 - 30 Sep 25</t>
  </si>
  <si>
    <t>2110508</t>
  </si>
  <si>
    <t>Fixed Storage Charges for October 2025</t>
  </si>
  <si>
    <t>2110489</t>
  </si>
  <si>
    <t>CY Ground rent Chgs - 16 - 30 Sep 25</t>
  </si>
  <si>
    <t>2110981</t>
  </si>
  <si>
    <t>PORT SSR Chgs Sep 25</t>
  </si>
  <si>
    <t>2110503</t>
  </si>
  <si>
    <t>Unit-Storage-1-31 Aug 25</t>
  </si>
  <si>
    <t>2139799</t>
  </si>
  <si>
    <t>Unit Storage - 1-30 Nov 2025</t>
  </si>
  <si>
    <t>2139805</t>
  </si>
  <si>
    <t>Fixed Storage Charges for December 2025</t>
  </si>
  <si>
    <t>2156176</t>
  </si>
  <si>
    <t>CY Ground rent Chgs - 01 - 15 Dec 25</t>
  </si>
  <si>
    <t>2141835</t>
  </si>
  <si>
    <t>Credit note for Duplicate invoice -256779418492</t>
  </si>
  <si>
    <t>2156172</t>
  </si>
  <si>
    <t>CODC Out chgs -1-15 Dec 25</t>
  </si>
  <si>
    <t>2156419</t>
  </si>
  <si>
    <t>Outbound chgs - 01 - 15 Dec 25</t>
  </si>
  <si>
    <t>2156406</t>
  </si>
  <si>
    <t>Gate IN Chgs - 01 - 15 NOV 25</t>
  </si>
  <si>
    <t>2156175</t>
  </si>
  <si>
    <t>CY - CY Grd Rent Chgs - 01 - 15 Dec 25</t>
  </si>
  <si>
    <t>GDNTMR6FG651</t>
  </si>
  <si>
    <t>15</t>
  </si>
  <si>
    <t>6779220000</t>
  </si>
  <si>
    <t>2158349</t>
  </si>
  <si>
    <t>CY - CY Grd Rent Chgs - 16 - 31 Dec 25</t>
  </si>
  <si>
    <t>2158342</t>
  </si>
  <si>
    <t>PORT SSR Chgs Dec 25</t>
  </si>
  <si>
    <t>2158392</t>
  </si>
  <si>
    <t>CY Ground rent Chgs - 16 - 31 Dec 25</t>
  </si>
  <si>
    <t>2158401</t>
  </si>
  <si>
    <t>CODC LCL Chgs -16-31 DEC 25</t>
  </si>
  <si>
    <t>2158404</t>
  </si>
  <si>
    <t>2158406</t>
  </si>
  <si>
    <t>Outbound chgs - 16 - 31 Dec 25</t>
  </si>
  <si>
    <t>2158411</t>
  </si>
  <si>
    <t>Unit Storage - 1-31 DEC 2025</t>
  </si>
  <si>
    <t>2158402</t>
  </si>
  <si>
    <t>CODC Out chgs -16-31 DEC 25</t>
  </si>
  <si>
    <t>2158638</t>
  </si>
  <si>
    <t>VAS-Dec 25 - 16-31</t>
  </si>
  <si>
    <t>2158673</t>
  </si>
  <si>
    <t>Fixed Storage Charges for January 2026</t>
  </si>
  <si>
    <t>2159214</t>
  </si>
  <si>
    <t>INTRA  -NOV 25,16-30</t>
  </si>
  <si>
    <t>2163056</t>
  </si>
  <si>
    <t>CODC Out chgs -1-15 JAN 26</t>
  </si>
  <si>
    <t>2163129</t>
  </si>
  <si>
    <t>CY - CY Grd Rent Chgs - 01 - 15 Jan 26</t>
  </si>
  <si>
    <t>2163135</t>
  </si>
  <si>
    <t>CY Ground rent Chgs - 01 - 15 Jan 26</t>
  </si>
  <si>
    <t>2163146</t>
  </si>
  <si>
    <t>Gate IN Chgs - 01 - 15 JAN 25</t>
  </si>
  <si>
    <t>2163152</t>
  </si>
  <si>
    <t>Outbound chgs - 01 - 15 JAN 26</t>
  </si>
  <si>
    <t>2163426</t>
  </si>
  <si>
    <t>VAS-1-15 Jan 2026</t>
  </si>
  <si>
    <t>GX4JNCFR8TSM</t>
  </si>
  <si>
    <t>VAS Activity Charges for the month of September, 2</t>
  </si>
  <si>
    <t>VAS Activity Charges for the month of October, 24</t>
  </si>
  <si>
    <t>VAS Activity Charges for the month of November, 24</t>
  </si>
  <si>
    <t>Fixed Storage Charges fo JUNE 2025</t>
  </si>
  <si>
    <t>2102531</t>
  </si>
  <si>
    <t>VAS -1-15 Sept-25</t>
  </si>
  <si>
    <t>2128875</t>
  </si>
  <si>
    <t>CY - CY Grd Rent Chgs - 01 - 15 Nov 25</t>
  </si>
  <si>
    <t>Transportation In Charges August 2024</t>
  </si>
  <si>
    <t>Inbound Handling for August 24</t>
  </si>
  <si>
    <t>LCL Charges August 2024</t>
  </si>
  <si>
    <t>Outbound Handling Charges Aug 2024</t>
  </si>
  <si>
    <t>8</t>
  </si>
  <si>
    <t>CY - CY Grd Rent Chgs - 01 - 15 JUL 25</t>
  </si>
  <si>
    <t>CY - CY Grd Rent Chgs - 16 - 15 JUL 25</t>
  </si>
  <si>
    <t>2117487</t>
  </si>
  <si>
    <t>Credit note raised against 256779418075</t>
  </si>
  <si>
    <t>Inbound Handling charges for Dec 2024</t>
  </si>
  <si>
    <t>Outbound Handling charges for Dec 2024</t>
  </si>
  <si>
    <t>Loose loading Handling charges for Dec 2024</t>
  </si>
  <si>
    <t>GMCU3054268-Port SSR Shifting Mar 2025. Exch rate</t>
  </si>
  <si>
    <t>GMCU3054416-Port SSR Shifting Mar 2025. Exch rate</t>
  </si>
  <si>
    <t>BEAU2827340-Port SSR Shifting Mar 2025. Exch rate</t>
  </si>
  <si>
    <t>VAS Activity - Feb 25, Ex Rate. 87.40</t>
  </si>
  <si>
    <t>VAS Activity - Mar 25, 16-31, Ex Rate. 85.58</t>
  </si>
  <si>
    <t>Storage Charges Mar, 25</t>
  </si>
  <si>
    <t>Scanning charges for 01 to 31 Mar 25</t>
  </si>
  <si>
    <t>CY Ground rent Chgs - 01 - 31 May 25</t>
  </si>
  <si>
    <t>CY - CY Ground rent Chgs - 01 - 31 May 25</t>
  </si>
  <si>
    <t>VAS 16-31 May 25 Ex.85.48</t>
  </si>
  <si>
    <t>VAS Activity Charges for the month of August, 24</t>
  </si>
  <si>
    <t>1400000245</t>
  </si>
  <si>
    <t>CODC LCL Chgs - 16-31 Aug 25</t>
  </si>
  <si>
    <t>CODC Out chgs -16-31 Aug 25</t>
  </si>
  <si>
    <t>VAS -16-31 Aug 25</t>
  </si>
  <si>
    <t>CY - CY Grd Rent Chgs - 01 - 31 AUG 25</t>
  </si>
  <si>
    <t>CY Ground rent Chgs - 01 - 31 Aug 25</t>
  </si>
  <si>
    <t>PORT SSR Chgs Aug 25</t>
  </si>
  <si>
    <t>Bond Stamp Paper Chgs 01 - 31 Aug 25</t>
  </si>
  <si>
    <t>Inbound chgs - 16 - 31 AUG 25</t>
  </si>
  <si>
    <t>2096996</t>
  </si>
  <si>
    <t>Outbound chgs - 16 - 31 Aug 25</t>
  </si>
  <si>
    <t>Fixed Storage Charges for September 2025</t>
  </si>
  <si>
    <t>CODC Inbound chgs - 01 - 15 Jun 25</t>
  </si>
  <si>
    <t>Outbound chgs - 01 - 15 Jun 25</t>
  </si>
  <si>
    <t>Inbound chgs - 16 - 30 JUN 25</t>
  </si>
  <si>
    <t>CY Ground rent Chgs - 01 - 30 June 25</t>
  </si>
  <si>
    <t>Fixed Storage Charges fo JULY 2025</t>
  </si>
  <si>
    <t>PORT SSR Chgs June 25</t>
  </si>
  <si>
    <t>Bond Stamp Paper Chgs</t>
  </si>
  <si>
    <t>Unit Storage - 1-30 June 25</t>
  </si>
  <si>
    <t>VAS - 16-30 June 25</t>
  </si>
  <si>
    <t>2123159</t>
  </si>
  <si>
    <t>Fixed Storage Charges for November 2025</t>
  </si>
  <si>
    <t>2123387</t>
  </si>
  <si>
    <t>VAS-16 -31 Oct 25</t>
  </si>
  <si>
    <t>2123390</t>
  </si>
  <si>
    <t>Unit Storage - 1-31 Oct 2025</t>
  </si>
  <si>
    <t>2123392</t>
  </si>
  <si>
    <t>CODC LCL Chgs -16-31 Oct 25</t>
  </si>
  <si>
    <t>2123393</t>
  </si>
  <si>
    <t>CODC Out chgs -16-31 Oct 25</t>
  </si>
  <si>
    <t>2123402</t>
  </si>
  <si>
    <t>CY - CY Grd Rent Chgs - 16 - 31 OCT 25</t>
  </si>
  <si>
    <t>2123404</t>
  </si>
  <si>
    <t>CY Ground rent Chgs - 16 - 31 Oct 25</t>
  </si>
  <si>
    <t>2123410</t>
  </si>
  <si>
    <t>Outbound chgs - 16 - 31 Oct 25</t>
  </si>
  <si>
    <t>2123630</t>
  </si>
  <si>
    <t>PORT SSR Chgs Oct 25</t>
  </si>
  <si>
    <t>2123648</t>
  </si>
  <si>
    <t>Bond Stamp Paper Chgs Oct 25</t>
  </si>
  <si>
    <t>Unit Storage - 1-31 July 25</t>
  </si>
  <si>
    <t>Inbound chgs - 16 - 31 JUL 25</t>
  </si>
  <si>
    <t>Outbound chgs - 16 - 31 Jul 25</t>
  </si>
  <si>
    <t>CODC Out chgs - 16 - 31 Jul 25</t>
  </si>
  <si>
    <t>VAS 16-31 July 25</t>
  </si>
  <si>
    <t>PORT SSR Chgs July 25</t>
  </si>
  <si>
    <t>CY Ground rent Chgs - 01 - 31 July 25</t>
  </si>
  <si>
    <t>CODC Inbound chgs - 16 - 31 May 25</t>
  </si>
  <si>
    <t>CODC Out chgs - 16 - 31 May 25</t>
  </si>
  <si>
    <t>PORT SSR Chgs - 16 - 31 May 25</t>
  </si>
  <si>
    <t>Outbound chgs - 16 - 31 MAY 25</t>
  </si>
  <si>
    <t>Scanning  Chgs - 16 - 31 May 25</t>
  </si>
  <si>
    <t>Credit note against 246779412237</t>
  </si>
  <si>
    <t>Credit note against 256779410291</t>
  </si>
  <si>
    <t>Credit note against 256779410250</t>
  </si>
  <si>
    <t>Outbound chgs - 16 - 30 Apr 25</t>
  </si>
  <si>
    <t>Scanning  Chgs - 16 - 31 Apr 25</t>
  </si>
  <si>
    <t>Storage Chgs - 01 - 31 Apr 25</t>
  </si>
  <si>
    <t>PORT SSR Chgs Apr &amp; June 25</t>
  </si>
  <si>
    <t>CODC Inbound chgs - 01 - 15 July 25</t>
  </si>
  <si>
    <t>CODC Out chgs - 01 - 15 July 25</t>
  </si>
  <si>
    <t>Inbound chgs - 01 - 15 JUL 25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</si>
  <si>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</si>
  <si>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</si>
  <si>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</si>
  <si>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</si>
  <si>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</si>
  <si>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Outbound Handling charges for Jan 2025</t>
  </si>
  <si>
    <t>Ground Rent Jan 1-15</t>
  </si>
  <si>
    <t>Ground Rent Feb 1-15</t>
  </si>
  <si>
    <t>Ground Rent Jan 25</t>
  </si>
  <si>
    <t>Transportation Inbound Aug 24</t>
  </si>
  <si>
    <t>Inbound Handling charges for  Sep 2024</t>
  </si>
  <si>
    <t>LCL charges for Sep 2024</t>
  </si>
  <si>
    <t>Outbound Handling charges for Sep 2024</t>
  </si>
  <si>
    <t>Inbound Handling charges for Jan 2025</t>
  </si>
  <si>
    <t>Outbound Handling charges for Nov 2024</t>
  </si>
  <si>
    <t>Ground Rent Jan 16-31</t>
  </si>
  <si>
    <t>Ground Rent Feb 16-28</t>
  </si>
  <si>
    <t>Scanning Charges for the month of Feb 2025</t>
  </si>
  <si>
    <t>Scanning Charges for the month of Jan 2025</t>
  </si>
  <si>
    <t>Outbound Handling charges for Oct 2024</t>
  </si>
  <si>
    <t>Loose handling Charges for Nov 2024</t>
  </si>
  <si>
    <t>Fixed Rental charges for Sept 2024</t>
  </si>
  <si>
    <t>Fixed Rental charges for Aug 2024</t>
  </si>
  <si>
    <t>Fixed Rental charges for Nov 2024</t>
  </si>
  <si>
    <t>Fixed Rental charges for Dec 2024</t>
  </si>
  <si>
    <t>Fixed Rental charges for Oct 2024</t>
  </si>
  <si>
    <t>CODC LCL Chgs - 1-15 Aug 25</t>
  </si>
  <si>
    <t>CODC Out chgs - 1-15 Aug 25</t>
  </si>
  <si>
    <t>VAS-Aug 25- 1-15</t>
  </si>
  <si>
    <t>Inbound chgs - 01 - 15 AUG 25</t>
  </si>
  <si>
    <t>Loose chgs - 01 - 15 Aug 25</t>
  </si>
  <si>
    <t>2140083</t>
  </si>
  <si>
    <t>CY Longstanding - March 25,16-31</t>
  </si>
  <si>
    <t>08</t>
  </si>
  <si>
    <t>RBINR52025100994757493</t>
  </si>
  <si>
    <t>PUNBR52025101818263040</t>
  </si>
  <si>
    <t>PUNBR52025110118746241</t>
  </si>
  <si>
    <t>1400001985</t>
  </si>
  <si>
    <t>05</t>
  </si>
  <si>
    <t>PUNBN62025121256541264</t>
  </si>
  <si>
    <t>CLD10FTGDCQ9</t>
  </si>
  <si>
    <t>CWDX5M1B7S9Y</t>
  </si>
  <si>
    <t>CYFC8Q39QKP6</t>
  </si>
  <si>
    <t>CWVJ4317QGG5</t>
  </si>
  <si>
    <t>CYFC8MGLSWHG</t>
  </si>
  <si>
    <t>D7GGNWM3YNBX</t>
  </si>
  <si>
    <t>PUNBN62025101050450380</t>
  </si>
  <si>
    <t>PUNBN62025053050253551</t>
  </si>
  <si>
    <t>RBINR52025060452948870</t>
  </si>
  <si>
    <t>PUNBN62025061353786918</t>
  </si>
  <si>
    <t>PUNBR52025102918605898</t>
  </si>
  <si>
    <t>KNOCK OFF ENTRY</t>
  </si>
  <si>
    <t>Port SSR Charges - Shifting for Aug to Dec,24.</t>
  </si>
  <si>
    <t>Outbound Handling for Sep 2024</t>
  </si>
  <si>
    <t>Outbound Handling for Nov 2024</t>
  </si>
  <si>
    <t>OutKPI-CODC-1-15-MAY-25-9762086</t>
  </si>
  <si>
    <t>OutKPI-CODC-1-15-MAY-25-9800875</t>
  </si>
  <si>
    <t>2102528</t>
  </si>
  <si>
    <t>CODC Out chgs -1-15 Sep 25</t>
  </si>
  <si>
    <t>2110864</t>
  </si>
  <si>
    <t>CODC Out chgs -16-30 Sep 25</t>
  </si>
  <si>
    <t>Outbound Handling for Oct 2024</t>
  </si>
  <si>
    <t>Outbound Handling for Dec 2024</t>
  </si>
  <si>
    <t>Storage Charges Feb, 25</t>
  </si>
  <si>
    <t>Storage Charges Jan, 25</t>
  </si>
  <si>
    <t>CY-CY Ground Rent charges for Sept 2024</t>
  </si>
  <si>
    <t>CY-CY Ground Rent charges for Oct 2024</t>
  </si>
  <si>
    <t>CY-CY Ground Rent charges for Nov 2024</t>
  </si>
  <si>
    <t>CY-CY Ground Rent charges for Dec 2024</t>
  </si>
  <si>
    <t>Storage for the month of Nov 2024</t>
  </si>
  <si>
    <t>Storage for the month of Dec 2024</t>
  </si>
  <si>
    <t>Inbound Handling charges for Aug 2024</t>
  </si>
  <si>
    <t>Inbound Handling charges for Sep 2024</t>
  </si>
  <si>
    <t>Inbound Handling charges for Nov 2024</t>
  </si>
  <si>
    <t>Storage Charges for the month of August, 2024</t>
  </si>
  <si>
    <t>Outbound Handling for Aug 2024</t>
  </si>
  <si>
    <t>Storage  for the month of Sept  2024</t>
  </si>
  <si>
    <t>Storage for the month of Oct 2024</t>
  </si>
  <si>
    <t>Fixed Storage Charges for August 2025</t>
  </si>
  <si>
    <t>Account</t>
  </si>
  <si>
    <t>Debit (INR)</t>
  </si>
  <si>
    <t>Credit (INR)</t>
  </si>
  <si>
    <t>Balance (INR)</t>
  </si>
  <si>
    <t>Voucher Type</t>
  </si>
  <si>
    <t>Voucher Subtype</t>
  </si>
  <si>
    <t>Voucher No</t>
  </si>
  <si>
    <t>Against Account</t>
  </si>
  <si>
    <t>Party Type</t>
  </si>
  <si>
    <t>Party</t>
  </si>
  <si>
    <t>Against Voucher</t>
  </si>
  <si>
    <t>Supplier Invoice No</t>
  </si>
  <si>
    <t>Sundry Creditors - SLSIPL</t>
  </si>
  <si>
    <t>PU/25/SLS/OT/1560</t>
  </si>
  <si>
    <t>Fixed Storage Charges - ODC (Covered) - SLSIPL</t>
  </si>
  <si>
    <t>Supplier</t>
  </si>
  <si>
    <t>Ascendas Panvel FTWZ Private Limited</t>
  </si>
  <si>
    <t>PU/25/SLS/OT/1561</t>
  </si>
  <si>
    <t>PU/25/SLS/OT/1562</t>
  </si>
  <si>
    <t>PU/25/SLS/OT/1563</t>
  </si>
  <si>
    <t>PU/25/SLS/OT/1564</t>
  </si>
  <si>
    <t>PU/25/SLS/OT/1565</t>
  </si>
  <si>
    <t>PU/25/SLS/OT/1672</t>
  </si>
  <si>
    <t>Handling Charges - Outbound (Exp) - SLSIPL</t>
  </si>
  <si>
    <t>PU/25/SLS/OT/1673</t>
  </si>
  <si>
    <t>PU/25/SLS/OT/1674</t>
  </si>
  <si>
    <t>PU/25/SLS/OT/1675</t>
  </si>
  <si>
    <t>PU/25/SLS/OT/1676</t>
  </si>
  <si>
    <t>PU/25/SLS/OT/1677</t>
  </si>
  <si>
    <t>PU/25/SLS/OT/1718</t>
  </si>
  <si>
    <t>Storage Charges - Cargo - SLSIPL</t>
  </si>
  <si>
    <t>PU/25/SLS/OT/1719</t>
  </si>
  <si>
    <t>PU/25/SLS/OT/1720</t>
  </si>
  <si>
    <t>PU/25/SLS/OT/1721</t>
  </si>
  <si>
    <t>PU/25/SLS/OT/1722</t>
  </si>
  <si>
    <t>PU/25/SLS/OT/1731</t>
  </si>
  <si>
    <t>PU/25/SLS/OT/1732</t>
  </si>
  <si>
    <t>PU/25/SLS/OT/1733</t>
  </si>
  <si>
    <t>PU/25/SLS/OT/1734</t>
  </si>
  <si>
    <t>PU/25/SLS/OT/1735</t>
  </si>
  <si>
    <t>PU/25/SLS/OT/1736</t>
  </si>
  <si>
    <t>PU/25/SLS/OT/1737</t>
  </si>
  <si>
    <t>PU/25/SLS/OT/1738</t>
  </si>
  <si>
    <t>PU/25/SLS/OT/1739</t>
  </si>
  <si>
    <t>PU/25/SLS/OT/1740</t>
  </si>
  <si>
    <t>PU/25/SLS/OT/1741</t>
  </si>
  <si>
    <t>PU/25/SLS/OT/1742</t>
  </si>
  <si>
    <t>PU/25/SLS/OT/1743</t>
  </si>
  <si>
    <t>PU/25/SLS/OT/1744</t>
  </si>
  <si>
    <t>PU/25/SLS/OT/1653</t>
  </si>
  <si>
    <t>PU/25/SLS/OT/1683</t>
  </si>
  <si>
    <t>PU/25/SLS/OT/1684</t>
  </si>
  <si>
    <t>PU/25/SLS/OT/1685</t>
  </si>
  <si>
    <t>PU/25/SLS/OT/1686</t>
  </si>
  <si>
    <t>PU/25/SLS/OT/1687</t>
  </si>
  <si>
    <t>PU/25/SLS/OT/1688</t>
  </si>
  <si>
    <t>PU/25/SLS/OT/1689</t>
  </si>
  <si>
    <t>PU/25/SLS/OT/1690</t>
  </si>
  <si>
    <t>PU/25/SLS/OT/1691</t>
  </si>
  <si>
    <t>PU/25/SLS/OT/1692</t>
  </si>
  <si>
    <t>PU/25/SLS/OT/1693</t>
  </si>
  <si>
    <t>PU/25/SLS/OT/1694</t>
  </si>
  <si>
    <t>PU/25/SLS/OT/1695</t>
  </si>
  <si>
    <t>PU/25/SLS/OT/1696</t>
  </si>
  <si>
    <t>PU/25/SLS/OT/1697</t>
  </si>
  <si>
    <t>PU/25/SLS/OT/1698</t>
  </si>
  <si>
    <t>PU/25/SLS/OT/1699</t>
  </si>
  <si>
    <t>PU/25/SLS/OT/1700</t>
  </si>
  <si>
    <t>PU/25/SLS/OT/1701</t>
  </si>
  <si>
    <t>PU/25/SLS/OT/1702</t>
  </si>
  <si>
    <t>PU/25/SLS/OT/1703</t>
  </si>
  <si>
    <t>PU/25/SLS/OT/1704</t>
  </si>
  <si>
    <t>PU/25/SLS/OT/1705</t>
  </si>
  <si>
    <t>PU/25/SLS/OT/1706</t>
  </si>
  <si>
    <t>PU/25/SLS/OT/1707</t>
  </si>
  <si>
    <t>PU/25/SLS/OT/1708</t>
  </si>
  <si>
    <t>PU/25/SLS/OT/1709</t>
  </si>
  <si>
    <t>PU/25/SLS/OT/1723</t>
  </si>
  <si>
    <t>PU/25/SLS/OT/1724</t>
  </si>
  <si>
    <t>PU/25/SLS/OT/1654</t>
  </si>
  <si>
    <t>Handling Charges - Inbound (Exp) - SLSIPL</t>
  </si>
  <si>
    <t>PU/25/SLS/OT/1678</t>
  </si>
  <si>
    <t>Handling Charges - Inbound (Exp) - SLSIPL,Gate In Charges Paid - SLSIPL</t>
  </si>
  <si>
    <t>PU/25/SLS/OT/1679</t>
  </si>
  <si>
    <t>Handling Charges - Inbound (Exp) - SLSIPL,Transportation Charges Paid - SLSIPL</t>
  </si>
  <si>
    <t>PU/25/SLS/OT/1680</t>
  </si>
  <si>
    <t>PU/25/SLS/OT/1681</t>
  </si>
  <si>
    <t>PU/25/SLS/OT/1682</t>
  </si>
  <si>
    <t>PU/25/SLS/OT/1716</t>
  </si>
  <si>
    <t>PU/25/SLS/OT/1717</t>
  </si>
  <si>
    <t>PU/25/SLS/OT/1745</t>
  </si>
  <si>
    <t>PU/25/SLS/OT/1746</t>
  </si>
  <si>
    <t>PU/25/SLS/OT/1747</t>
  </si>
  <si>
    <t>PU/25/SLS/OT/1748</t>
  </si>
  <si>
    <t>PU/25/SLS/OT/1749</t>
  </si>
  <si>
    <t>PU/25/SLS/OT/1863</t>
  </si>
  <si>
    <t>VOS Activity Charges Paid - SLSIPL</t>
  </si>
  <si>
    <t>PU/25/SLS/OT/1864</t>
  </si>
  <si>
    <t>PU/25/SLS/OT/1865</t>
  </si>
  <si>
    <t>PU/25/SLS/OT/1866</t>
  </si>
  <si>
    <t>PU/25/SLS/OT/1730</t>
  </si>
  <si>
    <t>PU/25/SLS/OT/1867</t>
  </si>
  <si>
    <t>Gate In Charges Paid - SLSIPL</t>
  </si>
  <si>
    <t>PU/25/SLS/OT/1868</t>
  </si>
  <si>
    <t>Gate In Charges Paid - SLSIPL,Handling Charges - Inbound (Exp) - SLSIPL</t>
  </si>
  <si>
    <t>PU/25/SLS/OT/1869</t>
  </si>
  <si>
    <t>PU/25/SLS/OT/1870</t>
  </si>
  <si>
    <t>PU/25/SLS/OT/1871</t>
  </si>
  <si>
    <t>PU/25/SLS/OT/1872</t>
  </si>
  <si>
    <t>PU/25/SLS/OT/1873</t>
  </si>
  <si>
    <t>PU/25/SLS/OT/1874</t>
  </si>
  <si>
    <t>PU/25/SLS/OT/1875</t>
  </si>
  <si>
    <t>PU/25/SLS/OT/1876</t>
  </si>
  <si>
    <t>PU/25/SLS/OT/1877</t>
  </si>
  <si>
    <t>PU/25/SLS/OT/1878</t>
  </si>
  <si>
    <t>PU/25/SLS/OT/1879</t>
  </si>
  <si>
    <t>PU/25/SLS/OT/1880</t>
  </si>
  <si>
    <t>PU/25/SLS/OT/1881</t>
  </si>
  <si>
    <t>PU/25/SLS/OT/1808</t>
  </si>
  <si>
    <t>PU/25/SLS/OT/1809</t>
  </si>
  <si>
    <t>PU/25/SLS/OT/1810</t>
  </si>
  <si>
    <t>PU/25/SLS/OT/1811</t>
  </si>
  <si>
    <t>PU/25/SLS/OT/1812</t>
  </si>
  <si>
    <t>PU/25/SLS/OT/1813</t>
  </si>
  <si>
    <t>PU/25/SLS/OT/1814</t>
  </si>
  <si>
    <t>PU/25/SLS/OT/1815</t>
  </si>
  <si>
    <t>PU/25/SLS/OT/1816</t>
  </si>
  <si>
    <t>PU/25/SLS/OT/1817</t>
  </si>
  <si>
    <t>PU/25/SLS/OT/1818</t>
  </si>
  <si>
    <t>PU/25/SLS/OT/1819</t>
  </si>
  <si>
    <t>PU/25/SLS/OT/1820</t>
  </si>
  <si>
    <t>Container Scanning Paid - SLSIPL</t>
  </si>
  <si>
    <t>PU/25/SLS/OT/1821</t>
  </si>
  <si>
    <t>PU/25/SLS/OT/1822</t>
  </si>
  <si>
    <t>PU/25/SLS/OT/1823</t>
  </si>
  <si>
    <t>PU/25/SLS/OT/1824</t>
  </si>
  <si>
    <t>PU/25/SLS/OT/1825</t>
  </si>
  <si>
    <t>PU/25/SLS/OT/1826</t>
  </si>
  <si>
    <t>PU/25/SLS/OT/1827</t>
  </si>
  <si>
    <t>PU/25/SLS/OT/1828</t>
  </si>
  <si>
    <t>PU/25/SLS/OT/1829</t>
  </si>
  <si>
    <t>PU/25/SLS/OT/1830</t>
  </si>
  <si>
    <t>PU/25/SLS/OT/1831</t>
  </si>
  <si>
    <t>PU/25/SLS/OT/1832</t>
  </si>
  <si>
    <t>PU/25/SLS/OT/1833</t>
  </si>
  <si>
    <t>PU/25/SLS/OT/1834</t>
  </si>
  <si>
    <t>PU/25/SLS/OT/1835</t>
  </si>
  <si>
    <t>PU/25/SLS/OT/1836</t>
  </si>
  <si>
    <t>PU/25/SLS/OT/1837</t>
  </si>
  <si>
    <t>PU/25/SLS/OT/1838</t>
  </si>
  <si>
    <t>PU/25/SLS/OT/1839</t>
  </si>
  <si>
    <t>PU/25/SLS/OT/1840</t>
  </si>
  <si>
    <t>PU/25/SLS/OT/1841</t>
  </si>
  <si>
    <t>PU/25/SLS/OT/1842</t>
  </si>
  <si>
    <t>PU/25/SLS/OT/1843</t>
  </si>
  <si>
    <t>PU/25/SLS/OT/1844</t>
  </si>
  <si>
    <t>PU/25/SLS/OT/1849</t>
  </si>
  <si>
    <t>PU/25/SLS/OT/1850</t>
  </si>
  <si>
    <t>PU/25/SLS/OT/1851</t>
  </si>
  <si>
    <t>PU/25/SLS/OT/1852</t>
  </si>
  <si>
    <t>PU/25/SLS/OT/1853</t>
  </si>
  <si>
    <t>PU/25/SLS/OT/1854</t>
  </si>
  <si>
    <t>PU/25/SLS/OT/1856</t>
  </si>
  <si>
    <t>PU/25/SLS/OT/1857</t>
  </si>
  <si>
    <t>PU/25/SLS/OT/1858</t>
  </si>
  <si>
    <t>PU/25/SLS/OT/1859</t>
  </si>
  <si>
    <t>PU/25/SLS/OT/1860</t>
  </si>
  <si>
    <t>PU/25/SLS/OT/1861</t>
  </si>
  <si>
    <t>PU/25/SLS/OT/1862</t>
  </si>
  <si>
    <t>PU/25/SLS/OT/1925</t>
  </si>
  <si>
    <t>PU/26/SLS/OT/0048</t>
  </si>
  <si>
    <t>PU/26/SLS/OT/0193</t>
  </si>
  <si>
    <t>PU/26/SLS/OT/0194</t>
  </si>
  <si>
    <t>PU/26/SLS/OT/0195</t>
  </si>
  <si>
    <t>PU/26/SLS/OT/0196</t>
  </si>
  <si>
    <t>PU/26/SLS/OT/0197</t>
  </si>
  <si>
    <t>PU/26/SLS/OT/0199</t>
  </si>
  <si>
    <t>PU/26/SLS/OT/0200</t>
  </si>
  <si>
    <t>PU/26/SLS/OT/0201</t>
  </si>
  <si>
    <t>PU/26/SLS/OT/0202</t>
  </si>
  <si>
    <t>PU/26/SLS/OT/0191</t>
  </si>
  <si>
    <t>PU/26/SLS/OT/0301-1</t>
  </si>
  <si>
    <t>PU/26/SLS/OT/0324</t>
  </si>
  <si>
    <t>PU/26/SLS/OT/0325</t>
  </si>
  <si>
    <t>PU/26/SLS/OT/0330-1</t>
  </si>
  <si>
    <t>PU/26/SLS/OT/0359</t>
  </si>
  <si>
    <t>PU/26/SLS/OT/0588</t>
  </si>
  <si>
    <t>Transportation Charges Paid - SLSIPL</t>
  </si>
  <si>
    <t>PU/26/SLS/OT/0590</t>
  </si>
  <si>
    <t>PU/26/SLS/OT/0790</t>
  </si>
  <si>
    <t>PU/26/SLS/OT/0780-2</t>
  </si>
  <si>
    <t>PU/26/SLS/OT/0785-1</t>
  </si>
  <si>
    <t>PU/26/SLS/OT/0784-1</t>
  </si>
  <si>
    <t>PU/26/SLS/OT/0591-1</t>
  </si>
  <si>
    <t>PU/26/SLS/OT/0046</t>
  </si>
  <si>
    <t>MHE Charges Paid - SLSIPL</t>
  </si>
  <si>
    <t>PU/26/SLS/OT/0047</t>
  </si>
  <si>
    <t>PU/26/SLS/OT/0323</t>
  </si>
  <si>
    <t>PU/26/SLS/OT/0326</t>
  </si>
  <si>
    <t>PU/26/SLS/OT/0332</t>
  </si>
  <si>
    <t>PU/26/SLS/OT/0338</t>
  </si>
  <si>
    <t>PU/26/SLS/OT/0331</t>
  </si>
  <si>
    <t>PU/26/SLS/OT/0612</t>
  </si>
  <si>
    <t>PU/26/SLS/OT/0613</t>
  </si>
  <si>
    <t>PU/26/SLS/OT/0611-1</t>
  </si>
  <si>
    <t>PU/26/SLS/OT/0044</t>
  </si>
  <si>
    <t>PU/26/SLS/OT/0045</t>
  </si>
  <si>
    <t>PU/26/SLS/OT/0205</t>
  </si>
  <si>
    <t>PU/26/SLS/OT/0209</t>
  </si>
  <si>
    <t>PU/26/SLS/OT/0210</t>
  </si>
  <si>
    <t>PU/26/SLS/OT/0211</t>
  </si>
  <si>
    <t>PU/26/SLS/OT/0212</t>
  </si>
  <si>
    <t>PU/26/SLS/OT/0339</t>
  </si>
  <si>
    <t>PU/26/SLS/OT/0043</t>
  </si>
  <si>
    <t>PU/26/SLS/OT/0190</t>
  </si>
  <si>
    <t>PU/26/SLS/OT/0192</t>
  </si>
  <si>
    <t>PU/26/SLS/OT/0198</t>
  </si>
  <si>
    <t>PU/26/SLS/OT/0333</t>
  </si>
  <si>
    <t>PU/26/SLS/OT/0336</t>
  </si>
  <si>
    <t>PU/26/SLS/OT/0587-1</t>
  </si>
  <si>
    <t>Scanning Charges - Inbound - SLSIPL</t>
  </si>
  <si>
    <t>PU/26/SLS/OT/0042</t>
  </si>
  <si>
    <t>PU/26/SLS/OT/0203</t>
  </si>
  <si>
    <t>PU/26/SLS/OT/0206</t>
  </si>
  <si>
    <t>PU/26/SLS/OT/0207</t>
  </si>
  <si>
    <t>PU/26/SLS/OT/0208</t>
  </si>
  <si>
    <t>PU/26/SLS/OT/0214</t>
  </si>
  <si>
    <t>Handling Charges - Outbound (Exp) - SLSIPL,MHE Charges Paid - SLSIPL</t>
  </si>
  <si>
    <t>PU/26/SLS/OT/0328-1</t>
  </si>
  <si>
    <t>PU/26/SLS/OT/0204</t>
  </si>
  <si>
    <t>PU/26/SLS/OT/0327</t>
  </si>
  <si>
    <t>PU/26/SLS/OT/0337-1</t>
  </si>
  <si>
    <t>PU/26/SLS/OT/0586-1</t>
  </si>
  <si>
    <t>PU/26/SLS/OT/0189</t>
  </si>
  <si>
    <t>PU/26/SLS/OT/0213</t>
  </si>
  <si>
    <t>PU/26/SLS/OT/0116</t>
  </si>
  <si>
    <t>PU/26/SLS/OT/0340</t>
  </si>
  <si>
    <t>PU/26/SLS/OT/0334</t>
  </si>
  <si>
    <t>PU/26/SLS/OT/0279</t>
  </si>
  <si>
    <t>PU/26/SLS/OT/0283</t>
  </si>
  <si>
    <t>PU/26/SLS/OT/0281</t>
  </si>
  <si>
    <t>PU/26/SLS/OT/0284</t>
  </si>
  <si>
    <t>PU/26/SLS/OT/0187</t>
  </si>
  <si>
    <t>PU/26/SLS/OT/0188</t>
  </si>
  <si>
    <t>PU/26/SLS/OT/0280</t>
  </si>
  <si>
    <t>PU/26/SLS/OT/0282</t>
  </si>
  <si>
    <t>PU/26/SLS/OT/0329</t>
  </si>
  <si>
    <t>PU/26/SLS/OT/0335</t>
  </si>
  <si>
    <t>PU/26/SLS/OT/0278</t>
  </si>
  <si>
    <t>Payment Entry</t>
  </si>
  <si>
    <t>BP/26/SLS/0192</t>
  </si>
  <si>
    <t>1395250393003 - Punjab National Bank - INR - SLSIPL</t>
  </si>
  <si>
    <t>PU/26/SLS/OT/0358</t>
  </si>
  <si>
    <t>PU/26/SLS/OT/0360</t>
  </si>
  <si>
    <t>BP/25/SLS/1225-1</t>
  </si>
  <si>
    <t>PU/25/SLS/OT/1562, PU/25/SLS/OT/1720, PU/25/SLS/OT/1731, PU/25/SLS/OT/1721, PU/25/SLS/OT/1673</t>
  </si>
  <si>
    <t>PU/26/SLS/OT/0585</t>
  </si>
  <si>
    <t>PU/26/SLS/OT/0797</t>
  </si>
  <si>
    <t>Handling Charges - Inbound (Exp) - SLSIPL,LCL Movment - Gate in Charge - SLSIPL,Transportation Charges Paid - SLSIPL,Eempty Container Return Charges Paid - SLSIPL</t>
  </si>
  <si>
    <t>PU/26/SLS/OT/0285</t>
  </si>
  <si>
    <t>PU/26/SLS/OT/0357-1</t>
  </si>
  <si>
    <t>BP/26/SLS/0229</t>
  </si>
  <si>
    <t>BP/26/SLS/0259</t>
  </si>
  <si>
    <t>BP/26/SLS/0291</t>
  </si>
  <si>
    <t>BP/26/SLS/0300</t>
  </si>
  <si>
    <t>BP/26/SLS/0311</t>
  </si>
  <si>
    <t>PU/26/SLS/OT/0415-1</t>
  </si>
  <si>
    <t>SLS26/MF/DN/0006</t>
  </si>
  <si>
    <t>SLS26/MF/DN/0008</t>
  </si>
  <si>
    <t>SLS26/MF/DN/0009</t>
  </si>
  <si>
    <t>SLS26/MF/DN/0011</t>
  </si>
  <si>
    <t>SLS26/MF/DN/0013</t>
  </si>
  <si>
    <t>SLS26/MF/DN/0014</t>
  </si>
  <si>
    <t>SLS26/MF/DN/0016</t>
  </si>
  <si>
    <t>SLS26/MF/DN/0017</t>
  </si>
  <si>
    <t>SLS26/MF/DN/0007-2</t>
  </si>
  <si>
    <t>SLS26/MF/DN/0004-1</t>
  </si>
  <si>
    <t>PU/26/SLS/OT/0614-1</t>
  </si>
  <si>
    <t>SLS26/MF/DN/0018-1</t>
  </si>
  <si>
    <t>SLS26/MF/DN/0002-1</t>
  </si>
  <si>
    <t>SLS26/MF/DN/0003-1</t>
  </si>
  <si>
    <t>SLS26/MF/DN/0015-1</t>
  </si>
  <si>
    <t>PU/26/SLS/OT/0589-2</t>
  </si>
  <si>
    <t>SLS26/MF/DN/0005-1</t>
  </si>
  <si>
    <t>SLS26/MF/DN/0001-2</t>
  </si>
  <si>
    <t>SLS26/MF/DN/0001-2, SLS26/MF/DN/0001-2</t>
  </si>
  <si>
    <t>SLS26/MF/DN/0010-1</t>
  </si>
  <si>
    <t>SLS26/MF/DN/0010-1, SLS26/MF/DN/0010-1</t>
  </si>
  <si>
    <t>BP/26/SLS/0368</t>
  </si>
  <si>
    <t>PU/26/SLS/OT/0607</t>
  </si>
  <si>
    <t>BP/26/SLS/0394</t>
  </si>
  <si>
    <t>PU/26/SLS/OT/0608</t>
  </si>
  <si>
    <t>PU/26/SLS/OT/0609</t>
  </si>
  <si>
    <t>PU/26/SLS/OT/0610</t>
  </si>
  <si>
    <t>SLS26/MF/DN/0019</t>
  </si>
  <si>
    <t>SLS26/MF/DN/0020-1</t>
  </si>
  <si>
    <t>246779410348/256779421380</t>
  </si>
  <si>
    <t>PU/26/SLS/OT/1009-1</t>
  </si>
  <si>
    <t>SLS26/MF/DN/0022-1</t>
  </si>
  <si>
    <t>246779411278/256779421385</t>
  </si>
  <si>
    <t>SLS26/MF/DN/0021-1</t>
  </si>
  <si>
    <t>256779421382/246779413701</t>
  </si>
  <si>
    <t>PU/26/SLS/OT/1008-1</t>
  </si>
  <si>
    <t>PU/26/SLS/OT/0798</t>
  </si>
  <si>
    <t>PU/26/SLS/OT/0800</t>
  </si>
  <si>
    <t>PU/26/SLS/OT/0796</t>
  </si>
  <si>
    <t>Storage Charges - SLSIPL</t>
  </si>
  <si>
    <t>PU/26/SLS/OT/0792</t>
  </si>
  <si>
    <t>PU/26/SLS/OT/0793</t>
  </si>
  <si>
    <t>PU/26/SLS/OT/0801</t>
  </si>
  <si>
    <t>Loose Loading Handling - SLSIPL</t>
  </si>
  <si>
    <t>PU/26/SLS/OT/0795</t>
  </si>
  <si>
    <t>Handling Charges - Inbound (Exp) - SLSIPL,Gate in Charges - Inbound - SLSIPL</t>
  </si>
  <si>
    <t>PU/26/SLS/OT/0794</t>
  </si>
  <si>
    <t>LCL Movment - Gate in Charge - SLSIPL,Handling Charges - Inbound (Exp) - SLSIPL</t>
  </si>
  <si>
    <t>Journal Entry</t>
  </si>
  <si>
    <t>SJ/25/GEA/1103</t>
  </si>
  <si>
    <t>PU/26/SLS/OT/0591-1, SLS26/MF/DN/0007-2</t>
  </si>
  <si>
    <t>SJ/25/GEA/1104</t>
  </si>
  <si>
    <t>PU/26/SLS/OT/0415-1, SLS26/MF/DN/0020-1</t>
  </si>
  <si>
    <t>SJ/25/GEA/1105</t>
  </si>
  <si>
    <t>PU/26/SLS/OT/1009-1, SLS26/MF/DN/0022-1</t>
  </si>
  <si>
    <t>SJ/25/GEA/1106</t>
  </si>
  <si>
    <t>PU/26/SLS/OT/1008-1, SLS26/MF/DN/0021-1</t>
  </si>
  <si>
    <t>SJ/25/GEA/1107</t>
  </si>
  <si>
    <t>PU/26/SLS/OT/0614-1, SLS26/MF/DN/0018-1</t>
  </si>
  <si>
    <t>SJ/25/GEA/1108</t>
  </si>
  <si>
    <t>PU/26/SLS/OT/0586-1, SLS26/MF/DN/0002-1</t>
  </si>
  <si>
    <t>SJ/25/GEA/1109</t>
  </si>
  <si>
    <t>PU/26/SLS/OT/0587-1, SLS26/MF/DN/0003-1</t>
  </si>
  <si>
    <t>SJ/25/GEA/1110</t>
  </si>
  <si>
    <t>PU/26/SLS/OT/0611-1, SLS26/MF/DN/0015-1</t>
  </si>
  <si>
    <t>SJ/25/GEA/1111</t>
  </si>
  <si>
    <t>PU/26/SLS/OT/0589-2, SLS26/MF/DN/0005-1</t>
  </si>
  <si>
    <t>BP/26/SLS/0710</t>
  </si>
  <si>
    <t>PU/26/SLS/OT/0797, PU/26/SLS/OT/0357-1, PU/26/SLS/OT/0610, PU/26/SLS/OT/0796, PU/26/SLS/OT/0794</t>
  </si>
  <si>
    <t>BP/26/SLS/0711</t>
  </si>
  <si>
    <t>PU/26/SLS/OT/0797, PU/26/SLS/OT/0607, PU/26/SLS/OT/0608, PU/26/SLS/OT/0609, PU/26/SLS/OT/0798, PU/26/SLS/OT/0800, PU/26/SLS/OT/0792, PU/26/SLS/OT/0793, PU/26/SLS/OT/0795, PU/26/SLS/OT/0801</t>
  </si>
  <si>
    <t>BP/26/SLS/0758</t>
  </si>
  <si>
    <t>BP/26/SLS/0765</t>
  </si>
  <si>
    <t>BP/26/SLS/0801</t>
  </si>
  <si>
    <t>PU/26/SLS/OT/1356</t>
  </si>
  <si>
    <t>PU/26/SLS/OT/1357</t>
  </si>
  <si>
    <t>PU/26/SLS/OT/1358</t>
  </si>
  <si>
    <t>PU/26/SLS/OT/1359</t>
  </si>
  <si>
    <t>PU/26/SLS/OT/1360</t>
  </si>
  <si>
    <t>PU/26/SLS/OT/1361</t>
  </si>
  <si>
    <t>BP/26/SLS/0958</t>
  </si>
  <si>
    <t>PU/26/SLS/OT/1362-1</t>
  </si>
  <si>
    <t>PU/26/SLS/OT/1365</t>
  </si>
  <si>
    <t>PU/26/SLS/OT/1366-1</t>
  </si>
  <si>
    <t>Weightment Charges Paid - SLSIPL</t>
  </si>
  <si>
    <t>PU/26/SLS/OT/1367</t>
  </si>
  <si>
    <t>PU/26/SLS/OT/1368</t>
  </si>
  <si>
    <t>PU/26/SLS/OT/1369-1</t>
  </si>
  <si>
    <t>PU/26/SLS/OT/1370</t>
  </si>
  <si>
    <t>PU/26/SLS/OT/1371</t>
  </si>
  <si>
    <t>PU/26/SLS/OT/1376</t>
  </si>
  <si>
    <t>PU/26/SLS/OT/1378</t>
  </si>
  <si>
    <t>Transportation Charges Paid - SLSIPL,Handling Charges - Inbound (Exp) - SLSIPL</t>
  </si>
  <si>
    <t>PU/26/SLS/OT/1379</t>
  </si>
  <si>
    <t>MHE Charges Paid - SLSIPL,Handling Charges - Inbound (Exp) - SLSIPL</t>
  </si>
  <si>
    <t>PU/26/SLS/OT/1380</t>
  </si>
  <si>
    <t>PU/26/SLS/OT/1381</t>
  </si>
  <si>
    <t>Storage Charges - Rack - SLSIPL</t>
  </si>
  <si>
    <t>PU/26/SLS/OT/1382</t>
  </si>
  <si>
    <t>Documentation Charges Paid - SLSIPL</t>
  </si>
  <si>
    <t>PU/26/SLS/OT/1383</t>
  </si>
  <si>
    <t>PU/26/SLS/OT/1384</t>
  </si>
  <si>
    <t>PU/26/SLS/OT/1385</t>
  </si>
  <si>
    <t>PU/26/SLS/OT/1386</t>
  </si>
  <si>
    <t>PU/26/SLS/OT/1387</t>
  </si>
  <si>
    <t>PU/26/SLS/OT/1388</t>
  </si>
  <si>
    <t>Handling Charges - Inbound (Exp) - SLSIPL,LCL Movment - Gate in Charge - SLSIPL</t>
  </si>
  <si>
    <t>PU/26/SLS/OT/1390</t>
  </si>
  <si>
    <t>Storage Charges - Cargo - SLSIPL,Transportation Charges Paid - SLSIPL</t>
  </si>
  <si>
    <t>PU/26/SLS/OT/1393</t>
  </si>
  <si>
    <t>PU/26/SLS/OT/1397</t>
  </si>
  <si>
    <t>PU/26/SLS/OT/1398</t>
  </si>
  <si>
    <t>PU/26/SLS/OT/1399</t>
  </si>
  <si>
    <t>PU/26/SLS/OT/1400</t>
  </si>
  <si>
    <t>PU/26/SLS/OT/1401</t>
  </si>
  <si>
    <t>PU/26/SLS/OT/1402</t>
  </si>
  <si>
    <t>PU/26/SLS/OT/1403</t>
  </si>
  <si>
    <t>PU/26/SLS/OT/1404</t>
  </si>
  <si>
    <t>PU/26/SLS/OT/1408</t>
  </si>
  <si>
    <t>PU/26/SLS/OT/1412</t>
  </si>
  <si>
    <t>PU/26/SLS/OT/1413</t>
  </si>
  <si>
    <t>PU/26/SLS/OT/1414</t>
  </si>
  <si>
    <t>PU/26/SLS/OT/1415</t>
  </si>
  <si>
    <t>PU/26/SLS/OT/1416</t>
  </si>
  <si>
    <t>PU/26/SLS/OT/1417</t>
  </si>
  <si>
    <t>PU/26/SLS/OT/1418</t>
  </si>
  <si>
    <t>PU/26/SLS/OT/1419</t>
  </si>
  <si>
    <t>PU/26/SLS/OT/1420</t>
  </si>
  <si>
    <t>PU/26/SLS/OT/1421</t>
  </si>
  <si>
    <t>PU/26/SLS/OT/1422</t>
  </si>
  <si>
    <t>PU/26/SLS/OT/1423</t>
  </si>
  <si>
    <t>PU/26/SLS/OT/1424</t>
  </si>
  <si>
    <t>Transportation Charges Paid - SLSIPL,Storage Charges - Cargo - SLSIPL</t>
  </si>
  <si>
    <t>PU/26/SLS/OT/1425</t>
  </si>
  <si>
    <t>PU/26/SLS/OT/1426</t>
  </si>
  <si>
    <t>PU/26/SLS/OT/1427</t>
  </si>
  <si>
    <t>PU/26/SLS/OT/1428</t>
  </si>
  <si>
    <t>PU/26/SLS/OT/1430</t>
  </si>
  <si>
    <t>PU/26/SLS/OT/1431</t>
  </si>
  <si>
    <t>PU/26/SLS/OT/1432</t>
  </si>
  <si>
    <t>PU/26/SLS/OT/1434</t>
  </si>
  <si>
    <t>PU/26/SLS/OT/1435</t>
  </si>
  <si>
    <t>PU/26/SLS/OT/1437</t>
  </si>
  <si>
    <t>PU/26/SLS/OT/1439</t>
  </si>
  <si>
    <t>PU/26/SLS/OT/1440</t>
  </si>
  <si>
    <t>PU/26/SLS/OT/1447</t>
  </si>
  <si>
    <t>PU/26/SLS/OT/1448</t>
  </si>
  <si>
    <t>PU/26/SLS/OT/1449</t>
  </si>
  <si>
    <t>PU/26/SLS/OT/1452</t>
  </si>
  <si>
    <t>PU/26/SLS/OT/1453</t>
  </si>
  <si>
    <t>PU/26/SLS/OT/1455</t>
  </si>
  <si>
    <t>PU/26/SLS/OT/1457</t>
  </si>
  <si>
    <t>PU/26/SLS/OT/1458</t>
  </si>
  <si>
    <t>PU/26/SLS/OT/1460-1</t>
  </si>
  <si>
    <t>PU/26/SLS/OT/1461</t>
  </si>
  <si>
    <t>PU/26/SLS/OT/1480</t>
  </si>
  <si>
    <t>PU/26/SLS/OT/1480, PU/26/SLS/OT/1480</t>
  </si>
  <si>
    <t>PU/26/SLS/OT/1485</t>
  </si>
  <si>
    <t>PU/26/SLS/OT/1487</t>
  </si>
  <si>
    <t>PU/26/SLS/OT/1487, PU/26/SLS/OT/1487</t>
  </si>
  <si>
    <t>BP/26/SLS/1015</t>
  </si>
  <si>
    <t>PU/26/SLS/OT/1484-1</t>
  </si>
  <si>
    <t>PU/26/SLS/OT/1484-1, PU/26/SLS/OT/1484-1</t>
  </si>
  <si>
    <t>PU/26/SLS/OT/1488</t>
  </si>
  <si>
    <t>PU/26/SLS/OT/1488, PU/26/SLS/OT/1488</t>
  </si>
  <si>
    <t>PU/26/SLS/OT/1489</t>
  </si>
  <si>
    <t>PU/26/SLS/OT/1489, PU/26/SLS/OT/1489</t>
  </si>
  <si>
    <t>PU/26/SLS/OT/1490</t>
  </si>
  <si>
    <t>PU/26/SLS/OT/1492</t>
  </si>
  <si>
    <t>PU/26/SLS/OT/1492, PU/26/SLS/OT/1492</t>
  </si>
  <si>
    <t>PU/26/SLS/OT/1493</t>
  </si>
  <si>
    <t>Intra SEZ Trf Expenses - SLSIPL</t>
  </si>
  <si>
    <t>PU/26/SLS/OT/1493, PU/26/SLS/OT/1493</t>
  </si>
  <si>
    <t>PU/26/SLS/OT/1494</t>
  </si>
  <si>
    <t>PU/26/SLS/OT/1494, PU/26/SLS/OT/1494</t>
  </si>
  <si>
    <t>PU/26/SLS/OT/1495</t>
  </si>
  <si>
    <t>PU/26/SLS/OT/1495, PU/26/SLS/OT/1495</t>
  </si>
  <si>
    <t>PU/26/SLS/OT/1491-1</t>
  </si>
  <si>
    <t>PU/26/SLS/OT/1491-1, PU/26/SLS/OT/1491-1</t>
  </si>
  <si>
    <t>PU/26/SLS/OT/1394-2</t>
  </si>
  <si>
    <t>PU/26/SLS/OT/1394-2, PU/26/SLS/OT/1394-2</t>
  </si>
  <si>
    <t>SJ/25/GEA/1376</t>
  </si>
  <si>
    <t>PU/26/SLS/OT/0585, SLS26/MF/DN/0001-2</t>
  </si>
  <si>
    <t>SJ/25/GEA/1377</t>
  </si>
  <si>
    <t>PU/26/SLS/OT/1422, SLS26/MF/DN/0001-2</t>
  </si>
  <si>
    <t>SJ/25/GEA/1378</t>
  </si>
  <si>
    <t>PU/25/SLS/OT/1856, SLS26/MF/DN/0010-1</t>
  </si>
  <si>
    <t>PU/26/SLS/OT/1553</t>
  </si>
  <si>
    <t>PU/26/SLS/OT/1553, PU/26/SLS/OT/1553</t>
  </si>
  <si>
    <t>PU/26/SLS/OT/1554</t>
  </si>
  <si>
    <t>PU/26/SLS/OT/1538</t>
  </si>
  <si>
    <t>Gate in Charges - Inbound - SLSIPL,Handling Charges - Inbound (Exp) - SLSIPL</t>
  </si>
  <si>
    <t>PU/26/SLS/OT/1538, PU/26/SLS/OT/1538</t>
  </si>
  <si>
    <t>BP/26/SLS/1165-1</t>
  </si>
  <si>
    <t>PU/26/SLS/OT/1636</t>
  </si>
  <si>
    <t>Handling Charges - Outbound (Exp) - SLSIPL,MHE CHARGES - SLSIPL</t>
  </si>
  <si>
    <t>PU/26/SLS/OT/1636, PU/26/SLS/OT/1636</t>
  </si>
  <si>
    <t>PU/26/SLS/OT/1637</t>
  </si>
  <si>
    <t>Handling Charges - Outbound (Exp) - SLSIPL,Gate In Charges Paid - SLSIPL</t>
  </si>
  <si>
    <t>PU/26/SLS/OT/1637, PU/26/SLS/OT/1637</t>
  </si>
  <si>
    <t>PU/26/SLS/OT/1638</t>
  </si>
  <si>
    <t>PU/26/SLS/OT/1638, PU/26/SLS/OT/1638</t>
  </si>
  <si>
    <t>PU/26/SLS/OT/1639</t>
  </si>
  <si>
    <t>PU/26/SLS/OT/1639, PU/26/SLS/OT/1639</t>
  </si>
  <si>
    <t>PU/26/SLS/OT/1640</t>
  </si>
  <si>
    <t>Storage Charges - Cargo - SLSIPL,Gate In Charges Paid - SLSIPL</t>
  </si>
  <si>
    <t>PU/26/SLS/OT/1640, PU/26/SLS/OT/1640</t>
  </si>
  <si>
    <t>PU/26/SLS/OT/1643</t>
  </si>
  <si>
    <t>PU/26/SLS/OT/1643, PU/26/SLS/OT/1643</t>
  </si>
  <si>
    <t>PU/26/SLS/OT/1646</t>
  </si>
  <si>
    <t>PU/26/SLS/OT/1646, PU/26/SLS/OT/1646</t>
  </si>
  <si>
    <t>Reconciliation of Ledger as on 31st January 2026</t>
  </si>
  <si>
    <t>Particulars</t>
  </si>
  <si>
    <t>Amount</t>
  </si>
  <si>
    <t>Balance as per Scope Chemicals Pvt Ltd</t>
  </si>
  <si>
    <t>Add: TDS to be booked in Ascendus books</t>
  </si>
  <si>
    <t>Add: Invoices &amp; CN not recorded in customer books</t>
  </si>
  <si>
    <t>Derived balance</t>
  </si>
  <si>
    <t>Balance as per Ascent</t>
  </si>
  <si>
    <t>Difference</t>
  </si>
  <si>
    <t>Net Amount</t>
  </si>
  <si>
    <t>TDS</t>
  </si>
  <si>
    <t>Rate</t>
  </si>
  <si>
    <t>Add: Diffrence of invoice value in both Books</t>
  </si>
  <si>
    <t>Add: Knock off entries difference</t>
  </si>
  <si>
    <t>Row Labels</t>
  </si>
  <si>
    <t>(blank)</t>
  </si>
  <si>
    <t>Grand Total</t>
  </si>
  <si>
    <t>Debit</t>
  </si>
  <si>
    <t>Credit</t>
  </si>
  <si>
    <t>DN</t>
  </si>
  <si>
    <t>Xlookup</t>
  </si>
  <si>
    <t>File No</t>
  </si>
  <si>
    <t>2025-02-20</t>
  </si>
  <si>
    <t>2025-03-03</t>
  </si>
  <si>
    <t>IMP/SLSIPL/0149/24-25</t>
  </si>
  <si>
    <t>174/24-25</t>
  </si>
  <si>
    <t>IMP/SLSIPL/0162/24-25</t>
  </si>
  <si>
    <t>148/24-25</t>
  </si>
  <si>
    <t>142/24-25</t>
  </si>
  <si>
    <t>IMP/SLSIPL/0147/24-25</t>
  </si>
  <si>
    <t>IMP/SLSIPL/0101/24-25</t>
  </si>
  <si>
    <t>106/24-25</t>
  </si>
  <si>
    <t>095/24-25</t>
  </si>
  <si>
    <t>117/24-25</t>
  </si>
  <si>
    <t>107/24-25</t>
  </si>
  <si>
    <t>118/24-25</t>
  </si>
  <si>
    <t>092/24-25</t>
  </si>
  <si>
    <t>131/24-25</t>
  </si>
  <si>
    <t>129/24-25</t>
  </si>
  <si>
    <t>135/24-25</t>
  </si>
  <si>
    <t>137/24-25</t>
  </si>
  <si>
    <t>IMP/SLSIPL/0138/24-25</t>
  </si>
  <si>
    <t>132/24-25</t>
  </si>
  <si>
    <t>IMP/SLSIPL/0139/24-25</t>
  </si>
  <si>
    <t>2025-03-04</t>
  </si>
  <si>
    <t>259/24-25</t>
  </si>
  <si>
    <t>IMP/SLSIPL/0189/24-25</t>
  </si>
  <si>
    <t>208/24-25</t>
  </si>
  <si>
    <t>217/24-25</t>
  </si>
  <si>
    <t>205 &amp; 206/24-25</t>
  </si>
  <si>
    <t>194/24-25</t>
  </si>
  <si>
    <t>210/24-25</t>
  </si>
  <si>
    <t>228/24-25</t>
  </si>
  <si>
    <t>195/24-25</t>
  </si>
  <si>
    <t>202/24-25</t>
  </si>
  <si>
    <t>IMP/SLSIPL/0171/24-25</t>
  </si>
  <si>
    <t>215/24-25</t>
  </si>
  <si>
    <t>197/24-25</t>
  </si>
  <si>
    <t>198/24-25</t>
  </si>
  <si>
    <t>IMP/SLSIPL/0179/24-25</t>
  </si>
  <si>
    <t>IMP/SLSIPL/0185/24-25</t>
  </si>
  <si>
    <t>170/24-25</t>
  </si>
  <si>
    <t>IMP/SLSIPL/0172/24-25</t>
  </si>
  <si>
    <t>186/24-25</t>
  </si>
  <si>
    <t>NSDL Job No 173/24-25</t>
  </si>
  <si>
    <t>253/24-25</t>
  </si>
  <si>
    <t>93/24-25</t>
  </si>
  <si>
    <t>IMP/SLS/0104/24-25</t>
  </si>
  <si>
    <t>NSDL Job No 244/24-25</t>
  </si>
  <si>
    <t>199/24-25</t>
  </si>
  <si>
    <t>167/24-25</t>
  </si>
  <si>
    <t>2025-03-06</t>
  </si>
  <si>
    <t>IMP/SLSIPL/0187/24-25</t>
  </si>
  <si>
    <t>97/24-25</t>
  </si>
  <si>
    <t>IMP/SLSIPL/0088/24-25</t>
  </si>
  <si>
    <t>124/24-25</t>
  </si>
  <si>
    <t>108/24-25</t>
  </si>
  <si>
    <t>226/24-25</t>
  </si>
  <si>
    <t>225/24-25</t>
  </si>
  <si>
    <t>224/24-25</t>
  </si>
  <si>
    <t>196/24-25</t>
  </si>
  <si>
    <t>2025-03-17</t>
  </si>
  <si>
    <t>2025-03-19</t>
  </si>
  <si>
    <t>2025-03-20</t>
  </si>
  <si>
    <t>2025-03-31</t>
  </si>
  <si>
    <t>Ascendas_creditnote</t>
  </si>
  <si>
    <t>2025-04-01</t>
  </si>
  <si>
    <t>2025-04-03</t>
  </si>
  <si>
    <t>2025-04-04</t>
  </si>
  <si>
    <t>2025-04-15</t>
  </si>
  <si>
    <t>2025-04-16</t>
  </si>
  <si>
    <t>2025-04-21</t>
  </si>
  <si>
    <t>2025-04-22</t>
  </si>
  <si>
    <t>2025-04-23</t>
  </si>
  <si>
    <t>2025-04-24</t>
  </si>
  <si>
    <t>2025-05-10</t>
  </si>
  <si>
    <t>2025-05-16</t>
  </si>
  <si>
    <t>2025-05-20</t>
  </si>
  <si>
    <t>2025-05-21</t>
  </si>
  <si>
    <t>2025-05-28</t>
  </si>
  <si>
    <t>2025-05-30</t>
  </si>
  <si>
    <t>2025-06-04</t>
  </si>
  <si>
    <t>2025-06-07</t>
  </si>
  <si>
    <t>2025-06-10</t>
  </si>
  <si>
    <t>2025-06-13</t>
  </si>
  <si>
    <t>2025-06-21</t>
  </si>
  <si>
    <t>2025-06-30</t>
  </si>
  <si>
    <t>2025-07-05</t>
  </si>
  <si>
    <t>2025-07-11</t>
  </si>
  <si>
    <t>2025-07-16</t>
  </si>
  <si>
    <t>2025-07-19</t>
  </si>
  <si>
    <t>2025-07-24</t>
  </si>
  <si>
    <t>2025-07-25</t>
  </si>
  <si>
    <t>2025-07-31</t>
  </si>
  <si>
    <t>2025-08-08</t>
  </si>
  <si>
    <t>2025-08-20</t>
  </si>
  <si>
    <t>2025-10-07</t>
  </si>
  <si>
    <t>2025-10-09</t>
  </si>
  <si>
    <t>2025-10-10</t>
  </si>
  <si>
    <t>2025-10-18</t>
  </si>
  <si>
    <t>2025-10-29</t>
  </si>
  <si>
    <t>2025-11-01</t>
  </si>
  <si>
    <t>2025-12-12</t>
  </si>
  <si>
    <t>2025-12-15</t>
  </si>
  <si>
    <t>2025-12-16</t>
  </si>
  <si>
    <t>2025-12-17</t>
  </si>
  <si>
    <t>2025-12-18</t>
  </si>
  <si>
    <t>2025-12-19</t>
  </si>
  <si>
    <t>2025-12-29</t>
  </si>
  <si>
    <t>2025-12-30</t>
  </si>
  <si>
    <t>2025-12-31</t>
  </si>
  <si>
    <t>2026-01-16</t>
  </si>
  <si>
    <t>2026-01-23</t>
  </si>
  <si>
    <t>2026-01-28</t>
  </si>
  <si>
    <t>2026-02-04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</si>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</sst>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2" fillId="0" borderId="0" xfId="0" applyFont="1"/>
    <xf numFmtId="0" fontId="3" fillId="0" borderId="0" xfId="0" applyFont="1" applyAlignment="1">
      <alignment vertical="top"/>
    </xf>
    <xf numFmtId="43" fontId="0" fillId="0" borderId="0" xfId="1" applyFont="1"/>
    <xf numFmtId="43" fontId="0" fillId="0" borderId="0" xfId="0" applyNumberFormat="1" applyAlignment="1">
      <alignment vertical="top"/>
    </xf>
    <xf numFmtId="43" fontId="3" fillId="0" borderId="0" xfId="0" applyNumberFormat="1" applyFont="1" applyAlignment="1">
      <alignment vertical="top"/>
    </xf>
    <xf numFmtId="43" fontId="3" fillId="2" borderId="0" xfId="0" applyNumberFormat="1" applyFont="1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4" fontId="0" fillId="5" borderId="1" xfId="0" applyNumberFormat="1" applyFill="1" applyBorder="1" applyAlignment="1">
      <alignment horizontal="right" vertical="top"/>
    </xf>
    <xf numFmtId="3" fontId="0" fillId="5" borderId="1" xfId="0" applyNumberFormat="1" applyFill="1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/>
    <xf numFmtId="43" fontId="0" fillId="0" borderId="1" xfId="1" applyFont="1" applyBorder="1" applyAlignment="1"/>
    <xf numFmtId="1" fontId="0" fillId="0" borderId="1" xfId="0" applyNumberFormat="1" applyBorder="1" applyAlignment="1"/>
    <xf numFmtId="0" fontId="0" fillId="0" borderId="0" xfId="0" applyNumberFormat="1" applyAlignment="1">
      <alignment vertical="top"/>
    </xf>
    <xf numFmtId="0" fontId="2" fillId="0" borderId="2" xfId="4" applyFont="1" applyBorder="1"/>
    <xf numFmtId="0" fontId="2" fillId="0" borderId="4" xfId="4" applyFont="1" applyBorder="1"/>
    <xf numFmtId="43" fontId="0" fillId="0" borderId="5" xfId="3" applyFont="1" applyBorder="1"/>
    <xf numFmtId="43" fontId="0" fillId="0" borderId="6" xfId="3" applyFont="1" applyBorder="1"/>
    <xf numFmtId="43" fontId="0" fillId="0" borderId="7" xfId="3" applyFont="1" applyBorder="1"/>
    <xf numFmtId="43" fontId="0" fillId="0" borderId="8" xfId="3" applyFont="1" applyBorder="1"/>
    <xf numFmtId="43" fontId="0" fillId="0" borderId="9" xfId="3" applyFont="1" applyBorder="1"/>
    <xf numFmtId="43" fontId="2" fillId="0" borderId="2" xfId="3" applyFont="1" applyBorder="1"/>
    <xf numFmtId="43" fontId="2" fillId="0" borderId="4" xfId="1" applyFont="1" applyBorder="1"/>
    <xf numFmtId="1" fontId="0" fillId="0" borderId="0" xfId="0" applyNumberFormat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5" borderId="1" xfId="0" applyNumberFormat="1" applyFill="1" applyBorder="1" applyAlignment="1">
      <alignment vertical="top"/>
    </xf>
    <xf numFmtId="0" fontId="0" fillId="3" borderId="0" xfId="0" applyFill="1" applyBorder="1" applyAlignment="1">
      <alignment vertical="top"/>
    </xf>
    <xf numFmtId="4" fontId="0" fillId="0" borderId="0" xfId="0" applyNumberFormat="1"/>
    <xf numFmtId="1" fontId="0" fillId="0" borderId="0" xfId="0" applyNumberFormat="1"/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0" xfId="0" applyFill="1"/>
    <xf numFmtId="0" fontId="0" fillId="0" borderId="0" xfId="0" applyNumberFormat="1"/>
    <xf numFmtId="14" fontId="0" fillId="0" borderId="1" xfId="0" applyNumberFormat="1" applyBorder="1" applyAlignment="1"/>
    <xf numFmtId="164" fontId="0" fillId="0" borderId="0" xfId="0" applyNumberFormat="1"/>
    <xf numFmtId="0" fontId="0" fillId="0" borderId="0" xfId="0" applyAlignmen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43" fontId="0" fillId="3" borderId="0" xfId="1" applyFont="1" applyFill="1" applyBorder="1" applyAlignment="1">
      <alignment vertical="top"/>
    </xf>
    <xf numFmtId="43" fontId="0" fillId="0" borderId="0" xfId="0" applyNumberFormat="1"/>
    <xf numFmtId="43" fontId="0" fillId="3" borderId="1" xfId="1" applyFont="1" applyFill="1" applyBorder="1" applyAlignment="1">
      <alignment vertical="top"/>
    </xf>
    <xf numFmtId="164" fontId="0" fillId="0" borderId="1" xfId="1" applyNumberFormat="1" applyFont="1" applyBorder="1" applyAlignment="1"/>
    <xf numFmtId="43" fontId="0" fillId="3" borderId="1" xfId="1" applyFont="1" applyFill="1" applyBorder="1" applyAlignment="1">
      <alignment vertical="top" wrapText="1"/>
    </xf>
    <xf numFmtId="9" fontId="0" fillId="3" borderId="1" xfId="2" applyFont="1" applyFill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wrapText="1"/>
    </xf>
    <xf numFmtId="164" fontId="0" fillId="0" borderId="1" xfId="1" applyNumberFormat="1" applyFont="1" applyBorder="1" applyAlignment="1">
      <alignment wrapText="1"/>
    </xf>
    <xf numFmtId="9" fontId="0" fillId="0" borderId="1" xfId="2" applyFont="1" applyBorder="1" applyAlignment="1">
      <alignment wrapText="1"/>
    </xf>
    <xf numFmtId="1" fontId="2" fillId="0" borderId="0" xfId="0" applyNumberFormat="1" applyFont="1" applyBorder="1" applyAlignment="1"/>
    <xf numFmtId="1" fontId="0" fillId="0" borderId="0" xfId="0" applyNumberFormat="1" applyBorder="1" applyAlignment="1"/>
    <xf numFmtId="1" fontId="0" fillId="0" borderId="10" xfId="0" applyNumberFormat="1" applyBorder="1" applyAlignment="1"/>
    <xf numFmtId="1" fontId="0" fillId="0" borderId="11" xfId="0" applyNumberFormat="1" applyBorder="1" applyAlignment="1"/>
    <xf numFmtId="43" fontId="2" fillId="0" borderId="2" xfId="3" applyFont="1" applyBorder="1" applyAlignment="1">
      <alignment horizontal="center"/>
    </xf>
    <xf numFmtId="43" fontId="2" fillId="0" borderId="3" xfId="3" applyFont="1" applyBorder="1" applyAlignment="1">
      <alignment horizontal="center"/>
    </xf>
    <xf numFmtId="1" fontId="0" fillId="0" borderId="1" xfId="0" applyNumberFormat="1" applyBorder="1"/>
  </cellXfs>
  <cellStyles count="5">
    <cellStyle name="Comma" xfId="1" builtinId="3"/>
    <cellStyle name="Comma 2" xfId="3" xr:uid="{FD02CC5D-48CD-4571-B5E1-6B24A113B601}"/>
    <cellStyle name="Normal" xfId="0" builtinId="0"/>
    <cellStyle name="Normal 2" xfId="4" xr:uid="{7BA7A6DE-21DA-4B8B-825B-258C7C50F1C3}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85.797753472223" createdVersion="7" refreshedVersion="7" minRefreshableVersion="3" recordCount="388" xr:uid="{E5E46F14-1010-4FF2-99B4-CEBBBEFDCD65}">
  <cacheSource type="worksheet">
    <worksheetSource ref="A2:H390" sheet="Customer Data Vlookup"/>
  </cacheSource>
  <cacheFields count="8">
    <cacheField name="Posting Date" numFmtId="14">
      <sharedItems containsSemiMixedTypes="0" containsNonDate="0" containsDate="1" containsString="0" minDate="2025-02-20T00:00:00" maxDate="2026-02-06T00:00:00"/>
    </cacheField>
    <cacheField name="Debit (INR)" numFmtId="43">
      <sharedItems containsString="0" containsBlank="1" containsNumber="1" minValue="0" maxValue="700000"/>
    </cacheField>
    <cacheField name="Credit (INR)" numFmtId="43">
      <sharedItems containsString="0" containsBlank="1" containsNumber="1" minValue="0" maxValue="695663.66119999997"/>
    </cacheField>
    <cacheField name="Balance (INR)" numFmtId="43">
      <sharedItems containsSemiMixedTypes="0" containsString="0" containsNumber="1" minValue="-5193789.12" maxValue="1299027.821"/>
    </cacheField>
    <cacheField name="Voucher No" numFmtId="0">
      <sharedItems/>
    </cacheField>
    <cacheField name="Against Account" numFmtId="0">
      <sharedItems containsBlank="1"/>
    </cacheField>
    <cacheField name="Against Voucher" numFmtId="0">
      <sharedItems containsBlank="1"/>
    </cacheField>
    <cacheField name="Supplier Invoice No" numFmtId="0">
      <sharedItems containsBlank="1" containsMixedTypes="1" containsNumber="1" containsInteger="1" minValue="25677941807" maxValue="256779440429" count="347">
        <n v="246779410049"/>
        <n v="246779410303"/>
        <n v="246779410117"/>
        <n v="246779410160"/>
        <n v="246779410203"/>
        <n v="246779410246"/>
        <n v="246779410613"/>
        <n v="246779410612"/>
        <n v="246779410611"/>
        <n v="246779410610"/>
        <n v="246779410608"/>
        <n v="246779410607"/>
        <n v="246779410404"/>
        <n v="246779410428"/>
        <n v="246779410379"/>
        <n v="246779410605"/>
        <n v="246779410606"/>
        <n v="246779410495"/>
        <n v="246779410494"/>
        <n v="246779410496"/>
        <n v="246779410497"/>
        <n v="246779410499"/>
        <n v="246779410500"/>
        <n v="246779410501"/>
        <n v="246779410502"/>
        <n v="246779410503"/>
        <n v="246779410504"/>
        <n v="246779410505"/>
        <n v="246779410506"/>
        <n v="246779410507"/>
        <n v="246779410508"/>
        <n v="246779410843"/>
        <n v="246779410686"/>
        <n v="246779410683"/>
        <n v="246779410759"/>
        <n v="246779410760"/>
        <n v="246779410761"/>
        <n v="246779410763"/>
        <n v="246779410762"/>
        <n v="246779410757"/>
        <n v="246779410765"/>
        <n v="246779410764"/>
        <n v="246779410766"/>
        <n v="246779410756"/>
        <n v="246779410758"/>
        <n v="246779410689"/>
        <n v="246779410693"/>
        <n v="246779410691"/>
        <n v="246779410684"/>
        <n v="246779410685"/>
        <n v="246779410690"/>
        <n v="246779410680"/>
        <n v="246779410681"/>
        <n v="246779410682"/>
        <n v="246779410678"/>
        <n v="246779410845"/>
        <n v="246779410841"/>
        <n v="246779410844"/>
        <n v="246779410842"/>
        <n v="246779410692"/>
        <n v="246779410679"/>
        <n v="246779411128"/>
        <n v="246779410970"/>
        <n v="246779410971"/>
        <n v="246779410974"/>
        <n v="246779410972"/>
        <n v="246779410973"/>
        <n v="246779410896"/>
        <n v="246779410874"/>
        <n v="246779411189"/>
        <n v="246779411188"/>
        <n v="246779411187"/>
        <n v="246779411186"/>
        <n v="246779411185"/>
        <n v="246779411758"/>
        <n v="246779411933"/>
        <n v="246779411934"/>
        <n v="246779411935"/>
        <n v="246779413000"/>
        <n v="246779414142"/>
        <n v="246779411051"/>
        <n v="246779411052"/>
        <n v="246779411053"/>
        <n v="246779411050"/>
        <n v="246779413782"/>
        <n v="246779413627"/>
        <n v="246779413628"/>
        <n v="246779413629"/>
        <n v="246779413690"/>
        <n v="246779413626"/>
        <n v="246779413625"/>
        <n v="246779413622"/>
        <n v="246779413623"/>
        <n v="246779413624"/>
        <n v="246779411054"/>
        <n v="246779411055"/>
        <n v="246779411248"/>
        <n v="246779411249"/>
        <n v="246779411250"/>
        <n v="246779411251"/>
        <n v="246779411252"/>
        <n v="246779414317"/>
        <n v="246779414141"/>
        <n v="246779414467"/>
        <n v="246779414603"/>
        <n v="246779411936"/>
        <n v="246779411326"/>
        <n v="246779413816"/>
        <n v="246779413827"/>
        <n v="246779413753"/>
        <n v="246779413762"/>
        <n v="246779413745"/>
        <n v="246779413734"/>
        <n v="246779413736"/>
        <n v="246779413739"/>
        <n v="246779413742"/>
        <n v="246779413692"/>
        <n v="246779413693"/>
        <n v="246779413694"/>
        <n v="246779413695"/>
        <n v="246779413696"/>
        <n v="246779410846"/>
        <n v="246779410847"/>
        <n v="246779410849"/>
        <n v="246779410850"/>
        <n v="246779410851"/>
        <n v="246779410852"/>
        <n v="246779410853"/>
        <n v="246779410854"/>
        <n v="246779410855"/>
        <n v="246779414681"/>
        <n v="246779414734"/>
        <n v="246779414885"/>
        <n v="246779414221"/>
        <n v="246779413691"/>
        <n v="246779413772"/>
        <n v="246779411339"/>
        <n v="246779411314"/>
        <n v="246779411619"/>
        <n v="246779411620"/>
        <n v="246779411755"/>
        <n v="246779411756"/>
        <n v="246779411759"/>
        <n v="246779411757"/>
        <n v="246779411300"/>
        <n v="246779411448"/>
        <n v="246779413689"/>
        <n v="246779413740"/>
        <n v="246779413737"/>
        <n v="246779413735"/>
        <n v="246779413744"/>
        <n v="246779413733"/>
        <n v="246779413743"/>
        <n v="246779414680"/>
        <n v="246779413741"/>
        <n v="246779413933"/>
        <n v="246779410609"/>
        <n v="246779413738"/>
        <n v="246779410498"/>
        <n v="246779413704"/>
        <n v="246779410848"/>
        <n v="246779413845"/>
        <n v="246779413705"/>
        <n v="246779410755"/>
        <n v="246779410072"/>
        <n v="246779410688"/>
        <n v="246779410687"/>
        <n v="246779410360"/>
        <n v="256779410157"/>
        <n v="256779410156"/>
        <n v="256779410166"/>
        <n v="256779410174"/>
        <n v="256779410201"/>
        <n v="256779410135"/>
        <n v="256779410134"/>
        <n v="256779410010"/>
        <n v="256779410004"/>
        <n v="256779410220"/>
        <n v="256779410812"/>
        <n v="256779410795"/>
        <n v="256779411150"/>
        <n v="256779411148"/>
        <n v="256779411149"/>
        <n v="256779411564"/>
        <n v="256779411563"/>
        <n v="256779411151"/>
        <n v="256779412117"/>
        <n v="25677941807"/>
        <n v="256779412065"/>
        <n v="256779411885"/>
        <n v="256779412100"/>
        <n v="256779411886"/>
        <n v="256779411917"/>
        <n v="256779412161"/>
        <n v="256779412655"/>
        <n v="256779412613"/>
        <n v="256779412468"/>
        <n v="256779412675"/>
        <n v="256779412683"/>
        <n v="256779412461"/>
        <n v="256779412926"/>
        <n v="256779412950"/>
        <n v="256779412941"/>
        <n v="256779412692"/>
        <n v="256779412777"/>
        <n v="256779413163"/>
        <n v="256779413127"/>
        <n v="256779413172"/>
        <n v="256779413243"/>
        <n v="256779413357"/>
        <n v="256779413283"/>
        <n v="256779413486"/>
        <n v="256779413837"/>
        <n v="256779413405"/>
        <n v="256779413404"/>
        <n v="256779413427"/>
        <n v="256779413428"/>
        <n v="256779413429"/>
        <n v="256779413430"/>
        <n v="256779413899"/>
        <m/>
        <n v="256779414165"/>
        <n v="256779414216"/>
        <n v="256779414288"/>
        <n v="256779414158"/>
        <n v="256779414242"/>
        <n v="256779414386"/>
        <n v="246779410348"/>
        <s v="DN"/>
        <n v="246779413701"/>
        <n v="256779416223"/>
        <n v="256779416256"/>
        <n v="256779416088"/>
        <n v="256779416615"/>
        <n v="256779416809"/>
        <n v="256779416878"/>
        <n v="256779416844"/>
        <n v="256779416603"/>
        <n v="246779411278"/>
        <n v="246779413796"/>
        <n v="246779413702"/>
        <n v="246779410327"/>
        <n v="246779410333"/>
        <n v="246779410340"/>
        <n v="246779410352"/>
        <n v="246779410338"/>
        <n v="246779410339"/>
        <n v="256779411807"/>
        <n v="256779414743"/>
        <n v="256779414748"/>
        <n v="256779414758"/>
        <n v="256779414340"/>
        <n v="256779415939"/>
        <n v="256779415771"/>
        <n v="256779415801"/>
        <n v="256779415456"/>
        <n v="256779415444"/>
        <n v="256779414968"/>
        <n v="256779415263"/>
        <n v="256779415198"/>
        <n v="256779415048"/>
        <n v="256779414975"/>
        <n v="256779414944"/>
        <n v="256779414890"/>
        <n v="256779414878"/>
        <n v="256779414829"/>
        <n v="256779414768"/>
        <n v="256779416544"/>
        <n v="256779416546"/>
        <n v="256779416444"/>
        <n v="256779416538"/>
        <n v="256779416054"/>
        <n v="256779417373"/>
        <n v="256779417566"/>
        <n v="256779417582"/>
        <n v="256779417594"/>
        <n v="256779417442"/>
        <n v="256779417525"/>
        <n v="256779417410"/>
        <n v="256779417489"/>
        <n v="256779418036"/>
        <n v="256779417939"/>
        <n v="256779418010"/>
        <n v="256779416911"/>
        <n v="256779417286"/>
        <n v="256779417324"/>
        <n v="256779416948"/>
        <n v="256779417261"/>
        <n v="256779417084"/>
        <n v="256779417160"/>
        <n v="256779417166"/>
        <n v="256779417173"/>
        <n v="256779419248"/>
        <n v="256779418819"/>
        <n v="256779418869"/>
        <n v="256779418897"/>
        <n v="256779418906"/>
        <n v="256779419076"/>
        <n v="256779419069"/>
        <n v="256779419172"/>
        <n v="256779419556"/>
        <n v="256779419588"/>
        <n v="256779419628"/>
        <n v="256779419465"/>
        <n v="256779419476"/>
        <n v="256779419534"/>
        <n v="256779419547"/>
        <n v="256779419364"/>
        <n v="256779413184"/>
        <n v="256779419867"/>
        <n v="256779419916"/>
        <n v="256779419933"/>
        <n v="256779419795"/>
        <n v="256779418802"/>
        <n v="256779418477"/>
        <n v="246779418620"/>
        <n v="256779418492"/>
        <n v="256779418437"/>
        <n v="256779418428"/>
        <n v="256779418351"/>
        <n v="256779418103"/>
        <n v="256779418168"/>
        <n v="256779418094"/>
        <n v="256779417978"/>
        <n v="256779416178"/>
        <n v="256779440041"/>
        <n v="256779440069"/>
        <n v="256779440118"/>
        <n v="256779440383"/>
        <n v="256779440413"/>
        <n v="256779440429"/>
        <n v="256779440394"/>
        <n v="256779440392"/>
        <n v="256779440210"/>
        <n v="256779440122"/>
        <n v="256779415945" u="1"/>
        <n v="256779421370" u="1"/>
        <n v="256779415970" u="1"/>
        <n v="256779421383" u="1"/>
        <n v="256779421379" u="1"/>
        <n v="256779415995" u="1"/>
        <n v="256779421367" u="1"/>
        <n v="256779415967" u="1"/>
        <n v="256779421376" u="1"/>
        <n v="256779421381" u="1"/>
        <n v="256779421373" u="1"/>
        <n v="25677942136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d v="2025-02-20T00:00:00"/>
    <n v="0"/>
    <n v="35554.519999999997"/>
    <n v="-35554.519999999997"/>
    <s v="PU/25/SLS/OT/1560"/>
    <s v="Fixed Storage Charges - ODC (Covered) - SLSIPL"/>
    <s v="PU/25/SLS/OT/1560"/>
    <x v="0"/>
  </r>
  <r>
    <d v="2025-02-20T00:00:00"/>
    <n v="0"/>
    <n v="35554.519999999997"/>
    <n v="-71109.039999999994"/>
    <s v="PU/25/SLS/OT/1561"/>
    <s v="Fixed Storage Charges - ODC (Covered) - SLSIPL"/>
    <s v="PU/25/SLS/OT/1561"/>
    <x v="1"/>
  </r>
  <r>
    <d v="2025-02-20T00:00:00"/>
    <n v="0"/>
    <n v="35554.519999999997"/>
    <n v="-106663.56"/>
    <s v="PU/25/SLS/OT/1562"/>
    <s v="Fixed Storage Charges - ODC (Covered) - SLSIPL"/>
    <s v="PU/25/SLS/OT/1562"/>
    <x v="2"/>
  </r>
  <r>
    <d v="2025-02-20T00:00:00"/>
    <n v="0"/>
    <n v="35554.519999999997"/>
    <n v="-142218.07999999999"/>
    <s v="PU/25/SLS/OT/1563"/>
    <s v="Fixed Storage Charges - ODC (Covered) - SLSIPL"/>
    <s v="PU/25/SLS/OT/1563"/>
    <x v="3"/>
  </r>
  <r>
    <d v="2025-02-20T00:00:00"/>
    <n v="0"/>
    <n v="35554.519999999997"/>
    <n v="-177772.6"/>
    <s v="PU/25/SLS/OT/1564"/>
    <s v="Fixed Storage Charges - ODC (Covered) - SLSIPL"/>
    <s v="PU/25/SLS/OT/1564"/>
    <x v="4"/>
  </r>
  <r>
    <d v="2025-02-20T00:00:00"/>
    <n v="0"/>
    <n v="35554.519999999997"/>
    <n v="-213327.12"/>
    <s v="PU/25/SLS/OT/1565"/>
    <s v="Fixed Storage Charges - ODC (Covered) - SLSIPL"/>
    <s v="PU/25/SLS/OT/1565"/>
    <x v="5"/>
  </r>
  <r>
    <d v="2025-03-03T00:00:00"/>
    <n v="0"/>
    <n v="804"/>
    <n v="-214131.12"/>
    <s v="PU/25/SLS/OT/1672"/>
    <s v="Handling Charges - Outbound (Exp) - SLSIPL"/>
    <s v="PU/25/SLS/OT/1672"/>
    <x v="6"/>
  </r>
  <r>
    <d v="2025-03-03T00:00:00"/>
    <n v="0"/>
    <n v="1004"/>
    <n v="-215135.12"/>
    <s v="PU/25/SLS/OT/1673"/>
    <s v="Handling Charges - Outbound (Exp) - SLSIPL"/>
    <s v="PU/25/SLS/OT/1673"/>
    <x v="7"/>
  </r>
  <r>
    <d v="2025-03-03T00:00:00"/>
    <n v="0"/>
    <n v="402"/>
    <n v="-215537.12"/>
    <s v="PU/25/SLS/OT/1674"/>
    <s v="Handling Charges - Outbound (Exp) - SLSIPL"/>
    <s v="PU/25/SLS/OT/1674"/>
    <x v="8"/>
  </r>
  <r>
    <d v="2025-03-03T00:00:00"/>
    <n v="0"/>
    <n v="201"/>
    <n v="-215738.12"/>
    <s v="PU/25/SLS/OT/1675"/>
    <s v="Handling Charges - Outbound (Exp) - SLSIPL"/>
    <s v="PU/25/SLS/OT/1675"/>
    <x v="9"/>
  </r>
  <r>
    <d v="2025-03-03T00:00:00"/>
    <n v="0"/>
    <n v="804"/>
    <n v="-216542.12"/>
    <s v="PU/25/SLS/OT/1676"/>
    <s v="Handling Charges - Outbound (Exp) - SLSIPL"/>
    <s v="PU/25/SLS/OT/1676"/>
    <x v="10"/>
  </r>
  <r>
    <d v="2025-03-03T00:00:00"/>
    <n v="0"/>
    <n v="402"/>
    <n v="-216944.12"/>
    <s v="PU/25/SLS/OT/1677"/>
    <s v="Handling Charges - Outbound (Exp) - SLSIPL"/>
    <s v="PU/25/SLS/OT/1677"/>
    <x v="11"/>
  </r>
  <r>
    <d v="2025-03-03T00:00:00"/>
    <n v="0"/>
    <n v="580687"/>
    <n v="-797631.12"/>
    <s v="PU/25/SLS/OT/1718"/>
    <s v="Storage Charges - Cargo - SLSIPL"/>
    <s v="PU/25/SLS/OT/1718"/>
    <x v="12"/>
  </r>
  <r>
    <d v="2025-03-03T00:00:00"/>
    <n v="0"/>
    <n v="340227"/>
    <n v="-1137858.1200000001"/>
    <s v="PU/25/SLS/OT/1719"/>
    <s v="Storage Charges - Cargo - SLSIPL"/>
    <s v="PU/25/SLS/OT/1719"/>
    <x v="13"/>
  </r>
  <r>
    <d v="2025-03-03T00:00:00"/>
    <n v="0"/>
    <n v="460370"/>
    <n v="-1598228.12"/>
    <s v="PU/25/SLS/OT/1720"/>
    <s v="Storage Charges - Cargo - SLSIPL"/>
    <s v="PU/25/SLS/OT/1720"/>
    <x v="14"/>
  </r>
  <r>
    <d v="2025-03-03T00:00:00"/>
    <n v="0"/>
    <n v="2009"/>
    <n v="-1600237.12"/>
    <s v="PU/25/SLS/OT/1721"/>
    <s v="Handling Charges - Outbound (Exp) - SLSIPL"/>
    <s v="PU/25/SLS/OT/1721"/>
    <x v="15"/>
  </r>
  <r>
    <d v="2025-03-03T00:00:00"/>
    <n v="0"/>
    <n v="402"/>
    <n v="-1600639.12"/>
    <s v="PU/25/SLS/OT/1722"/>
    <s v="Handling Charges - Outbound (Exp) - SLSIPL"/>
    <s v="PU/25/SLS/OT/1722"/>
    <x v="16"/>
  </r>
  <r>
    <d v="2025-03-03T00:00:00"/>
    <n v="0"/>
    <n v="2009"/>
    <n v="-1602648.12"/>
    <s v="PU/25/SLS/OT/1731"/>
    <s v="Handling Charges - Outbound (Exp) - SLSIPL"/>
    <s v="PU/25/SLS/OT/1731"/>
    <x v="17"/>
  </r>
  <r>
    <d v="2025-03-03T00:00:00"/>
    <n v="0"/>
    <n v="201"/>
    <n v="-1602849.12"/>
    <s v="PU/25/SLS/OT/1732"/>
    <s v="Handling Charges - Outbound (Exp) - SLSIPL"/>
    <s v="PU/25/SLS/OT/1732"/>
    <x v="18"/>
  </r>
  <r>
    <d v="2025-03-03T00:00:00"/>
    <n v="0"/>
    <n v="201"/>
    <n v="-1603050.12"/>
    <s v="PU/25/SLS/OT/1733"/>
    <s v="Handling Charges - Outbound (Exp) - SLSIPL"/>
    <s v="PU/25/SLS/OT/1733"/>
    <x v="19"/>
  </r>
  <r>
    <d v="2025-03-03T00:00:00"/>
    <n v="0"/>
    <n v="201"/>
    <n v="-1603251.12"/>
    <s v="PU/25/SLS/OT/1734"/>
    <s v="Handling Charges - Outbound (Exp) - SLSIPL"/>
    <s v="PU/25/SLS/OT/1734"/>
    <x v="20"/>
  </r>
  <r>
    <d v="2025-03-03T00:00:00"/>
    <n v="0"/>
    <n v="804"/>
    <n v="-1604055.12"/>
    <s v="PU/25/SLS/OT/1735"/>
    <s v="Handling Charges - Outbound (Exp) - SLSIPL"/>
    <s v="PU/25/SLS/OT/1735"/>
    <x v="21"/>
  </r>
  <r>
    <d v="2025-03-03T00:00:00"/>
    <n v="0"/>
    <n v="201"/>
    <n v="-1604256.12"/>
    <s v="PU/25/SLS/OT/1736"/>
    <s v="Handling Charges - Outbound (Exp) - SLSIPL"/>
    <s v="PU/25/SLS/OT/1736"/>
    <x v="22"/>
  </r>
  <r>
    <d v="2025-03-03T00:00:00"/>
    <n v="0"/>
    <n v="1607"/>
    <n v="-1605863.12"/>
    <s v="PU/25/SLS/OT/1737"/>
    <s v="Handling Charges - Outbound (Exp) - SLSIPL"/>
    <s v="PU/25/SLS/OT/1737"/>
    <x v="23"/>
  </r>
  <r>
    <d v="2025-03-03T00:00:00"/>
    <n v="0"/>
    <n v="2009"/>
    <n v="-1607872.12"/>
    <s v="PU/25/SLS/OT/1738"/>
    <s v="Handling Charges - Outbound (Exp) - SLSIPL"/>
    <s v="PU/25/SLS/OT/1738"/>
    <x v="24"/>
  </r>
  <r>
    <d v="2025-03-03T00:00:00"/>
    <n v="0"/>
    <n v="2009"/>
    <n v="-1609881.12"/>
    <s v="PU/25/SLS/OT/1739"/>
    <s v="Handling Charges - Outbound (Exp) - SLSIPL"/>
    <s v="PU/25/SLS/OT/1739"/>
    <x v="25"/>
  </r>
  <r>
    <d v="2025-03-03T00:00:00"/>
    <n v="0"/>
    <n v="201"/>
    <n v="-1610082.12"/>
    <s v="PU/25/SLS/OT/1740"/>
    <s v="Handling Charges - Outbound (Exp) - SLSIPL"/>
    <s v="PU/25/SLS/OT/1740"/>
    <x v="26"/>
  </r>
  <r>
    <d v="2025-03-03T00:00:00"/>
    <n v="0"/>
    <n v="603"/>
    <n v="-1610685.12"/>
    <s v="PU/25/SLS/OT/1741"/>
    <s v="Handling Charges - Outbound (Exp) - SLSIPL"/>
    <s v="PU/25/SLS/OT/1741"/>
    <x v="27"/>
  </r>
  <r>
    <d v="2025-03-03T00:00:00"/>
    <n v="0"/>
    <n v="402"/>
    <n v="-1611087.12"/>
    <s v="PU/25/SLS/OT/1742"/>
    <s v="Handling Charges - Outbound (Exp) - SLSIPL"/>
    <s v="PU/25/SLS/OT/1742"/>
    <x v="28"/>
  </r>
  <r>
    <d v="2025-03-03T00:00:00"/>
    <n v="0"/>
    <n v="402"/>
    <n v="-1611489.12"/>
    <s v="PU/25/SLS/OT/1743"/>
    <s v="Handling Charges - Outbound (Exp) - SLSIPL"/>
    <s v="PU/25/SLS/OT/1743"/>
    <x v="29"/>
  </r>
  <r>
    <d v="2025-03-03T00:00:00"/>
    <n v="0"/>
    <n v="201"/>
    <n v="-1611690.12"/>
    <s v="PU/25/SLS/OT/1744"/>
    <s v="Handling Charges - Outbound (Exp) - SLSIPL"/>
    <s v="PU/25/SLS/OT/1744"/>
    <x v="30"/>
  </r>
  <r>
    <d v="2025-03-04T00:00:00"/>
    <n v="0"/>
    <n v="403"/>
    <n v="-1612093.12"/>
    <s v="PU/25/SLS/OT/1653"/>
    <s v="Handling Charges - Outbound (Exp) - SLSIPL"/>
    <s v="PU/25/SLS/OT/1653"/>
    <x v="31"/>
  </r>
  <r>
    <d v="2025-03-04T00:00:00"/>
    <n v="0"/>
    <n v="805"/>
    <n v="-1612898.12"/>
    <s v="PU/25/SLS/OT/1683"/>
    <s v="Handling Charges - Outbound (Exp) - SLSIPL"/>
    <s v="PU/25/SLS/OT/1683"/>
    <x v="32"/>
  </r>
  <r>
    <d v="2025-03-04T00:00:00"/>
    <n v="0"/>
    <n v="201"/>
    <n v="-1613099.12"/>
    <s v="PU/25/SLS/OT/1684"/>
    <s v="Handling Charges - Outbound (Exp) - SLSIPL"/>
    <s v="PU/25/SLS/OT/1684"/>
    <x v="33"/>
  </r>
  <r>
    <d v="2025-03-04T00:00:00"/>
    <n v="0"/>
    <n v="604"/>
    <n v="-1613703.12"/>
    <s v="PU/25/SLS/OT/1685"/>
    <s v="Handling Charges - Outbound (Exp) - SLSIPL"/>
    <s v="PU/25/SLS/OT/1685"/>
    <x v="34"/>
  </r>
  <r>
    <d v="2025-03-04T00:00:00"/>
    <n v="0"/>
    <n v="1006"/>
    <n v="-1614709.12"/>
    <s v="PU/25/SLS/OT/1686"/>
    <s v="Handling Charges - Outbound (Exp) - SLSIPL"/>
    <s v="PU/25/SLS/OT/1686"/>
    <x v="35"/>
  </r>
  <r>
    <d v="2025-03-04T00:00:00"/>
    <n v="0"/>
    <n v="1207"/>
    <n v="-1615916.12"/>
    <s v="PU/25/SLS/OT/1687"/>
    <s v="Handling Charges - Outbound (Exp) - SLSIPL"/>
    <s v="PU/25/SLS/OT/1687"/>
    <x v="36"/>
  </r>
  <r>
    <d v="2025-03-04T00:00:00"/>
    <n v="0"/>
    <n v="201"/>
    <n v="-1616117.12"/>
    <s v="PU/25/SLS/OT/1688"/>
    <s v="Handling Charges - Outbound (Exp) - SLSIPL"/>
    <s v="PU/25/SLS/OT/1688"/>
    <x v="37"/>
  </r>
  <r>
    <d v="2025-03-04T00:00:00"/>
    <n v="0"/>
    <n v="403"/>
    <n v="-1616520.12"/>
    <s v="PU/25/SLS/OT/1689"/>
    <s v="Handling Charges - Outbound (Exp) - SLSIPL"/>
    <s v="PU/25/SLS/OT/1689"/>
    <x v="38"/>
  </r>
  <r>
    <d v="2025-03-04T00:00:00"/>
    <n v="0"/>
    <n v="403"/>
    <n v="-1616923.12"/>
    <s v="PU/25/SLS/OT/1690"/>
    <s v="Handling Charges - Outbound (Exp) - SLSIPL"/>
    <s v="PU/25/SLS/OT/1690"/>
    <x v="39"/>
  </r>
  <r>
    <d v="2025-03-04T00:00:00"/>
    <n v="0"/>
    <n v="201"/>
    <n v="-1617124.12"/>
    <s v="PU/25/SLS/OT/1691"/>
    <s v="Handling Charges - Outbound (Exp) - SLSIPL"/>
    <s v="PU/25/SLS/OT/1691"/>
    <x v="40"/>
  </r>
  <r>
    <d v="2025-03-04T00:00:00"/>
    <n v="0"/>
    <n v="201"/>
    <n v="-1617325.12"/>
    <s v="PU/25/SLS/OT/1692"/>
    <s v="Handling Charges - Outbound (Exp) - SLSIPL"/>
    <s v="PU/25/SLS/OT/1692"/>
    <x v="41"/>
  </r>
  <r>
    <d v="2025-03-04T00:00:00"/>
    <n v="0"/>
    <n v="403"/>
    <n v="-1617728.12"/>
    <s v="PU/25/SLS/OT/1693"/>
    <s v="Handling Charges - Outbound (Exp) - SLSIPL"/>
    <s v="PU/25/SLS/OT/1693"/>
    <x v="42"/>
  </r>
  <r>
    <d v="2025-03-04T00:00:00"/>
    <n v="0"/>
    <n v="403"/>
    <n v="-1618131.12"/>
    <s v="PU/25/SLS/OT/1694"/>
    <s v="Handling Charges - Outbound (Exp) - SLSIPL"/>
    <s v="PU/25/SLS/OT/1694"/>
    <x v="43"/>
  </r>
  <r>
    <d v="2025-03-04T00:00:00"/>
    <n v="0"/>
    <n v="3219"/>
    <n v="-1621350.12"/>
    <s v="PU/25/SLS/OT/1695"/>
    <s v="Handling Charges - Outbound (Exp) - SLSIPL"/>
    <s v="PU/25/SLS/OT/1695"/>
    <x v="44"/>
  </r>
  <r>
    <d v="2025-03-04T00:00:00"/>
    <n v="0"/>
    <n v="403"/>
    <n v="-1621753.12"/>
    <s v="PU/25/SLS/OT/1696"/>
    <s v="Handling Charges - Outbound (Exp) - SLSIPL"/>
    <s v="PU/25/SLS/OT/1696"/>
    <x v="45"/>
  </r>
  <r>
    <d v="2025-03-04T00:00:00"/>
    <n v="0"/>
    <n v="805"/>
    <n v="-1622558.12"/>
    <s v="PU/25/SLS/OT/1697"/>
    <s v="Handling Charges - Outbound (Exp) - SLSIPL"/>
    <s v="PU/25/SLS/OT/1697"/>
    <x v="46"/>
  </r>
  <r>
    <d v="2025-03-04T00:00:00"/>
    <n v="0"/>
    <n v="604"/>
    <n v="-1623162.12"/>
    <s v="PU/25/SLS/OT/1698"/>
    <s v="Handling Charges - Outbound (Exp) - SLSIPL"/>
    <s v="PU/25/SLS/OT/1698"/>
    <x v="47"/>
  </r>
  <r>
    <d v="2025-03-04T00:00:00"/>
    <n v="0"/>
    <n v="604"/>
    <n v="-1623766.12"/>
    <s v="PU/25/SLS/OT/1699"/>
    <s v="Handling Charges - Outbound (Exp) - SLSIPL"/>
    <s v="PU/25/SLS/OT/1699"/>
    <x v="48"/>
  </r>
  <r>
    <d v="2025-03-04T00:00:00"/>
    <n v="0"/>
    <n v="201"/>
    <n v="-1623967.12"/>
    <s v="PU/25/SLS/OT/1700"/>
    <s v="Handling Charges - Outbound (Exp) - SLSIPL"/>
    <s v="PU/25/SLS/OT/1700"/>
    <x v="49"/>
  </r>
  <r>
    <d v="2025-03-04T00:00:00"/>
    <n v="0"/>
    <n v="3622"/>
    <n v="-1627589.12"/>
    <s v="PU/25/SLS/OT/1701"/>
    <s v="Handling Charges - Outbound (Exp) - SLSIPL"/>
    <s v="PU/25/SLS/OT/1701"/>
    <x v="50"/>
  </r>
  <r>
    <d v="2025-03-04T00:00:00"/>
    <n v="0"/>
    <n v="1207"/>
    <n v="-1628796.12"/>
    <s v="PU/25/SLS/OT/1702"/>
    <s v="Handling Charges - Outbound (Exp) - SLSIPL"/>
    <s v="PU/25/SLS/OT/1702"/>
    <x v="51"/>
  </r>
  <r>
    <d v="2025-03-04T00:00:00"/>
    <n v="0"/>
    <n v="201"/>
    <n v="-1628997.12"/>
    <s v="PU/25/SLS/OT/1703"/>
    <s v="Handling Charges - Outbound (Exp) - SLSIPL"/>
    <s v="PU/25/SLS/OT/1703"/>
    <x v="52"/>
  </r>
  <r>
    <d v="2025-03-04T00:00:00"/>
    <n v="0"/>
    <n v="201"/>
    <n v="-1629198.12"/>
    <s v="PU/25/SLS/OT/1704"/>
    <s v="Handling Charges - Outbound (Exp) - SLSIPL"/>
    <s v="PU/25/SLS/OT/1704"/>
    <x v="53"/>
  </r>
  <r>
    <d v="2025-03-04T00:00:00"/>
    <n v="0"/>
    <n v="201"/>
    <n v="-1629399.12"/>
    <s v="PU/25/SLS/OT/1705"/>
    <s v="Handling Charges - Outbound (Exp) - SLSIPL"/>
    <s v="PU/25/SLS/OT/1705"/>
    <x v="54"/>
  </r>
  <r>
    <d v="2025-03-04T00:00:00"/>
    <n v="0"/>
    <n v="805"/>
    <n v="-1630204.12"/>
    <s v="PU/25/SLS/OT/1706"/>
    <s v="Handling Charges - Outbound (Exp) - SLSIPL"/>
    <s v="PU/25/SLS/OT/1706"/>
    <x v="55"/>
  </r>
  <r>
    <d v="2025-03-04T00:00:00"/>
    <n v="0"/>
    <n v="604"/>
    <n v="-1630808.12"/>
    <s v="PU/25/SLS/OT/1707"/>
    <s v="Handling Charges - Outbound (Exp) - SLSIPL"/>
    <s v="PU/25/SLS/OT/1707"/>
    <x v="56"/>
  </r>
  <r>
    <d v="2025-03-04T00:00:00"/>
    <n v="0"/>
    <n v="403"/>
    <n v="-1631211.12"/>
    <s v="PU/25/SLS/OT/1708"/>
    <s v="Handling Charges - Outbound (Exp) - SLSIPL"/>
    <s v="PU/25/SLS/OT/1708"/>
    <x v="57"/>
  </r>
  <r>
    <d v="2025-03-04T00:00:00"/>
    <n v="0"/>
    <n v="403"/>
    <n v="-1631614.12"/>
    <s v="PU/25/SLS/OT/1709"/>
    <s v="Handling Charges - Outbound (Exp) - SLSIPL"/>
    <s v="PU/25/SLS/OT/1709"/>
    <x v="58"/>
  </r>
  <r>
    <d v="2025-03-04T00:00:00"/>
    <n v="0"/>
    <n v="805"/>
    <n v="-1632419.12"/>
    <s v="PU/25/SLS/OT/1723"/>
    <s v="Handling Charges - Outbound (Exp) - SLSIPL"/>
    <s v="PU/25/SLS/OT/1723"/>
    <x v="59"/>
  </r>
  <r>
    <d v="2025-03-04T00:00:00"/>
    <n v="0"/>
    <n v="201"/>
    <n v="-1632620.12"/>
    <s v="PU/25/SLS/OT/1724"/>
    <s v="Handling Charges - Outbound (Exp) - SLSIPL"/>
    <s v="PU/25/SLS/OT/1724"/>
    <x v="60"/>
  </r>
  <r>
    <d v="2025-03-06T00:00:00"/>
    <n v="0"/>
    <n v="2406"/>
    <n v="-1635026.12"/>
    <s v="PU/25/SLS/OT/1654"/>
    <s v="Handling Charges - Inbound (Exp) - SLSIPL"/>
    <s v="PU/25/SLS/OT/1654"/>
    <x v="61"/>
  </r>
  <r>
    <d v="2025-03-06T00:00:00"/>
    <n v="0"/>
    <n v="1882"/>
    <n v="-1636908.12"/>
    <s v="PU/25/SLS/OT/1678"/>
    <s v="Handling Charges - Inbound (Exp) - SLSIPL,Gate In Charges Paid - SLSIPL"/>
    <s v="PU/25/SLS/OT/1678"/>
    <x v="62"/>
  </r>
  <r>
    <d v="2025-03-06T00:00:00"/>
    <n v="0"/>
    <n v="36538"/>
    <n v="-1673446.12"/>
    <s v="PU/25/SLS/OT/1679"/>
    <s v="Handling Charges - Inbound (Exp) - SLSIPL,Transportation Charges Paid - SLSIPL"/>
    <s v="PU/25/SLS/OT/1679"/>
    <x v="63"/>
  </r>
  <r>
    <d v="2025-03-06T00:00:00"/>
    <n v="0"/>
    <n v="401"/>
    <n v="-1673847.12"/>
    <s v="PU/25/SLS/OT/1680"/>
    <s v="Handling Charges - Inbound (Exp) - SLSIPL"/>
    <s v="PU/25/SLS/OT/1680"/>
    <x v="64"/>
  </r>
  <r>
    <d v="2025-03-06T00:00:00"/>
    <n v="0"/>
    <n v="1481"/>
    <n v="-1675328.12"/>
    <s v="PU/25/SLS/OT/1681"/>
    <s v="Handling Charges - Inbound (Exp) - SLSIPL,Gate In Charges Paid - SLSIPL"/>
    <s v="PU/25/SLS/OT/1681"/>
    <x v="65"/>
  </r>
  <r>
    <d v="2025-03-06T00:00:00"/>
    <n v="0"/>
    <n v="2884"/>
    <n v="-1678212.12"/>
    <s v="PU/25/SLS/OT/1682"/>
    <s v="Handling Charges - Inbound (Exp) - SLSIPL,Gate In Charges Paid - SLSIPL"/>
    <s v="PU/25/SLS/OT/1682"/>
    <x v="66"/>
  </r>
  <r>
    <d v="2025-03-06T00:00:00"/>
    <n v="0"/>
    <n v="357094"/>
    <n v="-2035306.12"/>
    <s v="PU/25/SLS/OT/1716"/>
    <s v="Storage Charges - Cargo - SLSIPL"/>
    <s v="PU/25/SLS/OT/1716"/>
    <x v="67"/>
  </r>
  <r>
    <d v="2025-03-06T00:00:00"/>
    <n v="0"/>
    <n v="241385"/>
    <n v="-2276691.12"/>
    <s v="PU/25/SLS/OT/1717"/>
    <s v="Storage Charges - Cargo - SLSIPL"/>
    <s v="PU/25/SLS/OT/1717"/>
    <x v="68"/>
  </r>
  <r>
    <d v="2025-03-06T00:00:00"/>
    <n v="0"/>
    <n v="2004"/>
    <n v="-2278695.12"/>
    <s v="PU/25/SLS/OT/1745"/>
    <s v="Handling Charges - Inbound (Exp) - SLSIPL"/>
    <s v="PU/25/SLS/OT/1745"/>
    <x v="69"/>
  </r>
  <r>
    <d v="2025-03-06T00:00:00"/>
    <n v="0"/>
    <n v="2004"/>
    <n v="-2280699.12"/>
    <s v="PU/25/SLS/OT/1746"/>
    <s v="Handling Charges - Inbound (Exp) - SLSIPL"/>
    <s v="PU/25/SLS/OT/1746"/>
    <x v="70"/>
  </r>
  <r>
    <d v="2025-03-06T00:00:00"/>
    <n v="0"/>
    <n v="2004"/>
    <n v="-2282703.12"/>
    <s v="PU/25/SLS/OT/1747"/>
    <s v="Handling Charges - Inbound (Exp) - SLSIPL"/>
    <s v="PU/25/SLS/OT/1747"/>
    <x v="71"/>
  </r>
  <r>
    <d v="2025-03-06T00:00:00"/>
    <n v="0"/>
    <n v="2004"/>
    <n v="-2284707.12"/>
    <s v="PU/25/SLS/OT/1748"/>
    <s v="Handling Charges - Inbound (Exp) - SLSIPL"/>
    <s v="PU/25/SLS/OT/1748"/>
    <x v="72"/>
  </r>
  <r>
    <d v="2025-03-06T00:00:00"/>
    <n v="0"/>
    <n v="2004"/>
    <n v="-2286711.12"/>
    <s v="PU/25/SLS/OT/1749"/>
    <s v="Handling Charges - Inbound (Exp) - SLSIPL"/>
    <s v="PU/25/SLS/OT/1749"/>
    <x v="73"/>
  </r>
  <r>
    <d v="2025-03-17T00:00:00"/>
    <n v="0"/>
    <n v="1842"/>
    <n v="-2288553.12"/>
    <s v="PU/25/SLS/OT/1863"/>
    <s v="VOS Activity Charges Paid - SLSIPL"/>
    <s v="PU/25/SLS/OT/1863"/>
    <x v="74"/>
  </r>
  <r>
    <d v="2025-03-17T00:00:00"/>
    <n v="0"/>
    <n v="576"/>
    <n v="-2289129.12"/>
    <s v="PU/25/SLS/OT/1864"/>
    <s v="VOS Activity Charges Paid - SLSIPL"/>
    <s v="PU/25/SLS/OT/1864"/>
    <x v="75"/>
  </r>
  <r>
    <d v="2025-03-17T00:00:00"/>
    <n v="0"/>
    <n v="336"/>
    <n v="-2289465.12"/>
    <s v="PU/25/SLS/OT/1865"/>
    <s v="VOS Activity Charges Paid - SLSIPL"/>
    <s v="PU/25/SLS/OT/1865"/>
    <x v="76"/>
  </r>
  <r>
    <d v="2025-03-17T00:00:00"/>
    <n v="0"/>
    <n v="576"/>
    <n v="-2290041.12"/>
    <s v="PU/25/SLS/OT/1866"/>
    <s v="VOS Activity Charges Paid - SLSIPL"/>
    <s v="PU/25/SLS/OT/1866"/>
    <x v="77"/>
  </r>
  <r>
    <d v="2025-03-19T00:00:00"/>
    <n v="0"/>
    <n v="35488"/>
    <n v="-2325529.12"/>
    <s v="PU/25/SLS/OT/1730"/>
    <s v="Fixed Storage Charges - ODC (Covered) - SLSIPL"/>
    <s v="PU/25/SLS/OT/1730"/>
    <x v="78"/>
  </r>
  <r>
    <d v="2025-03-20T00:00:00"/>
    <n v="0"/>
    <n v="1268"/>
    <n v="-2326797.12"/>
    <s v="PU/25/SLS/OT/1867"/>
    <s v="Gate In Charges Paid - SLSIPL"/>
    <s v="PU/25/SLS/OT/1867"/>
    <x v="79"/>
  </r>
  <r>
    <d v="2025-03-20T00:00:00"/>
    <n v="0"/>
    <n v="1408"/>
    <n v="-2328205.12"/>
    <s v="PU/25/SLS/OT/1868"/>
    <s v="Gate In Charges Paid - SLSIPL,Handling Charges - Inbound (Exp) - SLSIPL"/>
    <s v="PU/25/SLS/OT/1868"/>
    <x v="80"/>
  </r>
  <r>
    <d v="2025-03-20T00:00:00"/>
    <n v="0"/>
    <n v="381"/>
    <n v="-2328586.12"/>
    <s v="PU/25/SLS/OT/1869"/>
    <s v="Handling Charges - Inbound (Exp) - SLSIPL"/>
    <s v="PU/25/SLS/OT/1869"/>
    <x v="81"/>
  </r>
  <r>
    <d v="2025-03-20T00:00:00"/>
    <n v="0"/>
    <n v="1981"/>
    <n v="-2330567.12"/>
    <s v="PU/25/SLS/OT/1870"/>
    <s v="Gate In Charges Paid - SLSIPL,Handling Charges - Inbound (Exp) - SLSIPL"/>
    <s v="PU/25/SLS/OT/1870"/>
    <x v="82"/>
  </r>
  <r>
    <d v="2025-03-20T00:00:00"/>
    <n v="0"/>
    <n v="1907"/>
    <n v="-2332474.12"/>
    <s v="PU/25/SLS/OT/1871"/>
    <s v="Handling Charges - Inbound (Exp) - SLSIPL"/>
    <s v="PU/25/SLS/OT/1871"/>
    <x v="83"/>
  </r>
  <r>
    <d v="2025-03-20T00:00:00"/>
    <n v="0"/>
    <n v="596"/>
    <n v="-2333070.12"/>
    <s v="PU/25/SLS/OT/1872"/>
    <s v="Handling Charges - Outbound (Exp) - SLSIPL"/>
    <s v="PU/25/SLS/OT/1872"/>
    <x v="84"/>
  </r>
  <r>
    <d v="2025-03-20T00:00:00"/>
    <n v="0"/>
    <n v="3578"/>
    <n v="-2336648.12"/>
    <s v="PU/25/SLS/OT/1873"/>
    <s v="Handling Charges - Outbound (Exp) - SLSIPL"/>
    <s v="PU/25/SLS/OT/1873"/>
    <x v="85"/>
  </r>
  <r>
    <d v="2025-03-20T00:00:00"/>
    <n v="0"/>
    <n v="198"/>
    <n v="-2336846.12"/>
    <s v="PU/25/SLS/OT/1874"/>
    <s v="Handling Charges - Outbound (Exp) - SLSIPL"/>
    <s v="PU/25/SLS/OT/1874"/>
    <x v="86"/>
  </r>
  <r>
    <d v="2025-03-20T00:00:00"/>
    <n v="0"/>
    <n v="397"/>
    <n v="-2337243.12"/>
    <s v="PU/25/SLS/OT/1875"/>
    <s v="Handling Charges - Outbound (Exp) - SLSIPL"/>
    <s v="PU/25/SLS/OT/1875"/>
    <x v="87"/>
  </r>
  <r>
    <d v="2025-03-20T00:00:00"/>
    <n v="0"/>
    <n v="198"/>
    <n v="-2337441.12"/>
    <s v="PU/25/SLS/OT/1876"/>
    <s v="Handling Charges - Outbound (Exp) - SLSIPL"/>
    <s v="PU/25/SLS/OT/1876"/>
    <x v="88"/>
  </r>
  <r>
    <d v="2025-03-20T00:00:00"/>
    <n v="0"/>
    <n v="7156"/>
    <n v="-2344597.12"/>
    <s v="PU/25/SLS/OT/1877"/>
    <s v="Handling Charges - Outbound (Exp) - SLSIPL"/>
    <s v="PU/25/SLS/OT/1877"/>
    <x v="89"/>
  </r>
  <r>
    <d v="2025-03-20T00:00:00"/>
    <n v="0"/>
    <n v="198"/>
    <n v="-2344795.12"/>
    <s v="PU/25/SLS/OT/1878"/>
    <s v="Handling Charges - Outbound (Exp) - SLSIPL"/>
    <s v="PU/25/SLS/OT/1878"/>
    <x v="90"/>
  </r>
  <r>
    <d v="2025-03-20T00:00:00"/>
    <n v="0"/>
    <n v="1590"/>
    <n v="-2346385.12"/>
    <s v="PU/25/SLS/OT/1879"/>
    <s v="Handling Charges - Outbound (Exp) - SLSIPL"/>
    <s v="PU/25/SLS/OT/1879"/>
    <x v="91"/>
  </r>
  <r>
    <d v="2025-03-20T00:00:00"/>
    <n v="0"/>
    <n v="198"/>
    <n v="-2346583.12"/>
    <s v="PU/25/SLS/OT/1880"/>
    <s v="Handling Charges - Outbound (Exp) - SLSIPL"/>
    <s v="PU/25/SLS/OT/1880"/>
    <x v="92"/>
  </r>
  <r>
    <d v="2025-03-20T00:00:00"/>
    <n v="0"/>
    <n v="596"/>
    <n v="-2347179.12"/>
    <s v="PU/25/SLS/OT/1881"/>
    <s v="Handling Charges - Outbound (Exp) - SLSIPL"/>
    <s v="PU/25/SLS/OT/1881"/>
    <x v="93"/>
  </r>
  <r>
    <d v="2025-03-31T00:00:00"/>
    <n v="0"/>
    <n v="4387"/>
    <n v="-2351566.12"/>
    <s v="PU/25/SLS/OT/1808"/>
    <s v="Handling Charges - Inbound (Exp) - SLSIPL"/>
    <s v="PU/25/SLS/OT/1808"/>
    <x v="94"/>
  </r>
  <r>
    <d v="2025-03-31T00:00:00"/>
    <n v="0"/>
    <n v="1408"/>
    <n v="-2352974.12"/>
    <s v="PU/25/SLS/OT/1809"/>
    <s v="Handling Charges - Inbound (Exp) - SLSIPL,Gate In Charges Paid - SLSIPL"/>
    <s v="PU/25/SLS/OT/1809"/>
    <x v="95"/>
  </r>
  <r>
    <d v="2025-03-31T00:00:00"/>
    <n v="0"/>
    <n v="3434"/>
    <n v="-2356408.12"/>
    <s v="PU/25/SLS/OT/1810"/>
    <s v="Handling Charges - Inbound (Exp) - SLSIPL"/>
    <s v="PU/25/SLS/OT/1810"/>
    <x v="96"/>
  </r>
  <r>
    <d v="2025-03-31T00:00:00"/>
    <n v="0"/>
    <n v="13737"/>
    <n v="-2370145.12"/>
    <s v="PU/25/SLS/OT/1811"/>
    <s v="Handling Charges - Inbound (Exp) - SLSIPL"/>
    <s v="PU/25/SLS/OT/1811"/>
    <x v="97"/>
  </r>
  <r>
    <d v="2025-03-31T00:00:00"/>
    <n v="0"/>
    <n v="1599"/>
    <n v="-2371744.12"/>
    <s v="PU/25/SLS/OT/1812"/>
    <s v="Handling Charges - Inbound (Exp) - SLSIPL,Gate In Charges Paid - SLSIPL"/>
    <s v="PU/25/SLS/OT/1812"/>
    <x v="98"/>
  </r>
  <r>
    <d v="2025-03-31T00:00:00"/>
    <n v="0"/>
    <n v="1599"/>
    <n v="-2373343.12"/>
    <s v="PU/25/SLS/OT/1813"/>
    <s v="Handling Charges - Inbound (Exp) - SLSIPL,Gate In Charges Paid - SLSIPL"/>
    <s v="PU/25/SLS/OT/1813"/>
    <x v="99"/>
  </r>
  <r>
    <d v="2025-03-31T00:00:00"/>
    <n v="0"/>
    <n v="1907"/>
    <n v="-2375250.12"/>
    <s v="PU/25/SLS/OT/1814"/>
    <s v="Handling Charges - Inbound (Exp) - SLSIPL"/>
    <s v="PU/25/SLS/OT/1814"/>
    <x v="100"/>
  </r>
  <r>
    <d v="2025-03-31T00:00:00"/>
    <n v="0"/>
    <n v="1907"/>
    <n v="-2377157.12"/>
    <s v="PU/25/SLS/OT/1815"/>
    <s v="Handling Charges - Inbound (Exp) - SLSIPL"/>
    <s v="PU/25/SLS/OT/1815"/>
    <x v="101"/>
  </r>
  <r>
    <d v="2025-03-31T00:00:00"/>
    <n v="0"/>
    <n v="4652"/>
    <n v="-2381809.12"/>
    <s v="PU/25/SLS/OT/1816"/>
    <s v="Handling Charges - Inbound (Exp) - SLSIPL"/>
    <s v="PU/25/SLS/OT/1816"/>
    <x v="102"/>
  </r>
  <r>
    <d v="2025-03-31T00:00:00"/>
    <n v="0"/>
    <n v="2674"/>
    <n v="-2384483.12"/>
    <s v="PU/25/SLS/OT/1817"/>
    <s v="Handling Charges - Inbound (Exp) - SLSIPL"/>
    <s v="PU/25/SLS/OT/1817"/>
    <x v="103"/>
  </r>
  <r>
    <d v="2025-03-31T00:00:00"/>
    <n v="0"/>
    <n v="34760"/>
    <n v="-2419243.12"/>
    <s v="PU/25/SLS/OT/1818"/>
    <s v="Handling Charges - Outbound (Exp) - SLSIPL"/>
    <s v="PU/25/SLS/OT/1818"/>
    <x v="104"/>
  </r>
  <r>
    <d v="2025-03-31T00:00:00"/>
    <n v="0"/>
    <n v="480"/>
    <n v="-2419723.12"/>
    <s v="PU/25/SLS/OT/1819"/>
    <s v="VOS Activity Charges Paid - SLSIPL"/>
    <s v="PU/25/SLS/OT/1819"/>
    <x v="105"/>
  </r>
  <r>
    <d v="2025-03-31T00:00:00"/>
    <n v="0"/>
    <n v="20874"/>
    <n v="-2440597.12"/>
    <s v="PU/25/SLS/OT/1820"/>
    <s v="Container Scanning Paid - SLSIPL"/>
    <s v="PU/25/SLS/OT/1820"/>
    <x v="106"/>
  </r>
  <r>
    <d v="2025-03-31T00:00:00"/>
    <n v="0"/>
    <n v="18610"/>
    <n v="-2459207.12"/>
    <s v="PU/25/SLS/OT/1821"/>
    <s v="Container Scanning Paid - SLSIPL"/>
    <s v="PU/25/SLS/OT/1821"/>
    <x v="107"/>
  </r>
  <r>
    <d v="2025-03-31T00:00:00"/>
    <n v="0"/>
    <n v="31723"/>
    <n v="-2490930.12"/>
    <s v="PU/25/SLS/OT/1822"/>
    <s v="Container Scanning Paid - SLSIPL"/>
    <s v="PU/25/SLS/OT/1822"/>
    <x v="108"/>
  </r>
  <r>
    <d v="2025-03-31T00:00:00"/>
    <n v="0"/>
    <n v="31723"/>
    <n v="-2522653.12"/>
    <s v="PU/25/SLS/OT/1823"/>
    <s v="Container Scanning Paid - SLSIPL"/>
    <s v="PU/25/SLS/OT/1823"/>
    <x v="109"/>
  </r>
  <r>
    <d v="2025-03-31T00:00:00"/>
    <n v="0"/>
    <n v="191"/>
    <n v="-2522844.12"/>
    <s v="PU/25/SLS/OT/1824"/>
    <s v="Handling Charges - Outbound (Exp) - SLSIPL"/>
    <s v="PU/25/SLS/OT/1824"/>
    <x v="110"/>
  </r>
  <r>
    <d v="2025-03-31T00:00:00"/>
    <n v="0"/>
    <n v="3064"/>
    <n v="-2525908.12"/>
    <s v="PU/25/SLS/OT/1825"/>
    <s v="Handling Charges - Outbound (Exp) - SLSIPL"/>
    <s v="PU/25/SLS/OT/1825"/>
    <x v="111"/>
  </r>
  <r>
    <d v="2025-03-31T00:00:00"/>
    <n v="0"/>
    <n v="3448"/>
    <n v="-2529356.12"/>
    <s v="PU/25/SLS/OT/1826"/>
    <s v="Handling Charges - Outbound (Exp) - SLSIPL"/>
    <s v="PU/25/SLS/OT/1826"/>
    <x v="112"/>
  </r>
  <r>
    <d v="2025-03-31T00:00:00"/>
    <n v="0"/>
    <n v="6513"/>
    <n v="-2535869.12"/>
    <s v="PU/25/SLS/OT/1827"/>
    <s v="Handling Charges - Outbound (Exp) - SLSIPL"/>
    <s v="PU/25/SLS/OT/1827"/>
    <x v="113"/>
  </r>
  <r>
    <d v="2025-03-31T00:00:00"/>
    <n v="0"/>
    <n v="1724"/>
    <n v="-2537593.12"/>
    <s v="PU/25/SLS/OT/1828"/>
    <s v="Handling Charges - Outbound (Exp) - SLSIPL"/>
    <s v="PU/25/SLS/OT/1828"/>
    <x v="114"/>
  </r>
  <r>
    <d v="2025-03-31T00:00:00"/>
    <n v="0"/>
    <n v="1149"/>
    <n v="-2538742.12"/>
    <s v="PU/25/SLS/OT/1829"/>
    <s v="Handling Charges - Outbound (Exp) - SLSIPL"/>
    <s v="PU/25/SLS/OT/1829"/>
    <x v="115"/>
  </r>
  <r>
    <d v="2025-03-31T00:00:00"/>
    <n v="0"/>
    <n v="191"/>
    <n v="-2538933.12"/>
    <s v="PU/25/SLS/OT/1830"/>
    <s v="Handling Charges - Outbound (Exp) - SLSIPL"/>
    <s v="PU/25/SLS/OT/1830"/>
    <x v="116"/>
  </r>
  <r>
    <d v="2025-03-31T00:00:00"/>
    <n v="0"/>
    <n v="6896"/>
    <n v="-2545829.12"/>
    <s v="PU/25/SLS/OT/1831"/>
    <s v="Handling Charges - Outbound (Exp) - SLSIPL"/>
    <s v="PU/25/SLS/OT/1831"/>
    <x v="117"/>
  </r>
  <r>
    <d v="2025-03-31T00:00:00"/>
    <n v="0"/>
    <n v="3448"/>
    <n v="-2549277.12"/>
    <s v="PU/25/SLS/OT/1832"/>
    <s v="Handling Charges - Outbound (Exp) - SLSIPL"/>
    <s v="PU/25/SLS/OT/1832"/>
    <x v="118"/>
  </r>
  <r>
    <d v="2025-03-31T00:00:00"/>
    <n v="0"/>
    <n v="191"/>
    <n v="-2549468.12"/>
    <s v="PU/25/SLS/OT/1833"/>
    <s v="Handling Charges - Outbound (Exp) - SLSIPL"/>
    <s v="PU/25/SLS/OT/1833"/>
    <x v="119"/>
  </r>
  <r>
    <d v="2025-03-31T00:00:00"/>
    <n v="0"/>
    <n v="382"/>
    <n v="-2549850.12"/>
    <s v="PU/25/SLS/OT/1834"/>
    <s v="Handling Charges - Outbound (Exp) - SLSIPL"/>
    <s v="PU/25/SLS/OT/1834"/>
    <x v="120"/>
  </r>
  <r>
    <d v="2025-03-31T00:00:00"/>
    <n v="0"/>
    <n v="381"/>
    <n v="-2550231.12"/>
    <s v="PU/25/SLS/OT/1835"/>
    <s v="Handling Charges - Outbound (Exp) - SLSIPL"/>
    <s v="PU/25/SLS/OT/1835"/>
    <x v="121"/>
  </r>
  <r>
    <d v="2025-03-31T00:00:00"/>
    <n v="0"/>
    <n v="1528"/>
    <n v="-2551759.12"/>
    <s v="PU/25/SLS/OT/1836"/>
    <s v="Handling Charges - Outbound (Exp) - SLSIPL"/>
    <s v="PU/25/SLS/OT/1836"/>
    <x v="122"/>
  </r>
  <r>
    <d v="2025-03-31T00:00:00"/>
    <n v="0"/>
    <n v="3436"/>
    <n v="-2555195.12"/>
    <s v="PU/25/SLS/OT/1837"/>
    <s v="Handling Charges - Outbound (Exp) - SLSIPL"/>
    <s v="PU/25/SLS/OT/1837"/>
    <x v="123"/>
  </r>
  <r>
    <d v="2025-03-31T00:00:00"/>
    <n v="0"/>
    <n v="763"/>
    <n v="-2555958.12"/>
    <s v="PU/25/SLS/OT/1838"/>
    <s v="Handling Charges - Outbound (Exp) - SLSIPL"/>
    <s v="PU/25/SLS/OT/1838"/>
    <x v="124"/>
  </r>
  <r>
    <d v="2025-03-31T00:00:00"/>
    <n v="0"/>
    <n v="381"/>
    <n v="-2556339.12"/>
    <s v="PU/25/SLS/OT/1839"/>
    <s v="Handling Charges - Outbound (Exp) - SLSIPL"/>
    <s v="PU/25/SLS/OT/1839"/>
    <x v="125"/>
  </r>
  <r>
    <d v="2025-03-31T00:00:00"/>
    <n v="0"/>
    <n v="381"/>
    <n v="-2556720.12"/>
    <s v="PU/25/SLS/OT/1840"/>
    <s v="Handling Charges - Outbound (Exp) - SLSIPL"/>
    <s v="PU/25/SLS/OT/1840"/>
    <x v="126"/>
  </r>
  <r>
    <d v="2025-03-31T00:00:00"/>
    <n v="0"/>
    <n v="190"/>
    <n v="-2556910.12"/>
    <s v="PU/25/SLS/OT/1841"/>
    <s v="Handling Charges - Outbound (Exp) - SLSIPL"/>
    <s v="PU/25/SLS/OT/1841"/>
    <x v="127"/>
  </r>
  <r>
    <d v="2025-03-31T00:00:00"/>
    <n v="0"/>
    <n v="1145"/>
    <n v="-2558055.12"/>
    <s v="PU/25/SLS/OT/1842"/>
    <s v="Handling Charges - Outbound (Exp) - SLSIPL"/>
    <s v="PU/25/SLS/OT/1842"/>
    <x v="128"/>
  </r>
  <r>
    <d v="2025-03-31T00:00:00"/>
    <n v="0"/>
    <n v="1527"/>
    <n v="-2559582.12"/>
    <s v="PU/25/SLS/OT/1843"/>
    <s v="Handling Charges - Outbound (Exp) - SLSIPL"/>
    <s v="PU/25/SLS/OT/1843"/>
    <x v="129"/>
  </r>
  <r>
    <d v="2025-03-31T00:00:00"/>
    <n v="0"/>
    <n v="1268"/>
    <n v="-2560850.12"/>
    <s v="PU/25/SLS/OT/1844"/>
    <s v="Handling Charges - Outbound (Exp) - SLSIPL"/>
    <s v="PU/25/SLS/OT/1844"/>
    <x v="130"/>
  </r>
  <r>
    <d v="2025-03-31T00:00:00"/>
    <n v="0"/>
    <n v="211"/>
    <n v="-2561061.12"/>
    <s v="PU/25/SLS/OT/1849"/>
    <s v="Handling Charges - Inbound (Exp) - SLSIPL"/>
    <s v="PU/25/SLS/OT/1849"/>
    <x v="131"/>
  </r>
  <r>
    <d v="2025-03-31T00:00:00"/>
    <n v="0"/>
    <n v="211"/>
    <n v="-2561272.12"/>
    <s v="PU/25/SLS/OT/1850"/>
    <s v="Handling Charges - Outbound (Exp) - SLSIPL"/>
    <s v="PU/25/SLS/OT/1850"/>
    <x v="132"/>
  </r>
  <r>
    <d v="2025-03-31T00:00:00"/>
    <n v="0"/>
    <n v="17701"/>
    <n v="-2578973.12"/>
    <s v="PU/25/SLS/OT/1851"/>
    <s v="Handling Charges - Outbound (Exp) - SLSIPL"/>
    <s v="PU/25/SLS/OT/1851"/>
    <x v="133"/>
  </r>
  <r>
    <d v="2025-03-31T00:00:00"/>
    <n v="0"/>
    <n v="596"/>
    <n v="-2579569.12"/>
    <s v="PU/25/SLS/OT/1852"/>
    <s v="Handling Charges - Outbound (Exp) - SLSIPL"/>
    <s v="PU/25/SLS/OT/1852"/>
    <x v="134"/>
  </r>
  <r>
    <d v="2025-03-31T00:00:00"/>
    <n v="0"/>
    <n v="994"/>
    <n v="-2580563.12"/>
    <s v="PU/25/SLS/OT/1853"/>
    <s v="Handling Charges - Outbound (Exp) - SLSIPL"/>
    <s v="PU/25/SLS/OT/1853"/>
    <x v="135"/>
  </r>
  <r>
    <d v="2025-03-31T00:00:00"/>
    <n v="0"/>
    <n v="17857"/>
    <n v="-2598420.12"/>
    <s v="PU/25/SLS/OT/1854"/>
    <s v="Container Scanning Paid - SLSIPL"/>
    <s v="PU/25/SLS/OT/1854"/>
    <x v="136"/>
  </r>
  <r>
    <d v="2025-03-31T00:00:00"/>
    <n v="0"/>
    <n v="8522"/>
    <n v="-2606942.12"/>
    <s v="PU/25/SLS/OT/1856"/>
    <s v="Container Scanning Paid - SLSIPL"/>
    <s v="PU/25/SLS/OT/1856"/>
    <x v="137"/>
  </r>
  <r>
    <d v="2025-03-31T00:00:00"/>
    <n v="0"/>
    <n v="143412"/>
    <n v="-2750354.12"/>
    <s v="PU/25/SLS/OT/1857"/>
    <s v="VOS Activity Charges Paid - SLSIPL"/>
    <s v="PU/25/SLS/OT/1857"/>
    <x v="138"/>
  </r>
  <r>
    <d v="2025-03-31T00:00:00"/>
    <n v="0"/>
    <n v="5816"/>
    <n v="-2756170.12"/>
    <s v="PU/25/SLS/OT/1858"/>
    <s v="VOS Activity Charges Paid - SLSIPL"/>
    <s v="PU/25/SLS/OT/1858"/>
    <x v="139"/>
  </r>
  <r>
    <d v="2025-03-31T00:00:00"/>
    <n v="0"/>
    <n v="5816"/>
    <n v="-2761986.12"/>
    <s v="PU/25/SLS/OT/1859"/>
    <s v="VOS Activity Charges Paid - SLSIPL"/>
    <s v="PU/25/SLS/OT/1859"/>
    <x v="140"/>
  </r>
  <r>
    <d v="2025-03-31T00:00:00"/>
    <n v="0"/>
    <n v="4339"/>
    <n v="-2766325.12"/>
    <s v="PU/25/SLS/OT/1860"/>
    <s v="VOS Activity Charges Paid - SLSIPL"/>
    <s v="PU/25/SLS/OT/1860"/>
    <x v="141"/>
  </r>
  <r>
    <d v="2025-03-31T00:00:00"/>
    <n v="0"/>
    <n v="6761"/>
    <n v="-2773086.12"/>
    <s v="PU/25/SLS/OT/1861"/>
    <s v="VOS Activity Charges Paid - SLSIPL"/>
    <s v="PU/25/SLS/OT/1861"/>
    <x v="142"/>
  </r>
  <r>
    <d v="2025-03-31T00:00:00"/>
    <n v="0"/>
    <n v="3110"/>
    <n v="-2776196.12"/>
    <s v="PU/25/SLS/OT/1862"/>
    <s v="VOS Activity Charges Paid - SLSIPL"/>
    <s v="PU/25/SLS/OT/1862"/>
    <x v="143"/>
  </r>
  <r>
    <d v="2025-03-31T00:00:00"/>
    <n v="0"/>
    <n v="33376"/>
    <n v="-2809572.12"/>
    <s v="PU/25/SLS/OT/1925"/>
    <s v="Container Scanning Paid - SLSIPL"/>
    <s v="PU/25/SLS/OT/1925"/>
    <x v="144"/>
  </r>
  <r>
    <d v="2025-04-01T00:00:00"/>
    <n v="0"/>
    <n v="1161"/>
    <n v="-2810733.12"/>
    <s v="PU/26/SLS/OT/0048"/>
    <s v="VOS Activity Charges Paid - SLSIPL"/>
    <s v="PU/26/SLS/OT/0048"/>
    <x v="145"/>
  </r>
  <r>
    <d v="2025-04-01T00:00:00"/>
    <n v="0"/>
    <n v="1591"/>
    <n v="-2812324.12"/>
    <s v="PU/26/SLS/OT/0193"/>
    <s v="Handling Charges - Outbound (Exp) - SLSIPL"/>
    <s v="PU/26/SLS/OT/0193"/>
    <x v="146"/>
  </r>
  <r>
    <d v="2025-04-01T00:00:00"/>
    <n v="0"/>
    <n v="574"/>
    <n v="-2812898.12"/>
    <s v="PU/26/SLS/OT/0194"/>
    <s v="Handling Charges - Outbound (Exp) - SLSIPL"/>
    <s v="PU/26/SLS/OT/0194"/>
    <x v="147"/>
  </r>
  <r>
    <d v="2025-04-01T00:00:00"/>
    <n v="0"/>
    <n v="574"/>
    <n v="-2813472.12"/>
    <s v="PU/26/SLS/OT/0195"/>
    <s v="Handling Charges - Outbound (Exp) - SLSIPL"/>
    <s v="PU/26/SLS/OT/0195"/>
    <x v="148"/>
  </r>
  <r>
    <d v="2025-04-01T00:00:00"/>
    <n v="0"/>
    <n v="6896"/>
    <n v="-2820368.12"/>
    <s v="PU/26/SLS/OT/0196"/>
    <s v="Handling Charges - Outbound (Exp) - SLSIPL"/>
    <s v="PU/26/SLS/OT/0196"/>
    <x v="149"/>
  </r>
  <r>
    <d v="2025-04-01T00:00:00"/>
    <n v="0"/>
    <n v="191"/>
    <n v="-2820559.12"/>
    <s v="PU/26/SLS/OT/0197"/>
    <s v="Handling Charges - Outbound (Exp) - SLSIPL"/>
    <s v="PU/26/SLS/OT/0197"/>
    <x v="150"/>
  </r>
  <r>
    <d v="2025-04-01T00:00:00"/>
    <n v="0"/>
    <n v="191"/>
    <n v="-2820750.12"/>
    <s v="PU/26/SLS/OT/0199"/>
    <s v="Handling Charges - Outbound (Exp) - SLSIPL"/>
    <s v="PU/26/SLS/OT/0199"/>
    <x v="151"/>
  </r>
  <r>
    <d v="2025-04-01T00:00:00"/>
    <n v="0"/>
    <n v="383"/>
    <n v="-2821133.12"/>
    <s v="PU/26/SLS/OT/0200"/>
    <s v="Handling Charges - Outbound (Exp) - SLSIPL"/>
    <s v="PU/26/SLS/OT/0200"/>
    <x v="152"/>
  </r>
  <r>
    <d v="2025-04-01T00:00:00"/>
    <n v="0"/>
    <n v="383"/>
    <n v="-2821516.12"/>
    <s v="PU/26/SLS/OT/0201"/>
    <s v="Handling Charges - Outbound (Exp) - SLSIPL"/>
    <s v="PU/26/SLS/OT/0201"/>
    <x v="153"/>
  </r>
  <r>
    <d v="2025-04-01T00:00:00"/>
    <n v="0"/>
    <n v="6895"/>
    <n v="-2828411.12"/>
    <s v="PU/26/SLS/OT/0202"/>
    <s v="Handling Charges - Outbound (Exp) - SLSIPL"/>
    <s v="PU/26/SLS/OT/0202"/>
    <x v="154"/>
  </r>
  <r>
    <d v="2025-04-01T00:00:00"/>
    <n v="0"/>
    <n v="846"/>
    <n v="-2829257.12"/>
    <s v="PU/26/SLS/OT/0191"/>
    <s v="Handling Charges - Inbound (Exp) - SLSIPL"/>
    <s v="PU/26/SLS/OT/0191"/>
    <x v="155"/>
  </r>
  <r>
    <d v="2025-04-01T00:00:00"/>
    <n v="0"/>
    <n v="3203"/>
    <n v="-2832460.12"/>
    <s v="PU/26/SLS/OT/0301-1"/>
    <s v="Handling Charges - Outbound (Exp) - SLSIPL"/>
    <s v="PU/26/SLS/OT/0301-1"/>
    <x v="156"/>
  </r>
  <r>
    <d v="2025-04-01T00:00:00"/>
    <n v="0"/>
    <n v="3603"/>
    <n v="-2836063.12"/>
    <s v="PU/26/SLS/OT/0324"/>
    <s v="Handling Charges - Outbound (Exp) - SLSIPL"/>
    <s v="PU/26/SLS/OT/0324"/>
    <x v="157"/>
  </r>
  <r>
    <d v="2025-04-01T00:00:00"/>
    <n v="0"/>
    <n v="200"/>
    <n v="-2836263.12"/>
    <s v="PU/26/SLS/OT/0325"/>
    <s v="Handling Charges - Outbound (Exp) - SLSIPL"/>
    <s v="PU/26/SLS/OT/0325"/>
    <x v="158"/>
  </r>
  <r>
    <d v="2025-04-01T00:00:00"/>
    <n v="0"/>
    <n v="13011"/>
    <n v="-2849274.12"/>
    <s v="PU/26/SLS/OT/0330-1"/>
    <s v="Storage Charges - Cargo - SLSIPL"/>
    <s v="PU/26/SLS/OT/0330-1"/>
    <x v="159"/>
  </r>
  <r>
    <d v="2025-04-01T00:00:00"/>
    <n v="0"/>
    <n v="200"/>
    <n v="-2849474.12"/>
    <s v="PU/26/SLS/OT/0359"/>
    <s v="Handling Charges - Outbound (Exp) - SLSIPL"/>
    <s v="PU/26/SLS/OT/0359"/>
    <x v="160"/>
  </r>
  <r>
    <d v="2025-04-01T00:00:00"/>
    <n v="0"/>
    <n v="45188"/>
    <n v="-2894662.12"/>
    <s v="PU/26/SLS/OT/0588"/>
    <s v="Transportation Charges Paid - SLSIPL"/>
    <s v="PU/26/SLS/OT/0588"/>
    <x v="161"/>
  </r>
  <r>
    <d v="2025-04-01T00:00:00"/>
    <n v="0"/>
    <n v="19429"/>
    <n v="-2914091.12"/>
    <s v="PU/26/SLS/OT/0590"/>
    <s v="Storage Charges - Cargo - SLSIPL"/>
    <s v="PU/26/SLS/OT/0590"/>
    <x v="162"/>
  </r>
  <r>
    <d v="2025-04-01T00:00:00"/>
    <n v="0"/>
    <n v="3594"/>
    <n v="-2917685.12"/>
    <s v="PU/26/SLS/OT/0790"/>
    <s v="Handling Charges - Outbound (Exp) - SLSIPL"/>
    <s v="PU/26/SLS/OT/0790"/>
    <x v="163"/>
  </r>
  <r>
    <d v="2025-04-01T00:00:00"/>
    <n v="0"/>
    <n v="35477"/>
    <n v="-2953162.12"/>
    <s v="PU/26/SLS/OT/0780-2"/>
    <s v="Fixed Storage Charges - ODC (Covered) - SLSIPL"/>
    <s v="PU/26/SLS/OT/0780-2"/>
    <x v="164"/>
  </r>
  <r>
    <d v="2025-04-01T00:00:00"/>
    <n v="0"/>
    <n v="799"/>
    <n v="-2953961.12"/>
    <s v="PU/26/SLS/OT/0785-1"/>
    <s v="Handling Charges - Outbound (Exp) - SLSIPL"/>
    <s v="PU/26/SLS/OT/0785-1"/>
    <x v="165"/>
  </r>
  <r>
    <d v="2025-04-01T00:00:00"/>
    <n v="0"/>
    <n v="1797"/>
    <n v="-2955758.12"/>
    <s v="PU/26/SLS/OT/0784-1"/>
    <s v="Handling Charges - Outbound (Exp) - SLSIPL"/>
    <s v="PU/26/SLS/OT/0784-1"/>
    <x v="166"/>
  </r>
  <r>
    <d v="2025-04-01T00:00:00"/>
    <n v="0"/>
    <n v="59624"/>
    <n v="-3015382.12"/>
    <s v="PU/26/SLS/OT/0591-1"/>
    <s v="Storage Charges - Cargo - SLSIPL"/>
    <s v="PU/26/SLS/OT/0591-1"/>
    <x v="167"/>
  </r>
  <r>
    <d v="2025-04-03T00:00:00"/>
    <n v="0"/>
    <n v="2883"/>
    <n v="-3018265.12"/>
    <s v="PU/26/SLS/OT/0046"/>
    <s v="MHE Charges Paid - SLSIPL"/>
    <s v="PU/26/SLS/OT/0046"/>
    <x v="168"/>
  </r>
  <r>
    <d v="2025-04-03T00:00:00"/>
    <n v="0"/>
    <n v="4913"/>
    <n v="-3023178.12"/>
    <s v="PU/26/SLS/OT/0047"/>
    <s v="Handling Charges - Inbound (Exp) - SLSIPL"/>
    <s v="PU/26/SLS/OT/0047"/>
    <x v="169"/>
  </r>
  <r>
    <d v="2025-04-03T00:00:00"/>
    <n v="0"/>
    <n v="13011"/>
    <n v="-3036189.12"/>
    <s v="PU/26/SLS/OT/0323"/>
    <s v="Handling Charges - Outbound (Exp) - SLSIPL"/>
    <s v="PU/26/SLS/OT/0323"/>
    <x v="170"/>
  </r>
  <r>
    <d v="2025-04-03T00:00:00"/>
    <n v="0"/>
    <n v="6205"/>
    <n v="-3042394.12"/>
    <s v="PU/26/SLS/OT/0326"/>
    <s v="Handling Charges - Outbound (Exp) - SLSIPL"/>
    <s v="PU/26/SLS/OT/0326"/>
    <x v="171"/>
  </r>
  <r>
    <d v="2025-04-03T00:00:00"/>
    <n v="0"/>
    <n v="2937"/>
    <n v="-3045331.12"/>
    <s v="PU/26/SLS/OT/0332"/>
    <s v="VOS Activity Charges Paid - SLSIPL"/>
    <s v="PU/26/SLS/OT/0332"/>
    <x v="172"/>
  </r>
  <r>
    <d v="2025-04-03T00:00:00"/>
    <n v="0"/>
    <n v="319"/>
    <n v="-3045650.12"/>
    <s v="PU/26/SLS/OT/0338"/>
    <s v="Gate In Charges Paid - SLSIPL"/>
    <s v="PU/26/SLS/OT/0338"/>
    <x v="173"/>
  </r>
  <r>
    <d v="2025-04-03T00:00:00"/>
    <n v="0"/>
    <n v="639"/>
    <n v="-3046289.12"/>
    <s v="PU/26/SLS/OT/0331"/>
    <s v="Handling Charges - Inbound (Exp) - SLSIPL"/>
    <s v="PU/26/SLS/OT/0331"/>
    <x v="174"/>
  </r>
  <r>
    <d v="2025-04-03T00:00:00"/>
    <n v="0"/>
    <n v="140649"/>
    <n v="-3186938.12"/>
    <s v="PU/26/SLS/OT/0612"/>
    <s v="Storage Charges - Cargo - SLSIPL"/>
    <s v="PU/26/SLS/OT/0612"/>
    <x v="175"/>
  </r>
  <r>
    <d v="2025-04-03T00:00:00"/>
    <n v="0"/>
    <n v="55272"/>
    <n v="-3242210.12"/>
    <s v="PU/26/SLS/OT/0613"/>
    <s v="Storage Charges - Cargo - SLSIPL"/>
    <s v="PU/26/SLS/OT/0613"/>
    <x v="176"/>
  </r>
  <r>
    <d v="2025-04-03T00:00:00"/>
    <n v="0"/>
    <n v="114223"/>
    <n v="-3356433.12"/>
    <s v="PU/26/SLS/OT/0611-1"/>
    <s v="Storage Charges - Cargo - SLSIPL"/>
    <s v="PU/26/SLS/OT/0611-1"/>
    <x v="177"/>
  </r>
  <r>
    <d v="2025-04-04T00:00:00"/>
    <n v="0"/>
    <n v="331566"/>
    <n v="-3687999.12"/>
    <s v="PU/26/SLS/OT/0044"/>
    <s v="Storage Charges - Cargo - SLSIPL"/>
    <s v="PU/26/SLS/OT/0044"/>
    <x v="178"/>
  </r>
  <r>
    <d v="2025-04-04T00:00:00"/>
    <n v="0"/>
    <n v="384955"/>
    <n v="-4072954.12"/>
    <s v="PU/26/SLS/OT/0045"/>
    <s v="Storage Charges - Cargo - SLSIPL"/>
    <s v="PU/26/SLS/OT/0045"/>
    <x v="179"/>
  </r>
  <r>
    <d v="2025-04-15T00:00:00"/>
    <n v="0"/>
    <n v="13328"/>
    <n v="-4086282.12"/>
    <s v="PU/26/SLS/OT/0205"/>
    <s v="Handling Charges - Outbound (Exp) - SLSIPL"/>
    <s v="PU/26/SLS/OT/0205"/>
    <x v="180"/>
  </r>
  <r>
    <d v="2025-04-15T00:00:00"/>
    <n v="0"/>
    <n v="25546"/>
    <n v="-4111828.12"/>
    <s v="PU/26/SLS/OT/0209"/>
    <s v="Handling Charges - Inbound (Exp) - SLSIPL,Transportation Charges Paid - SLSIPL"/>
    <s v="PU/26/SLS/OT/0209"/>
    <x v="181"/>
  </r>
  <r>
    <d v="2025-04-15T00:00:00"/>
    <n v="0"/>
    <n v="2664"/>
    <n v="-4114492.12"/>
    <s v="PU/26/SLS/OT/0210"/>
    <s v="Handling Charges - Inbound (Exp) - SLSIPL"/>
    <s v="PU/26/SLS/OT/0210"/>
    <x v="182"/>
  </r>
  <r>
    <d v="2025-04-15T00:00:00"/>
    <n v="0"/>
    <n v="790"/>
    <n v="-4115282.12"/>
    <s v="PU/26/SLS/OT/0211"/>
    <s v="Handling Charges - Inbound (Exp) - SLSIPL"/>
    <s v="PU/26/SLS/OT/0211"/>
    <x v="183"/>
  </r>
  <r>
    <d v="2025-04-15T00:00:00"/>
    <n v="0"/>
    <n v="198"/>
    <n v="-4115480.12"/>
    <s v="PU/26/SLS/OT/0212"/>
    <s v="Handling Charges - Outbound (Exp) - SLSIPL"/>
    <s v="PU/26/SLS/OT/0212"/>
    <x v="184"/>
  </r>
  <r>
    <d v="2025-04-15T00:00:00"/>
    <n v="0"/>
    <n v="13629"/>
    <n v="-4129109.12"/>
    <s v="PU/26/SLS/OT/0339"/>
    <s v="Gate In Charges Paid - SLSIPL,Handling Charges - Inbound (Exp) - SLSIPL"/>
    <s v="PU/26/SLS/OT/0339"/>
    <x v="185"/>
  </r>
  <r>
    <d v="2025-04-16T00:00:00"/>
    <n v="0"/>
    <n v="417286"/>
    <n v="-4546395.12"/>
    <s v="PU/26/SLS/OT/0043"/>
    <s v="Storage Charges - Cargo - SLSIPL"/>
    <s v="PU/26/SLS/OT/0043"/>
    <x v="186"/>
  </r>
  <r>
    <d v="2025-04-16T00:00:00"/>
    <n v="0"/>
    <n v="1972"/>
    <n v="-4548367.12"/>
    <s v="PU/26/SLS/OT/0190"/>
    <s v="Handling Charges - Inbound (Exp) - SLSIPL"/>
    <s v="PU/26/SLS/OT/0190"/>
    <x v="187"/>
  </r>
  <r>
    <d v="2025-04-16T00:00:00"/>
    <n v="0"/>
    <n v="1584"/>
    <n v="-4549951.12"/>
    <s v="PU/26/SLS/OT/0192"/>
    <s v="VOS Activity Charges Paid - SLSIPL"/>
    <s v="PU/26/SLS/OT/0192"/>
    <x v="188"/>
  </r>
  <r>
    <d v="2025-04-16T00:00:00"/>
    <n v="0"/>
    <n v="1256"/>
    <n v="-4551207.12"/>
    <s v="PU/26/SLS/OT/0198"/>
    <s v="Handling Charges - Outbound (Exp) - SLSIPL"/>
    <s v="PU/26/SLS/OT/0198"/>
    <x v="189"/>
  </r>
  <r>
    <d v="2025-04-16T00:00:00"/>
    <n v="0"/>
    <n v="21549"/>
    <n v="-4572756.12"/>
    <s v="PU/26/SLS/OT/0333"/>
    <s v="VOS Activity Charges Paid - SLSIPL"/>
    <s v="PU/26/SLS/OT/0333"/>
    <x v="190"/>
  </r>
  <r>
    <d v="2025-04-16T00:00:00"/>
    <n v="0"/>
    <n v="447"/>
    <n v="-4573203.12"/>
    <s v="PU/26/SLS/OT/0336"/>
    <s v="Handling Charges - Outbound (Exp) - SLSIPL"/>
    <s v="PU/26/SLS/OT/0336"/>
    <x v="191"/>
  </r>
  <r>
    <d v="2025-04-16T00:00:00"/>
    <n v="0"/>
    <n v="12169"/>
    <n v="-4585372.12"/>
    <s v="PU/26/SLS/OT/0587-1"/>
    <s v="Scanning Charges - Inbound - SLSIPL"/>
    <s v="PU/26/SLS/OT/0587-1"/>
    <x v="192"/>
  </r>
  <r>
    <d v="2025-04-21T00:00:00"/>
    <n v="0"/>
    <n v="34962"/>
    <n v="-4620334.12"/>
    <s v="PU/26/SLS/OT/0042"/>
    <s v="Fixed Storage Charges - ODC (Covered) - SLSIPL"/>
    <s v="PU/26/SLS/OT/0042"/>
    <x v="193"/>
  </r>
  <r>
    <d v="2025-04-22T00:00:00"/>
    <n v="0"/>
    <n v="2085"/>
    <n v="-4622419.12"/>
    <s v="PU/26/SLS/OT/0203"/>
    <s v="Handling Charges - Outbound (Exp) - SLSIPL"/>
    <s v="PU/26/SLS/OT/0203"/>
    <x v="194"/>
  </r>
  <r>
    <d v="2025-04-22T00:00:00"/>
    <n v="0"/>
    <n v="3922"/>
    <n v="-4626341.12"/>
    <s v="PU/26/SLS/OT/0206"/>
    <s v="Handling Charges - Outbound (Exp) - SLSIPL"/>
    <s v="PU/26/SLS/OT/0206"/>
    <x v="195"/>
  </r>
  <r>
    <d v="2025-04-22T00:00:00"/>
    <n v="0"/>
    <n v="14119"/>
    <n v="-4640460.12"/>
    <s v="PU/26/SLS/OT/0207"/>
    <s v="Handling Charges - Inbound (Exp) - SLSIPL"/>
    <s v="PU/26/SLS/OT/0207"/>
    <x v="196"/>
  </r>
  <r>
    <d v="2025-04-22T00:00:00"/>
    <n v="0"/>
    <n v="1447"/>
    <n v="-4641907.12"/>
    <s v="PU/26/SLS/OT/0208"/>
    <s v="Handling Charges - Inbound (Exp) - SLSIPL,Gate In Charges Paid - SLSIPL"/>
    <s v="PU/26/SLS/OT/0208"/>
    <x v="197"/>
  </r>
  <r>
    <d v="2025-04-22T00:00:00"/>
    <n v="0"/>
    <n v="43195"/>
    <n v="-4685102.12"/>
    <s v="PU/26/SLS/OT/0214"/>
    <s v="Handling Charges - Outbound (Exp) - SLSIPL,MHE Charges Paid - SLSIPL"/>
    <s v="PU/26/SLS/OT/0214"/>
    <x v="198"/>
  </r>
  <r>
    <d v="2025-04-22T00:00:00"/>
    <n v="0"/>
    <n v="10809"/>
    <n v="-4695911.12"/>
    <s v="PU/26/SLS/OT/0328-1"/>
    <s v="Handling Charges - Inbound (Exp) - SLSIPL"/>
    <s v="PU/26/SLS/OT/0328-1"/>
    <x v="199"/>
  </r>
  <r>
    <d v="2025-04-23T00:00:00"/>
    <n v="0"/>
    <n v="1878"/>
    <n v="-4697789.12"/>
    <s v="PU/26/SLS/OT/0204"/>
    <s v="Handling Charges - Outbound (Exp) - SLSIPL"/>
    <s v="PU/26/SLS/OT/0204"/>
    <x v="200"/>
  </r>
  <r>
    <d v="2025-04-23T00:00:00"/>
    <n v="0"/>
    <n v="13211"/>
    <n v="-4711000.12"/>
    <s v="PU/26/SLS/OT/0327"/>
    <s v="Handling Charges - Outbound (Exp) - SLSIPL"/>
    <s v="PU/26/SLS/OT/0327"/>
    <x v="201"/>
  </r>
  <r>
    <d v="2025-04-23T00:00:00"/>
    <n v="0"/>
    <n v="27408"/>
    <n v="-4738408.12"/>
    <s v="PU/26/SLS/OT/0337-1"/>
    <s v="Gate In Charges Paid - SLSIPL,Handling Charges - Inbound (Exp) - SLSIPL"/>
    <s v="PU/26/SLS/OT/0337-1"/>
    <x v="202"/>
  </r>
  <r>
    <d v="2025-04-23T00:00:00"/>
    <n v="0"/>
    <n v="6084"/>
    <n v="-4744492.12"/>
    <s v="PU/26/SLS/OT/0586-1"/>
    <s v="Scanning Charges - Inbound - SLSIPL"/>
    <s v="PU/26/SLS/OT/0586-1"/>
    <x v="203"/>
  </r>
  <r>
    <d v="2025-04-24T00:00:00"/>
    <n v="0"/>
    <n v="7981"/>
    <n v="-4752473.12"/>
    <s v="PU/26/SLS/OT/0189"/>
    <s v="VOS Activity Charges Paid - SLSIPL"/>
    <s v="PU/26/SLS/OT/0189"/>
    <x v="204"/>
  </r>
  <r>
    <d v="2025-05-10T00:00:00"/>
    <n v="0"/>
    <n v="15927"/>
    <n v="-4768400.12"/>
    <s v="PU/26/SLS/OT/0213"/>
    <s v="Handling Charges - Inbound (Exp) - SLSIPL"/>
    <s v="PU/26/SLS/OT/0213"/>
    <x v="205"/>
  </r>
  <r>
    <d v="2025-05-10T00:00:00"/>
    <n v="0"/>
    <n v="35097"/>
    <n v="-4803497.12"/>
    <s v="PU/26/SLS/OT/0116"/>
    <s v="Fixed Storage Charges - ODC (Covered) - SLSIPL"/>
    <s v="PU/26/SLS/OT/0116"/>
    <x v="206"/>
  </r>
  <r>
    <d v="2025-05-10T00:00:00"/>
    <n v="0"/>
    <n v="11810"/>
    <n v="-4815307.12"/>
    <s v="PU/26/SLS/OT/0340"/>
    <s v="Handling Charges - Outbound (Exp) - SLSIPL"/>
    <s v="PU/26/SLS/OT/0340"/>
    <x v="207"/>
  </r>
  <r>
    <d v="2025-05-10T00:00:00"/>
    <n v="0"/>
    <n v="3623"/>
    <n v="-4818930.12"/>
    <s v="PU/26/SLS/OT/0334"/>
    <s v="VOS Activity Charges Paid - SLSIPL"/>
    <s v="PU/26/SLS/OT/0334"/>
    <x v="208"/>
  </r>
  <r>
    <d v="2025-05-16T00:00:00"/>
    <n v="0"/>
    <n v="1264"/>
    <n v="-4820194.12"/>
    <s v="PU/26/SLS/OT/0279"/>
    <s v="Handling Charges - Outbound (Exp) - SLSIPL"/>
    <s v="PU/26/SLS/OT/0279"/>
    <x v="209"/>
  </r>
  <r>
    <d v="2025-05-16T00:00:00"/>
    <n v="0"/>
    <n v="11797"/>
    <n v="-4831991.12"/>
    <s v="PU/26/SLS/OT/0283"/>
    <s v="Container Scanning Paid - SLSIPL"/>
    <s v="PU/26/SLS/OT/0283"/>
    <x v="210"/>
  </r>
  <r>
    <d v="2025-05-20T00:00:00"/>
    <n v="0"/>
    <n v="1054"/>
    <n v="-4833045.12"/>
    <s v="PU/26/SLS/OT/0281"/>
    <s v="Handling Charges - Outbound (Exp) - SLSIPL"/>
    <s v="PU/26/SLS/OT/0281"/>
    <x v="211"/>
  </r>
  <r>
    <d v="2025-05-20T00:00:00"/>
    <n v="0"/>
    <n v="12177"/>
    <n v="-4845222.12"/>
    <s v="PU/26/SLS/OT/0284"/>
    <s v="VOS Activity Charges Paid - SLSIPL"/>
    <s v="PU/26/SLS/OT/0284"/>
    <x v="212"/>
  </r>
  <r>
    <d v="2025-05-21T00:00:00"/>
    <n v="0"/>
    <n v="3960"/>
    <n v="-4849182.12"/>
    <s v="PU/26/SLS/OT/0187"/>
    <s v="Handling Charges - Inbound (Exp) - SLSIPL"/>
    <s v="PU/26/SLS/OT/0187"/>
    <x v="213"/>
  </r>
  <r>
    <d v="2025-05-21T00:00:00"/>
    <n v="0"/>
    <n v="7129"/>
    <n v="-4856311.12"/>
    <s v="PU/26/SLS/OT/0188"/>
    <s v="Handling Charges - Inbound (Exp) - SLSIPL"/>
    <s v="PU/26/SLS/OT/0188"/>
    <x v="214"/>
  </r>
  <r>
    <d v="2025-05-21T00:00:00"/>
    <n v="0"/>
    <n v="990"/>
    <n v="-4857301.12"/>
    <s v="PU/26/SLS/OT/0280"/>
    <s v="Handling Charges - Outbound (Exp) - SLSIPL"/>
    <s v="PU/26/SLS/OT/0280"/>
    <x v="215"/>
  </r>
  <r>
    <d v="2025-05-21T00:00:00"/>
    <n v="0"/>
    <n v="990"/>
    <n v="-4858291.12"/>
    <s v="PU/26/SLS/OT/0282"/>
    <s v="Handling Charges - Outbound (Exp) - SLSIPL"/>
    <s v="PU/26/SLS/OT/0282"/>
    <x v="216"/>
  </r>
  <r>
    <d v="2025-05-21T00:00:00"/>
    <n v="0"/>
    <n v="601"/>
    <n v="-4858892.12"/>
    <s v="PU/26/SLS/OT/0329"/>
    <s v="Handling Charges - Outbound (Exp) - SLSIPL"/>
    <s v="PU/26/SLS/OT/0329"/>
    <x v="217"/>
  </r>
  <r>
    <d v="2025-05-21T00:00:00"/>
    <n v="0"/>
    <n v="1201"/>
    <n v="-4860093.12"/>
    <s v="PU/26/SLS/OT/0335"/>
    <s v="Handling Charges - Outbound (Exp) - SLSIPL"/>
    <s v="PU/26/SLS/OT/0335"/>
    <x v="218"/>
  </r>
  <r>
    <d v="2025-05-28T00:00:00"/>
    <n v="0"/>
    <n v="333696"/>
    <n v="-5193789.12"/>
    <s v="PU/26/SLS/OT/0278"/>
    <s v="Storage Charges - Cargo - SLSIPL"/>
    <s v="PU/26/SLS/OT/0278"/>
    <x v="219"/>
  </r>
  <r>
    <d v="2025-05-30T00:00:00"/>
    <n v="177773"/>
    <n v="0"/>
    <n v="-5016016.12"/>
    <s v="BP/26/SLS/0192"/>
    <s v="1395250393003 - Punjab National Bank - INR - SLSIPL"/>
    <m/>
    <x v="220"/>
  </r>
  <r>
    <d v="2025-06-04T00:00:00"/>
    <n v="0"/>
    <n v="9844"/>
    <n v="-5025860.12"/>
    <s v="PU/26/SLS/OT/0358"/>
    <s v="Handling Charges - Outbound (Exp) - SLSIPL"/>
    <s v="PU/26/SLS/OT/0358"/>
    <x v="221"/>
  </r>
  <r>
    <d v="2025-06-04T00:00:00"/>
    <n v="0"/>
    <n v="8407"/>
    <n v="-5034267.12"/>
    <s v="PU/26/SLS/OT/0360"/>
    <s v="Handling Charges - Outbound (Exp) - SLSIPL"/>
    <s v="PU/26/SLS/OT/0360"/>
    <x v="222"/>
  </r>
  <r>
    <d v="2025-06-04T00:00:00"/>
    <n v="500946.52"/>
    <n v="0"/>
    <n v="-4533320.5999999996"/>
    <s v="BP/25/SLS/1225-1"/>
    <s v="1395250393003 - Punjab National Bank - INR - SLSIPL"/>
    <s v="PU/25/SLS/OT/1562, PU/25/SLS/OT/1720, PU/25/SLS/OT/1731, PU/25/SLS/OT/1721, PU/25/SLS/OT/1673"/>
    <x v="220"/>
  </r>
  <r>
    <d v="2025-06-04T00:00:00"/>
    <n v="0"/>
    <n v="17313"/>
    <n v="-4550633.5999999996"/>
    <s v="PU/26/SLS/OT/0585"/>
    <s v="Scanning Charges - Inbound - SLSIPL"/>
    <s v="PU/26/SLS/OT/0585"/>
    <x v="223"/>
  </r>
  <r>
    <d v="2025-06-04T00:00:00"/>
    <n v="0"/>
    <n v="41769"/>
    <n v="-4592402.5999999996"/>
    <s v="PU/26/SLS/OT/0797"/>
    <s v="Handling Charges - Inbound (Exp) - SLSIPL,LCL Movment - Gate in Charge - SLSIPL,Transportation Charges Paid - SLSIPL,Eempty Container Return Charges Paid - SLSIPL"/>
    <s v="PU/26/SLS/OT/0797"/>
    <x v="224"/>
  </r>
  <r>
    <d v="2025-06-07T00:00:00"/>
    <n v="0"/>
    <n v="352792"/>
    <n v="-4945194.5999999996"/>
    <s v="PU/26/SLS/OT/0285"/>
    <s v="Storage Charges - Cargo - SLSIPL"/>
    <s v="PU/26/SLS/OT/0285"/>
    <x v="225"/>
  </r>
  <r>
    <d v="2025-06-10T00:00:00"/>
    <n v="0"/>
    <n v="35431"/>
    <n v="-4980625.5999999996"/>
    <s v="PU/26/SLS/OT/0357-1"/>
    <s v="Fixed Storage Charges - ODC (Covered) - SLSIPL"/>
    <s v="PU/26/SLS/OT/0357-1"/>
    <x v="226"/>
  </r>
  <r>
    <d v="2025-06-13T00:00:00"/>
    <n v="700000"/>
    <n v="0"/>
    <n v="-4280625.5999999996"/>
    <s v="BP/26/SLS/0229"/>
    <s v="1395250393003 - Punjab National Bank - INR - SLSIPL"/>
    <m/>
    <x v="220"/>
  </r>
  <r>
    <d v="2025-06-21T00:00:00"/>
    <n v="700000"/>
    <n v="0"/>
    <n v="-3580625.6"/>
    <s v="BP/26/SLS/0259"/>
    <s v="1395250393003 - Punjab National Bank - INR - SLSIPL"/>
    <m/>
    <x v="220"/>
  </r>
  <r>
    <d v="2025-06-30T00:00:00"/>
    <n v="700000"/>
    <n v="0"/>
    <n v="-2880625.6"/>
    <s v="BP/26/SLS/0291"/>
    <s v="1395250393003 - Punjab National Bank - INR - SLSIPL"/>
    <m/>
    <x v="220"/>
  </r>
  <r>
    <d v="2025-07-05T00:00:00"/>
    <n v="700000"/>
    <n v="0"/>
    <n v="-2180625.6"/>
    <s v="BP/26/SLS/0300"/>
    <s v="1395250393003 - Punjab National Bank - INR - SLSIPL"/>
    <m/>
    <x v="220"/>
  </r>
  <r>
    <d v="2025-07-11T00:00:00"/>
    <n v="700000"/>
    <n v="0"/>
    <n v="-1480625.6"/>
    <s v="BP/26/SLS/0311"/>
    <s v="1395250393003 - Punjab National Bank - INR - SLSIPL"/>
    <m/>
    <x v="220"/>
  </r>
  <r>
    <d v="2025-07-11T00:00:00"/>
    <n v="0"/>
    <n v="151725"/>
    <n v="-1632350.6"/>
    <s v="PU/26/SLS/OT/0415-1"/>
    <s v="Storage Charges - Cargo - SLSIPL"/>
    <s v="PU/26/SLS/OT/0415-1"/>
    <x v="227"/>
  </r>
  <r>
    <d v="2025-07-16T00:00:00"/>
    <n v="19430"/>
    <n v="0"/>
    <n v="-1612920.6"/>
    <s v="SLS26/MF/DN/0006"/>
    <s v="Storage Charges - Cargo - SLSIPL"/>
    <s v="PU/26/SLS/OT/0590"/>
    <x v="228"/>
  </r>
  <r>
    <d v="2025-07-16T00:00:00"/>
    <n v="18611"/>
    <n v="0"/>
    <n v="-1594309.6"/>
    <s v="SLS26/MF/DN/0008"/>
    <s v="Container Scanning Paid - SLSIPL"/>
    <s v="PU/25/SLS/OT/1821"/>
    <x v="228"/>
  </r>
  <r>
    <d v="2025-07-16T00:00:00"/>
    <n v="31723"/>
    <n v="0"/>
    <n v="-1562586.6"/>
    <s v="SLS26/MF/DN/0009"/>
    <s v="Container Scanning Paid - SLSIPL"/>
    <s v="PU/25/SLS/OT/1822"/>
    <x v="228"/>
  </r>
  <r>
    <d v="2025-07-16T00:00:00"/>
    <n v="17857"/>
    <n v="0"/>
    <n v="-1544729.6000000001"/>
    <s v="SLS26/MF/DN/0011"/>
    <s v="Container Scanning Paid - SLSIPL"/>
    <s v="PU/25/SLS/OT/1854"/>
    <x v="228"/>
  </r>
  <r>
    <d v="2025-07-16T00:00:00"/>
    <n v="11798"/>
    <n v="0"/>
    <n v="-1532931.6"/>
    <s v="SLS26/MF/DN/0013"/>
    <s v="Container Scanning Paid - SLSIPL"/>
    <s v="PU/26/SLS/OT/0283"/>
    <x v="228"/>
  </r>
  <r>
    <d v="2025-07-16T00:00:00"/>
    <n v="20874"/>
    <n v="0"/>
    <n v="-1512057.6"/>
    <s v="SLS26/MF/DN/0014"/>
    <s v="Container Scanning Paid - SLSIPL"/>
    <s v="PU/25/SLS/OT/1820"/>
    <x v="228"/>
  </r>
  <r>
    <d v="2025-07-16T00:00:00"/>
    <n v="140649"/>
    <n v="0"/>
    <n v="-1371408.6"/>
    <s v="SLS26/MF/DN/0016"/>
    <s v="Storage Charges - Cargo - SLSIPL"/>
    <s v="PU/26/SLS/OT/0612"/>
    <x v="228"/>
  </r>
  <r>
    <d v="2025-07-16T00:00:00"/>
    <n v="55272"/>
    <n v="0"/>
    <n v="-1316136.6000000001"/>
    <s v="SLS26/MF/DN/0017"/>
    <s v="Storage Charges - Cargo - SLSIPL"/>
    <s v="PU/26/SLS/OT/0613"/>
    <x v="228"/>
  </r>
  <r>
    <d v="2025-07-16T00:00:00"/>
    <n v="4786"/>
    <n v="0"/>
    <n v="-1311350.6000000001"/>
    <s v="SLS26/MF/DN/0007-2"/>
    <s v="Storage Charges - Cargo - SLSIPL"/>
    <s v="SLS26/MF/DN/0007-2"/>
    <x v="228"/>
  </r>
  <r>
    <d v="2025-07-16T00:00:00"/>
    <n v="11955"/>
    <n v="0"/>
    <n v="-1299395.6000000001"/>
    <s v="SLS26/MF/DN/0004-1"/>
    <s v="Transportation Charges Paid - SLSIPL"/>
    <s v="PU/26/SLS/OT/0588"/>
    <x v="228"/>
  </r>
  <r>
    <d v="2025-07-16T00:00:00"/>
    <n v="0"/>
    <n v="163631"/>
    <n v="-1463026.6"/>
    <s v="PU/26/SLS/OT/0614-1"/>
    <s v="Storage Charges - Cargo - SLSIPL"/>
    <s v="PU/26/SLS/OT/0614-1"/>
    <x v="220"/>
  </r>
  <r>
    <d v="2025-07-16T00:00:00"/>
    <n v="12467"/>
    <n v="0"/>
    <n v="-1450559.6"/>
    <s v="SLS26/MF/DN/0018-1"/>
    <s v="Storage Charges - Cargo - SLSIPL"/>
    <s v="SLS26/MF/DN/0018-1"/>
    <x v="228"/>
  </r>
  <r>
    <d v="2025-07-16T00:00:00"/>
    <n v="6084"/>
    <n v="0"/>
    <n v="-1444475.6"/>
    <s v="SLS26/MF/DN/0002-1"/>
    <s v="Scanning Charges - Inbound - SLSIPL"/>
    <s v="SLS26/MF/DN/0002-1"/>
    <x v="228"/>
  </r>
  <r>
    <d v="2025-07-16T00:00:00"/>
    <n v="12169"/>
    <n v="0"/>
    <n v="-1432306.6"/>
    <s v="SLS26/MF/DN/0003-1"/>
    <s v="Scanning Charges - Inbound - SLSIPL"/>
    <s v="SLS26/MF/DN/0003-1"/>
    <x v="228"/>
  </r>
  <r>
    <d v="2025-07-16T00:00:00"/>
    <n v="114223"/>
    <n v="0"/>
    <n v="-1318083.6000000001"/>
    <s v="SLS26/MF/DN/0015-1"/>
    <s v="Storage Charges - Cargo - SLSIPL"/>
    <s v="SLS26/MF/DN/0015-1"/>
    <x v="228"/>
  </r>
  <r>
    <d v="2025-07-16T00:00:00"/>
    <n v="0"/>
    <n v="31577"/>
    <n v="-1349660.6"/>
    <s v="PU/26/SLS/OT/0589-2"/>
    <s v="Storage Charges - Cargo - SLSIPL"/>
    <s v="PU/26/SLS/OT/0589-2"/>
    <x v="220"/>
  </r>
  <r>
    <d v="2025-07-16T00:00:00"/>
    <n v="31577"/>
    <n v="0"/>
    <n v="-1318083.6000000001"/>
    <s v="SLS26/MF/DN/0005-1"/>
    <s v="Storage Charges - Cargo - SLSIPL"/>
    <s v="SLS26/MF/DN/0005-1"/>
    <x v="228"/>
  </r>
  <r>
    <d v="2025-07-16T00:00:00"/>
    <n v="17313"/>
    <n v="330"/>
    <n v="-1301100.6000000001"/>
    <s v="SLS26/MF/DN/0001-2"/>
    <s v="Scanning Charges - Inbound - SLSIPL"/>
    <s v="SLS26/MF/DN/0001-2, SLS26/MF/DN/0001-2"/>
    <x v="228"/>
  </r>
  <r>
    <d v="2025-07-16T00:00:00"/>
    <n v="8696"/>
    <n v="173"/>
    <n v="-1292577.6000000001"/>
    <s v="SLS26/MF/DN/0010-1"/>
    <s v="Container Scanning Paid - SLSIPL"/>
    <s v="SLS26/MF/DN/0010-1, SLS26/MF/DN/0010-1"/>
    <x v="228"/>
  </r>
  <r>
    <d v="2025-07-19T00:00:00"/>
    <n v="700000"/>
    <n v="0"/>
    <n v="-592577.59999999963"/>
    <s v="BP/26/SLS/0368"/>
    <s v="1395250393003 - Punjab National Bank - INR - SLSIPL"/>
    <m/>
    <x v="220"/>
  </r>
  <r>
    <d v="2025-07-24T00:00:00"/>
    <n v="0"/>
    <n v="9368"/>
    <n v="-601945.59999999963"/>
    <s v="PU/26/SLS/OT/0607"/>
    <s v="Handling Charges - Inbound (Exp) - SLSIPL"/>
    <s v="PU/26/SLS/OT/0607"/>
    <x v="220"/>
  </r>
  <r>
    <d v="2025-07-25T00:00:00"/>
    <n v="350672"/>
    <n v="0"/>
    <n v="-251273.5999999996"/>
    <s v="BP/26/SLS/0394"/>
    <s v="1395250393003 - Punjab National Bank - INR - SLSIPL"/>
    <m/>
    <x v="220"/>
  </r>
  <r>
    <d v="2025-07-25T00:00:00"/>
    <n v="0"/>
    <n v="32007"/>
    <n v="-283280.59999999963"/>
    <s v="PU/26/SLS/OT/0608"/>
    <s v="Storage Charges - Cargo - SLSIPL"/>
    <s v="PU/26/SLS/OT/0608"/>
    <x v="220"/>
  </r>
  <r>
    <d v="2025-07-25T00:00:00"/>
    <n v="0"/>
    <n v="9348"/>
    <n v="-292628.59999999963"/>
    <s v="PU/26/SLS/OT/0609"/>
    <s v="Storage Charges - Cargo - SLSIPL"/>
    <s v="PU/26/SLS/OT/0609"/>
    <x v="220"/>
  </r>
  <r>
    <d v="2025-07-25T00:00:00"/>
    <n v="0"/>
    <n v="196"/>
    <n v="-292824.59999999963"/>
    <s v="PU/26/SLS/OT/0610"/>
    <s v="VOS Activity Charges Paid - SLSIPL"/>
    <s v="PU/26/SLS/OT/0610"/>
    <x v="220"/>
  </r>
  <r>
    <d v="2025-07-31T00:00:00"/>
    <n v="33376"/>
    <n v="0"/>
    <n v="-259448.5999999996"/>
    <s v="SLS26/MF/DN/0019"/>
    <s v="Container Scanning Paid - SLSIPL"/>
    <s v="PU/25/SLS/OT/1925"/>
    <x v="228"/>
  </r>
  <r>
    <d v="2025-07-31T00:00:00"/>
    <n v="15778"/>
    <n v="0"/>
    <n v="-243670.5999999996"/>
    <s v="SLS26/MF/DN/0020-1"/>
    <s v="Storage Charges - Cargo - SLSIPL"/>
    <s v="SLS26/MF/DN/0020-1"/>
    <x v="228"/>
  </r>
  <r>
    <d v="2025-07-31T00:00:00"/>
    <n v="0"/>
    <n v="44602"/>
    <n v="-288272.59999999963"/>
    <s v="PU/26/SLS/OT/1009-1"/>
    <s v="Container Scanning Paid - SLSIPL"/>
    <s v="PU/26/SLS/OT/1009-1"/>
    <x v="220"/>
  </r>
  <r>
    <d v="2025-07-31T00:00:00"/>
    <n v="36410"/>
    <n v="0"/>
    <n v="-251862.5999999996"/>
    <s v="SLS26/MF/DN/0022-1"/>
    <s v="Container Scanning Paid - SLSIPL"/>
    <s v="SLS26/MF/DN/0022-1"/>
    <x v="228"/>
  </r>
  <r>
    <d v="2025-07-31T00:00:00"/>
    <n v="15401"/>
    <n v="0"/>
    <n v="-236461.5999999996"/>
    <s v="SLS26/MF/DN/0021-1"/>
    <s v="Fixed Storage Charges - ODC (Covered) - SLSIPL"/>
    <s v="SLS26/MF/DN/0021-1"/>
    <x v="228"/>
  </r>
  <r>
    <d v="2025-07-31T00:00:00"/>
    <n v="0"/>
    <n v="18367"/>
    <n v="-254828.5999999996"/>
    <s v="PU/26/SLS/OT/1008-1"/>
    <s v="Fixed Storage Charges - ODC (Covered) - SLSIPL"/>
    <s v="PU/26/SLS/OT/1008-1"/>
    <x v="229"/>
  </r>
  <r>
    <d v="2025-08-08T00:00:00"/>
    <n v="0"/>
    <n v="9124"/>
    <n v="-263952.59999999963"/>
    <s v="PU/26/SLS/OT/0798"/>
    <s v="Handling Charges - Outbound (Exp) - SLSIPL"/>
    <s v="PU/26/SLS/OT/0798"/>
    <x v="230"/>
  </r>
  <r>
    <d v="2025-08-08T00:00:00"/>
    <n v="0"/>
    <n v="4755"/>
    <n v="-268707.59999999963"/>
    <s v="PU/26/SLS/OT/0800"/>
    <s v="Handling Charges - Outbound (Exp) - SLSIPL"/>
    <s v="PU/26/SLS/OT/0800"/>
    <x v="231"/>
  </r>
  <r>
    <d v="2025-08-08T00:00:00"/>
    <n v="0"/>
    <n v="462828"/>
    <n v="-731535.59999999963"/>
    <s v="PU/26/SLS/OT/0796"/>
    <s v="Storage Charges - SLSIPL"/>
    <s v="PU/26/SLS/OT/0796"/>
    <x v="232"/>
  </r>
  <r>
    <d v="2025-08-20T00:00:00"/>
    <n v="0"/>
    <n v="4790"/>
    <n v="-736325.59999999963"/>
    <s v="PU/26/SLS/OT/0792"/>
    <s v="Handling Charges - Outbound (Exp) - SLSIPL,MHE Charges Paid - SLSIPL"/>
    <s v="PU/26/SLS/OT/0792"/>
    <x v="233"/>
  </r>
  <r>
    <d v="2025-08-20T00:00:00"/>
    <n v="0"/>
    <n v="6981"/>
    <n v="-743306.59999999963"/>
    <s v="PU/26/SLS/OT/0793"/>
    <s v="VOS Activity Charges Paid - SLSIPL"/>
    <s v="PU/26/SLS/OT/0793"/>
    <x v="234"/>
  </r>
  <r>
    <d v="2025-08-20T00:00:00"/>
    <n v="0"/>
    <n v="971"/>
    <n v="-744277.59999999963"/>
    <s v="PU/26/SLS/OT/0801"/>
    <s v="Loose Loading Handling - SLSIPL"/>
    <s v="PU/26/SLS/OT/0801"/>
    <x v="235"/>
  </r>
  <r>
    <d v="2025-08-20T00:00:00"/>
    <n v="0"/>
    <n v="11922"/>
    <n v="-756199.59999999963"/>
    <s v="PU/26/SLS/OT/0795"/>
    <s v="Handling Charges - Inbound (Exp) - SLSIPL,Gate in Charges - Inbound - SLSIPL"/>
    <s v="PU/26/SLS/OT/0795"/>
    <x v="236"/>
  </r>
  <r>
    <d v="2025-08-20T00:00:00"/>
    <n v="0"/>
    <n v="1463"/>
    <n v="-757662.59999999963"/>
    <s v="PU/26/SLS/OT/0794"/>
    <s v="LCL Movment - Gate in Charge - SLSIPL,Handling Charges - Inbound (Exp) - SLSIPL"/>
    <s v="PU/26/SLS/OT/0794"/>
    <x v="237"/>
  </r>
  <r>
    <d v="2025-10-07T00:00:00"/>
    <m/>
    <m/>
    <n v="-757662.59999999963"/>
    <s v="SJ/25/GEA/1103"/>
    <m/>
    <s v="PU/26/SLS/OT/0591-1, SLS26/MF/DN/0007-2"/>
    <x v="167"/>
  </r>
  <r>
    <d v="2025-10-07T00:00:00"/>
    <m/>
    <m/>
    <n v="-757662.59999999963"/>
    <s v="SJ/25/GEA/1104"/>
    <m/>
    <s v="PU/26/SLS/OT/0415-1, SLS26/MF/DN/0020-1"/>
    <x v="227"/>
  </r>
  <r>
    <d v="2025-10-07T00:00:00"/>
    <m/>
    <m/>
    <n v="-757662.59999999963"/>
    <s v="SJ/25/GEA/1105"/>
    <m/>
    <s v="PU/26/SLS/OT/1009-1, SLS26/MF/DN/0022-1"/>
    <x v="238"/>
  </r>
  <r>
    <d v="2025-10-07T00:00:00"/>
    <m/>
    <m/>
    <n v="-757662.59999999963"/>
    <s v="SJ/25/GEA/1106"/>
    <m/>
    <s v="PU/26/SLS/OT/1008-1, SLS26/MF/DN/0021-1"/>
    <x v="229"/>
  </r>
  <r>
    <d v="2025-10-07T00:00:00"/>
    <m/>
    <m/>
    <n v="-757662.59999999963"/>
    <s v="SJ/25/GEA/1107"/>
    <m/>
    <s v="PU/26/SLS/OT/0614-1, SLS26/MF/DN/0018-1"/>
    <x v="239"/>
  </r>
  <r>
    <d v="2025-10-07T00:00:00"/>
    <m/>
    <m/>
    <n v="-757662.59999999963"/>
    <s v="SJ/25/GEA/1108"/>
    <m/>
    <s v="PU/26/SLS/OT/0586-1, SLS26/MF/DN/0002-1"/>
    <x v="203"/>
  </r>
  <r>
    <d v="2025-10-07T00:00:00"/>
    <m/>
    <m/>
    <n v="-757662.59999999963"/>
    <s v="SJ/25/GEA/1109"/>
    <m/>
    <s v="PU/26/SLS/OT/0587-1, SLS26/MF/DN/0003-1"/>
    <x v="192"/>
  </r>
  <r>
    <d v="2025-10-07T00:00:00"/>
    <m/>
    <m/>
    <n v="-757662.59999999963"/>
    <s v="SJ/25/GEA/1110"/>
    <m/>
    <s v="PU/26/SLS/OT/0611-1, SLS26/MF/DN/0015-1"/>
    <x v="177"/>
  </r>
  <r>
    <d v="2025-10-07T00:00:00"/>
    <m/>
    <m/>
    <n v="-757662.59999999963"/>
    <s v="SJ/25/GEA/1111"/>
    <m/>
    <s v="PU/26/SLS/OT/0589-2, SLS26/MF/DN/0005-1"/>
    <x v="240"/>
  </r>
  <r>
    <d v="2025-10-09T00:00:00"/>
    <n v="500000"/>
    <n v="0"/>
    <n v="-257662.5999999996"/>
    <s v="BP/26/SLS/0710"/>
    <s v="1395250393003 - Punjab National Bank - INR - SLSIPL"/>
    <s v="PU/26/SLS/OT/0797, PU/26/SLS/OT/0357-1, PU/26/SLS/OT/0610, PU/26/SLS/OT/0796, PU/26/SLS/OT/0794"/>
    <x v="220"/>
  </r>
  <r>
    <d v="2025-10-10T00:00:00"/>
    <n v="108564"/>
    <n v="0"/>
    <n v="-149098.5999999996"/>
    <s v="BP/26/SLS/0711"/>
    <s v="1395250393003 - Punjab National Bank - INR - SLSIPL"/>
    <s v="PU/26/SLS/OT/0797, PU/26/SLS/OT/0607, PU/26/SLS/OT/0608, PU/26/SLS/OT/0609, PU/26/SLS/OT/0798, PU/26/SLS/OT/0800, PU/26/SLS/OT/0792, PU/26/SLS/OT/0793, PU/26/SLS/OT/0795, PU/26/SLS/OT/0801"/>
    <x v="220"/>
  </r>
  <r>
    <d v="2025-10-18T00:00:00"/>
    <n v="500000"/>
    <n v="0"/>
    <n v="350901.40000000037"/>
    <s v="BP/26/SLS/0758"/>
    <s v="1395250393003 - Punjab National Bank - INR - SLSIPL"/>
    <m/>
    <x v="220"/>
  </r>
  <r>
    <d v="2025-10-29T00:00:00"/>
    <n v="300000"/>
    <n v="0"/>
    <n v="650901.40000000037"/>
    <s v="BP/26/SLS/0765"/>
    <s v="1395250393003 - Punjab National Bank - INR - SLSIPL"/>
    <m/>
    <x v="220"/>
  </r>
  <r>
    <d v="2025-11-01T00:00:00"/>
    <n v="500000"/>
    <n v="0"/>
    <n v="1150901.3999999999"/>
    <s v="BP/26/SLS/0801"/>
    <s v="1395250393003 - Punjab National Bank - INR - SLSIPL"/>
    <m/>
    <x v="220"/>
  </r>
  <r>
    <d v="2025-12-12T00:00:00"/>
    <n v="0"/>
    <n v="16480.710999999999"/>
    <n v="1134420.689"/>
    <s v="PU/26/SLS/OT/1356"/>
    <s v="Storage Charges - Cargo - SLSIPL"/>
    <s v="PU/26/SLS/OT/1356"/>
    <x v="241"/>
  </r>
  <r>
    <d v="2025-12-12T00:00:00"/>
    <n v="0"/>
    <n v="29975.441999999999"/>
    <n v="1104445.247"/>
    <s v="PU/26/SLS/OT/1357"/>
    <s v="Storage Charges - Cargo - SLSIPL"/>
    <s v="PU/26/SLS/OT/1357"/>
    <x v="242"/>
  </r>
  <r>
    <d v="2025-12-12T00:00:00"/>
    <n v="0"/>
    <n v="144772.565"/>
    <n v="959672.6820000005"/>
    <s v="PU/26/SLS/OT/1358"/>
    <s v="Storage Charges - Cargo - SLSIPL"/>
    <s v="PU/26/SLS/OT/1358"/>
    <x v="243"/>
  </r>
  <r>
    <d v="2025-12-12T00:00:00"/>
    <n v="0"/>
    <n v="102103.25599999999"/>
    <n v="857569.42600000044"/>
    <s v="PU/26/SLS/OT/1359"/>
    <s v="Storage Charges - Cargo - SLSIPL"/>
    <s v="PU/26/SLS/OT/1359"/>
    <x v="244"/>
  </r>
  <r>
    <d v="2025-12-12T00:00:00"/>
    <n v="0"/>
    <n v="13859.78"/>
    <n v="843709.64600000042"/>
    <s v="PU/26/SLS/OT/1360"/>
    <s v="Storage Charges - Cargo - SLSIPL"/>
    <s v="PU/26/SLS/OT/1360"/>
    <x v="245"/>
  </r>
  <r>
    <d v="2025-12-12T00:00:00"/>
    <n v="0"/>
    <n v="44681.824999999997"/>
    <n v="799027.82100000046"/>
    <s v="PU/26/SLS/OT/1361"/>
    <s v="Storage Charges - Cargo - SLSIPL"/>
    <s v="PU/26/SLS/OT/1361"/>
    <x v="246"/>
  </r>
  <r>
    <d v="2025-12-12T00:00:00"/>
    <n v="500000"/>
    <n v="0"/>
    <n v="1299027.821"/>
    <s v="BP/26/SLS/0958"/>
    <s v="1395250393003 - Punjab National Bank - INR - SLSIPL"/>
    <m/>
    <x v="220"/>
  </r>
  <r>
    <d v="2025-12-12T00:00:00"/>
    <n v="0"/>
    <n v="2053.9"/>
    <n v="1296973.921000001"/>
    <s v="PU/26/SLS/OT/1362-1"/>
    <s v="Handling Charges - Inbound (Exp) - SLSIPL"/>
    <s v="PU/26/SLS/OT/1362-1"/>
    <x v="247"/>
  </r>
  <r>
    <d v="2025-12-15T00:00:00"/>
    <n v="0"/>
    <n v="6064.0230000000001"/>
    <n v="1290909.898000001"/>
    <s v="PU/26/SLS/OT/1365"/>
    <s v="VOS Activity Charges Paid - SLSIPL"/>
    <s v="PU/26/SLS/OT/1365"/>
    <x v="248"/>
  </r>
  <r>
    <d v="2025-12-15T00:00:00"/>
    <n v="0"/>
    <n v="1800.3510000000001"/>
    <n v="1289109.547"/>
    <s v="PU/26/SLS/OT/1366-1"/>
    <s v="Weightment Charges Paid - SLSIPL"/>
    <s v="PU/26/SLS/OT/1366-1"/>
    <x v="249"/>
  </r>
  <r>
    <d v="2025-12-15T00:00:00"/>
    <n v="0"/>
    <n v="14610.374299999999"/>
    <n v="1274499.1727"/>
    <s v="PU/26/SLS/OT/1367"/>
    <s v="Handling Charges - Outbound (Exp) - SLSIPL"/>
    <s v="PU/26/SLS/OT/1367"/>
    <x v="250"/>
  </r>
  <r>
    <d v="2025-12-15T00:00:00"/>
    <n v="0"/>
    <n v="45061.335200000001"/>
    <n v="1229437.8374999999"/>
    <s v="PU/26/SLS/OT/1368"/>
    <s v="Storage Charges - Cargo - SLSIPL"/>
    <s v="PU/26/SLS/OT/1368"/>
    <x v="251"/>
  </r>
  <r>
    <d v="2025-12-15T00:00:00"/>
    <n v="0"/>
    <n v="11782.0918"/>
    <n v="1217655.7457000001"/>
    <s v="PU/26/SLS/OT/1369-1"/>
    <s v="Container Scanning Paid - SLSIPL"/>
    <s v="PU/26/SLS/OT/1369-1"/>
    <x v="252"/>
  </r>
  <r>
    <d v="2025-12-15T00:00:00"/>
    <n v="0"/>
    <n v="2559.3798999999999"/>
    <n v="1215096.3658"/>
    <s v="PU/26/SLS/OT/1370"/>
    <s v="VOS Activity Charges Paid - SLSIPL"/>
    <s v="PU/26/SLS/OT/1370"/>
    <x v="253"/>
  </r>
  <r>
    <d v="2025-12-15T00:00:00"/>
    <n v="0"/>
    <n v="148540.3572"/>
    <n v="1066556.0086000001"/>
    <s v="PU/26/SLS/OT/1371"/>
    <s v="Handling Charges - Inbound (Exp) - SLSIPL"/>
    <s v="PU/26/SLS/OT/1371"/>
    <x v="254"/>
  </r>
  <r>
    <d v="2025-12-15T00:00:00"/>
    <n v="0"/>
    <n v="13522.7454"/>
    <n v="1053033.2631999999"/>
    <s v="PU/26/SLS/OT/1376"/>
    <s v="Handling Charges - Outbound (Exp) - SLSIPL,MHE Charges Paid - SLSIPL"/>
    <s v="PU/26/SLS/OT/1376"/>
    <x v="255"/>
  </r>
  <r>
    <d v="2025-12-15T00:00:00"/>
    <n v="0"/>
    <n v="8342.0650000000005"/>
    <n v="1044691.1982"/>
    <s v="PU/26/SLS/OT/1378"/>
    <s v="Transportation Charges Paid - SLSIPL,Handling Charges - Inbound (Exp) - SLSIPL"/>
    <s v="PU/26/SLS/OT/1378"/>
    <x v="256"/>
  </r>
  <r>
    <d v="2025-12-16T00:00:00"/>
    <n v="0"/>
    <n v="2629.9005000000002"/>
    <n v="1042061.2977"/>
    <s v="PU/26/SLS/OT/1379"/>
    <s v="MHE Charges Paid - SLSIPL,Handling Charges - Inbound (Exp) - SLSIPL"/>
    <s v="PU/26/SLS/OT/1379"/>
    <x v="257"/>
  </r>
  <r>
    <d v="2025-12-16T00:00:00"/>
    <n v="0"/>
    <n v="201.24160000000001"/>
    <n v="1041860.056100001"/>
    <s v="PU/26/SLS/OT/1380"/>
    <s v="VOS Activity Charges Paid - SLSIPL"/>
    <s v="PU/26/SLS/OT/1380"/>
    <x v="258"/>
  </r>
  <r>
    <d v="2025-12-16T00:00:00"/>
    <n v="0"/>
    <n v="257812.80850000001"/>
    <n v="784047.24760000047"/>
    <s v="PU/26/SLS/OT/1381"/>
    <s v="Storage Charges - Rack - SLSIPL"/>
    <s v="PU/26/SLS/OT/1381"/>
    <x v="259"/>
  </r>
  <r>
    <d v="2025-12-16T00:00:00"/>
    <n v="0"/>
    <n v="552.98429999999996"/>
    <n v="783494.26330000046"/>
    <s v="PU/26/SLS/OT/1382"/>
    <s v="Documentation Charges Paid - SLSIPL"/>
    <s v="PU/26/SLS/OT/1382"/>
    <x v="260"/>
  </r>
  <r>
    <d v="2025-12-16T00:00:00"/>
    <n v="0"/>
    <n v="4562.3355000000001"/>
    <n v="778931.92780000041"/>
    <s v="PU/26/SLS/OT/1383"/>
    <s v="Handling Charges - Outbound (Exp) - SLSIPL"/>
    <s v="PU/26/SLS/OT/1383"/>
    <x v="261"/>
  </r>
  <r>
    <d v="2025-12-16T00:00:00"/>
    <n v="0"/>
    <n v="35324.775199999996"/>
    <n v="743607.15260000038"/>
    <s v="PU/26/SLS/OT/1384"/>
    <s v="Storage Charges - SLSIPL"/>
    <s v="PU/26/SLS/OT/1384"/>
    <x v="262"/>
  </r>
  <r>
    <d v="2025-12-16T00:00:00"/>
    <n v="0"/>
    <n v="91401.512100000007"/>
    <n v="652205.64050000033"/>
    <s v="PU/26/SLS/OT/1385"/>
    <s v="Storage Charges - Cargo - SLSIPL"/>
    <s v="PU/26/SLS/OT/1385"/>
    <x v="263"/>
  </r>
  <r>
    <d v="2025-12-16T00:00:00"/>
    <n v="0"/>
    <n v="2642.8006"/>
    <n v="649562.83990000037"/>
    <s v="PU/26/SLS/OT/1386"/>
    <s v="Handling Charges - Inbound (Exp) - SLSIPL"/>
    <s v="PU/26/SLS/OT/1386"/>
    <x v="264"/>
  </r>
  <r>
    <d v="2025-12-16T00:00:00"/>
    <n v="0"/>
    <n v="8595.7669999999998"/>
    <n v="640967.07290000038"/>
    <s v="PU/26/SLS/OT/1387"/>
    <s v="Handling Charges - Outbound (Exp) - SLSIPL"/>
    <s v="PU/26/SLS/OT/1387"/>
    <x v="265"/>
  </r>
  <r>
    <d v="2025-12-16T00:00:00"/>
    <n v="0"/>
    <n v="1492.1116"/>
    <n v="639474.96130000043"/>
    <s v="PU/26/SLS/OT/1388"/>
    <s v="Handling Charges - Inbound (Exp) - SLSIPL,LCL Movment - Gate in Charge - SLSIPL"/>
    <s v="PU/26/SLS/OT/1388"/>
    <x v="266"/>
  </r>
  <r>
    <d v="2025-12-16T00:00:00"/>
    <n v="0"/>
    <n v="23117.1535"/>
    <n v="616357.80780000042"/>
    <s v="PU/26/SLS/OT/1390"/>
    <s v="Storage Charges - Cargo - SLSIPL,Transportation Charges Paid - SLSIPL"/>
    <s v="PU/26/SLS/OT/1390"/>
    <x v="267"/>
  </r>
  <r>
    <d v="2025-12-16T00:00:00"/>
    <n v="0"/>
    <n v="21929.077600000001"/>
    <n v="594428.73020000046"/>
    <s v="PU/26/SLS/OT/1393"/>
    <s v="Storage Charges - Cargo - SLSIPL,Transportation Charges Paid - SLSIPL"/>
    <s v="PU/26/SLS/OT/1393"/>
    <x v="268"/>
  </r>
  <r>
    <d v="2025-12-16T00:00:00"/>
    <n v="0"/>
    <n v="9260.2821000000004"/>
    <n v="585168.4481000005"/>
    <s v="PU/26/SLS/OT/1397"/>
    <s v="VOS Activity Charges Paid - SLSIPL"/>
    <s v="PU/26/SLS/OT/1397"/>
    <x v="269"/>
  </r>
  <r>
    <d v="2025-12-16T00:00:00"/>
    <n v="0"/>
    <n v="27395.431400000001"/>
    <n v="557773.0167000005"/>
    <s v="PU/26/SLS/OT/1398"/>
    <s v="Storage Charges - Cargo - SLSIPL"/>
    <s v="PU/26/SLS/OT/1398"/>
    <x v="270"/>
  </r>
  <r>
    <d v="2025-12-16T00:00:00"/>
    <n v="0"/>
    <n v="35336.871800000001"/>
    <n v="522436.14490000048"/>
    <s v="PU/26/SLS/OT/1399"/>
    <s v="Storage Charges - SLSIPL"/>
    <s v="PU/26/SLS/OT/1399"/>
    <x v="271"/>
  </r>
  <r>
    <d v="2025-12-16T00:00:00"/>
    <n v="0"/>
    <n v="33482.010999999999"/>
    <n v="488954.13390000048"/>
    <s v="PU/26/SLS/OT/1400"/>
    <s v="Storage Charges - SLSIPL"/>
    <s v="PU/26/SLS/OT/1400"/>
    <x v="272"/>
  </r>
  <r>
    <d v="2025-12-16T00:00:00"/>
    <n v="0"/>
    <n v="6432.3032999999996"/>
    <n v="482521.83060000051"/>
    <s v="PU/26/SLS/OT/1401"/>
    <s v="Handling Charges - Inbound (Exp) - SLSIPL,Transportation Charges Paid - SLSIPL"/>
    <s v="PU/26/SLS/OT/1401"/>
    <x v="273"/>
  </r>
  <r>
    <d v="2025-12-16T00:00:00"/>
    <n v="0"/>
    <n v="6896.1292000000003"/>
    <n v="475625.70140000043"/>
    <s v="PU/26/SLS/OT/1402"/>
    <s v="Handling Charges - Inbound (Exp) - SLSIPL,Transportation Charges Paid - SLSIPL"/>
    <s v="PU/26/SLS/OT/1402"/>
    <x v="274"/>
  </r>
  <r>
    <d v="2025-12-16T00:00:00"/>
    <n v="0"/>
    <n v="1028.2935"/>
    <n v="474597.4079000004"/>
    <s v="PU/26/SLS/OT/1403"/>
    <s v="Handling Charges - Outbound (Exp) - SLSIPL"/>
    <s v="PU/26/SLS/OT/1403"/>
    <x v="275"/>
  </r>
  <r>
    <d v="2025-12-16T00:00:00"/>
    <n v="0"/>
    <n v="545.21420000000001"/>
    <n v="474052.19370000041"/>
    <s v="PU/26/SLS/OT/1404"/>
    <s v="VOS Activity Charges Paid - SLSIPL"/>
    <s v="PU/26/SLS/OT/1404"/>
    <x v="276"/>
  </r>
  <r>
    <d v="2025-12-16T00:00:00"/>
    <n v="0"/>
    <n v="26724.251"/>
    <n v="447327.94270000042"/>
    <s v="PU/26/SLS/OT/1408"/>
    <s v="Handling Charges - Outbound (Exp) - SLSIPL"/>
    <s v="PU/26/SLS/OT/1408"/>
    <x v="277"/>
  </r>
  <r>
    <d v="2025-12-16T00:00:00"/>
    <n v="0"/>
    <n v="29303.298299999999"/>
    <n v="418024.6444000004"/>
    <s v="PU/26/SLS/OT/1412"/>
    <s v="Storage Charges - Cargo - SLSIPL,Transportation Charges Paid - SLSIPL"/>
    <s v="PU/26/SLS/OT/1412"/>
    <x v="278"/>
  </r>
  <r>
    <d v="2025-12-17T00:00:00"/>
    <n v="0"/>
    <n v="42087.391600000003"/>
    <n v="375937.25280000042"/>
    <s v="PU/26/SLS/OT/1413"/>
    <s v="Storage Charges - Cargo - SLSIPL"/>
    <s v="PU/26/SLS/OT/1413"/>
    <x v="279"/>
  </r>
  <r>
    <d v="2025-12-17T00:00:00"/>
    <n v="0"/>
    <n v="36224.358800000002"/>
    <n v="339712.89400000038"/>
    <s v="PU/26/SLS/OT/1414"/>
    <s v="Storage Charges - SLSIPL"/>
    <s v="PU/26/SLS/OT/1414"/>
    <x v="280"/>
  </r>
  <r>
    <d v="2025-12-17T00:00:00"/>
    <n v="0"/>
    <n v="38482.042500000003"/>
    <n v="301230.8515000004"/>
    <s v="PU/26/SLS/OT/1415"/>
    <s v="Handling Charges - Inbound (Exp) - SLSIPL,Transportation Charges Paid - SLSIPL"/>
    <s v="PU/26/SLS/OT/1415"/>
    <x v="281"/>
  </r>
  <r>
    <d v="2025-12-17T00:00:00"/>
    <n v="0"/>
    <n v="679906.74129999999"/>
    <n v="-378675.8897999996"/>
    <s v="PU/26/SLS/OT/1416"/>
    <s v="Storage Charges - Rack - SLSIPL"/>
    <s v="PU/26/SLS/OT/1416"/>
    <x v="282"/>
  </r>
  <r>
    <d v="2025-12-17T00:00:00"/>
    <n v="0"/>
    <n v="3487.4461000000001"/>
    <n v="-382163.3358999996"/>
    <s v="PU/26/SLS/OT/1417"/>
    <s v="Transportation Charges Paid - SLSIPL,Handling Charges - Inbound (Exp) - SLSIPL"/>
    <s v="PU/26/SLS/OT/1417"/>
    <x v="283"/>
  </r>
  <r>
    <d v="2025-12-17T00:00:00"/>
    <n v="0"/>
    <n v="90131.008499999996"/>
    <n v="-472294.34439999959"/>
    <s v="PU/26/SLS/OT/1418"/>
    <s v="Transportation Charges Paid - SLSIPL,Handling Charges - Inbound (Exp) - SLSIPL"/>
    <s v="PU/26/SLS/OT/1418"/>
    <x v="284"/>
  </r>
  <r>
    <d v="2025-12-17T00:00:00"/>
    <n v="0"/>
    <n v="4231.3179"/>
    <n v="-476525.66229999962"/>
    <s v="PU/26/SLS/OT/1419"/>
    <s v="Handling Charges - Outbound (Exp) - SLSIPL"/>
    <s v="PU/26/SLS/OT/1419"/>
    <x v="285"/>
  </r>
  <r>
    <d v="2025-12-17T00:00:00"/>
    <n v="0"/>
    <n v="1233.9521"/>
    <n v="-477759.61439999961"/>
    <s v="PU/26/SLS/OT/1420"/>
    <s v="Handling Charges - Outbound (Exp) - SLSIPL"/>
    <s v="PU/26/SLS/OT/1420"/>
    <x v="286"/>
  </r>
  <r>
    <d v="2025-12-17T00:00:00"/>
    <n v="0"/>
    <n v="1992.7012"/>
    <n v="-479752.31559999962"/>
    <s v="PU/26/SLS/OT/1421"/>
    <s v="Documentation Charges Paid - SLSIPL"/>
    <s v="PU/26/SLS/OT/1421"/>
    <x v="287"/>
  </r>
  <r>
    <d v="2025-12-17T00:00:00"/>
    <n v="0"/>
    <n v="695663.66119999997"/>
    <n v="-1175415.9768000001"/>
    <s v="PU/26/SLS/OT/1422"/>
    <s v="Storage Charges - Rack - SLSIPL"/>
    <s v="PU/26/SLS/OT/1422"/>
    <x v="288"/>
  </r>
  <r>
    <d v="2025-12-17T00:00:00"/>
    <n v="0"/>
    <n v="1247.0791999999999"/>
    <n v="-1176663.0560000001"/>
    <s v="PU/26/SLS/OT/1423"/>
    <s v="VOS Activity Charges Paid - SLSIPL"/>
    <s v="PU/26/SLS/OT/1423"/>
    <x v="289"/>
  </r>
  <r>
    <d v="2025-12-17T00:00:00"/>
    <n v="0"/>
    <n v="59881.6803"/>
    <n v="-1236544.7363"/>
    <s v="PU/26/SLS/OT/1424"/>
    <s v="Transportation Charges Paid - SLSIPL,Storage Charges - Cargo - SLSIPL"/>
    <s v="PU/26/SLS/OT/1424"/>
    <x v="290"/>
  </r>
  <r>
    <d v="2025-12-17T00:00:00"/>
    <n v="0"/>
    <n v="58594.344499999999"/>
    <n v="-1295139.0807999989"/>
    <s v="PU/26/SLS/OT/1425"/>
    <s v="Storage Charges - Cargo - SLSIPL"/>
    <s v="PU/26/SLS/OT/1425"/>
    <x v="291"/>
  </r>
  <r>
    <d v="2025-12-17T00:00:00"/>
    <n v="0"/>
    <n v="991.79819999999995"/>
    <n v="-1296130.878999999"/>
    <s v="PU/26/SLS/OT/1426"/>
    <s v="Documentation Charges Paid - SLSIPL"/>
    <s v="PU/26/SLS/OT/1426"/>
    <x v="292"/>
  </r>
  <r>
    <d v="2025-12-17T00:00:00"/>
    <n v="0"/>
    <n v="2793.2276000000002"/>
    <n v="-1298924.1066000001"/>
    <s v="PU/26/SLS/OT/1427"/>
    <s v="VOS Activity Charges Paid - SLSIPL"/>
    <s v="PU/26/SLS/OT/1427"/>
    <x v="293"/>
  </r>
  <r>
    <d v="2025-12-17T00:00:00"/>
    <n v="0"/>
    <n v="529469.75580000004"/>
    <n v="-1828393.8624"/>
    <s v="PU/26/SLS/OT/1428"/>
    <s v="Storage Charges - Rack - SLSIPL"/>
    <s v="PU/26/SLS/OT/1428"/>
    <x v="294"/>
  </r>
  <r>
    <d v="2025-12-17T00:00:00"/>
    <n v="0"/>
    <n v="9367.9609"/>
    <n v="-1837761.8233"/>
    <s v="PU/26/SLS/OT/1430"/>
    <s v="Handling Charges - Inbound (Exp) - SLSIPL,Transportation Charges Paid - SLSIPL"/>
    <s v="PU/26/SLS/OT/1430"/>
    <x v="295"/>
  </r>
  <r>
    <d v="2025-12-17T00:00:00"/>
    <n v="0"/>
    <n v="3014.1161000000002"/>
    <n v="-1840775.9394"/>
    <s v="PU/26/SLS/OT/1431"/>
    <s v="Handling Charges - Outbound (Exp) - SLSIPL"/>
    <s v="PU/26/SLS/OT/1431"/>
    <x v="296"/>
  </r>
  <r>
    <d v="2025-12-17T00:00:00"/>
    <n v="0"/>
    <n v="63274.437400000003"/>
    <n v="-1904050.3768"/>
    <s v="PU/26/SLS/OT/1432"/>
    <s v="Storage Charges - Cargo - SLSIPL"/>
    <s v="PU/26/SLS/OT/1432"/>
    <x v="297"/>
  </r>
  <r>
    <d v="2025-12-17T00:00:00"/>
    <n v="0"/>
    <n v="26716.949199999999"/>
    <n v="-1930767.325999999"/>
    <s v="PU/26/SLS/OT/1434"/>
    <s v="Storage Charges - Cargo - SLSIPL,Transportation Charges Paid - SLSIPL"/>
    <s v="PU/26/SLS/OT/1434"/>
    <x v="298"/>
  </r>
  <r>
    <d v="2025-12-17T00:00:00"/>
    <n v="0"/>
    <n v="5909.4276"/>
    <n v="-1936676.753599999"/>
    <s v="PU/26/SLS/OT/1435"/>
    <s v="Handling Charges - Outbound (Exp) - SLSIPL"/>
    <s v="PU/26/SLS/OT/1435"/>
    <x v="299"/>
  </r>
  <r>
    <d v="2025-12-17T00:00:00"/>
    <n v="0"/>
    <n v="39821.534"/>
    <n v="-1976498.287599999"/>
    <s v="PU/26/SLS/OT/1437"/>
    <s v="Storage Charges - Cargo - SLSIPL"/>
    <s v="PU/26/SLS/OT/1437"/>
    <x v="300"/>
  </r>
  <r>
    <d v="2025-12-17T00:00:00"/>
    <n v="0"/>
    <n v="29234.726200000001"/>
    <n v="-2005733.0137999989"/>
    <s v="PU/26/SLS/OT/1439"/>
    <s v="Transportation Charges Paid - SLSIPL,Handling Charges - Inbound (Exp) - SLSIPL"/>
    <s v="PU/26/SLS/OT/1439"/>
    <x v="301"/>
  </r>
  <r>
    <d v="2025-12-17T00:00:00"/>
    <n v="0"/>
    <n v="897.63459999999998"/>
    <n v="-2006630.6483999989"/>
    <s v="PU/26/SLS/OT/1440"/>
    <s v="Loose Loading Handling - SLSIPL"/>
    <s v="PU/26/SLS/OT/1440"/>
    <x v="302"/>
  </r>
  <r>
    <d v="2025-12-18T00:00:00"/>
    <n v="0"/>
    <n v="20693.117099999999"/>
    <n v="-2027323.765499999"/>
    <s v="PU/26/SLS/OT/1447"/>
    <s v="VOS Activity Charges Paid - SLSIPL"/>
    <s v="PU/26/SLS/OT/1447"/>
    <x v="303"/>
  </r>
  <r>
    <d v="2025-12-18T00:00:00"/>
    <n v="0"/>
    <n v="14016.2999"/>
    <n v="-2041340.065399999"/>
    <s v="PU/26/SLS/OT/1448"/>
    <s v="Weightment Charges Paid - SLSIPL"/>
    <s v="PU/26/SLS/OT/1448"/>
    <x v="304"/>
  </r>
  <r>
    <d v="2025-12-18T00:00:00"/>
    <n v="0"/>
    <n v="7761.8990000000003"/>
    <n v="-2049101.964399999"/>
    <s v="PU/26/SLS/OT/1449"/>
    <s v="Transportation Charges Paid - SLSIPL,Handling Charges - Inbound (Exp) - SLSIPL"/>
    <s v="PU/26/SLS/OT/1449"/>
    <x v="305"/>
  </r>
  <r>
    <d v="2025-12-18T00:00:00"/>
    <n v="0"/>
    <n v="9417.2428"/>
    <n v="-2058519.2071999989"/>
    <s v="PU/26/SLS/OT/1452"/>
    <s v="Handling Charges - Outbound (Exp) - SLSIPL,MHE Charges Paid - SLSIPL"/>
    <s v="PU/26/SLS/OT/1452"/>
    <x v="306"/>
  </r>
  <r>
    <d v="2025-12-18T00:00:00"/>
    <n v="0"/>
    <n v="27787.070400000001"/>
    <n v="-2086306.277599999"/>
    <s v="PU/26/SLS/OT/1453"/>
    <s v="Transportation Charges Paid - SLSIPL,Storage Charges - Cargo - SLSIPL"/>
    <s v="PU/26/SLS/OT/1453"/>
    <x v="307"/>
  </r>
  <r>
    <d v="2025-12-18T00:00:00"/>
    <n v="0"/>
    <n v="11723.0177"/>
    <n v="-2098029.295299999"/>
    <s v="PU/26/SLS/OT/1455"/>
    <s v="Storage Charges - Cargo - SLSIPL"/>
    <s v="PU/26/SLS/OT/1455"/>
    <x v="308"/>
  </r>
  <r>
    <d v="2025-12-19T00:00:00"/>
    <n v="0"/>
    <n v="61159.633500000004"/>
    <n v="-2159188.9287999989"/>
    <s v="PU/26/SLS/OT/1457"/>
    <s v="Transportation Charges Paid - SLSIPL,Handling Charges - Inbound (Exp) - SLSIPL"/>
    <s v="PU/26/SLS/OT/1457"/>
    <x v="309"/>
  </r>
  <r>
    <d v="2025-12-19T00:00:00"/>
    <n v="0"/>
    <n v="11115.014499999999"/>
    <n v="-2170303.943299999"/>
    <s v="PU/26/SLS/OT/1458"/>
    <s v="Handling Charges - Outbound (Exp) - SLSIPL"/>
    <s v="PU/26/SLS/OT/1458"/>
    <x v="310"/>
  </r>
  <r>
    <d v="2025-12-19T00:00:00"/>
    <n v="0"/>
    <n v="10489.678599999999"/>
    <n v="-2180793.6219000001"/>
    <s v="PU/26/SLS/OT/1460-1"/>
    <s v="Storage Charges - Cargo - SLSIPL,Transportation Charges Paid - SLSIPL"/>
    <s v="PU/26/SLS/OT/1460-1"/>
    <x v="311"/>
  </r>
  <r>
    <d v="2025-12-19T00:00:00"/>
    <n v="0"/>
    <n v="28407.106800000001"/>
    <n v="-2209200.7286999999"/>
    <s v="PU/26/SLS/OT/1461"/>
    <s v="Storage Charges - Cargo - SLSIPL"/>
    <s v="PU/26/SLS/OT/1461"/>
    <x v="312"/>
  </r>
  <r>
    <d v="2025-12-29T00:00:00"/>
    <n v="4048"/>
    <n v="40195.392399999997"/>
    <n v="-2245348.1211000001"/>
    <s v="PU/26/SLS/OT/1480"/>
    <s v="Fixed Storage Charges - ODC (Covered) - SLSIPL"/>
    <s v="PU/26/SLS/OT/1480, PU/26/SLS/OT/1480"/>
    <x v="313"/>
  </r>
  <r>
    <d v="2025-12-29T00:00:00"/>
    <n v="0"/>
    <n v="299.84859999999998"/>
    <n v="-2245647.9696999998"/>
    <s v="PU/26/SLS/OT/1485"/>
    <s v="Weightment Charges Paid - SLSIPL"/>
    <s v="PU/26/SLS/OT/1485"/>
    <x v="314"/>
  </r>
  <r>
    <d v="2025-12-29T00:00:00"/>
    <n v="7320"/>
    <n v="73283.168300000005"/>
    <n v="-2311611.1379999998"/>
    <s v="PU/26/SLS/OT/1487"/>
    <s v="Storage Charges - Cargo - SLSIPL"/>
    <s v="PU/26/SLS/OT/1487, PU/26/SLS/OT/1487"/>
    <x v="315"/>
  </r>
  <r>
    <d v="2025-12-29T00:00:00"/>
    <n v="500000"/>
    <n v="0"/>
    <n v="-1811611.138"/>
    <s v="BP/26/SLS/1015"/>
    <s v="1395250393003 - Punjab National Bank - INR - SLSIPL"/>
    <m/>
    <x v="220"/>
  </r>
  <r>
    <d v="2025-12-29T00:00:00"/>
    <n v="6"/>
    <n v="306"/>
    <n v="-1811911.138"/>
    <s v="PU/26/SLS/OT/1484-1"/>
    <s v="Weightment Charges Paid - SLSIPL"/>
    <s v="PU/26/SLS/OT/1484-1, PU/26/SLS/OT/1484-1"/>
    <x v="316"/>
  </r>
  <r>
    <d v="2025-12-30T00:00:00"/>
    <n v="176"/>
    <n v="7046.0609999999997"/>
    <n v="-1818781.199"/>
    <s v="PU/26/SLS/OT/1488"/>
    <s v="Handling Charges - Outbound (Exp) - SLSIPL"/>
    <s v="PU/26/SLS/OT/1488, PU/26/SLS/OT/1488"/>
    <x v="317"/>
  </r>
  <r>
    <d v="2025-12-30T00:00:00"/>
    <n v="88"/>
    <n v="2901.2856000000002"/>
    <n v="-1821594.4846000001"/>
    <s v="PU/26/SLS/OT/1489"/>
    <s v="Handling Charges - Inbound (Exp) - SLSIPL"/>
    <s v="PU/26/SLS/OT/1489, PU/26/SLS/OT/1489"/>
    <x v="318"/>
  </r>
  <r>
    <d v="2025-12-30T00:00:00"/>
    <n v="0"/>
    <n v="1036.08"/>
    <n v="-1822630.5645999999"/>
    <s v="PU/26/SLS/OT/1490"/>
    <s v="Handling Charges - Outbound (Exp) - SLSIPL"/>
    <s v="PU/26/SLS/OT/1490"/>
    <x v="319"/>
  </r>
  <r>
    <d v="2025-12-30T00:00:00"/>
    <n v="970"/>
    <n v="46651.936999999998"/>
    <n v="-1868312.5016000001"/>
    <s v="PU/26/SLS/OT/1492"/>
    <s v="VOS Activity Charges Paid - SLSIPL"/>
    <s v="PU/26/SLS/OT/1492, PU/26/SLS/OT/1492"/>
    <x v="320"/>
  </r>
  <r>
    <d v="2025-12-30T00:00:00"/>
    <n v="88"/>
    <n v="6173.1630999999998"/>
    <n v="-1874397.6647000001"/>
    <s v="PU/26/SLS/OT/1493"/>
    <s v="Intra SEZ Trf Expenses - SLSIPL"/>
    <s v="PU/26/SLS/OT/1493, PU/26/SLS/OT/1493"/>
    <x v="321"/>
  </r>
  <r>
    <d v="2025-12-30T00:00:00"/>
    <n v="6791"/>
    <n v="68060.655499999993"/>
    <n v="-1935667.3202"/>
    <s v="PU/26/SLS/OT/1494"/>
    <s v="Storage Charges - Cargo - SLSIPL"/>
    <s v="PU/26/SLS/OT/1494, PU/26/SLS/OT/1494"/>
    <x v="322"/>
  </r>
  <r>
    <d v="2025-12-30T00:00:00"/>
    <n v="1058"/>
    <n v="51397.291499999999"/>
    <n v="-1986006.6117"/>
    <s v="PU/26/SLS/OT/1495"/>
    <s v="Handling Charges - Outbound (Exp) - SLSIPL"/>
    <s v="PU/26/SLS/OT/1495, PU/26/SLS/OT/1495"/>
    <x v="323"/>
  </r>
  <r>
    <d v="2025-12-30T00:00:00"/>
    <n v="10"/>
    <n v="506"/>
    <n v="-1986502.6117"/>
    <s v="PU/26/SLS/OT/1491-1"/>
    <s v="Documentation Charges Paid - SLSIPL"/>
    <s v="PU/26/SLS/OT/1491-1, PU/26/SLS/OT/1491-1"/>
    <x v="320"/>
  </r>
  <r>
    <d v="2025-12-31T00:00:00"/>
    <n v="1351"/>
    <n v="67557"/>
    <n v="-2052708.6117"/>
    <s v="PU/26/SLS/OT/1394-2"/>
    <s v="Handling Charges - Inbound (Exp) - SLSIPL,Transportation Charges Paid - SLSIPL"/>
    <s v="PU/26/SLS/OT/1394-2, PU/26/SLS/OT/1394-2"/>
    <x v="324"/>
  </r>
  <r>
    <d v="2025-12-31T00:00:00"/>
    <m/>
    <m/>
    <n v="-2052708.6117"/>
    <s v="SJ/25/GEA/1376"/>
    <m/>
    <s v="PU/26/SLS/OT/0585, SLS26/MF/DN/0001-2"/>
    <x v="223"/>
  </r>
  <r>
    <d v="2025-12-31T00:00:00"/>
    <m/>
    <m/>
    <n v="-2052708.6117"/>
    <s v="SJ/25/GEA/1377"/>
    <m/>
    <s v="PU/26/SLS/OT/1422, SLS26/MF/DN/0001-2"/>
    <x v="288"/>
  </r>
  <r>
    <d v="2025-12-31T00:00:00"/>
    <m/>
    <m/>
    <n v="-2052708.6117"/>
    <s v="SJ/25/GEA/1378"/>
    <m/>
    <s v="PU/25/SLS/OT/1856, SLS26/MF/DN/0010-1"/>
    <x v="137"/>
  </r>
  <r>
    <d v="2026-01-16T00:00:00"/>
    <n v="4174"/>
    <n v="41446.745000000003"/>
    <n v="-2089981.3566999999"/>
    <s v="PU/26/SLS/OT/1553"/>
    <s v="Storage Charges - SLSIPL"/>
    <s v="PU/26/SLS/OT/1553, PU/26/SLS/OT/1553"/>
    <x v="325"/>
  </r>
  <r>
    <d v="2026-01-16T00:00:00"/>
    <n v="0"/>
    <n v="1066.231"/>
    <n v="-2091047.5877"/>
    <s v="PU/26/SLS/OT/1554"/>
    <s v="Handling Charges - Outbound (Exp) - SLSIPL"/>
    <s v="PU/26/SLS/OT/1554"/>
    <x v="326"/>
  </r>
  <r>
    <d v="2026-01-23T00:00:00"/>
    <n v="181"/>
    <n v="8983.0849999999991"/>
    <n v="-2099849.6727"/>
    <s v="PU/26/SLS/OT/1538"/>
    <s v="Gate in Charges - Inbound - SLSIPL,Handling Charges - Inbound (Exp) - SLSIPL"/>
    <s v="PU/26/SLS/OT/1538, PU/26/SLS/OT/1538"/>
    <x v="327"/>
  </r>
  <r>
    <d v="2026-01-28T00:00:00"/>
    <n v="674751"/>
    <n v="0"/>
    <n v="-1425098.6727"/>
    <s v="BP/26/SLS/1165-1"/>
    <s v="1395250393003 - Punjab National Bank - INR - SLSIPL"/>
    <s v="PU/26/SLS/OT/1422"/>
    <x v="220"/>
  </r>
  <r>
    <d v="2026-02-04T00:00:00"/>
    <n v="90"/>
    <n v="4904.3774000000003"/>
    <n v="-1429913.0501000001"/>
    <s v="PU/26/SLS/OT/1636"/>
    <s v="Handling Charges - Outbound (Exp) - SLSIPL,MHE CHARGES - SLSIPL"/>
    <s v="PU/26/SLS/OT/1636, PU/26/SLS/OT/1636"/>
    <x v="328"/>
  </r>
  <r>
    <d v="2026-02-04T00:00:00"/>
    <n v="181"/>
    <n v="8983.0846000000001"/>
    <n v="-1438715.1347000001"/>
    <s v="PU/26/SLS/OT/1637"/>
    <s v="Handling Charges - Outbound (Exp) - SLSIPL,Gate In Charges Paid - SLSIPL"/>
    <s v="PU/26/SLS/OT/1637, PU/26/SLS/OT/1637"/>
    <x v="329"/>
  </r>
  <r>
    <d v="2026-02-04T00:00:00"/>
    <n v="91"/>
    <n v="6141.7525999999998"/>
    <n v="-1444765.8873000001"/>
    <s v="PU/26/SLS/OT/1638"/>
    <s v="Handling Charges - Outbound (Exp) - SLSIPL"/>
    <s v="PU/26/SLS/OT/1638, PU/26/SLS/OT/1638"/>
    <x v="330"/>
  </r>
  <r>
    <d v="2026-02-04T00:00:00"/>
    <n v="1815"/>
    <n v="18211.378000000001"/>
    <n v="-1461162.2653000001"/>
    <s v="PU/26/SLS/OT/1639"/>
    <s v="Storage Charges - Cargo - SLSIPL"/>
    <s v="PU/26/SLS/OT/1639, PU/26/SLS/OT/1639"/>
    <x v="331"/>
  </r>
  <r>
    <d v="2026-02-04T00:00:00"/>
    <n v="1089"/>
    <n v="11313.937"/>
    <n v="-1471387.2023"/>
    <s v="PU/26/SLS/OT/1640"/>
    <s v="Storage Charges - Cargo - SLSIPL,Gate In Charges Paid - SLSIPL"/>
    <s v="PU/26/SLS/OT/1640, PU/26/SLS/OT/1640"/>
    <x v="332"/>
  </r>
  <r>
    <d v="2026-02-05T00:00:00"/>
    <n v="181"/>
    <n v="7063.8671999999997"/>
    <n v="-1478270.0695"/>
    <s v="PU/26/SLS/OT/1643"/>
    <s v="Handling Charges - Inbound (Exp) - SLSIPL,Gate In Charges Paid - SLSIPL"/>
    <s v="PU/26/SLS/OT/1643, PU/26/SLS/OT/1643"/>
    <x v="333"/>
  </r>
  <r>
    <d v="2026-02-05T00:00:00"/>
    <n v="181"/>
    <n v="11185.420599999999"/>
    <n v="-1489274.4901000001"/>
    <s v="PU/26/SLS/OT/1646"/>
    <s v="Storage Charges - Cargo - SLSIPL,Gate In Charges Paid - SLSIPL"/>
    <s v="PU/26/SLS/OT/1646, PU/26/SLS/OT/1646"/>
    <x v="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BE355-829F-4864-91E3-16EC90D38FD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2:N338" firstHeaderRow="0" firstDataRow="1" firstDataCol="1"/>
  <pivotFields count="8">
    <pivotField numFmtId="14" showAll="0"/>
    <pivotField dataField="1" showAll="0"/>
    <pivotField dataField="1" showAll="0"/>
    <pivotField numFmtId="43" showAll="0"/>
    <pivotField showAll="0"/>
    <pivotField showAll="0"/>
    <pivotField showAll="0"/>
    <pivotField axis="axisRow" showAll="0">
      <items count="348">
        <item x="187"/>
        <item x="0"/>
        <item x="164"/>
        <item x="2"/>
        <item x="3"/>
        <item x="4"/>
        <item x="5"/>
        <item x="1"/>
        <item x="241"/>
        <item x="242"/>
        <item x="245"/>
        <item x="246"/>
        <item x="243"/>
        <item x="227"/>
        <item x="244"/>
        <item x="167"/>
        <item x="14"/>
        <item x="12"/>
        <item x="13"/>
        <item x="18"/>
        <item x="17"/>
        <item x="19"/>
        <item x="20"/>
        <item x="158"/>
        <item x="21"/>
        <item x="22"/>
        <item x="23"/>
        <item x="24"/>
        <item x="25"/>
        <item x="26"/>
        <item x="27"/>
        <item x="28"/>
        <item x="29"/>
        <item x="30"/>
        <item x="15"/>
        <item x="16"/>
        <item x="11"/>
        <item x="10"/>
        <item x="156"/>
        <item x="9"/>
        <item x="8"/>
        <item x="7"/>
        <item x="6"/>
        <item x="54"/>
        <item x="60"/>
        <item x="51"/>
        <item x="52"/>
        <item x="53"/>
        <item x="33"/>
        <item x="48"/>
        <item x="49"/>
        <item x="32"/>
        <item x="166"/>
        <item x="165"/>
        <item x="45"/>
        <item x="50"/>
        <item x="47"/>
        <item x="59"/>
        <item x="46"/>
        <item x="163"/>
        <item x="43"/>
        <item x="39"/>
        <item x="44"/>
        <item x="34"/>
        <item x="35"/>
        <item x="36"/>
        <item x="38"/>
        <item x="37"/>
        <item x="41"/>
        <item x="40"/>
        <item x="42"/>
        <item x="56"/>
        <item x="58"/>
        <item x="31"/>
        <item x="57"/>
        <item x="55"/>
        <item x="121"/>
        <item x="122"/>
        <item x="160"/>
        <item x="123"/>
        <item x="124"/>
        <item x="125"/>
        <item x="126"/>
        <item x="127"/>
        <item x="128"/>
        <item x="129"/>
        <item x="68"/>
        <item x="67"/>
        <item x="62"/>
        <item x="63"/>
        <item x="65"/>
        <item x="66"/>
        <item x="64"/>
        <item x="83"/>
        <item x="80"/>
        <item x="81"/>
        <item x="82"/>
        <item x="94"/>
        <item x="95"/>
        <item x="61"/>
        <item x="73"/>
        <item x="72"/>
        <item x="71"/>
        <item x="70"/>
        <item x="69"/>
        <item x="96"/>
        <item x="97"/>
        <item x="98"/>
        <item x="99"/>
        <item x="100"/>
        <item x="238"/>
        <item x="144"/>
        <item x="137"/>
        <item x="106"/>
        <item x="136"/>
        <item x="145"/>
        <item x="138"/>
        <item x="139"/>
        <item x="140"/>
        <item x="141"/>
        <item x="143"/>
        <item x="74"/>
        <item x="142"/>
        <item x="75"/>
        <item x="76"/>
        <item x="77"/>
        <item x="105"/>
        <item x="78"/>
        <item x="91"/>
        <item x="92"/>
        <item x="93"/>
        <item x="90"/>
        <item x="89"/>
        <item x="85"/>
        <item x="86"/>
        <item x="87"/>
        <item x="146"/>
        <item x="88"/>
        <item x="134"/>
        <item x="116"/>
        <item x="117"/>
        <item x="118"/>
        <item x="119"/>
        <item x="120"/>
        <item x="229"/>
        <item x="240"/>
        <item x="159"/>
        <item x="162"/>
        <item x="151"/>
        <item x="112"/>
        <item x="149"/>
        <item x="113"/>
        <item x="148"/>
        <item x="157"/>
        <item x="114"/>
        <item x="147"/>
        <item x="154"/>
        <item x="115"/>
        <item x="152"/>
        <item x="150"/>
        <item x="111"/>
        <item x="109"/>
        <item x="110"/>
        <item x="135"/>
        <item x="84"/>
        <item x="239"/>
        <item x="107"/>
        <item x="108"/>
        <item x="161"/>
        <item x="155"/>
        <item x="102"/>
        <item x="79"/>
        <item x="133"/>
        <item x="101"/>
        <item x="103"/>
        <item x="104"/>
        <item x="153"/>
        <item x="130"/>
        <item x="131"/>
        <item x="132"/>
        <item x="315"/>
        <item x="176"/>
        <item x="175"/>
        <item x="174"/>
        <item x="173"/>
        <item x="169"/>
        <item x="168"/>
        <item x="170"/>
        <item x="171"/>
        <item x="172"/>
        <item x="177"/>
        <item x="179"/>
        <item x="178"/>
        <item x="181"/>
        <item x="182"/>
        <item x="180"/>
        <item x="185"/>
        <item x="184"/>
        <item x="183"/>
        <item x="247"/>
        <item x="189"/>
        <item x="191"/>
        <item x="192"/>
        <item x="188"/>
        <item x="190"/>
        <item x="186"/>
        <item x="193"/>
        <item x="199"/>
        <item x="196"/>
        <item x="195"/>
        <item x="194"/>
        <item x="197"/>
        <item x="198"/>
        <item x="203"/>
        <item x="204"/>
        <item x="200"/>
        <item x="202"/>
        <item x="201"/>
        <item x="206"/>
        <item x="205"/>
        <item x="207"/>
        <item x="308"/>
        <item x="208"/>
        <item x="210"/>
        <item x="209"/>
        <item x="214"/>
        <item x="213"/>
        <item x="215"/>
        <item x="216"/>
        <item x="217"/>
        <item x="218"/>
        <item x="211"/>
        <item x="212"/>
        <item x="219"/>
        <item x="224"/>
        <item x="221"/>
        <item x="222"/>
        <item x="225"/>
        <item x="223"/>
        <item x="251"/>
        <item x="226"/>
        <item x="248"/>
        <item x="249"/>
        <item x="250"/>
        <item x="266"/>
        <item x="265"/>
        <item x="264"/>
        <item x="263"/>
        <item x="262"/>
        <item x="257"/>
        <item x="261"/>
        <item x="260"/>
        <item x="259"/>
        <item x="258"/>
        <item x="256"/>
        <item x="255"/>
        <item x="253"/>
        <item x="254"/>
        <item x="252"/>
        <item m="1" x="335"/>
        <item m="1" x="342"/>
        <item m="1" x="337"/>
        <item m="1" x="340"/>
        <item x="271"/>
        <item x="232"/>
        <item x="324"/>
        <item x="230"/>
        <item x="231"/>
        <item x="269"/>
        <item x="270"/>
        <item x="267"/>
        <item x="268"/>
        <item x="237"/>
        <item x="233"/>
        <item x="234"/>
        <item x="236"/>
        <item x="235"/>
        <item x="283"/>
        <item x="286"/>
        <item x="288"/>
        <item x="289"/>
        <item x="290"/>
        <item x="291"/>
        <item x="287"/>
        <item x="284"/>
        <item x="285"/>
        <item x="272"/>
        <item x="278"/>
        <item x="276"/>
        <item x="279"/>
        <item x="277"/>
        <item x="273"/>
        <item x="274"/>
        <item x="275"/>
        <item x="281"/>
        <item x="323"/>
        <item x="282"/>
        <item x="280"/>
        <item x="322"/>
        <item x="320"/>
        <item x="321"/>
        <item x="319"/>
        <item x="318"/>
        <item x="317"/>
        <item x="314"/>
        <item x="316"/>
        <item x="313"/>
        <item x="293"/>
        <item x="294"/>
        <item x="295"/>
        <item x="296"/>
        <item x="298"/>
        <item x="297"/>
        <item x="299"/>
        <item x="292"/>
        <item x="307"/>
        <item x="303"/>
        <item x="304"/>
        <item x="305"/>
        <item x="306"/>
        <item x="300"/>
        <item x="301"/>
        <item x="302"/>
        <item x="312"/>
        <item x="309"/>
        <item x="310"/>
        <item x="311"/>
        <item m="1" x="346"/>
        <item m="1" x="341"/>
        <item m="1" x="336"/>
        <item m="1" x="345"/>
        <item m="1" x="343"/>
        <item m="1" x="339"/>
        <item m="1" x="344"/>
        <item m="1" x="338"/>
        <item x="325"/>
        <item x="326"/>
        <item x="327"/>
        <item x="334"/>
        <item x="333"/>
        <item x="328"/>
        <item x="332"/>
        <item x="331"/>
        <item x="329"/>
        <item x="330"/>
        <item x="220"/>
        <item x="228"/>
        <item t="default"/>
      </items>
    </pivotField>
  </pivotFields>
  <rowFields count="1">
    <field x="7"/>
  </rowFields>
  <rowItems count="3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 (INR)" fld="1" baseField="0" baseItem="0"/>
    <dataField name="Sum of Credit (INR)" fld="2" baseField="0" baseItem="0"/>
  </dataFields>
  <formats count="1">
    <format dxfId="7">
      <pivotArea collapsedLevelsAreSubtotals="1" fieldPosition="0">
        <references count="2">
          <reference field="4294967294" count="1" selected="0">
            <x v="0"/>
          </reference>
          <reference field="7" count="1">
            <x v="34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4F89-BE75-40AF-BE99-029AD457C5A9}">
  <sheetPr>
    <tabColor theme="4" tint="-0.249977111117893"/>
  </sheetPr>
  <dimension ref="A1:B11"/>
  <sheetViews>
    <sheetView workbookViewId="0">
      <selection activeCell="B4" sqref="B4"/>
    </sheetView>
  </sheetViews>
  <sheetFormatPr defaultRowHeight="14.5" x14ac:dyDescent="0.35"/>
  <cols>
    <col min="1" max="1" width="53" bestFit="1" customWidth="1"/>
    <col min="2" max="2" width="12.90625" bestFit="1" customWidth="1"/>
  </cols>
  <sheetData>
    <row r="1" spans="1:2" ht="15" thickBot="1" x14ac:dyDescent="0.4">
      <c r="A1" s="75" t="s">
        <v>955</v>
      </c>
      <c r="B1" s="76"/>
    </row>
    <row r="2" spans="1:2" ht="15" thickBot="1" x14ac:dyDescent="0.4">
      <c r="A2" s="26" t="s">
        <v>956</v>
      </c>
      <c r="B2" s="27" t="s">
        <v>957</v>
      </c>
    </row>
    <row r="3" spans="1:2" x14ac:dyDescent="0.35">
      <c r="A3" s="28" t="s">
        <v>958</v>
      </c>
      <c r="B3" s="29">
        <f>-'Customer Data'!E389</f>
        <v>1489274.4901000001</v>
      </c>
    </row>
    <row r="4" spans="1:2" x14ac:dyDescent="0.35">
      <c r="A4" s="28" t="s">
        <v>959</v>
      </c>
      <c r="B4" s="30" t="e">
        <f>'TDS to be recorded '!#REF!</f>
        <v>#REF!</v>
      </c>
    </row>
    <row r="5" spans="1:2" x14ac:dyDescent="0.35">
      <c r="A5" s="28" t="s">
        <v>960</v>
      </c>
      <c r="B5" s="30" t="e">
        <f>'Invoice&amp;DN in Customer''s ledger'!#REF!</f>
        <v>#REF!</v>
      </c>
    </row>
    <row r="6" spans="1:2" x14ac:dyDescent="0.35">
      <c r="A6" s="28" t="s">
        <v>967</v>
      </c>
      <c r="B6" s="30">
        <f>'Diffrence in Invoice value'!M28</f>
        <v>0</v>
      </c>
    </row>
    <row r="7" spans="1:2" x14ac:dyDescent="0.35">
      <c r="A7" s="28" t="s">
        <v>968</v>
      </c>
      <c r="B7" s="30">
        <f>'Knock off entries difference'!H1</f>
        <v>-1093.0800000000072</v>
      </c>
    </row>
    <row r="8" spans="1:2" x14ac:dyDescent="0.35">
      <c r="A8" s="28" t="s">
        <v>961</v>
      </c>
      <c r="B8" s="30" t="e">
        <f>SUM(B3:B6)</f>
        <v>#REF!</v>
      </c>
    </row>
    <row r="9" spans="1:2" x14ac:dyDescent="0.35">
      <c r="A9" s="28" t="s">
        <v>962</v>
      </c>
      <c r="B9" s="30">
        <f>'Ascendus Data'!U476</f>
        <v>4683369.57</v>
      </c>
    </row>
    <row r="10" spans="1:2" ht="15" thickBot="1" x14ac:dyDescent="0.4">
      <c r="A10" s="31"/>
      <c r="B10" s="32"/>
    </row>
    <row r="11" spans="1:2" ht="15" thickBot="1" x14ac:dyDescent="0.4">
      <c r="A11" s="33" t="s">
        <v>963</v>
      </c>
      <c r="B11" s="34" t="e">
        <f>B8-B9-B10</f>
        <v>#REF!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0184-6E3B-446F-9D6A-6A960BE604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B54D-72C4-4D49-BE59-8EBEDD13929E}">
  <dimension ref="A1:I22"/>
  <sheetViews>
    <sheetView workbookViewId="0">
      <selection activeCell="G2" sqref="G2"/>
    </sheetView>
  </sheetViews>
  <sheetFormatPr defaultRowHeight="14.5" x14ac:dyDescent="0.35"/>
  <cols>
    <col min="1" max="1" width="11.453125" bestFit="1" customWidth="1"/>
    <col min="2" max="2" width="11.1796875" bestFit="1" customWidth="1"/>
    <col min="3" max="3" width="10.54296875" bestFit="1" customWidth="1"/>
    <col min="4" max="4" width="12.90625" bestFit="1" customWidth="1"/>
    <col min="5" max="5" width="18.90625" bestFit="1" customWidth="1"/>
    <col min="6" max="6" width="40.08984375" bestFit="1" customWidth="1"/>
    <col min="7" max="7" width="38.1796875" bestFit="1" customWidth="1"/>
    <col min="8" max="8" width="17" bestFit="1" customWidth="1"/>
    <col min="9" max="9" width="26" bestFit="1" customWidth="1"/>
  </cols>
  <sheetData>
    <row r="1" spans="1:9" x14ac:dyDescent="0.35">
      <c r="A1" s="53" t="s">
        <v>14</v>
      </c>
      <c r="B1" s="53" t="s">
        <v>478</v>
      </c>
      <c r="C1" s="53" t="s">
        <v>479</v>
      </c>
      <c r="D1" s="53" t="s">
        <v>480</v>
      </c>
      <c r="E1" s="53" t="s">
        <v>483</v>
      </c>
      <c r="F1" s="53" t="s">
        <v>484</v>
      </c>
      <c r="G1" s="53" t="s">
        <v>487</v>
      </c>
      <c r="H1" s="54" t="s">
        <v>488</v>
      </c>
      <c r="I1" s="71"/>
    </row>
    <row r="2" spans="1:9" x14ac:dyDescent="0.35">
      <c r="A2" s="50">
        <v>45854</v>
      </c>
      <c r="B2" s="23">
        <v>19430</v>
      </c>
      <c r="C2" s="23">
        <v>0</v>
      </c>
      <c r="D2" s="23">
        <v>-1612920.6</v>
      </c>
      <c r="E2" s="22" t="s">
        <v>744</v>
      </c>
      <c r="F2" s="22" t="s">
        <v>507</v>
      </c>
      <c r="G2" s="22" t="s">
        <v>665</v>
      </c>
      <c r="H2" s="21" t="s">
        <v>974</v>
      </c>
      <c r="I2" s="24">
        <v>246779413705</v>
      </c>
    </row>
    <row r="3" spans="1:9" x14ac:dyDescent="0.35">
      <c r="A3" s="50">
        <v>45854</v>
      </c>
      <c r="B3" s="23">
        <v>18611</v>
      </c>
      <c r="C3" s="23">
        <v>0</v>
      </c>
      <c r="D3" s="23">
        <v>-1594309.6</v>
      </c>
      <c r="E3" s="22" t="s">
        <v>745</v>
      </c>
      <c r="F3" s="22" t="s">
        <v>608</v>
      </c>
      <c r="G3" s="22" t="s">
        <v>609</v>
      </c>
      <c r="H3" s="21" t="s">
        <v>974</v>
      </c>
      <c r="I3" s="24">
        <v>246779413816</v>
      </c>
    </row>
    <row r="4" spans="1:9" x14ac:dyDescent="0.35">
      <c r="A4" s="50">
        <v>45854</v>
      </c>
      <c r="B4" s="23">
        <v>31723</v>
      </c>
      <c r="C4" s="23">
        <v>0</v>
      </c>
      <c r="D4" s="23">
        <v>-1562586.6</v>
      </c>
      <c r="E4" s="22" t="s">
        <v>746</v>
      </c>
      <c r="F4" s="22" t="s">
        <v>608</v>
      </c>
      <c r="G4" s="22" t="s">
        <v>610</v>
      </c>
      <c r="H4" s="21" t="s">
        <v>974</v>
      </c>
      <c r="I4" s="24">
        <v>246779413827</v>
      </c>
    </row>
    <row r="5" spans="1:9" x14ac:dyDescent="0.35">
      <c r="A5" s="50">
        <v>45854</v>
      </c>
      <c r="B5" s="23">
        <v>17857</v>
      </c>
      <c r="C5" s="23">
        <v>0</v>
      </c>
      <c r="D5" s="23">
        <v>-1544729.6000000001</v>
      </c>
      <c r="E5" s="22" t="s">
        <v>747</v>
      </c>
      <c r="F5" s="22" t="s">
        <v>608</v>
      </c>
      <c r="G5" s="22" t="s">
        <v>638</v>
      </c>
      <c r="H5" s="21" t="s">
        <v>974</v>
      </c>
      <c r="I5" s="24">
        <v>246779411339</v>
      </c>
    </row>
    <row r="6" spans="1:9" x14ac:dyDescent="0.35">
      <c r="A6" s="50">
        <v>45854</v>
      </c>
      <c r="B6" s="23">
        <v>11798</v>
      </c>
      <c r="C6" s="23">
        <v>0</v>
      </c>
      <c r="D6" s="23">
        <v>-1532931.6</v>
      </c>
      <c r="E6" s="22" t="s">
        <v>748</v>
      </c>
      <c r="F6" s="22" t="s">
        <v>608</v>
      </c>
      <c r="G6" s="22" t="s">
        <v>716</v>
      </c>
      <c r="H6" s="21" t="s">
        <v>974</v>
      </c>
      <c r="I6" s="24">
        <v>256779413283</v>
      </c>
    </row>
    <row r="7" spans="1:9" x14ac:dyDescent="0.35">
      <c r="A7" s="50">
        <v>45854</v>
      </c>
      <c r="B7" s="23">
        <v>20874</v>
      </c>
      <c r="C7" s="23">
        <v>0</v>
      </c>
      <c r="D7" s="23">
        <v>-1512057.6</v>
      </c>
      <c r="E7" s="22" t="s">
        <v>749</v>
      </c>
      <c r="F7" s="22" t="s">
        <v>608</v>
      </c>
      <c r="G7" s="22" t="s">
        <v>607</v>
      </c>
      <c r="H7" s="21" t="s">
        <v>974</v>
      </c>
      <c r="I7" s="24">
        <v>246779411326</v>
      </c>
    </row>
    <row r="8" spans="1:9" x14ac:dyDescent="0.35">
      <c r="A8" s="50">
        <v>45854</v>
      </c>
      <c r="B8" s="23">
        <v>140649</v>
      </c>
      <c r="C8" s="23">
        <v>0</v>
      </c>
      <c r="D8" s="23">
        <v>-1371408.6</v>
      </c>
      <c r="E8" s="22" t="s">
        <v>750</v>
      </c>
      <c r="F8" s="22" t="s">
        <v>507</v>
      </c>
      <c r="G8" s="22" t="s">
        <v>679</v>
      </c>
      <c r="H8" s="21" t="s">
        <v>974</v>
      </c>
      <c r="I8" s="24">
        <v>256779410010</v>
      </c>
    </row>
    <row r="9" spans="1:9" x14ac:dyDescent="0.35">
      <c r="A9" s="50">
        <v>45854</v>
      </c>
      <c r="B9" s="23">
        <v>55272</v>
      </c>
      <c r="C9" s="23">
        <v>0</v>
      </c>
      <c r="D9" s="23">
        <v>-1316136.6000000001</v>
      </c>
      <c r="E9" s="22" t="s">
        <v>751</v>
      </c>
      <c r="F9" s="22" t="s">
        <v>507</v>
      </c>
      <c r="G9" s="22" t="s">
        <v>680</v>
      </c>
      <c r="H9" s="21" t="s">
        <v>974</v>
      </c>
      <c r="I9" s="24">
        <v>256779410004</v>
      </c>
    </row>
    <row r="10" spans="1:9" x14ac:dyDescent="0.35">
      <c r="A10" s="50">
        <v>45854</v>
      </c>
      <c r="B10" s="23">
        <v>4786</v>
      </c>
      <c r="C10" s="23">
        <v>0</v>
      </c>
      <c r="D10" s="23">
        <v>-1311350.6000000001</v>
      </c>
      <c r="E10" s="22" t="s">
        <v>752</v>
      </c>
      <c r="F10" s="22" t="s">
        <v>507</v>
      </c>
      <c r="G10" s="22" t="s">
        <v>752</v>
      </c>
      <c r="H10" s="21" t="s">
        <v>974</v>
      </c>
      <c r="I10" s="24">
        <v>256779421381</v>
      </c>
    </row>
    <row r="11" spans="1:9" x14ac:dyDescent="0.35">
      <c r="A11" s="50">
        <v>45854</v>
      </c>
      <c r="B11" s="23">
        <v>11955</v>
      </c>
      <c r="C11" s="23">
        <v>0</v>
      </c>
      <c r="D11" s="23">
        <v>-1299395.6000000001</v>
      </c>
      <c r="E11" s="22" t="s">
        <v>753</v>
      </c>
      <c r="F11" s="22" t="s">
        <v>664</v>
      </c>
      <c r="G11" s="22" t="s">
        <v>663</v>
      </c>
      <c r="H11" s="21" t="s">
        <v>974</v>
      </c>
      <c r="I11" s="24">
        <v>246779413845</v>
      </c>
    </row>
    <row r="12" spans="1:9" x14ac:dyDescent="0.35">
      <c r="A12" s="50">
        <v>45854</v>
      </c>
      <c r="B12" s="23">
        <v>12467</v>
      </c>
      <c r="C12" s="23">
        <v>0</v>
      </c>
      <c r="D12" s="23">
        <v>-1450559.6</v>
      </c>
      <c r="E12" s="22" t="s">
        <v>755</v>
      </c>
      <c r="F12" s="22" t="s">
        <v>507</v>
      </c>
      <c r="G12" s="22" t="s">
        <v>755</v>
      </c>
      <c r="H12" s="21" t="s">
        <v>974</v>
      </c>
      <c r="I12" s="24">
        <v>256779421383</v>
      </c>
    </row>
    <row r="13" spans="1:9" x14ac:dyDescent="0.35">
      <c r="A13" s="50">
        <v>45854</v>
      </c>
      <c r="B13" s="23">
        <v>6084</v>
      </c>
      <c r="C13" s="23">
        <v>0</v>
      </c>
      <c r="D13" s="23">
        <v>-1444475.6</v>
      </c>
      <c r="E13" s="22" t="s">
        <v>756</v>
      </c>
      <c r="F13" s="22" t="s">
        <v>697</v>
      </c>
      <c r="G13" s="22" t="s">
        <v>756</v>
      </c>
      <c r="H13" s="21" t="s">
        <v>974</v>
      </c>
      <c r="I13" s="24">
        <v>256779421376</v>
      </c>
    </row>
    <row r="14" spans="1:9" x14ac:dyDescent="0.35">
      <c r="A14" s="50">
        <v>45854</v>
      </c>
      <c r="B14" s="23">
        <v>12169</v>
      </c>
      <c r="C14" s="23">
        <v>0</v>
      </c>
      <c r="D14" s="23">
        <v>-1432306.6</v>
      </c>
      <c r="E14" s="22" t="s">
        <v>757</v>
      </c>
      <c r="F14" s="22" t="s">
        <v>697</v>
      </c>
      <c r="G14" s="22" t="s">
        <v>757</v>
      </c>
      <c r="H14" s="21" t="s">
        <v>974</v>
      </c>
      <c r="I14" s="24">
        <v>256779421370</v>
      </c>
    </row>
    <row r="15" spans="1:9" x14ac:dyDescent="0.35">
      <c r="A15" s="50">
        <v>45854</v>
      </c>
      <c r="B15" s="23">
        <v>114223</v>
      </c>
      <c r="C15" s="23">
        <v>0</v>
      </c>
      <c r="D15" s="23">
        <v>-1318083.6000000001</v>
      </c>
      <c r="E15" s="22" t="s">
        <v>758</v>
      </c>
      <c r="F15" s="22" t="s">
        <v>507</v>
      </c>
      <c r="G15" s="22" t="s">
        <v>758</v>
      </c>
      <c r="H15" s="21" t="s">
        <v>974</v>
      </c>
      <c r="I15" s="24">
        <v>256779421367</v>
      </c>
    </row>
    <row r="16" spans="1:9" x14ac:dyDescent="0.35">
      <c r="A16" s="50">
        <v>45854</v>
      </c>
      <c r="B16" s="23">
        <v>31577</v>
      </c>
      <c r="C16" s="23">
        <v>0</v>
      </c>
      <c r="D16" s="23">
        <v>-1318083.6000000001</v>
      </c>
      <c r="E16" s="22" t="s">
        <v>760</v>
      </c>
      <c r="F16" s="22" t="s">
        <v>507</v>
      </c>
      <c r="G16" s="22" t="s">
        <v>760</v>
      </c>
      <c r="H16" s="21" t="s">
        <v>974</v>
      </c>
      <c r="I16" s="24">
        <v>256779421361</v>
      </c>
    </row>
    <row r="17" spans="1:9" x14ac:dyDescent="0.35">
      <c r="A17" s="50">
        <v>45854</v>
      </c>
      <c r="B17" s="23">
        <v>17313</v>
      </c>
      <c r="C17" s="23">
        <v>330</v>
      </c>
      <c r="D17" s="23">
        <v>-1301100.6000000001</v>
      </c>
      <c r="E17" s="22" t="s">
        <v>761</v>
      </c>
      <c r="F17" s="22" t="s">
        <v>697</v>
      </c>
      <c r="G17" s="22" t="s">
        <v>762</v>
      </c>
      <c r="H17" s="21" t="s">
        <v>974</v>
      </c>
      <c r="I17" s="24">
        <v>256779421379</v>
      </c>
    </row>
    <row r="18" spans="1:9" x14ac:dyDescent="0.35">
      <c r="A18" s="50">
        <v>45854</v>
      </c>
      <c r="B18" s="23">
        <v>8696</v>
      </c>
      <c r="C18" s="23">
        <v>173</v>
      </c>
      <c r="D18" s="23">
        <v>-1292577.6000000001</v>
      </c>
      <c r="E18" s="22" t="s">
        <v>763</v>
      </c>
      <c r="F18" s="22" t="s">
        <v>608</v>
      </c>
      <c r="G18" s="22" t="s">
        <v>764</v>
      </c>
      <c r="H18" s="21" t="s">
        <v>974</v>
      </c>
      <c r="I18" s="24">
        <v>256779421373</v>
      </c>
    </row>
    <row r="19" spans="1:9" x14ac:dyDescent="0.35">
      <c r="A19" s="50">
        <v>45869</v>
      </c>
      <c r="B19" s="23">
        <v>33376</v>
      </c>
      <c r="C19" s="23">
        <v>0</v>
      </c>
      <c r="D19" s="23">
        <v>-259448.5999999996</v>
      </c>
      <c r="E19" s="22" t="s">
        <v>771</v>
      </c>
      <c r="F19" s="22" t="s">
        <v>608</v>
      </c>
      <c r="G19" s="22" t="s">
        <v>646</v>
      </c>
      <c r="H19" s="21" t="s">
        <v>974</v>
      </c>
      <c r="I19" s="24">
        <v>246779411300</v>
      </c>
    </row>
    <row r="20" spans="1:9" x14ac:dyDescent="0.35">
      <c r="A20" s="50">
        <v>45869</v>
      </c>
      <c r="B20" s="23">
        <v>15778</v>
      </c>
      <c r="C20" s="23">
        <v>0</v>
      </c>
      <c r="D20" s="23">
        <v>-243670.5999999996</v>
      </c>
      <c r="E20" s="22" t="s">
        <v>772</v>
      </c>
      <c r="F20" s="22" t="s">
        <v>507</v>
      </c>
      <c r="G20" s="22" t="s">
        <v>772</v>
      </c>
      <c r="H20" s="21" t="s">
        <v>974</v>
      </c>
      <c r="I20" s="24" t="s">
        <v>773</v>
      </c>
    </row>
    <row r="21" spans="1:9" x14ac:dyDescent="0.35">
      <c r="A21" s="50">
        <v>45869</v>
      </c>
      <c r="B21" s="23">
        <v>36410</v>
      </c>
      <c r="C21" s="23">
        <v>0</v>
      </c>
      <c r="D21" s="23">
        <v>-251862.5999999996</v>
      </c>
      <c r="E21" s="22" t="s">
        <v>775</v>
      </c>
      <c r="F21" s="22" t="s">
        <v>608</v>
      </c>
      <c r="G21" s="22" t="s">
        <v>775</v>
      </c>
      <c r="H21" s="21" t="s">
        <v>974</v>
      </c>
      <c r="I21" s="24" t="s">
        <v>776</v>
      </c>
    </row>
    <row r="22" spans="1:9" x14ac:dyDescent="0.35">
      <c r="A22" s="50">
        <v>45869</v>
      </c>
      <c r="B22" s="23">
        <v>15401</v>
      </c>
      <c r="C22" s="23">
        <v>0</v>
      </c>
      <c r="D22" s="23">
        <v>-236461.5999999996</v>
      </c>
      <c r="E22" s="22" t="s">
        <v>777</v>
      </c>
      <c r="F22" s="22" t="s">
        <v>491</v>
      </c>
      <c r="G22" s="22" t="s">
        <v>777</v>
      </c>
      <c r="H22" s="21" t="s">
        <v>974</v>
      </c>
      <c r="I22" s="24" t="s">
        <v>778</v>
      </c>
    </row>
  </sheetData>
  <conditionalFormatting sqref="I2:I22 H1:I1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1B00-74AB-43BA-A4B9-8AFCD4858E04}">
  <dimension ref="A1:S390"/>
  <sheetViews>
    <sheetView workbookViewId="0">
      <selection activeCell="B110" sqref="B110"/>
    </sheetView>
  </sheetViews>
  <sheetFormatPr defaultRowHeight="14.5" x14ac:dyDescent="0.35"/>
  <cols>
    <col min="1" max="1" width="13.7265625" bestFit="1" customWidth="1"/>
    <col min="2" max="2" width="12.26953125" bestFit="1" customWidth="1"/>
    <col min="3" max="3" width="12.81640625" bestFit="1" customWidth="1"/>
    <col min="4" max="4" width="14.1796875" bestFit="1" customWidth="1"/>
    <col min="5" max="5" width="19.1796875" bestFit="1" customWidth="1"/>
    <col min="6" max="6" width="43" customWidth="1"/>
    <col min="7" max="7" width="19.90625" customWidth="1"/>
    <col min="8" max="8" width="19.26953125" bestFit="1" customWidth="1"/>
    <col min="9" max="9" width="26" bestFit="1" customWidth="1"/>
    <col min="10" max="10" width="12.90625" customWidth="1"/>
    <col min="12" max="12" width="12.36328125" bestFit="1" customWidth="1"/>
    <col min="13" max="13" width="16.36328125" bestFit="1" customWidth="1"/>
    <col min="14" max="14" width="17" bestFit="1" customWidth="1"/>
    <col min="16" max="16" width="16.453125" style="40" bestFit="1" customWidth="1"/>
    <col min="17" max="17" width="12.1796875" style="47" bestFit="1" customWidth="1"/>
    <col min="18" max="18" width="13.7265625" style="47" bestFit="1" customWidth="1"/>
  </cols>
  <sheetData>
    <row r="1" spans="1: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</row>
    <row r="2" spans="1:18" x14ac:dyDescent="0.35">
      <c r="A2" s="53" t="s">
        <v>14</v>
      </c>
      <c r="B2" s="53" t="s">
        <v>478</v>
      </c>
      <c r="C2" s="53" t="s">
        <v>479</v>
      </c>
      <c r="D2" s="53" t="s">
        <v>480</v>
      </c>
      <c r="E2" s="53" t="s">
        <v>483</v>
      </c>
      <c r="F2" s="53" t="s">
        <v>484</v>
      </c>
      <c r="G2" s="53" t="s">
        <v>487</v>
      </c>
      <c r="H2" s="54" t="s">
        <v>488</v>
      </c>
      <c r="I2" s="71"/>
      <c r="J2" s="71"/>
      <c r="L2" s="55" t="s">
        <v>969</v>
      </c>
      <c r="M2" t="s">
        <v>15</v>
      </c>
      <c r="N2" t="s">
        <v>16</v>
      </c>
      <c r="P2" s="40" t="s">
        <v>969</v>
      </c>
      <c r="Q2" s="47" t="s">
        <v>15</v>
      </c>
      <c r="R2" s="47" t="s">
        <v>16</v>
      </c>
    </row>
    <row r="3" spans="1:18" x14ac:dyDescent="0.35">
      <c r="A3" s="50">
        <v>45708</v>
      </c>
      <c r="B3" s="23">
        <v>0</v>
      </c>
      <c r="C3" s="23">
        <v>35554.519999999997</v>
      </c>
      <c r="D3" s="23">
        <v>-35554.519999999997</v>
      </c>
      <c r="E3" s="22" t="s">
        <v>490</v>
      </c>
      <c r="F3" s="22" t="s">
        <v>491</v>
      </c>
      <c r="G3" s="22" t="s">
        <v>490</v>
      </c>
      <c r="H3" s="74">
        <v>246779410049</v>
      </c>
      <c r="I3" s="72"/>
      <c r="J3" s="72"/>
      <c r="L3" s="56">
        <v>25677941807</v>
      </c>
      <c r="M3" s="49">
        <v>0</v>
      </c>
      <c r="N3" s="49">
        <v>1972</v>
      </c>
      <c r="P3" s="40">
        <v>25677941807</v>
      </c>
      <c r="Q3" s="47">
        <v>0</v>
      </c>
      <c r="R3" s="47">
        <v>1972</v>
      </c>
    </row>
    <row r="4" spans="1:18" x14ac:dyDescent="0.35">
      <c r="A4" s="50">
        <v>45708</v>
      </c>
      <c r="B4" s="23">
        <v>0</v>
      </c>
      <c r="C4" s="23">
        <v>35554.519999999997</v>
      </c>
      <c r="D4" s="23">
        <v>-71109.039999999994</v>
      </c>
      <c r="E4" s="22" t="s">
        <v>494</v>
      </c>
      <c r="F4" s="22" t="s">
        <v>491</v>
      </c>
      <c r="G4" s="22" t="s">
        <v>494</v>
      </c>
      <c r="H4" s="24">
        <v>246779410303</v>
      </c>
      <c r="I4" s="72"/>
      <c r="J4" s="72"/>
      <c r="L4" s="56">
        <v>246779410049</v>
      </c>
      <c r="M4" s="49">
        <v>0</v>
      </c>
      <c r="N4" s="49">
        <v>35554.519999999997</v>
      </c>
      <c r="P4" s="40">
        <v>246779410049</v>
      </c>
      <c r="Q4" s="47">
        <v>0</v>
      </c>
      <c r="R4" s="47">
        <v>35554.519999999997</v>
      </c>
    </row>
    <row r="5" spans="1:18" x14ac:dyDescent="0.35">
      <c r="A5" s="50">
        <v>45708</v>
      </c>
      <c r="B5" s="23">
        <v>0</v>
      </c>
      <c r="C5" s="23">
        <v>35554.519999999997</v>
      </c>
      <c r="D5" s="23">
        <v>-106663.56</v>
      </c>
      <c r="E5" s="22" t="s">
        <v>495</v>
      </c>
      <c r="F5" s="22" t="s">
        <v>491</v>
      </c>
      <c r="G5" s="22" t="s">
        <v>495</v>
      </c>
      <c r="H5" s="24">
        <v>246779410117</v>
      </c>
      <c r="I5" s="72"/>
      <c r="J5" s="72"/>
      <c r="L5" s="56">
        <v>246779410072</v>
      </c>
      <c r="M5" s="49">
        <v>0</v>
      </c>
      <c r="N5" s="49">
        <v>35477</v>
      </c>
      <c r="P5" s="40">
        <v>246779410072</v>
      </c>
      <c r="Q5" s="47">
        <v>0</v>
      </c>
      <c r="R5" s="47">
        <v>35477</v>
      </c>
    </row>
    <row r="6" spans="1:18" x14ac:dyDescent="0.35">
      <c r="A6" s="50">
        <v>45708</v>
      </c>
      <c r="B6" s="23">
        <v>0</v>
      </c>
      <c r="C6" s="23">
        <v>35554.519999999997</v>
      </c>
      <c r="D6" s="23">
        <v>-142218.07999999999</v>
      </c>
      <c r="E6" s="22" t="s">
        <v>496</v>
      </c>
      <c r="F6" s="22" t="s">
        <v>491</v>
      </c>
      <c r="G6" s="22" t="s">
        <v>496</v>
      </c>
      <c r="H6" s="24">
        <v>246779410160</v>
      </c>
      <c r="I6" s="72"/>
      <c r="J6" s="72"/>
      <c r="L6" s="56">
        <v>246779410117</v>
      </c>
      <c r="M6" s="49">
        <v>0</v>
      </c>
      <c r="N6" s="49">
        <v>35554.519999999997</v>
      </c>
      <c r="P6" s="40">
        <v>246779410117</v>
      </c>
      <c r="Q6" s="47">
        <v>0</v>
      </c>
      <c r="R6" s="47">
        <v>35554.519999999997</v>
      </c>
    </row>
    <row r="7" spans="1:18" x14ac:dyDescent="0.35">
      <c r="A7" s="50">
        <v>45708</v>
      </c>
      <c r="B7" s="23">
        <v>0</v>
      </c>
      <c r="C7" s="23">
        <v>35554.519999999997</v>
      </c>
      <c r="D7" s="23">
        <v>-177772.6</v>
      </c>
      <c r="E7" s="22" t="s">
        <v>497</v>
      </c>
      <c r="F7" s="22" t="s">
        <v>491</v>
      </c>
      <c r="G7" s="22" t="s">
        <v>497</v>
      </c>
      <c r="H7" s="24">
        <v>246779410203</v>
      </c>
      <c r="I7" s="72"/>
      <c r="J7" s="72"/>
      <c r="L7" s="56">
        <v>246779410160</v>
      </c>
      <c r="M7" s="49">
        <v>0</v>
      </c>
      <c r="N7" s="49">
        <v>35554.519999999997</v>
      </c>
      <c r="P7" s="40">
        <v>246779410160</v>
      </c>
      <c r="Q7" s="47">
        <v>0</v>
      </c>
      <c r="R7" s="47">
        <v>35554.519999999997</v>
      </c>
    </row>
    <row r="8" spans="1:18" x14ac:dyDescent="0.35">
      <c r="A8" s="50">
        <v>45708</v>
      </c>
      <c r="B8" s="23">
        <v>0</v>
      </c>
      <c r="C8" s="23">
        <v>35554.519999999997</v>
      </c>
      <c r="D8" s="23">
        <v>-213327.12</v>
      </c>
      <c r="E8" s="22" t="s">
        <v>498</v>
      </c>
      <c r="F8" s="22" t="s">
        <v>491</v>
      </c>
      <c r="G8" s="22" t="s">
        <v>498</v>
      </c>
      <c r="H8" s="24">
        <v>246779410246</v>
      </c>
      <c r="I8" s="72"/>
      <c r="J8" s="72"/>
      <c r="L8" s="56">
        <v>246779410203</v>
      </c>
      <c r="M8" s="49">
        <v>0</v>
      </c>
      <c r="N8" s="49">
        <v>35554.519999999997</v>
      </c>
      <c r="P8" s="40">
        <v>246779410203</v>
      </c>
      <c r="Q8" s="47">
        <v>0</v>
      </c>
      <c r="R8" s="47">
        <v>35554.519999999997</v>
      </c>
    </row>
    <row r="9" spans="1:18" x14ac:dyDescent="0.35">
      <c r="A9" s="50">
        <v>45719</v>
      </c>
      <c r="B9" s="23">
        <v>0</v>
      </c>
      <c r="C9" s="23">
        <v>804</v>
      </c>
      <c r="D9" s="23">
        <v>-214131.12</v>
      </c>
      <c r="E9" s="22" t="s">
        <v>499</v>
      </c>
      <c r="F9" s="22" t="s">
        <v>500</v>
      </c>
      <c r="G9" s="22" t="s">
        <v>499</v>
      </c>
      <c r="H9" s="24">
        <v>246779410613</v>
      </c>
      <c r="I9" s="72"/>
      <c r="J9" s="72"/>
      <c r="L9" s="56">
        <v>246779410246</v>
      </c>
      <c r="M9" s="49">
        <v>0</v>
      </c>
      <c r="N9" s="49">
        <v>35554.519999999997</v>
      </c>
      <c r="P9" s="40">
        <v>246779410246</v>
      </c>
      <c r="Q9" s="47">
        <v>0</v>
      </c>
      <c r="R9" s="47">
        <v>35554.519999999997</v>
      </c>
    </row>
    <row r="10" spans="1:18" x14ac:dyDescent="0.35">
      <c r="A10" s="50">
        <v>45719</v>
      </c>
      <c r="B10" s="23">
        <v>0</v>
      </c>
      <c r="C10" s="23">
        <v>1004</v>
      </c>
      <c r="D10" s="23">
        <v>-215135.12</v>
      </c>
      <c r="E10" s="22" t="s">
        <v>501</v>
      </c>
      <c r="F10" s="22" t="s">
        <v>500</v>
      </c>
      <c r="G10" s="22" t="s">
        <v>501</v>
      </c>
      <c r="H10" s="24">
        <v>246779410612</v>
      </c>
      <c r="I10" s="72"/>
      <c r="J10" s="72"/>
      <c r="L10" s="56">
        <v>246779410303</v>
      </c>
      <c r="M10" s="49">
        <v>0</v>
      </c>
      <c r="N10" s="49">
        <v>35554.519999999997</v>
      </c>
      <c r="P10" s="40">
        <v>246779410303</v>
      </c>
      <c r="Q10" s="47">
        <v>0</v>
      </c>
      <c r="R10" s="47">
        <v>35554.519999999997</v>
      </c>
    </row>
    <row r="11" spans="1:18" x14ac:dyDescent="0.35">
      <c r="A11" s="50">
        <v>45719</v>
      </c>
      <c r="B11" s="23">
        <v>0</v>
      </c>
      <c r="C11" s="23">
        <v>402</v>
      </c>
      <c r="D11" s="23">
        <v>-215537.12</v>
      </c>
      <c r="E11" s="22" t="s">
        <v>502</v>
      </c>
      <c r="F11" s="22" t="s">
        <v>500</v>
      </c>
      <c r="G11" s="22" t="s">
        <v>502</v>
      </c>
      <c r="H11" s="24">
        <v>246779410611</v>
      </c>
      <c r="I11" s="72"/>
      <c r="J11" s="72"/>
      <c r="L11" s="56">
        <v>246779410327</v>
      </c>
      <c r="M11" s="49">
        <v>0</v>
      </c>
      <c r="N11" s="49">
        <v>16480.710999999999</v>
      </c>
      <c r="P11" s="40">
        <v>246779410327</v>
      </c>
      <c r="Q11" s="47">
        <v>0</v>
      </c>
      <c r="R11" s="47">
        <v>16480.710999999999</v>
      </c>
    </row>
    <row r="12" spans="1:18" x14ac:dyDescent="0.35">
      <c r="A12" s="50">
        <v>45719</v>
      </c>
      <c r="B12" s="23">
        <v>0</v>
      </c>
      <c r="C12" s="23">
        <v>201</v>
      </c>
      <c r="D12" s="23">
        <v>-215738.12</v>
      </c>
      <c r="E12" s="22" t="s">
        <v>503</v>
      </c>
      <c r="F12" s="22" t="s">
        <v>500</v>
      </c>
      <c r="G12" s="22" t="s">
        <v>503</v>
      </c>
      <c r="H12" s="24">
        <v>246779410610</v>
      </c>
      <c r="I12" s="72"/>
      <c r="J12" s="72"/>
      <c r="L12" s="56">
        <v>246779410333</v>
      </c>
      <c r="M12" s="49">
        <v>0</v>
      </c>
      <c r="N12" s="49">
        <v>29975.441999999999</v>
      </c>
      <c r="P12" s="40">
        <v>246779410333</v>
      </c>
      <c r="Q12" s="47">
        <v>0</v>
      </c>
      <c r="R12" s="47">
        <v>29975.441999999999</v>
      </c>
    </row>
    <row r="13" spans="1:18" x14ac:dyDescent="0.35">
      <c r="A13" s="50">
        <v>45719</v>
      </c>
      <c r="B13" s="23">
        <v>0</v>
      </c>
      <c r="C13" s="23">
        <v>804</v>
      </c>
      <c r="D13" s="23">
        <v>-216542.12</v>
      </c>
      <c r="E13" s="22" t="s">
        <v>504</v>
      </c>
      <c r="F13" s="22" t="s">
        <v>500</v>
      </c>
      <c r="G13" s="22" t="s">
        <v>504</v>
      </c>
      <c r="H13" s="24">
        <v>246779410608</v>
      </c>
      <c r="I13" s="72"/>
      <c r="J13" s="72"/>
      <c r="L13" s="56">
        <v>246779410338</v>
      </c>
      <c r="M13" s="49">
        <v>0</v>
      </c>
      <c r="N13" s="49">
        <v>13859.78</v>
      </c>
      <c r="P13" s="40">
        <v>246779410338</v>
      </c>
      <c r="Q13" s="47">
        <v>0</v>
      </c>
      <c r="R13" s="47">
        <v>13859.78</v>
      </c>
    </row>
    <row r="14" spans="1:18" x14ac:dyDescent="0.35">
      <c r="A14" s="50">
        <v>45719</v>
      </c>
      <c r="B14" s="23">
        <v>0</v>
      </c>
      <c r="C14" s="23">
        <v>402</v>
      </c>
      <c r="D14" s="23">
        <v>-216944.12</v>
      </c>
      <c r="E14" s="22" t="s">
        <v>505</v>
      </c>
      <c r="F14" s="22" t="s">
        <v>500</v>
      </c>
      <c r="G14" s="22" t="s">
        <v>505</v>
      </c>
      <c r="H14" s="24">
        <v>246779410607</v>
      </c>
      <c r="I14" s="72"/>
      <c r="J14" s="72"/>
      <c r="L14" s="56">
        <v>246779410339</v>
      </c>
      <c r="M14" s="49">
        <v>0</v>
      </c>
      <c r="N14" s="49">
        <v>44681.824999999997</v>
      </c>
      <c r="P14" s="40">
        <v>246779410339</v>
      </c>
      <c r="Q14" s="47">
        <v>0</v>
      </c>
      <c r="R14" s="47">
        <v>44681.824999999997</v>
      </c>
    </row>
    <row r="15" spans="1:18" x14ac:dyDescent="0.35">
      <c r="A15" s="50">
        <v>45719</v>
      </c>
      <c r="B15" s="23">
        <v>0</v>
      </c>
      <c r="C15" s="23">
        <v>580687</v>
      </c>
      <c r="D15" s="23">
        <v>-797631.12</v>
      </c>
      <c r="E15" s="22" t="s">
        <v>506</v>
      </c>
      <c r="F15" s="22" t="s">
        <v>507</v>
      </c>
      <c r="G15" s="22" t="s">
        <v>506</v>
      </c>
      <c r="H15" s="24">
        <v>246779410404</v>
      </c>
      <c r="I15" s="72"/>
      <c r="J15" s="72"/>
      <c r="L15" s="56">
        <v>246779410340</v>
      </c>
      <c r="M15" s="49">
        <v>0</v>
      </c>
      <c r="N15" s="49">
        <v>144772.565</v>
      </c>
      <c r="P15" s="40">
        <v>246779410340</v>
      </c>
      <c r="Q15" s="47">
        <v>0</v>
      </c>
      <c r="R15" s="47">
        <v>144772.565</v>
      </c>
    </row>
    <row r="16" spans="1:18" x14ac:dyDescent="0.35">
      <c r="A16" s="50">
        <v>45719</v>
      </c>
      <c r="B16" s="23">
        <v>0</v>
      </c>
      <c r="C16" s="23">
        <v>340227</v>
      </c>
      <c r="D16" s="23">
        <v>-1137858.1200000001</v>
      </c>
      <c r="E16" s="22" t="s">
        <v>508</v>
      </c>
      <c r="F16" s="22" t="s">
        <v>507</v>
      </c>
      <c r="G16" s="22" t="s">
        <v>508</v>
      </c>
      <c r="H16" s="24">
        <v>246779410428</v>
      </c>
      <c r="I16" s="72"/>
      <c r="J16" s="72"/>
      <c r="L16" s="56">
        <v>246779410348</v>
      </c>
      <c r="M16" s="49">
        <v>0</v>
      </c>
      <c r="N16" s="49">
        <v>151725</v>
      </c>
      <c r="P16" s="40">
        <v>246779410348</v>
      </c>
      <c r="Q16" s="47">
        <v>0</v>
      </c>
      <c r="R16" s="47">
        <v>151725</v>
      </c>
    </row>
    <row r="17" spans="1:18" x14ac:dyDescent="0.35">
      <c r="A17" s="50">
        <v>45719</v>
      </c>
      <c r="B17" s="23">
        <v>0</v>
      </c>
      <c r="C17" s="23">
        <v>460370</v>
      </c>
      <c r="D17" s="23">
        <v>-1598228.12</v>
      </c>
      <c r="E17" s="22" t="s">
        <v>509</v>
      </c>
      <c r="F17" s="22" t="s">
        <v>507</v>
      </c>
      <c r="G17" s="22" t="s">
        <v>509</v>
      </c>
      <c r="H17" s="24">
        <v>246779410379</v>
      </c>
      <c r="I17" s="72"/>
      <c r="J17" s="72"/>
      <c r="L17" s="56">
        <v>246779410352</v>
      </c>
      <c r="M17" s="49">
        <v>0</v>
      </c>
      <c r="N17" s="49">
        <v>102103.25599999999</v>
      </c>
      <c r="P17" s="40">
        <v>246779410352</v>
      </c>
      <c r="Q17" s="47">
        <v>0</v>
      </c>
      <c r="R17" s="47">
        <v>102103.25599999999</v>
      </c>
    </row>
    <row r="18" spans="1:18" x14ac:dyDescent="0.35">
      <c r="A18" s="50">
        <v>45719</v>
      </c>
      <c r="B18" s="23">
        <v>0</v>
      </c>
      <c r="C18" s="23">
        <v>2009</v>
      </c>
      <c r="D18" s="23">
        <v>-1600237.12</v>
      </c>
      <c r="E18" s="22" t="s">
        <v>510</v>
      </c>
      <c r="F18" s="22" t="s">
        <v>500</v>
      </c>
      <c r="G18" s="22" t="s">
        <v>510</v>
      </c>
      <c r="H18" s="24">
        <v>246779410605</v>
      </c>
      <c r="I18" s="72"/>
      <c r="J18" s="72"/>
      <c r="L18" s="56">
        <v>246779410360</v>
      </c>
      <c r="M18" s="49">
        <v>0</v>
      </c>
      <c r="N18" s="49">
        <v>59624</v>
      </c>
      <c r="P18" s="40">
        <v>246779410360</v>
      </c>
      <c r="Q18" s="47">
        <v>0</v>
      </c>
      <c r="R18" s="47">
        <v>59624</v>
      </c>
    </row>
    <row r="19" spans="1:18" x14ac:dyDescent="0.35">
      <c r="A19" s="50">
        <v>45719</v>
      </c>
      <c r="B19" s="23">
        <v>0</v>
      </c>
      <c r="C19" s="23">
        <v>402</v>
      </c>
      <c r="D19" s="23">
        <v>-1600639.12</v>
      </c>
      <c r="E19" s="22" t="s">
        <v>511</v>
      </c>
      <c r="F19" s="22" t="s">
        <v>500</v>
      </c>
      <c r="G19" s="22" t="s">
        <v>511</v>
      </c>
      <c r="H19" s="24">
        <v>246779410606</v>
      </c>
      <c r="I19" s="72"/>
      <c r="J19" s="72"/>
      <c r="L19" s="56">
        <v>246779410379</v>
      </c>
      <c r="M19" s="49">
        <v>0</v>
      </c>
      <c r="N19" s="49">
        <v>460370</v>
      </c>
      <c r="P19" s="40">
        <v>246779410379</v>
      </c>
      <c r="Q19" s="47">
        <v>0</v>
      </c>
      <c r="R19" s="47">
        <v>460370</v>
      </c>
    </row>
    <row r="20" spans="1:18" x14ac:dyDescent="0.35">
      <c r="A20" s="50">
        <v>45719</v>
      </c>
      <c r="B20" s="23">
        <v>0</v>
      </c>
      <c r="C20" s="23">
        <v>2009</v>
      </c>
      <c r="D20" s="23">
        <v>-1602648.12</v>
      </c>
      <c r="E20" s="22" t="s">
        <v>512</v>
      </c>
      <c r="F20" s="22" t="s">
        <v>500</v>
      </c>
      <c r="G20" s="22" t="s">
        <v>512</v>
      </c>
      <c r="H20" s="24">
        <v>246779410495</v>
      </c>
      <c r="I20" s="72"/>
      <c r="J20" s="72"/>
      <c r="L20" s="56">
        <v>246779410404</v>
      </c>
      <c r="M20" s="49">
        <v>0</v>
      </c>
      <c r="N20" s="49">
        <v>580687</v>
      </c>
      <c r="P20" s="40">
        <v>246779410404</v>
      </c>
      <c r="Q20" s="47">
        <v>0</v>
      </c>
      <c r="R20" s="47">
        <v>580687</v>
      </c>
    </row>
    <row r="21" spans="1:18" x14ac:dyDescent="0.35">
      <c r="A21" s="50">
        <v>45719</v>
      </c>
      <c r="B21" s="23">
        <v>0</v>
      </c>
      <c r="C21" s="23">
        <v>201</v>
      </c>
      <c r="D21" s="23">
        <v>-1602849.12</v>
      </c>
      <c r="E21" s="22" t="s">
        <v>513</v>
      </c>
      <c r="F21" s="22" t="s">
        <v>500</v>
      </c>
      <c r="G21" s="22" t="s">
        <v>513</v>
      </c>
      <c r="H21" s="24">
        <v>246779410494</v>
      </c>
      <c r="I21" s="72"/>
      <c r="J21" s="72"/>
      <c r="L21" s="56">
        <v>246779410428</v>
      </c>
      <c r="M21" s="49">
        <v>0</v>
      </c>
      <c r="N21" s="49">
        <v>340227</v>
      </c>
      <c r="P21" s="40">
        <v>246779410428</v>
      </c>
      <c r="Q21" s="47">
        <v>0</v>
      </c>
      <c r="R21" s="47">
        <v>340227</v>
      </c>
    </row>
    <row r="22" spans="1:18" x14ac:dyDescent="0.35">
      <c r="A22" s="50">
        <v>45719</v>
      </c>
      <c r="B22" s="23">
        <v>0</v>
      </c>
      <c r="C22" s="23">
        <v>201</v>
      </c>
      <c r="D22" s="23">
        <v>-1603050.12</v>
      </c>
      <c r="E22" s="22" t="s">
        <v>514</v>
      </c>
      <c r="F22" s="22" t="s">
        <v>500</v>
      </c>
      <c r="G22" s="22" t="s">
        <v>514</v>
      </c>
      <c r="H22" s="24">
        <v>246779410496</v>
      </c>
      <c r="I22" s="72"/>
      <c r="J22" s="72"/>
      <c r="L22" s="56">
        <v>246779410494</v>
      </c>
      <c r="M22" s="49">
        <v>0</v>
      </c>
      <c r="N22" s="49">
        <v>201</v>
      </c>
      <c r="P22" s="40">
        <v>246779410494</v>
      </c>
      <c r="Q22" s="47">
        <v>0</v>
      </c>
      <c r="R22" s="47">
        <v>201</v>
      </c>
    </row>
    <row r="23" spans="1:18" x14ac:dyDescent="0.35">
      <c r="A23" s="50">
        <v>45719</v>
      </c>
      <c r="B23" s="23">
        <v>0</v>
      </c>
      <c r="C23" s="23">
        <v>201</v>
      </c>
      <c r="D23" s="23">
        <v>-1603251.12</v>
      </c>
      <c r="E23" s="22" t="s">
        <v>515</v>
      </c>
      <c r="F23" s="22" t="s">
        <v>500</v>
      </c>
      <c r="G23" s="22" t="s">
        <v>515</v>
      </c>
      <c r="H23" s="24">
        <v>246779410497</v>
      </c>
      <c r="I23" s="72"/>
      <c r="J23" s="72"/>
      <c r="L23" s="56">
        <v>246779410495</v>
      </c>
      <c r="M23" s="49">
        <v>0</v>
      </c>
      <c r="N23" s="49">
        <v>2009</v>
      </c>
      <c r="P23" s="40">
        <v>246779410495</v>
      </c>
      <c r="Q23" s="47">
        <v>0</v>
      </c>
      <c r="R23" s="47">
        <v>2009</v>
      </c>
    </row>
    <row r="24" spans="1:18" x14ac:dyDescent="0.35">
      <c r="A24" s="50">
        <v>45719</v>
      </c>
      <c r="B24" s="23">
        <v>0</v>
      </c>
      <c r="C24" s="23">
        <v>804</v>
      </c>
      <c r="D24" s="23">
        <v>-1604055.12</v>
      </c>
      <c r="E24" s="22" t="s">
        <v>516</v>
      </c>
      <c r="F24" s="22" t="s">
        <v>500</v>
      </c>
      <c r="G24" s="22" t="s">
        <v>516</v>
      </c>
      <c r="H24" s="24">
        <v>246779410499</v>
      </c>
      <c r="I24" s="72"/>
      <c r="J24" s="72"/>
      <c r="L24" s="56">
        <v>246779410496</v>
      </c>
      <c r="M24" s="49">
        <v>0</v>
      </c>
      <c r="N24" s="49">
        <v>201</v>
      </c>
      <c r="P24" s="40">
        <v>246779410496</v>
      </c>
      <c r="Q24" s="47">
        <v>0</v>
      </c>
      <c r="R24" s="47">
        <v>201</v>
      </c>
    </row>
    <row r="25" spans="1:18" x14ac:dyDescent="0.35">
      <c r="A25" s="50">
        <v>45719</v>
      </c>
      <c r="B25" s="23">
        <v>0</v>
      </c>
      <c r="C25" s="23">
        <v>201</v>
      </c>
      <c r="D25" s="23">
        <v>-1604256.12</v>
      </c>
      <c r="E25" s="22" t="s">
        <v>517</v>
      </c>
      <c r="F25" s="22" t="s">
        <v>500</v>
      </c>
      <c r="G25" s="22" t="s">
        <v>517</v>
      </c>
      <c r="H25" s="24">
        <v>246779410500</v>
      </c>
      <c r="I25" s="72"/>
      <c r="J25" s="72"/>
      <c r="L25" s="56">
        <v>246779410497</v>
      </c>
      <c r="M25" s="49">
        <v>0</v>
      </c>
      <c r="N25" s="49">
        <v>201</v>
      </c>
      <c r="P25" s="40">
        <v>246779410497</v>
      </c>
      <c r="Q25" s="47">
        <v>0</v>
      </c>
      <c r="R25" s="47">
        <v>201</v>
      </c>
    </row>
    <row r="26" spans="1:18" x14ac:dyDescent="0.35">
      <c r="A26" s="50">
        <v>45719</v>
      </c>
      <c r="B26" s="23">
        <v>0</v>
      </c>
      <c r="C26" s="23">
        <v>1607</v>
      </c>
      <c r="D26" s="23">
        <v>-1605863.12</v>
      </c>
      <c r="E26" s="22" t="s">
        <v>518</v>
      </c>
      <c r="F26" s="22" t="s">
        <v>500</v>
      </c>
      <c r="G26" s="22" t="s">
        <v>518</v>
      </c>
      <c r="H26" s="24">
        <v>246779410501</v>
      </c>
      <c r="I26" s="72"/>
      <c r="J26" s="72"/>
      <c r="L26" s="56">
        <v>246779410498</v>
      </c>
      <c r="M26" s="49">
        <v>0</v>
      </c>
      <c r="N26" s="49">
        <v>200</v>
      </c>
      <c r="P26" s="40">
        <v>246779410498</v>
      </c>
      <c r="Q26" s="47">
        <v>0</v>
      </c>
      <c r="R26" s="47">
        <v>200</v>
      </c>
    </row>
    <row r="27" spans="1:18" x14ac:dyDescent="0.35">
      <c r="A27" s="50">
        <v>45719</v>
      </c>
      <c r="B27" s="23">
        <v>0</v>
      </c>
      <c r="C27" s="23">
        <v>2009</v>
      </c>
      <c r="D27" s="23">
        <v>-1607872.12</v>
      </c>
      <c r="E27" s="22" t="s">
        <v>519</v>
      </c>
      <c r="F27" s="22" t="s">
        <v>500</v>
      </c>
      <c r="G27" s="22" t="s">
        <v>519</v>
      </c>
      <c r="H27" s="24">
        <v>246779410502</v>
      </c>
      <c r="I27" s="72"/>
      <c r="J27" s="72"/>
      <c r="L27" s="56">
        <v>246779410499</v>
      </c>
      <c r="M27" s="49">
        <v>0</v>
      </c>
      <c r="N27" s="49">
        <v>804</v>
      </c>
      <c r="P27" s="40">
        <v>246779410499</v>
      </c>
      <c r="Q27" s="47">
        <v>0</v>
      </c>
      <c r="R27" s="47">
        <v>804</v>
      </c>
    </row>
    <row r="28" spans="1:18" x14ac:dyDescent="0.35">
      <c r="A28" s="50">
        <v>45719</v>
      </c>
      <c r="B28" s="23">
        <v>0</v>
      </c>
      <c r="C28" s="23">
        <v>2009</v>
      </c>
      <c r="D28" s="23">
        <v>-1609881.12</v>
      </c>
      <c r="E28" s="22" t="s">
        <v>520</v>
      </c>
      <c r="F28" s="22" t="s">
        <v>500</v>
      </c>
      <c r="G28" s="22" t="s">
        <v>520</v>
      </c>
      <c r="H28" s="24">
        <v>246779410503</v>
      </c>
      <c r="I28" s="72"/>
      <c r="J28" s="72"/>
      <c r="L28" s="56">
        <v>246779410500</v>
      </c>
      <c r="M28" s="49">
        <v>0</v>
      </c>
      <c r="N28" s="49">
        <v>201</v>
      </c>
      <c r="P28" s="40">
        <v>246779410500</v>
      </c>
      <c r="Q28" s="47">
        <v>0</v>
      </c>
      <c r="R28" s="47">
        <v>201</v>
      </c>
    </row>
    <row r="29" spans="1:18" x14ac:dyDescent="0.35">
      <c r="A29" s="50">
        <v>45719</v>
      </c>
      <c r="B29" s="23">
        <v>0</v>
      </c>
      <c r="C29" s="23">
        <v>201</v>
      </c>
      <c r="D29" s="23">
        <v>-1610082.12</v>
      </c>
      <c r="E29" s="22" t="s">
        <v>521</v>
      </c>
      <c r="F29" s="22" t="s">
        <v>500</v>
      </c>
      <c r="G29" s="22" t="s">
        <v>521</v>
      </c>
      <c r="H29" s="24">
        <v>246779410504</v>
      </c>
      <c r="I29" s="72"/>
      <c r="J29" s="72"/>
      <c r="L29" s="56">
        <v>246779410501</v>
      </c>
      <c r="M29" s="49">
        <v>0</v>
      </c>
      <c r="N29" s="49">
        <v>1607</v>
      </c>
      <c r="P29" s="40">
        <v>246779410501</v>
      </c>
      <c r="Q29" s="47">
        <v>0</v>
      </c>
      <c r="R29" s="47">
        <v>1607</v>
      </c>
    </row>
    <row r="30" spans="1:18" x14ac:dyDescent="0.35">
      <c r="A30" s="50">
        <v>45719</v>
      </c>
      <c r="B30" s="23">
        <v>0</v>
      </c>
      <c r="C30" s="23">
        <v>603</v>
      </c>
      <c r="D30" s="23">
        <v>-1610685.12</v>
      </c>
      <c r="E30" s="22" t="s">
        <v>522</v>
      </c>
      <c r="F30" s="22" t="s">
        <v>500</v>
      </c>
      <c r="G30" s="22" t="s">
        <v>522</v>
      </c>
      <c r="H30" s="24">
        <v>246779410505</v>
      </c>
      <c r="I30" s="72"/>
      <c r="J30" s="72"/>
      <c r="L30" s="56">
        <v>246779410502</v>
      </c>
      <c r="M30" s="49">
        <v>0</v>
      </c>
      <c r="N30" s="49">
        <v>2009</v>
      </c>
      <c r="P30" s="40">
        <v>246779410502</v>
      </c>
      <c r="Q30" s="47">
        <v>0</v>
      </c>
      <c r="R30" s="47">
        <v>2009</v>
      </c>
    </row>
    <row r="31" spans="1:18" x14ac:dyDescent="0.35">
      <c r="A31" s="50">
        <v>45719</v>
      </c>
      <c r="B31" s="23">
        <v>0</v>
      </c>
      <c r="C31" s="23">
        <v>402</v>
      </c>
      <c r="D31" s="23">
        <v>-1611087.12</v>
      </c>
      <c r="E31" s="22" t="s">
        <v>523</v>
      </c>
      <c r="F31" s="22" t="s">
        <v>500</v>
      </c>
      <c r="G31" s="22" t="s">
        <v>523</v>
      </c>
      <c r="H31" s="24">
        <v>246779410506</v>
      </c>
      <c r="I31" s="72"/>
      <c r="J31" s="72"/>
      <c r="L31" s="56">
        <v>246779410503</v>
      </c>
      <c r="M31" s="49">
        <v>0</v>
      </c>
      <c r="N31" s="49">
        <v>2009</v>
      </c>
      <c r="P31" s="40">
        <v>246779410503</v>
      </c>
      <c r="Q31" s="47">
        <v>0</v>
      </c>
      <c r="R31" s="47">
        <v>2009</v>
      </c>
    </row>
    <row r="32" spans="1:18" x14ac:dyDescent="0.35">
      <c r="A32" s="50">
        <v>45719</v>
      </c>
      <c r="B32" s="23">
        <v>0</v>
      </c>
      <c r="C32" s="23">
        <v>402</v>
      </c>
      <c r="D32" s="23">
        <v>-1611489.12</v>
      </c>
      <c r="E32" s="22" t="s">
        <v>524</v>
      </c>
      <c r="F32" s="22" t="s">
        <v>500</v>
      </c>
      <c r="G32" s="22" t="s">
        <v>524</v>
      </c>
      <c r="H32" s="24">
        <v>246779410507</v>
      </c>
      <c r="I32" s="72"/>
      <c r="J32" s="72"/>
      <c r="L32" s="56">
        <v>246779410504</v>
      </c>
      <c r="M32" s="49">
        <v>0</v>
      </c>
      <c r="N32" s="49">
        <v>201</v>
      </c>
      <c r="P32" s="40">
        <v>246779410504</v>
      </c>
      <c r="Q32" s="47">
        <v>0</v>
      </c>
      <c r="R32" s="47">
        <v>201</v>
      </c>
    </row>
    <row r="33" spans="1:18" x14ac:dyDescent="0.35">
      <c r="A33" s="50">
        <v>45719</v>
      </c>
      <c r="B33" s="23">
        <v>0</v>
      </c>
      <c r="C33" s="23">
        <v>201</v>
      </c>
      <c r="D33" s="23">
        <v>-1611690.12</v>
      </c>
      <c r="E33" s="22" t="s">
        <v>525</v>
      </c>
      <c r="F33" s="22" t="s">
        <v>500</v>
      </c>
      <c r="G33" s="22" t="s">
        <v>525</v>
      </c>
      <c r="H33" s="24">
        <v>246779410508</v>
      </c>
      <c r="I33" s="72"/>
      <c r="J33" s="72"/>
      <c r="L33" s="56">
        <v>246779410505</v>
      </c>
      <c r="M33" s="49">
        <v>0</v>
      </c>
      <c r="N33" s="49">
        <v>603</v>
      </c>
      <c r="P33" s="40">
        <v>246779410505</v>
      </c>
      <c r="Q33" s="47">
        <v>0</v>
      </c>
      <c r="R33" s="47">
        <v>603</v>
      </c>
    </row>
    <row r="34" spans="1:18" x14ac:dyDescent="0.35">
      <c r="A34" s="50">
        <v>45720</v>
      </c>
      <c r="B34" s="23">
        <v>0</v>
      </c>
      <c r="C34" s="23">
        <v>403</v>
      </c>
      <c r="D34" s="23">
        <v>-1612093.12</v>
      </c>
      <c r="E34" s="22" t="s">
        <v>526</v>
      </c>
      <c r="F34" s="22" t="s">
        <v>500</v>
      </c>
      <c r="G34" s="22" t="s">
        <v>526</v>
      </c>
      <c r="H34" s="24">
        <v>246779410843</v>
      </c>
      <c r="I34" s="72"/>
      <c r="J34" s="72"/>
      <c r="L34" s="56">
        <v>246779410506</v>
      </c>
      <c r="M34" s="49">
        <v>0</v>
      </c>
      <c r="N34" s="49">
        <v>402</v>
      </c>
      <c r="P34" s="40">
        <v>246779410506</v>
      </c>
      <c r="Q34" s="47">
        <v>0</v>
      </c>
      <c r="R34" s="47">
        <v>402</v>
      </c>
    </row>
    <row r="35" spans="1:18" x14ac:dyDescent="0.35">
      <c r="A35" s="50">
        <v>45720</v>
      </c>
      <c r="B35" s="23">
        <v>0</v>
      </c>
      <c r="C35" s="23">
        <v>805</v>
      </c>
      <c r="D35" s="23">
        <v>-1612898.12</v>
      </c>
      <c r="E35" s="22" t="s">
        <v>527</v>
      </c>
      <c r="F35" s="22" t="s">
        <v>500</v>
      </c>
      <c r="G35" s="22" t="s">
        <v>527</v>
      </c>
      <c r="H35" s="24">
        <v>246779410686</v>
      </c>
      <c r="I35" s="72"/>
      <c r="J35" s="72"/>
      <c r="L35" s="56">
        <v>246779410507</v>
      </c>
      <c r="M35" s="49">
        <v>0</v>
      </c>
      <c r="N35" s="49">
        <v>402</v>
      </c>
      <c r="P35" s="40">
        <v>246779410507</v>
      </c>
      <c r="Q35" s="47">
        <v>0</v>
      </c>
      <c r="R35" s="47">
        <v>402</v>
      </c>
    </row>
    <row r="36" spans="1:18" x14ac:dyDescent="0.35">
      <c r="A36" s="50">
        <v>45720</v>
      </c>
      <c r="B36" s="23">
        <v>0</v>
      </c>
      <c r="C36" s="23">
        <v>201</v>
      </c>
      <c r="D36" s="23">
        <v>-1613099.12</v>
      </c>
      <c r="E36" s="22" t="s">
        <v>528</v>
      </c>
      <c r="F36" s="22" t="s">
        <v>500</v>
      </c>
      <c r="G36" s="22" t="s">
        <v>528</v>
      </c>
      <c r="H36" s="24">
        <v>246779410683</v>
      </c>
      <c r="I36" s="72"/>
      <c r="J36" s="72"/>
      <c r="L36" s="56">
        <v>246779410508</v>
      </c>
      <c r="M36" s="49">
        <v>0</v>
      </c>
      <c r="N36" s="49">
        <v>201</v>
      </c>
      <c r="P36" s="40">
        <v>246779410508</v>
      </c>
      <c r="Q36" s="47">
        <v>0</v>
      </c>
      <c r="R36" s="47">
        <v>201</v>
      </c>
    </row>
    <row r="37" spans="1:18" x14ac:dyDescent="0.35">
      <c r="A37" s="50">
        <v>45720</v>
      </c>
      <c r="B37" s="23">
        <v>0</v>
      </c>
      <c r="C37" s="23">
        <v>604</v>
      </c>
      <c r="D37" s="23">
        <v>-1613703.12</v>
      </c>
      <c r="E37" s="22" t="s">
        <v>529</v>
      </c>
      <c r="F37" s="22" t="s">
        <v>500</v>
      </c>
      <c r="G37" s="22" t="s">
        <v>529</v>
      </c>
      <c r="H37" s="24">
        <v>246779410759</v>
      </c>
      <c r="I37" s="72"/>
      <c r="J37" s="72"/>
      <c r="L37" s="56">
        <v>246779410605</v>
      </c>
      <c r="M37" s="49">
        <v>0</v>
      </c>
      <c r="N37" s="49">
        <v>2009</v>
      </c>
      <c r="P37" s="40">
        <v>246779410605</v>
      </c>
      <c r="Q37" s="47">
        <v>0</v>
      </c>
      <c r="R37" s="47">
        <v>2009</v>
      </c>
    </row>
    <row r="38" spans="1:18" x14ac:dyDescent="0.35">
      <c r="A38" s="50">
        <v>45720</v>
      </c>
      <c r="B38" s="23">
        <v>0</v>
      </c>
      <c r="C38" s="23">
        <v>1006</v>
      </c>
      <c r="D38" s="23">
        <v>-1614709.12</v>
      </c>
      <c r="E38" s="22" t="s">
        <v>530</v>
      </c>
      <c r="F38" s="22" t="s">
        <v>500</v>
      </c>
      <c r="G38" s="22" t="s">
        <v>530</v>
      </c>
      <c r="H38" s="24">
        <v>246779410760</v>
      </c>
      <c r="I38" s="72"/>
      <c r="J38" s="72"/>
      <c r="L38" s="56">
        <v>246779410606</v>
      </c>
      <c r="M38" s="49">
        <v>0</v>
      </c>
      <c r="N38" s="49">
        <v>402</v>
      </c>
      <c r="P38" s="40">
        <v>246779410606</v>
      </c>
      <c r="Q38" s="47">
        <v>0</v>
      </c>
      <c r="R38" s="47">
        <v>402</v>
      </c>
    </row>
    <row r="39" spans="1:18" x14ac:dyDescent="0.35">
      <c r="A39" s="50">
        <v>45720</v>
      </c>
      <c r="B39" s="23">
        <v>0</v>
      </c>
      <c r="C39" s="23">
        <v>1207</v>
      </c>
      <c r="D39" s="23">
        <v>-1615916.12</v>
      </c>
      <c r="E39" s="22" t="s">
        <v>531</v>
      </c>
      <c r="F39" s="22" t="s">
        <v>500</v>
      </c>
      <c r="G39" s="22" t="s">
        <v>531</v>
      </c>
      <c r="H39" s="24">
        <v>246779410761</v>
      </c>
      <c r="I39" s="72"/>
      <c r="J39" s="72"/>
      <c r="L39" s="56">
        <v>246779410607</v>
      </c>
      <c r="M39" s="49">
        <v>0</v>
      </c>
      <c r="N39" s="49">
        <v>402</v>
      </c>
      <c r="P39" s="40">
        <v>246779410607</v>
      </c>
      <c r="Q39" s="47">
        <v>0</v>
      </c>
      <c r="R39" s="47">
        <v>402</v>
      </c>
    </row>
    <row r="40" spans="1:18" x14ac:dyDescent="0.35">
      <c r="A40" s="50">
        <v>45720</v>
      </c>
      <c r="B40" s="23">
        <v>0</v>
      </c>
      <c r="C40" s="23">
        <v>201</v>
      </c>
      <c r="D40" s="23">
        <v>-1616117.12</v>
      </c>
      <c r="E40" s="22" t="s">
        <v>532</v>
      </c>
      <c r="F40" s="22" t="s">
        <v>500</v>
      </c>
      <c r="G40" s="22" t="s">
        <v>532</v>
      </c>
      <c r="H40" s="24">
        <v>246779410763</v>
      </c>
      <c r="I40" s="72"/>
      <c r="J40" s="72"/>
      <c r="L40" s="56">
        <v>246779410608</v>
      </c>
      <c r="M40" s="49">
        <v>0</v>
      </c>
      <c r="N40" s="49">
        <v>804</v>
      </c>
      <c r="P40" s="40">
        <v>246779410608</v>
      </c>
      <c r="Q40" s="47">
        <v>0</v>
      </c>
      <c r="R40" s="47">
        <v>804</v>
      </c>
    </row>
    <row r="41" spans="1:18" x14ac:dyDescent="0.35">
      <c r="A41" s="50">
        <v>45720</v>
      </c>
      <c r="B41" s="23">
        <v>0</v>
      </c>
      <c r="C41" s="23">
        <v>403</v>
      </c>
      <c r="D41" s="23">
        <v>-1616520.12</v>
      </c>
      <c r="E41" s="22" t="s">
        <v>533</v>
      </c>
      <c r="F41" s="22" t="s">
        <v>500</v>
      </c>
      <c r="G41" s="22" t="s">
        <v>533</v>
      </c>
      <c r="H41" s="24">
        <v>246779410762</v>
      </c>
      <c r="I41" s="72"/>
      <c r="J41" s="72"/>
      <c r="L41" s="56">
        <v>246779410609</v>
      </c>
      <c r="M41" s="49">
        <v>0</v>
      </c>
      <c r="N41" s="49">
        <v>3203</v>
      </c>
      <c r="P41" s="40">
        <v>246779410609</v>
      </c>
      <c r="Q41" s="47">
        <v>0</v>
      </c>
      <c r="R41" s="47">
        <v>3203</v>
      </c>
    </row>
    <row r="42" spans="1:18" x14ac:dyDescent="0.35">
      <c r="A42" s="50">
        <v>45720</v>
      </c>
      <c r="B42" s="23">
        <v>0</v>
      </c>
      <c r="C42" s="23">
        <v>403</v>
      </c>
      <c r="D42" s="23">
        <v>-1616923.12</v>
      </c>
      <c r="E42" s="22" t="s">
        <v>534</v>
      </c>
      <c r="F42" s="22" t="s">
        <v>500</v>
      </c>
      <c r="G42" s="22" t="s">
        <v>534</v>
      </c>
      <c r="H42" s="24">
        <v>246779410757</v>
      </c>
      <c r="I42" s="72"/>
      <c r="J42" s="72"/>
      <c r="L42" s="56">
        <v>246779410610</v>
      </c>
      <c r="M42" s="49">
        <v>0</v>
      </c>
      <c r="N42" s="49">
        <v>201</v>
      </c>
      <c r="P42" s="40">
        <v>246779410610</v>
      </c>
      <c r="Q42" s="47">
        <v>0</v>
      </c>
      <c r="R42" s="47">
        <v>201</v>
      </c>
    </row>
    <row r="43" spans="1:18" x14ac:dyDescent="0.35">
      <c r="A43" s="50">
        <v>45720</v>
      </c>
      <c r="B43" s="23">
        <v>0</v>
      </c>
      <c r="C43" s="23">
        <v>201</v>
      </c>
      <c r="D43" s="23">
        <v>-1617124.12</v>
      </c>
      <c r="E43" s="22" t="s">
        <v>535</v>
      </c>
      <c r="F43" s="22" t="s">
        <v>500</v>
      </c>
      <c r="G43" s="22" t="s">
        <v>535</v>
      </c>
      <c r="H43" s="24">
        <v>246779410765</v>
      </c>
      <c r="I43" s="72"/>
      <c r="J43" s="72"/>
      <c r="L43" s="56">
        <v>246779410611</v>
      </c>
      <c r="M43" s="49">
        <v>0</v>
      </c>
      <c r="N43" s="49">
        <v>402</v>
      </c>
      <c r="P43" s="40">
        <v>246779410611</v>
      </c>
      <c r="Q43" s="47">
        <v>0</v>
      </c>
      <c r="R43" s="47">
        <v>402</v>
      </c>
    </row>
    <row r="44" spans="1:18" x14ac:dyDescent="0.35">
      <c r="A44" s="50">
        <v>45720</v>
      </c>
      <c r="B44" s="23">
        <v>0</v>
      </c>
      <c r="C44" s="23">
        <v>201</v>
      </c>
      <c r="D44" s="23">
        <v>-1617325.12</v>
      </c>
      <c r="E44" s="22" t="s">
        <v>536</v>
      </c>
      <c r="F44" s="22" t="s">
        <v>500</v>
      </c>
      <c r="G44" s="22" t="s">
        <v>536</v>
      </c>
      <c r="H44" s="24">
        <v>246779410764</v>
      </c>
      <c r="I44" s="72"/>
      <c r="J44" s="72"/>
      <c r="L44" s="56">
        <v>246779410612</v>
      </c>
      <c r="M44" s="49">
        <v>0</v>
      </c>
      <c r="N44" s="49">
        <v>1004</v>
      </c>
      <c r="P44" s="40">
        <v>246779410612</v>
      </c>
      <c r="Q44" s="47">
        <v>0</v>
      </c>
      <c r="R44" s="47">
        <v>1004</v>
      </c>
    </row>
    <row r="45" spans="1:18" x14ac:dyDescent="0.35">
      <c r="A45" s="50">
        <v>45720</v>
      </c>
      <c r="B45" s="23">
        <v>0</v>
      </c>
      <c r="C45" s="23">
        <v>403</v>
      </c>
      <c r="D45" s="23">
        <v>-1617728.12</v>
      </c>
      <c r="E45" s="22" t="s">
        <v>537</v>
      </c>
      <c r="F45" s="22" t="s">
        <v>500</v>
      </c>
      <c r="G45" s="22" t="s">
        <v>537</v>
      </c>
      <c r="H45" s="24">
        <v>246779410766</v>
      </c>
      <c r="I45" s="72"/>
      <c r="J45" s="72"/>
      <c r="L45" s="56">
        <v>246779410613</v>
      </c>
      <c r="M45" s="49">
        <v>0</v>
      </c>
      <c r="N45" s="49">
        <v>804</v>
      </c>
      <c r="P45" s="40">
        <v>246779410613</v>
      </c>
      <c r="Q45" s="47">
        <v>0</v>
      </c>
      <c r="R45" s="47">
        <v>804</v>
      </c>
    </row>
    <row r="46" spans="1:18" x14ac:dyDescent="0.35">
      <c r="A46" s="50">
        <v>45720</v>
      </c>
      <c r="B46" s="23">
        <v>0</v>
      </c>
      <c r="C46" s="23">
        <v>403</v>
      </c>
      <c r="D46" s="23">
        <v>-1618131.12</v>
      </c>
      <c r="E46" s="22" t="s">
        <v>538</v>
      </c>
      <c r="F46" s="22" t="s">
        <v>500</v>
      </c>
      <c r="G46" s="22" t="s">
        <v>538</v>
      </c>
      <c r="H46" s="24">
        <v>246779410756</v>
      </c>
      <c r="I46" s="72"/>
      <c r="J46" s="72"/>
      <c r="L46" s="56">
        <v>246779410678</v>
      </c>
      <c r="M46" s="49">
        <v>0</v>
      </c>
      <c r="N46" s="49">
        <v>201</v>
      </c>
      <c r="P46" s="40">
        <v>246779410678</v>
      </c>
      <c r="Q46" s="47">
        <v>0</v>
      </c>
      <c r="R46" s="47">
        <v>201</v>
      </c>
    </row>
    <row r="47" spans="1:18" x14ac:dyDescent="0.35">
      <c r="A47" s="50">
        <v>45720</v>
      </c>
      <c r="B47" s="23">
        <v>0</v>
      </c>
      <c r="C47" s="23">
        <v>3219</v>
      </c>
      <c r="D47" s="23">
        <v>-1621350.12</v>
      </c>
      <c r="E47" s="22" t="s">
        <v>539</v>
      </c>
      <c r="F47" s="22" t="s">
        <v>500</v>
      </c>
      <c r="G47" s="22" t="s">
        <v>539</v>
      </c>
      <c r="H47" s="24">
        <v>246779410758</v>
      </c>
      <c r="I47" s="72"/>
      <c r="J47" s="72"/>
      <c r="L47" s="56">
        <v>246779410679</v>
      </c>
      <c r="M47" s="49">
        <v>0</v>
      </c>
      <c r="N47" s="49">
        <v>201</v>
      </c>
      <c r="P47" s="40">
        <v>246779410679</v>
      </c>
      <c r="Q47" s="47">
        <v>0</v>
      </c>
      <c r="R47" s="47">
        <v>201</v>
      </c>
    </row>
    <row r="48" spans="1:18" x14ac:dyDescent="0.35">
      <c r="A48" s="50">
        <v>45720</v>
      </c>
      <c r="B48" s="23">
        <v>0</v>
      </c>
      <c r="C48" s="23">
        <v>403</v>
      </c>
      <c r="D48" s="23">
        <v>-1621753.12</v>
      </c>
      <c r="E48" s="22" t="s">
        <v>540</v>
      </c>
      <c r="F48" s="22" t="s">
        <v>500</v>
      </c>
      <c r="G48" s="22" t="s">
        <v>540</v>
      </c>
      <c r="H48" s="24">
        <v>246779410689</v>
      </c>
      <c r="I48" s="72"/>
      <c r="J48" s="72"/>
      <c r="L48" s="56">
        <v>246779410680</v>
      </c>
      <c r="M48" s="49">
        <v>0</v>
      </c>
      <c r="N48" s="49">
        <v>1207</v>
      </c>
      <c r="P48" s="40">
        <v>246779410680</v>
      </c>
      <c r="Q48" s="47">
        <v>0</v>
      </c>
      <c r="R48" s="47">
        <v>1207</v>
      </c>
    </row>
    <row r="49" spans="1:18" x14ac:dyDescent="0.35">
      <c r="A49" s="50">
        <v>45720</v>
      </c>
      <c r="B49" s="23">
        <v>0</v>
      </c>
      <c r="C49" s="23">
        <v>805</v>
      </c>
      <c r="D49" s="23">
        <v>-1622558.12</v>
      </c>
      <c r="E49" s="22" t="s">
        <v>541</v>
      </c>
      <c r="F49" s="22" t="s">
        <v>500</v>
      </c>
      <c r="G49" s="22" t="s">
        <v>541</v>
      </c>
      <c r="H49" s="24">
        <v>246779410693</v>
      </c>
      <c r="I49" s="72"/>
      <c r="J49" s="72"/>
      <c r="L49" s="56">
        <v>246779410681</v>
      </c>
      <c r="M49" s="49">
        <v>0</v>
      </c>
      <c r="N49" s="49">
        <v>201</v>
      </c>
      <c r="P49" s="40">
        <v>246779410681</v>
      </c>
      <c r="Q49" s="47">
        <v>0</v>
      </c>
      <c r="R49" s="47">
        <v>201</v>
      </c>
    </row>
    <row r="50" spans="1:18" x14ac:dyDescent="0.35">
      <c r="A50" s="50">
        <v>45720</v>
      </c>
      <c r="B50" s="23">
        <v>0</v>
      </c>
      <c r="C50" s="23">
        <v>604</v>
      </c>
      <c r="D50" s="23">
        <v>-1623162.12</v>
      </c>
      <c r="E50" s="22" t="s">
        <v>542</v>
      </c>
      <c r="F50" s="22" t="s">
        <v>500</v>
      </c>
      <c r="G50" s="22" t="s">
        <v>542</v>
      </c>
      <c r="H50" s="24">
        <v>246779410691</v>
      </c>
      <c r="I50" s="72"/>
      <c r="J50" s="72"/>
      <c r="L50" s="56">
        <v>246779410682</v>
      </c>
      <c r="M50" s="49">
        <v>0</v>
      </c>
      <c r="N50" s="49">
        <v>201</v>
      </c>
      <c r="P50" s="40">
        <v>246779410682</v>
      </c>
      <c r="Q50" s="47">
        <v>0</v>
      </c>
      <c r="R50" s="47">
        <v>201</v>
      </c>
    </row>
    <row r="51" spans="1:18" x14ac:dyDescent="0.35">
      <c r="A51" s="50">
        <v>45720</v>
      </c>
      <c r="B51" s="23">
        <v>0</v>
      </c>
      <c r="C51" s="23">
        <v>604</v>
      </c>
      <c r="D51" s="23">
        <v>-1623766.12</v>
      </c>
      <c r="E51" s="22" t="s">
        <v>543</v>
      </c>
      <c r="F51" s="22" t="s">
        <v>500</v>
      </c>
      <c r="G51" s="22" t="s">
        <v>543</v>
      </c>
      <c r="H51" s="24">
        <v>246779410684</v>
      </c>
      <c r="I51" s="72"/>
      <c r="J51" s="72"/>
      <c r="L51" s="56">
        <v>246779410683</v>
      </c>
      <c r="M51" s="49">
        <v>0</v>
      </c>
      <c r="N51" s="49">
        <v>201</v>
      </c>
      <c r="P51" s="40">
        <v>246779410683</v>
      </c>
      <c r="Q51" s="47">
        <v>0</v>
      </c>
      <c r="R51" s="47">
        <v>201</v>
      </c>
    </row>
    <row r="52" spans="1:18" x14ac:dyDescent="0.35">
      <c r="A52" s="50">
        <v>45720</v>
      </c>
      <c r="B52" s="23">
        <v>0</v>
      </c>
      <c r="C52" s="23">
        <v>201</v>
      </c>
      <c r="D52" s="23">
        <v>-1623967.12</v>
      </c>
      <c r="E52" s="22" t="s">
        <v>544</v>
      </c>
      <c r="F52" s="22" t="s">
        <v>500</v>
      </c>
      <c r="G52" s="22" t="s">
        <v>544</v>
      </c>
      <c r="H52" s="24">
        <v>246779410685</v>
      </c>
      <c r="I52" s="72"/>
      <c r="J52" s="72"/>
      <c r="L52" s="56">
        <v>246779410684</v>
      </c>
      <c r="M52" s="49">
        <v>0</v>
      </c>
      <c r="N52" s="49">
        <v>604</v>
      </c>
      <c r="P52" s="40">
        <v>246779410684</v>
      </c>
      <c r="Q52" s="47">
        <v>0</v>
      </c>
      <c r="R52" s="47">
        <v>604</v>
      </c>
    </row>
    <row r="53" spans="1:18" x14ac:dyDescent="0.35">
      <c r="A53" s="50">
        <v>45720</v>
      </c>
      <c r="B53" s="23">
        <v>0</v>
      </c>
      <c r="C53" s="23">
        <v>3622</v>
      </c>
      <c r="D53" s="23">
        <v>-1627589.12</v>
      </c>
      <c r="E53" s="22" t="s">
        <v>545</v>
      </c>
      <c r="F53" s="22" t="s">
        <v>500</v>
      </c>
      <c r="G53" s="22" t="s">
        <v>545</v>
      </c>
      <c r="H53" s="24">
        <v>246779410690</v>
      </c>
      <c r="I53" s="72"/>
      <c r="J53" s="72"/>
      <c r="L53" s="56">
        <v>246779410685</v>
      </c>
      <c r="M53" s="49">
        <v>0</v>
      </c>
      <c r="N53" s="49">
        <v>201</v>
      </c>
      <c r="P53" s="40">
        <v>246779410685</v>
      </c>
      <c r="Q53" s="47">
        <v>0</v>
      </c>
      <c r="R53" s="47">
        <v>201</v>
      </c>
    </row>
    <row r="54" spans="1:18" x14ac:dyDescent="0.35">
      <c r="A54" s="50">
        <v>45720</v>
      </c>
      <c r="B54" s="23">
        <v>0</v>
      </c>
      <c r="C54" s="23">
        <v>1207</v>
      </c>
      <c r="D54" s="23">
        <v>-1628796.12</v>
      </c>
      <c r="E54" s="22" t="s">
        <v>546</v>
      </c>
      <c r="F54" s="22" t="s">
        <v>500</v>
      </c>
      <c r="G54" s="22" t="s">
        <v>546</v>
      </c>
      <c r="H54" s="24">
        <v>246779410680</v>
      </c>
      <c r="I54" s="72"/>
      <c r="J54" s="72"/>
      <c r="L54" s="56">
        <v>246779410686</v>
      </c>
      <c r="M54" s="49">
        <v>0</v>
      </c>
      <c r="N54" s="49">
        <v>805</v>
      </c>
      <c r="P54" s="40">
        <v>246779410686</v>
      </c>
      <c r="Q54" s="47">
        <v>0</v>
      </c>
      <c r="R54" s="47">
        <v>805</v>
      </c>
    </row>
    <row r="55" spans="1:18" x14ac:dyDescent="0.35">
      <c r="A55" s="50">
        <v>45720</v>
      </c>
      <c r="B55" s="23">
        <v>0</v>
      </c>
      <c r="C55" s="23">
        <v>201</v>
      </c>
      <c r="D55" s="23">
        <v>-1628997.12</v>
      </c>
      <c r="E55" s="22" t="s">
        <v>547</v>
      </c>
      <c r="F55" s="22" t="s">
        <v>500</v>
      </c>
      <c r="G55" s="22" t="s">
        <v>547</v>
      </c>
      <c r="H55" s="24">
        <v>246779410681</v>
      </c>
      <c r="I55" s="72"/>
      <c r="J55" s="72"/>
      <c r="L55" s="56">
        <v>246779410687</v>
      </c>
      <c r="M55" s="49">
        <v>0</v>
      </c>
      <c r="N55" s="49">
        <v>1797</v>
      </c>
      <c r="P55" s="40">
        <v>246779410687</v>
      </c>
      <c r="Q55" s="47">
        <v>0</v>
      </c>
      <c r="R55" s="47">
        <v>1797</v>
      </c>
    </row>
    <row r="56" spans="1:18" x14ac:dyDescent="0.35">
      <c r="A56" s="50">
        <v>45720</v>
      </c>
      <c r="B56" s="23">
        <v>0</v>
      </c>
      <c r="C56" s="23">
        <v>201</v>
      </c>
      <c r="D56" s="23">
        <v>-1629198.12</v>
      </c>
      <c r="E56" s="22" t="s">
        <v>548</v>
      </c>
      <c r="F56" s="22" t="s">
        <v>500</v>
      </c>
      <c r="G56" s="22" t="s">
        <v>548</v>
      </c>
      <c r="H56" s="24">
        <v>246779410682</v>
      </c>
      <c r="I56" s="72"/>
      <c r="J56" s="72"/>
      <c r="L56" s="56">
        <v>246779410688</v>
      </c>
      <c r="M56" s="49">
        <v>0</v>
      </c>
      <c r="N56" s="49">
        <v>799</v>
      </c>
      <c r="P56" s="40">
        <v>246779410688</v>
      </c>
      <c r="Q56" s="47">
        <v>0</v>
      </c>
      <c r="R56" s="47">
        <v>799</v>
      </c>
    </row>
    <row r="57" spans="1:18" x14ac:dyDescent="0.35">
      <c r="A57" s="50">
        <v>45720</v>
      </c>
      <c r="B57" s="23">
        <v>0</v>
      </c>
      <c r="C57" s="23">
        <v>201</v>
      </c>
      <c r="D57" s="23">
        <v>-1629399.12</v>
      </c>
      <c r="E57" s="22" t="s">
        <v>549</v>
      </c>
      <c r="F57" s="22" t="s">
        <v>500</v>
      </c>
      <c r="G57" s="22" t="s">
        <v>549</v>
      </c>
      <c r="H57" s="24">
        <v>246779410678</v>
      </c>
      <c r="I57" s="72"/>
      <c r="J57" s="72"/>
      <c r="L57" s="56">
        <v>246779410689</v>
      </c>
      <c r="M57" s="49">
        <v>0</v>
      </c>
      <c r="N57" s="49">
        <v>403</v>
      </c>
      <c r="P57" s="40">
        <v>246779410689</v>
      </c>
      <c r="Q57" s="47">
        <v>0</v>
      </c>
      <c r="R57" s="47">
        <v>403</v>
      </c>
    </row>
    <row r="58" spans="1:18" x14ac:dyDescent="0.35">
      <c r="A58" s="50">
        <v>45720</v>
      </c>
      <c r="B58" s="23">
        <v>0</v>
      </c>
      <c r="C58" s="23">
        <v>805</v>
      </c>
      <c r="D58" s="23">
        <v>-1630204.12</v>
      </c>
      <c r="E58" s="22" t="s">
        <v>550</v>
      </c>
      <c r="F58" s="22" t="s">
        <v>500</v>
      </c>
      <c r="G58" s="22" t="s">
        <v>550</v>
      </c>
      <c r="H58" s="24">
        <v>246779410845</v>
      </c>
      <c r="I58" s="72"/>
      <c r="J58" s="72"/>
      <c r="L58" s="56">
        <v>246779410690</v>
      </c>
      <c r="M58" s="49">
        <v>0</v>
      </c>
      <c r="N58" s="49">
        <v>3622</v>
      </c>
      <c r="P58" s="40">
        <v>246779410690</v>
      </c>
      <c r="Q58" s="47">
        <v>0</v>
      </c>
      <c r="R58" s="47">
        <v>3622</v>
      </c>
    </row>
    <row r="59" spans="1:18" x14ac:dyDescent="0.35">
      <c r="A59" s="50">
        <v>45720</v>
      </c>
      <c r="B59" s="23">
        <v>0</v>
      </c>
      <c r="C59" s="23">
        <v>604</v>
      </c>
      <c r="D59" s="23">
        <v>-1630808.12</v>
      </c>
      <c r="E59" s="22" t="s">
        <v>551</v>
      </c>
      <c r="F59" s="22" t="s">
        <v>500</v>
      </c>
      <c r="G59" s="22" t="s">
        <v>551</v>
      </c>
      <c r="H59" s="24">
        <v>246779410841</v>
      </c>
      <c r="I59" s="72"/>
      <c r="J59" s="72"/>
      <c r="L59" s="56">
        <v>246779410691</v>
      </c>
      <c r="M59" s="49">
        <v>0</v>
      </c>
      <c r="N59" s="49">
        <v>604</v>
      </c>
      <c r="P59" s="40">
        <v>246779410691</v>
      </c>
      <c r="Q59" s="47">
        <v>0</v>
      </c>
      <c r="R59" s="47">
        <v>604</v>
      </c>
    </row>
    <row r="60" spans="1:18" x14ac:dyDescent="0.35">
      <c r="A60" s="50">
        <v>45720</v>
      </c>
      <c r="B60" s="23">
        <v>0</v>
      </c>
      <c r="C60" s="23">
        <v>403</v>
      </c>
      <c r="D60" s="23">
        <v>-1631211.12</v>
      </c>
      <c r="E60" s="22" t="s">
        <v>552</v>
      </c>
      <c r="F60" s="22" t="s">
        <v>500</v>
      </c>
      <c r="G60" s="22" t="s">
        <v>552</v>
      </c>
      <c r="H60" s="24">
        <v>246779410844</v>
      </c>
      <c r="I60" s="72"/>
      <c r="J60" s="72"/>
      <c r="L60" s="56">
        <v>246779410692</v>
      </c>
      <c r="M60" s="49">
        <v>0</v>
      </c>
      <c r="N60" s="49">
        <v>805</v>
      </c>
      <c r="P60" s="40">
        <v>246779410692</v>
      </c>
      <c r="Q60" s="47">
        <v>0</v>
      </c>
      <c r="R60" s="47">
        <v>805</v>
      </c>
    </row>
    <row r="61" spans="1:18" x14ac:dyDescent="0.35">
      <c r="A61" s="50">
        <v>45720</v>
      </c>
      <c r="B61" s="23">
        <v>0</v>
      </c>
      <c r="C61" s="23">
        <v>403</v>
      </c>
      <c r="D61" s="23">
        <v>-1631614.12</v>
      </c>
      <c r="E61" s="22" t="s">
        <v>553</v>
      </c>
      <c r="F61" s="22" t="s">
        <v>500</v>
      </c>
      <c r="G61" s="22" t="s">
        <v>553</v>
      </c>
      <c r="H61" s="24">
        <v>246779410842</v>
      </c>
      <c r="I61" s="72"/>
      <c r="J61" s="72"/>
      <c r="L61" s="56">
        <v>246779410693</v>
      </c>
      <c r="M61" s="49">
        <v>0</v>
      </c>
      <c r="N61" s="49">
        <v>805</v>
      </c>
      <c r="P61" s="40">
        <v>246779410693</v>
      </c>
      <c r="Q61" s="47">
        <v>0</v>
      </c>
      <c r="R61" s="47">
        <v>805</v>
      </c>
    </row>
    <row r="62" spans="1:18" x14ac:dyDescent="0.35">
      <c r="A62" s="50">
        <v>45720</v>
      </c>
      <c r="B62" s="23">
        <v>0</v>
      </c>
      <c r="C62" s="23">
        <v>805</v>
      </c>
      <c r="D62" s="23">
        <v>-1632419.12</v>
      </c>
      <c r="E62" s="22" t="s">
        <v>554</v>
      </c>
      <c r="F62" s="22" t="s">
        <v>500</v>
      </c>
      <c r="G62" s="22" t="s">
        <v>554</v>
      </c>
      <c r="H62" s="24">
        <v>246779410692</v>
      </c>
      <c r="I62" s="72"/>
      <c r="J62" s="72"/>
      <c r="L62" s="56">
        <v>246779410755</v>
      </c>
      <c r="M62" s="49">
        <v>0</v>
      </c>
      <c r="N62" s="49">
        <v>3594</v>
      </c>
      <c r="P62" s="40">
        <v>246779410755</v>
      </c>
      <c r="Q62" s="47">
        <v>0</v>
      </c>
      <c r="R62" s="47">
        <v>3594</v>
      </c>
    </row>
    <row r="63" spans="1:18" x14ac:dyDescent="0.35">
      <c r="A63" s="50">
        <v>45720</v>
      </c>
      <c r="B63" s="23">
        <v>0</v>
      </c>
      <c r="C63" s="23">
        <v>201</v>
      </c>
      <c r="D63" s="23">
        <v>-1632620.12</v>
      </c>
      <c r="E63" s="22" t="s">
        <v>555</v>
      </c>
      <c r="F63" s="22" t="s">
        <v>500</v>
      </c>
      <c r="G63" s="22" t="s">
        <v>555</v>
      </c>
      <c r="H63" s="24">
        <v>246779410679</v>
      </c>
      <c r="I63" s="72"/>
      <c r="J63" s="72"/>
      <c r="L63" s="56">
        <v>246779410756</v>
      </c>
      <c r="M63" s="49">
        <v>0</v>
      </c>
      <c r="N63" s="49">
        <v>403</v>
      </c>
      <c r="P63" s="40">
        <v>246779410756</v>
      </c>
      <c r="Q63" s="47">
        <v>0</v>
      </c>
      <c r="R63" s="47">
        <v>403</v>
      </c>
    </row>
    <row r="64" spans="1:18" x14ac:dyDescent="0.35">
      <c r="A64" s="50">
        <v>45722</v>
      </c>
      <c r="B64" s="23">
        <v>0</v>
      </c>
      <c r="C64" s="23">
        <v>2406</v>
      </c>
      <c r="D64" s="23">
        <v>-1635026.12</v>
      </c>
      <c r="E64" s="22" t="s">
        <v>556</v>
      </c>
      <c r="F64" s="22" t="s">
        <v>557</v>
      </c>
      <c r="G64" s="22" t="s">
        <v>556</v>
      </c>
      <c r="H64" s="24">
        <v>246779411128</v>
      </c>
      <c r="I64" s="72"/>
      <c r="J64" s="72"/>
      <c r="L64" s="56">
        <v>246779410757</v>
      </c>
      <c r="M64" s="49">
        <v>0</v>
      </c>
      <c r="N64" s="49">
        <v>403</v>
      </c>
      <c r="P64" s="40">
        <v>246779410757</v>
      </c>
      <c r="Q64" s="47">
        <v>0</v>
      </c>
      <c r="R64" s="47">
        <v>403</v>
      </c>
    </row>
    <row r="65" spans="1:18" x14ac:dyDescent="0.35">
      <c r="A65" s="50">
        <v>45722</v>
      </c>
      <c r="B65" s="23">
        <v>0</v>
      </c>
      <c r="C65" s="23">
        <v>1882</v>
      </c>
      <c r="D65" s="23">
        <v>-1636908.12</v>
      </c>
      <c r="E65" s="22" t="s">
        <v>558</v>
      </c>
      <c r="F65" s="22" t="s">
        <v>559</v>
      </c>
      <c r="G65" s="22" t="s">
        <v>558</v>
      </c>
      <c r="H65" s="24">
        <v>246779410970</v>
      </c>
      <c r="I65" s="72"/>
      <c r="J65" s="72"/>
      <c r="L65" s="56">
        <v>246779410758</v>
      </c>
      <c r="M65" s="49">
        <v>0</v>
      </c>
      <c r="N65" s="49">
        <v>3219</v>
      </c>
      <c r="P65" s="40">
        <v>246779410758</v>
      </c>
      <c r="Q65" s="47">
        <v>0</v>
      </c>
      <c r="R65" s="47">
        <v>3219</v>
      </c>
    </row>
    <row r="66" spans="1:18" x14ac:dyDescent="0.35">
      <c r="A66" s="50">
        <v>45722</v>
      </c>
      <c r="B66" s="23">
        <v>0</v>
      </c>
      <c r="C66" s="23">
        <v>36538</v>
      </c>
      <c r="D66" s="23">
        <v>-1673446.12</v>
      </c>
      <c r="E66" s="22" t="s">
        <v>560</v>
      </c>
      <c r="F66" s="22" t="s">
        <v>561</v>
      </c>
      <c r="G66" s="22" t="s">
        <v>560</v>
      </c>
      <c r="H66" s="24">
        <v>246779410971</v>
      </c>
      <c r="I66" s="72"/>
      <c r="J66" s="72"/>
      <c r="L66" s="56">
        <v>246779410759</v>
      </c>
      <c r="M66" s="49">
        <v>0</v>
      </c>
      <c r="N66" s="49">
        <v>604</v>
      </c>
      <c r="P66" s="40">
        <v>246779410759</v>
      </c>
      <c r="Q66" s="47">
        <v>0</v>
      </c>
      <c r="R66" s="47">
        <v>604</v>
      </c>
    </row>
    <row r="67" spans="1:18" x14ac:dyDescent="0.35">
      <c r="A67" s="50">
        <v>45722</v>
      </c>
      <c r="B67" s="23">
        <v>0</v>
      </c>
      <c r="C67" s="23">
        <v>401</v>
      </c>
      <c r="D67" s="23">
        <v>-1673847.12</v>
      </c>
      <c r="E67" s="22" t="s">
        <v>562</v>
      </c>
      <c r="F67" s="22" t="s">
        <v>557</v>
      </c>
      <c r="G67" s="22" t="s">
        <v>562</v>
      </c>
      <c r="H67" s="24">
        <v>246779410974</v>
      </c>
      <c r="I67" s="72"/>
      <c r="J67" s="72"/>
      <c r="L67" s="56">
        <v>246779410760</v>
      </c>
      <c r="M67" s="49">
        <v>0</v>
      </c>
      <c r="N67" s="49">
        <v>1006</v>
      </c>
      <c r="P67" s="40">
        <v>246779410760</v>
      </c>
      <c r="Q67" s="47">
        <v>0</v>
      </c>
      <c r="R67" s="47">
        <v>1006</v>
      </c>
    </row>
    <row r="68" spans="1:18" x14ac:dyDescent="0.35">
      <c r="A68" s="50">
        <v>45722</v>
      </c>
      <c r="B68" s="23">
        <v>0</v>
      </c>
      <c r="C68" s="23">
        <v>1481</v>
      </c>
      <c r="D68" s="23">
        <v>-1675328.12</v>
      </c>
      <c r="E68" s="22" t="s">
        <v>563</v>
      </c>
      <c r="F68" s="22" t="s">
        <v>559</v>
      </c>
      <c r="G68" s="22" t="s">
        <v>563</v>
      </c>
      <c r="H68" s="24">
        <v>246779410972</v>
      </c>
      <c r="I68" s="72"/>
      <c r="J68" s="72"/>
      <c r="L68" s="56">
        <v>246779410761</v>
      </c>
      <c r="M68" s="49">
        <v>0</v>
      </c>
      <c r="N68" s="49">
        <v>1207</v>
      </c>
      <c r="P68" s="40">
        <v>246779410761</v>
      </c>
      <c r="Q68" s="47">
        <v>0</v>
      </c>
      <c r="R68" s="47">
        <v>1207</v>
      </c>
    </row>
    <row r="69" spans="1:18" x14ac:dyDescent="0.35">
      <c r="A69" s="50">
        <v>45722</v>
      </c>
      <c r="B69" s="23">
        <v>0</v>
      </c>
      <c r="C69" s="23">
        <v>2884</v>
      </c>
      <c r="D69" s="23">
        <v>-1678212.12</v>
      </c>
      <c r="E69" s="22" t="s">
        <v>564</v>
      </c>
      <c r="F69" s="22" t="s">
        <v>559</v>
      </c>
      <c r="G69" s="22" t="s">
        <v>564</v>
      </c>
      <c r="H69" s="24">
        <v>246779410973</v>
      </c>
      <c r="I69" s="72"/>
      <c r="J69" s="72"/>
      <c r="L69" s="56">
        <v>246779410762</v>
      </c>
      <c r="M69" s="49">
        <v>0</v>
      </c>
      <c r="N69" s="49">
        <v>403</v>
      </c>
      <c r="P69" s="40">
        <v>246779410762</v>
      </c>
      <c r="Q69" s="47">
        <v>0</v>
      </c>
      <c r="R69" s="47">
        <v>403</v>
      </c>
    </row>
    <row r="70" spans="1:18" x14ac:dyDescent="0.35">
      <c r="A70" s="50">
        <v>45722</v>
      </c>
      <c r="B70" s="23">
        <v>0</v>
      </c>
      <c r="C70" s="23">
        <v>357094</v>
      </c>
      <c r="D70" s="23">
        <v>-2035306.12</v>
      </c>
      <c r="E70" s="22" t="s">
        <v>565</v>
      </c>
      <c r="F70" s="22" t="s">
        <v>507</v>
      </c>
      <c r="G70" s="22" t="s">
        <v>565</v>
      </c>
      <c r="H70" s="24">
        <v>246779410896</v>
      </c>
      <c r="I70" s="72"/>
      <c r="J70" s="72"/>
      <c r="L70" s="56">
        <v>246779410763</v>
      </c>
      <c r="M70" s="49">
        <v>0</v>
      </c>
      <c r="N70" s="49">
        <v>201</v>
      </c>
      <c r="P70" s="40">
        <v>246779410763</v>
      </c>
      <c r="Q70" s="47">
        <v>0</v>
      </c>
      <c r="R70" s="47">
        <v>201</v>
      </c>
    </row>
    <row r="71" spans="1:18" x14ac:dyDescent="0.35">
      <c r="A71" s="50">
        <v>45722</v>
      </c>
      <c r="B71" s="23">
        <v>0</v>
      </c>
      <c r="C71" s="23">
        <v>241385</v>
      </c>
      <c r="D71" s="23">
        <v>-2276691.12</v>
      </c>
      <c r="E71" s="22" t="s">
        <v>566</v>
      </c>
      <c r="F71" s="22" t="s">
        <v>507</v>
      </c>
      <c r="G71" s="22" t="s">
        <v>566</v>
      </c>
      <c r="H71" s="24">
        <v>246779410874</v>
      </c>
      <c r="I71" s="72"/>
      <c r="J71" s="72"/>
      <c r="L71" s="56">
        <v>246779410764</v>
      </c>
      <c r="M71" s="49">
        <v>0</v>
      </c>
      <c r="N71" s="49">
        <v>201</v>
      </c>
      <c r="P71" s="40">
        <v>246779410764</v>
      </c>
      <c r="Q71" s="47">
        <v>0</v>
      </c>
      <c r="R71" s="47">
        <v>201</v>
      </c>
    </row>
    <row r="72" spans="1:18" x14ac:dyDescent="0.35">
      <c r="A72" s="50">
        <v>45722</v>
      </c>
      <c r="B72" s="23">
        <v>0</v>
      </c>
      <c r="C72" s="23">
        <v>2004</v>
      </c>
      <c r="D72" s="23">
        <v>-2278695.12</v>
      </c>
      <c r="E72" s="22" t="s">
        <v>567</v>
      </c>
      <c r="F72" s="22" t="s">
        <v>557</v>
      </c>
      <c r="G72" s="22" t="s">
        <v>567</v>
      </c>
      <c r="H72" s="24">
        <v>246779411189</v>
      </c>
      <c r="I72" s="72"/>
      <c r="J72" s="72"/>
      <c r="L72" s="56">
        <v>246779410765</v>
      </c>
      <c r="M72" s="49">
        <v>0</v>
      </c>
      <c r="N72" s="49">
        <v>201</v>
      </c>
      <c r="P72" s="40">
        <v>246779410765</v>
      </c>
      <c r="Q72" s="47">
        <v>0</v>
      </c>
      <c r="R72" s="47">
        <v>201</v>
      </c>
    </row>
    <row r="73" spans="1:18" x14ac:dyDescent="0.35">
      <c r="A73" s="50">
        <v>45722</v>
      </c>
      <c r="B73" s="23">
        <v>0</v>
      </c>
      <c r="C73" s="23">
        <v>2004</v>
      </c>
      <c r="D73" s="23">
        <v>-2280699.12</v>
      </c>
      <c r="E73" s="22" t="s">
        <v>568</v>
      </c>
      <c r="F73" s="22" t="s">
        <v>557</v>
      </c>
      <c r="G73" s="22" t="s">
        <v>568</v>
      </c>
      <c r="H73" s="24">
        <v>246779411188</v>
      </c>
      <c r="I73" s="72"/>
      <c r="J73" s="72"/>
      <c r="L73" s="56">
        <v>246779410766</v>
      </c>
      <c r="M73" s="49">
        <v>0</v>
      </c>
      <c r="N73" s="49">
        <v>403</v>
      </c>
      <c r="P73" s="40">
        <v>246779410766</v>
      </c>
      <c r="Q73" s="47">
        <v>0</v>
      </c>
      <c r="R73" s="47">
        <v>403</v>
      </c>
    </row>
    <row r="74" spans="1:18" x14ac:dyDescent="0.35">
      <c r="A74" s="50">
        <v>45722</v>
      </c>
      <c r="B74" s="23">
        <v>0</v>
      </c>
      <c r="C74" s="23">
        <v>2004</v>
      </c>
      <c r="D74" s="23">
        <v>-2282703.12</v>
      </c>
      <c r="E74" s="22" t="s">
        <v>569</v>
      </c>
      <c r="F74" s="22" t="s">
        <v>557</v>
      </c>
      <c r="G74" s="22" t="s">
        <v>569</v>
      </c>
      <c r="H74" s="24">
        <v>246779411187</v>
      </c>
      <c r="I74" s="72"/>
      <c r="J74" s="72"/>
      <c r="L74" s="56">
        <v>246779410841</v>
      </c>
      <c r="M74" s="49">
        <v>0</v>
      </c>
      <c r="N74" s="49">
        <v>604</v>
      </c>
      <c r="P74" s="40">
        <v>246779410841</v>
      </c>
      <c r="Q74" s="47">
        <v>0</v>
      </c>
      <c r="R74" s="47">
        <v>604</v>
      </c>
    </row>
    <row r="75" spans="1:18" x14ac:dyDescent="0.35">
      <c r="A75" s="50">
        <v>45722</v>
      </c>
      <c r="B75" s="23">
        <v>0</v>
      </c>
      <c r="C75" s="23">
        <v>2004</v>
      </c>
      <c r="D75" s="23">
        <v>-2284707.12</v>
      </c>
      <c r="E75" s="22" t="s">
        <v>570</v>
      </c>
      <c r="F75" s="22" t="s">
        <v>557</v>
      </c>
      <c r="G75" s="22" t="s">
        <v>570</v>
      </c>
      <c r="H75" s="24">
        <v>246779411186</v>
      </c>
      <c r="I75" s="72"/>
      <c r="J75" s="72"/>
      <c r="L75" s="56">
        <v>246779410842</v>
      </c>
      <c r="M75" s="49">
        <v>0</v>
      </c>
      <c r="N75" s="49">
        <v>403</v>
      </c>
      <c r="P75" s="40">
        <v>246779410842</v>
      </c>
      <c r="Q75" s="47">
        <v>0</v>
      </c>
      <c r="R75" s="47">
        <v>403</v>
      </c>
    </row>
    <row r="76" spans="1:18" x14ac:dyDescent="0.35">
      <c r="A76" s="50">
        <v>45722</v>
      </c>
      <c r="B76" s="23">
        <v>0</v>
      </c>
      <c r="C76" s="23">
        <v>2004</v>
      </c>
      <c r="D76" s="23">
        <v>-2286711.12</v>
      </c>
      <c r="E76" s="22" t="s">
        <v>571</v>
      </c>
      <c r="F76" s="22" t="s">
        <v>557</v>
      </c>
      <c r="G76" s="22" t="s">
        <v>571</v>
      </c>
      <c r="H76" s="24">
        <v>246779411185</v>
      </c>
      <c r="I76" s="72"/>
      <c r="J76" s="72"/>
      <c r="L76" s="56">
        <v>246779410843</v>
      </c>
      <c r="M76" s="49">
        <v>0</v>
      </c>
      <c r="N76" s="49">
        <v>403</v>
      </c>
      <c r="P76" s="40">
        <v>246779410843</v>
      </c>
      <c r="Q76" s="47">
        <v>0</v>
      </c>
      <c r="R76" s="47">
        <v>403</v>
      </c>
    </row>
    <row r="77" spans="1:18" x14ac:dyDescent="0.35">
      <c r="A77" s="50">
        <v>45733</v>
      </c>
      <c r="B77" s="23">
        <v>0</v>
      </c>
      <c r="C77" s="23">
        <v>1842</v>
      </c>
      <c r="D77" s="23">
        <v>-2288553.12</v>
      </c>
      <c r="E77" s="22" t="s">
        <v>572</v>
      </c>
      <c r="F77" s="22" t="s">
        <v>573</v>
      </c>
      <c r="G77" s="22" t="s">
        <v>572</v>
      </c>
      <c r="H77" s="24">
        <v>246779411758</v>
      </c>
      <c r="I77" s="72"/>
      <c r="J77" s="72"/>
      <c r="L77" s="56">
        <v>246779410844</v>
      </c>
      <c r="M77" s="49">
        <v>0</v>
      </c>
      <c r="N77" s="49">
        <v>403</v>
      </c>
      <c r="P77" s="40">
        <v>246779410844</v>
      </c>
      <c r="Q77" s="47">
        <v>0</v>
      </c>
      <c r="R77" s="47">
        <v>403</v>
      </c>
    </row>
    <row r="78" spans="1:18" x14ac:dyDescent="0.35">
      <c r="A78" s="50">
        <v>45733</v>
      </c>
      <c r="B78" s="23">
        <v>0</v>
      </c>
      <c r="C78" s="23">
        <v>576</v>
      </c>
      <c r="D78" s="23">
        <v>-2289129.12</v>
      </c>
      <c r="E78" s="22" t="s">
        <v>574</v>
      </c>
      <c r="F78" s="22" t="s">
        <v>573</v>
      </c>
      <c r="G78" s="22" t="s">
        <v>574</v>
      </c>
      <c r="H78" s="24">
        <v>246779411933</v>
      </c>
      <c r="I78" s="72"/>
      <c r="J78" s="72"/>
      <c r="L78" s="56">
        <v>246779410845</v>
      </c>
      <c r="M78" s="49">
        <v>0</v>
      </c>
      <c r="N78" s="49">
        <v>805</v>
      </c>
      <c r="P78" s="40">
        <v>246779410845</v>
      </c>
      <c r="Q78" s="47">
        <v>0</v>
      </c>
      <c r="R78" s="47">
        <v>805</v>
      </c>
    </row>
    <row r="79" spans="1:18" x14ac:dyDescent="0.35">
      <c r="A79" s="50">
        <v>45733</v>
      </c>
      <c r="B79" s="23">
        <v>0</v>
      </c>
      <c r="C79" s="23">
        <v>336</v>
      </c>
      <c r="D79" s="23">
        <v>-2289465.12</v>
      </c>
      <c r="E79" s="22" t="s">
        <v>575</v>
      </c>
      <c r="F79" s="22" t="s">
        <v>573</v>
      </c>
      <c r="G79" s="22" t="s">
        <v>575</v>
      </c>
      <c r="H79" s="24">
        <v>246779411934</v>
      </c>
      <c r="I79" s="72"/>
      <c r="J79" s="72"/>
      <c r="L79" s="56">
        <v>246779410846</v>
      </c>
      <c r="M79" s="49">
        <v>0</v>
      </c>
      <c r="N79" s="49">
        <v>381</v>
      </c>
      <c r="P79" s="40">
        <v>246779410846</v>
      </c>
      <c r="Q79" s="47">
        <v>0</v>
      </c>
      <c r="R79" s="47">
        <v>381</v>
      </c>
    </row>
    <row r="80" spans="1:18" x14ac:dyDescent="0.35">
      <c r="A80" s="50">
        <v>45733</v>
      </c>
      <c r="B80" s="23">
        <v>0</v>
      </c>
      <c r="C80" s="23">
        <v>576</v>
      </c>
      <c r="D80" s="23">
        <v>-2290041.12</v>
      </c>
      <c r="E80" s="22" t="s">
        <v>576</v>
      </c>
      <c r="F80" s="22" t="s">
        <v>573</v>
      </c>
      <c r="G80" s="22" t="s">
        <v>576</v>
      </c>
      <c r="H80" s="24">
        <v>246779411935</v>
      </c>
      <c r="I80" s="72"/>
      <c r="J80" s="72"/>
      <c r="L80" s="56">
        <v>246779410847</v>
      </c>
      <c r="M80" s="49">
        <v>0</v>
      </c>
      <c r="N80" s="49">
        <v>1528</v>
      </c>
      <c r="P80" s="40">
        <v>246779410847</v>
      </c>
      <c r="Q80" s="47">
        <v>0</v>
      </c>
      <c r="R80" s="47">
        <v>1528</v>
      </c>
    </row>
    <row r="81" spans="1:18" x14ac:dyDescent="0.35">
      <c r="A81" s="50">
        <v>45735</v>
      </c>
      <c r="B81" s="23">
        <v>0</v>
      </c>
      <c r="C81" s="23">
        <v>35488</v>
      </c>
      <c r="D81" s="23">
        <v>-2325529.12</v>
      </c>
      <c r="E81" s="22" t="s">
        <v>577</v>
      </c>
      <c r="F81" s="22" t="s">
        <v>491</v>
      </c>
      <c r="G81" s="22" t="s">
        <v>577</v>
      </c>
      <c r="H81" s="24">
        <v>246779413000</v>
      </c>
      <c r="I81" s="72"/>
      <c r="J81" s="72"/>
      <c r="L81" s="56">
        <v>246779410848</v>
      </c>
      <c r="M81" s="49">
        <v>0</v>
      </c>
      <c r="N81" s="49">
        <v>200</v>
      </c>
      <c r="P81" s="40">
        <v>246779410848</v>
      </c>
      <c r="Q81" s="47">
        <v>0</v>
      </c>
      <c r="R81" s="47">
        <v>200</v>
      </c>
    </row>
    <row r="82" spans="1:18" x14ac:dyDescent="0.35">
      <c r="A82" s="50">
        <v>45736</v>
      </c>
      <c r="B82" s="23">
        <v>0</v>
      </c>
      <c r="C82" s="23">
        <v>1268</v>
      </c>
      <c r="D82" s="23">
        <v>-2326797.12</v>
      </c>
      <c r="E82" s="22" t="s">
        <v>578</v>
      </c>
      <c r="F82" s="22" t="s">
        <v>579</v>
      </c>
      <c r="G82" s="22" t="s">
        <v>578</v>
      </c>
      <c r="H82" s="24">
        <v>246779414142</v>
      </c>
      <c r="I82" s="72"/>
      <c r="J82" s="72"/>
      <c r="L82" s="56">
        <v>246779410849</v>
      </c>
      <c r="M82" s="49">
        <v>0</v>
      </c>
      <c r="N82" s="49">
        <v>3436</v>
      </c>
      <c r="P82" s="40">
        <v>246779410849</v>
      </c>
      <c r="Q82" s="47">
        <v>0</v>
      </c>
      <c r="R82" s="47">
        <v>3436</v>
      </c>
    </row>
    <row r="83" spans="1:18" x14ac:dyDescent="0.35">
      <c r="A83" s="50">
        <v>45736</v>
      </c>
      <c r="B83" s="23">
        <v>0</v>
      </c>
      <c r="C83" s="23">
        <v>1408</v>
      </c>
      <c r="D83" s="23">
        <v>-2328205.12</v>
      </c>
      <c r="E83" s="22" t="s">
        <v>580</v>
      </c>
      <c r="F83" s="22" t="s">
        <v>581</v>
      </c>
      <c r="G83" s="22" t="s">
        <v>580</v>
      </c>
      <c r="H83" s="24">
        <v>246779411051</v>
      </c>
      <c r="I83" s="72"/>
      <c r="J83" s="72"/>
      <c r="L83" s="56">
        <v>246779410850</v>
      </c>
      <c r="M83" s="49">
        <v>0</v>
      </c>
      <c r="N83" s="49">
        <v>763</v>
      </c>
      <c r="P83" s="40">
        <v>246779410850</v>
      </c>
      <c r="Q83" s="47">
        <v>0</v>
      </c>
      <c r="R83" s="47">
        <v>763</v>
      </c>
    </row>
    <row r="84" spans="1:18" x14ac:dyDescent="0.35">
      <c r="A84" s="50">
        <v>45736</v>
      </c>
      <c r="B84" s="23">
        <v>0</v>
      </c>
      <c r="C84" s="23">
        <v>381</v>
      </c>
      <c r="D84" s="23">
        <v>-2328586.12</v>
      </c>
      <c r="E84" s="22" t="s">
        <v>582</v>
      </c>
      <c r="F84" s="22" t="s">
        <v>557</v>
      </c>
      <c r="G84" s="22" t="s">
        <v>582</v>
      </c>
      <c r="H84" s="24">
        <v>246779411052</v>
      </c>
      <c r="I84" s="72"/>
      <c r="J84" s="72"/>
      <c r="L84" s="56">
        <v>246779410851</v>
      </c>
      <c r="M84" s="49">
        <v>0</v>
      </c>
      <c r="N84" s="49">
        <v>381</v>
      </c>
      <c r="P84" s="40">
        <v>246779410851</v>
      </c>
      <c r="Q84" s="47">
        <v>0</v>
      </c>
      <c r="R84" s="47">
        <v>381</v>
      </c>
    </row>
    <row r="85" spans="1:18" x14ac:dyDescent="0.35">
      <c r="A85" s="50">
        <v>45736</v>
      </c>
      <c r="B85" s="23">
        <v>0</v>
      </c>
      <c r="C85" s="23">
        <v>1981</v>
      </c>
      <c r="D85" s="23">
        <v>-2330567.12</v>
      </c>
      <c r="E85" s="22" t="s">
        <v>583</v>
      </c>
      <c r="F85" s="22" t="s">
        <v>581</v>
      </c>
      <c r="G85" s="22" t="s">
        <v>583</v>
      </c>
      <c r="H85" s="24">
        <v>246779411053</v>
      </c>
      <c r="I85" s="72"/>
      <c r="J85" s="72"/>
      <c r="L85" s="56">
        <v>246779410852</v>
      </c>
      <c r="M85" s="49">
        <v>0</v>
      </c>
      <c r="N85" s="49">
        <v>381</v>
      </c>
      <c r="P85" s="40">
        <v>246779410852</v>
      </c>
      <c r="Q85" s="47">
        <v>0</v>
      </c>
      <c r="R85" s="47">
        <v>381</v>
      </c>
    </row>
    <row r="86" spans="1:18" x14ac:dyDescent="0.35">
      <c r="A86" s="50">
        <v>45736</v>
      </c>
      <c r="B86" s="23">
        <v>0</v>
      </c>
      <c r="C86" s="23">
        <v>1907</v>
      </c>
      <c r="D86" s="23">
        <v>-2332474.12</v>
      </c>
      <c r="E86" s="22" t="s">
        <v>584</v>
      </c>
      <c r="F86" s="22" t="s">
        <v>557</v>
      </c>
      <c r="G86" s="22" t="s">
        <v>584</v>
      </c>
      <c r="H86" s="24">
        <v>246779411050</v>
      </c>
      <c r="I86" s="72"/>
      <c r="J86" s="72"/>
      <c r="L86" s="56">
        <v>246779410853</v>
      </c>
      <c r="M86" s="49">
        <v>0</v>
      </c>
      <c r="N86" s="49">
        <v>190</v>
      </c>
      <c r="P86" s="40">
        <v>246779410853</v>
      </c>
      <c r="Q86" s="47">
        <v>0</v>
      </c>
      <c r="R86" s="47">
        <v>190</v>
      </c>
    </row>
    <row r="87" spans="1:18" x14ac:dyDescent="0.35">
      <c r="A87" s="50">
        <v>45736</v>
      </c>
      <c r="B87" s="23">
        <v>0</v>
      </c>
      <c r="C87" s="23">
        <v>596</v>
      </c>
      <c r="D87" s="23">
        <v>-2333070.12</v>
      </c>
      <c r="E87" s="22" t="s">
        <v>585</v>
      </c>
      <c r="F87" s="22" t="s">
        <v>500</v>
      </c>
      <c r="G87" s="22" t="s">
        <v>585</v>
      </c>
      <c r="H87" s="24">
        <v>246779413782</v>
      </c>
      <c r="I87" s="72"/>
      <c r="J87" s="72"/>
      <c r="L87" s="56">
        <v>246779410854</v>
      </c>
      <c r="M87" s="49">
        <v>0</v>
      </c>
      <c r="N87" s="49">
        <v>1145</v>
      </c>
      <c r="P87" s="40">
        <v>246779410854</v>
      </c>
      <c r="Q87" s="47">
        <v>0</v>
      </c>
      <c r="R87" s="47">
        <v>1145</v>
      </c>
    </row>
    <row r="88" spans="1:18" x14ac:dyDescent="0.35">
      <c r="A88" s="50">
        <v>45736</v>
      </c>
      <c r="B88" s="23">
        <v>0</v>
      </c>
      <c r="C88" s="23">
        <v>3578</v>
      </c>
      <c r="D88" s="23">
        <v>-2336648.12</v>
      </c>
      <c r="E88" s="22" t="s">
        <v>586</v>
      </c>
      <c r="F88" s="22" t="s">
        <v>500</v>
      </c>
      <c r="G88" s="22" t="s">
        <v>586</v>
      </c>
      <c r="H88" s="24">
        <v>246779413627</v>
      </c>
      <c r="I88" s="72"/>
      <c r="J88" s="72"/>
      <c r="L88" s="56">
        <v>246779410855</v>
      </c>
      <c r="M88" s="49">
        <v>0</v>
      </c>
      <c r="N88" s="49">
        <v>1527</v>
      </c>
      <c r="P88" s="40">
        <v>246779410855</v>
      </c>
      <c r="Q88" s="47">
        <v>0</v>
      </c>
      <c r="R88" s="47">
        <v>1527</v>
      </c>
    </row>
    <row r="89" spans="1:18" x14ac:dyDescent="0.35">
      <c r="A89" s="50">
        <v>45736</v>
      </c>
      <c r="B89" s="23">
        <v>0</v>
      </c>
      <c r="C89" s="23">
        <v>198</v>
      </c>
      <c r="D89" s="23">
        <v>-2336846.12</v>
      </c>
      <c r="E89" s="22" t="s">
        <v>587</v>
      </c>
      <c r="F89" s="22" t="s">
        <v>500</v>
      </c>
      <c r="G89" s="22" t="s">
        <v>587</v>
      </c>
      <c r="H89" s="24">
        <v>246779413628</v>
      </c>
      <c r="I89" s="72"/>
      <c r="J89" s="72"/>
      <c r="L89" s="56">
        <v>246779410874</v>
      </c>
      <c r="M89" s="49">
        <v>0</v>
      </c>
      <c r="N89" s="49">
        <v>241385</v>
      </c>
      <c r="P89" s="40">
        <v>246779410874</v>
      </c>
      <c r="Q89" s="47">
        <v>0</v>
      </c>
      <c r="R89" s="47">
        <v>241385</v>
      </c>
    </row>
    <row r="90" spans="1:18" x14ac:dyDescent="0.35">
      <c r="A90" s="50">
        <v>45736</v>
      </c>
      <c r="B90" s="23">
        <v>0</v>
      </c>
      <c r="C90" s="23">
        <v>397</v>
      </c>
      <c r="D90" s="23">
        <v>-2337243.12</v>
      </c>
      <c r="E90" s="22" t="s">
        <v>588</v>
      </c>
      <c r="F90" s="22" t="s">
        <v>500</v>
      </c>
      <c r="G90" s="22" t="s">
        <v>588</v>
      </c>
      <c r="H90" s="24">
        <v>246779413629</v>
      </c>
      <c r="I90" s="72"/>
      <c r="J90" s="72"/>
      <c r="L90" s="56">
        <v>246779410896</v>
      </c>
      <c r="M90" s="49">
        <v>0</v>
      </c>
      <c r="N90" s="49">
        <v>357094</v>
      </c>
      <c r="P90" s="40">
        <v>246779410896</v>
      </c>
      <c r="Q90" s="47">
        <v>0</v>
      </c>
      <c r="R90" s="47">
        <v>357094</v>
      </c>
    </row>
    <row r="91" spans="1:18" x14ac:dyDescent="0.35">
      <c r="A91" s="50">
        <v>45736</v>
      </c>
      <c r="B91" s="23">
        <v>0</v>
      </c>
      <c r="C91" s="23">
        <v>198</v>
      </c>
      <c r="D91" s="23">
        <v>-2337441.12</v>
      </c>
      <c r="E91" s="22" t="s">
        <v>589</v>
      </c>
      <c r="F91" s="22" t="s">
        <v>500</v>
      </c>
      <c r="G91" s="22" t="s">
        <v>589</v>
      </c>
      <c r="H91" s="24">
        <v>246779413690</v>
      </c>
      <c r="I91" s="72"/>
      <c r="J91" s="72"/>
      <c r="L91" s="56">
        <v>246779410970</v>
      </c>
      <c r="M91" s="49">
        <v>0</v>
      </c>
      <c r="N91" s="49">
        <v>1882</v>
      </c>
      <c r="P91" s="40">
        <v>246779410970</v>
      </c>
      <c r="Q91" s="47">
        <v>0</v>
      </c>
      <c r="R91" s="47">
        <v>1882</v>
      </c>
    </row>
    <row r="92" spans="1:18" x14ac:dyDescent="0.35">
      <c r="A92" s="50">
        <v>45736</v>
      </c>
      <c r="B92" s="23">
        <v>0</v>
      </c>
      <c r="C92" s="23">
        <v>7156</v>
      </c>
      <c r="D92" s="23">
        <v>-2344597.12</v>
      </c>
      <c r="E92" s="22" t="s">
        <v>590</v>
      </c>
      <c r="F92" s="22" t="s">
        <v>500</v>
      </c>
      <c r="G92" s="22" t="s">
        <v>590</v>
      </c>
      <c r="H92" s="24">
        <v>246779413626</v>
      </c>
      <c r="I92" s="72"/>
      <c r="J92" s="72"/>
      <c r="L92" s="56">
        <v>246779410971</v>
      </c>
      <c r="M92" s="49">
        <v>0</v>
      </c>
      <c r="N92" s="49">
        <v>36538</v>
      </c>
      <c r="P92" s="40">
        <v>246779410971</v>
      </c>
      <c r="Q92" s="47">
        <v>0</v>
      </c>
      <c r="R92" s="47">
        <v>36538</v>
      </c>
    </row>
    <row r="93" spans="1:18" x14ac:dyDescent="0.35">
      <c r="A93" s="50">
        <v>45736</v>
      </c>
      <c r="B93" s="23">
        <v>0</v>
      </c>
      <c r="C93" s="23">
        <v>198</v>
      </c>
      <c r="D93" s="23">
        <v>-2344795.12</v>
      </c>
      <c r="E93" s="22" t="s">
        <v>591</v>
      </c>
      <c r="F93" s="22" t="s">
        <v>500</v>
      </c>
      <c r="G93" s="22" t="s">
        <v>591</v>
      </c>
      <c r="H93" s="24">
        <v>246779413625</v>
      </c>
      <c r="I93" s="72"/>
      <c r="J93" s="72"/>
      <c r="L93" s="56">
        <v>246779410972</v>
      </c>
      <c r="M93" s="49">
        <v>0</v>
      </c>
      <c r="N93" s="49">
        <v>1481</v>
      </c>
      <c r="P93" s="40">
        <v>246779410972</v>
      </c>
      <c r="Q93" s="47">
        <v>0</v>
      </c>
      <c r="R93" s="47">
        <v>1481</v>
      </c>
    </row>
    <row r="94" spans="1:18" x14ac:dyDescent="0.35">
      <c r="A94" s="50">
        <v>45736</v>
      </c>
      <c r="B94" s="23">
        <v>0</v>
      </c>
      <c r="C94" s="23">
        <v>1590</v>
      </c>
      <c r="D94" s="23">
        <v>-2346385.12</v>
      </c>
      <c r="E94" s="22" t="s">
        <v>592</v>
      </c>
      <c r="F94" s="22" t="s">
        <v>500</v>
      </c>
      <c r="G94" s="22" t="s">
        <v>592</v>
      </c>
      <c r="H94" s="24">
        <v>246779413622</v>
      </c>
      <c r="I94" s="72"/>
      <c r="J94" s="72"/>
      <c r="L94" s="56">
        <v>246779410973</v>
      </c>
      <c r="M94" s="49">
        <v>0</v>
      </c>
      <c r="N94" s="49">
        <v>2884</v>
      </c>
      <c r="P94" s="40">
        <v>246779410973</v>
      </c>
      <c r="Q94" s="47">
        <v>0</v>
      </c>
      <c r="R94" s="47">
        <v>2884</v>
      </c>
    </row>
    <row r="95" spans="1:18" x14ac:dyDescent="0.35">
      <c r="A95" s="50">
        <v>45736</v>
      </c>
      <c r="B95" s="23">
        <v>0</v>
      </c>
      <c r="C95" s="23">
        <v>198</v>
      </c>
      <c r="D95" s="23">
        <v>-2346583.12</v>
      </c>
      <c r="E95" s="22" t="s">
        <v>593</v>
      </c>
      <c r="F95" s="22" t="s">
        <v>500</v>
      </c>
      <c r="G95" s="22" t="s">
        <v>593</v>
      </c>
      <c r="H95" s="24">
        <v>246779413623</v>
      </c>
      <c r="I95" s="72"/>
      <c r="J95" s="72"/>
      <c r="L95" s="56">
        <v>246779410974</v>
      </c>
      <c r="M95" s="49">
        <v>0</v>
      </c>
      <c r="N95" s="49">
        <v>401</v>
      </c>
      <c r="P95" s="40">
        <v>246779410974</v>
      </c>
      <c r="Q95" s="47">
        <v>0</v>
      </c>
      <c r="R95" s="47">
        <v>401</v>
      </c>
    </row>
    <row r="96" spans="1:18" x14ac:dyDescent="0.35">
      <c r="A96" s="50">
        <v>45736</v>
      </c>
      <c r="B96" s="23">
        <v>0</v>
      </c>
      <c r="C96" s="23">
        <v>596</v>
      </c>
      <c r="D96" s="23">
        <v>-2347179.12</v>
      </c>
      <c r="E96" s="22" t="s">
        <v>594</v>
      </c>
      <c r="F96" s="22" t="s">
        <v>500</v>
      </c>
      <c r="G96" s="22" t="s">
        <v>594</v>
      </c>
      <c r="H96" s="24">
        <v>246779413624</v>
      </c>
      <c r="I96" s="72"/>
      <c r="J96" s="72"/>
      <c r="L96" s="56">
        <v>246779411050</v>
      </c>
      <c r="M96" s="49">
        <v>0</v>
      </c>
      <c r="N96" s="49">
        <v>1907</v>
      </c>
      <c r="P96" s="40">
        <v>246779411050</v>
      </c>
      <c r="Q96" s="47">
        <v>0</v>
      </c>
      <c r="R96" s="47">
        <v>1907</v>
      </c>
    </row>
    <row r="97" spans="1:18" x14ac:dyDescent="0.35">
      <c r="A97" s="50">
        <v>45747</v>
      </c>
      <c r="B97" s="23">
        <v>0</v>
      </c>
      <c r="C97" s="23">
        <v>4387</v>
      </c>
      <c r="D97" s="23">
        <v>-2351566.12</v>
      </c>
      <c r="E97" s="22" t="s">
        <v>595</v>
      </c>
      <c r="F97" s="22" t="s">
        <v>557</v>
      </c>
      <c r="G97" s="22" t="s">
        <v>595</v>
      </c>
      <c r="H97" s="24">
        <v>246779411054</v>
      </c>
      <c r="I97" s="72"/>
      <c r="J97" s="72"/>
      <c r="L97" s="56">
        <v>246779411051</v>
      </c>
      <c r="M97" s="49">
        <v>0</v>
      </c>
      <c r="N97" s="49">
        <v>1408</v>
      </c>
      <c r="P97" s="40">
        <v>246779411051</v>
      </c>
      <c r="Q97" s="47">
        <v>0</v>
      </c>
      <c r="R97" s="47">
        <v>1408</v>
      </c>
    </row>
    <row r="98" spans="1:18" x14ac:dyDescent="0.35">
      <c r="A98" s="50">
        <v>45747</v>
      </c>
      <c r="B98" s="23">
        <v>0</v>
      </c>
      <c r="C98" s="23">
        <v>1408</v>
      </c>
      <c r="D98" s="23">
        <v>-2352974.12</v>
      </c>
      <c r="E98" s="22" t="s">
        <v>596</v>
      </c>
      <c r="F98" s="22" t="s">
        <v>559</v>
      </c>
      <c r="G98" s="22" t="s">
        <v>596</v>
      </c>
      <c r="H98" s="24">
        <v>246779411055</v>
      </c>
      <c r="I98" s="72"/>
      <c r="J98" s="72"/>
      <c r="L98" s="56">
        <v>246779411052</v>
      </c>
      <c r="M98" s="49">
        <v>0</v>
      </c>
      <c r="N98" s="49">
        <v>381</v>
      </c>
      <c r="P98" s="40">
        <v>246779411052</v>
      </c>
      <c r="Q98" s="47">
        <v>0</v>
      </c>
      <c r="R98" s="47">
        <v>381</v>
      </c>
    </row>
    <row r="99" spans="1:18" x14ac:dyDescent="0.35">
      <c r="A99" s="50">
        <v>45747</v>
      </c>
      <c r="B99" s="23">
        <v>0</v>
      </c>
      <c r="C99" s="23">
        <v>3434</v>
      </c>
      <c r="D99" s="23">
        <v>-2356408.12</v>
      </c>
      <c r="E99" s="22" t="s">
        <v>597</v>
      </c>
      <c r="F99" s="22" t="s">
        <v>557</v>
      </c>
      <c r="G99" s="22" t="s">
        <v>597</v>
      </c>
      <c r="H99" s="24">
        <v>246779411248</v>
      </c>
      <c r="I99" s="72"/>
      <c r="J99" s="72"/>
      <c r="L99" s="56">
        <v>246779411053</v>
      </c>
      <c r="M99" s="49">
        <v>0</v>
      </c>
      <c r="N99" s="49">
        <v>1981</v>
      </c>
      <c r="P99" s="40">
        <v>246779411053</v>
      </c>
      <c r="Q99" s="47">
        <v>0</v>
      </c>
      <c r="R99" s="47">
        <v>1981</v>
      </c>
    </row>
    <row r="100" spans="1:18" x14ac:dyDescent="0.35">
      <c r="A100" s="50">
        <v>45747</v>
      </c>
      <c r="B100" s="23">
        <v>0</v>
      </c>
      <c r="C100" s="23">
        <v>13737</v>
      </c>
      <c r="D100" s="23">
        <v>-2370145.12</v>
      </c>
      <c r="E100" s="22" t="s">
        <v>598</v>
      </c>
      <c r="F100" s="22" t="s">
        <v>557</v>
      </c>
      <c r="G100" s="22" t="s">
        <v>598</v>
      </c>
      <c r="H100" s="24">
        <v>246779411249</v>
      </c>
      <c r="I100" s="72"/>
      <c r="J100" s="72"/>
      <c r="L100" s="56">
        <v>246779411054</v>
      </c>
      <c r="M100" s="49">
        <v>0</v>
      </c>
      <c r="N100" s="49">
        <v>4387</v>
      </c>
      <c r="P100" s="40">
        <v>246779411054</v>
      </c>
      <c r="Q100" s="47">
        <v>0</v>
      </c>
      <c r="R100" s="47">
        <v>4387</v>
      </c>
    </row>
    <row r="101" spans="1:18" x14ac:dyDescent="0.35">
      <c r="A101" s="50">
        <v>45747</v>
      </c>
      <c r="B101" s="23">
        <v>0</v>
      </c>
      <c r="C101" s="23">
        <v>1599</v>
      </c>
      <c r="D101" s="23">
        <v>-2371744.12</v>
      </c>
      <c r="E101" s="22" t="s">
        <v>599</v>
      </c>
      <c r="F101" s="22" t="s">
        <v>559</v>
      </c>
      <c r="G101" s="22" t="s">
        <v>599</v>
      </c>
      <c r="H101" s="24">
        <v>246779411250</v>
      </c>
      <c r="I101" s="72"/>
      <c r="J101" s="72"/>
      <c r="L101" s="56">
        <v>246779411055</v>
      </c>
      <c r="M101" s="49">
        <v>0</v>
      </c>
      <c r="N101" s="49">
        <v>1408</v>
      </c>
      <c r="P101" s="40">
        <v>246779411055</v>
      </c>
      <c r="Q101" s="47">
        <v>0</v>
      </c>
      <c r="R101" s="47">
        <v>1408</v>
      </c>
    </row>
    <row r="102" spans="1:18" x14ac:dyDescent="0.35">
      <c r="A102" s="50">
        <v>45747</v>
      </c>
      <c r="B102" s="23">
        <v>0</v>
      </c>
      <c r="C102" s="23">
        <v>1599</v>
      </c>
      <c r="D102" s="23">
        <v>-2373343.12</v>
      </c>
      <c r="E102" s="22" t="s">
        <v>600</v>
      </c>
      <c r="F102" s="22" t="s">
        <v>559</v>
      </c>
      <c r="G102" s="22" t="s">
        <v>600</v>
      </c>
      <c r="H102" s="24">
        <v>246779411251</v>
      </c>
      <c r="I102" s="72"/>
      <c r="J102" s="72"/>
      <c r="L102" s="56">
        <v>246779411128</v>
      </c>
      <c r="M102" s="49">
        <v>0</v>
      </c>
      <c r="N102" s="49">
        <v>2406</v>
      </c>
      <c r="P102" s="40">
        <v>246779411128</v>
      </c>
      <c r="Q102" s="47">
        <v>0</v>
      </c>
      <c r="R102" s="47">
        <v>2406</v>
      </c>
    </row>
    <row r="103" spans="1:18" x14ac:dyDescent="0.35">
      <c r="A103" s="50">
        <v>45747</v>
      </c>
      <c r="B103" s="23">
        <v>0</v>
      </c>
      <c r="C103" s="23">
        <v>1907</v>
      </c>
      <c r="D103" s="23">
        <v>-2375250.12</v>
      </c>
      <c r="E103" s="22" t="s">
        <v>601</v>
      </c>
      <c r="F103" s="22" t="s">
        <v>557</v>
      </c>
      <c r="G103" s="22" t="s">
        <v>601</v>
      </c>
      <c r="H103" s="24">
        <v>246779411252</v>
      </c>
      <c r="I103" s="72"/>
      <c r="J103" s="72"/>
      <c r="L103" s="56">
        <v>246779411185</v>
      </c>
      <c r="M103" s="49">
        <v>0</v>
      </c>
      <c r="N103" s="49">
        <v>2004</v>
      </c>
      <c r="P103" s="40">
        <v>246779411185</v>
      </c>
      <c r="Q103" s="47">
        <v>0</v>
      </c>
      <c r="R103" s="47">
        <v>2004</v>
      </c>
    </row>
    <row r="104" spans="1:18" x14ac:dyDescent="0.35">
      <c r="A104" s="50">
        <v>45747</v>
      </c>
      <c r="B104" s="23">
        <v>0</v>
      </c>
      <c r="C104" s="23">
        <v>1907</v>
      </c>
      <c r="D104" s="23">
        <v>-2377157.12</v>
      </c>
      <c r="E104" s="22" t="s">
        <v>602</v>
      </c>
      <c r="F104" s="22" t="s">
        <v>557</v>
      </c>
      <c r="G104" s="22" t="s">
        <v>602</v>
      </c>
      <c r="H104" s="24">
        <v>246779414317</v>
      </c>
      <c r="I104" s="72"/>
      <c r="J104" s="72"/>
      <c r="L104" s="56">
        <v>246779411186</v>
      </c>
      <c r="M104" s="49">
        <v>0</v>
      </c>
      <c r="N104" s="49">
        <v>2004</v>
      </c>
      <c r="P104" s="40">
        <v>246779411186</v>
      </c>
      <c r="Q104" s="47">
        <v>0</v>
      </c>
      <c r="R104" s="47">
        <v>2004</v>
      </c>
    </row>
    <row r="105" spans="1:18" x14ac:dyDescent="0.35">
      <c r="A105" s="50">
        <v>45747</v>
      </c>
      <c r="B105" s="23">
        <v>0</v>
      </c>
      <c r="C105" s="23">
        <v>4652</v>
      </c>
      <c r="D105" s="23">
        <v>-2381809.12</v>
      </c>
      <c r="E105" s="22" t="s">
        <v>603</v>
      </c>
      <c r="F105" s="22" t="s">
        <v>557</v>
      </c>
      <c r="G105" s="22" t="s">
        <v>603</v>
      </c>
      <c r="H105" s="24">
        <v>246779414141</v>
      </c>
      <c r="I105" s="72"/>
      <c r="J105" s="72"/>
      <c r="L105" s="56">
        <v>246779411187</v>
      </c>
      <c r="M105" s="49">
        <v>0</v>
      </c>
      <c r="N105" s="49">
        <v>2004</v>
      </c>
      <c r="P105" s="40">
        <v>246779411187</v>
      </c>
      <c r="Q105" s="47">
        <v>0</v>
      </c>
      <c r="R105" s="47">
        <v>2004</v>
      </c>
    </row>
    <row r="106" spans="1:18" x14ac:dyDescent="0.35">
      <c r="A106" s="50">
        <v>45747</v>
      </c>
      <c r="B106" s="23">
        <v>0</v>
      </c>
      <c r="C106" s="23">
        <v>2674</v>
      </c>
      <c r="D106" s="23">
        <v>-2384483.12</v>
      </c>
      <c r="E106" s="22" t="s">
        <v>604</v>
      </c>
      <c r="F106" s="22" t="s">
        <v>557</v>
      </c>
      <c r="G106" s="22" t="s">
        <v>604</v>
      </c>
      <c r="H106" s="24">
        <v>246779414467</v>
      </c>
      <c r="I106" s="72"/>
      <c r="J106" s="72"/>
      <c r="L106" s="56">
        <v>246779411188</v>
      </c>
      <c r="M106" s="49">
        <v>0</v>
      </c>
      <c r="N106" s="49">
        <v>2004</v>
      </c>
      <c r="P106" s="40">
        <v>246779411188</v>
      </c>
      <c r="Q106" s="47">
        <v>0</v>
      </c>
      <c r="R106" s="47">
        <v>2004</v>
      </c>
    </row>
    <row r="107" spans="1:18" x14ac:dyDescent="0.35">
      <c r="A107" s="50">
        <v>45747</v>
      </c>
      <c r="B107" s="23">
        <v>0</v>
      </c>
      <c r="C107" s="23">
        <v>34760</v>
      </c>
      <c r="D107" s="23">
        <v>-2419243.12</v>
      </c>
      <c r="E107" s="22" t="s">
        <v>605</v>
      </c>
      <c r="F107" s="22" t="s">
        <v>500</v>
      </c>
      <c r="G107" s="22" t="s">
        <v>605</v>
      </c>
      <c r="H107" s="24">
        <v>246779414603</v>
      </c>
      <c r="I107" s="72"/>
      <c r="J107" s="72"/>
      <c r="L107" s="56">
        <v>246779411189</v>
      </c>
      <c r="M107" s="49">
        <v>0</v>
      </c>
      <c r="N107" s="49">
        <v>2004</v>
      </c>
      <c r="P107" s="40">
        <v>246779411189</v>
      </c>
      <c r="Q107" s="47">
        <v>0</v>
      </c>
      <c r="R107" s="47">
        <v>2004</v>
      </c>
    </row>
    <row r="108" spans="1:18" x14ac:dyDescent="0.35">
      <c r="A108" s="50">
        <v>45747</v>
      </c>
      <c r="B108" s="23">
        <v>0</v>
      </c>
      <c r="C108" s="23">
        <v>480</v>
      </c>
      <c r="D108" s="23">
        <v>-2419723.12</v>
      </c>
      <c r="E108" s="22" t="s">
        <v>606</v>
      </c>
      <c r="F108" s="22" t="s">
        <v>573</v>
      </c>
      <c r="G108" s="22" t="s">
        <v>606</v>
      </c>
      <c r="H108" s="24">
        <v>246779411936</v>
      </c>
      <c r="I108" s="72"/>
      <c r="J108" s="72"/>
      <c r="L108" s="56">
        <v>246779411248</v>
      </c>
      <c r="M108" s="49">
        <v>0</v>
      </c>
      <c r="N108" s="49">
        <v>3434</v>
      </c>
      <c r="P108" s="40">
        <v>246779411248</v>
      </c>
      <c r="Q108" s="47">
        <v>0</v>
      </c>
      <c r="R108" s="47">
        <v>3434</v>
      </c>
    </row>
    <row r="109" spans="1:18" x14ac:dyDescent="0.35">
      <c r="A109" s="50">
        <v>45747</v>
      </c>
      <c r="B109" s="23">
        <v>0</v>
      </c>
      <c r="C109" s="23">
        <v>20874</v>
      </c>
      <c r="D109" s="23">
        <v>-2440597.12</v>
      </c>
      <c r="E109" s="22" t="s">
        <v>607</v>
      </c>
      <c r="F109" s="22" t="s">
        <v>608</v>
      </c>
      <c r="G109" s="22" t="s">
        <v>607</v>
      </c>
      <c r="H109" s="24">
        <v>246779411326</v>
      </c>
      <c r="I109" s="72"/>
      <c r="J109" s="72"/>
      <c r="L109" s="56">
        <v>246779411249</v>
      </c>
      <c r="M109" s="49">
        <v>0</v>
      </c>
      <c r="N109" s="49">
        <v>13737</v>
      </c>
      <c r="P109" s="40">
        <v>246779411249</v>
      </c>
      <c r="Q109" s="47">
        <v>0</v>
      </c>
      <c r="R109" s="47">
        <v>13737</v>
      </c>
    </row>
    <row r="110" spans="1:18" x14ac:dyDescent="0.35">
      <c r="A110" s="50">
        <v>45747</v>
      </c>
      <c r="B110" s="23">
        <v>0</v>
      </c>
      <c r="C110" s="23">
        <v>18610</v>
      </c>
      <c r="D110" s="23">
        <v>-2459207.12</v>
      </c>
      <c r="E110" s="22" t="s">
        <v>609</v>
      </c>
      <c r="F110" s="22" t="s">
        <v>608</v>
      </c>
      <c r="G110" s="22" t="s">
        <v>609</v>
      </c>
      <c r="H110" s="24">
        <v>246779413816</v>
      </c>
      <c r="I110" s="72"/>
      <c r="J110" s="72"/>
      <c r="L110" s="56">
        <v>246779411250</v>
      </c>
      <c r="M110" s="49">
        <v>0</v>
      </c>
      <c r="N110" s="49">
        <v>1599</v>
      </c>
      <c r="P110" s="40">
        <v>246779411250</v>
      </c>
      <c r="Q110" s="47">
        <v>0</v>
      </c>
      <c r="R110" s="47">
        <v>1599</v>
      </c>
    </row>
    <row r="111" spans="1:18" x14ac:dyDescent="0.35">
      <c r="A111" s="50">
        <v>45747</v>
      </c>
      <c r="B111" s="23">
        <v>0</v>
      </c>
      <c r="C111" s="23">
        <v>31723</v>
      </c>
      <c r="D111" s="23">
        <v>-2490930.12</v>
      </c>
      <c r="E111" s="22" t="s">
        <v>610</v>
      </c>
      <c r="F111" s="22" t="s">
        <v>608</v>
      </c>
      <c r="G111" s="22" t="s">
        <v>610</v>
      </c>
      <c r="H111" s="24">
        <v>246779413827</v>
      </c>
      <c r="I111" s="72"/>
      <c r="J111" s="72"/>
      <c r="L111" s="56">
        <v>246779411251</v>
      </c>
      <c r="M111" s="49">
        <v>0</v>
      </c>
      <c r="N111" s="49">
        <v>1599</v>
      </c>
      <c r="P111" s="40">
        <v>246779411251</v>
      </c>
      <c r="Q111" s="47">
        <v>0</v>
      </c>
      <c r="R111" s="47">
        <v>1599</v>
      </c>
    </row>
    <row r="112" spans="1:18" x14ac:dyDescent="0.35">
      <c r="A112" s="50">
        <v>45747</v>
      </c>
      <c r="B112" s="23">
        <v>0</v>
      </c>
      <c r="C112" s="23">
        <v>31723</v>
      </c>
      <c r="D112" s="23">
        <v>-2522653.12</v>
      </c>
      <c r="E112" s="22" t="s">
        <v>611</v>
      </c>
      <c r="F112" s="22" t="s">
        <v>608</v>
      </c>
      <c r="G112" s="22" t="s">
        <v>611</v>
      </c>
      <c r="H112" s="24">
        <v>246779413753</v>
      </c>
      <c r="I112" s="72"/>
      <c r="J112" s="72"/>
      <c r="L112" s="56">
        <v>246779411252</v>
      </c>
      <c r="M112" s="49">
        <v>0</v>
      </c>
      <c r="N112" s="49">
        <v>1907</v>
      </c>
      <c r="P112" s="40">
        <v>246779411252</v>
      </c>
      <c r="Q112" s="47">
        <v>0</v>
      </c>
      <c r="R112" s="47">
        <v>1907</v>
      </c>
    </row>
    <row r="113" spans="1:18" x14ac:dyDescent="0.35">
      <c r="A113" s="50">
        <v>45747</v>
      </c>
      <c r="B113" s="23">
        <v>0</v>
      </c>
      <c r="C113" s="23">
        <v>191</v>
      </c>
      <c r="D113" s="23">
        <v>-2522844.12</v>
      </c>
      <c r="E113" s="22" t="s">
        <v>612</v>
      </c>
      <c r="F113" s="22" t="s">
        <v>500</v>
      </c>
      <c r="G113" s="22" t="s">
        <v>612</v>
      </c>
      <c r="H113" s="24">
        <v>246779413762</v>
      </c>
      <c r="I113" s="72"/>
      <c r="J113" s="72"/>
      <c r="L113" s="56">
        <v>246779411278</v>
      </c>
      <c r="M113" s="49"/>
      <c r="N113" s="49"/>
      <c r="P113" s="40">
        <v>246779411278</v>
      </c>
      <c r="Q113" s="47">
        <v>0</v>
      </c>
      <c r="R113" s="47">
        <v>44602</v>
      </c>
    </row>
    <row r="114" spans="1:18" x14ac:dyDescent="0.35">
      <c r="A114" s="50">
        <v>45747</v>
      </c>
      <c r="B114" s="23">
        <v>0</v>
      </c>
      <c r="C114" s="23">
        <v>3064</v>
      </c>
      <c r="D114" s="23">
        <v>-2525908.12</v>
      </c>
      <c r="E114" s="22" t="s">
        <v>613</v>
      </c>
      <c r="F114" s="22" t="s">
        <v>500</v>
      </c>
      <c r="G114" s="22" t="s">
        <v>613</v>
      </c>
      <c r="H114" s="24">
        <v>246779413745</v>
      </c>
      <c r="I114" s="72"/>
      <c r="J114" s="72"/>
      <c r="L114" s="56">
        <v>246779411300</v>
      </c>
      <c r="M114" s="49">
        <v>0</v>
      </c>
      <c r="N114" s="49">
        <v>33376</v>
      </c>
      <c r="P114" s="40">
        <v>246779411300</v>
      </c>
      <c r="Q114" s="47">
        <v>33376</v>
      </c>
      <c r="R114" s="47">
        <v>33376</v>
      </c>
    </row>
    <row r="115" spans="1:18" x14ac:dyDescent="0.35">
      <c r="A115" s="50">
        <v>45747</v>
      </c>
      <c r="B115" s="23">
        <v>0</v>
      </c>
      <c r="C115" s="23">
        <v>3448</v>
      </c>
      <c r="D115" s="23">
        <v>-2529356.12</v>
      </c>
      <c r="E115" s="22" t="s">
        <v>614</v>
      </c>
      <c r="F115" s="22" t="s">
        <v>500</v>
      </c>
      <c r="G115" s="22" t="s">
        <v>614</v>
      </c>
      <c r="H115" s="24">
        <v>246779413734</v>
      </c>
      <c r="I115" s="72"/>
      <c r="J115" s="72"/>
      <c r="L115" s="56">
        <v>246779411314</v>
      </c>
      <c r="M115" s="49">
        <v>0</v>
      </c>
      <c r="N115" s="49">
        <v>8522</v>
      </c>
      <c r="P115" s="40">
        <v>246779411314</v>
      </c>
      <c r="Q115" s="47">
        <v>0</v>
      </c>
      <c r="R115" s="47">
        <v>8522</v>
      </c>
    </row>
    <row r="116" spans="1:18" x14ac:dyDescent="0.35">
      <c r="A116" s="50">
        <v>45747</v>
      </c>
      <c r="B116" s="23">
        <v>0</v>
      </c>
      <c r="C116" s="23">
        <v>6513</v>
      </c>
      <c r="D116" s="23">
        <v>-2535869.12</v>
      </c>
      <c r="E116" s="22" t="s">
        <v>615</v>
      </c>
      <c r="F116" s="22" t="s">
        <v>500</v>
      </c>
      <c r="G116" s="22" t="s">
        <v>615</v>
      </c>
      <c r="H116" s="24">
        <v>246779413736</v>
      </c>
      <c r="I116" s="72"/>
      <c r="J116" s="72"/>
      <c r="L116" s="56">
        <v>246779411326</v>
      </c>
      <c r="M116" s="49">
        <v>0</v>
      </c>
      <c r="N116" s="49">
        <v>20874</v>
      </c>
      <c r="P116" s="40">
        <v>246779411326</v>
      </c>
      <c r="Q116" s="47">
        <v>20874</v>
      </c>
      <c r="R116" s="47">
        <v>20874</v>
      </c>
    </row>
    <row r="117" spans="1:18" x14ac:dyDescent="0.35">
      <c r="A117" s="50">
        <v>45747</v>
      </c>
      <c r="B117" s="23">
        <v>0</v>
      </c>
      <c r="C117" s="23">
        <v>1724</v>
      </c>
      <c r="D117" s="23">
        <v>-2537593.12</v>
      </c>
      <c r="E117" s="22" t="s">
        <v>616</v>
      </c>
      <c r="F117" s="22" t="s">
        <v>500</v>
      </c>
      <c r="G117" s="22" t="s">
        <v>616</v>
      </c>
      <c r="H117" s="24">
        <v>246779413739</v>
      </c>
      <c r="I117" s="72"/>
      <c r="J117" s="72"/>
      <c r="L117" s="56">
        <v>246779411339</v>
      </c>
      <c r="M117" s="49">
        <v>0</v>
      </c>
      <c r="N117" s="49">
        <v>17857</v>
      </c>
      <c r="P117" s="40">
        <v>246779411339</v>
      </c>
      <c r="Q117" s="47">
        <v>17857</v>
      </c>
      <c r="R117" s="47">
        <v>17857</v>
      </c>
    </row>
    <row r="118" spans="1:18" x14ac:dyDescent="0.35">
      <c r="A118" s="50">
        <v>45747</v>
      </c>
      <c r="B118" s="23">
        <v>0</v>
      </c>
      <c r="C118" s="23">
        <v>1149</v>
      </c>
      <c r="D118" s="23">
        <v>-2538742.12</v>
      </c>
      <c r="E118" s="22" t="s">
        <v>617</v>
      </c>
      <c r="F118" s="22" t="s">
        <v>500</v>
      </c>
      <c r="G118" s="22" t="s">
        <v>617</v>
      </c>
      <c r="H118" s="24">
        <v>246779413742</v>
      </c>
      <c r="I118" s="72"/>
      <c r="J118" s="72"/>
      <c r="L118" s="56">
        <v>246779411448</v>
      </c>
      <c r="M118" s="49">
        <v>0</v>
      </c>
      <c r="N118" s="49">
        <v>1161</v>
      </c>
      <c r="P118" s="40">
        <v>246779411448</v>
      </c>
      <c r="Q118" s="47">
        <v>0</v>
      </c>
      <c r="R118" s="47">
        <v>1161</v>
      </c>
    </row>
    <row r="119" spans="1:18" x14ac:dyDescent="0.35">
      <c r="A119" s="50">
        <v>45747</v>
      </c>
      <c r="B119" s="23">
        <v>0</v>
      </c>
      <c r="C119" s="23">
        <v>191</v>
      </c>
      <c r="D119" s="23">
        <v>-2538933.12</v>
      </c>
      <c r="E119" s="22" t="s">
        <v>618</v>
      </c>
      <c r="F119" s="22" t="s">
        <v>500</v>
      </c>
      <c r="G119" s="22" t="s">
        <v>618</v>
      </c>
      <c r="H119" s="24">
        <v>246779413692</v>
      </c>
      <c r="I119" s="72"/>
      <c r="J119" s="72"/>
      <c r="L119" s="56">
        <v>246779411619</v>
      </c>
      <c r="M119" s="49">
        <v>0</v>
      </c>
      <c r="N119" s="49">
        <v>143412</v>
      </c>
      <c r="P119" s="40">
        <v>246779411619</v>
      </c>
      <c r="Q119" s="47">
        <v>0</v>
      </c>
      <c r="R119" s="47">
        <v>143412</v>
      </c>
    </row>
    <row r="120" spans="1:18" x14ac:dyDescent="0.35">
      <c r="A120" s="50">
        <v>45747</v>
      </c>
      <c r="B120" s="23">
        <v>0</v>
      </c>
      <c r="C120" s="23">
        <v>6896</v>
      </c>
      <c r="D120" s="23">
        <v>-2545829.12</v>
      </c>
      <c r="E120" s="22" t="s">
        <v>619</v>
      </c>
      <c r="F120" s="22" t="s">
        <v>500</v>
      </c>
      <c r="G120" s="22" t="s">
        <v>619</v>
      </c>
      <c r="H120" s="24">
        <v>246779413693</v>
      </c>
      <c r="I120" s="72"/>
      <c r="J120" s="72"/>
      <c r="L120" s="56">
        <v>246779411620</v>
      </c>
      <c r="M120" s="49">
        <v>0</v>
      </c>
      <c r="N120" s="49">
        <v>5816</v>
      </c>
      <c r="P120" s="40">
        <v>246779411620</v>
      </c>
      <c r="Q120" s="47">
        <v>0</v>
      </c>
      <c r="R120" s="47">
        <v>5816</v>
      </c>
    </row>
    <row r="121" spans="1:18" x14ac:dyDescent="0.35">
      <c r="A121" s="50">
        <v>45747</v>
      </c>
      <c r="B121" s="23">
        <v>0</v>
      </c>
      <c r="C121" s="23">
        <v>3448</v>
      </c>
      <c r="D121" s="23">
        <v>-2549277.12</v>
      </c>
      <c r="E121" s="22" t="s">
        <v>620</v>
      </c>
      <c r="F121" s="22" t="s">
        <v>500</v>
      </c>
      <c r="G121" s="22" t="s">
        <v>620</v>
      </c>
      <c r="H121" s="24">
        <v>246779413694</v>
      </c>
      <c r="I121" s="72"/>
      <c r="J121" s="72"/>
      <c r="L121" s="56">
        <v>246779411755</v>
      </c>
      <c r="M121" s="49">
        <v>0</v>
      </c>
      <c r="N121" s="49">
        <v>5816</v>
      </c>
      <c r="P121" s="40">
        <v>246779411755</v>
      </c>
      <c r="Q121" s="47">
        <v>0</v>
      </c>
      <c r="R121" s="47">
        <v>5816</v>
      </c>
    </row>
    <row r="122" spans="1:18" x14ac:dyDescent="0.35">
      <c r="A122" s="50">
        <v>45747</v>
      </c>
      <c r="B122" s="23">
        <v>0</v>
      </c>
      <c r="C122" s="23">
        <v>191</v>
      </c>
      <c r="D122" s="23">
        <v>-2549468.12</v>
      </c>
      <c r="E122" s="22" t="s">
        <v>621</v>
      </c>
      <c r="F122" s="22" t="s">
        <v>500</v>
      </c>
      <c r="G122" s="22" t="s">
        <v>621</v>
      </c>
      <c r="H122" s="24">
        <v>246779413695</v>
      </c>
      <c r="I122" s="72"/>
      <c r="J122" s="72"/>
      <c r="L122" s="56">
        <v>246779411756</v>
      </c>
      <c r="M122" s="49">
        <v>0</v>
      </c>
      <c r="N122" s="49">
        <v>4339</v>
      </c>
      <c r="P122" s="40">
        <v>246779411756</v>
      </c>
      <c r="Q122" s="47">
        <v>0</v>
      </c>
      <c r="R122" s="47">
        <v>4339</v>
      </c>
    </row>
    <row r="123" spans="1:18" x14ac:dyDescent="0.35">
      <c r="A123" s="50">
        <v>45747</v>
      </c>
      <c r="B123" s="23">
        <v>0</v>
      </c>
      <c r="C123" s="23">
        <v>382</v>
      </c>
      <c r="D123" s="23">
        <v>-2549850.12</v>
      </c>
      <c r="E123" s="22" t="s">
        <v>622</v>
      </c>
      <c r="F123" s="22" t="s">
        <v>500</v>
      </c>
      <c r="G123" s="22" t="s">
        <v>622</v>
      </c>
      <c r="H123" s="24">
        <v>246779413696</v>
      </c>
      <c r="I123" s="72"/>
      <c r="J123" s="72"/>
      <c r="L123" s="56">
        <v>246779411757</v>
      </c>
      <c r="M123" s="49">
        <v>0</v>
      </c>
      <c r="N123" s="49">
        <v>3110</v>
      </c>
      <c r="P123" s="40">
        <v>246779411757</v>
      </c>
      <c r="Q123" s="47">
        <v>0</v>
      </c>
      <c r="R123" s="47">
        <v>3110</v>
      </c>
    </row>
    <row r="124" spans="1:18" x14ac:dyDescent="0.35">
      <c r="A124" s="50">
        <v>45747</v>
      </c>
      <c r="B124" s="23">
        <v>0</v>
      </c>
      <c r="C124" s="23">
        <v>381</v>
      </c>
      <c r="D124" s="23">
        <v>-2550231.12</v>
      </c>
      <c r="E124" s="22" t="s">
        <v>623</v>
      </c>
      <c r="F124" s="22" t="s">
        <v>500</v>
      </c>
      <c r="G124" s="22" t="s">
        <v>623</v>
      </c>
      <c r="H124" s="24">
        <v>246779410846</v>
      </c>
      <c r="I124" s="72"/>
      <c r="J124" s="72"/>
      <c r="L124" s="56">
        <v>246779411758</v>
      </c>
      <c r="M124" s="49">
        <v>0</v>
      </c>
      <c r="N124" s="49">
        <v>1842</v>
      </c>
      <c r="P124" s="40">
        <v>246779411758</v>
      </c>
      <c r="Q124" s="47">
        <v>0</v>
      </c>
      <c r="R124" s="47">
        <v>1842</v>
      </c>
    </row>
    <row r="125" spans="1:18" x14ac:dyDescent="0.35">
      <c r="A125" s="50">
        <v>45747</v>
      </c>
      <c r="B125" s="23">
        <v>0</v>
      </c>
      <c r="C125" s="23">
        <v>1528</v>
      </c>
      <c r="D125" s="23">
        <v>-2551759.12</v>
      </c>
      <c r="E125" s="22" t="s">
        <v>624</v>
      </c>
      <c r="F125" s="22" t="s">
        <v>500</v>
      </c>
      <c r="G125" s="22" t="s">
        <v>624</v>
      </c>
      <c r="H125" s="24">
        <v>246779410847</v>
      </c>
      <c r="I125" s="72"/>
      <c r="J125" s="72"/>
      <c r="L125" s="56">
        <v>246779411759</v>
      </c>
      <c r="M125" s="49">
        <v>0</v>
      </c>
      <c r="N125" s="49">
        <v>6761</v>
      </c>
      <c r="P125" s="40">
        <v>246779411759</v>
      </c>
      <c r="Q125" s="47">
        <v>0</v>
      </c>
      <c r="R125" s="47">
        <v>6761</v>
      </c>
    </row>
    <row r="126" spans="1:18" x14ac:dyDescent="0.35">
      <c r="A126" s="50">
        <v>45747</v>
      </c>
      <c r="B126" s="23">
        <v>0</v>
      </c>
      <c r="C126" s="23">
        <v>3436</v>
      </c>
      <c r="D126" s="23">
        <v>-2555195.12</v>
      </c>
      <c r="E126" s="22" t="s">
        <v>625</v>
      </c>
      <c r="F126" s="22" t="s">
        <v>500</v>
      </c>
      <c r="G126" s="22" t="s">
        <v>625</v>
      </c>
      <c r="H126" s="24">
        <v>246779410849</v>
      </c>
      <c r="I126" s="72"/>
      <c r="J126" s="72"/>
      <c r="L126" s="56">
        <v>246779411933</v>
      </c>
      <c r="M126" s="49">
        <v>0</v>
      </c>
      <c r="N126" s="49">
        <v>576</v>
      </c>
      <c r="P126" s="40">
        <v>246779411933</v>
      </c>
      <c r="Q126" s="47">
        <v>0</v>
      </c>
      <c r="R126" s="47">
        <v>576</v>
      </c>
    </row>
    <row r="127" spans="1:18" x14ac:dyDescent="0.35">
      <c r="A127" s="50">
        <v>45747</v>
      </c>
      <c r="B127" s="23">
        <v>0</v>
      </c>
      <c r="C127" s="23">
        <v>763</v>
      </c>
      <c r="D127" s="23">
        <v>-2555958.12</v>
      </c>
      <c r="E127" s="22" t="s">
        <v>626</v>
      </c>
      <c r="F127" s="22" t="s">
        <v>500</v>
      </c>
      <c r="G127" s="22" t="s">
        <v>626</v>
      </c>
      <c r="H127" s="24">
        <v>246779410850</v>
      </c>
      <c r="I127" s="72"/>
      <c r="J127" s="72"/>
      <c r="L127" s="56">
        <v>246779411934</v>
      </c>
      <c r="M127" s="49">
        <v>0</v>
      </c>
      <c r="N127" s="49">
        <v>336</v>
      </c>
      <c r="P127" s="40">
        <v>246779411934</v>
      </c>
      <c r="Q127" s="47">
        <v>0</v>
      </c>
      <c r="R127" s="47">
        <v>336</v>
      </c>
    </row>
    <row r="128" spans="1:18" x14ac:dyDescent="0.35">
      <c r="A128" s="50">
        <v>45747</v>
      </c>
      <c r="B128" s="23">
        <v>0</v>
      </c>
      <c r="C128" s="23">
        <v>381</v>
      </c>
      <c r="D128" s="23">
        <v>-2556339.12</v>
      </c>
      <c r="E128" s="22" t="s">
        <v>627</v>
      </c>
      <c r="F128" s="22" t="s">
        <v>500</v>
      </c>
      <c r="G128" s="22" t="s">
        <v>627</v>
      </c>
      <c r="H128" s="24">
        <v>246779410851</v>
      </c>
      <c r="I128" s="72"/>
      <c r="J128" s="72"/>
      <c r="L128" s="56">
        <v>246779411935</v>
      </c>
      <c r="M128" s="49">
        <v>0</v>
      </c>
      <c r="N128" s="49">
        <v>576</v>
      </c>
      <c r="P128" s="40">
        <v>246779411935</v>
      </c>
      <c r="Q128" s="47">
        <v>0</v>
      </c>
      <c r="R128" s="47">
        <v>576</v>
      </c>
    </row>
    <row r="129" spans="1:18" x14ac:dyDescent="0.35">
      <c r="A129" s="50">
        <v>45747</v>
      </c>
      <c r="B129" s="23">
        <v>0</v>
      </c>
      <c r="C129" s="23">
        <v>381</v>
      </c>
      <c r="D129" s="23">
        <v>-2556720.12</v>
      </c>
      <c r="E129" s="22" t="s">
        <v>628</v>
      </c>
      <c r="F129" s="22" t="s">
        <v>500</v>
      </c>
      <c r="G129" s="22" t="s">
        <v>628</v>
      </c>
      <c r="H129" s="24">
        <v>246779410852</v>
      </c>
      <c r="I129" s="72"/>
      <c r="J129" s="72"/>
      <c r="L129" s="56">
        <v>246779411936</v>
      </c>
      <c r="M129" s="49">
        <v>0</v>
      </c>
      <c r="N129" s="49">
        <v>480</v>
      </c>
      <c r="P129" s="40">
        <v>246779411936</v>
      </c>
      <c r="Q129" s="47">
        <v>0</v>
      </c>
      <c r="R129" s="47">
        <v>480</v>
      </c>
    </row>
    <row r="130" spans="1:18" x14ac:dyDescent="0.35">
      <c r="A130" s="50">
        <v>45747</v>
      </c>
      <c r="B130" s="23">
        <v>0</v>
      </c>
      <c r="C130" s="23">
        <v>190</v>
      </c>
      <c r="D130" s="23">
        <v>-2556910.12</v>
      </c>
      <c r="E130" s="22" t="s">
        <v>629</v>
      </c>
      <c r="F130" s="22" t="s">
        <v>500</v>
      </c>
      <c r="G130" s="22" t="s">
        <v>629</v>
      </c>
      <c r="H130" s="24">
        <v>246779410853</v>
      </c>
      <c r="I130" s="72"/>
      <c r="J130" s="72"/>
      <c r="L130" s="56">
        <v>246779413000</v>
      </c>
      <c r="M130" s="49">
        <v>0</v>
      </c>
      <c r="N130" s="49">
        <v>35488</v>
      </c>
      <c r="P130" s="40">
        <v>246779413000</v>
      </c>
      <c r="Q130" s="47">
        <v>0</v>
      </c>
      <c r="R130" s="47">
        <v>35488</v>
      </c>
    </row>
    <row r="131" spans="1:18" x14ac:dyDescent="0.35">
      <c r="A131" s="50">
        <v>45747</v>
      </c>
      <c r="B131" s="23">
        <v>0</v>
      </c>
      <c r="C131" s="23">
        <v>1145</v>
      </c>
      <c r="D131" s="23">
        <v>-2558055.12</v>
      </c>
      <c r="E131" s="22" t="s">
        <v>630</v>
      </c>
      <c r="F131" s="22" t="s">
        <v>500</v>
      </c>
      <c r="G131" s="22" t="s">
        <v>630</v>
      </c>
      <c r="H131" s="24">
        <v>246779410854</v>
      </c>
      <c r="I131" s="72"/>
      <c r="J131" s="72"/>
      <c r="L131" s="56">
        <v>246779413622</v>
      </c>
      <c r="M131" s="49">
        <v>0</v>
      </c>
      <c r="N131" s="49">
        <v>1590</v>
      </c>
      <c r="P131" s="40">
        <v>246779413622</v>
      </c>
      <c r="Q131" s="47">
        <v>0</v>
      </c>
      <c r="R131" s="47">
        <v>1590</v>
      </c>
    </row>
    <row r="132" spans="1:18" x14ac:dyDescent="0.35">
      <c r="A132" s="50">
        <v>45747</v>
      </c>
      <c r="B132" s="23">
        <v>0</v>
      </c>
      <c r="C132" s="23">
        <v>1527</v>
      </c>
      <c r="D132" s="23">
        <v>-2559582.12</v>
      </c>
      <c r="E132" s="22" t="s">
        <v>631</v>
      </c>
      <c r="F132" s="22" t="s">
        <v>500</v>
      </c>
      <c r="G132" s="22" t="s">
        <v>631</v>
      </c>
      <c r="H132" s="24">
        <v>246779410855</v>
      </c>
      <c r="I132" s="72"/>
      <c r="J132" s="72"/>
      <c r="L132" s="56">
        <v>246779413623</v>
      </c>
      <c r="M132" s="49">
        <v>0</v>
      </c>
      <c r="N132" s="49">
        <v>198</v>
      </c>
      <c r="P132" s="40">
        <v>246779413623</v>
      </c>
      <c r="Q132" s="47">
        <v>0</v>
      </c>
      <c r="R132" s="47">
        <v>198</v>
      </c>
    </row>
    <row r="133" spans="1:18" x14ac:dyDescent="0.35">
      <c r="A133" s="50">
        <v>45747</v>
      </c>
      <c r="B133" s="23">
        <v>0</v>
      </c>
      <c r="C133" s="23">
        <v>1268</v>
      </c>
      <c r="D133" s="23">
        <v>-2560850.12</v>
      </c>
      <c r="E133" s="22" t="s">
        <v>632</v>
      </c>
      <c r="F133" s="22" t="s">
        <v>500</v>
      </c>
      <c r="G133" s="22" t="s">
        <v>632</v>
      </c>
      <c r="H133" s="24">
        <v>246779414681</v>
      </c>
      <c r="I133" s="72"/>
      <c r="J133" s="72"/>
      <c r="L133" s="56">
        <v>246779413624</v>
      </c>
      <c r="M133" s="49">
        <v>0</v>
      </c>
      <c r="N133" s="49">
        <v>596</v>
      </c>
      <c r="P133" s="40">
        <v>246779413624</v>
      </c>
      <c r="Q133" s="47">
        <v>0</v>
      </c>
      <c r="R133" s="47">
        <v>596</v>
      </c>
    </row>
    <row r="134" spans="1:18" x14ac:dyDescent="0.35">
      <c r="A134" s="50">
        <v>45747</v>
      </c>
      <c r="B134" s="23">
        <v>0</v>
      </c>
      <c r="C134" s="23">
        <v>211</v>
      </c>
      <c r="D134" s="23">
        <v>-2561061.12</v>
      </c>
      <c r="E134" s="22" t="s">
        <v>633</v>
      </c>
      <c r="F134" s="22" t="s">
        <v>557</v>
      </c>
      <c r="G134" s="22" t="s">
        <v>633</v>
      </c>
      <c r="H134" s="24">
        <v>246779414734</v>
      </c>
      <c r="I134" s="72"/>
      <c r="J134" s="72"/>
      <c r="L134" s="56">
        <v>246779413625</v>
      </c>
      <c r="M134" s="49">
        <v>0</v>
      </c>
      <c r="N134" s="49">
        <v>198</v>
      </c>
      <c r="P134" s="40">
        <v>246779413625</v>
      </c>
      <c r="Q134" s="47">
        <v>0</v>
      </c>
      <c r="R134" s="47">
        <v>198</v>
      </c>
    </row>
    <row r="135" spans="1:18" x14ac:dyDescent="0.35">
      <c r="A135" s="50">
        <v>45747</v>
      </c>
      <c r="B135" s="23">
        <v>0</v>
      </c>
      <c r="C135" s="23">
        <v>211</v>
      </c>
      <c r="D135" s="23">
        <v>-2561272.12</v>
      </c>
      <c r="E135" s="22" t="s">
        <v>634</v>
      </c>
      <c r="F135" s="22" t="s">
        <v>500</v>
      </c>
      <c r="G135" s="22" t="s">
        <v>634</v>
      </c>
      <c r="H135" s="24">
        <v>246779414885</v>
      </c>
      <c r="I135" s="72"/>
      <c r="J135" s="72"/>
      <c r="L135" s="56">
        <v>246779413626</v>
      </c>
      <c r="M135" s="49">
        <v>0</v>
      </c>
      <c r="N135" s="49">
        <v>7156</v>
      </c>
      <c r="P135" s="40">
        <v>246779413626</v>
      </c>
      <c r="Q135" s="47">
        <v>0</v>
      </c>
      <c r="R135" s="47">
        <v>7156</v>
      </c>
    </row>
    <row r="136" spans="1:18" x14ac:dyDescent="0.35">
      <c r="A136" s="50">
        <v>45747</v>
      </c>
      <c r="B136" s="23">
        <v>0</v>
      </c>
      <c r="C136" s="23">
        <v>17701</v>
      </c>
      <c r="D136" s="23">
        <v>-2578973.12</v>
      </c>
      <c r="E136" s="22" t="s">
        <v>635</v>
      </c>
      <c r="F136" s="22" t="s">
        <v>500</v>
      </c>
      <c r="G136" s="22" t="s">
        <v>635</v>
      </c>
      <c r="H136" s="24">
        <v>246779414221</v>
      </c>
      <c r="I136" s="72"/>
      <c r="J136" s="72"/>
      <c r="L136" s="56">
        <v>246779413627</v>
      </c>
      <c r="M136" s="49">
        <v>0</v>
      </c>
      <c r="N136" s="49">
        <v>3578</v>
      </c>
      <c r="P136" s="40">
        <v>246779413627</v>
      </c>
      <c r="Q136" s="47">
        <v>0</v>
      </c>
      <c r="R136" s="47">
        <v>3578</v>
      </c>
    </row>
    <row r="137" spans="1:18" x14ac:dyDescent="0.35">
      <c r="A137" s="50">
        <v>45747</v>
      </c>
      <c r="B137" s="23">
        <v>0</v>
      </c>
      <c r="C137" s="23">
        <v>596</v>
      </c>
      <c r="D137" s="23">
        <v>-2579569.12</v>
      </c>
      <c r="E137" s="22" t="s">
        <v>636</v>
      </c>
      <c r="F137" s="22" t="s">
        <v>500</v>
      </c>
      <c r="G137" s="22" t="s">
        <v>636</v>
      </c>
      <c r="H137" s="24">
        <v>246779413691</v>
      </c>
      <c r="I137" s="72"/>
      <c r="J137" s="72"/>
      <c r="L137" s="56">
        <v>246779413628</v>
      </c>
      <c r="M137" s="49">
        <v>0</v>
      </c>
      <c r="N137" s="49">
        <v>198</v>
      </c>
      <c r="P137" s="40">
        <v>246779413628</v>
      </c>
      <c r="Q137" s="47">
        <v>0</v>
      </c>
      <c r="R137" s="47">
        <v>198</v>
      </c>
    </row>
    <row r="138" spans="1:18" x14ac:dyDescent="0.35">
      <c r="A138" s="50">
        <v>45747</v>
      </c>
      <c r="B138" s="23">
        <v>0</v>
      </c>
      <c r="C138" s="23">
        <v>994</v>
      </c>
      <c r="D138" s="23">
        <v>-2580563.12</v>
      </c>
      <c r="E138" s="22" t="s">
        <v>637</v>
      </c>
      <c r="F138" s="22" t="s">
        <v>500</v>
      </c>
      <c r="G138" s="22" t="s">
        <v>637</v>
      </c>
      <c r="H138" s="24">
        <v>246779413772</v>
      </c>
      <c r="I138" s="72"/>
      <c r="J138" s="72"/>
      <c r="L138" s="56">
        <v>246779413629</v>
      </c>
      <c r="M138" s="49">
        <v>0</v>
      </c>
      <c r="N138" s="49">
        <v>397</v>
      </c>
      <c r="P138" s="40">
        <v>246779413629</v>
      </c>
      <c r="Q138" s="47">
        <v>0</v>
      </c>
      <c r="R138" s="47">
        <v>397</v>
      </c>
    </row>
    <row r="139" spans="1:18" x14ac:dyDescent="0.35">
      <c r="A139" s="50">
        <v>45747</v>
      </c>
      <c r="B139" s="23">
        <v>0</v>
      </c>
      <c r="C139" s="23">
        <v>17857</v>
      </c>
      <c r="D139" s="23">
        <v>-2598420.12</v>
      </c>
      <c r="E139" s="22" t="s">
        <v>638</v>
      </c>
      <c r="F139" s="22" t="s">
        <v>608</v>
      </c>
      <c r="G139" s="22" t="s">
        <v>638</v>
      </c>
      <c r="H139" s="24">
        <v>246779411339</v>
      </c>
      <c r="I139" s="72"/>
      <c r="J139" s="72"/>
      <c r="L139" s="56">
        <v>246779413689</v>
      </c>
      <c r="M139" s="49">
        <v>0</v>
      </c>
      <c r="N139" s="49">
        <v>1591</v>
      </c>
      <c r="P139" s="40">
        <v>246779413689</v>
      </c>
      <c r="Q139" s="47">
        <v>0</v>
      </c>
      <c r="R139" s="47">
        <v>1591</v>
      </c>
    </row>
    <row r="140" spans="1:18" x14ac:dyDescent="0.35">
      <c r="A140" s="50">
        <v>45747</v>
      </c>
      <c r="B140" s="23">
        <v>0</v>
      </c>
      <c r="C140" s="23">
        <v>8522</v>
      </c>
      <c r="D140" s="23">
        <v>-2606942.12</v>
      </c>
      <c r="E140" s="22" t="s">
        <v>639</v>
      </c>
      <c r="F140" s="22" t="s">
        <v>608</v>
      </c>
      <c r="G140" s="22" t="s">
        <v>639</v>
      </c>
      <c r="H140" s="24">
        <v>246779411314</v>
      </c>
      <c r="I140" s="72"/>
      <c r="J140" s="72"/>
      <c r="L140" s="56">
        <v>246779413690</v>
      </c>
      <c r="M140" s="49">
        <v>0</v>
      </c>
      <c r="N140" s="49">
        <v>198</v>
      </c>
      <c r="P140" s="40">
        <v>246779413690</v>
      </c>
      <c r="Q140" s="47">
        <v>0</v>
      </c>
      <c r="R140" s="47">
        <v>198</v>
      </c>
    </row>
    <row r="141" spans="1:18" x14ac:dyDescent="0.35">
      <c r="A141" s="50">
        <v>45747</v>
      </c>
      <c r="B141" s="23">
        <v>0</v>
      </c>
      <c r="C141" s="23">
        <v>143412</v>
      </c>
      <c r="D141" s="23">
        <v>-2750354.12</v>
      </c>
      <c r="E141" s="22" t="s">
        <v>640</v>
      </c>
      <c r="F141" s="22" t="s">
        <v>573</v>
      </c>
      <c r="G141" s="22" t="s">
        <v>640</v>
      </c>
      <c r="H141" s="24">
        <v>246779411619</v>
      </c>
      <c r="I141" s="72"/>
      <c r="J141" s="72"/>
      <c r="L141" s="56">
        <v>246779413691</v>
      </c>
      <c r="M141" s="49">
        <v>0</v>
      </c>
      <c r="N141" s="49">
        <v>596</v>
      </c>
      <c r="P141" s="40">
        <v>246779413691</v>
      </c>
      <c r="Q141" s="47">
        <v>0</v>
      </c>
      <c r="R141" s="47">
        <v>596</v>
      </c>
    </row>
    <row r="142" spans="1:18" x14ac:dyDescent="0.35">
      <c r="A142" s="50">
        <v>45747</v>
      </c>
      <c r="B142" s="23">
        <v>0</v>
      </c>
      <c r="C142" s="23">
        <v>5816</v>
      </c>
      <c r="D142" s="23">
        <v>-2756170.12</v>
      </c>
      <c r="E142" s="22" t="s">
        <v>641</v>
      </c>
      <c r="F142" s="22" t="s">
        <v>573</v>
      </c>
      <c r="G142" s="22" t="s">
        <v>641</v>
      </c>
      <c r="H142" s="24">
        <v>246779411620</v>
      </c>
      <c r="I142" s="72"/>
      <c r="J142" s="72"/>
      <c r="L142" s="56">
        <v>246779413692</v>
      </c>
      <c r="M142" s="49">
        <v>0</v>
      </c>
      <c r="N142" s="49">
        <v>191</v>
      </c>
      <c r="P142" s="40">
        <v>246779413692</v>
      </c>
      <c r="Q142" s="47">
        <v>0</v>
      </c>
      <c r="R142" s="47">
        <v>191</v>
      </c>
    </row>
    <row r="143" spans="1:18" x14ac:dyDescent="0.35">
      <c r="A143" s="50">
        <v>45747</v>
      </c>
      <c r="B143" s="23">
        <v>0</v>
      </c>
      <c r="C143" s="23">
        <v>5816</v>
      </c>
      <c r="D143" s="23">
        <v>-2761986.12</v>
      </c>
      <c r="E143" s="22" t="s">
        <v>642</v>
      </c>
      <c r="F143" s="22" t="s">
        <v>573</v>
      </c>
      <c r="G143" s="22" t="s">
        <v>642</v>
      </c>
      <c r="H143" s="24">
        <v>246779411755</v>
      </c>
      <c r="I143" s="72"/>
      <c r="J143" s="72"/>
      <c r="L143" s="56">
        <v>246779413693</v>
      </c>
      <c r="M143" s="49">
        <v>0</v>
      </c>
      <c r="N143" s="49">
        <v>6896</v>
      </c>
      <c r="P143" s="40">
        <v>246779413693</v>
      </c>
      <c r="Q143" s="47">
        <v>0</v>
      </c>
      <c r="R143" s="47">
        <v>6896</v>
      </c>
    </row>
    <row r="144" spans="1:18" x14ac:dyDescent="0.35">
      <c r="A144" s="50">
        <v>45747</v>
      </c>
      <c r="B144" s="23">
        <v>0</v>
      </c>
      <c r="C144" s="23">
        <v>4339</v>
      </c>
      <c r="D144" s="23">
        <v>-2766325.12</v>
      </c>
      <c r="E144" s="22" t="s">
        <v>643</v>
      </c>
      <c r="F144" s="22" t="s">
        <v>573</v>
      </c>
      <c r="G144" s="22" t="s">
        <v>643</v>
      </c>
      <c r="H144" s="24">
        <v>246779411756</v>
      </c>
      <c r="I144" s="72"/>
      <c r="J144" s="72"/>
      <c r="L144" s="56">
        <v>246779413694</v>
      </c>
      <c r="M144" s="49">
        <v>0</v>
      </c>
      <c r="N144" s="49">
        <v>3448</v>
      </c>
      <c r="P144" s="40">
        <v>246779413694</v>
      </c>
      <c r="Q144" s="47">
        <v>0</v>
      </c>
      <c r="R144" s="47">
        <v>3448</v>
      </c>
    </row>
    <row r="145" spans="1:18" x14ac:dyDescent="0.35">
      <c r="A145" s="50">
        <v>45747</v>
      </c>
      <c r="B145" s="23">
        <v>0</v>
      </c>
      <c r="C145" s="23">
        <v>6761</v>
      </c>
      <c r="D145" s="23">
        <v>-2773086.12</v>
      </c>
      <c r="E145" s="22" t="s">
        <v>644</v>
      </c>
      <c r="F145" s="22" t="s">
        <v>573</v>
      </c>
      <c r="G145" s="22" t="s">
        <v>644</v>
      </c>
      <c r="H145" s="24">
        <v>246779411759</v>
      </c>
      <c r="I145" s="72"/>
      <c r="J145" s="72"/>
      <c r="L145" s="56">
        <v>246779413695</v>
      </c>
      <c r="M145" s="49">
        <v>0</v>
      </c>
      <c r="N145" s="49">
        <v>191</v>
      </c>
      <c r="P145" s="40">
        <v>246779413695</v>
      </c>
      <c r="Q145" s="47">
        <v>0</v>
      </c>
      <c r="R145" s="47">
        <v>191</v>
      </c>
    </row>
    <row r="146" spans="1:18" x14ac:dyDescent="0.35">
      <c r="A146" s="50">
        <v>45747</v>
      </c>
      <c r="B146" s="23">
        <v>0</v>
      </c>
      <c r="C146" s="23">
        <v>3110</v>
      </c>
      <c r="D146" s="23">
        <v>-2776196.12</v>
      </c>
      <c r="E146" s="22" t="s">
        <v>645</v>
      </c>
      <c r="F146" s="22" t="s">
        <v>573</v>
      </c>
      <c r="G146" s="22" t="s">
        <v>645</v>
      </c>
      <c r="H146" s="24">
        <v>246779411757</v>
      </c>
      <c r="I146" s="72"/>
      <c r="J146" s="72"/>
      <c r="L146" s="56">
        <v>246779413696</v>
      </c>
      <c r="M146" s="49">
        <v>0</v>
      </c>
      <c r="N146" s="49">
        <v>382</v>
      </c>
      <c r="P146" s="40">
        <v>246779413696</v>
      </c>
      <c r="Q146" s="47">
        <v>0</v>
      </c>
      <c r="R146" s="47">
        <v>382</v>
      </c>
    </row>
    <row r="147" spans="1:18" x14ac:dyDescent="0.35">
      <c r="A147" s="50">
        <v>45747</v>
      </c>
      <c r="B147" s="23">
        <v>0</v>
      </c>
      <c r="C147" s="23">
        <v>33376</v>
      </c>
      <c r="D147" s="23">
        <v>-2809572.12</v>
      </c>
      <c r="E147" s="22" t="s">
        <v>646</v>
      </c>
      <c r="F147" s="22" t="s">
        <v>608</v>
      </c>
      <c r="G147" s="22" t="s">
        <v>646</v>
      </c>
      <c r="H147" s="24">
        <v>246779411300</v>
      </c>
      <c r="I147" s="72"/>
      <c r="J147" s="72"/>
      <c r="L147" s="56">
        <v>246779413701</v>
      </c>
      <c r="M147" s="49">
        <v>0</v>
      </c>
      <c r="N147" s="49">
        <v>18367</v>
      </c>
      <c r="P147" s="40">
        <v>246779413701</v>
      </c>
      <c r="Q147" s="47">
        <v>0</v>
      </c>
      <c r="R147" s="47">
        <v>18367</v>
      </c>
    </row>
    <row r="148" spans="1:18" x14ac:dyDescent="0.35">
      <c r="A148" s="50">
        <v>45748</v>
      </c>
      <c r="B148" s="23">
        <v>0</v>
      </c>
      <c r="C148" s="23">
        <v>1161</v>
      </c>
      <c r="D148" s="23">
        <v>-2810733.12</v>
      </c>
      <c r="E148" s="22" t="s">
        <v>647</v>
      </c>
      <c r="F148" s="22" t="s">
        <v>573</v>
      </c>
      <c r="G148" s="22" t="s">
        <v>647</v>
      </c>
      <c r="H148" s="24">
        <v>246779411448</v>
      </c>
      <c r="I148" s="72"/>
      <c r="J148" s="72"/>
      <c r="L148" s="56">
        <v>246779413702</v>
      </c>
      <c r="M148" s="49"/>
      <c r="N148" s="49"/>
      <c r="P148" s="40">
        <v>246779413702</v>
      </c>
      <c r="Q148" s="47">
        <v>0</v>
      </c>
      <c r="R148" s="47">
        <v>31577</v>
      </c>
    </row>
    <row r="149" spans="1:18" x14ac:dyDescent="0.35">
      <c r="A149" s="50">
        <v>45748</v>
      </c>
      <c r="B149" s="23">
        <v>0</v>
      </c>
      <c r="C149" s="23">
        <v>1591</v>
      </c>
      <c r="D149" s="23">
        <v>-2812324.12</v>
      </c>
      <c r="E149" s="22" t="s">
        <v>648</v>
      </c>
      <c r="F149" s="22" t="s">
        <v>500</v>
      </c>
      <c r="G149" s="22" t="s">
        <v>648</v>
      </c>
      <c r="H149" s="24">
        <v>246779413689</v>
      </c>
      <c r="I149" s="72"/>
      <c r="J149" s="72"/>
      <c r="L149" s="56">
        <v>246779413704</v>
      </c>
      <c r="M149" s="49">
        <v>0</v>
      </c>
      <c r="N149" s="49">
        <v>13011</v>
      </c>
      <c r="P149" s="40">
        <v>246779413704</v>
      </c>
      <c r="Q149" s="47">
        <v>0</v>
      </c>
      <c r="R149" s="47">
        <v>13011</v>
      </c>
    </row>
    <row r="150" spans="1:18" x14ac:dyDescent="0.35">
      <c r="A150" s="50">
        <v>45748</v>
      </c>
      <c r="B150" s="23">
        <v>0</v>
      </c>
      <c r="C150" s="23">
        <v>574</v>
      </c>
      <c r="D150" s="23">
        <v>-2812898.12</v>
      </c>
      <c r="E150" s="22" t="s">
        <v>649</v>
      </c>
      <c r="F150" s="22" t="s">
        <v>500</v>
      </c>
      <c r="G150" s="22" t="s">
        <v>649</v>
      </c>
      <c r="H150" s="24">
        <v>246779413740</v>
      </c>
      <c r="I150" s="72"/>
      <c r="J150" s="72"/>
      <c r="L150" s="56">
        <v>246779413705</v>
      </c>
      <c r="M150" s="49">
        <v>0</v>
      </c>
      <c r="N150" s="49">
        <v>19429</v>
      </c>
      <c r="P150" s="40">
        <v>246779413705</v>
      </c>
      <c r="Q150" s="47">
        <v>19430</v>
      </c>
      <c r="R150" s="47">
        <v>19429</v>
      </c>
    </row>
    <row r="151" spans="1:18" x14ac:dyDescent="0.35">
      <c r="A151" s="50">
        <v>45748</v>
      </c>
      <c r="B151" s="23">
        <v>0</v>
      </c>
      <c r="C151" s="23">
        <v>574</v>
      </c>
      <c r="D151" s="23">
        <v>-2813472.12</v>
      </c>
      <c r="E151" s="22" t="s">
        <v>650</v>
      </c>
      <c r="F151" s="22" t="s">
        <v>500</v>
      </c>
      <c r="G151" s="22" t="s">
        <v>650</v>
      </c>
      <c r="H151" s="24">
        <v>246779413737</v>
      </c>
      <c r="I151" s="72"/>
      <c r="J151" s="72"/>
      <c r="L151" s="56">
        <v>246779413733</v>
      </c>
      <c r="M151" s="49">
        <v>0</v>
      </c>
      <c r="N151" s="49">
        <v>191</v>
      </c>
      <c r="P151" s="40">
        <v>246779413733</v>
      </c>
      <c r="Q151" s="47">
        <v>0</v>
      </c>
      <c r="R151" s="47">
        <v>191</v>
      </c>
    </row>
    <row r="152" spans="1:18" x14ac:dyDescent="0.35">
      <c r="A152" s="50">
        <v>45748</v>
      </c>
      <c r="B152" s="23">
        <v>0</v>
      </c>
      <c r="C152" s="23">
        <v>6896</v>
      </c>
      <c r="D152" s="23">
        <v>-2820368.12</v>
      </c>
      <c r="E152" s="22" t="s">
        <v>651</v>
      </c>
      <c r="F152" s="22" t="s">
        <v>500</v>
      </c>
      <c r="G152" s="22" t="s">
        <v>651</v>
      </c>
      <c r="H152" s="24">
        <v>246779413735</v>
      </c>
      <c r="I152" s="72"/>
      <c r="J152" s="72"/>
      <c r="L152" s="56">
        <v>246779413734</v>
      </c>
      <c r="M152" s="49">
        <v>0</v>
      </c>
      <c r="N152" s="49">
        <v>3448</v>
      </c>
      <c r="P152" s="40">
        <v>246779413734</v>
      </c>
      <c r="Q152" s="47">
        <v>0</v>
      </c>
      <c r="R152" s="47">
        <v>3448</v>
      </c>
    </row>
    <row r="153" spans="1:18" x14ac:dyDescent="0.35">
      <c r="A153" s="50">
        <v>45748</v>
      </c>
      <c r="B153" s="23">
        <v>0</v>
      </c>
      <c r="C153" s="23">
        <v>191</v>
      </c>
      <c r="D153" s="23">
        <v>-2820559.12</v>
      </c>
      <c r="E153" s="22" t="s">
        <v>652</v>
      </c>
      <c r="F153" s="22" t="s">
        <v>500</v>
      </c>
      <c r="G153" s="22" t="s">
        <v>652</v>
      </c>
      <c r="H153" s="24">
        <v>246779413744</v>
      </c>
      <c r="I153" s="72"/>
      <c r="J153" s="72"/>
      <c r="L153" s="56">
        <v>246779413735</v>
      </c>
      <c r="M153" s="49">
        <v>0</v>
      </c>
      <c r="N153" s="49">
        <v>6896</v>
      </c>
      <c r="P153" s="40">
        <v>246779413735</v>
      </c>
      <c r="Q153" s="47">
        <v>0</v>
      </c>
      <c r="R153" s="47">
        <v>6896</v>
      </c>
    </row>
    <row r="154" spans="1:18" x14ac:dyDescent="0.35">
      <c r="A154" s="50">
        <v>45748</v>
      </c>
      <c r="B154" s="23">
        <v>0</v>
      </c>
      <c r="C154" s="23">
        <v>191</v>
      </c>
      <c r="D154" s="23">
        <v>-2820750.12</v>
      </c>
      <c r="E154" s="22" t="s">
        <v>653</v>
      </c>
      <c r="F154" s="22" t="s">
        <v>500</v>
      </c>
      <c r="G154" s="22" t="s">
        <v>653</v>
      </c>
      <c r="H154" s="24">
        <v>246779413733</v>
      </c>
      <c r="I154" s="72"/>
      <c r="J154" s="72"/>
      <c r="L154" s="56">
        <v>246779413736</v>
      </c>
      <c r="M154" s="49">
        <v>0</v>
      </c>
      <c r="N154" s="49">
        <v>6513</v>
      </c>
      <c r="P154" s="40">
        <v>246779413736</v>
      </c>
      <c r="Q154" s="47">
        <v>0</v>
      </c>
      <c r="R154" s="47">
        <v>6513</v>
      </c>
    </row>
    <row r="155" spans="1:18" x14ac:dyDescent="0.35">
      <c r="A155" s="50">
        <v>45748</v>
      </c>
      <c r="B155" s="23">
        <v>0</v>
      </c>
      <c r="C155" s="23">
        <v>383</v>
      </c>
      <c r="D155" s="23">
        <v>-2821133.12</v>
      </c>
      <c r="E155" s="22" t="s">
        <v>654</v>
      </c>
      <c r="F155" s="22" t="s">
        <v>500</v>
      </c>
      <c r="G155" s="22" t="s">
        <v>654</v>
      </c>
      <c r="H155" s="24">
        <v>246779413743</v>
      </c>
      <c r="I155" s="72"/>
      <c r="J155" s="72"/>
      <c r="L155" s="56">
        <v>246779413737</v>
      </c>
      <c r="M155" s="49">
        <v>0</v>
      </c>
      <c r="N155" s="49">
        <v>574</v>
      </c>
      <c r="P155" s="40">
        <v>246779413737</v>
      </c>
      <c r="Q155" s="47">
        <v>0</v>
      </c>
      <c r="R155" s="47">
        <v>574</v>
      </c>
    </row>
    <row r="156" spans="1:18" x14ac:dyDescent="0.35">
      <c r="A156" s="50">
        <v>45748</v>
      </c>
      <c r="B156" s="23">
        <v>0</v>
      </c>
      <c r="C156" s="23">
        <v>383</v>
      </c>
      <c r="D156" s="23">
        <v>-2821516.12</v>
      </c>
      <c r="E156" s="22" t="s">
        <v>655</v>
      </c>
      <c r="F156" s="22" t="s">
        <v>500</v>
      </c>
      <c r="G156" s="22" t="s">
        <v>655</v>
      </c>
      <c r="H156" s="24">
        <v>246779414680</v>
      </c>
      <c r="I156" s="72"/>
      <c r="J156" s="72"/>
      <c r="L156" s="56">
        <v>246779413738</v>
      </c>
      <c r="M156" s="49">
        <v>0</v>
      </c>
      <c r="N156" s="49">
        <v>3603</v>
      </c>
      <c r="P156" s="40">
        <v>246779413738</v>
      </c>
      <c r="Q156" s="47">
        <v>0</v>
      </c>
      <c r="R156" s="47">
        <v>3603</v>
      </c>
    </row>
    <row r="157" spans="1:18" x14ac:dyDescent="0.35">
      <c r="A157" s="50">
        <v>45748</v>
      </c>
      <c r="B157" s="23">
        <v>0</v>
      </c>
      <c r="C157" s="23">
        <v>6895</v>
      </c>
      <c r="D157" s="23">
        <v>-2828411.12</v>
      </c>
      <c r="E157" s="22" t="s">
        <v>656</v>
      </c>
      <c r="F157" s="22" t="s">
        <v>500</v>
      </c>
      <c r="G157" s="22" t="s">
        <v>656</v>
      </c>
      <c r="H157" s="24">
        <v>246779413741</v>
      </c>
      <c r="I157" s="72"/>
      <c r="J157" s="72"/>
      <c r="L157" s="56">
        <v>246779413739</v>
      </c>
      <c r="M157" s="49">
        <v>0</v>
      </c>
      <c r="N157" s="49">
        <v>1724</v>
      </c>
      <c r="P157" s="40">
        <v>246779413739</v>
      </c>
      <c r="Q157" s="47">
        <v>0</v>
      </c>
      <c r="R157" s="47">
        <v>1724</v>
      </c>
    </row>
    <row r="158" spans="1:18" x14ac:dyDescent="0.35">
      <c r="A158" s="50">
        <v>45748</v>
      </c>
      <c r="B158" s="23">
        <v>0</v>
      </c>
      <c r="C158" s="23">
        <v>846</v>
      </c>
      <c r="D158" s="23">
        <v>-2829257.12</v>
      </c>
      <c r="E158" s="22" t="s">
        <v>657</v>
      </c>
      <c r="F158" s="22" t="s">
        <v>557</v>
      </c>
      <c r="G158" s="22" t="s">
        <v>657</v>
      </c>
      <c r="H158" s="24">
        <v>246779413933</v>
      </c>
      <c r="I158" s="72"/>
      <c r="J158" s="72"/>
      <c r="L158" s="56">
        <v>246779413740</v>
      </c>
      <c r="M158" s="49">
        <v>0</v>
      </c>
      <c r="N158" s="49">
        <v>574</v>
      </c>
      <c r="P158" s="40">
        <v>246779413740</v>
      </c>
      <c r="Q158" s="47">
        <v>0</v>
      </c>
      <c r="R158" s="47">
        <v>574</v>
      </c>
    </row>
    <row r="159" spans="1:18" x14ac:dyDescent="0.35">
      <c r="A159" s="50">
        <v>45748</v>
      </c>
      <c r="B159" s="23">
        <v>0</v>
      </c>
      <c r="C159" s="23">
        <v>3203</v>
      </c>
      <c r="D159" s="23">
        <v>-2832460.12</v>
      </c>
      <c r="E159" s="22" t="s">
        <v>658</v>
      </c>
      <c r="F159" s="22" t="s">
        <v>500</v>
      </c>
      <c r="G159" s="22" t="s">
        <v>658</v>
      </c>
      <c r="H159" s="24">
        <v>246779410609</v>
      </c>
      <c r="I159" s="72"/>
      <c r="J159" s="72"/>
      <c r="L159" s="56">
        <v>246779413741</v>
      </c>
      <c r="M159" s="49">
        <v>0</v>
      </c>
      <c r="N159" s="49">
        <v>6895</v>
      </c>
      <c r="P159" s="40">
        <v>246779413741</v>
      </c>
      <c r="Q159" s="47">
        <v>0</v>
      </c>
      <c r="R159" s="47">
        <v>6895</v>
      </c>
    </row>
    <row r="160" spans="1:18" x14ac:dyDescent="0.35">
      <c r="A160" s="50">
        <v>45748</v>
      </c>
      <c r="B160" s="23">
        <v>0</v>
      </c>
      <c r="C160" s="23">
        <v>3603</v>
      </c>
      <c r="D160" s="23">
        <v>-2836063.12</v>
      </c>
      <c r="E160" s="22" t="s">
        <v>659</v>
      </c>
      <c r="F160" s="22" t="s">
        <v>500</v>
      </c>
      <c r="G160" s="22" t="s">
        <v>659</v>
      </c>
      <c r="H160" s="24">
        <v>246779413738</v>
      </c>
      <c r="I160" s="72"/>
      <c r="J160" s="72"/>
      <c r="L160" s="56">
        <v>246779413742</v>
      </c>
      <c r="M160" s="49">
        <v>0</v>
      </c>
      <c r="N160" s="49">
        <v>1149</v>
      </c>
      <c r="P160" s="40">
        <v>246779413742</v>
      </c>
      <c r="Q160" s="47">
        <v>0</v>
      </c>
      <c r="R160" s="47">
        <v>1149</v>
      </c>
    </row>
    <row r="161" spans="1:18" x14ac:dyDescent="0.35">
      <c r="A161" s="50">
        <v>45748</v>
      </c>
      <c r="B161" s="23">
        <v>0</v>
      </c>
      <c r="C161" s="23">
        <v>200</v>
      </c>
      <c r="D161" s="23">
        <v>-2836263.12</v>
      </c>
      <c r="E161" s="22" t="s">
        <v>660</v>
      </c>
      <c r="F161" s="22" t="s">
        <v>500</v>
      </c>
      <c r="G161" s="22" t="s">
        <v>660</v>
      </c>
      <c r="H161" s="24">
        <v>246779410498</v>
      </c>
      <c r="I161" s="72"/>
      <c r="J161" s="72"/>
      <c r="L161" s="56">
        <v>246779413743</v>
      </c>
      <c r="M161" s="49">
        <v>0</v>
      </c>
      <c r="N161" s="49">
        <v>383</v>
      </c>
      <c r="P161" s="40">
        <v>246779413743</v>
      </c>
      <c r="Q161" s="47">
        <v>0</v>
      </c>
      <c r="R161" s="47">
        <v>383</v>
      </c>
    </row>
    <row r="162" spans="1:18" x14ac:dyDescent="0.35">
      <c r="A162" s="50">
        <v>45748</v>
      </c>
      <c r="B162" s="23">
        <v>0</v>
      </c>
      <c r="C162" s="23">
        <v>13011</v>
      </c>
      <c r="D162" s="23">
        <v>-2849274.12</v>
      </c>
      <c r="E162" s="22" t="s">
        <v>661</v>
      </c>
      <c r="F162" s="22" t="s">
        <v>507</v>
      </c>
      <c r="G162" s="22" t="s">
        <v>661</v>
      </c>
      <c r="H162" s="24">
        <v>246779413704</v>
      </c>
      <c r="I162" s="72"/>
      <c r="J162" s="72"/>
      <c r="L162" s="56">
        <v>246779413744</v>
      </c>
      <c r="M162" s="49">
        <v>0</v>
      </c>
      <c r="N162" s="49">
        <v>191</v>
      </c>
      <c r="P162" s="40">
        <v>246779413744</v>
      </c>
      <c r="Q162" s="47">
        <v>0</v>
      </c>
      <c r="R162" s="47">
        <v>191</v>
      </c>
    </row>
    <row r="163" spans="1:18" x14ac:dyDescent="0.35">
      <c r="A163" s="50">
        <v>45748</v>
      </c>
      <c r="B163" s="23">
        <v>0</v>
      </c>
      <c r="C163" s="23">
        <v>200</v>
      </c>
      <c r="D163" s="23">
        <v>-2849474.12</v>
      </c>
      <c r="E163" s="22" t="s">
        <v>662</v>
      </c>
      <c r="F163" s="22" t="s">
        <v>500</v>
      </c>
      <c r="G163" s="22" t="s">
        <v>662</v>
      </c>
      <c r="H163" s="24">
        <v>246779410848</v>
      </c>
      <c r="I163" s="72"/>
      <c r="J163" s="72"/>
      <c r="L163" s="56">
        <v>246779413745</v>
      </c>
      <c r="M163" s="49">
        <v>0</v>
      </c>
      <c r="N163" s="49">
        <v>3064</v>
      </c>
      <c r="P163" s="40">
        <v>246779413745</v>
      </c>
      <c r="Q163" s="47">
        <v>0</v>
      </c>
      <c r="R163" s="47">
        <v>3064</v>
      </c>
    </row>
    <row r="164" spans="1:18" x14ac:dyDescent="0.35">
      <c r="A164" s="50">
        <v>45748</v>
      </c>
      <c r="B164" s="23">
        <v>0</v>
      </c>
      <c r="C164" s="23">
        <v>45188</v>
      </c>
      <c r="D164" s="23">
        <v>-2894662.12</v>
      </c>
      <c r="E164" s="22" t="s">
        <v>663</v>
      </c>
      <c r="F164" s="22" t="s">
        <v>664</v>
      </c>
      <c r="G164" s="22" t="s">
        <v>663</v>
      </c>
      <c r="H164" s="24">
        <v>246779413845</v>
      </c>
      <c r="I164" s="72"/>
      <c r="J164" s="72"/>
      <c r="L164" s="56">
        <v>246779413753</v>
      </c>
      <c r="M164" s="49">
        <v>0</v>
      </c>
      <c r="N164" s="49">
        <v>31723</v>
      </c>
      <c r="P164" s="40">
        <v>246779413753</v>
      </c>
      <c r="Q164" s="47">
        <v>0</v>
      </c>
      <c r="R164" s="47">
        <v>31723</v>
      </c>
    </row>
    <row r="165" spans="1:18" x14ac:dyDescent="0.35">
      <c r="A165" s="50">
        <v>45748</v>
      </c>
      <c r="B165" s="23">
        <v>0</v>
      </c>
      <c r="C165" s="23">
        <v>19429</v>
      </c>
      <c r="D165" s="23">
        <v>-2914091.12</v>
      </c>
      <c r="E165" s="22" t="s">
        <v>665</v>
      </c>
      <c r="F165" s="22" t="s">
        <v>507</v>
      </c>
      <c r="G165" s="22" t="s">
        <v>665</v>
      </c>
      <c r="H165" s="24">
        <v>246779413705</v>
      </c>
      <c r="I165" s="72"/>
      <c r="J165" s="72"/>
      <c r="L165" s="56">
        <v>246779413762</v>
      </c>
      <c r="M165" s="49">
        <v>0</v>
      </c>
      <c r="N165" s="49">
        <v>191</v>
      </c>
      <c r="P165" s="40">
        <v>246779413762</v>
      </c>
      <c r="Q165" s="47">
        <v>0</v>
      </c>
      <c r="R165" s="47">
        <v>191</v>
      </c>
    </row>
    <row r="166" spans="1:18" x14ac:dyDescent="0.35">
      <c r="A166" s="50">
        <v>45748</v>
      </c>
      <c r="B166" s="23">
        <v>0</v>
      </c>
      <c r="C166" s="23">
        <v>3594</v>
      </c>
      <c r="D166" s="23">
        <v>-2917685.12</v>
      </c>
      <c r="E166" s="22" t="s">
        <v>666</v>
      </c>
      <c r="F166" s="22" t="s">
        <v>500</v>
      </c>
      <c r="G166" s="22" t="s">
        <v>666</v>
      </c>
      <c r="H166" s="24">
        <v>246779410755</v>
      </c>
      <c r="I166" s="72"/>
      <c r="J166" s="72"/>
      <c r="L166" s="56">
        <v>246779413772</v>
      </c>
      <c r="M166" s="49">
        <v>0</v>
      </c>
      <c r="N166" s="49">
        <v>994</v>
      </c>
      <c r="P166" s="40">
        <v>246779413772</v>
      </c>
      <c r="Q166" s="47">
        <v>0</v>
      </c>
      <c r="R166" s="47">
        <v>994</v>
      </c>
    </row>
    <row r="167" spans="1:18" x14ac:dyDescent="0.35">
      <c r="A167" s="50">
        <v>45748</v>
      </c>
      <c r="B167" s="23">
        <v>0</v>
      </c>
      <c r="C167" s="23">
        <v>35477</v>
      </c>
      <c r="D167" s="23">
        <v>-2953162.12</v>
      </c>
      <c r="E167" s="22" t="s">
        <v>667</v>
      </c>
      <c r="F167" s="22" t="s">
        <v>491</v>
      </c>
      <c r="G167" s="22" t="s">
        <v>667</v>
      </c>
      <c r="H167" s="24">
        <v>246779410072</v>
      </c>
      <c r="I167" s="72"/>
      <c r="J167" s="72"/>
      <c r="L167" s="56">
        <v>246779413782</v>
      </c>
      <c r="M167" s="49">
        <v>0</v>
      </c>
      <c r="N167" s="49">
        <v>596</v>
      </c>
      <c r="P167" s="40">
        <v>246779413782</v>
      </c>
      <c r="Q167" s="47">
        <v>0</v>
      </c>
      <c r="R167" s="47">
        <v>596</v>
      </c>
    </row>
    <row r="168" spans="1:18" x14ac:dyDescent="0.35">
      <c r="A168" s="50">
        <v>45748</v>
      </c>
      <c r="B168" s="23">
        <v>0</v>
      </c>
      <c r="C168" s="23">
        <v>799</v>
      </c>
      <c r="D168" s="23">
        <v>-2953961.12</v>
      </c>
      <c r="E168" s="22" t="s">
        <v>668</v>
      </c>
      <c r="F168" s="22" t="s">
        <v>500</v>
      </c>
      <c r="G168" s="22" t="s">
        <v>668</v>
      </c>
      <c r="H168" s="24">
        <v>246779410688</v>
      </c>
      <c r="I168" s="72"/>
      <c r="J168" s="72"/>
      <c r="L168" s="56">
        <v>246779413796</v>
      </c>
      <c r="M168" s="49"/>
      <c r="N168" s="49"/>
      <c r="P168" s="40">
        <v>246779413796</v>
      </c>
      <c r="Q168" s="47">
        <v>0</v>
      </c>
      <c r="R168" s="47">
        <v>163631</v>
      </c>
    </row>
    <row r="169" spans="1:18" x14ac:dyDescent="0.35">
      <c r="A169" s="50">
        <v>45748</v>
      </c>
      <c r="B169" s="23">
        <v>0</v>
      </c>
      <c r="C169" s="23">
        <v>1797</v>
      </c>
      <c r="D169" s="23">
        <v>-2955758.12</v>
      </c>
      <c r="E169" s="22" t="s">
        <v>669</v>
      </c>
      <c r="F169" s="22" t="s">
        <v>500</v>
      </c>
      <c r="G169" s="22" t="s">
        <v>669</v>
      </c>
      <c r="H169" s="24">
        <v>246779410687</v>
      </c>
      <c r="I169" s="72"/>
      <c r="J169" s="72"/>
      <c r="L169" s="56">
        <v>246779413816</v>
      </c>
      <c r="M169" s="49">
        <v>0</v>
      </c>
      <c r="N169" s="49">
        <v>18610</v>
      </c>
      <c r="P169" s="40">
        <v>246779413816</v>
      </c>
      <c r="Q169" s="47">
        <v>18611</v>
      </c>
      <c r="R169" s="47">
        <v>18610</v>
      </c>
    </row>
    <row r="170" spans="1:18" x14ac:dyDescent="0.35">
      <c r="A170" s="50">
        <v>45748</v>
      </c>
      <c r="B170" s="23">
        <v>0</v>
      </c>
      <c r="C170" s="23">
        <v>59624</v>
      </c>
      <c r="D170" s="23">
        <v>-3015382.12</v>
      </c>
      <c r="E170" s="22" t="s">
        <v>670</v>
      </c>
      <c r="F170" s="22" t="s">
        <v>507</v>
      </c>
      <c r="G170" s="22" t="s">
        <v>670</v>
      </c>
      <c r="H170" s="24">
        <v>246779410360</v>
      </c>
      <c r="I170" s="72"/>
      <c r="J170" s="72"/>
      <c r="L170" s="56">
        <v>246779413827</v>
      </c>
      <c r="M170" s="49">
        <v>0</v>
      </c>
      <c r="N170" s="49">
        <v>31723</v>
      </c>
      <c r="P170" s="40">
        <v>246779413827</v>
      </c>
      <c r="Q170" s="47">
        <v>31723</v>
      </c>
      <c r="R170" s="47">
        <v>31723</v>
      </c>
    </row>
    <row r="171" spans="1:18" x14ac:dyDescent="0.35">
      <c r="A171" s="50">
        <v>45750</v>
      </c>
      <c r="B171" s="23">
        <v>0</v>
      </c>
      <c r="C171" s="23">
        <v>2883</v>
      </c>
      <c r="D171" s="23">
        <v>-3018265.12</v>
      </c>
      <c r="E171" s="22" t="s">
        <v>671</v>
      </c>
      <c r="F171" s="22" t="s">
        <v>672</v>
      </c>
      <c r="G171" s="22" t="s">
        <v>671</v>
      </c>
      <c r="H171" s="24">
        <v>256779410157</v>
      </c>
      <c r="I171" s="72"/>
      <c r="J171" s="72"/>
      <c r="L171" s="56">
        <v>246779413845</v>
      </c>
      <c r="M171" s="49">
        <v>0</v>
      </c>
      <c r="N171" s="49">
        <v>45188</v>
      </c>
      <c r="P171" s="40">
        <v>246779413845</v>
      </c>
      <c r="Q171" s="47">
        <v>11955</v>
      </c>
      <c r="R171" s="47">
        <v>45188</v>
      </c>
    </row>
    <row r="172" spans="1:18" x14ac:dyDescent="0.35">
      <c r="A172" s="50">
        <v>45750</v>
      </c>
      <c r="B172" s="23">
        <v>0</v>
      </c>
      <c r="C172" s="23">
        <v>4913</v>
      </c>
      <c r="D172" s="23">
        <v>-3023178.12</v>
      </c>
      <c r="E172" s="22" t="s">
        <v>673</v>
      </c>
      <c r="F172" s="22" t="s">
        <v>557</v>
      </c>
      <c r="G172" s="22" t="s">
        <v>673</v>
      </c>
      <c r="H172" s="24">
        <v>256779410156</v>
      </c>
      <c r="I172" s="72"/>
      <c r="J172" s="72"/>
      <c r="L172" s="56">
        <v>246779413933</v>
      </c>
      <c r="M172" s="49">
        <v>0</v>
      </c>
      <c r="N172" s="49">
        <v>846</v>
      </c>
      <c r="P172" s="40">
        <v>246779413933</v>
      </c>
      <c r="Q172" s="47">
        <v>0</v>
      </c>
      <c r="R172" s="47">
        <v>846</v>
      </c>
    </row>
    <row r="173" spans="1:18" x14ac:dyDescent="0.35">
      <c r="A173" s="50">
        <v>45750</v>
      </c>
      <c r="B173" s="23">
        <v>0</v>
      </c>
      <c r="C173" s="23">
        <v>13011</v>
      </c>
      <c r="D173" s="23">
        <v>-3036189.12</v>
      </c>
      <c r="E173" s="22" t="s">
        <v>674</v>
      </c>
      <c r="F173" s="22" t="s">
        <v>500</v>
      </c>
      <c r="G173" s="22" t="s">
        <v>674</v>
      </c>
      <c r="H173" s="24">
        <v>256779410166</v>
      </c>
      <c r="I173" s="72"/>
      <c r="J173" s="72"/>
      <c r="L173" s="56">
        <v>246779414141</v>
      </c>
      <c r="M173" s="49">
        <v>0</v>
      </c>
      <c r="N173" s="49">
        <v>4652</v>
      </c>
      <c r="P173" s="40">
        <v>246779414141</v>
      </c>
      <c r="Q173" s="47">
        <v>0</v>
      </c>
      <c r="R173" s="47">
        <v>4652</v>
      </c>
    </row>
    <row r="174" spans="1:18" x14ac:dyDescent="0.35">
      <c r="A174" s="50">
        <v>45750</v>
      </c>
      <c r="B174" s="23">
        <v>0</v>
      </c>
      <c r="C174" s="23">
        <v>6205</v>
      </c>
      <c r="D174" s="23">
        <v>-3042394.12</v>
      </c>
      <c r="E174" s="22" t="s">
        <v>675</v>
      </c>
      <c r="F174" s="22" t="s">
        <v>500</v>
      </c>
      <c r="G174" s="22" t="s">
        <v>675</v>
      </c>
      <c r="H174" s="24">
        <v>256779410174</v>
      </c>
      <c r="I174" s="72"/>
      <c r="J174" s="72"/>
      <c r="L174" s="56">
        <v>246779414142</v>
      </c>
      <c r="M174" s="49">
        <v>0</v>
      </c>
      <c r="N174" s="49">
        <v>1268</v>
      </c>
      <c r="P174" s="40">
        <v>246779414142</v>
      </c>
      <c r="Q174" s="47">
        <v>0</v>
      </c>
      <c r="R174" s="47">
        <v>1268</v>
      </c>
    </row>
    <row r="175" spans="1:18" x14ac:dyDescent="0.35">
      <c r="A175" s="50">
        <v>45750</v>
      </c>
      <c r="B175" s="23">
        <v>0</v>
      </c>
      <c r="C175" s="23">
        <v>2937</v>
      </c>
      <c r="D175" s="23">
        <v>-3045331.12</v>
      </c>
      <c r="E175" s="22" t="s">
        <v>676</v>
      </c>
      <c r="F175" s="22" t="s">
        <v>573</v>
      </c>
      <c r="G175" s="22" t="s">
        <v>676</v>
      </c>
      <c r="H175" s="24">
        <v>256779410201</v>
      </c>
      <c r="I175" s="72"/>
      <c r="J175" s="72"/>
      <c r="L175" s="56">
        <v>246779414221</v>
      </c>
      <c r="M175" s="49">
        <v>0</v>
      </c>
      <c r="N175" s="49">
        <v>17701</v>
      </c>
      <c r="P175" s="40">
        <v>246779414221</v>
      </c>
      <c r="Q175" s="47">
        <v>0</v>
      </c>
      <c r="R175" s="47">
        <v>17701</v>
      </c>
    </row>
    <row r="176" spans="1:18" x14ac:dyDescent="0.35">
      <c r="A176" s="50">
        <v>45750</v>
      </c>
      <c r="B176" s="23">
        <v>0</v>
      </c>
      <c r="C176" s="23">
        <v>319</v>
      </c>
      <c r="D176" s="23">
        <v>-3045650.12</v>
      </c>
      <c r="E176" s="22" t="s">
        <v>677</v>
      </c>
      <c r="F176" s="22" t="s">
        <v>579</v>
      </c>
      <c r="G176" s="22" t="s">
        <v>677</v>
      </c>
      <c r="H176" s="24">
        <v>256779410135</v>
      </c>
      <c r="I176" s="72"/>
      <c r="J176" s="72"/>
      <c r="L176" s="56">
        <v>246779414317</v>
      </c>
      <c r="M176" s="49">
        <v>0</v>
      </c>
      <c r="N176" s="49">
        <v>1907</v>
      </c>
      <c r="P176" s="40">
        <v>246779414317</v>
      </c>
      <c r="Q176" s="47">
        <v>0</v>
      </c>
      <c r="R176" s="47">
        <v>1907</v>
      </c>
    </row>
    <row r="177" spans="1:18" x14ac:dyDescent="0.35">
      <c r="A177" s="50">
        <v>45750</v>
      </c>
      <c r="B177" s="23">
        <v>0</v>
      </c>
      <c r="C177" s="23">
        <v>639</v>
      </c>
      <c r="D177" s="23">
        <v>-3046289.12</v>
      </c>
      <c r="E177" s="22" t="s">
        <v>678</v>
      </c>
      <c r="F177" s="22" t="s">
        <v>557</v>
      </c>
      <c r="G177" s="22" t="s">
        <v>678</v>
      </c>
      <c r="H177" s="24">
        <v>256779410134</v>
      </c>
      <c r="I177" s="72"/>
      <c r="J177" s="72"/>
      <c r="L177" s="56">
        <v>246779414467</v>
      </c>
      <c r="M177" s="49">
        <v>0</v>
      </c>
      <c r="N177" s="49">
        <v>2674</v>
      </c>
      <c r="P177" s="40">
        <v>246779414467</v>
      </c>
      <c r="Q177" s="47">
        <v>0</v>
      </c>
      <c r="R177" s="47">
        <v>2674</v>
      </c>
    </row>
    <row r="178" spans="1:18" x14ac:dyDescent="0.35">
      <c r="A178" s="50">
        <v>45750</v>
      </c>
      <c r="B178" s="23">
        <v>0</v>
      </c>
      <c r="C178" s="23">
        <v>140649</v>
      </c>
      <c r="D178" s="23">
        <v>-3186938.12</v>
      </c>
      <c r="E178" s="22" t="s">
        <v>679</v>
      </c>
      <c r="F178" s="22" t="s">
        <v>507</v>
      </c>
      <c r="G178" s="22" t="s">
        <v>679</v>
      </c>
      <c r="H178" s="24">
        <v>256779410010</v>
      </c>
      <c r="I178" s="72"/>
      <c r="J178" s="72"/>
      <c r="L178" s="56">
        <v>246779414603</v>
      </c>
      <c r="M178" s="49">
        <v>0</v>
      </c>
      <c r="N178" s="49">
        <v>34760</v>
      </c>
      <c r="P178" s="40">
        <v>246779414603</v>
      </c>
      <c r="Q178" s="47">
        <v>0</v>
      </c>
      <c r="R178" s="47">
        <v>34760</v>
      </c>
    </row>
    <row r="179" spans="1:18" x14ac:dyDescent="0.35">
      <c r="A179" s="50">
        <v>45750</v>
      </c>
      <c r="B179" s="23">
        <v>0</v>
      </c>
      <c r="C179" s="23">
        <v>55272</v>
      </c>
      <c r="D179" s="23">
        <v>-3242210.12</v>
      </c>
      <c r="E179" s="22" t="s">
        <v>680</v>
      </c>
      <c r="F179" s="22" t="s">
        <v>507</v>
      </c>
      <c r="G179" s="22" t="s">
        <v>680</v>
      </c>
      <c r="H179" s="24">
        <v>256779410004</v>
      </c>
      <c r="I179" s="72"/>
      <c r="J179" s="72"/>
      <c r="L179" s="56">
        <v>246779414680</v>
      </c>
      <c r="M179" s="49">
        <v>0</v>
      </c>
      <c r="N179" s="49">
        <v>383</v>
      </c>
      <c r="P179" s="40">
        <v>246779414680</v>
      </c>
      <c r="Q179" s="47">
        <v>0</v>
      </c>
      <c r="R179" s="47">
        <v>383</v>
      </c>
    </row>
    <row r="180" spans="1:18" x14ac:dyDescent="0.35">
      <c r="A180" s="50">
        <v>45750</v>
      </c>
      <c r="B180" s="23">
        <v>0</v>
      </c>
      <c r="C180" s="23">
        <v>114223</v>
      </c>
      <c r="D180" s="23">
        <v>-3356433.12</v>
      </c>
      <c r="E180" s="22" t="s">
        <v>681</v>
      </c>
      <c r="F180" s="22" t="s">
        <v>507</v>
      </c>
      <c r="G180" s="22" t="s">
        <v>681</v>
      </c>
      <c r="H180" s="24">
        <v>256779410220</v>
      </c>
      <c r="I180" s="72"/>
      <c r="J180" s="72"/>
      <c r="L180" s="56">
        <v>246779414681</v>
      </c>
      <c r="M180" s="49">
        <v>0</v>
      </c>
      <c r="N180" s="49">
        <v>1268</v>
      </c>
      <c r="P180" s="40">
        <v>246779414681</v>
      </c>
      <c r="Q180" s="47">
        <v>0</v>
      </c>
      <c r="R180" s="47">
        <v>1268</v>
      </c>
    </row>
    <row r="181" spans="1:18" x14ac:dyDescent="0.35">
      <c r="A181" s="50">
        <v>45751</v>
      </c>
      <c r="B181" s="23">
        <v>0</v>
      </c>
      <c r="C181" s="23">
        <v>331566</v>
      </c>
      <c r="D181" s="23">
        <v>-3687999.12</v>
      </c>
      <c r="E181" s="22" t="s">
        <v>682</v>
      </c>
      <c r="F181" s="22" t="s">
        <v>507</v>
      </c>
      <c r="G181" s="22" t="s">
        <v>682</v>
      </c>
      <c r="H181" s="24">
        <v>256779410812</v>
      </c>
      <c r="I181" s="72"/>
      <c r="J181" s="72"/>
      <c r="L181" s="56">
        <v>246779414734</v>
      </c>
      <c r="M181" s="49">
        <v>0</v>
      </c>
      <c r="N181" s="49">
        <v>211</v>
      </c>
      <c r="P181" s="40">
        <v>246779414734</v>
      </c>
      <c r="Q181" s="47">
        <v>0</v>
      </c>
      <c r="R181" s="47">
        <v>211</v>
      </c>
    </row>
    <row r="182" spans="1:18" x14ac:dyDescent="0.35">
      <c r="A182" s="50">
        <v>45751</v>
      </c>
      <c r="B182" s="23">
        <v>0</v>
      </c>
      <c r="C182" s="23">
        <v>384955</v>
      </c>
      <c r="D182" s="23">
        <v>-4072954.12</v>
      </c>
      <c r="E182" s="22" t="s">
        <v>683</v>
      </c>
      <c r="F182" s="22" t="s">
        <v>507</v>
      </c>
      <c r="G182" s="22" t="s">
        <v>683</v>
      </c>
      <c r="H182" s="24">
        <v>256779410795</v>
      </c>
      <c r="I182" s="72"/>
      <c r="J182" s="72"/>
      <c r="L182" s="56">
        <v>246779414885</v>
      </c>
      <c r="M182" s="49">
        <v>0</v>
      </c>
      <c r="N182" s="49">
        <v>211</v>
      </c>
      <c r="P182" s="40">
        <v>246779414885</v>
      </c>
      <c r="Q182" s="47">
        <v>0</v>
      </c>
      <c r="R182" s="47">
        <v>211</v>
      </c>
    </row>
    <row r="183" spans="1:18" x14ac:dyDescent="0.35">
      <c r="A183" s="50">
        <v>45762</v>
      </c>
      <c r="B183" s="23">
        <v>0</v>
      </c>
      <c r="C183" s="23">
        <v>13328</v>
      </c>
      <c r="D183" s="23">
        <v>-4086282.12</v>
      </c>
      <c r="E183" s="22" t="s">
        <v>684</v>
      </c>
      <c r="F183" s="22" t="s">
        <v>500</v>
      </c>
      <c r="G183" s="22" t="s">
        <v>684</v>
      </c>
      <c r="H183" s="24">
        <v>256779411150</v>
      </c>
      <c r="I183" s="72"/>
      <c r="J183" s="72"/>
      <c r="L183" s="56">
        <v>246779418620</v>
      </c>
      <c r="M183" s="49">
        <v>7320</v>
      </c>
      <c r="N183" s="49">
        <v>73283.168300000005</v>
      </c>
      <c r="P183" s="40">
        <v>246779418620</v>
      </c>
      <c r="Q183" s="47">
        <v>7320</v>
      </c>
      <c r="R183" s="47">
        <v>73283.168300000005</v>
      </c>
    </row>
    <row r="184" spans="1:18" x14ac:dyDescent="0.35">
      <c r="A184" s="50">
        <v>45762</v>
      </c>
      <c r="B184" s="23">
        <v>0</v>
      </c>
      <c r="C184" s="23">
        <v>25546</v>
      </c>
      <c r="D184" s="23">
        <v>-4111828.12</v>
      </c>
      <c r="E184" s="22" t="s">
        <v>685</v>
      </c>
      <c r="F184" s="22" t="s">
        <v>561</v>
      </c>
      <c r="G184" s="22" t="s">
        <v>685</v>
      </c>
      <c r="H184" s="24">
        <v>256779411148</v>
      </c>
      <c r="I184" s="72"/>
      <c r="J184" s="72"/>
      <c r="L184" s="56">
        <v>256779410004</v>
      </c>
      <c r="M184" s="49">
        <v>0</v>
      </c>
      <c r="N184" s="49">
        <v>55272</v>
      </c>
      <c r="P184" s="40">
        <v>256779410004</v>
      </c>
      <c r="Q184" s="47">
        <v>55272</v>
      </c>
      <c r="R184" s="47">
        <v>55272</v>
      </c>
    </row>
    <row r="185" spans="1:18" x14ac:dyDescent="0.35">
      <c r="A185" s="50">
        <v>45762</v>
      </c>
      <c r="B185" s="23">
        <v>0</v>
      </c>
      <c r="C185" s="23">
        <v>2664</v>
      </c>
      <c r="D185" s="23">
        <v>-4114492.12</v>
      </c>
      <c r="E185" s="22" t="s">
        <v>686</v>
      </c>
      <c r="F185" s="22" t="s">
        <v>557</v>
      </c>
      <c r="G185" s="22" t="s">
        <v>686</v>
      </c>
      <c r="H185" s="24">
        <v>256779411149</v>
      </c>
      <c r="I185" s="72"/>
      <c r="J185" s="72"/>
      <c r="L185" s="56">
        <v>256779410010</v>
      </c>
      <c r="M185" s="49">
        <v>0</v>
      </c>
      <c r="N185" s="49">
        <v>140649</v>
      </c>
      <c r="P185" s="40">
        <v>256779410010</v>
      </c>
      <c r="Q185" s="47">
        <v>140649</v>
      </c>
      <c r="R185" s="47">
        <v>140649</v>
      </c>
    </row>
    <row r="186" spans="1:18" x14ac:dyDescent="0.35">
      <c r="A186" s="50">
        <v>45762</v>
      </c>
      <c r="B186" s="23">
        <v>0</v>
      </c>
      <c r="C186" s="23">
        <v>790</v>
      </c>
      <c r="D186" s="23">
        <v>-4115282.12</v>
      </c>
      <c r="E186" s="22" t="s">
        <v>687</v>
      </c>
      <c r="F186" s="22" t="s">
        <v>557</v>
      </c>
      <c r="G186" s="22" t="s">
        <v>687</v>
      </c>
      <c r="H186" s="24">
        <v>256779411564</v>
      </c>
      <c r="I186" s="72"/>
      <c r="J186" s="72"/>
      <c r="L186" s="56">
        <v>256779410134</v>
      </c>
      <c r="M186" s="49">
        <v>0</v>
      </c>
      <c r="N186" s="49">
        <v>639</v>
      </c>
      <c r="P186" s="40">
        <v>256779410134</v>
      </c>
      <c r="Q186" s="47">
        <v>0</v>
      </c>
      <c r="R186" s="47">
        <v>639</v>
      </c>
    </row>
    <row r="187" spans="1:18" x14ac:dyDescent="0.35">
      <c r="A187" s="50">
        <v>45762</v>
      </c>
      <c r="B187" s="23">
        <v>0</v>
      </c>
      <c r="C187" s="23">
        <v>198</v>
      </c>
      <c r="D187" s="23">
        <v>-4115480.12</v>
      </c>
      <c r="E187" s="22" t="s">
        <v>688</v>
      </c>
      <c r="F187" s="22" t="s">
        <v>500</v>
      </c>
      <c r="G187" s="22" t="s">
        <v>688</v>
      </c>
      <c r="H187" s="24">
        <v>256779411563</v>
      </c>
      <c r="I187" s="72"/>
      <c r="J187" s="72"/>
      <c r="L187" s="56">
        <v>256779410135</v>
      </c>
      <c r="M187" s="49">
        <v>0</v>
      </c>
      <c r="N187" s="49">
        <v>319</v>
      </c>
      <c r="P187" s="40">
        <v>256779410135</v>
      </c>
      <c r="Q187" s="47">
        <v>0</v>
      </c>
      <c r="R187" s="47">
        <v>319</v>
      </c>
    </row>
    <row r="188" spans="1:18" x14ac:dyDescent="0.35">
      <c r="A188" s="50">
        <v>45762</v>
      </c>
      <c r="B188" s="23">
        <v>0</v>
      </c>
      <c r="C188" s="23">
        <v>13629</v>
      </c>
      <c r="D188" s="23">
        <v>-4129109.12</v>
      </c>
      <c r="E188" s="22" t="s">
        <v>689</v>
      </c>
      <c r="F188" s="22" t="s">
        <v>581</v>
      </c>
      <c r="G188" s="22" t="s">
        <v>689</v>
      </c>
      <c r="H188" s="24">
        <v>256779411151</v>
      </c>
      <c r="I188" s="72"/>
      <c r="J188" s="72"/>
      <c r="L188" s="56">
        <v>256779410156</v>
      </c>
      <c r="M188" s="49">
        <v>0</v>
      </c>
      <c r="N188" s="49">
        <v>4913</v>
      </c>
      <c r="P188" s="40">
        <v>256779410156</v>
      </c>
      <c r="Q188" s="47">
        <v>0</v>
      </c>
      <c r="R188" s="47">
        <v>4913</v>
      </c>
    </row>
    <row r="189" spans="1:18" x14ac:dyDescent="0.35">
      <c r="A189" s="50">
        <v>45763</v>
      </c>
      <c r="B189" s="23">
        <v>0</v>
      </c>
      <c r="C189" s="23">
        <v>417286</v>
      </c>
      <c r="D189" s="23">
        <v>-4546395.12</v>
      </c>
      <c r="E189" s="22" t="s">
        <v>690</v>
      </c>
      <c r="F189" s="22" t="s">
        <v>507</v>
      </c>
      <c r="G189" s="22" t="s">
        <v>690</v>
      </c>
      <c r="H189" s="24">
        <v>256779412117</v>
      </c>
      <c r="I189" s="72"/>
      <c r="J189" s="72"/>
      <c r="L189" s="56">
        <v>256779410157</v>
      </c>
      <c r="M189" s="49">
        <v>0</v>
      </c>
      <c r="N189" s="49">
        <v>2883</v>
      </c>
      <c r="P189" s="40">
        <v>256779410157</v>
      </c>
      <c r="Q189" s="47">
        <v>0</v>
      </c>
      <c r="R189" s="47">
        <v>2883</v>
      </c>
    </row>
    <row r="190" spans="1:18" x14ac:dyDescent="0.35">
      <c r="A190" s="50">
        <v>45763</v>
      </c>
      <c r="B190" s="23">
        <v>0</v>
      </c>
      <c r="C190" s="23">
        <v>1972</v>
      </c>
      <c r="D190" s="23">
        <v>-4548367.12</v>
      </c>
      <c r="E190" s="22" t="s">
        <v>691</v>
      </c>
      <c r="F190" s="22" t="s">
        <v>557</v>
      </c>
      <c r="G190" s="22" t="s">
        <v>691</v>
      </c>
      <c r="H190" s="24">
        <v>25677941807</v>
      </c>
      <c r="I190" s="72"/>
      <c r="J190" s="72"/>
      <c r="L190" s="56">
        <v>256779410166</v>
      </c>
      <c r="M190" s="49">
        <v>0</v>
      </c>
      <c r="N190" s="49">
        <v>13011</v>
      </c>
      <c r="P190" s="40">
        <v>256779410166</v>
      </c>
      <c r="Q190" s="47">
        <v>0</v>
      </c>
      <c r="R190" s="47">
        <v>13011</v>
      </c>
    </row>
    <row r="191" spans="1:18" x14ac:dyDescent="0.35">
      <c r="A191" s="50">
        <v>45763</v>
      </c>
      <c r="B191" s="23">
        <v>0</v>
      </c>
      <c r="C191" s="23">
        <v>1584</v>
      </c>
      <c r="D191" s="23">
        <v>-4549951.12</v>
      </c>
      <c r="E191" s="22" t="s">
        <v>692</v>
      </c>
      <c r="F191" s="22" t="s">
        <v>573</v>
      </c>
      <c r="G191" s="22" t="s">
        <v>692</v>
      </c>
      <c r="H191" s="24">
        <v>256779412065</v>
      </c>
      <c r="I191" s="72"/>
      <c r="J191" s="72"/>
      <c r="L191" s="56">
        <v>256779410174</v>
      </c>
      <c r="M191" s="49">
        <v>0</v>
      </c>
      <c r="N191" s="49">
        <v>6205</v>
      </c>
      <c r="P191" s="40">
        <v>256779410174</v>
      </c>
      <c r="Q191" s="47">
        <v>0</v>
      </c>
      <c r="R191" s="47">
        <v>6205</v>
      </c>
    </row>
    <row r="192" spans="1:18" x14ac:dyDescent="0.35">
      <c r="A192" s="50">
        <v>45763</v>
      </c>
      <c r="B192" s="23">
        <v>0</v>
      </c>
      <c r="C192" s="23">
        <v>1256</v>
      </c>
      <c r="D192" s="23">
        <v>-4551207.12</v>
      </c>
      <c r="E192" s="22" t="s">
        <v>693</v>
      </c>
      <c r="F192" s="22" t="s">
        <v>500</v>
      </c>
      <c r="G192" s="22" t="s">
        <v>693</v>
      </c>
      <c r="H192" s="24">
        <v>256779411885</v>
      </c>
      <c r="I192" s="72"/>
      <c r="J192" s="72"/>
      <c r="L192" s="56">
        <v>256779410201</v>
      </c>
      <c r="M192" s="49">
        <v>0</v>
      </c>
      <c r="N192" s="49">
        <v>2937</v>
      </c>
      <c r="P192" s="40">
        <v>256779410201</v>
      </c>
      <c r="Q192" s="47">
        <v>0</v>
      </c>
      <c r="R192" s="47">
        <v>2937</v>
      </c>
    </row>
    <row r="193" spans="1:18" x14ac:dyDescent="0.35">
      <c r="A193" s="50">
        <v>45763</v>
      </c>
      <c r="B193" s="23">
        <v>0</v>
      </c>
      <c r="C193" s="23">
        <v>21549</v>
      </c>
      <c r="D193" s="23">
        <v>-4572756.12</v>
      </c>
      <c r="E193" s="22" t="s">
        <v>694</v>
      </c>
      <c r="F193" s="22" t="s">
        <v>573</v>
      </c>
      <c r="G193" s="22" t="s">
        <v>694</v>
      </c>
      <c r="H193" s="24">
        <v>256779412100</v>
      </c>
      <c r="I193" s="72"/>
      <c r="J193" s="72"/>
      <c r="L193" s="56">
        <v>256779410220</v>
      </c>
      <c r="M193" s="49">
        <v>0</v>
      </c>
      <c r="N193" s="49">
        <v>114223</v>
      </c>
      <c r="P193" s="40">
        <v>256779410220</v>
      </c>
      <c r="Q193" s="47">
        <v>0</v>
      </c>
      <c r="R193" s="47">
        <v>114223</v>
      </c>
    </row>
    <row r="194" spans="1:18" x14ac:dyDescent="0.35">
      <c r="A194" s="50">
        <v>45763</v>
      </c>
      <c r="B194" s="23">
        <v>0</v>
      </c>
      <c r="C194" s="23">
        <v>447</v>
      </c>
      <c r="D194" s="23">
        <v>-4573203.12</v>
      </c>
      <c r="E194" s="22" t="s">
        <v>695</v>
      </c>
      <c r="F194" s="22" t="s">
        <v>500</v>
      </c>
      <c r="G194" s="22" t="s">
        <v>695</v>
      </c>
      <c r="H194" s="24">
        <v>256779411886</v>
      </c>
      <c r="I194" s="72"/>
      <c r="J194" s="72"/>
      <c r="L194" s="56">
        <v>256779410795</v>
      </c>
      <c r="M194" s="49">
        <v>0</v>
      </c>
      <c r="N194" s="49">
        <v>384955</v>
      </c>
      <c r="P194" s="40">
        <v>256779410795</v>
      </c>
      <c r="Q194" s="47">
        <v>0</v>
      </c>
      <c r="R194" s="47">
        <v>384955</v>
      </c>
    </row>
    <row r="195" spans="1:18" x14ac:dyDescent="0.35">
      <c r="A195" s="50">
        <v>45763</v>
      </c>
      <c r="B195" s="23">
        <v>0</v>
      </c>
      <c r="C195" s="23">
        <v>12169</v>
      </c>
      <c r="D195" s="23">
        <v>-4585372.12</v>
      </c>
      <c r="E195" s="22" t="s">
        <v>696</v>
      </c>
      <c r="F195" s="22" t="s">
        <v>697</v>
      </c>
      <c r="G195" s="22" t="s">
        <v>696</v>
      </c>
      <c r="H195" s="24">
        <v>256779411917</v>
      </c>
      <c r="I195" s="72"/>
      <c r="J195" s="72"/>
      <c r="L195" s="56">
        <v>256779410812</v>
      </c>
      <c r="M195" s="49">
        <v>0</v>
      </c>
      <c r="N195" s="49">
        <v>331566</v>
      </c>
      <c r="P195" s="40">
        <v>256779410812</v>
      </c>
      <c r="Q195" s="47">
        <v>0</v>
      </c>
      <c r="R195" s="47">
        <v>331566</v>
      </c>
    </row>
    <row r="196" spans="1:18" x14ac:dyDescent="0.35">
      <c r="A196" s="50">
        <v>45768</v>
      </c>
      <c r="B196" s="23">
        <v>0</v>
      </c>
      <c r="C196" s="23">
        <v>34962</v>
      </c>
      <c r="D196" s="23">
        <v>-4620334.12</v>
      </c>
      <c r="E196" s="22" t="s">
        <v>698</v>
      </c>
      <c r="F196" s="22" t="s">
        <v>491</v>
      </c>
      <c r="G196" s="22" t="s">
        <v>698</v>
      </c>
      <c r="H196" s="24">
        <v>256779412161</v>
      </c>
      <c r="I196" s="72"/>
      <c r="J196" s="72"/>
      <c r="L196" s="56">
        <v>256779411148</v>
      </c>
      <c r="M196" s="49">
        <v>0</v>
      </c>
      <c r="N196" s="49">
        <v>25546</v>
      </c>
      <c r="P196" s="40">
        <v>256779411148</v>
      </c>
      <c r="Q196" s="47">
        <v>0</v>
      </c>
      <c r="R196" s="47">
        <v>25546</v>
      </c>
    </row>
    <row r="197" spans="1:18" x14ac:dyDescent="0.35">
      <c r="A197" s="50">
        <v>45769</v>
      </c>
      <c r="B197" s="23">
        <v>0</v>
      </c>
      <c r="C197" s="23">
        <v>2085</v>
      </c>
      <c r="D197" s="23">
        <v>-4622419.12</v>
      </c>
      <c r="E197" s="22" t="s">
        <v>699</v>
      </c>
      <c r="F197" s="22" t="s">
        <v>500</v>
      </c>
      <c r="G197" s="22" t="s">
        <v>699</v>
      </c>
      <c r="H197" s="24">
        <v>256779412655</v>
      </c>
      <c r="I197" s="72"/>
      <c r="J197" s="72"/>
      <c r="L197" s="56">
        <v>256779411149</v>
      </c>
      <c r="M197" s="49">
        <v>0</v>
      </c>
      <c r="N197" s="49">
        <v>2664</v>
      </c>
      <c r="P197" s="40">
        <v>256779411149</v>
      </c>
      <c r="Q197" s="47">
        <v>0</v>
      </c>
      <c r="R197" s="47">
        <v>2664</v>
      </c>
    </row>
    <row r="198" spans="1:18" x14ac:dyDescent="0.35">
      <c r="A198" s="50">
        <v>45769</v>
      </c>
      <c r="B198" s="23">
        <v>0</v>
      </c>
      <c r="C198" s="23">
        <v>3922</v>
      </c>
      <c r="D198" s="23">
        <v>-4626341.12</v>
      </c>
      <c r="E198" s="22" t="s">
        <v>700</v>
      </c>
      <c r="F198" s="22" t="s">
        <v>500</v>
      </c>
      <c r="G198" s="22" t="s">
        <v>700</v>
      </c>
      <c r="H198" s="24">
        <v>256779412613</v>
      </c>
      <c r="I198" s="72"/>
      <c r="J198" s="72"/>
      <c r="L198" s="56">
        <v>256779411150</v>
      </c>
      <c r="M198" s="49">
        <v>0</v>
      </c>
      <c r="N198" s="49">
        <v>13328</v>
      </c>
      <c r="P198" s="40">
        <v>256779411150</v>
      </c>
      <c r="Q198" s="47">
        <v>0</v>
      </c>
      <c r="R198" s="47">
        <v>13328</v>
      </c>
    </row>
    <row r="199" spans="1:18" x14ac:dyDescent="0.35">
      <c r="A199" s="50">
        <v>45769</v>
      </c>
      <c r="B199" s="23">
        <v>0</v>
      </c>
      <c r="C199" s="23">
        <v>14119</v>
      </c>
      <c r="D199" s="23">
        <v>-4640460.12</v>
      </c>
      <c r="E199" s="22" t="s">
        <v>701</v>
      </c>
      <c r="F199" s="22" t="s">
        <v>557</v>
      </c>
      <c r="G199" s="22" t="s">
        <v>701</v>
      </c>
      <c r="H199" s="24">
        <v>256779412468</v>
      </c>
      <c r="I199" s="72"/>
      <c r="J199" s="72"/>
      <c r="L199" s="56">
        <v>256779411151</v>
      </c>
      <c r="M199" s="49">
        <v>0</v>
      </c>
      <c r="N199" s="49">
        <v>13629</v>
      </c>
      <c r="P199" s="40">
        <v>256779411151</v>
      </c>
      <c r="Q199" s="47">
        <v>0</v>
      </c>
      <c r="R199" s="47">
        <v>13629</v>
      </c>
    </row>
    <row r="200" spans="1:18" x14ac:dyDescent="0.35">
      <c r="A200" s="50">
        <v>45769</v>
      </c>
      <c r="B200" s="23">
        <v>0</v>
      </c>
      <c r="C200" s="23">
        <v>1447</v>
      </c>
      <c r="D200" s="23">
        <v>-4641907.12</v>
      </c>
      <c r="E200" s="22" t="s">
        <v>702</v>
      </c>
      <c r="F200" s="22" t="s">
        <v>559</v>
      </c>
      <c r="G200" s="22" t="s">
        <v>702</v>
      </c>
      <c r="H200" s="24">
        <v>256779412675</v>
      </c>
      <c r="I200" s="72"/>
      <c r="J200" s="72"/>
      <c r="L200" s="56">
        <v>256779411563</v>
      </c>
      <c r="M200" s="49">
        <v>0</v>
      </c>
      <c r="N200" s="49">
        <v>198</v>
      </c>
      <c r="P200" s="40">
        <v>256779411563</v>
      </c>
      <c r="Q200" s="47">
        <v>0</v>
      </c>
      <c r="R200" s="47">
        <v>198</v>
      </c>
    </row>
    <row r="201" spans="1:18" x14ac:dyDescent="0.35">
      <c r="A201" s="50">
        <v>45769</v>
      </c>
      <c r="B201" s="23">
        <v>0</v>
      </c>
      <c r="C201" s="23">
        <v>43195</v>
      </c>
      <c r="D201" s="23">
        <v>-4685102.12</v>
      </c>
      <c r="E201" s="22" t="s">
        <v>703</v>
      </c>
      <c r="F201" s="22" t="s">
        <v>704</v>
      </c>
      <c r="G201" s="22" t="s">
        <v>703</v>
      </c>
      <c r="H201" s="24">
        <v>256779412683</v>
      </c>
      <c r="I201" s="72"/>
      <c r="J201" s="72"/>
      <c r="L201" s="56">
        <v>256779411564</v>
      </c>
      <c r="M201" s="49">
        <v>0</v>
      </c>
      <c r="N201" s="49">
        <v>790</v>
      </c>
      <c r="P201" s="40">
        <v>256779411564</v>
      </c>
      <c r="Q201" s="47">
        <v>0</v>
      </c>
      <c r="R201" s="47">
        <v>790</v>
      </c>
    </row>
    <row r="202" spans="1:18" x14ac:dyDescent="0.35">
      <c r="A202" s="50">
        <v>45769</v>
      </c>
      <c r="B202" s="23">
        <v>0</v>
      </c>
      <c r="C202" s="23">
        <v>10809</v>
      </c>
      <c r="D202" s="23">
        <v>-4695911.12</v>
      </c>
      <c r="E202" s="22" t="s">
        <v>705</v>
      </c>
      <c r="F202" s="22" t="s">
        <v>557</v>
      </c>
      <c r="G202" s="22" t="s">
        <v>705</v>
      </c>
      <c r="H202" s="24">
        <v>256779412461</v>
      </c>
      <c r="I202" s="72"/>
      <c r="J202" s="72"/>
      <c r="L202" s="56">
        <v>256779411807</v>
      </c>
      <c r="M202" s="49">
        <v>0</v>
      </c>
      <c r="N202" s="49">
        <v>2053.9</v>
      </c>
      <c r="P202" s="40">
        <v>256779411807</v>
      </c>
      <c r="Q202" s="47">
        <v>0</v>
      </c>
      <c r="R202" s="47">
        <v>2053.9</v>
      </c>
    </row>
    <row r="203" spans="1:18" x14ac:dyDescent="0.35">
      <c r="A203" s="50">
        <v>45770</v>
      </c>
      <c r="B203" s="23">
        <v>0</v>
      </c>
      <c r="C203" s="23">
        <v>1878</v>
      </c>
      <c r="D203" s="23">
        <v>-4697789.12</v>
      </c>
      <c r="E203" s="22" t="s">
        <v>706</v>
      </c>
      <c r="F203" s="22" t="s">
        <v>500</v>
      </c>
      <c r="G203" s="22" t="s">
        <v>706</v>
      </c>
      <c r="H203" s="24">
        <v>256779412926</v>
      </c>
      <c r="I203" s="72"/>
      <c r="J203" s="72"/>
      <c r="L203" s="56">
        <v>256779411885</v>
      </c>
      <c r="M203" s="49">
        <v>0</v>
      </c>
      <c r="N203" s="49">
        <v>1256</v>
      </c>
      <c r="P203" s="40">
        <v>256779411885</v>
      </c>
      <c r="Q203" s="47">
        <v>0</v>
      </c>
      <c r="R203" s="47">
        <v>1256</v>
      </c>
    </row>
    <row r="204" spans="1:18" x14ac:dyDescent="0.35">
      <c r="A204" s="50">
        <v>45770</v>
      </c>
      <c r="B204" s="23">
        <v>0</v>
      </c>
      <c r="C204" s="23">
        <v>13211</v>
      </c>
      <c r="D204" s="23">
        <v>-4711000.12</v>
      </c>
      <c r="E204" s="22" t="s">
        <v>707</v>
      </c>
      <c r="F204" s="22" t="s">
        <v>500</v>
      </c>
      <c r="G204" s="22" t="s">
        <v>707</v>
      </c>
      <c r="H204" s="24">
        <v>256779412950</v>
      </c>
      <c r="I204" s="72"/>
      <c r="J204" s="72"/>
      <c r="L204" s="56">
        <v>256779411886</v>
      </c>
      <c r="M204" s="49">
        <v>0</v>
      </c>
      <c r="N204" s="49">
        <v>447</v>
      </c>
      <c r="P204" s="40">
        <v>256779411886</v>
      </c>
      <c r="Q204" s="47">
        <v>0</v>
      </c>
      <c r="R204" s="47">
        <v>447</v>
      </c>
    </row>
    <row r="205" spans="1:18" x14ac:dyDescent="0.35">
      <c r="A205" s="50">
        <v>45770</v>
      </c>
      <c r="B205" s="23">
        <v>0</v>
      </c>
      <c r="C205" s="23">
        <v>27408</v>
      </c>
      <c r="D205" s="23">
        <v>-4738408.12</v>
      </c>
      <c r="E205" s="22" t="s">
        <v>708</v>
      </c>
      <c r="F205" s="22" t="s">
        <v>581</v>
      </c>
      <c r="G205" s="22" t="s">
        <v>708</v>
      </c>
      <c r="H205" s="24">
        <v>256779412941</v>
      </c>
      <c r="I205" s="72"/>
      <c r="J205" s="72"/>
      <c r="L205" s="56">
        <v>256779411917</v>
      </c>
      <c r="M205" s="49">
        <v>0</v>
      </c>
      <c r="N205" s="49">
        <v>12169</v>
      </c>
      <c r="P205" s="40">
        <v>256779411917</v>
      </c>
      <c r="Q205" s="47">
        <v>0</v>
      </c>
      <c r="R205" s="47">
        <v>12169</v>
      </c>
    </row>
    <row r="206" spans="1:18" x14ac:dyDescent="0.35">
      <c r="A206" s="50">
        <v>45770</v>
      </c>
      <c r="B206" s="23">
        <v>0</v>
      </c>
      <c r="C206" s="23">
        <v>6084</v>
      </c>
      <c r="D206" s="23">
        <v>-4744492.12</v>
      </c>
      <c r="E206" s="22" t="s">
        <v>709</v>
      </c>
      <c r="F206" s="22" t="s">
        <v>697</v>
      </c>
      <c r="G206" s="22" t="s">
        <v>709</v>
      </c>
      <c r="H206" s="24">
        <v>256779412692</v>
      </c>
      <c r="I206" s="72"/>
      <c r="J206" s="72"/>
      <c r="L206" s="56">
        <v>256779412065</v>
      </c>
      <c r="M206" s="49">
        <v>0</v>
      </c>
      <c r="N206" s="49">
        <v>1584</v>
      </c>
      <c r="P206" s="40">
        <v>256779412065</v>
      </c>
      <c r="Q206" s="47">
        <v>0</v>
      </c>
      <c r="R206" s="47">
        <v>1584</v>
      </c>
    </row>
    <row r="207" spans="1:18" x14ac:dyDescent="0.35">
      <c r="A207" s="50">
        <v>45771</v>
      </c>
      <c r="B207" s="23">
        <v>0</v>
      </c>
      <c r="C207" s="23">
        <v>7981</v>
      </c>
      <c r="D207" s="23">
        <v>-4752473.12</v>
      </c>
      <c r="E207" s="22" t="s">
        <v>710</v>
      </c>
      <c r="F207" s="22" t="s">
        <v>573</v>
      </c>
      <c r="G207" s="22" t="s">
        <v>710</v>
      </c>
      <c r="H207" s="24">
        <v>256779412777</v>
      </c>
      <c r="I207" s="72"/>
      <c r="J207" s="72"/>
      <c r="L207" s="56">
        <v>256779412100</v>
      </c>
      <c r="M207" s="49">
        <v>0</v>
      </c>
      <c r="N207" s="49">
        <v>21549</v>
      </c>
      <c r="P207" s="40">
        <v>256779412100</v>
      </c>
      <c r="Q207" s="47">
        <v>0</v>
      </c>
      <c r="R207" s="47">
        <v>21549</v>
      </c>
    </row>
    <row r="208" spans="1:18" x14ac:dyDescent="0.35">
      <c r="A208" s="50">
        <v>45787</v>
      </c>
      <c r="B208" s="23">
        <v>0</v>
      </c>
      <c r="C208" s="23">
        <v>15927</v>
      </c>
      <c r="D208" s="23">
        <v>-4768400.12</v>
      </c>
      <c r="E208" s="22" t="s">
        <v>711</v>
      </c>
      <c r="F208" s="22" t="s">
        <v>557</v>
      </c>
      <c r="G208" s="22" t="s">
        <v>711</v>
      </c>
      <c r="H208" s="24">
        <v>256779413163</v>
      </c>
      <c r="I208" s="72"/>
      <c r="J208" s="72"/>
      <c r="L208" s="56">
        <v>256779412117</v>
      </c>
      <c r="M208" s="49">
        <v>0</v>
      </c>
      <c r="N208" s="49">
        <v>417286</v>
      </c>
      <c r="P208" s="40">
        <v>256779412117</v>
      </c>
      <c r="Q208" s="47">
        <v>0</v>
      </c>
      <c r="R208" s="47">
        <v>417286</v>
      </c>
    </row>
    <row r="209" spans="1:18" x14ac:dyDescent="0.35">
      <c r="A209" s="50">
        <v>45787</v>
      </c>
      <c r="B209" s="23">
        <v>0</v>
      </c>
      <c r="C209" s="23">
        <v>35097</v>
      </c>
      <c r="D209" s="23">
        <v>-4803497.12</v>
      </c>
      <c r="E209" s="22" t="s">
        <v>712</v>
      </c>
      <c r="F209" s="22" t="s">
        <v>491</v>
      </c>
      <c r="G209" s="22" t="s">
        <v>712</v>
      </c>
      <c r="H209" s="24">
        <v>256779413127</v>
      </c>
      <c r="I209" s="72"/>
      <c r="J209" s="72"/>
      <c r="L209" s="56">
        <v>256779412161</v>
      </c>
      <c r="M209" s="49">
        <v>0</v>
      </c>
      <c r="N209" s="49">
        <v>34962</v>
      </c>
      <c r="P209" s="40">
        <v>256779412161</v>
      </c>
      <c r="Q209" s="47">
        <v>0</v>
      </c>
      <c r="R209" s="47">
        <v>34962</v>
      </c>
    </row>
    <row r="210" spans="1:18" x14ac:dyDescent="0.35">
      <c r="A210" s="50">
        <v>45787</v>
      </c>
      <c r="B210" s="23">
        <v>0</v>
      </c>
      <c r="C210" s="23">
        <v>11810</v>
      </c>
      <c r="D210" s="23">
        <v>-4815307.12</v>
      </c>
      <c r="E210" s="22" t="s">
        <v>713</v>
      </c>
      <c r="F210" s="22" t="s">
        <v>500</v>
      </c>
      <c r="G210" s="22" t="s">
        <v>713</v>
      </c>
      <c r="H210" s="24">
        <v>256779413172</v>
      </c>
      <c r="I210" s="72"/>
      <c r="J210" s="72"/>
      <c r="L210" s="56">
        <v>256779412461</v>
      </c>
      <c r="M210" s="49">
        <v>0</v>
      </c>
      <c r="N210" s="49">
        <v>10809</v>
      </c>
      <c r="P210" s="40">
        <v>256779412461</v>
      </c>
      <c r="Q210" s="47">
        <v>0</v>
      </c>
      <c r="R210" s="47">
        <v>10809</v>
      </c>
    </row>
    <row r="211" spans="1:18" x14ac:dyDescent="0.35">
      <c r="A211" s="50">
        <v>45787</v>
      </c>
      <c r="B211" s="23">
        <v>0</v>
      </c>
      <c r="C211" s="23">
        <v>3623</v>
      </c>
      <c r="D211" s="23">
        <v>-4818930.12</v>
      </c>
      <c r="E211" s="22" t="s">
        <v>714</v>
      </c>
      <c r="F211" s="22" t="s">
        <v>573</v>
      </c>
      <c r="G211" s="22" t="s">
        <v>714</v>
      </c>
      <c r="H211" s="24">
        <v>256779413243</v>
      </c>
      <c r="I211" s="72"/>
      <c r="J211" s="72"/>
      <c r="L211" s="56">
        <v>256779412468</v>
      </c>
      <c r="M211" s="49">
        <v>0</v>
      </c>
      <c r="N211" s="49">
        <v>14119</v>
      </c>
      <c r="P211" s="40">
        <v>256779412468</v>
      </c>
      <c r="Q211" s="47">
        <v>0</v>
      </c>
      <c r="R211" s="47">
        <v>14119</v>
      </c>
    </row>
    <row r="212" spans="1:18" x14ac:dyDescent="0.35">
      <c r="A212" s="50">
        <v>45793</v>
      </c>
      <c r="B212" s="23">
        <v>0</v>
      </c>
      <c r="C212" s="23">
        <v>1264</v>
      </c>
      <c r="D212" s="23">
        <v>-4820194.12</v>
      </c>
      <c r="E212" s="22" t="s">
        <v>715</v>
      </c>
      <c r="F212" s="22" t="s">
        <v>500</v>
      </c>
      <c r="G212" s="22" t="s">
        <v>715</v>
      </c>
      <c r="H212" s="24">
        <v>256779413357</v>
      </c>
      <c r="I212" s="72"/>
      <c r="J212" s="72"/>
      <c r="L212" s="56">
        <v>256779412613</v>
      </c>
      <c r="M212" s="49">
        <v>0</v>
      </c>
      <c r="N212" s="49">
        <v>3922</v>
      </c>
      <c r="P212" s="40">
        <v>256779412613</v>
      </c>
      <c r="Q212" s="47">
        <v>0</v>
      </c>
      <c r="R212" s="47">
        <v>3922</v>
      </c>
    </row>
    <row r="213" spans="1:18" x14ac:dyDescent="0.35">
      <c r="A213" s="50">
        <v>45793</v>
      </c>
      <c r="B213" s="23">
        <v>0</v>
      </c>
      <c r="C213" s="23">
        <v>11797</v>
      </c>
      <c r="D213" s="23">
        <v>-4831991.12</v>
      </c>
      <c r="E213" s="22" t="s">
        <v>716</v>
      </c>
      <c r="F213" s="22" t="s">
        <v>608</v>
      </c>
      <c r="G213" s="22" t="s">
        <v>716</v>
      </c>
      <c r="H213" s="24">
        <v>256779413283</v>
      </c>
      <c r="I213" s="72"/>
      <c r="J213" s="72"/>
      <c r="L213" s="56">
        <v>256779412655</v>
      </c>
      <c r="M213" s="49">
        <v>0</v>
      </c>
      <c r="N213" s="49">
        <v>2085</v>
      </c>
      <c r="P213" s="40">
        <v>256779412655</v>
      </c>
      <c r="Q213" s="47">
        <v>0</v>
      </c>
      <c r="R213" s="47">
        <v>2085</v>
      </c>
    </row>
    <row r="214" spans="1:18" x14ac:dyDescent="0.35">
      <c r="A214" s="50">
        <v>45797</v>
      </c>
      <c r="B214" s="23">
        <v>0</v>
      </c>
      <c r="C214" s="23">
        <v>1054</v>
      </c>
      <c r="D214" s="23">
        <v>-4833045.12</v>
      </c>
      <c r="E214" s="22" t="s">
        <v>717</v>
      </c>
      <c r="F214" s="22" t="s">
        <v>500</v>
      </c>
      <c r="G214" s="22" t="s">
        <v>717</v>
      </c>
      <c r="H214" s="24">
        <v>256779413486</v>
      </c>
      <c r="I214" s="72"/>
      <c r="J214" s="72"/>
      <c r="L214" s="56">
        <v>256779412675</v>
      </c>
      <c r="M214" s="49">
        <v>0</v>
      </c>
      <c r="N214" s="49">
        <v>1447</v>
      </c>
      <c r="P214" s="40">
        <v>256779412675</v>
      </c>
      <c r="Q214" s="47">
        <v>0</v>
      </c>
      <c r="R214" s="47">
        <v>1447</v>
      </c>
    </row>
    <row r="215" spans="1:18" x14ac:dyDescent="0.35">
      <c r="A215" s="50">
        <v>45797</v>
      </c>
      <c r="B215" s="23">
        <v>0</v>
      </c>
      <c r="C215" s="23">
        <v>12177</v>
      </c>
      <c r="D215" s="23">
        <v>-4845222.12</v>
      </c>
      <c r="E215" s="22" t="s">
        <v>718</v>
      </c>
      <c r="F215" s="22" t="s">
        <v>573</v>
      </c>
      <c r="G215" s="22" t="s">
        <v>718</v>
      </c>
      <c r="H215" s="24">
        <v>256779413837</v>
      </c>
      <c r="I215" s="72"/>
      <c r="J215" s="72"/>
      <c r="L215" s="56">
        <v>256779412683</v>
      </c>
      <c r="M215" s="49">
        <v>0</v>
      </c>
      <c r="N215" s="49">
        <v>43195</v>
      </c>
      <c r="P215" s="40">
        <v>256779412683</v>
      </c>
      <c r="Q215" s="47">
        <v>0</v>
      </c>
      <c r="R215" s="47">
        <v>43195</v>
      </c>
    </row>
    <row r="216" spans="1:18" x14ac:dyDescent="0.35">
      <c r="A216" s="50">
        <v>45798</v>
      </c>
      <c r="B216" s="23">
        <v>0</v>
      </c>
      <c r="C216" s="23">
        <v>3960</v>
      </c>
      <c r="D216" s="23">
        <v>-4849182.12</v>
      </c>
      <c r="E216" s="22" t="s">
        <v>719</v>
      </c>
      <c r="F216" s="22" t="s">
        <v>557</v>
      </c>
      <c r="G216" s="22" t="s">
        <v>719</v>
      </c>
      <c r="H216" s="24">
        <v>256779413405</v>
      </c>
      <c r="I216" s="72"/>
      <c r="J216" s="72"/>
      <c r="L216" s="56">
        <v>256779412692</v>
      </c>
      <c r="M216" s="49">
        <v>0</v>
      </c>
      <c r="N216" s="49">
        <v>6084</v>
      </c>
      <c r="P216" s="40">
        <v>256779412692</v>
      </c>
      <c r="Q216" s="47">
        <v>0</v>
      </c>
      <c r="R216" s="47">
        <v>6084</v>
      </c>
    </row>
    <row r="217" spans="1:18" x14ac:dyDescent="0.35">
      <c r="A217" s="50">
        <v>45798</v>
      </c>
      <c r="B217" s="23">
        <v>0</v>
      </c>
      <c r="C217" s="23">
        <v>7129</v>
      </c>
      <c r="D217" s="23">
        <v>-4856311.12</v>
      </c>
      <c r="E217" s="22" t="s">
        <v>720</v>
      </c>
      <c r="F217" s="22" t="s">
        <v>557</v>
      </c>
      <c r="G217" s="22" t="s">
        <v>720</v>
      </c>
      <c r="H217" s="24">
        <v>256779413404</v>
      </c>
      <c r="I217" s="72"/>
      <c r="J217" s="72"/>
      <c r="L217" s="56">
        <v>256779412777</v>
      </c>
      <c r="M217" s="49">
        <v>0</v>
      </c>
      <c r="N217" s="49">
        <v>7981</v>
      </c>
      <c r="P217" s="40">
        <v>256779412777</v>
      </c>
      <c r="Q217" s="47">
        <v>0</v>
      </c>
      <c r="R217" s="47">
        <v>7981</v>
      </c>
    </row>
    <row r="218" spans="1:18" x14ac:dyDescent="0.35">
      <c r="A218" s="50">
        <v>45798</v>
      </c>
      <c r="B218" s="23">
        <v>0</v>
      </c>
      <c r="C218" s="23">
        <v>990</v>
      </c>
      <c r="D218" s="23">
        <v>-4857301.12</v>
      </c>
      <c r="E218" s="22" t="s">
        <v>721</v>
      </c>
      <c r="F218" s="22" t="s">
        <v>500</v>
      </c>
      <c r="G218" s="22" t="s">
        <v>721</v>
      </c>
      <c r="H218" s="24">
        <v>256779413427</v>
      </c>
      <c r="I218" s="72"/>
      <c r="J218" s="72"/>
      <c r="L218" s="56">
        <v>256779412926</v>
      </c>
      <c r="M218" s="49">
        <v>0</v>
      </c>
      <c r="N218" s="49">
        <v>1878</v>
      </c>
      <c r="P218" s="40">
        <v>256779412926</v>
      </c>
      <c r="Q218" s="47">
        <v>0</v>
      </c>
      <c r="R218" s="47">
        <v>1878</v>
      </c>
    </row>
    <row r="219" spans="1:18" x14ac:dyDescent="0.35">
      <c r="A219" s="50">
        <v>45798</v>
      </c>
      <c r="B219" s="23">
        <v>0</v>
      </c>
      <c r="C219" s="23">
        <v>990</v>
      </c>
      <c r="D219" s="23">
        <v>-4858291.12</v>
      </c>
      <c r="E219" s="22" t="s">
        <v>722</v>
      </c>
      <c r="F219" s="22" t="s">
        <v>500</v>
      </c>
      <c r="G219" s="22" t="s">
        <v>722</v>
      </c>
      <c r="H219" s="24">
        <v>256779413428</v>
      </c>
      <c r="I219" s="72"/>
      <c r="J219" s="72"/>
      <c r="L219" s="56">
        <v>256779412941</v>
      </c>
      <c r="M219" s="49">
        <v>0</v>
      </c>
      <c r="N219" s="49">
        <v>27408</v>
      </c>
      <c r="P219" s="40">
        <v>256779412941</v>
      </c>
      <c r="Q219" s="47">
        <v>0</v>
      </c>
      <c r="R219" s="47">
        <v>27408</v>
      </c>
    </row>
    <row r="220" spans="1:18" x14ac:dyDescent="0.35">
      <c r="A220" s="50">
        <v>45798</v>
      </c>
      <c r="B220" s="23">
        <v>0</v>
      </c>
      <c r="C220" s="23">
        <v>601</v>
      </c>
      <c r="D220" s="23">
        <v>-4858892.12</v>
      </c>
      <c r="E220" s="22" t="s">
        <v>723</v>
      </c>
      <c r="F220" s="22" t="s">
        <v>500</v>
      </c>
      <c r="G220" s="22" t="s">
        <v>723</v>
      </c>
      <c r="H220" s="24">
        <v>256779413429</v>
      </c>
      <c r="I220" s="72"/>
      <c r="J220" s="72"/>
      <c r="L220" s="56">
        <v>256779412950</v>
      </c>
      <c r="M220" s="49">
        <v>0</v>
      </c>
      <c r="N220" s="49">
        <v>13211</v>
      </c>
      <c r="P220" s="40">
        <v>256779412950</v>
      </c>
      <c r="Q220" s="47">
        <v>0</v>
      </c>
      <c r="R220" s="47">
        <v>13211</v>
      </c>
    </row>
    <row r="221" spans="1:18" x14ac:dyDescent="0.35">
      <c r="A221" s="50">
        <v>45798</v>
      </c>
      <c r="B221" s="23">
        <v>0</v>
      </c>
      <c r="C221" s="23">
        <v>1201</v>
      </c>
      <c r="D221" s="23">
        <v>-4860093.12</v>
      </c>
      <c r="E221" s="22" t="s">
        <v>724</v>
      </c>
      <c r="F221" s="22" t="s">
        <v>500</v>
      </c>
      <c r="G221" s="22" t="s">
        <v>724</v>
      </c>
      <c r="H221" s="24">
        <v>256779413430</v>
      </c>
      <c r="I221" s="72"/>
      <c r="J221" s="72"/>
      <c r="L221" s="56">
        <v>256779413127</v>
      </c>
      <c r="M221" s="49">
        <v>0</v>
      </c>
      <c r="N221" s="49">
        <v>35097</v>
      </c>
      <c r="P221" s="40">
        <v>256779413127</v>
      </c>
      <c r="Q221" s="47">
        <v>0</v>
      </c>
      <c r="R221" s="47">
        <v>35097</v>
      </c>
    </row>
    <row r="222" spans="1:18" x14ac:dyDescent="0.35">
      <c r="A222" s="50">
        <v>45805</v>
      </c>
      <c r="B222" s="23">
        <v>0</v>
      </c>
      <c r="C222" s="23">
        <v>333696</v>
      </c>
      <c r="D222" s="23">
        <v>-5193789.12</v>
      </c>
      <c r="E222" s="22" t="s">
        <v>725</v>
      </c>
      <c r="F222" s="22" t="s">
        <v>507</v>
      </c>
      <c r="G222" s="22" t="s">
        <v>725</v>
      </c>
      <c r="H222" s="24">
        <v>256779413899</v>
      </c>
      <c r="I222" s="72"/>
      <c r="J222" s="72"/>
      <c r="L222" s="56">
        <v>256779413163</v>
      </c>
      <c r="M222" s="49">
        <v>0</v>
      </c>
      <c r="N222" s="49">
        <v>15927</v>
      </c>
      <c r="P222" s="40">
        <v>256779413163</v>
      </c>
      <c r="Q222" s="47">
        <v>0</v>
      </c>
      <c r="R222" s="47">
        <v>15927</v>
      </c>
    </row>
    <row r="223" spans="1:18" x14ac:dyDescent="0.35">
      <c r="A223" s="50">
        <v>45807</v>
      </c>
      <c r="B223" s="23">
        <v>177773</v>
      </c>
      <c r="C223" s="23">
        <v>0</v>
      </c>
      <c r="D223" s="23">
        <v>-5016016.12</v>
      </c>
      <c r="E223" s="22" t="s">
        <v>727</v>
      </c>
      <c r="F223" s="22" t="s">
        <v>728</v>
      </c>
      <c r="G223" s="22"/>
      <c r="H223" s="24"/>
      <c r="I223" s="72"/>
      <c r="J223" s="72"/>
      <c r="L223" s="56">
        <v>256779413172</v>
      </c>
      <c r="M223" s="49">
        <v>0</v>
      </c>
      <c r="N223" s="49">
        <v>11810</v>
      </c>
      <c r="P223" s="40">
        <v>256779413172</v>
      </c>
      <c r="Q223" s="47">
        <v>0</v>
      </c>
      <c r="R223" s="47">
        <v>11810</v>
      </c>
    </row>
    <row r="224" spans="1:18" x14ac:dyDescent="0.35">
      <c r="A224" s="50">
        <v>45812</v>
      </c>
      <c r="B224" s="23">
        <v>0</v>
      </c>
      <c r="C224" s="23">
        <v>9844</v>
      </c>
      <c r="D224" s="23">
        <v>-5025860.12</v>
      </c>
      <c r="E224" s="22" t="s">
        <v>729</v>
      </c>
      <c r="F224" s="22" t="s">
        <v>500</v>
      </c>
      <c r="G224" s="22" t="s">
        <v>729</v>
      </c>
      <c r="H224" s="24">
        <v>256779414165</v>
      </c>
      <c r="I224" s="72"/>
      <c r="J224" s="72"/>
      <c r="L224" s="56">
        <v>256779413184</v>
      </c>
      <c r="M224" s="49">
        <v>0</v>
      </c>
      <c r="N224" s="49">
        <v>11723.0177</v>
      </c>
      <c r="P224" s="40">
        <v>256779413184</v>
      </c>
      <c r="Q224" s="47">
        <v>0</v>
      </c>
      <c r="R224" s="47">
        <v>11723.0177</v>
      </c>
    </row>
    <row r="225" spans="1:18" x14ac:dyDescent="0.35">
      <c r="A225" s="50">
        <v>45812</v>
      </c>
      <c r="B225" s="23">
        <v>0</v>
      </c>
      <c r="C225" s="23">
        <v>8407</v>
      </c>
      <c r="D225" s="23">
        <v>-5034267.12</v>
      </c>
      <c r="E225" s="22" t="s">
        <v>730</v>
      </c>
      <c r="F225" s="22" t="s">
        <v>500</v>
      </c>
      <c r="G225" s="22" t="s">
        <v>730</v>
      </c>
      <c r="H225" s="24">
        <v>256779414216</v>
      </c>
      <c r="I225" s="72"/>
      <c r="J225" s="72"/>
      <c r="L225" s="56">
        <v>256779413243</v>
      </c>
      <c r="M225" s="49">
        <v>0</v>
      </c>
      <c r="N225" s="49">
        <v>3623</v>
      </c>
      <c r="P225" s="40">
        <v>256779413243</v>
      </c>
      <c r="Q225" s="47">
        <v>0</v>
      </c>
      <c r="R225" s="47">
        <v>3623</v>
      </c>
    </row>
    <row r="226" spans="1:18" x14ac:dyDescent="0.35">
      <c r="A226" s="50">
        <v>45812</v>
      </c>
      <c r="B226" s="23">
        <v>500946.52</v>
      </c>
      <c r="C226" s="23">
        <v>0</v>
      </c>
      <c r="D226" s="23">
        <v>-4533320.5999999996</v>
      </c>
      <c r="E226" s="22" t="s">
        <v>731</v>
      </c>
      <c r="F226" s="22" t="s">
        <v>728</v>
      </c>
      <c r="G226" s="22" t="s">
        <v>732</v>
      </c>
      <c r="H226" s="24"/>
      <c r="I226" s="72"/>
      <c r="J226" s="72"/>
      <c r="L226" s="56">
        <v>256779413283</v>
      </c>
      <c r="M226" s="49">
        <v>0</v>
      </c>
      <c r="N226" s="49">
        <v>11797</v>
      </c>
      <c r="P226" s="40">
        <v>256779413283</v>
      </c>
      <c r="Q226" s="47">
        <v>11798</v>
      </c>
      <c r="R226" s="47">
        <v>11797</v>
      </c>
    </row>
    <row r="227" spans="1:18" x14ac:dyDescent="0.35">
      <c r="A227" s="50">
        <v>45812</v>
      </c>
      <c r="B227" s="23">
        <v>0</v>
      </c>
      <c r="C227" s="23">
        <v>17313</v>
      </c>
      <c r="D227" s="23">
        <v>-4550633.5999999996</v>
      </c>
      <c r="E227" s="22" t="s">
        <v>733</v>
      </c>
      <c r="F227" s="22" t="s">
        <v>697</v>
      </c>
      <c r="G227" s="22" t="s">
        <v>733</v>
      </c>
      <c r="H227" s="24">
        <v>256779414288</v>
      </c>
      <c r="I227" s="72"/>
      <c r="J227" s="72"/>
      <c r="L227" s="56">
        <v>256779413357</v>
      </c>
      <c r="M227" s="49">
        <v>0</v>
      </c>
      <c r="N227" s="49">
        <v>1264</v>
      </c>
      <c r="P227" s="40">
        <v>256779413357</v>
      </c>
      <c r="Q227" s="47">
        <v>0</v>
      </c>
      <c r="R227" s="47">
        <v>1264</v>
      </c>
    </row>
    <row r="228" spans="1:18" x14ac:dyDescent="0.35">
      <c r="A228" s="50">
        <v>45812</v>
      </c>
      <c r="B228" s="23">
        <v>0</v>
      </c>
      <c r="C228" s="23">
        <v>41769</v>
      </c>
      <c r="D228" s="23">
        <v>-4592402.5999999996</v>
      </c>
      <c r="E228" s="22" t="s">
        <v>734</v>
      </c>
      <c r="F228" s="22" t="s">
        <v>735</v>
      </c>
      <c r="G228" s="22" t="s">
        <v>734</v>
      </c>
      <c r="H228" s="24">
        <v>256779414158</v>
      </c>
      <c r="I228" s="72"/>
      <c r="J228" s="72"/>
      <c r="L228" s="56">
        <v>256779413404</v>
      </c>
      <c r="M228" s="49">
        <v>0</v>
      </c>
      <c r="N228" s="49">
        <v>7129</v>
      </c>
      <c r="P228" s="40">
        <v>256779413404</v>
      </c>
      <c r="Q228" s="47">
        <v>0</v>
      </c>
      <c r="R228" s="47">
        <v>7129</v>
      </c>
    </row>
    <row r="229" spans="1:18" x14ac:dyDescent="0.35">
      <c r="A229" s="50">
        <v>45815</v>
      </c>
      <c r="B229" s="23">
        <v>0</v>
      </c>
      <c r="C229" s="23">
        <v>352792</v>
      </c>
      <c r="D229" s="23">
        <v>-4945194.5999999996</v>
      </c>
      <c r="E229" s="22" t="s">
        <v>736</v>
      </c>
      <c r="F229" s="22" t="s">
        <v>507</v>
      </c>
      <c r="G229" s="22" t="s">
        <v>736</v>
      </c>
      <c r="H229" s="24">
        <v>256779414242</v>
      </c>
      <c r="I229" s="72"/>
      <c r="J229" s="72"/>
      <c r="L229" s="56">
        <v>256779413405</v>
      </c>
      <c r="M229" s="49">
        <v>0</v>
      </c>
      <c r="N229" s="49">
        <v>3960</v>
      </c>
      <c r="P229" s="40">
        <v>256779413405</v>
      </c>
      <c r="Q229" s="47">
        <v>0</v>
      </c>
      <c r="R229" s="47">
        <v>3960</v>
      </c>
    </row>
    <row r="230" spans="1:18" x14ac:dyDescent="0.35">
      <c r="A230" s="50">
        <v>45818</v>
      </c>
      <c r="B230" s="23">
        <v>0</v>
      </c>
      <c r="C230" s="23">
        <v>35431</v>
      </c>
      <c r="D230" s="23">
        <v>-4980625.5999999996</v>
      </c>
      <c r="E230" s="22" t="s">
        <v>737</v>
      </c>
      <c r="F230" s="22" t="s">
        <v>491</v>
      </c>
      <c r="G230" s="22" t="s">
        <v>737</v>
      </c>
      <c r="H230" s="24">
        <v>256779414386</v>
      </c>
      <c r="I230" s="72"/>
      <c r="J230" s="72"/>
      <c r="L230" s="56">
        <v>256779413427</v>
      </c>
      <c r="M230" s="49">
        <v>0</v>
      </c>
      <c r="N230" s="49">
        <v>990</v>
      </c>
      <c r="P230" s="40">
        <v>256779413427</v>
      </c>
      <c r="Q230" s="47">
        <v>0</v>
      </c>
      <c r="R230" s="47">
        <v>990</v>
      </c>
    </row>
    <row r="231" spans="1:18" x14ac:dyDescent="0.35">
      <c r="A231" s="50">
        <v>45821</v>
      </c>
      <c r="B231" s="23">
        <v>700000</v>
      </c>
      <c r="C231" s="23">
        <v>0</v>
      </c>
      <c r="D231" s="23">
        <v>-4280625.5999999996</v>
      </c>
      <c r="E231" s="22" t="s">
        <v>738</v>
      </c>
      <c r="F231" s="22" t="s">
        <v>728</v>
      </c>
      <c r="G231" s="22"/>
      <c r="H231" s="24"/>
      <c r="I231" s="72"/>
      <c r="J231" s="72"/>
      <c r="L231" s="56">
        <v>256779413428</v>
      </c>
      <c r="M231" s="49">
        <v>0</v>
      </c>
      <c r="N231" s="49">
        <v>990</v>
      </c>
      <c r="P231" s="40">
        <v>256779413428</v>
      </c>
      <c r="Q231" s="47">
        <v>0</v>
      </c>
      <c r="R231" s="47">
        <v>990</v>
      </c>
    </row>
    <row r="232" spans="1:18" x14ac:dyDescent="0.35">
      <c r="A232" s="50">
        <v>45829</v>
      </c>
      <c r="B232" s="23">
        <v>700000</v>
      </c>
      <c r="C232" s="23">
        <v>0</v>
      </c>
      <c r="D232" s="23">
        <v>-3580625.6</v>
      </c>
      <c r="E232" s="22" t="s">
        <v>739</v>
      </c>
      <c r="F232" s="22" t="s">
        <v>728</v>
      </c>
      <c r="G232" s="22"/>
      <c r="H232" s="24"/>
      <c r="I232" s="72"/>
      <c r="J232" s="72"/>
      <c r="L232" s="56">
        <v>256779413429</v>
      </c>
      <c r="M232" s="49">
        <v>0</v>
      </c>
      <c r="N232" s="49">
        <v>601</v>
      </c>
      <c r="P232" s="40">
        <v>256779413429</v>
      </c>
      <c r="Q232" s="47">
        <v>0</v>
      </c>
      <c r="R232" s="47">
        <v>601</v>
      </c>
    </row>
    <row r="233" spans="1:18" x14ac:dyDescent="0.35">
      <c r="A233" s="50">
        <v>45838</v>
      </c>
      <c r="B233" s="23">
        <v>700000</v>
      </c>
      <c r="C233" s="23">
        <v>0</v>
      </c>
      <c r="D233" s="23">
        <v>-2880625.6</v>
      </c>
      <c r="E233" s="22" t="s">
        <v>740</v>
      </c>
      <c r="F233" s="22" t="s">
        <v>728</v>
      </c>
      <c r="G233" s="22"/>
      <c r="H233" s="24"/>
      <c r="I233" s="72"/>
      <c r="J233" s="72"/>
      <c r="L233" s="56">
        <v>256779413430</v>
      </c>
      <c r="M233" s="49">
        <v>0</v>
      </c>
      <c r="N233" s="49">
        <v>1201</v>
      </c>
      <c r="P233" s="40">
        <v>256779413430</v>
      </c>
      <c r="Q233" s="47">
        <v>0</v>
      </c>
      <c r="R233" s="47">
        <v>1201</v>
      </c>
    </row>
    <row r="234" spans="1:18" x14ac:dyDescent="0.35">
      <c r="A234" s="50">
        <v>45843</v>
      </c>
      <c r="B234" s="23">
        <v>700000</v>
      </c>
      <c r="C234" s="23">
        <v>0</v>
      </c>
      <c r="D234" s="23">
        <v>-2180625.6</v>
      </c>
      <c r="E234" s="22" t="s">
        <v>741</v>
      </c>
      <c r="F234" s="22" t="s">
        <v>728</v>
      </c>
      <c r="G234" s="22"/>
      <c r="H234" s="24"/>
      <c r="I234" s="72"/>
      <c r="J234" s="72"/>
      <c r="L234" s="56">
        <v>256779413486</v>
      </c>
      <c r="M234" s="49">
        <v>0</v>
      </c>
      <c r="N234" s="49">
        <v>1054</v>
      </c>
      <c r="P234" s="40">
        <v>256779413486</v>
      </c>
      <c r="Q234" s="47">
        <v>0</v>
      </c>
      <c r="R234" s="47">
        <v>1054</v>
      </c>
    </row>
    <row r="235" spans="1:18" x14ac:dyDescent="0.35">
      <c r="A235" s="50">
        <v>45849</v>
      </c>
      <c r="B235" s="23">
        <v>700000</v>
      </c>
      <c r="C235" s="23">
        <v>0</v>
      </c>
      <c r="D235" s="23">
        <v>-1480625.6</v>
      </c>
      <c r="E235" s="22" t="s">
        <v>742</v>
      </c>
      <c r="F235" s="22" t="s">
        <v>728</v>
      </c>
      <c r="G235" s="22"/>
      <c r="H235" s="24"/>
      <c r="I235" s="72"/>
      <c r="J235" s="72"/>
      <c r="L235" s="56">
        <v>256779413837</v>
      </c>
      <c r="M235" s="49">
        <v>0</v>
      </c>
      <c r="N235" s="49">
        <v>12177</v>
      </c>
      <c r="P235" s="40">
        <v>256779413837</v>
      </c>
      <c r="Q235" s="47">
        <v>0</v>
      </c>
      <c r="R235" s="47">
        <v>12177</v>
      </c>
    </row>
    <row r="236" spans="1:18" x14ac:dyDescent="0.35">
      <c r="A236" s="50">
        <v>45849</v>
      </c>
      <c r="B236" s="23">
        <v>0</v>
      </c>
      <c r="C236" s="23">
        <v>151725</v>
      </c>
      <c r="D236" s="23">
        <v>-1632350.6</v>
      </c>
      <c r="E236" s="22" t="s">
        <v>743</v>
      </c>
      <c r="F236" s="22" t="s">
        <v>507</v>
      </c>
      <c r="G236" s="22" t="s">
        <v>743</v>
      </c>
      <c r="H236" s="73">
        <v>246779410348</v>
      </c>
      <c r="I236" s="72"/>
      <c r="J236" s="72"/>
      <c r="L236" s="56">
        <v>256779413899</v>
      </c>
      <c r="M236" s="49">
        <v>0</v>
      </c>
      <c r="N236" s="49">
        <v>333696</v>
      </c>
      <c r="P236" s="40">
        <v>256779413899</v>
      </c>
      <c r="Q236" s="47">
        <v>0</v>
      </c>
      <c r="R236" s="47">
        <v>333696</v>
      </c>
    </row>
    <row r="237" spans="1:18" x14ac:dyDescent="0.35">
      <c r="A237" s="50">
        <v>45854</v>
      </c>
      <c r="B237" s="23">
        <v>19430</v>
      </c>
      <c r="C237" s="23">
        <v>0</v>
      </c>
      <c r="D237" s="23">
        <v>-1612920.6</v>
      </c>
      <c r="E237" s="22" t="s">
        <v>744</v>
      </c>
      <c r="F237" s="22" t="s">
        <v>507</v>
      </c>
      <c r="G237" s="22" t="s">
        <v>665</v>
      </c>
      <c r="H237" s="21" t="s">
        <v>974</v>
      </c>
      <c r="I237" s="24">
        <v>246779413705</v>
      </c>
      <c r="J237" s="72"/>
      <c r="L237" s="56">
        <v>256779414158</v>
      </c>
      <c r="M237" s="49">
        <v>0</v>
      </c>
      <c r="N237" s="49">
        <v>41769</v>
      </c>
      <c r="P237" s="40">
        <v>256779414158</v>
      </c>
      <c r="Q237" s="47">
        <v>0</v>
      </c>
      <c r="R237" s="47">
        <v>41769</v>
      </c>
    </row>
    <row r="238" spans="1:18" x14ac:dyDescent="0.35">
      <c r="A238" s="50">
        <v>45854</v>
      </c>
      <c r="B238" s="23">
        <v>18611</v>
      </c>
      <c r="C238" s="23">
        <v>0</v>
      </c>
      <c r="D238" s="23">
        <v>-1594309.6</v>
      </c>
      <c r="E238" s="22" t="s">
        <v>745</v>
      </c>
      <c r="F238" s="22" t="s">
        <v>608</v>
      </c>
      <c r="G238" s="22" t="s">
        <v>609</v>
      </c>
      <c r="H238" s="21" t="s">
        <v>974</v>
      </c>
      <c r="I238" s="24">
        <v>246779413816</v>
      </c>
      <c r="J238" s="72"/>
      <c r="L238" s="56">
        <v>256779414165</v>
      </c>
      <c r="M238" s="49">
        <v>0</v>
      </c>
      <c r="N238" s="49">
        <v>9844</v>
      </c>
      <c r="P238" s="40">
        <v>256779414165</v>
      </c>
      <c r="Q238" s="47">
        <v>0</v>
      </c>
      <c r="R238" s="47">
        <v>9844</v>
      </c>
    </row>
    <row r="239" spans="1:18" x14ac:dyDescent="0.35">
      <c r="A239" s="50">
        <v>45854</v>
      </c>
      <c r="B239" s="23">
        <v>31723</v>
      </c>
      <c r="C239" s="23">
        <v>0</v>
      </c>
      <c r="D239" s="23">
        <v>-1562586.6</v>
      </c>
      <c r="E239" s="22" t="s">
        <v>746</v>
      </c>
      <c r="F239" s="22" t="s">
        <v>608</v>
      </c>
      <c r="G239" s="22" t="s">
        <v>610</v>
      </c>
      <c r="H239" s="21" t="s">
        <v>974</v>
      </c>
      <c r="I239" s="24">
        <v>246779413827</v>
      </c>
      <c r="J239" s="72"/>
      <c r="L239" s="56">
        <v>256779414216</v>
      </c>
      <c r="M239" s="49">
        <v>0</v>
      </c>
      <c r="N239" s="49">
        <v>8407</v>
      </c>
      <c r="P239" s="40">
        <v>256779414216</v>
      </c>
      <c r="Q239" s="47">
        <v>0</v>
      </c>
      <c r="R239" s="47">
        <v>8407</v>
      </c>
    </row>
    <row r="240" spans="1:18" x14ac:dyDescent="0.35">
      <c r="A240" s="50">
        <v>45854</v>
      </c>
      <c r="B240" s="23">
        <v>17857</v>
      </c>
      <c r="C240" s="23">
        <v>0</v>
      </c>
      <c r="D240" s="23">
        <v>-1544729.6000000001</v>
      </c>
      <c r="E240" s="22" t="s">
        <v>747</v>
      </c>
      <c r="F240" s="22" t="s">
        <v>608</v>
      </c>
      <c r="G240" s="22" t="s">
        <v>638</v>
      </c>
      <c r="H240" s="21" t="s">
        <v>974</v>
      </c>
      <c r="I240" s="24">
        <v>246779411339</v>
      </c>
      <c r="J240" s="72"/>
      <c r="L240" s="56">
        <v>256779414242</v>
      </c>
      <c r="M240" s="49">
        <v>0</v>
      </c>
      <c r="N240" s="49">
        <v>352792</v>
      </c>
      <c r="P240" s="40">
        <v>256779414242</v>
      </c>
      <c r="Q240" s="47">
        <v>0</v>
      </c>
      <c r="R240" s="47">
        <v>352792</v>
      </c>
    </row>
    <row r="241" spans="1:18" x14ac:dyDescent="0.35">
      <c r="A241" s="50">
        <v>45854</v>
      </c>
      <c r="B241" s="23">
        <v>11798</v>
      </c>
      <c r="C241" s="23">
        <v>0</v>
      </c>
      <c r="D241" s="23">
        <v>-1532931.6</v>
      </c>
      <c r="E241" s="22" t="s">
        <v>748</v>
      </c>
      <c r="F241" s="22" t="s">
        <v>608</v>
      </c>
      <c r="G241" s="22" t="s">
        <v>716</v>
      </c>
      <c r="H241" s="21" t="s">
        <v>974</v>
      </c>
      <c r="I241" s="24">
        <v>256779413283</v>
      </c>
      <c r="J241" s="72"/>
      <c r="L241" s="56">
        <v>256779414288</v>
      </c>
      <c r="M241" s="49">
        <v>0</v>
      </c>
      <c r="N241" s="49">
        <v>17313</v>
      </c>
      <c r="P241" s="40">
        <v>256779414288</v>
      </c>
      <c r="Q241" s="47">
        <v>0</v>
      </c>
      <c r="R241" s="47">
        <v>17313</v>
      </c>
    </row>
    <row r="242" spans="1:18" x14ac:dyDescent="0.35">
      <c r="A242" s="50">
        <v>45854</v>
      </c>
      <c r="B242" s="23">
        <v>20874</v>
      </c>
      <c r="C242" s="23">
        <v>0</v>
      </c>
      <c r="D242" s="23">
        <v>-1512057.6</v>
      </c>
      <c r="E242" s="22" t="s">
        <v>749</v>
      </c>
      <c r="F242" s="22" t="s">
        <v>608</v>
      </c>
      <c r="G242" s="22" t="s">
        <v>607</v>
      </c>
      <c r="H242" s="21" t="s">
        <v>974</v>
      </c>
      <c r="I242" s="24">
        <v>246779411326</v>
      </c>
      <c r="J242" s="72"/>
      <c r="L242" s="56">
        <v>256779414340</v>
      </c>
      <c r="M242" s="49">
        <v>0</v>
      </c>
      <c r="N242" s="49">
        <v>45061.335200000001</v>
      </c>
      <c r="P242" s="40">
        <v>256779414340</v>
      </c>
      <c r="Q242" s="47">
        <v>0</v>
      </c>
      <c r="R242" s="47">
        <v>45061.335200000001</v>
      </c>
    </row>
    <row r="243" spans="1:18" x14ac:dyDescent="0.35">
      <c r="A243" s="50">
        <v>45854</v>
      </c>
      <c r="B243" s="23">
        <v>140649</v>
      </c>
      <c r="C243" s="23">
        <v>0</v>
      </c>
      <c r="D243" s="23">
        <v>-1371408.6</v>
      </c>
      <c r="E243" s="22" t="s">
        <v>750</v>
      </c>
      <c r="F243" s="22" t="s">
        <v>507</v>
      </c>
      <c r="G243" s="22" t="s">
        <v>679</v>
      </c>
      <c r="H243" s="21" t="s">
        <v>974</v>
      </c>
      <c r="I243" s="24">
        <v>256779410010</v>
      </c>
      <c r="J243" s="72"/>
      <c r="L243" s="56">
        <v>256779414386</v>
      </c>
      <c r="M243" s="49">
        <v>0</v>
      </c>
      <c r="N243" s="49">
        <v>35431</v>
      </c>
      <c r="P243" s="40">
        <v>256779414386</v>
      </c>
      <c r="Q243" s="47">
        <v>0</v>
      </c>
      <c r="R243" s="47">
        <v>35431</v>
      </c>
    </row>
    <row r="244" spans="1:18" x14ac:dyDescent="0.35">
      <c r="A244" s="50">
        <v>45854</v>
      </c>
      <c r="B244" s="23">
        <v>55272</v>
      </c>
      <c r="C244" s="23">
        <v>0</v>
      </c>
      <c r="D244" s="23">
        <v>-1316136.6000000001</v>
      </c>
      <c r="E244" s="22" t="s">
        <v>751</v>
      </c>
      <c r="F244" s="22" t="s">
        <v>507</v>
      </c>
      <c r="G244" s="22" t="s">
        <v>680</v>
      </c>
      <c r="H244" s="21" t="s">
        <v>974</v>
      </c>
      <c r="I244" s="24">
        <v>256779410004</v>
      </c>
      <c r="J244" s="72"/>
      <c r="L244" s="56">
        <v>256779414743</v>
      </c>
      <c r="M244" s="49">
        <v>0</v>
      </c>
      <c r="N244" s="49">
        <v>6064.0230000000001</v>
      </c>
      <c r="P244" s="40">
        <v>256779414743</v>
      </c>
      <c r="Q244" s="47">
        <v>0</v>
      </c>
      <c r="R244" s="47">
        <v>6064.0230000000001</v>
      </c>
    </row>
    <row r="245" spans="1:18" x14ac:dyDescent="0.35">
      <c r="A245" s="50">
        <v>45854</v>
      </c>
      <c r="B245" s="23">
        <v>4786</v>
      </c>
      <c r="C245" s="23">
        <v>0</v>
      </c>
      <c r="D245" s="23">
        <v>-1311350.6000000001</v>
      </c>
      <c r="E245" s="22" t="s">
        <v>752</v>
      </c>
      <c r="F245" s="22" t="s">
        <v>507</v>
      </c>
      <c r="G245" s="22" t="s">
        <v>752</v>
      </c>
      <c r="H245" s="21" t="s">
        <v>974</v>
      </c>
      <c r="I245" s="24">
        <v>256779421381</v>
      </c>
      <c r="J245" s="72"/>
      <c r="L245" s="56">
        <v>256779414748</v>
      </c>
      <c r="M245" s="49">
        <v>0</v>
      </c>
      <c r="N245" s="49">
        <v>1800.3510000000001</v>
      </c>
      <c r="P245" s="40">
        <v>256779414748</v>
      </c>
      <c r="Q245" s="47">
        <v>0</v>
      </c>
      <c r="R245" s="47">
        <v>1800.3510000000001</v>
      </c>
    </row>
    <row r="246" spans="1:18" x14ac:dyDescent="0.35">
      <c r="A246" s="50">
        <v>45854</v>
      </c>
      <c r="B246" s="23">
        <v>11955</v>
      </c>
      <c r="C246" s="23">
        <v>0</v>
      </c>
      <c r="D246" s="23">
        <v>-1299395.6000000001</v>
      </c>
      <c r="E246" s="22" t="s">
        <v>753</v>
      </c>
      <c r="F246" s="22" t="s">
        <v>664</v>
      </c>
      <c r="G246" s="22" t="s">
        <v>663</v>
      </c>
      <c r="H246" s="21" t="s">
        <v>974</v>
      </c>
      <c r="I246" s="24">
        <v>246779413845</v>
      </c>
      <c r="J246" s="72"/>
      <c r="L246" s="56">
        <v>256779414758</v>
      </c>
      <c r="M246" s="49">
        <v>0</v>
      </c>
      <c r="N246" s="49">
        <v>14610.374299999999</v>
      </c>
      <c r="P246" s="40">
        <v>256779414758</v>
      </c>
      <c r="Q246" s="47">
        <v>0</v>
      </c>
      <c r="R246" s="47">
        <v>14610.374299999999</v>
      </c>
    </row>
    <row r="247" spans="1:18" x14ac:dyDescent="0.35">
      <c r="A247" s="50">
        <v>45854</v>
      </c>
      <c r="B247" s="23">
        <v>0</v>
      </c>
      <c r="C247" s="23">
        <v>163631</v>
      </c>
      <c r="D247" s="23">
        <v>-1463026.6</v>
      </c>
      <c r="E247" s="22" t="s">
        <v>754</v>
      </c>
      <c r="F247" s="22" t="s">
        <v>507</v>
      </c>
      <c r="G247" s="22" t="s">
        <v>754</v>
      </c>
      <c r="I247" s="24">
        <v>246779413796</v>
      </c>
      <c r="J247" s="72"/>
      <c r="L247" s="56">
        <v>256779414768</v>
      </c>
      <c r="M247" s="49">
        <v>0</v>
      </c>
      <c r="N247" s="49">
        <v>1492.1116</v>
      </c>
      <c r="P247" s="40">
        <v>256779414768</v>
      </c>
      <c r="Q247" s="47">
        <v>0</v>
      </c>
      <c r="R247" s="47">
        <v>1492.1116</v>
      </c>
    </row>
    <row r="248" spans="1:18" x14ac:dyDescent="0.35">
      <c r="A248" s="50">
        <v>45854</v>
      </c>
      <c r="B248" s="23">
        <v>12467</v>
      </c>
      <c r="C248" s="23">
        <v>0</v>
      </c>
      <c r="D248" s="23">
        <v>-1450559.6</v>
      </c>
      <c r="E248" s="22" t="s">
        <v>755</v>
      </c>
      <c r="F248" s="22" t="s">
        <v>507</v>
      </c>
      <c r="G248" s="22" t="s">
        <v>755</v>
      </c>
      <c r="H248" s="21" t="s">
        <v>974</v>
      </c>
      <c r="I248" s="24">
        <v>256779421383</v>
      </c>
      <c r="J248" s="72"/>
      <c r="L248" s="56">
        <v>256779414829</v>
      </c>
      <c r="M248" s="49">
        <v>0</v>
      </c>
      <c r="N248" s="49">
        <v>8595.7669999999998</v>
      </c>
      <c r="P248" s="40">
        <v>256779414829</v>
      </c>
      <c r="Q248" s="47">
        <v>0</v>
      </c>
      <c r="R248" s="47">
        <v>8595.7669999999998</v>
      </c>
    </row>
    <row r="249" spans="1:18" x14ac:dyDescent="0.35">
      <c r="A249" s="50">
        <v>45854</v>
      </c>
      <c r="B249" s="23">
        <v>6084</v>
      </c>
      <c r="C249" s="23">
        <v>0</v>
      </c>
      <c r="D249" s="23">
        <v>-1444475.6</v>
      </c>
      <c r="E249" s="22" t="s">
        <v>756</v>
      </c>
      <c r="F249" s="22" t="s">
        <v>697</v>
      </c>
      <c r="G249" s="22" t="s">
        <v>756</v>
      </c>
      <c r="H249" s="21" t="s">
        <v>974</v>
      </c>
      <c r="I249" s="24">
        <v>256779421376</v>
      </c>
      <c r="J249" s="72"/>
      <c r="L249" s="56">
        <v>256779414878</v>
      </c>
      <c r="M249" s="49">
        <v>0</v>
      </c>
      <c r="N249" s="49">
        <v>2642.8006</v>
      </c>
      <c r="P249" s="40">
        <v>256779414878</v>
      </c>
      <c r="Q249" s="47">
        <v>0</v>
      </c>
      <c r="R249" s="47">
        <v>2642.8006</v>
      </c>
    </row>
    <row r="250" spans="1:18" x14ac:dyDescent="0.35">
      <c r="A250" s="50">
        <v>45854</v>
      </c>
      <c r="B250" s="23">
        <v>12169</v>
      </c>
      <c r="C250" s="23">
        <v>0</v>
      </c>
      <c r="D250" s="23">
        <v>-1432306.6</v>
      </c>
      <c r="E250" s="22" t="s">
        <v>757</v>
      </c>
      <c r="F250" s="22" t="s">
        <v>697</v>
      </c>
      <c r="G250" s="22" t="s">
        <v>757</v>
      </c>
      <c r="H250" s="21" t="s">
        <v>974</v>
      </c>
      <c r="I250" s="24">
        <v>256779421370</v>
      </c>
      <c r="J250" s="72"/>
      <c r="L250" s="56">
        <v>256779414890</v>
      </c>
      <c r="M250" s="49">
        <v>0</v>
      </c>
      <c r="N250" s="49">
        <v>91401.512100000007</v>
      </c>
      <c r="P250" s="40">
        <v>256779414890</v>
      </c>
      <c r="Q250" s="47">
        <v>0</v>
      </c>
      <c r="R250" s="47">
        <v>91401.512100000007</v>
      </c>
    </row>
    <row r="251" spans="1:18" x14ac:dyDescent="0.35">
      <c r="A251" s="50">
        <v>45854</v>
      </c>
      <c r="B251" s="23">
        <v>114223</v>
      </c>
      <c r="C251" s="23">
        <v>0</v>
      </c>
      <c r="D251" s="23">
        <v>-1318083.6000000001</v>
      </c>
      <c r="E251" s="22" t="s">
        <v>758</v>
      </c>
      <c r="F251" s="22" t="s">
        <v>507</v>
      </c>
      <c r="G251" s="22" t="s">
        <v>758</v>
      </c>
      <c r="H251" s="21" t="s">
        <v>974</v>
      </c>
      <c r="I251" s="24">
        <v>256779421367</v>
      </c>
      <c r="J251" s="72"/>
      <c r="L251" s="56">
        <v>256779414944</v>
      </c>
      <c r="M251" s="49">
        <v>0</v>
      </c>
      <c r="N251" s="49">
        <v>35324.775199999996</v>
      </c>
      <c r="P251" s="40">
        <v>256779414944</v>
      </c>
      <c r="Q251" s="47">
        <v>0</v>
      </c>
      <c r="R251" s="47">
        <v>35324.775199999996</v>
      </c>
    </row>
    <row r="252" spans="1:18" x14ac:dyDescent="0.35">
      <c r="A252" s="50">
        <v>45854</v>
      </c>
      <c r="B252" s="23">
        <v>0</v>
      </c>
      <c r="C252" s="23">
        <v>31577</v>
      </c>
      <c r="D252" s="23">
        <v>-1349660.6</v>
      </c>
      <c r="E252" s="22" t="s">
        <v>759</v>
      </c>
      <c r="F252" s="22" t="s">
        <v>507</v>
      </c>
      <c r="G252" s="22" t="s">
        <v>759</v>
      </c>
      <c r="I252" s="24">
        <v>246779413702</v>
      </c>
      <c r="J252" s="72"/>
      <c r="L252" s="56">
        <v>256779414968</v>
      </c>
      <c r="M252" s="49">
        <v>0</v>
      </c>
      <c r="N252" s="49">
        <v>2629.9005000000002</v>
      </c>
      <c r="P252" s="40">
        <v>256779414968</v>
      </c>
      <c r="Q252" s="47">
        <v>0</v>
      </c>
      <c r="R252" s="47">
        <v>2629.9005000000002</v>
      </c>
    </row>
    <row r="253" spans="1:18" x14ac:dyDescent="0.35">
      <c r="A253" s="50">
        <v>45854</v>
      </c>
      <c r="B253" s="23">
        <v>31577</v>
      </c>
      <c r="C253" s="23">
        <v>0</v>
      </c>
      <c r="D253" s="23">
        <v>-1318083.6000000001</v>
      </c>
      <c r="E253" s="22" t="s">
        <v>760</v>
      </c>
      <c r="F253" s="22" t="s">
        <v>507</v>
      </c>
      <c r="G253" s="22" t="s">
        <v>760</v>
      </c>
      <c r="H253" s="21" t="s">
        <v>974</v>
      </c>
      <c r="I253" s="24">
        <v>256779421361</v>
      </c>
      <c r="J253" s="72"/>
      <c r="L253" s="56">
        <v>256779414975</v>
      </c>
      <c r="M253" s="49">
        <v>0</v>
      </c>
      <c r="N253" s="49">
        <v>4562.3355000000001</v>
      </c>
      <c r="P253" s="40">
        <v>256779414975</v>
      </c>
      <c r="Q253" s="47">
        <v>0</v>
      </c>
      <c r="R253" s="47">
        <v>4562.3355000000001</v>
      </c>
    </row>
    <row r="254" spans="1:18" x14ac:dyDescent="0.35">
      <c r="A254" s="50">
        <v>45854</v>
      </c>
      <c r="B254" s="23">
        <v>17313</v>
      </c>
      <c r="C254" s="23">
        <v>330</v>
      </c>
      <c r="D254" s="23">
        <v>-1301100.6000000001</v>
      </c>
      <c r="E254" s="22" t="s">
        <v>761</v>
      </c>
      <c r="F254" s="22" t="s">
        <v>697</v>
      </c>
      <c r="G254" s="22" t="s">
        <v>762</v>
      </c>
      <c r="H254" s="21" t="s">
        <v>974</v>
      </c>
      <c r="I254" s="24">
        <v>256779421379</v>
      </c>
      <c r="J254" s="72"/>
      <c r="L254" s="56">
        <v>256779415048</v>
      </c>
      <c r="M254" s="49">
        <v>0</v>
      </c>
      <c r="N254" s="49">
        <v>552.98429999999996</v>
      </c>
      <c r="P254" s="40">
        <v>256779415048</v>
      </c>
      <c r="Q254" s="47">
        <v>0</v>
      </c>
      <c r="R254" s="47">
        <v>552.98429999999996</v>
      </c>
    </row>
    <row r="255" spans="1:18" x14ac:dyDescent="0.35">
      <c r="A255" s="50">
        <v>45854</v>
      </c>
      <c r="B255" s="23">
        <v>8696</v>
      </c>
      <c r="C255" s="23">
        <v>173</v>
      </c>
      <c r="D255" s="23">
        <v>-1292577.6000000001</v>
      </c>
      <c r="E255" s="22" t="s">
        <v>763</v>
      </c>
      <c r="F255" s="22" t="s">
        <v>608</v>
      </c>
      <c r="G255" s="22" t="s">
        <v>764</v>
      </c>
      <c r="H255" s="21" t="s">
        <v>974</v>
      </c>
      <c r="I255" s="24">
        <v>256779421373</v>
      </c>
      <c r="J255" s="72"/>
      <c r="L255" s="56">
        <v>256779415198</v>
      </c>
      <c r="M255" s="49">
        <v>0</v>
      </c>
      <c r="N255" s="49">
        <v>257812.80850000001</v>
      </c>
      <c r="P255" s="40">
        <v>256779415198</v>
      </c>
      <c r="Q255" s="47">
        <v>0</v>
      </c>
      <c r="R255" s="47">
        <v>257812.80850000001</v>
      </c>
    </row>
    <row r="256" spans="1:18" x14ac:dyDescent="0.35">
      <c r="A256" s="50">
        <v>45857</v>
      </c>
      <c r="B256" s="23">
        <v>700000</v>
      </c>
      <c r="C256" s="23">
        <v>0</v>
      </c>
      <c r="D256" s="23">
        <v>-592577.59999999963</v>
      </c>
      <c r="E256" s="22" t="s">
        <v>765</v>
      </c>
      <c r="F256" s="22" t="s">
        <v>728</v>
      </c>
      <c r="G256" s="22"/>
      <c r="I256" s="24"/>
      <c r="J256" s="72"/>
      <c r="L256" s="56">
        <v>256779415263</v>
      </c>
      <c r="M256" s="49">
        <v>0</v>
      </c>
      <c r="N256" s="49">
        <v>201.24160000000001</v>
      </c>
      <c r="P256" s="40">
        <v>256779415263</v>
      </c>
      <c r="Q256" s="47">
        <v>0</v>
      </c>
      <c r="R256" s="47">
        <v>201.24160000000001</v>
      </c>
    </row>
    <row r="257" spans="1:18" x14ac:dyDescent="0.35">
      <c r="A257" s="50">
        <v>45862</v>
      </c>
      <c r="B257" s="23">
        <v>0</v>
      </c>
      <c r="C257" s="23">
        <v>9368</v>
      </c>
      <c r="D257" s="23">
        <v>-601945.59999999963</v>
      </c>
      <c r="E257" s="22" t="s">
        <v>766</v>
      </c>
      <c r="F257" s="22" t="s">
        <v>557</v>
      </c>
      <c r="G257" s="22" t="s">
        <v>766</v>
      </c>
      <c r="I257" s="24">
        <v>256779415945</v>
      </c>
      <c r="J257" s="72"/>
      <c r="L257" s="56">
        <v>256779415444</v>
      </c>
      <c r="M257" s="49">
        <v>0</v>
      </c>
      <c r="N257" s="49">
        <v>8342.0650000000005</v>
      </c>
      <c r="P257" s="40">
        <v>256779415444</v>
      </c>
      <c r="Q257" s="47">
        <v>0</v>
      </c>
      <c r="R257" s="47">
        <v>8342.0650000000005</v>
      </c>
    </row>
    <row r="258" spans="1:18" x14ac:dyDescent="0.35">
      <c r="A258" s="50">
        <v>45863</v>
      </c>
      <c r="B258" s="23">
        <v>350672</v>
      </c>
      <c r="C258" s="23">
        <v>0</v>
      </c>
      <c r="D258" s="23">
        <v>-251273.5999999996</v>
      </c>
      <c r="E258" s="22" t="s">
        <v>767</v>
      </c>
      <c r="F258" s="22" t="s">
        <v>728</v>
      </c>
      <c r="G258" s="22"/>
      <c r="I258" s="24"/>
      <c r="J258" s="72"/>
      <c r="L258" s="56">
        <v>256779415456</v>
      </c>
      <c r="M258" s="49">
        <v>0</v>
      </c>
      <c r="N258" s="49">
        <v>13522.7454</v>
      </c>
      <c r="P258" s="40">
        <v>256779415456</v>
      </c>
      <c r="Q258" s="47">
        <v>0</v>
      </c>
      <c r="R258" s="47">
        <v>13522.7454</v>
      </c>
    </row>
    <row r="259" spans="1:18" x14ac:dyDescent="0.35">
      <c r="A259" s="50">
        <v>45863</v>
      </c>
      <c r="B259" s="23">
        <v>0</v>
      </c>
      <c r="C259" s="23">
        <v>32007</v>
      </c>
      <c r="D259" s="23">
        <v>-283280.59999999963</v>
      </c>
      <c r="E259" s="22" t="s">
        <v>768</v>
      </c>
      <c r="F259" s="22" t="s">
        <v>507</v>
      </c>
      <c r="G259" s="22" t="s">
        <v>768</v>
      </c>
      <c r="I259" s="24">
        <v>256779415967</v>
      </c>
      <c r="J259" s="72"/>
      <c r="L259" s="56">
        <v>256779415771</v>
      </c>
      <c r="M259" s="49">
        <v>0</v>
      </c>
      <c r="N259" s="49">
        <v>2559.3798999999999</v>
      </c>
      <c r="P259" s="40">
        <v>256779415771</v>
      </c>
      <c r="Q259" s="47">
        <v>0</v>
      </c>
      <c r="R259" s="47">
        <v>2559.3798999999999</v>
      </c>
    </row>
    <row r="260" spans="1:18" x14ac:dyDescent="0.35">
      <c r="A260" s="50">
        <v>45863</v>
      </c>
      <c r="B260" s="23">
        <v>0</v>
      </c>
      <c r="C260" s="23">
        <v>9348</v>
      </c>
      <c r="D260" s="23">
        <v>-292628.59999999963</v>
      </c>
      <c r="E260" s="22" t="s">
        <v>769</v>
      </c>
      <c r="F260" s="22" t="s">
        <v>507</v>
      </c>
      <c r="G260" s="22" t="s">
        <v>769</v>
      </c>
      <c r="I260" s="24">
        <v>256779415970</v>
      </c>
      <c r="J260" s="72"/>
      <c r="L260" s="56">
        <v>256779415801</v>
      </c>
      <c r="M260" s="49">
        <v>0</v>
      </c>
      <c r="N260" s="49">
        <v>148540.3572</v>
      </c>
      <c r="P260" s="40">
        <v>256779415801</v>
      </c>
      <c r="Q260" s="47">
        <v>0</v>
      </c>
      <c r="R260" s="47">
        <v>148540.3572</v>
      </c>
    </row>
    <row r="261" spans="1:18" x14ac:dyDescent="0.35">
      <c r="A261" s="50">
        <v>45863</v>
      </c>
      <c r="B261" s="23">
        <v>0</v>
      </c>
      <c r="C261" s="23">
        <v>196</v>
      </c>
      <c r="D261" s="23">
        <v>-292824.59999999963</v>
      </c>
      <c r="E261" s="22" t="s">
        <v>770</v>
      </c>
      <c r="F261" s="22" t="s">
        <v>573</v>
      </c>
      <c r="G261" s="22" t="s">
        <v>770</v>
      </c>
      <c r="I261" s="24">
        <v>256779415995</v>
      </c>
      <c r="J261" s="72"/>
      <c r="L261" s="56">
        <v>256779415939</v>
      </c>
      <c r="M261" s="49">
        <v>0</v>
      </c>
      <c r="N261" s="49">
        <v>11782.0918</v>
      </c>
      <c r="P261" s="40">
        <v>256779415939</v>
      </c>
      <c r="Q261" s="47">
        <v>0</v>
      </c>
      <c r="R261" s="47">
        <v>11782.0918</v>
      </c>
    </row>
    <row r="262" spans="1:18" x14ac:dyDescent="0.35">
      <c r="A262" s="50">
        <v>45869</v>
      </c>
      <c r="B262" s="23">
        <v>33376</v>
      </c>
      <c r="C262" s="23">
        <v>0</v>
      </c>
      <c r="D262" s="23">
        <v>-259448.5999999996</v>
      </c>
      <c r="E262" s="22" t="s">
        <v>771</v>
      </c>
      <c r="F262" s="22" t="s">
        <v>608</v>
      </c>
      <c r="G262" s="22" t="s">
        <v>646</v>
      </c>
      <c r="H262" s="21" t="s">
        <v>974</v>
      </c>
      <c r="I262" s="24">
        <v>246779411300</v>
      </c>
      <c r="J262" s="72"/>
      <c r="L262" s="56">
        <v>256779416054</v>
      </c>
      <c r="M262" s="49">
        <v>0</v>
      </c>
      <c r="N262" s="49">
        <v>35336.871800000001</v>
      </c>
      <c r="P262" s="40">
        <v>256779415945</v>
      </c>
      <c r="Q262" s="47">
        <v>0</v>
      </c>
      <c r="R262" s="47">
        <v>9368</v>
      </c>
    </row>
    <row r="263" spans="1:18" x14ac:dyDescent="0.35">
      <c r="A263" s="50">
        <v>45869</v>
      </c>
      <c r="B263" s="23">
        <v>15778</v>
      </c>
      <c r="C263" s="23">
        <v>0</v>
      </c>
      <c r="D263" s="23">
        <v>-243670.5999999996</v>
      </c>
      <c r="E263" s="22" t="s">
        <v>772</v>
      </c>
      <c r="F263" s="22" t="s">
        <v>507</v>
      </c>
      <c r="G263" s="22" t="s">
        <v>772</v>
      </c>
      <c r="H263" s="21" t="s">
        <v>974</v>
      </c>
      <c r="I263" s="24" t="s">
        <v>773</v>
      </c>
      <c r="J263" s="72"/>
      <c r="L263" s="56">
        <v>256779416088</v>
      </c>
      <c r="M263" s="49">
        <v>0</v>
      </c>
      <c r="N263" s="49">
        <v>462828</v>
      </c>
      <c r="P263" s="40">
        <v>256779415967</v>
      </c>
      <c r="Q263" s="47">
        <v>0</v>
      </c>
      <c r="R263" s="47">
        <v>32007</v>
      </c>
    </row>
    <row r="264" spans="1:18" x14ac:dyDescent="0.35">
      <c r="A264" s="50">
        <v>45869</v>
      </c>
      <c r="B264" s="23">
        <v>0</v>
      </c>
      <c r="C264" s="23">
        <v>44602</v>
      </c>
      <c r="D264" s="23">
        <v>-288272.59999999963</v>
      </c>
      <c r="E264" s="22" t="s">
        <v>774</v>
      </c>
      <c r="F264" s="22" t="s">
        <v>608</v>
      </c>
      <c r="G264" s="22" t="s">
        <v>774</v>
      </c>
      <c r="I264" s="24">
        <v>246779411278</v>
      </c>
      <c r="J264" s="72"/>
      <c r="L264" s="56">
        <v>256779416178</v>
      </c>
      <c r="M264" s="49">
        <v>1351</v>
      </c>
      <c r="N264" s="49">
        <v>67557</v>
      </c>
      <c r="P264" s="40">
        <v>256779415970</v>
      </c>
      <c r="Q264" s="47">
        <v>0</v>
      </c>
      <c r="R264" s="47">
        <v>9348</v>
      </c>
    </row>
    <row r="265" spans="1:18" x14ac:dyDescent="0.35">
      <c r="A265" s="50">
        <v>45869</v>
      </c>
      <c r="B265" s="23">
        <v>36410</v>
      </c>
      <c r="C265" s="23">
        <v>0</v>
      </c>
      <c r="D265" s="23">
        <v>-251862.5999999996</v>
      </c>
      <c r="E265" s="22" t="s">
        <v>775</v>
      </c>
      <c r="F265" s="22" t="s">
        <v>608</v>
      </c>
      <c r="G265" s="22" t="s">
        <v>775</v>
      </c>
      <c r="H265" s="21" t="s">
        <v>974</v>
      </c>
      <c r="I265" s="24" t="s">
        <v>776</v>
      </c>
      <c r="J265" s="72"/>
      <c r="L265" s="56">
        <v>256779416223</v>
      </c>
      <c r="M265" s="49">
        <v>0</v>
      </c>
      <c r="N265" s="49">
        <v>9124</v>
      </c>
      <c r="P265" s="40">
        <v>256779415995</v>
      </c>
      <c r="Q265" s="47">
        <v>0</v>
      </c>
      <c r="R265" s="47">
        <v>196</v>
      </c>
    </row>
    <row r="266" spans="1:18" x14ac:dyDescent="0.35">
      <c r="A266" s="50">
        <v>45869</v>
      </c>
      <c r="B266" s="23">
        <v>15401</v>
      </c>
      <c r="C266" s="23">
        <v>0</v>
      </c>
      <c r="D266" s="23">
        <v>-236461.5999999996</v>
      </c>
      <c r="E266" s="22" t="s">
        <v>777</v>
      </c>
      <c r="F266" s="22" t="s">
        <v>491</v>
      </c>
      <c r="G266" s="22" t="s">
        <v>777</v>
      </c>
      <c r="H266" s="21" t="s">
        <v>974</v>
      </c>
      <c r="I266" s="24" t="s">
        <v>778</v>
      </c>
      <c r="J266" s="72"/>
      <c r="L266" s="56">
        <v>256779416256</v>
      </c>
      <c r="M266" s="49">
        <v>0</v>
      </c>
      <c r="N266" s="49">
        <v>4755</v>
      </c>
      <c r="P266" s="40">
        <v>256779416054</v>
      </c>
      <c r="Q266" s="47">
        <v>0</v>
      </c>
      <c r="R266" s="47">
        <v>35336.871800000001</v>
      </c>
    </row>
    <row r="267" spans="1:18" x14ac:dyDescent="0.35">
      <c r="A267" s="50">
        <v>45869</v>
      </c>
      <c r="B267" s="23">
        <v>0</v>
      </c>
      <c r="C267" s="23">
        <v>18367</v>
      </c>
      <c r="D267" s="23">
        <v>-254828.5999999996</v>
      </c>
      <c r="E267" s="22" t="s">
        <v>779</v>
      </c>
      <c r="F267" s="22" t="s">
        <v>491</v>
      </c>
      <c r="G267" s="22" t="s">
        <v>779</v>
      </c>
      <c r="H267" s="74">
        <v>246779413701</v>
      </c>
      <c r="I267" s="72"/>
      <c r="J267" s="72"/>
      <c r="L267" s="56">
        <v>256779416444</v>
      </c>
      <c r="M267" s="49">
        <v>0</v>
      </c>
      <c r="N267" s="49">
        <v>9260.2821000000004</v>
      </c>
      <c r="P267" s="40">
        <v>256779416088</v>
      </c>
      <c r="Q267" s="47">
        <v>0</v>
      </c>
      <c r="R267" s="47">
        <v>462828</v>
      </c>
    </row>
    <row r="268" spans="1:18" x14ac:dyDescent="0.35">
      <c r="A268" s="50">
        <v>45877</v>
      </c>
      <c r="B268" s="23">
        <v>0</v>
      </c>
      <c r="C268" s="23">
        <v>9124</v>
      </c>
      <c r="D268" s="23">
        <v>-263952.59999999963</v>
      </c>
      <c r="E268" s="22" t="s">
        <v>780</v>
      </c>
      <c r="F268" s="22" t="s">
        <v>500</v>
      </c>
      <c r="G268" s="22" t="s">
        <v>780</v>
      </c>
      <c r="H268" s="24">
        <v>256779416223</v>
      </c>
      <c r="I268" s="72"/>
      <c r="J268" s="72"/>
      <c r="L268" s="56">
        <v>256779416538</v>
      </c>
      <c r="M268" s="49">
        <v>0</v>
      </c>
      <c r="N268" s="49">
        <v>27395.431400000001</v>
      </c>
      <c r="P268" s="40">
        <v>256779416178</v>
      </c>
      <c r="Q268" s="47">
        <v>1351</v>
      </c>
      <c r="R268" s="47">
        <v>67557</v>
      </c>
    </row>
    <row r="269" spans="1:18" x14ac:dyDescent="0.35">
      <c r="A269" s="50">
        <v>45877</v>
      </c>
      <c r="B269" s="23">
        <v>0</v>
      </c>
      <c r="C269" s="23">
        <v>4755</v>
      </c>
      <c r="D269" s="23">
        <v>-268707.59999999963</v>
      </c>
      <c r="E269" s="22" t="s">
        <v>781</v>
      </c>
      <c r="F269" s="22" t="s">
        <v>500</v>
      </c>
      <c r="G269" s="22" t="s">
        <v>781</v>
      </c>
      <c r="H269" s="24">
        <v>256779416256</v>
      </c>
      <c r="I269" s="72"/>
      <c r="J269" s="72"/>
      <c r="L269" s="56">
        <v>256779416544</v>
      </c>
      <c r="M269" s="49">
        <v>0</v>
      </c>
      <c r="N269" s="49">
        <v>23117.1535</v>
      </c>
      <c r="P269" s="40">
        <v>256779416223</v>
      </c>
      <c r="Q269" s="47">
        <v>0</v>
      </c>
      <c r="R269" s="47">
        <v>9124</v>
      </c>
    </row>
    <row r="270" spans="1:18" x14ac:dyDescent="0.35">
      <c r="A270" s="50">
        <v>45877</v>
      </c>
      <c r="B270" s="23">
        <v>0</v>
      </c>
      <c r="C270" s="23">
        <v>462828</v>
      </c>
      <c r="D270" s="23">
        <v>-731535.59999999963</v>
      </c>
      <c r="E270" s="22" t="s">
        <v>782</v>
      </c>
      <c r="F270" s="22" t="s">
        <v>783</v>
      </c>
      <c r="G270" s="22" t="s">
        <v>782</v>
      </c>
      <c r="H270" s="24">
        <v>256779416088</v>
      </c>
      <c r="I270" s="72"/>
      <c r="J270" s="72"/>
      <c r="L270" s="56">
        <v>256779416546</v>
      </c>
      <c r="M270" s="49">
        <v>0</v>
      </c>
      <c r="N270" s="49">
        <v>21929.077600000001</v>
      </c>
      <c r="P270" s="40">
        <v>256779416256</v>
      </c>
      <c r="Q270" s="47">
        <v>0</v>
      </c>
      <c r="R270" s="47">
        <v>4755</v>
      </c>
    </row>
    <row r="271" spans="1:18" x14ac:dyDescent="0.35">
      <c r="A271" s="50">
        <v>45889</v>
      </c>
      <c r="B271" s="23">
        <v>0</v>
      </c>
      <c r="C271" s="23">
        <v>4790</v>
      </c>
      <c r="D271" s="23">
        <v>-736325.59999999963</v>
      </c>
      <c r="E271" s="22" t="s">
        <v>784</v>
      </c>
      <c r="F271" s="22" t="s">
        <v>704</v>
      </c>
      <c r="G271" s="22" t="s">
        <v>784</v>
      </c>
      <c r="H271" s="24">
        <v>256779416615</v>
      </c>
      <c r="I271" s="72"/>
      <c r="J271" s="72"/>
      <c r="L271" s="56">
        <v>256779416603</v>
      </c>
      <c r="M271" s="49">
        <v>0</v>
      </c>
      <c r="N271" s="49">
        <v>1463</v>
      </c>
      <c r="P271" s="40">
        <v>256779416444</v>
      </c>
      <c r="Q271" s="47">
        <v>0</v>
      </c>
      <c r="R271" s="47">
        <v>9260.2821000000004</v>
      </c>
    </row>
    <row r="272" spans="1:18" x14ac:dyDescent="0.35">
      <c r="A272" s="50">
        <v>45889</v>
      </c>
      <c r="B272" s="23">
        <v>0</v>
      </c>
      <c r="C272" s="23">
        <v>6981</v>
      </c>
      <c r="D272" s="23">
        <v>-743306.59999999963</v>
      </c>
      <c r="E272" s="22" t="s">
        <v>785</v>
      </c>
      <c r="F272" s="22" t="s">
        <v>573</v>
      </c>
      <c r="G272" s="22" t="s">
        <v>785</v>
      </c>
      <c r="H272" s="24">
        <v>256779416809</v>
      </c>
      <c r="I272" s="72"/>
      <c r="J272" s="72"/>
      <c r="L272" s="56">
        <v>256779416615</v>
      </c>
      <c r="M272" s="49">
        <v>0</v>
      </c>
      <c r="N272" s="49">
        <v>4790</v>
      </c>
      <c r="P272" s="40">
        <v>256779416538</v>
      </c>
      <c r="Q272" s="47">
        <v>0</v>
      </c>
      <c r="R272" s="47">
        <v>27395.431400000001</v>
      </c>
    </row>
    <row r="273" spans="1:18" x14ac:dyDescent="0.35">
      <c r="A273" s="50">
        <v>45889</v>
      </c>
      <c r="B273" s="23">
        <v>0</v>
      </c>
      <c r="C273" s="23">
        <v>971</v>
      </c>
      <c r="D273" s="23">
        <v>-744277.59999999963</v>
      </c>
      <c r="E273" s="22" t="s">
        <v>786</v>
      </c>
      <c r="F273" s="22" t="s">
        <v>787</v>
      </c>
      <c r="G273" s="22" t="s">
        <v>786</v>
      </c>
      <c r="H273" s="24">
        <v>256779416878</v>
      </c>
      <c r="I273" s="72"/>
      <c r="J273" s="72"/>
      <c r="L273" s="56">
        <v>256779416809</v>
      </c>
      <c r="M273" s="49">
        <v>0</v>
      </c>
      <c r="N273" s="49">
        <v>6981</v>
      </c>
      <c r="P273" s="40">
        <v>256779416544</v>
      </c>
      <c r="Q273" s="47">
        <v>0</v>
      </c>
      <c r="R273" s="47">
        <v>23117.1535</v>
      </c>
    </row>
    <row r="274" spans="1:18" x14ac:dyDescent="0.35">
      <c r="A274" s="50">
        <v>45889</v>
      </c>
      <c r="B274" s="23">
        <v>0</v>
      </c>
      <c r="C274" s="23">
        <v>11922</v>
      </c>
      <c r="D274" s="23">
        <v>-756199.59999999963</v>
      </c>
      <c r="E274" s="22" t="s">
        <v>788</v>
      </c>
      <c r="F274" s="22" t="s">
        <v>789</v>
      </c>
      <c r="G274" s="22" t="s">
        <v>788</v>
      </c>
      <c r="H274" s="24">
        <v>256779416844</v>
      </c>
      <c r="I274" s="72"/>
      <c r="J274" s="72"/>
      <c r="L274" s="56">
        <v>256779416844</v>
      </c>
      <c r="M274" s="49">
        <v>0</v>
      </c>
      <c r="N274" s="49">
        <v>11922</v>
      </c>
      <c r="P274" s="40">
        <v>256779416546</v>
      </c>
      <c r="Q274" s="47">
        <v>0</v>
      </c>
      <c r="R274" s="47">
        <v>21929.077600000001</v>
      </c>
    </row>
    <row r="275" spans="1:18" x14ac:dyDescent="0.35">
      <c r="A275" s="50">
        <v>45889</v>
      </c>
      <c r="B275" s="23">
        <v>0</v>
      </c>
      <c r="C275" s="23">
        <v>1463</v>
      </c>
      <c r="D275" s="23">
        <v>-757662.59999999963</v>
      </c>
      <c r="E275" s="22" t="s">
        <v>790</v>
      </c>
      <c r="F275" s="22" t="s">
        <v>791</v>
      </c>
      <c r="G275" s="22" t="s">
        <v>790</v>
      </c>
      <c r="H275" s="24">
        <v>256779416603</v>
      </c>
      <c r="I275" s="72"/>
      <c r="J275" s="72"/>
      <c r="L275" s="56">
        <v>256779416878</v>
      </c>
      <c r="M275" s="49">
        <v>0</v>
      </c>
      <c r="N275" s="49">
        <v>971</v>
      </c>
      <c r="P275" s="40">
        <v>256779416603</v>
      </c>
      <c r="Q275" s="47">
        <v>0</v>
      </c>
      <c r="R275" s="47">
        <v>1463</v>
      </c>
    </row>
    <row r="276" spans="1:18" x14ac:dyDescent="0.35">
      <c r="A276" s="50">
        <v>45937</v>
      </c>
      <c r="B276" s="23"/>
      <c r="C276" s="23"/>
      <c r="D276" s="23">
        <v>-757662.59999999963</v>
      </c>
      <c r="E276" s="22" t="s">
        <v>793</v>
      </c>
      <c r="F276" s="22"/>
      <c r="G276" s="22" t="s">
        <v>794</v>
      </c>
      <c r="H276" s="24">
        <v>246779410360</v>
      </c>
      <c r="I276" s="72"/>
      <c r="J276" s="72"/>
      <c r="L276" s="56">
        <v>256779416911</v>
      </c>
      <c r="M276" s="49">
        <v>0</v>
      </c>
      <c r="N276" s="49">
        <v>3487.4461000000001</v>
      </c>
      <c r="P276" s="40">
        <v>256779416615</v>
      </c>
      <c r="Q276" s="47">
        <v>0</v>
      </c>
      <c r="R276" s="47">
        <v>4790</v>
      </c>
    </row>
    <row r="277" spans="1:18" x14ac:dyDescent="0.35">
      <c r="A277" s="50">
        <v>45937</v>
      </c>
      <c r="B277" s="23"/>
      <c r="C277" s="23"/>
      <c r="D277" s="23">
        <v>-757662.59999999963</v>
      </c>
      <c r="E277" s="22" t="s">
        <v>795</v>
      </c>
      <c r="F277" s="22"/>
      <c r="G277" s="22" t="s">
        <v>796</v>
      </c>
      <c r="H277" s="24">
        <v>246779410348</v>
      </c>
      <c r="I277" s="72"/>
      <c r="J277" s="72"/>
      <c r="L277" s="56">
        <v>256779416948</v>
      </c>
      <c r="M277" s="49">
        <v>0</v>
      </c>
      <c r="N277" s="49">
        <v>1233.9521</v>
      </c>
      <c r="P277" s="40">
        <v>256779416809</v>
      </c>
      <c r="Q277" s="47">
        <v>0</v>
      </c>
      <c r="R277" s="47">
        <v>6981</v>
      </c>
    </row>
    <row r="278" spans="1:18" x14ac:dyDescent="0.35">
      <c r="A278" s="50">
        <v>45937</v>
      </c>
      <c r="B278" s="23"/>
      <c r="C278" s="23"/>
      <c r="D278" s="23">
        <v>-757662.59999999963</v>
      </c>
      <c r="E278" s="22" t="s">
        <v>797</v>
      </c>
      <c r="F278" s="22"/>
      <c r="G278" s="22" t="s">
        <v>798</v>
      </c>
      <c r="H278" s="24">
        <v>246779411278</v>
      </c>
      <c r="I278" s="72"/>
      <c r="J278" s="72"/>
      <c r="L278" s="56">
        <v>256779417084</v>
      </c>
      <c r="M278" s="49">
        <v>0</v>
      </c>
      <c r="N278" s="49">
        <v>695663.66119999997</v>
      </c>
      <c r="P278" s="40">
        <v>256779416844</v>
      </c>
      <c r="Q278" s="47">
        <v>0</v>
      </c>
      <c r="R278" s="47">
        <v>11922</v>
      </c>
    </row>
    <row r="279" spans="1:18" x14ac:dyDescent="0.35">
      <c r="A279" s="50">
        <v>45937</v>
      </c>
      <c r="B279" s="23"/>
      <c r="C279" s="23"/>
      <c r="D279" s="23">
        <v>-757662.59999999963</v>
      </c>
      <c r="E279" s="22" t="s">
        <v>799</v>
      </c>
      <c r="F279" s="22"/>
      <c r="G279" s="22" t="s">
        <v>800</v>
      </c>
      <c r="H279" s="24">
        <v>246779413701</v>
      </c>
      <c r="I279" s="72"/>
      <c r="J279" s="72"/>
      <c r="L279" s="56">
        <v>256779417160</v>
      </c>
      <c r="M279" s="49">
        <v>0</v>
      </c>
      <c r="N279" s="49">
        <v>1247.0791999999999</v>
      </c>
      <c r="P279" s="40">
        <v>256779416878</v>
      </c>
      <c r="Q279" s="47">
        <v>0</v>
      </c>
      <c r="R279" s="47">
        <v>971</v>
      </c>
    </row>
    <row r="280" spans="1:18" x14ac:dyDescent="0.35">
      <c r="A280" s="50">
        <v>45937</v>
      </c>
      <c r="B280" s="23"/>
      <c r="C280" s="23"/>
      <c r="D280" s="23">
        <v>-757662.59999999963</v>
      </c>
      <c r="E280" s="22" t="s">
        <v>801</v>
      </c>
      <c r="F280" s="22"/>
      <c r="G280" s="22" t="s">
        <v>802</v>
      </c>
      <c r="H280" s="24">
        <v>246779413796</v>
      </c>
      <c r="I280" s="72"/>
      <c r="J280" s="72"/>
      <c r="L280" s="56">
        <v>256779417166</v>
      </c>
      <c r="M280" s="49">
        <v>0</v>
      </c>
      <c r="N280" s="49">
        <v>59881.6803</v>
      </c>
      <c r="P280" s="40">
        <v>256779416911</v>
      </c>
      <c r="Q280" s="47">
        <v>0</v>
      </c>
      <c r="R280" s="47">
        <v>3487.4461000000001</v>
      </c>
    </row>
    <row r="281" spans="1:18" x14ac:dyDescent="0.35">
      <c r="A281" s="50">
        <v>45937</v>
      </c>
      <c r="B281" s="23"/>
      <c r="C281" s="23"/>
      <c r="D281" s="23">
        <v>-757662.59999999963</v>
      </c>
      <c r="E281" s="22" t="s">
        <v>803</v>
      </c>
      <c r="F281" s="22"/>
      <c r="G281" s="22" t="s">
        <v>804</v>
      </c>
      <c r="H281" s="24">
        <v>256779412692</v>
      </c>
      <c r="I281" s="72"/>
      <c r="J281" s="72"/>
      <c r="L281" s="56">
        <v>256779417173</v>
      </c>
      <c r="M281" s="49">
        <v>0</v>
      </c>
      <c r="N281" s="49">
        <v>58594.344499999999</v>
      </c>
      <c r="P281" s="40">
        <v>256779416948</v>
      </c>
      <c r="Q281" s="47">
        <v>0</v>
      </c>
      <c r="R281" s="47">
        <v>1233.9521</v>
      </c>
    </row>
    <row r="282" spans="1:18" x14ac:dyDescent="0.35">
      <c r="A282" s="50">
        <v>45937</v>
      </c>
      <c r="B282" s="23"/>
      <c r="C282" s="23"/>
      <c r="D282" s="23">
        <v>-757662.59999999963</v>
      </c>
      <c r="E282" s="22" t="s">
        <v>805</v>
      </c>
      <c r="F282" s="22"/>
      <c r="G282" s="22" t="s">
        <v>806</v>
      </c>
      <c r="H282" s="24">
        <v>256779411917</v>
      </c>
      <c r="I282" s="72"/>
      <c r="J282" s="72"/>
      <c r="L282" s="56">
        <v>256779417261</v>
      </c>
      <c r="M282" s="49">
        <v>0</v>
      </c>
      <c r="N282" s="49">
        <v>1992.7012</v>
      </c>
      <c r="P282" s="40">
        <v>256779417084</v>
      </c>
      <c r="Q282" s="47">
        <v>0</v>
      </c>
      <c r="R282" s="47">
        <v>695663.66119999997</v>
      </c>
    </row>
    <row r="283" spans="1:18" x14ac:dyDescent="0.35">
      <c r="A283" s="50">
        <v>45937</v>
      </c>
      <c r="B283" s="23"/>
      <c r="C283" s="23"/>
      <c r="D283" s="23">
        <v>-757662.59999999963</v>
      </c>
      <c r="E283" s="22" t="s">
        <v>807</v>
      </c>
      <c r="F283" s="22"/>
      <c r="G283" s="22" t="s">
        <v>808</v>
      </c>
      <c r="H283" s="24">
        <v>256779410220</v>
      </c>
      <c r="I283" s="72"/>
      <c r="J283" s="72"/>
      <c r="L283" s="56">
        <v>256779417286</v>
      </c>
      <c r="M283" s="49">
        <v>0</v>
      </c>
      <c r="N283" s="49">
        <v>90131.008499999996</v>
      </c>
      <c r="P283" s="40">
        <v>256779417160</v>
      </c>
      <c r="Q283" s="47">
        <v>0</v>
      </c>
      <c r="R283" s="47">
        <v>1247.0791999999999</v>
      </c>
    </row>
    <row r="284" spans="1:18" x14ac:dyDescent="0.35">
      <c r="A284" s="50">
        <v>45937</v>
      </c>
      <c r="B284" s="23"/>
      <c r="C284" s="23"/>
      <c r="D284" s="23">
        <v>-757662.59999999963</v>
      </c>
      <c r="E284" s="22" t="s">
        <v>809</v>
      </c>
      <c r="F284" s="22"/>
      <c r="G284" s="22" t="s">
        <v>810</v>
      </c>
      <c r="H284" s="24">
        <v>246779413702</v>
      </c>
      <c r="I284" s="72"/>
      <c r="J284" s="72"/>
      <c r="L284" s="56">
        <v>256779417324</v>
      </c>
      <c r="M284" s="49">
        <v>0</v>
      </c>
      <c r="N284" s="49">
        <v>4231.3179</v>
      </c>
      <c r="P284" s="40">
        <v>256779417166</v>
      </c>
      <c r="Q284" s="47">
        <v>0</v>
      </c>
      <c r="R284" s="47">
        <v>59881.6803</v>
      </c>
    </row>
    <row r="285" spans="1:18" x14ac:dyDescent="0.35">
      <c r="A285" s="50">
        <v>45939</v>
      </c>
      <c r="B285" s="23">
        <v>500000</v>
      </c>
      <c r="C285" s="23">
        <v>0</v>
      </c>
      <c r="D285" s="23">
        <v>-257662.5999999996</v>
      </c>
      <c r="E285" s="22" t="s">
        <v>811</v>
      </c>
      <c r="F285" s="22" t="s">
        <v>728</v>
      </c>
      <c r="G285" s="22" t="s">
        <v>812</v>
      </c>
      <c r="H285" s="24"/>
      <c r="I285" s="72"/>
      <c r="J285" s="72"/>
      <c r="L285" s="56">
        <v>256779417373</v>
      </c>
      <c r="M285" s="49">
        <v>0</v>
      </c>
      <c r="N285" s="49">
        <v>33482.010999999999</v>
      </c>
      <c r="P285" s="40">
        <v>256779417173</v>
      </c>
      <c r="Q285" s="47">
        <v>0</v>
      </c>
      <c r="R285" s="47">
        <v>58594.344499999999</v>
      </c>
    </row>
    <row r="286" spans="1:18" x14ac:dyDescent="0.35">
      <c r="A286" s="50">
        <v>45940</v>
      </c>
      <c r="B286" s="23">
        <v>108564</v>
      </c>
      <c r="C286" s="23">
        <v>0</v>
      </c>
      <c r="D286" s="23">
        <v>-149098.5999999996</v>
      </c>
      <c r="E286" s="22" t="s">
        <v>813</v>
      </c>
      <c r="F286" s="22" t="s">
        <v>728</v>
      </c>
      <c r="G286" s="22" t="s">
        <v>814</v>
      </c>
      <c r="H286" s="24"/>
      <c r="I286" s="72"/>
      <c r="J286" s="72"/>
      <c r="L286" s="56">
        <v>256779417410</v>
      </c>
      <c r="M286" s="49">
        <v>0</v>
      </c>
      <c r="N286" s="49">
        <v>29303.298299999999</v>
      </c>
      <c r="P286" s="40">
        <v>256779417261</v>
      </c>
      <c r="Q286" s="47">
        <v>0</v>
      </c>
      <c r="R286" s="47">
        <v>1992.7012</v>
      </c>
    </row>
    <row r="287" spans="1:18" x14ac:dyDescent="0.35">
      <c r="A287" s="50">
        <v>45948</v>
      </c>
      <c r="B287" s="23">
        <v>500000</v>
      </c>
      <c r="C287" s="23">
        <v>0</v>
      </c>
      <c r="D287" s="23">
        <v>350901.40000000037</v>
      </c>
      <c r="E287" s="22" t="s">
        <v>815</v>
      </c>
      <c r="F287" s="22" t="s">
        <v>728</v>
      </c>
      <c r="G287" s="22"/>
      <c r="H287" s="24"/>
      <c r="I287" s="72"/>
      <c r="J287" s="72"/>
      <c r="L287" s="56">
        <v>256779417442</v>
      </c>
      <c r="M287" s="49">
        <v>0</v>
      </c>
      <c r="N287" s="49">
        <v>545.21420000000001</v>
      </c>
      <c r="P287" s="40">
        <v>256779417286</v>
      </c>
      <c r="Q287" s="47">
        <v>0</v>
      </c>
      <c r="R287" s="47">
        <v>90131.008499999996</v>
      </c>
    </row>
    <row r="288" spans="1:18" x14ac:dyDescent="0.35">
      <c r="A288" s="50">
        <v>45959</v>
      </c>
      <c r="B288" s="23">
        <v>300000</v>
      </c>
      <c r="C288" s="23">
        <v>0</v>
      </c>
      <c r="D288" s="23">
        <v>650901.40000000037</v>
      </c>
      <c r="E288" s="22" t="s">
        <v>816</v>
      </c>
      <c r="F288" s="22" t="s">
        <v>728</v>
      </c>
      <c r="G288" s="22"/>
      <c r="H288" s="24"/>
      <c r="I288" s="72"/>
      <c r="J288" s="72"/>
      <c r="L288" s="56">
        <v>256779417489</v>
      </c>
      <c r="M288" s="49">
        <v>0</v>
      </c>
      <c r="N288" s="49">
        <v>42087.391600000003</v>
      </c>
      <c r="P288" s="40">
        <v>256779417324</v>
      </c>
      <c r="Q288" s="47">
        <v>0</v>
      </c>
      <c r="R288" s="47">
        <v>4231.3179</v>
      </c>
    </row>
    <row r="289" spans="1:18" x14ac:dyDescent="0.35">
      <c r="A289" s="50">
        <v>45962</v>
      </c>
      <c r="B289" s="23">
        <v>500000</v>
      </c>
      <c r="C289" s="23">
        <v>0</v>
      </c>
      <c r="D289" s="23">
        <v>1150901.3999999999</v>
      </c>
      <c r="E289" s="22" t="s">
        <v>817</v>
      </c>
      <c r="F289" s="22" t="s">
        <v>728</v>
      </c>
      <c r="G289" s="22"/>
      <c r="H289" s="24"/>
      <c r="I289" s="72"/>
      <c r="J289" s="72"/>
      <c r="L289" s="56">
        <v>256779417525</v>
      </c>
      <c r="M289" s="49">
        <v>0</v>
      </c>
      <c r="N289" s="49">
        <v>26724.251</v>
      </c>
      <c r="P289" s="40">
        <v>256779417373</v>
      </c>
      <c r="Q289" s="47">
        <v>0</v>
      </c>
      <c r="R289" s="47">
        <v>33482.010999999999</v>
      </c>
    </row>
    <row r="290" spans="1:18" x14ac:dyDescent="0.35">
      <c r="A290" s="50">
        <v>46003</v>
      </c>
      <c r="B290" s="23">
        <v>0</v>
      </c>
      <c r="C290" s="23">
        <v>16480.710999999999</v>
      </c>
      <c r="D290" s="23">
        <v>1134420.689</v>
      </c>
      <c r="E290" s="22" t="s">
        <v>818</v>
      </c>
      <c r="F290" s="22" t="s">
        <v>507</v>
      </c>
      <c r="G290" s="22" t="s">
        <v>818</v>
      </c>
      <c r="H290" s="24">
        <v>246779410327</v>
      </c>
      <c r="I290" s="72"/>
      <c r="J290" s="72"/>
      <c r="L290" s="56">
        <v>256779417566</v>
      </c>
      <c r="M290" s="49">
        <v>0</v>
      </c>
      <c r="N290" s="49">
        <v>6432.3032999999996</v>
      </c>
      <c r="P290" s="40">
        <v>256779417410</v>
      </c>
      <c r="Q290" s="47">
        <v>0</v>
      </c>
      <c r="R290" s="47">
        <v>29303.298299999999</v>
      </c>
    </row>
    <row r="291" spans="1:18" x14ac:dyDescent="0.35">
      <c r="A291" s="50">
        <v>46003</v>
      </c>
      <c r="B291" s="23">
        <v>0</v>
      </c>
      <c r="C291" s="23">
        <v>29975.441999999999</v>
      </c>
      <c r="D291" s="23">
        <v>1104445.247</v>
      </c>
      <c r="E291" s="22" t="s">
        <v>819</v>
      </c>
      <c r="F291" s="22" t="s">
        <v>507</v>
      </c>
      <c r="G291" s="22" t="s">
        <v>819</v>
      </c>
      <c r="H291" s="24">
        <v>246779410333</v>
      </c>
      <c r="I291" s="72"/>
      <c r="J291" s="72"/>
      <c r="L291" s="56">
        <v>256779417582</v>
      </c>
      <c r="M291" s="49">
        <v>0</v>
      </c>
      <c r="N291" s="49">
        <v>6896.1292000000003</v>
      </c>
      <c r="P291" s="40">
        <v>256779417442</v>
      </c>
      <c r="Q291" s="47">
        <v>0</v>
      </c>
      <c r="R291" s="47">
        <v>545.21420000000001</v>
      </c>
    </row>
    <row r="292" spans="1:18" x14ac:dyDescent="0.35">
      <c r="A292" s="50">
        <v>46003</v>
      </c>
      <c r="B292" s="23">
        <v>0</v>
      </c>
      <c r="C292" s="23">
        <v>144772.565</v>
      </c>
      <c r="D292" s="23">
        <v>959672.6820000005</v>
      </c>
      <c r="E292" s="22" t="s">
        <v>820</v>
      </c>
      <c r="F292" s="22" t="s">
        <v>507</v>
      </c>
      <c r="G292" s="22" t="s">
        <v>820</v>
      </c>
      <c r="H292" s="24">
        <v>246779410340</v>
      </c>
      <c r="I292" s="72"/>
      <c r="J292" s="72"/>
      <c r="L292" s="56">
        <v>256779417594</v>
      </c>
      <c r="M292" s="49">
        <v>0</v>
      </c>
      <c r="N292" s="49">
        <v>1028.2935</v>
      </c>
      <c r="P292" s="40">
        <v>256779417489</v>
      </c>
      <c r="Q292" s="47">
        <v>0</v>
      </c>
      <c r="R292" s="47">
        <v>42087.391600000003</v>
      </c>
    </row>
    <row r="293" spans="1:18" x14ac:dyDescent="0.35">
      <c r="A293" s="50">
        <v>46003</v>
      </c>
      <c r="B293" s="23">
        <v>0</v>
      </c>
      <c r="C293" s="23">
        <v>102103.25599999999</v>
      </c>
      <c r="D293" s="23">
        <v>857569.42600000044</v>
      </c>
      <c r="E293" s="22" t="s">
        <v>821</v>
      </c>
      <c r="F293" s="22" t="s">
        <v>507</v>
      </c>
      <c r="G293" s="22" t="s">
        <v>821</v>
      </c>
      <c r="H293" s="24">
        <v>246779410352</v>
      </c>
      <c r="I293" s="72"/>
      <c r="J293" s="72"/>
      <c r="L293" s="56">
        <v>256779417939</v>
      </c>
      <c r="M293" s="49">
        <v>0</v>
      </c>
      <c r="N293" s="49">
        <v>38482.042500000003</v>
      </c>
      <c r="P293" s="40">
        <v>256779417525</v>
      </c>
      <c r="Q293" s="47">
        <v>0</v>
      </c>
      <c r="R293" s="47">
        <v>26724.251</v>
      </c>
    </row>
    <row r="294" spans="1:18" x14ac:dyDescent="0.35">
      <c r="A294" s="50">
        <v>46003</v>
      </c>
      <c r="B294" s="23">
        <v>0</v>
      </c>
      <c r="C294" s="23">
        <v>13859.78</v>
      </c>
      <c r="D294" s="23">
        <v>843709.64600000042</v>
      </c>
      <c r="E294" s="22" t="s">
        <v>822</v>
      </c>
      <c r="F294" s="22" t="s">
        <v>507</v>
      </c>
      <c r="G294" s="22" t="s">
        <v>822</v>
      </c>
      <c r="H294" s="24">
        <v>246779410338</v>
      </c>
      <c r="I294" s="72"/>
      <c r="J294" s="72"/>
      <c r="L294" s="56">
        <v>256779417978</v>
      </c>
      <c r="M294" s="49">
        <v>1058</v>
      </c>
      <c r="N294" s="49">
        <v>51397.291499999999</v>
      </c>
      <c r="P294" s="40">
        <v>256779417566</v>
      </c>
      <c r="Q294" s="47">
        <v>0</v>
      </c>
      <c r="R294" s="47">
        <v>6432.3032999999996</v>
      </c>
    </row>
    <row r="295" spans="1:18" x14ac:dyDescent="0.35">
      <c r="A295" s="50">
        <v>46003</v>
      </c>
      <c r="B295" s="23">
        <v>0</v>
      </c>
      <c r="C295" s="23">
        <v>44681.824999999997</v>
      </c>
      <c r="D295" s="23">
        <v>799027.82100000046</v>
      </c>
      <c r="E295" s="22" t="s">
        <v>823</v>
      </c>
      <c r="F295" s="22" t="s">
        <v>507</v>
      </c>
      <c r="G295" s="22" t="s">
        <v>823</v>
      </c>
      <c r="H295" s="24">
        <v>246779410339</v>
      </c>
      <c r="I295" s="72"/>
      <c r="J295" s="72"/>
      <c r="L295" s="56">
        <v>256779418010</v>
      </c>
      <c r="M295" s="49">
        <v>0</v>
      </c>
      <c r="N295" s="49">
        <v>679906.74129999999</v>
      </c>
      <c r="P295" s="40">
        <v>256779417582</v>
      </c>
      <c r="Q295" s="47">
        <v>0</v>
      </c>
      <c r="R295" s="47">
        <v>6896.1292000000003</v>
      </c>
    </row>
    <row r="296" spans="1:18" x14ac:dyDescent="0.35">
      <c r="A296" s="50">
        <v>46003</v>
      </c>
      <c r="B296" s="23">
        <v>500000</v>
      </c>
      <c r="C296" s="23">
        <v>0</v>
      </c>
      <c r="D296" s="23">
        <v>1299027.821</v>
      </c>
      <c r="E296" s="22" t="s">
        <v>824</v>
      </c>
      <c r="F296" s="22" t="s">
        <v>728</v>
      </c>
      <c r="G296" s="22"/>
      <c r="H296" s="24"/>
      <c r="I296" s="72"/>
      <c r="J296" s="72"/>
      <c r="L296" s="56">
        <v>256779418036</v>
      </c>
      <c r="M296" s="49">
        <v>0</v>
      </c>
      <c r="N296" s="49">
        <v>36224.358800000002</v>
      </c>
      <c r="P296" s="40">
        <v>256779417594</v>
      </c>
      <c r="Q296" s="47">
        <v>0</v>
      </c>
      <c r="R296" s="47">
        <v>1028.2935</v>
      </c>
    </row>
    <row r="297" spans="1:18" x14ac:dyDescent="0.35">
      <c r="A297" s="50">
        <v>46003</v>
      </c>
      <c r="B297" s="23">
        <v>0</v>
      </c>
      <c r="C297" s="23">
        <v>2053.9</v>
      </c>
      <c r="D297" s="23">
        <v>1296973.921000001</v>
      </c>
      <c r="E297" s="22" t="s">
        <v>825</v>
      </c>
      <c r="F297" s="22" t="s">
        <v>557</v>
      </c>
      <c r="G297" s="22" t="s">
        <v>825</v>
      </c>
      <c r="H297" s="24">
        <v>256779411807</v>
      </c>
      <c r="I297" s="72"/>
      <c r="J297" s="72"/>
      <c r="L297" s="56">
        <v>256779418094</v>
      </c>
      <c r="M297" s="49">
        <v>6791</v>
      </c>
      <c r="N297" s="49">
        <v>68060.655499999993</v>
      </c>
      <c r="P297" s="40">
        <v>256779417939</v>
      </c>
      <c r="Q297" s="47">
        <v>0</v>
      </c>
      <c r="R297" s="47">
        <v>38482.042500000003</v>
      </c>
    </row>
    <row r="298" spans="1:18" x14ac:dyDescent="0.35">
      <c r="A298" s="50">
        <v>46006</v>
      </c>
      <c r="B298" s="23">
        <v>0</v>
      </c>
      <c r="C298" s="23">
        <v>6064.0230000000001</v>
      </c>
      <c r="D298" s="23">
        <v>1290909.898000001</v>
      </c>
      <c r="E298" s="22" t="s">
        <v>826</v>
      </c>
      <c r="F298" s="22" t="s">
        <v>573</v>
      </c>
      <c r="G298" s="22" t="s">
        <v>826</v>
      </c>
      <c r="H298" s="24">
        <v>256779414743</v>
      </c>
      <c r="I298" s="72"/>
      <c r="J298" s="72"/>
      <c r="L298" s="56">
        <v>256779418103</v>
      </c>
      <c r="M298" s="49">
        <v>980</v>
      </c>
      <c r="N298" s="49">
        <v>47157.936999999998</v>
      </c>
      <c r="P298" s="40">
        <v>256779417978</v>
      </c>
      <c r="Q298" s="47">
        <v>1058</v>
      </c>
      <c r="R298" s="47">
        <v>51397.291499999999</v>
      </c>
    </row>
    <row r="299" spans="1:18" x14ac:dyDescent="0.35">
      <c r="A299" s="50">
        <v>46006</v>
      </c>
      <c r="B299" s="23">
        <v>0</v>
      </c>
      <c r="C299" s="23">
        <v>1800.3510000000001</v>
      </c>
      <c r="D299" s="23">
        <v>1289109.547</v>
      </c>
      <c r="E299" s="22" t="s">
        <v>827</v>
      </c>
      <c r="F299" s="22" t="s">
        <v>828</v>
      </c>
      <c r="G299" s="22" t="s">
        <v>827</v>
      </c>
      <c r="H299" s="24">
        <v>256779414748</v>
      </c>
      <c r="I299" s="72"/>
      <c r="J299" s="72"/>
      <c r="L299" s="56">
        <v>256779418168</v>
      </c>
      <c r="M299" s="49">
        <v>88</v>
      </c>
      <c r="N299" s="49">
        <v>6173.1630999999998</v>
      </c>
      <c r="P299" s="40">
        <v>256779418010</v>
      </c>
      <c r="Q299" s="47">
        <v>0</v>
      </c>
      <c r="R299" s="47">
        <v>679906.74129999999</v>
      </c>
    </row>
    <row r="300" spans="1:18" x14ac:dyDescent="0.35">
      <c r="A300" s="50">
        <v>46006</v>
      </c>
      <c r="B300" s="23">
        <v>0</v>
      </c>
      <c r="C300" s="23">
        <v>14610.374299999999</v>
      </c>
      <c r="D300" s="23">
        <v>1274499.1727</v>
      </c>
      <c r="E300" s="22" t="s">
        <v>829</v>
      </c>
      <c r="F300" s="22" t="s">
        <v>500</v>
      </c>
      <c r="G300" s="22" t="s">
        <v>829</v>
      </c>
      <c r="H300" s="24">
        <v>256779414758</v>
      </c>
      <c r="I300" s="72"/>
      <c r="J300" s="72"/>
      <c r="L300" s="56">
        <v>256779418351</v>
      </c>
      <c r="M300" s="49">
        <v>0</v>
      </c>
      <c r="N300" s="49">
        <v>1036.08</v>
      </c>
      <c r="P300" s="40">
        <v>256779418036</v>
      </c>
      <c r="Q300" s="47">
        <v>0</v>
      </c>
      <c r="R300" s="47">
        <v>36224.358800000002</v>
      </c>
    </row>
    <row r="301" spans="1:18" x14ac:dyDescent="0.35">
      <c r="A301" s="50">
        <v>46006</v>
      </c>
      <c r="B301" s="23">
        <v>0</v>
      </c>
      <c r="C301" s="23">
        <v>45061.335200000001</v>
      </c>
      <c r="D301" s="23">
        <v>1229437.8374999999</v>
      </c>
      <c r="E301" s="22" t="s">
        <v>830</v>
      </c>
      <c r="F301" s="22" t="s">
        <v>507</v>
      </c>
      <c r="G301" s="22" t="s">
        <v>830</v>
      </c>
      <c r="H301" s="24">
        <v>256779414340</v>
      </c>
      <c r="I301" s="72"/>
      <c r="J301" s="72"/>
      <c r="L301" s="56">
        <v>256779418428</v>
      </c>
      <c r="M301" s="49">
        <v>88</v>
      </c>
      <c r="N301" s="49">
        <v>2901.2856000000002</v>
      </c>
      <c r="P301" s="40">
        <v>256779418094</v>
      </c>
      <c r="Q301" s="47">
        <v>6791</v>
      </c>
      <c r="R301" s="47">
        <v>68060.655499999993</v>
      </c>
    </row>
    <row r="302" spans="1:18" x14ac:dyDescent="0.35">
      <c r="A302" s="50">
        <v>46006</v>
      </c>
      <c r="B302" s="23">
        <v>0</v>
      </c>
      <c r="C302" s="23">
        <v>11782.0918</v>
      </c>
      <c r="D302" s="23">
        <v>1217655.7457000001</v>
      </c>
      <c r="E302" s="22" t="s">
        <v>831</v>
      </c>
      <c r="F302" s="22" t="s">
        <v>608</v>
      </c>
      <c r="G302" s="22" t="s">
        <v>831</v>
      </c>
      <c r="H302" s="24">
        <v>256779415939</v>
      </c>
      <c r="I302" s="72"/>
      <c r="J302" s="72"/>
      <c r="L302" s="56">
        <v>256779418437</v>
      </c>
      <c r="M302" s="49">
        <v>176</v>
      </c>
      <c r="N302" s="49">
        <v>7046.0609999999997</v>
      </c>
      <c r="P302" s="40">
        <v>256779418103</v>
      </c>
      <c r="Q302" s="47">
        <v>980</v>
      </c>
      <c r="R302" s="47">
        <v>47157.936999999998</v>
      </c>
    </row>
    <row r="303" spans="1:18" x14ac:dyDescent="0.35">
      <c r="A303" s="50">
        <v>46006</v>
      </c>
      <c r="B303" s="23">
        <v>0</v>
      </c>
      <c r="C303" s="23">
        <v>2559.3798999999999</v>
      </c>
      <c r="D303" s="23">
        <v>1215096.3658</v>
      </c>
      <c r="E303" s="22" t="s">
        <v>832</v>
      </c>
      <c r="F303" s="22" t="s">
        <v>573</v>
      </c>
      <c r="G303" s="22" t="s">
        <v>832</v>
      </c>
      <c r="H303" s="24">
        <v>256779415771</v>
      </c>
      <c r="I303" s="72"/>
      <c r="J303" s="72"/>
      <c r="L303" s="56">
        <v>256779418477</v>
      </c>
      <c r="M303" s="49">
        <v>0</v>
      </c>
      <c r="N303" s="49">
        <v>299.84859999999998</v>
      </c>
      <c r="P303" s="40">
        <v>256779418168</v>
      </c>
      <c r="Q303" s="47">
        <v>88</v>
      </c>
      <c r="R303" s="47">
        <v>6173.1630999999998</v>
      </c>
    </row>
    <row r="304" spans="1:18" x14ac:dyDescent="0.35">
      <c r="A304" s="50">
        <v>46006</v>
      </c>
      <c r="B304" s="23">
        <v>0</v>
      </c>
      <c r="C304" s="23">
        <v>148540.3572</v>
      </c>
      <c r="D304" s="23">
        <v>1066556.0086000001</v>
      </c>
      <c r="E304" s="22" t="s">
        <v>833</v>
      </c>
      <c r="F304" s="22" t="s">
        <v>557</v>
      </c>
      <c r="G304" s="22" t="s">
        <v>833</v>
      </c>
      <c r="H304" s="24">
        <v>256779415801</v>
      </c>
      <c r="I304" s="72"/>
      <c r="J304" s="72"/>
      <c r="L304" s="56">
        <v>256779418492</v>
      </c>
      <c r="M304" s="49">
        <v>6</v>
      </c>
      <c r="N304" s="49">
        <v>306</v>
      </c>
      <c r="P304" s="40">
        <v>256779418351</v>
      </c>
      <c r="Q304" s="47">
        <v>0</v>
      </c>
      <c r="R304" s="47">
        <v>1036.08</v>
      </c>
    </row>
    <row r="305" spans="1:18" x14ac:dyDescent="0.35">
      <c r="A305" s="50">
        <v>46006</v>
      </c>
      <c r="B305" s="23">
        <v>0</v>
      </c>
      <c r="C305" s="23">
        <v>13522.7454</v>
      </c>
      <c r="D305" s="23">
        <v>1053033.2631999999</v>
      </c>
      <c r="E305" s="22" t="s">
        <v>834</v>
      </c>
      <c r="F305" s="22" t="s">
        <v>704</v>
      </c>
      <c r="G305" s="22" t="s">
        <v>834</v>
      </c>
      <c r="H305" s="24">
        <v>256779415456</v>
      </c>
      <c r="I305" s="72"/>
      <c r="J305" s="72"/>
      <c r="L305" s="56">
        <v>256779418802</v>
      </c>
      <c r="M305" s="49">
        <v>4048</v>
      </c>
      <c r="N305" s="49">
        <v>40195.392399999997</v>
      </c>
      <c r="P305" s="40">
        <v>256779418428</v>
      </c>
      <c r="Q305" s="47">
        <v>88</v>
      </c>
      <c r="R305" s="47">
        <v>2901.2856000000002</v>
      </c>
    </row>
    <row r="306" spans="1:18" x14ac:dyDescent="0.35">
      <c r="A306" s="50">
        <v>46006</v>
      </c>
      <c r="B306" s="23">
        <v>0</v>
      </c>
      <c r="C306" s="23">
        <v>8342.0650000000005</v>
      </c>
      <c r="D306" s="23">
        <v>1044691.1982</v>
      </c>
      <c r="E306" s="22" t="s">
        <v>835</v>
      </c>
      <c r="F306" s="22" t="s">
        <v>836</v>
      </c>
      <c r="G306" s="22" t="s">
        <v>835</v>
      </c>
      <c r="H306" s="24">
        <v>256779415444</v>
      </c>
      <c r="I306" s="72"/>
      <c r="J306" s="72"/>
      <c r="L306" s="56">
        <v>256779418819</v>
      </c>
      <c r="M306" s="49">
        <v>0</v>
      </c>
      <c r="N306" s="49">
        <v>2793.2276000000002</v>
      </c>
      <c r="P306" s="40">
        <v>256779418437</v>
      </c>
      <c r="Q306" s="47">
        <v>176</v>
      </c>
      <c r="R306" s="47">
        <v>7046.0609999999997</v>
      </c>
    </row>
    <row r="307" spans="1:18" x14ac:dyDescent="0.35">
      <c r="A307" s="50">
        <v>46007</v>
      </c>
      <c r="B307" s="23">
        <v>0</v>
      </c>
      <c r="C307" s="23">
        <v>2629.9005000000002</v>
      </c>
      <c r="D307" s="23">
        <v>1042061.2977</v>
      </c>
      <c r="E307" s="22" t="s">
        <v>837</v>
      </c>
      <c r="F307" s="22" t="s">
        <v>838</v>
      </c>
      <c r="G307" s="22" t="s">
        <v>837</v>
      </c>
      <c r="H307" s="24">
        <v>256779414968</v>
      </c>
      <c r="I307" s="72"/>
      <c r="J307" s="72"/>
      <c r="L307" s="56">
        <v>256779418869</v>
      </c>
      <c r="M307" s="49">
        <v>0</v>
      </c>
      <c r="N307" s="49">
        <v>529469.75580000004</v>
      </c>
      <c r="P307" s="40">
        <v>256779418477</v>
      </c>
      <c r="Q307" s="47">
        <v>0</v>
      </c>
      <c r="R307" s="47">
        <v>299.84859999999998</v>
      </c>
    </row>
    <row r="308" spans="1:18" x14ac:dyDescent="0.35">
      <c r="A308" s="50">
        <v>46007</v>
      </c>
      <c r="B308" s="23">
        <v>0</v>
      </c>
      <c r="C308" s="23">
        <v>201.24160000000001</v>
      </c>
      <c r="D308" s="23">
        <v>1041860.056100001</v>
      </c>
      <c r="E308" s="22" t="s">
        <v>839</v>
      </c>
      <c r="F308" s="22" t="s">
        <v>573</v>
      </c>
      <c r="G308" s="22" t="s">
        <v>839</v>
      </c>
      <c r="H308" s="24">
        <v>256779415263</v>
      </c>
      <c r="I308" s="72"/>
      <c r="J308" s="72"/>
      <c r="L308" s="56">
        <v>256779418897</v>
      </c>
      <c r="M308" s="49">
        <v>0</v>
      </c>
      <c r="N308" s="49">
        <v>9367.9609</v>
      </c>
      <c r="P308" s="40">
        <v>256779418492</v>
      </c>
      <c r="Q308" s="47">
        <v>6</v>
      </c>
      <c r="R308" s="47">
        <v>306</v>
      </c>
    </row>
    <row r="309" spans="1:18" x14ac:dyDescent="0.35">
      <c r="A309" s="50">
        <v>46007</v>
      </c>
      <c r="B309" s="23">
        <v>0</v>
      </c>
      <c r="C309" s="23">
        <v>257812.80850000001</v>
      </c>
      <c r="D309" s="23">
        <v>784047.24760000047</v>
      </c>
      <c r="E309" s="22" t="s">
        <v>840</v>
      </c>
      <c r="F309" s="22" t="s">
        <v>841</v>
      </c>
      <c r="G309" s="22" t="s">
        <v>840</v>
      </c>
      <c r="H309" s="24">
        <v>256779415198</v>
      </c>
      <c r="I309" s="72"/>
      <c r="J309" s="72"/>
      <c r="L309" s="56">
        <v>256779418906</v>
      </c>
      <c r="M309" s="49">
        <v>0</v>
      </c>
      <c r="N309" s="49">
        <v>3014.1161000000002</v>
      </c>
      <c r="P309" s="40">
        <v>256779418802</v>
      </c>
      <c r="Q309" s="47">
        <v>4048</v>
      </c>
      <c r="R309" s="47">
        <v>40195.392399999997</v>
      </c>
    </row>
    <row r="310" spans="1:18" x14ac:dyDescent="0.35">
      <c r="A310" s="50">
        <v>46007</v>
      </c>
      <c r="B310" s="23">
        <v>0</v>
      </c>
      <c r="C310" s="23">
        <v>552.98429999999996</v>
      </c>
      <c r="D310" s="23">
        <v>783494.26330000046</v>
      </c>
      <c r="E310" s="22" t="s">
        <v>842</v>
      </c>
      <c r="F310" s="22" t="s">
        <v>843</v>
      </c>
      <c r="G310" s="22" t="s">
        <v>842</v>
      </c>
      <c r="H310" s="24">
        <v>256779415048</v>
      </c>
      <c r="I310" s="72"/>
      <c r="J310" s="72"/>
      <c r="L310" s="56">
        <v>256779419069</v>
      </c>
      <c r="M310" s="49">
        <v>0</v>
      </c>
      <c r="N310" s="49">
        <v>26716.949199999999</v>
      </c>
      <c r="P310" s="40">
        <v>256779418819</v>
      </c>
      <c r="Q310" s="47">
        <v>0</v>
      </c>
      <c r="R310" s="47">
        <v>2793.2276000000002</v>
      </c>
    </row>
    <row r="311" spans="1:18" x14ac:dyDescent="0.35">
      <c r="A311" s="50">
        <v>46007</v>
      </c>
      <c r="B311" s="23">
        <v>0</v>
      </c>
      <c r="C311" s="23">
        <v>4562.3355000000001</v>
      </c>
      <c r="D311" s="23">
        <v>778931.92780000041</v>
      </c>
      <c r="E311" s="22" t="s">
        <v>844</v>
      </c>
      <c r="F311" s="22" t="s">
        <v>500</v>
      </c>
      <c r="G311" s="22" t="s">
        <v>844</v>
      </c>
      <c r="H311" s="24">
        <v>256779414975</v>
      </c>
      <c r="I311" s="72"/>
      <c r="J311" s="72"/>
      <c r="L311" s="56">
        <v>256779419076</v>
      </c>
      <c r="M311" s="49">
        <v>0</v>
      </c>
      <c r="N311" s="49">
        <v>63274.437400000003</v>
      </c>
      <c r="P311" s="40">
        <v>256779418869</v>
      </c>
      <c r="Q311" s="47">
        <v>0</v>
      </c>
      <c r="R311" s="47">
        <v>529469.75580000004</v>
      </c>
    </row>
    <row r="312" spans="1:18" x14ac:dyDescent="0.35">
      <c r="A312" s="50">
        <v>46007</v>
      </c>
      <c r="B312" s="23">
        <v>0</v>
      </c>
      <c r="C312" s="23">
        <v>35324.775199999996</v>
      </c>
      <c r="D312" s="23">
        <v>743607.15260000038</v>
      </c>
      <c r="E312" s="22" t="s">
        <v>845</v>
      </c>
      <c r="F312" s="22" t="s">
        <v>783</v>
      </c>
      <c r="G312" s="22" t="s">
        <v>845</v>
      </c>
      <c r="H312" s="24">
        <v>256779414944</v>
      </c>
      <c r="I312" s="72"/>
      <c r="J312" s="72"/>
      <c r="L312" s="56">
        <v>256779419172</v>
      </c>
      <c r="M312" s="49">
        <v>0</v>
      </c>
      <c r="N312" s="49">
        <v>5909.4276</v>
      </c>
      <c r="P312" s="40">
        <v>256779418897</v>
      </c>
      <c r="Q312" s="47">
        <v>0</v>
      </c>
      <c r="R312" s="47">
        <v>9367.9609</v>
      </c>
    </row>
    <row r="313" spans="1:18" x14ac:dyDescent="0.35">
      <c r="A313" s="50">
        <v>46007</v>
      </c>
      <c r="B313" s="23">
        <v>0</v>
      </c>
      <c r="C313" s="23">
        <v>91401.512100000007</v>
      </c>
      <c r="D313" s="23">
        <v>652205.64050000033</v>
      </c>
      <c r="E313" s="22" t="s">
        <v>846</v>
      </c>
      <c r="F313" s="22" t="s">
        <v>507</v>
      </c>
      <c r="G313" s="22" t="s">
        <v>846</v>
      </c>
      <c r="H313" s="24">
        <v>256779414890</v>
      </c>
      <c r="I313" s="72"/>
      <c r="J313" s="72"/>
      <c r="L313" s="56">
        <v>256779419248</v>
      </c>
      <c r="M313" s="49">
        <v>0</v>
      </c>
      <c r="N313" s="49">
        <v>991.79819999999995</v>
      </c>
      <c r="P313" s="40">
        <v>256779418906</v>
      </c>
      <c r="Q313" s="47">
        <v>0</v>
      </c>
      <c r="R313" s="47">
        <v>3014.1161000000002</v>
      </c>
    </row>
    <row r="314" spans="1:18" x14ac:dyDescent="0.35">
      <c r="A314" s="50">
        <v>46007</v>
      </c>
      <c r="B314" s="23">
        <v>0</v>
      </c>
      <c r="C314" s="23">
        <v>2642.8006</v>
      </c>
      <c r="D314" s="23">
        <v>649562.83990000037</v>
      </c>
      <c r="E314" s="22" t="s">
        <v>847</v>
      </c>
      <c r="F314" s="22" t="s">
        <v>557</v>
      </c>
      <c r="G314" s="22" t="s">
        <v>847</v>
      </c>
      <c r="H314" s="24">
        <v>256779414878</v>
      </c>
      <c r="I314" s="72"/>
      <c r="J314" s="72"/>
      <c r="L314" s="56">
        <v>256779419364</v>
      </c>
      <c r="M314" s="49">
        <v>0</v>
      </c>
      <c r="N314" s="49">
        <v>27787.070400000001</v>
      </c>
      <c r="P314" s="40">
        <v>256779419069</v>
      </c>
      <c r="Q314" s="47">
        <v>0</v>
      </c>
      <c r="R314" s="47">
        <v>26716.949199999999</v>
      </c>
    </row>
    <row r="315" spans="1:18" x14ac:dyDescent="0.35">
      <c r="A315" s="50">
        <v>46007</v>
      </c>
      <c r="B315" s="23">
        <v>0</v>
      </c>
      <c r="C315" s="23">
        <v>8595.7669999999998</v>
      </c>
      <c r="D315" s="23">
        <v>640967.07290000038</v>
      </c>
      <c r="E315" s="22" t="s">
        <v>848</v>
      </c>
      <c r="F315" s="22" t="s">
        <v>500</v>
      </c>
      <c r="G315" s="22" t="s">
        <v>848</v>
      </c>
      <c r="H315" s="24">
        <v>256779414829</v>
      </c>
      <c r="I315" s="72"/>
      <c r="J315" s="72"/>
      <c r="L315" s="56">
        <v>256779419465</v>
      </c>
      <c r="M315" s="49">
        <v>0</v>
      </c>
      <c r="N315" s="49">
        <v>20693.117099999999</v>
      </c>
      <c r="P315" s="40">
        <v>256779419076</v>
      </c>
      <c r="Q315" s="47">
        <v>0</v>
      </c>
      <c r="R315" s="47">
        <v>63274.437400000003</v>
      </c>
    </row>
    <row r="316" spans="1:18" x14ac:dyDescent="0.35">
      <c r="A316" s="50">
        <v>46007</v>
      </c>
      <c r="B316" s="23">
        <v>0</v>
      </c>
      <c r="C316" s="23">
        <v>1492.1116</v>
      </c>
      <c r="D316" s="23">
        <v>639474.96130000043</v>
      </c>
      <c r="E316" s="22" t="s">
        <v>849</v>
      </c>
      <c r="F316" s="22" t="s">
        <v>850</v>
      </c>
      <c r="G316" s="22" t="s">
        <v>849</v>
      </c>
      <c r="H316" s="24">
        <v>256779414768</v>
      </c>
      <c r="I316" s="72"/>
      <c r="J316" s="72"/>
      <c r="L316" s="56">
        <v>256779419476</v>
      </c>
      <c r="M316" s="49">
        <v>0</v>
      </c>
      <c r="N316" s="49">
        <v>14016.2999</v>
      </c>
      <c r="P316" s="40">
        <v>256779419172</v>
      </c>
      <c r="Q316" s="47">
        <v>0</v>
      </c>
      <c r="R316" s="47">
        <v>5909.4276</v>
      </c>
    </row>
    <row r="317" spans="1:18" x14ac:dyDescent="0.35">
      <c r="A317" s="50">
        <v>46007</v>
      </c>
      <c r="B317" s="23">
        <v>0</v>
      </c>
      <c r="C317" s="23">
        <v>23117.1535</v>
      </c>
      <c r="D317" s="23">
        <v>616357.80780000042</v>
      </c>
      <c r="E317" s="22" t="s">
        <v>851</v>
      </c>
      <c r="F317" s="22" t="s">
        <v>852</v>
      </c>
      <c r="G317" s="22" t="s">
        <v>851</v>
      </c>
      <c r="H317" s="24">
        <v>256779416544</v>
      </c>
      <c r="I317" s="72"/>
      <c r="J317" s="72"/>
      <c r="L317" s="56">
        <v>256779419534</v>
      </c>
      <c r="M317" s="49">
        <v>0</v>
      </c>
      <c r="N317" s="49">
        <v>7761.8990000000003</v>
      </c>
      <c r="P317" s="40">
        <v>256779419248</v>
      </c>
      <c r="Q317" s="47">
        <v>0</v>
      </c>
      <c r="R317" s="47">
        <v>991.79819999999995</v>
      </c>
    </row>
    <row r="318" spans="1:18" x14ac:dyDescent="0.35">
      <c r="A318" s="50">
        <v>46007</v>
      </c>
      <c r="B318" s="23">
        <v>0</v>
      </c>
      <c r="C318" s="23">
        <v>21929.077600000001</v>
      </c>
      <c r="D318" s="23">
        <v>594428.73020000046</v>
      </c>
      <c r="E318" s="22" t="s">
        <v>853</v>
      </c>
      <c r="F318" s="22" t="s">
        <v>852</v>
      </c>
      <c r="G318" s="22" t="s">
        <v>853</v>
      </c>
      <c r="H318" s="24">
        <v>256779416546</v>
      </c>
      <c r="I318" s="72"/>
      <c r="J318" s="72"/>
      <c r="L318" s="56">
        <v>256779419547</v>
      </c>
      <c r="M318" s="49">
        <v>0</v>
      </c>
      <c r="N318" s="49">
        <v>9417.2428</v>
      </c>
      <c r="P318" s="40">
        <v>256779419364</v>
      </c>
      <c r="Q318" s="47">
        <v>0</v>
      </c>
      <c r="R318" s="47">
        <v>27787.070400000001</v>
      </c>
    </row>
    <row r="319" spans="1:18" x14ac:dyDescent="0.35">
      <c r="A319" s="50">
        <v>46007</v>
      </c>
      <c r="B319" s="23">
        <v>0</v>
      </c>
      <c r="C319" s="23">
        <v>9260.2821000000004</v>
      </c>
      <c r="D319" s="23">
        <v>585168.4481000005</v>
      </c>
      <c r="E319" s="22" t="s">
        <v>854</v>
      </c>
      <c r="F319" s="22" t="s">
        <v>573</v>
      </c>
      <c r="G319" s="22" t="s">
        <v>854</v>
      </c>
      <c r="H319" s="24">
        <v>256779416444</v>
      </c>
      <c r="I319" s="72"/>
      <c r="J319" s="72"/>
      <c r="L319" s="56">
        <v>256779419556</v>
      </c>
      <c r="M319" s="49">
        <v>0</v>
      </c>
      <c r="N319" s="49">
        <v>39821.534</v>
      </c>
      <c r="P319" s="40">
        <v>256779419465</v>
      </c>
      <c r="Q319" s="47">
        <v>0</v>
      </c>
      <c r="R319" s="47">
        <v>20693.117099999999</v>
      </c>
    </row>
    <row r="320" spans="1:18" x14ac:dyDescent="0.35">
      <c r="A320" s="50">
        <v>46007</v>
      </c>
      <c r="B320" s="23">
        <v>0</v>
      </c>
      <c r="C320" s="23">
        <v>27395.431400000001</v>
      </c>
      <c r="D320" s="23">
        <v>557773.0167000005</v>
      </c>
      <c r="E320" s="22" t="s">
        <v>855</v>
      </c>
      <c r="F320" s="22" t="s">
        <v>507</v>
      </c>
      <c r="G320" s="22" t="s">
        <v>855</v>
      </c>
      <c r="H320" s="24">
        <v>256779416538</v>
      </c>
      <c r="I320" s="72"/>
      <c r="J320" s="72"/>
      <c r="L320" s="56">
        <v>256779419588</v>
      </c>
      <c r="M320" s="49">
        <v>0</v>
      </c>
      <c r="N320" s="49">
        <v>29234.726200000001</v>
      </c>
      <c r="P320" s="40">
        <v>256779419476</v>
      </c>
      <c r="Q320" s="47">
        <v>0</v>
      </c>
      <c r="R320" s="47">
        <v>14016.2999</v>
      </c>
    </row>
    <row r="321" spans="1:18" x14ac:dyDescent="0.35">
      <c r="A321" s="50">
        <v>46007</v>
      </c>
      <c r="B321" s="23">
        <v>0</v>
      </c>
      <c r="C321" s="23">
        <v>35336.871800000001</v>
      </c>
      <c r="D321" s="23">
        <v>522436.14490000048</v>
      </c>
      <c r="E321" s="22" t="s">
        <v>856</v>
      </c>
      <c r="F321" s="22" t="s">
        <v>783</v>
      </c>
      <c r="G321" s="22" t="s">
        <v>856</v>
      </c>
      <c r="H321" s="24">
        <v>256779416054</v>
      </c>
      <c r="I321" s="72"/>
      <c r="J321" s="72"/>
      <c r="L321" s="56">
        <v>256779419628</v>
      </c>
      <c r="M321" s="49">
        <v>0</v>
      </c>
      <c r="N321" s="49">
        <v>897.63459999999998</v>
      </c>
      <c r="P321" s="40">
        <v>256779419534</v>
      </c>
      <c r="Q321" s="47">
        <v>0</v>
      </c>
      <c r="R321" s="47">
        <v>7761.8990000000003</v>
      </c>
    </row>
    <row r="322" spans="1:18" x14ac:dyDescent="0.35">
      <c r="A322" s="50">
        <v>46007</v>
      </c>
      <c r="B322" s="23">
        <v>0</v>
      </c>
      <c r="C322" s="23">
        <v>33482.010999999999</v>
      </c>
      <c r="D322" s="23">
        <v>488954.13390000048</v>
      </c>
      <c r="E322" s="22" t="s">
        <v>857</v>
      </c>
      <c r="F322" s="22" t="s">
        <v>783</v>
      </c>
      <c r="G322" s="22" t="s">
        <v>857</v>
      </c>
      <c r="H322" s="24">
        <v>256779417373</v>
      </c>
      <c r="I322" s="72"/>
      <c r="J322" s="72"/>
      <c r="L322" s="56">
        <v>256779419795</v>
      </c>
      <c r="M322" s="49">
        <v>0</v>
      </c>
      <c r="N322" s="49">
        <v>28407.106800000001</v>
      </c>
      <c r="P322" s="40">
        <v>256779419547</v>
      </c>
      <c r="Q322" s="47">
        <v>0</v>
      </c>
      <c r="R322" s="47">
        <v>9417.2428</v>
      </c>
    </row>
    <row r="323" spans="1:18" x14ac:dyDescent="0.35">
      <c r="A323" s="50">
        <v>46007</v>
      </c>
      <c r="B323" s="23">
        <v>0</v>
      </c>
      <c r="C323" s="23">
        <v>6432.3032999999996</v>
      </c>
      <c r="D323" s="23">
        <v>482521.83060000051</v>
      </c>
      <c r="E323" s="22" t="s">
        <v>858</v>
      </c>
      <c r="F323" s="22" t="s">
        <v>561</v>
      </c>
      <c r="G323" s="22" t="s">
        <v>858</v>
      </c>
      <c r="H323" s="24">
        <v>256779417566</v>
      </c>
      <c r="I323" s="72"/>
      <c r="J323" s="72"/>
      <c r="L323" s="56">
        <v>256779419867</v>
      </c>
      <c r="M323" s="49">
        <v>0</v>
      </c>
      <c r="N323" s="49">
        <v>61159.633500000004</v>
      </c>
      <c r="P323" s="40">
        <v>256779419556</v>
      </c>
      <c r="Q323" s="47">
        <v>0</v>
      </c>
      <c r="R323" s="47">
        <v>39821.534</v>
      </c>
    </row>
    <row r="324" spans="1:18" x14ac:dyDescent="0.35">
      <c r="A324" s="50">
        <v>46007</v>
      </c>
      <c r="B324" s="23">
        <v>0</v>
      </c>
      <c r="C324" s="23">
        <v>6896.1292000000003</v>
      </c>
      <c r="D324" s="23">
        <v>475625.70140000043</v>
      </c>
      <c r="E324" s="22" t="s">
        <v>859</v>
      </c>
      <c r="F324" s="22" t="s">
        <v>561</v>
      </c>
      <c r="G324" s="22" t="s">
        <v>859</v>
      </c>
      <c r="H324" s="24">
        <v>256779417582</v>
      </c>
      <c r="I324" s="72"/>
      <c r="J324" s="72"/>
      <c r="L324" s="56">
        <v>256779419916</v>
      </c>
      <c r="M324" s="49">
        <v>0</v>
      </c>
      <c r="N324" s="49">
        <v>11115.014499999999</v>
      </c>
      <c r="P324" s="40">
        <v>256779419588</v>
      </c>
      <c r="Q324" s="47">
        <v>0</v>
      </c>
      <c r="R324" s="47">
        <v>29234.726200000001</v>
      </c>
    </row>
    <row r="325" spans="1:18" x14ac:dyDescent="0.35">
      <c r="A325" s="50">
        <v>46007</v>
      </c>
      <c r="B325" s="23">
        <v>0</v>
      </c>
      <c r="C325" s="23">
        <v>1028.2935</v>
      </c>
      <c r="D325" s="23">
        <v>474597.4079000004</v>
      </c>
      <c r="E325" s="22" t="s">
        <v>860</v>
      </c>
      <c r="F325" s="22" t="s">
        <v>500</v>
      </c>
      <c r="G325" s="22" t="s">
        <v>860</v>
      </c>
      <c r="H325" s="24">
        <v>256779417594</v>
      </c>
      <c r="I325" s="72"/>
      <c r="J325" s="72"/>
      <c r="L325" s="56">
        <v>256779419933</v>
      </c>
      <c r="M325" s="49">
        <v>0</v>
      </c>
      <c r="N325" s="49">
        <v>10489.678599999999</v>
      </c>
      <c r="P325" s="40">
        <v>256779419628</v>
      </c>
      <c r="Q325" s="47">
        <v>0</v>
      </c>
      <c r="R325" s="47">
        <v>897.63459999999998</v>
      </c>
    </row>
    <row r="326" spans="1:18" x14ac:dyDescent="0.35">
      <c r="A326" s="50">
        <v>46007</v>
      </c>
      <c r="B326" s="23">
        <v>0</v>
      </c>
      <c r="C326" s="23">
        <v>545.21420000000001</v>
      </c>
      <c r="D326" s="23">
        <v>474052.19370000041</v>
      </c>
      <c r="E326" s="22" t="s">
        <v>861</v>
      </c>
      <c r="F326" s="22" t="s">
        <v>573</v>
      </c>
      <c r="G326" s="22" t="s">
        <v>861</v>
      </c>
      <c r="H326" s="24">
        <v>256779417442</v>
      </c>
      <c r="I326" s="72"/>
      <c r="J326" s="72"/>
      <c r="L326" s="56">
        <v>256779440041</v>
      </c>
      <c r="M326" s="49">
        <v>4174</v>
      </c>
      <c r="N326" s="49">
        <v>41446.745000000003</v>
      </c>
      <c r="P326" s="40">
        <v>256779419795</v>
      </c>
      <c r="Q326" s="47">
        <v>0</v>
      </c>
      <c r="R326" s="47">
        <v>28407.106800000001</v>
      </c>
    </row>
    <row r="327" spans="1:18" x14ac:dyDescent="0.35">
      <c r="A327" s="50">
        <v>46007</v>
      </c>
      <c r="B327" s="23">
        <v>0</v>
      </c>
      <c r="C327" s="23">
        <v>26724.251</v>
      </c>
      <c r="D327" s="23">
        <v>447327.94270000042</v>
      </c>
      <c r="E327" s="22" t="s">
        <v>862</v>
      </c>
      <c r="F327" s="22" t="s">
        <v>500</v>
      </c>
      <c r="G327" s="22" t="s">
        <v>862</v>
      </c>
      <c r="H327" s="24">
        <v>256779417525</v>
      </c>
      <c r="I327" s="72"/>
      <c r="J327" s="72"/>
      <c r="L327" s="56">
        <v>256779440069</v>
      </c>
      <c r="M327" s="49">
        <v>0</v>
      </c>
      <c r="N327" s="49">
        <v>1066.231</v>
      </c>
      <c r="P327" s="40">
        <v>256779419867</v>
      </c>
      <c r="Q327" s="47">
        <v>0</v>
      </c>
      <c r="R327" s="47">
        <v>61159.633500000004</v>
      </c>
    </row>
    <row r="328" spans="1:18" x14ac:dyDescent="0.35">
      <c r="A328" s="50">
        <v>46007</v>
      </c>
      <c r="B328" s="23">
        <v>0</v>
      </c>
      <c r="C328" s="23">
        <v>29303.298299999999</v>
      </c>
      <c r="D328" s="23">
        <v>418024.6444000004</v>
      </c>
      <c r="E328" s="22" t="s">
        <v>863</v>
      </c>
      <c r="F328" s="22" t="s">
        <v>852</v>
      </c>
      <c r="G328" s="22" t="s">
        <v>863</v>
      </c>
      <c r="H328" s="24">
        <v>256779417410</v>
      </c>
      <c r="I328" s="72"/>
      <c r="J328" s="72"/>
      <c r="L328" s="56">
        <v>256779440118</v>
      </c>
      <c r="M328" s="49">
        <v>181</v>
      </c>
      <c r="N328" s="49">
        <v>8983.0849999999991</v>
      </c>
      <c r="P328" s="40">
        <v>256779419916</v>
      </c>
      <c r="Q328" s="47">
        <v>0</v>
      </c>
      <c r="R328" s="47">
        <v>11115.014499999999</v>
      </c>
    </row>
    <row r="329" spans="1:18" x14ac:dyDescent="0.35">
      <c r="A329" s="50">
        <v>46008</v>
      </c>
      <c r="B329" s="23">
        <v>0</v>
      </c>
      <c r="C329" s="23">
        <v>42087.391600000003</v>
      </c>
      <c r="D329" s="23">
        <v>375937.25280000042</v>
      </c>
      <c r="E329" s="22" t="s">
        <v>864</v>
      </c>
      <c r="F329" s="22" t="s">
        <v>507</v>
      </c>
      <c r="G329" s="22" t="s">
        <v>864</v>
      </c>
      <c r="H329" s="24">
        <v>256779417489</v>
      </c>
      <c r="I329" s="72"/>
      <c r="J329" s="72"/>
      <c r="L329" s="56">
        <v>256779440122</v>
      </c>
      <c r="M329" s="49">
        <v>181</v>
      </c>
      <c r="N329" s="49">
        <v>11185.420599999999</v>
      </c>
      <c r="P329" s="40">
        <v>256779419933</v>
      </c>
      <c r="Q329" s="47">
        <v>0</v>
      </c>
      <c r="R329" s="47">
        <v>10489.678599999999</v>
      </c>
    </row>
    <row r="330" spans="1:18" x14ac:dyDescent="0.35">
      <c r="A330" s="50">
        <v>46008</v>
      </c>
      <c r="B330" s="23">
        <v>0</v>
      </c>
      <c r="C330" s="23">
        <v>36224.358800000002</v>
      </c>
      <c r="D330" s="23">
        <v>339712.89400000038</v>
      </c>
      <c r="E330" s="22" t="s">
        <v>865</v>
      </c>
      <c r="F330" s="22" t="s">
        <v>783</v>
      </c>
      <c r="G330" s="22" t="s">
        <v>865</v>
      </c>
      <c r="H330" s="24">
        <v>256779418036</v>
      </c>
      <c r="I330" s="72"/>
      <c r="J330" s="72"/>
      <c r="L330" s="56">
        <v>256779440210</v>
      </c>
      <c r="M330" s="49">
        <v>181</v>
      </c>
      <c r="N330" s="49">
        <v>7063.8671999999997</v>
      </c>
      <c r="P330" s="40">
        <v>256779421361</v>
      </c>
      <c r="Q330" s="47">
        <v>31577</v>
      </c>
      <c r="R330" s="47">
        <v>0</v>
      </c>
    </row>
    <row r="331" spans="1:18" x14ac:dyDescent="0.35">
      <c r="A331" s="50">
        <v>46008</v>
      </c>
      <c r="B331" s="23">
        <v>0</v>
      </c>
      <c r="C331" s="23">
        <v>38482.042500000003</v>
      </c>
      <c r="D331" s="23">
        <v>301230.8515000004</v>
      </c>
      <c r="E331" s="22" t="s">
        <v>866</v>
      </c>
      <c r="F331" s="22" t="s">
        <v>561</v>
      </c>
      <c r="G331" s="22" t="s">
        <v>866</v>
      </c>
      <c r="H331" s="24">
        <v>256779417939</v>
      </c>
      <c r="I331" s="72"/>
      <c r="J331" s="72"/>
      <c r="L331" s="56">
        <v>256779440383</v>
      </c>
      <c r="M331" s="49">
        <v>90</v>
      </c>
      <c r="N331" s="49">
        <v>4904.3774000000003</v>
      </c>
      <c r="P331" s="40">
        <v>256779421367</v>
      </c>
      <c r="Q331" s="47">
        <v>114223</v>
      </c>
      <c r="R331" s="47">
        <v>0</v>
      </c>
    </row>
    <row r="332" spans="1:18" x14ac:dyDescent="0.35">
      <c r="A332" s="50">
        <v>46008</v>
      </c>
      <c r="B332" s="23">
        <v>0</v>
      </c>
      <c r="C332" s="23">
        <v>679906.74129999999</v>
      </c>
      <c r="D332" s="23">
        <v>-378675.8897999996</v>
      </c>
      <c r="E332" s="22" t="s">
        <v>867</v>
      </c>
      <c r="F332" s="22" t="s">
        <v>841</v>
      </c>
      <c r="G332" s="22" t="s">
        <v>867</v>
      </c>
      <c r="H332" s="24">
        <v>256779418010</v>
      </c>
      <c r="I332" s="72"/>
      <c r="J332" s="72"/>
      <c r="L332" s="56">
        <v>256779440392</v>
      </c>
      <c r="M332" s="49">
        <v>1089</v>
      </c>
      <c r="N332" s="49">
        <v>11313.937</v>
      </c>
      <c r="P332" s="40">
        <v>256779421370</v>
      </c>
      <c r="Q332" s="47">
        <v>12169</v>
      </c>
      <c r="R332" s="47">
        <v>0</v>
      </c>
    </row>
    <row r="333" spans="1:18" x14ac:dyDescent="0.35">
      <c r="A333" s="50">
        <v>46008</v>
      </c>
      <c r="B333" s="23">
        <v>0</v>
      </c>
      <c r="C333" s="23">
        <v>3487.4461000000001</v>
      </c>
      <c r="D333" s="23">
        <v>-382163.3358999996</v>
      </c>
      <c r="E333" s="22" t="s">
        <v>868</v>
      </c>
      <c r="F333" s="22" t="s">
        <v>836</v>
      </c>
      <c r="G333" s="22" t="s">
        <v>868</v>
      </c>
      <c r="H333" s="24">
        <v>256779416911</v>
      </c>
      <c r="I333" s="72"/>
      <c r="J333" s="72"/>
      <c r="L333" s="56">
        <v>256779440394</v>
      </c>
      <c r="M333" s="49">
        <v>1815</v>
      </c>
      <c r="N333" s="49">
        <v>18211.378000000001</v>
      </c>
      <c r="P333" s="40">
        <v>256779421373</v>
      </c>
      <c r="Q333" s="47">
        <v>8696</v>
      </c>
      <c r="R333" s="47">
        <v>173</v>
      </c>
    </row>
    <row r="334" spans="1:18" x14ac:dyDescent="0.35">
      <c r="A334" s="50">
        <v>46008</v>
      </c>
      <c r="B334" s="23">
        <v>0</v>
      </c>
      <c r="C334" s="23">
        <v>90131.008499999996</v>
      </c>
      <c r="D334" s="23">
        <v>-472294.34439999959</v>
      </c>
      <c r="E334" s="22" t="s">
        <v>869</v>
      </c>
      <c r="F334" s="22" t="s">
        <v>836</v>
      </c>
      <c r="G334" s="22" t="s">
        <v>869</v>
      </c>
      <c r="H334" s="24">
        <v>256779417286</v>
      </c>
      <c r="I334" s="72"/>
      <c r="J334" s="72"/>
      <c r="L334" s="56">
        <v>256779440413</v>
      </c>
      <c r="M334" s="49">
        <v>181</v>
      </c>
      <c r="N334" s="49">
        <v>8983.0846000000001</v>
      </c>
      <c r="P334" s="40">
        <v>256779421376</v>
      </c>
      <c r="Q334" s="47">
        <v>6084</v>
      </c>
      <c r="R334" s="47">
        <v>0</v>
      </c>
    </row>
    <row r="335" spans="1:18" x14ac:dyDescent="0.35">
      <c r="A335" s="50">
        <v>46008</v>
      </c>
      <c r="B335" s="23">
        <v>0</v>
      </c>
      <c r="C335" s="23">
        <v>4231.3179</v>
      </c>
      <c r="D335" s="23">
        <v>-476525.66229999962</v>
      </c>
      <c r="E335" s="22" t="s">
        <v>870</v>
      </c>
      <c r="F335" s="22" t="s">
        <v>500</v>
      </c>
      <c r="G335" s="22" t="s">
        <v>870</v>
      </c>
      <c r="H335" s="24">
        <v>256779417324</v>
      </c>
      <c r="I335" s="72"/>
      <c r="J335" s="72"/>
      <c r="L335" s="56">
        <v>256779440429</v>
      </c>
      <c r="M335" s="49">
        <v>91</v>
      </c>
      <c r="N335" s="49">
        <v>6141.7525999999998</v>
      </c>
      <c r="P335" s="40">
        <v>256779421379</v>
      </c>
      <c r="Q335" s="47">
        <v>17313</v>
      </c>
      <c r="R335" s="47">
        <v>330</v>
      </c>
    </row>
    <row r="336" spans="1:18" x14ac:dyDescent="0.35">
      <c r="A336" s="50">
        <v>46008</v>
      </c>
      <c r="B336" s="23">
        <v>0</v>
      </c>
      <c r="C336" s="23">
        <v>1233.9521</v>
      </c>
      <c r="D336" s="23">
        <v>-477759.61439999961</v>
      </c>
      <c r="E336" s="22" t="s">
        <v>871</v>
      </c>
      <c r="F336" s="22" t="s">
        <v>500</v>
      </c>
      <c r="G336" s="22" t="s">
        <v>871</v>
      </c>
      <c r="H336" s="24">
        <v>256779416948</v>
      </c>
      <c r="I336" s="72"/>
      <c r="J336" s="72"/>
      <c r="L336" s="56" t="s">
        <v>970</v>
      </c>
      <c r="M336" s="49">
        <v>8812706.5199999996</v>
      </c>
      <c r="N336" s="49">
        <v>290729</v>
      </c>
      <c r="P336" s="40">
        <v>256779421381</v>
      </c>
      <c r="Q336" s="47">
        <v>4786</v>
      </c>
      <c r="R336" s="47">
        <v>0</v>
      </c>
    </row>
    <row r="337" spans="1:19" x14ac:dyDescent="0.35">
      <c r="A337" s="50">
        <v>46008</v>
      </c>
      <c r="B337" s="23">
        <v>0</v>
      </c>
      <c r="C337" s="23">
        <v>1992.7012</v>
      </c>
      <c r="D337" s="23">
        <v>-479752.31559999962</v>
      </c>
      <c r="E337" s="22" t="s">
        <v>872</v>
      </c>
      <c r="F337" s="22" t="s">
        <v>843</v>
      </c>
      <c r="G337" s="22" t="s">
        <v>872</v>
      </c>
      <c r="H337" s="24">
        <v>256779417261</v>
      </c>
      <c r="I337" s="72"/>
      <c r="J337" s="72"/>
      <c r="L337" s="56" t="s">
        <v>974</v>
      </c>
      <c r="M337" s="58">
        <v>636449</v>
      </c>
      <c r="N337" s="49">
        <v>503</v>
      </c>
      <c r="P337" s="40">
        <v>256779421383</v>
      </c>
      <c r="Q337" s="47">
        <v>12467</v>
      </c>
      <c r="R337" s="47">
        <v>0</v>
      </c>
    </row>
    <row r="338" spans="1:19" x14ac:dyDescent="0.35">
      <c r="A338" s="50">
        <v>46008</v>
      </c>
      <c r="B338" s="23">
        <v>0</v>
      </c>
      <c r="C338" s="23">
        <v>695663.66119999997</v>
      </c>
      <c r="D338" s="23">
        <v>-1175415.9768000001</v>
      </c>
      <c r="E338" s="22" t="s">
        <v>873</v>
      </c>
      <c r="F338" s="22" t="s">
        <v>841</v>
      </c>
      <c r="G338" s="22" t="s">
        <v>873</v>
      </c>
      <c r="H338" s="24">
        <v>256779417084</v>
      </c>
      <c r="I338" s="72"/>
      <c r="J338" s="72"/>
      <c r="L338" s="56" t="s">
        <v>971</v>
      </c>
      <c r="M338" s="49">
        <v>9479044.5199999996</v>
      </c>
      <c r="N338" s="49">
        <v>10968319.010100007</v>
      </c>
      <c r="P338" s="40">
        <v>256779440041</v>
      </c>
      <c r="Q338" s="47">
        <v>4174</v>
      </c>
      <c r="R338" s="47">
        <v>41446.745000000003</v>
      </c>
    </row>
    <row r="339" spans="1:19" x14ac:dyDescent="0.35">
      <c r="A339" s="50">
        <v>46008</v>
      </c>
      <c r="B339" s="23">
        <v>0</v>
      </c>
      <c r="C339" s="23">
        <v>1247.0791999999999</v>
      </c>
      <c r="D339" s="23">
        <v>-1176663.0560000001</v>
      </c>
      <c r="E339" s="22" t="s">
        <v>874</v>
      </c>
      <c r="F339" s="22" t="s">
        <v>573</v>
      </c>
      <c r="G339" s="22" t="s">
        <v>874</v>
      </c>
      <c r="H339" s="24">
        <v>256779417160</v>
      </c>
      <c r="I339" s="72"/>
      <c r="J339" s="72"/>
      <c r="P339" s="40">
        <v>256779440069</v>
      </c>
      <c r="Q339" s="47">
        <v>0</v>
      </c>
      <c r="R339" s="47">
        <v>1066.231</v>
      </c>
    </row>
    <row r="340" spans="1:19" x14ac:dyDescent="0.35">
      <c r="A340" s="50">
        <v>46008</v>
      </c>
      <c r="B340" s="23">
        <v>0</v>
      </c>
      <c r="C340" s="23">
        <v>59881.6803</v>
      </c>
      <c r="D340" s="23">
        <v>-1236544.7363</v>
      </c>
      <c r="E340" s="22" t="s">
        <v>875</v>
      </c>
      <c r="F340" s="22" t="s">
        <v>876</v>
      </c>
      <c r="G340" s="22" t="s">
        <v>875</v>
      </c>
      <c r="H340" s="24">
        <v>256779417166</v>
      </c>
      <c r="I340" s="72"/>
      <c r="J340" s="72"/>
      <c r="P340" s="40">
        <v>256779440118</v>
      </c>
      <c r="Q340" s="47">
        <v>181</v>
      </c>
      <c r="R340" s="47">
        <v>8983.0849999999991</v>
      </c>
    </row>
    <row r="341" spans="1:19" x14ac:dyDescent="0.35">
      <c r="A341" s="50">
        <v>46008</v>
      </c>
      <c r="B341" s="23">
        <v>0</v>
      </c>
      <c r="C341" s="23">
        <v>58594.344499999999</v>
      </c>
      <c r="D341" s="23">
        <v>-1295139.0807999989</v>
      </c>
      <c r="E341" s="22" t="s">
        <v>877</v>
      </c>
      <c r="F341" s="22" t="s">
        <v>507</v>
      </c>
      <c r="G341" s="22" t="s">
        <v>877</v>
      </c>
      <c r="H341" s="24">
        <v>256779417173</v>
      </c>
      <c r="I341" s="72"/>
      <c r="J341" s="72"/>
      <c r="P341" s="40">
        <v>256779440122</v>
      </c>
      <c r="Q341" s="47">
        <v>181</v>
      </c>
      <c r="R341" s="47">
        <v>11185.420599999999</v>
      </c>
    </row>
    <row r="342" spans="1:19" x14ac:dyDescent="0.35">
      <c r="A342" s="50">
        <v>46008</v>
      </c>
      <c r="B342" s="23">
        <v>0</v>
      </c>
      <c r="C342" s="23">
        <v>991.79819999999995</v>
      </c>
      <c r="D342" s="23">
        <v>-1296130.878999999</v>
      </c>
      <c r="E342" s="22" t="s">
        <v>878</v>
      </c>
      <c r="F342" s="22" t="s">
        <v>843</v>
      </c>
      <c r="G342" s="22" t="s">
        <v>878</v>
      </c>
      <c r="H342" s="24">
        <v>256779419248</v>
      </c>
      <c r="I342" s="72"/>
      <c r="J342" s="72"/>
      <c r="P342" s="40">
        <v>256779440210</v>
      </c>
      <c r="Q342" s="47">
        <v>181</v>
      </c>
      <c r="R342" s="47">
        <v>7063.8671999999997</v>
      </c>
    </row>
    <row r="343" spans="1:19" x14ac:dyDescent="0.35">
      <c r="A343" s="50">
        <v>46008</v>
      </c>
      <c r="B343" s="23">
        <v>0</v>
      </c>
      <c r="C343" s="23">
        <v>2793.2276000000002</v>
      </c>
      <c r="D343" s="23">
        <v>-1298924.1066000001</v>
      </c>
      <c r="E343" s="22" t="s">
        <v>879</v>
      </c>
      <c r="F343" s="22" t="s">
        <v>573</v>
      </c>
      <c r="G343" s="22" t="s">
        <v>879</v>
      </c>
      <c r="H343" s="24">
        <v>256779418819</v>
      </c>
      <c r="I343" s="72"/>
      <c r="J343" s="72"/>
      <c r="P343" s="40">
        <v>256779440383</v>
      </c>
      <c r="Q343" s="47">
        <v>90</v>
      </c>
      <c r="R343" s="47">
        <v>4904.3774000000003</v>
      </c>
    </row>
    <row r="344" spans="1:19" x14ac:dyDescent="0.35">
      <c r="A344" s="50">
        <v>46008</v>
      </c>
      <c r="B344" s="23">
        <v>0</v>
      </c>
      <c r="C344" s="23">
        <v>529469.75580000004</v>
      </c>
      <c r="D344" s="23">
        <v>-1828393.8624</v>
      </c>
      <c r="E344" s="22" t="s">
        <v>880</v>
      </c>
      <c r="F344" s="22" t="s">
        <v>841</v>
      </c>
      <c r="G344" s="22" t="s">
        <v>880</v>
      </c>
      <c r="H344" s="24">
        <v>256779418869</v>
      </c>
      <c r="I344" s="72"/>
      <c r="J344" s="72"/>
      <c r="P344" s="40">
        <v>256779440392</v>
      </c>
      <c r="Q344" s="47">
        <v>1089</v>
      </c>
      <c r="R344" s="47">
        <v>11313.937</v>
      </c>
      <c r="S344" s="51"/>
    </row>
    <row r="345" spans="1:19" x14ac:dyDescent="0.35">
      <c r="A345" s="50">
        <v>46008</v>
      </c>
      <c r="B345" s="23">
        <v>0</v>
      </c>
      <c r="C345" s="23">
        <v>9367.9609</v>
      </c>
      <c r="D345" s="23">
        <v>-1837761.8233</v>
      </c>
      <c r="E345" s="22" t="s">
        <v>881</v>
      </c>
      <c r="F345" s="22" t="s">
        <v>561</v>
      </c>
      <c r="G345" s="22" t="s">
        <v>881</v>
      </c>
      <c r="H345" s="24">
        <v>256779418897</v>
      </c>
      <c r="I345" s="72"/>
      <c r="J345" s="72"/>
      <c r="P345" s="40">
        <v>256779440394</v>
      </c>
      <c r="Q345" s="47">
        <v>1815</v>
      </c>
      <c r="R345" s="47">
        <v>18211.378000000001</v>
      </c>
    </row>
    <row r="346" spans="1:19" x14ac:dyDescent="0.35">
      <c r="A346" s="50">
        <v>46008</v>
      </c>
      <c r="B346" s="23">
        <v>0</v>
      </c>
      <c r="C346" s="23">
        <v>3014.1161000000002</v>
      </c>
      <c r="D346" s="23">
        <v>-1840775.9394</v>
      </c>
      <c r="E346" s="22" t="s">
        <v>882</v>
      </c>
      <c r="F346" s="22" t="s">
        <v>500</v>
      </c>
      <c r="G346" s="22" t="s">
        <v>882</v>
      </c>
      <c r="H346" s="24">
        <v>256779418906</v>
      </c>
      <c r="I346" s="72"/>
      <c r="J346" s="72"/>
      <c r="P346" s="40">
        <v>256779440413</v>
      </c>
      <c r="Q346" s="47">
        <v>181</v>
      </c>
      <c r="R346" s="47">
        <v>8983.0846000000001</v>
      </c>
    </row>
    <row r="347" spans="1:19" x14ac:dyDescent="0.35">
      <c r="A347" s="50">
        <v>46008</v>
      </c>
      <c r="B347" s="23">
        <v>0</v>
      </c>
      <c r="C347" s="23">
        <v>63274.437400000003</v>
      </c>
      <c r="D347" s="23">
        <v>-1904050.3768</v>
      </c>
      <c r="E347" s="22" t="s">
        <v>883</v>
      </c>
      <c r="F347" s="22" t="s">
        <v>507</v>
      </c>
      <c r="G347" s="22" t="s">
        <v>883</v>
      </c>
      <c r="H347" s="24">
        <v>256779419076</v>
      </c>
      <c r="I347" s="72"/>
      <c r="J347" s="72"/>
      <c r="P347" s="40">
        <v>256779440429</v>
      </c>
      <c r="Q347" s="47">
        <v>91</v>
      </c>
      <c r="R347" s="47">
        <v>6141.7525999999998</v>
      </c>
    </row>
    <row r="348" spans="1:19" x14ac:dyDescent="0.35">
      <c r="A348" s="50">
        <v>46008</v>
      </c>
      <c r="B348" s="23">
        <v>0</v>
      </c>
      <c r="C348" s="23">
        <v>26716.949199999999</v>
      </c>
      <c r="D348" s="23">
        <v>-1930767.325999999</v>
      </c>
      <c r="E348" s="22" t="s">
        <v>884</v>
      </c>
      <c r="F348" s="22" t="s">
        <v>852</v>
      </c>
      <c r="G348" s="22" t="s">
        <v>884</v>
      </c>
      <c r="H348" s="24">
        <v>256779419069</v>
      </c>
      <c r="I348" s="72"/>
      <c r="J348" s="72"/>
      <c r="P348" s="40" t="s">
        <v>773</v>
      </c>
      <c r="Q348" s="47">
        <v>15778</v>
      </c>
      <c r="R348" s="47">
        <v>0</v>
      </c>
    </row>
    <row r="349" spans="1:19" x14ac:dyDescent="0.35">
      <c r="A349" s="50">
        <v>46008</v>
      </c>
      <c r="B349" s="23">
        <v>0</v>
      </c>
      <c r="C349" s="23">
        <v>5909.4276</v>
      </c>
      <c r="D349" s="23">
        <v>-1936676.753599999</v>
      </c>
      <c r="E349" s="22" t="s">
        <v>885</v>
      </c>
      <c r="F349" s="22" t="s">
        <v>500</v>
      </c>
      <c r="G349" s="22" t="s">
        <v>885</v>
      </c>
      <c r="H349" s="24">
        <v>256779419172</v>
      </c>
      <c r="I349" s="72"/>
      <c r="J349" s="72"/>
      <c r="P349" s="40" t="s">
        <v>776</v>
      </c>
      <c r="Q349" s="47">
        <v>36410</v>
      </c>
      <c r="R349" s="47">
        <v>0</v>
      </c>
    </row>
    <row r="350" spans="1:19" x14ac:dyDescent="0.35">
      <c r="A350" s="50">
        <v>46008</v>
      </c>
      <c r="B350" s="23">
        <v>0</v>
      </c>
      <c r="C350" s="23">
        <v>39821.534</v>
      </c>
      <c r="D350" s="23">
        <v>-1976498.287599999</v>
      </c>
      <c r="E350" s="22" t="s">
        <v>886</v>
      </c>
      <c r="F350" s="22" t="s">
        <v>507</v>
      </c>
      <c r="G350" s="22" t="s">
        <v>886</v>
      </c>
      <c r="H350" s="24">
        <v>256779419556</v>
      </c>
      <c r="I350" s="72"/>
      <c r="J350" s="72"/>
      <c r="P350" s="40" t="s">
        <v>778</v>
      </c>
      <c r="Q350" s="47">
        <v>15401</v>
      </c>
      <c r="R350" s="47">
        <v>0</v>
      </c>
    </row>
    <row r="351" spans="1:19" x14ac:dyDescent="0.35">
      <c r="A351" s="50">
        <v>46008</v>
      </c>
      <c r="B351" s="23">
        <v>0</v>
      </c>
      <c r="C351" s="23">
        <v>29234.726200000001</v>
      </c>
      <c r="D351" s="23">
        <v>-2005733.0137999989</v>
      </c>
      <c r="E351" s="22" t="s">
        <v>887</v>
      </c>
      <c r="F351" s="22" t="s">
        <v>836</v>
      </c>
      <c r="G351" s="22" t="s">
        <v>887</v>
      </c>
      <c r="H351" s="24">
        <v>256779419588</v>
      </c>
      <c r="I351" s="72"/>
      <c r="J351" s="72"/>
      <c r="P351" s="40" t="s">
        <v>970</v>
      </c>
      <c r="Q351" s="47">
        <v>8812706.5199999996</v>
      </c>
      <c r="R351" s="47">
        <v>0</v>
      </c>
    </row>
    <row r="352" spans="1:19" x14ac:dyDescent="0.35">
      <c r="A352" s="50">
        <v>46008</v>
      </c>
      <c r="B352" s="23">
        <v>0</v>
      </c>
      <c r="C352" s="23">
        <v>897.63459999999998</v>
      </c>
      <c r="D352" s="23">
        <v>-2006630.6483999989</v>
      </c>
      <c r="E352" s="22" t="s">
        <v>888</v>
      </c>
      <c r="F352" s="22" t="s">
        <v>787</v>
      </c>
      <c r="G352" s="22" t="s">
        <v>888</v>
      </c>
      <c r="H352" s="24">
        <v>256779419628</v>
      </c>
      <c r="I352" s="72"/>
      <c r="J352" s="72"/>
      <c r="P352" s="40" t="s">
        <v>971</v>
      </c>
      <c r="Q352" s="47">
        <v>9479044.5199999996</v>
      </c>
      <c r="R352" s="47">
        <v>10968319.010100005</v>
      </c>
    </row>
    <row r="353" spans="1:10" x14ac:dyDescent="0.35">
      <c r="A353" s="50">
        <v>46009</v>
      </c>
      <c r="B353" s="23">
        <v>0</v>
      </c>
      <c r="C353" s="23">
        <v>20693.117099999999</v>
      </c>
      <c r="D353" s="23">
        <v>-2027323.765499999</v>
      </c>
      <c r="E353" s="22" t="s">
        <v>889</v>
      </c>
      <c r="F353" s="22" t="s">
        <v>573</v>
      </c>
      <c r="G353" s="22" t="s">
        <v>889</v>
      </c>
      <c r="H353" s="24">
        <v>256779419465</v>
      </c>
      <c r="I353" s="72"/>
      <c r="J353" s="72"/>
    </row>
    <row r="354" spans="1:10" x14ac:dyDescent="0.35">
      <c r="A354" s="50">
        <v>46009</v>
      </c>
      <c r="B354" s="23">
        <v>0</v>
      </c>
      <c r="C354" s="23">
        <v>14016.2999</v>
      </c>
      <c r="D354" s="23">
        <v>-2041340.065399999</v>
      </c>
      <c r="E354" s="22" t="s">
        <v>890</v>
      </c>
      <c r="F354" s="22" t="s">
        <v>828</v>
      </c>
      <c r="G354" s="22" t="s">
        <v>890</v>
      </c>
      <c r="H354" s="24">
        <v>256779419476</v>
      </c>
      <c r="I354" s="72"/>
      <c r="J354" s="72"/>
    </row>
    <row r="355" spans="1:10" x14ac:dyDescent="0.35">
      <c r="A355" s="50">
        <v>46009</v>
      </c>
      <c r="B355" s="23">
        <v>0</v>
      </c>
      <c r="C355" s="23">
        <v>7761.8990000000003</v>
      </c>
      <c r="D355" s="23">
        <v>-2049101.964399999</v>
      </c>
      <c r="E355" s="22" t="s">
        <v>891</v>
      </c>
      <c r="F355" s="22" t="s">
        <v>836</v>
      </c>
      <c r="G355" s="22" t="s">
        <v>891</v>
      </c>
      <c r="H355" s="24">
        <v>256779419534</v>
      </c>
      <c r="I355" s="72"/>
      <c r="J355" s="72"/>
    </row>
    <row r="356" spans="1:10" x14ac:dyDescent="0.35">
      <c r="A356" s="50">
        <v>46009</v>
      </c>
      <c r="B356" s="23">
        <v>0</v>
      </c>
      <c r="C356" s="23">
        <v>9417.2428</v>
      </c>
      <c r="D356" s="23">
        <v>-2058519.2071999989</v>
      </c>
      <c r="E356" s="22" t="s">
        <v>892</v>
      </c>
      <c r="F356" s="22" t="s">
        <v>704</v>
      </c>
      <c r="G356" s="22" t="s">
        <v>892</v>
      </c>
      <c r="H356" s="24">
        <v>256779419547</v>
      </c>
      <c r="I356" s="72"/>
      <c r="J356" s="72"/>
    </row>
    <row r="357" spans="1:10" x14ac:dyDescent="0.35">
      <c r="A357" s="50">
        <v>46009</v>
      </c>
      <c r="B357" s="23">
        <v>0</v>
      </c>
      <c r="C357" s="23">
        <v>27787.070400000001</v>
      </c>
      <c r="D357" s="23">
        <v>-2086306.277599999</v>
      </c>
      <c r="E357" s="22" t="s">
        <v>893</v>
      </c>
      <c r="F357" s="22" t="s">
        <v>876</v>
      </c>
      <c r="G357" s="22" t="s">
        <v>893</v>
      </c>
      <c r="H357" s="24">
        <v>256779419364</v>
      </c>
      <c r="I357" s="72"/>
      <c r="J357" s="72"/>
    </row>
    <row r="358" spans="1:10" x14ac:dyDescent="0.35">
      <c r="A358" s="50">
        <v>46009</v>
      </c>
      <c r="B358" s="23">
        <v>0</v>
      </c>
      <c r="C358" s="23">
        <v>11723.0177</v>
      </c>
      <c r="D358" s="23">
        <v>-2098029.295299999</v>
      </c>
      <c r="E358" s="22" t="s">
        <v>894</v>
      </c>
      <c r="F358" s="22" t="s">
        <v>507</v>
      </c>
      <c r="G358" s="22" t="s">
        <v>894</v>
      </c>
      <c r="H358" s="24">
        <v>256779413184</v>
      </c>
      <c r="I358" s="72"/>
      <c r="J358" s="72"/>
    </row>
    <row r="359" spans="1:10" x14ac:dyDescent="0.35">
      <c r="A359" s="50">
        <v>46010</v>
      </c>
      <c r="B359" s="23">
        <v>0</v>
      </c>
      <c r="C359" s="23">
        <v>61159.633500000004</v>
      </c>
      <c r="D359" s="23">
        <v>-2159188.9287999989</v>
      </c>
      <c r="E359" s="22" t="s">
        <v>895</v>
      </c>
      <c r="F359" s="22" t="s">
        <v>836</v>
      </c>
      <c r="G359" s="22" t="s">
        <v>895</v>
      </c>
      <c r="H359" s="24">
        <v>256779419867</v>
      </c>
      <c r="I359" s="72"/>
      <c r="J359" s="72"/>
    </row>
    <row r="360" spans="1:10" x14ac:dyDescent="0.35">
      <c r="A360" s="50">
        <v>46010</v>
      </c>
      <c r="B360" s="23">
        <v>0</v>
      </c>
      <c r="C360" s="23">
        <v>11115.014499999999</v>
      </c>
      <c r="D360" s="23">
        <v>-2170303.943299999</v>
      </c>
      <c r="E360" s="22" t="s">
        <v>896</v>
      </c>
      <c r="F360" s="22" t="s">
        <v>500</v>
      </c>
      <c r="G360" s="22" t="s">
        <v>896</v>
      </c>
      <c r="H360" s="24">
        <v>256779419916</v>
      </c>
      <c r="I360" s="72"/>
      <c r="J360" s="72"/>
    </row>
    <row r="361" spans="1:10" x14ac:dyDescent="0.35">
      <c r="A361" s="50">
        <v>46010</v>
      </c>
      <c r="B361" s="23">
        <v>0</v>
      </c>
      <c r="C361" s="23">
        <v>10489.678599999999</v>
      </c>
      <c r="D361" s="23">
        <v>-2180793.6219000001</v>
      </c>
      <c r="E361" s="22" t="s">
        <v>897</v>
      </c>
      <c r="F361" s="22" t="s">
        <v>852</v>
      </c>
      <c r="G361" s="22" t="s">
        <v>897</v>
      </c>
      <c r="H361" s="24">
        <v>256779419933</v>
      </c>
      <c r="I361" s="72"/>
      <c r="J361" s="72"/>
    </row>
    <row r="362" spans="1:10" x14ac:dyDescent="0.35">
      <c r="A362" s="50">
        <v>46010</v>
      </c>
      <c r="B362" s="23">
        <v>0</v>
      </c>
      <c r="C362" s="23">
        <v>28407.106800000001</v>
      </c>
      <c r="D362" s="23">
        <v>-2209200.7286999999</v>
      </c>
      <c r="E362" s="22" t="s">
        <v>898</v>
      </c>
      <c r="F362" s="22" t="s">
        <v>507</v>
      </c>
      <c r="G362" s="22" t="s">
        <v>898</v>
      </c>
      <c r="H362" s="24">
        <v>256779419795</v>
      </c>
      <c r="I362" s="72"/>
      <c r="J362" s="72"/>
    </row>
    <row r="363" spans="1:10" x14ac:dyDescent="0.35">
      <c r="A363" s="50">
        <v>46020</v>
      </c>
      <c r="B363" s="23">
        <v>4048</v>
      </c>
      <c r="C363" s="23">
        <v>40195.392399999997</v>
      </c>
      <c r="D363" s="23">
        <v>-2245348.1211000001</v>
      </c>
      <c r="E363" s="22" t="s">
        <v>899</v>
      </c>
      <c r="F363" s="22" t="s">
        <v>491</v>
      </c>
      <c r="G363" s="22" t="s">
        <v>900</v>
      </c>
      <c r="H363" s="24">
        <v>256779418802</v>
      </c>
      <c r="I363" s="72"/>
      <c r="J363" s="72"/>
    </row>
    <row r="364" spans="1:10" x14ac:dyDescent="0.35">
      <c r="A364" s="50">
        <v>46020</v>
      </c>
      <c r="B364" s="23">
        <v>0</v>
      </c>
      <c r="C364" s="23">
        <v>299.84859999999998</v>
      </c>
      <c r="D364" s="23">
        <v>-2245647.9696999998</v>
      </c>
      <c r="E364" s="22" t="s">
        <v>901</v>
      </c>
      <c r="F364" s="22" t="s">
        <v>828</v>
      </c>
      <c r="G364" s="22" t="s">
        <v>901</v>
      </c>
      <c r="H364" s="24">
        <v>256779418477</v>
      </c>
      <c r="I364" s="72"/>
      <c r="J364" s="72"/>
    </row>
    <row r="365" spans="1:10" x14ac:dyDescent="0.35">
      <c r="A365" s="50">
        <v>46020</v>
      </c>
      <c r="B365" s="23">
        <v>7320</v>
      </c>
      <c r="C365" s="23">
        <v>73283.168300000005</v>
      </c>
      <c r="D365" s="23">
        <v>-2311611.1379999998</v>
      </c>
      <c r="E365" s="22" t="s">
        <v>902</v>
      </c>
      <c r="F365" s="22" t="s">
        <v>507</v>
      </c>
      <c r="G365" s="22" t="s">
        <v>903</v>
      </c>
      <c r="H365" s="24">
        <v>246779418620</v>
      </c>
      <c r="I365" s="72"/>
      <c r="J365" s="72"/>
    </row>
    <row r="366" spans="1:10" x14ac:dyDescent="0.35">
      <c r="A366" s="50">
        <v>46020</v>
      </c>
      <c r="B366" s="23">
        <v>500000</v>
      </c>
      <c r="C366" s="23">
        <v>0</v>
      </c>
      <c r="D366" s="23">
        <v>-1811611.138</v>
      </c>
      <c r="E366" s="22" t="s">
        <v>904</v>
      </c>
      <c r="F366" s="22" t="s">
        <v>728</v>
      </c>
      <c r="G366" s="22"/>
      <c r="H366" s="24"/>
      <c r="I366" s="72"/>
      <c r="J366" s="72"/>
    </row>
    <row r="367" spans="1:10" x14ac:dyDescent="0.35">
      <c r="A367" s="50">
        <v>46020</v>
      </c>
      <c r="B367" s="23">
        <v>6</v>
      </c>
      <c r="C367" s="23">
        <v>306</v>
      </c>
      <c r="D367" s="23">
        <v>-1811911.138</v>
      </c>
      <c r="E367" s="22" t="s">
        <v>905</v>
      </c>
      <c r="F367" s="22" t="s">
        <v>828</v>
      </c>
      <c r="G367" s="22" t="s">
        <v>906</v>
      </c>
      <c r="H367" s="24">
        <v>256779418492</v>
      </c>
      <c r="I367" s="72"/>
      <c r="J367" s="72"/>
    </row>
    <row r="368" spans="1:10" x14ac:dyDescent="0.35">
      <c r="A368" s="50">
        <v>46021</v>
      </c>
      <c r="B368" s="23">
        <v>176</v>
      </c>
      <c r="C368" s="23">
        <v>7046.0609999999997</v>
      </c>
      <c r="D368" s="23">
        <v>-1818781.199</v>
      </c>
      <c r="E368" s="22" t="s">
        <v>907</v>
      </c>
      <c r="F368" s="22" t="s">
        <v>500</v>
      </c>
      <c r="G368" s="22" t="s">
        <v>908</v>
      </c>
      <c r="H368" s="24">
        <v>256779418437</v>
      </c>
      <c r="I368" s="72"/>
      <c r="J368" s="72"/>
    </row>
    <row r="369" spans="1:10" x14ac:dyDescent="0.35">
      <c r="A369" s="50">
        <v>46021</v>
      </c>
      <c r="B369" s="23">
        <v>88</v>
      </c>
      <c r="C369" s="23">
        <v>2901.2856000000002</v>
      </c>
      <c r="D369" s="23">
        <v>-1821594.4846000001</v>
      </c>
      <c r="E369" s="22" t="s">
        <v>909</v>
      </c>
      <c r="F369" s="22" t="s">
        <v>557</v>
      </c>
      <c r="G369" s="22" t="s">
        <v>910</v>
      </c>
      <c r="H369" s="24">
        <v>256779418428</v>
      </c>
      <c r="I369" s="72"/>
      <c r="J369" s="72"/>
    </row>
    <row r="370" spans="1:10" x14ac:dyDescent="0.35">
      <c r="A370" s="50">
        <v>46021</v>
      </c>
      <c r="B370" s="23">
        <v>0</v>
      </c>
      <c r="C370" s="23">
        <v>1036.08</v>
      </c>
      <c r="D370" s="23">
        <v>-1822630.5645999999</v>
      </c>
      <c r="E370" s="22" t="s">
        <v>911</v>
      </c>
      <c r="F370" s="22" t="s">
        <v>500</v>
      </c>
      <c r="G370" s="22" t="s">
        <v>911</v>
      </c>
      <c r="H370" s="24">
        <v>256779418351</v>
      </c>
      <c r="I370" s="72"/>
      <c r="J370" s="72"/>
    </row>
    <row r="371" spans="1:10" x14ac:dyDescent="0.35">
      <c r="A371" s="50">
        <v>46021</v>
      </c>
      <c r="B371" s="23">
        <v>970</v>
      </c>
      <c r="C371" s="23">
        <v>46651.936999999998</v>
      </c>
      <c r="D371" s="23">
        <v>-1868312.5016000001</v>
      </c>
      <c r="E371" s="22" t="s">
        <v>912</v>
      </c>
      <c r="F371" s="22" t="s">
        <v>573</v>
      </c>
      <c r="G371" s="22" t="s">
        <v>913</v>
      </c>
      <c r="H371" s="24">
        <v>256779418103</v>
      </c>
      <c r="I371" s="72"/>
      <c r="J371" s="72"/>
    </row>
    <row r="372" spans="1:10" x14ac:dyDescent="0.35">
      <c r="A372" s="50">
        <v>46021</v>
      </c>
      <c r="B372" s="23">
        <v>88</v>
      </c>
      <c r="C372" s="23">
        <v>6173.1630999999998</v>
      </c>
      <c r="D372" s="23">
        <v>-1874397.6647000001</v>
      </c>
      <c r="E372" s="22" t="s">
        <v>914</v>
      </c>
      <c r="F372" s="22" t="s">
        <v>915</v>
      </c>
      <c r="G372" s="22" t="s">
        <v>916</v>
      </c>
      <c r="H372" s="24">
        <v>256779418168</v>
      </c>
      <c r="I372" s="72"/>
      <c r="J372" s="72"/>
    </row>
    <row r="373" spans="1:10" x14ac:dyDescent="0.35">
      <c r="A373" s="50">
        <v>46021</v>
      </c>
      <c r="B373" s="23">
        <v>6791</v>
      </c>
      <c r="C373" s="23">
        <v>68060.655499999993</v>
      </c>
      <c r="D373" s="23">
        <v>-1935667.3202</v>
      </c>
      <c r="E373" s="22" t="s">
        <v>917</v>
      </c>
      <c r="F373" s="22" t="s">
        <v>507</v>
      </c>
      <c r="G373" s="22" t="s">
        <v>918</v>
      </c>
      <c r="H373" s="24">
        <v>256779418094</v>
      </c>
      <c r="I373" s="72"/>
      <c r="J373" s="72"/>
    </row>
    <row r="374" spans="1:10" x14ac:dyDescent="0.35">
      <c r="A374" s="50">
        <v>46021</v>
      </c>
      <c r="B374" s="23">
        <v>1058</v>
      </c>
      <c r="C374" s="23">
        <v>51397.291499999999</v>
      </c>
      <c r="D374" s="23">
        <v>-1986006.6117</v>
      </c>
      <c r="E374" s="22" t="s">
        <v>919</v>
      </c>
      <c r="F374" s="22" t="s">
        <v>500</v>
      </c>
      <c r="G374" s="22" t="s">
        <v>920</v>
      </c>
      <c r="H374" s="24">
        <v>256779417978</v>
      </c>
      <c r="I374" s="72"/>
      <c r="J374" s="72"/>
    </row>
    <row r="375" spans="1:10" x14ac:dyDescent="0.35">
      <c r="A375" s="50">
        <v>46021</v>
      </c>
      <c r="B375" s="23">
        <v>10</v>
      </c>
      <c r="C375" s="23">
        <v>506</v>
      </c>
      <c r="D375" s="23">
        <v>-1986502.6117</v>
      </c>
      <c r="E375" s="22" t="s">
        <v>921</v>
      </c>
      <c r="F375" s="22" t="s">
        <v>843</v>
      </c>
      <c r="G375" s="22" t="s">
        <v>922</v>
      </c>
      <c r="H375" s="24">
        <v>256779418103</v>
      </c>
      <c r="I375" s="72"/>
      <c r="J375" s="72"/>
    </row>
    <row r="376" spans="1:10" x14ac:dyDescent="0.35">
      <c r="A376" s="50">
        <v>46022</v>
      </c>
      <c r="B376" s="23">
        <v>1351</v>
      </c>
      <c r="C376" s="23">
        <v>67557</v>
      </c>
      <c r="D376" s="23">
        <v>-2052708.6117</v>
      </c>
      <c r="E376" s="22" t="s">
        <v>923</v>
      </c>
      <c r="F376" s="22" t="s">
        <v>561</v>
      </c>
      <c r="G376" s="22" t="s">
        <v>924</v>
      </c>
      <c r="H376" s="24">
        <v>256779416178</v>
      </c>
      <c r="I376" s="72"/>
      <c r="J376" s="72"/>
    </row>
    <row r="377" spans="1:10" x14ac:dyDescent="0.35">
      <c r="A377" s="50">
        <v>46022</v>
      </c>
      <c r="B377" s="23"/>
      <c r="C377" s="23"/>
      <c r="D377" s="23">
        <v>-2052708.6117</v>
      </c>
      <c r="E377" s="22" t="s">
        <v>925</v>
      </c>
      <c r="F377" s="22"/>
      <c r="G377" s="22" t="s">
        <v>926</v>
      </c>
      <c r="H377" s="24">
        <v>256779414288</v>
      </c>
      <c r="I377" s="72"/>
      <c r="J377" s="72"/>
    </row>
    <row r="378" spans="1:10" x14ac:dyDescent="0.35">
      <c r="A378" s="50">
        <v>46022</v>
      </c>
      <c r="B378" s="23"/>
      <c r="C378" s="23"/>
      <c r="D378" s="23">
        <v>-2052708.6117</v>
      </c>
      <c r="E378" s="22" t="s">
        <v>927</v>
      </c>
      <c r="F378" s="22"/>
      <c r="G378" s="22" t="s">
        <v>928</v>
      </c>
      <c r="H378" s="24">
        <v>256779417084</v>
      </c>
      <c r="I378" s="72"/>
      <c r="J378" s="72"/>
    </row>
    <row r="379" spans="1:10" x14ac:dyDescent="0.35">
      <c r="A379" s="50">
        <v>46022</v>
      </c>
      <c r="B379" s="23"/>
      <c r="C379" s="23"/>
      <c r="D379" s="23">
        <v>-2052708.6117</v>
      </c>
      <c r="E379" s="22" t="s">
        <v>929</v>
      </c>
      <c r="F379" s="22"/>
      <c r="G379" s="22" t="s">
        <v>930</v>
      </c>
      <c r="H379" s="24">
        <v>246779411314</v>
      </c>
      <c r="I379" s="72"/>
      <c r="J379" s="72"/>
    </row>
    <row r="380" spans="1:10" x14ac:dyDescent="0.35">
      <c r="A380" s="50">
        <v>46038</v>
      </c>
      <c r="B380" s="23">
        <v>4174</v>
      </c>
      <c r="C380" s="23">
        <v>41446.745000000003</v>
      </c>
      <c r="D380" s="23">
        <v>-2089981.3566999999</v>
      </c>
      <c r="E380" s="22" t="s">
        <v>931</v>
      </c>
      <c r="F380" s="22" t="s">
        <v>783</v>
      </c>
      <c r="G380" s="22" t="s">
        <v>932</v>
      </c>
      <c r="H380" s="24">
        <v>256779440041</v>
      </c>
      <c r="I380" s="72"/>
      <c r="J380" s="72"/>
    </row>
    <row r="381" spans="1:10" x14ac:dyDescent="0.35">
      <c r="A381" s="50">
        <v>46038</v>
      </c>
      <c r="B381" s="23">
        <v>0</v>
      </c>
      <c r="C381" s="23">
        <v>1066.231</v>
      </c>
      <c r="D381" s="23">
        <v>-2091047.5877</v>
      </c>
      <c r="E381" s="22" t="s">
        <v>933</v>
      </c>
      <c r="F381" s="22" t="s">
        <v>500</v>
      </c>
      <c r="G381" s="22" t="s">
        <v>933</v>
      </c>
      <c r="H381" s="24">
        <v>256779440069</v>
      </c>
      <c r="I381" s="72"/>
      <c r="J381" s="72"/>
    </row>
    <row r="382" spans="1:10" x14ac:dyDescent="0.35">
      <c r="A382" s="50">
        <v>46045</v>
      </c>
      <c r="B382" s="23">
        <v>181</v>
      </c>
      <c r="C382" s="23">
        <v>8983.0849999999991</v>
      </c>
      <c r="D382" s="23">
        <v>-2099849.6727</v>
      </c>
      <c r="E382" s="22" t="s">
        <v>934</v>
      </c>
      <c r="F382" s="22" t="s">
        <v>935</v>
      </c>
      <c r="G382" s="22" t="s">
        <v>936</v>
      </c>
      <c r="H382" s="24">
        <v>256779440118</v>
      </c>
      <c r="I382" s="72"/>
      <c r="J382" s="72"/>
    </row>
    <row r="383" spans="1:10" x14ac:dyDescent="0.35">
      <c r="A383" s="50">
        <v>46050</v>
      </c>
      <c r="B383" s="23">
        <v>674751</v>
      </c>
      <c r="C383" s="23">
        <v>0</v>
      </c>
      <c r="D383" s="23">
        <v>-1425098.6727</v>
      </c>
      <c r="E383" s="22" t="s">
        <v>937</v>
      </c>
      <c r="F383" s="22" t="s">
        <v>728</v>
      </c>
      <c r="G383" s="22" t="s">
        <v>873</v>
      </c>
      <c r="H383" s="24"/>
      <c r="I383" s="72"/>
      <c r="J383" s="72"/>
    </row>
    <row r="384" spans="1:10" x14ac:dyDescent="0.35">
      <c r="A384" s="50">
        <v>46057</v>
      </c>
      <c r="B384" s="23">
        <v>90</v>
      </c>
      <c r="C384" s="23">
        <v>4904.3774000000003</v>
      </c>
      <c r="D384" s="23">
        <v>-1429913.0501000001</v>
      </c>
      <c r="E384" s="22" t="s">
        <v>938</v>
      </c>
      <c r="F384" s="22" t="s">
        <v>939</v>
      </c>
      <c r="G384" s="22" t="s">
        <v>940</v>
      </c>
      <c r="H384" s="24">
        <v>256779440383</v>
      </c>
      <c r="I384" s="72"/>
      <c r="J384" s="72"/>
    </row>
    <row r="385" spans="1:10" x14ac:dyDescent="0.35">
      <c r="A385" s="50">
        <v>46057</v>
      </c>
      <c r="B385" s="23">
        <v>181</v>
      </c>
      <c r="C385" s="23">
        <v>8983.0846000000001</v>
      </c>
      <c r="D385" s="23">
        <v>-1438715.1347000001</v>
      </c>
      <c r="E385" s="22" t="s">
        <v>941</v>
      </c>
      <c r="F385" s="22" t="s">
        <v>942</v>
      </c>
      <c r="G385" s="22" t="s">
        <v>943</v>
      </c>
      <c r="H385" s="24">
        <v>256779440413</v>
      </c>
      <c r="I385" s="72"/>
      <c r="J385" s="72"/>
    </row>
    <row r="386" spans="1:10" x14ac:dyDescent="0.35">
      <c r="A386" s="50">
        <v>46057</v>
      </c>
      <c r="B386" s="23">
        <v>91</v>
      </c>
      <c r="C386" s="23">
        <v>6141.7525999999998</v>
      </c>
      <c r="D386" s="23">
        <v>-1444765.8873000001</v>
      </c>
      <c r="E386" s="22" t="s">
        <v>944</v>
      </c>
      <c r="F386" s="22" t="s">
        <v>500</v>
      </c>
      <c r="G386" s="22" t="s">
        <v>945</v>
      </c>
      <c r="H386" s="24">
        <v>256779440429</v>
      </c>
      <c r="I386" s="72"/>
      <c r="J386" s="72"/>
    </row>
    <row r="387" spans="1:10" x14ac:dyDescent="0.35">
      <c r="A387" s="50">
        <v>46057</v>
      </c>
      <c r="B387" s="23">
        <v>1815</v>
      </c>
      <c r="C387" s="23">
        <v>18211.378000000001</v>
      </c>
      <c r="D387" s="23">
        <v>-1461162.2653000001</v>
      </c>
      <c r="E387" s="22" t="s">
        <v>946</v>
      </c>
      <c r="F387" s="22" t="s">
        <v>507</v>
      </c>
      <c r="G387" s="22" t="s">
        <v>947</v>
      </c>
      <c r="H387" s="24">
        <v>256779440394</v>
      </c>
      <c r="I387" s="72"/>
      <c r="J387" s="72"/>
    </row>
    <row r="388" spans="1:10" x14ac:dyDescent="0.35">
      <c r="A388" s="50">
        <v>46057</v>
      </c>
      <c r="B388" s="23">
        <v>1089</v>
      </c>
      <c r="C388" s="23">
        <v>11313.937</v>
      </c>
      <c r="D388" s="23">
        <v>-1471387.2023</v>
      </c>
      <c r="E388" s="22" t="s">
        <v>948</v>
      </c>
      <c r="F388" s="22" t="s">
        <v>949</v>
      </c>
      <c r="G388" s="22" t="s">
        <v>950</v>
      </c>
      <c r="H388" s="24">
        <v>256779440392</v>
      </c>
      <c r="I388" s="72"/>
      <c r="J388" s="72"/>
    </row>
    <row r="389" spans="1:10" x14ac:dyDescent="0.35">
      <c r="A389" s="50">
        <v>46058</v>
      </c>
      <c r="B389" s="23">
        <v>181</v>
      </c>
      <c r="C389" s="23">
        <v>7063.8671999999997</v>
      </c>
      <c r="D389" s="23">
        <v>-1478270.0695</v>
      </c>
      <c r="E389" s="22" t="s">
        <v>951</v>
      </c>
      <c r="F389" s="22" t="s">
        <v>559</v>
      </c>
      <c r="G389" s="22" t="s">
        <v>952</v>
      </c>
      <c r="H389" s="24">
        <v>256779440210</v>
      </c>
      <c r="I389" s="72"/>
      <c r="J389" s="72"/>
    </row>
    <row r="390" spans="1:10" x14ac:dyDescent="0.35">
      <c r="A390" s="50">
        <v>46058</v>
      </c>
      <c r="B390" s="23">
        <v>181</v>
      </c>
      <c r="C390" s="23">
        <v>11185.420599999999</v>
      </c>
      <c r="D390" s="23">
        <v>-1489274.4901000001</v>
      </c>
      <c r="E390" s="22" t="s">
        <v>953</v>
      </c>
      <c r="F390" s="22" t="s">
        <v>949</v>
      </c>
      <c r="G390" s="22" t="s">
        <v>954</v>
      </c>
      <c r="H390" s="24">
        <v>256779440122</v>
      </c>
      <c r="I390" s="72"/>
      <c r="J390" s="72"/>
    </row>
  </sheetData>
  <autoFilter ref="A2:H390" xr:uid="{2BCD1B00-74AB-43BA-A4B9-8AFCD4858E04}"/>
  <conditionalFormatting sqref="H2:J236 H267:J390 I237:J266">
    <cfRule type="duplicateValues" dxfId="2" priority="2"/>
  </conditionalFormatting>
  <conditionalFormatting sqref="G1:G1048576">
    <cfRule type="duplicateValues" dxfId="1" priority="1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F18B-6637-4F91-BB8B-08A98E32E4D7}">
  <sheetPr filterMode="1"/>
  <dimension ref="A1:N389"/>
  <sheetViews>
    <sheetView zoomScaleNormal="100" workbookViewId="0">
      <selection activeCell="M108" sqref="A1:M389"/>
    </sheetView>
  </sheetViews>
  <sheetFormatPr defaultRowHeight="14.5" x14ac:dyDescent="0.35"/>
  <cols>
    <col min="1" max="1" width="11.1796875" bestFit="1" customWidth="1"/>
    <col min="2" max="2" width="22.81640625" bestFit="1" customWidth="1"/>
    <col min="3" max="3" width="12.453125" bestFit="1" customWidth="1"/>
    <col min="4" max="4" width="14.1796875" bestFit="1" customWidth="1"/>
    <col min="5" max="5" width="17.26953125" customWidth="1"/>
    <col min="6" max="6" width="14.81640625" hidden="1" customWidth="1"/>
    <col min="7" max="7" width="15" hidden="1" customWidth="1"/>
    <col min="8" max="8" width="19.1796875" hidden="1" customWidth="1"/>
    <col min="9" max="9" width="41.54296875" customWidth="1"/>
    <col min="10" max="10" width="9.54296875" hidden="1" customWidth="1"/>
    <col min="11" max="11" width="32.81640625" hidden="1" customWidth="1"/>
    <col min="12" max="12" width="17.7265625" customWidth="1"/>
    <col min="13" max="13" width="16.26953125" customWidth="1"/>
    <col min="14" max="14" width="19.6328125" bestFit="1" customWidth="1"/>
    <col min="15" max="15" width="18.90625" bestFit="1" customWidth="1"/>
    <col min="16" max="16" width="17.54296875" bestFit="1" customWidth="1"/>
    <col min="17" max="17" width="17" bestFit="1" customWidth="1"/>
  </cols>
  <sheetData>
    <row r="1" spans="1:14" x14ac:dyDescent="0.35">
      <c r="A1" s="22" t="s">
        <v>14</v>
      </c>
      <c r="B1" s="22" t="s">
        <v>477</v>
      </c>
      <c r="C1" s="22" t="s">
        <v>478</v>
      </c>
      <c r="D1" s="22" t="s">
        <v>479</v>
      </c>
      <c r="E1" s="22" t="s">
        <v>480</v>
      </c>
      <c r="F1" s="22" t="s">
        <v>481</v>
      </c>
      <c r="G1" s="22" t="s">
        <v>482</v>
      </c>
      <c r="H1" s="22" t="s">
        <v>483</v>
      </c>
      <c r="I1" s="22" t="s">
        <v>484</v>
      </c>
      <c r="J1" s="22" t="s">
        <v>485</v>
      </c>
      <c r="K1" s="22" t="s">
        <v>486</v>
      </c>
      <c r="L1" s="22" t="s">
        <v>487</v>
      </c>
      <c r="M1" s="24" t="s">
        <v>488</v>
      </c>
    </row>
    <row r="2" spans="1:14" hidden="1" x14ac:dyDescent="0.35">
      <c r="A2" s="50">
        <v>45708</v>
      </c>
      <c r="B2" s="22" t="s">
        <v>489</v>
      </c>
      <c r="C2" s="23">
        <v>0</v>
      </c>
      <c r="D2" s="23">
        <v>35554.519999999997</v>
      </c>
      <c r="E2" s="23">
        <v>-35554.519999999997</v>
      </c>
      <c r="F2" s="22" t="s">
        <v>3</v>
      </c>
      <c r="G2" s="22" t="s">
        <v>3</v>
      </c>
      <c r="H2" s="22" t="s">
        <v>490</v>
      </c>
      <c r="I2" s="22" t="s">
        <v>491</v>
      </c>
      <c r="J2" s="22" t="s">
        <v>492</v>
      </c>
      <c r="K2" s="22" t="s">
        <v>493</v>
      </c>
      <c r="L2" s="22" t="s">
        <v>490</v>
      </c>
      <c r="M2" s="24">
        <v>246779410049</v>
      </c>
      <c r="N2" s="47"/>
    </row>
    <row r="3" spans="1:14" hidden="1" x14ac:dyDescent="0.35">
      <c r="A3" s="50">
        <v>45708</v>
      </c>
      <c r="B3" s="22" t="s">
        <v>489</v>
      </c>
      <c r="C3" s="23">
        <v>0</v>
      </c>
      <c r="D3" s="23">
        <v>35554.519999999997</v>
      </c>
      <c r="E3" s="23">
        <v>-71109.039999999994</v>
      </c>
      <c r="F3" s="22" t="s">
        <v>3</v>
      </c>
      <c r="G3" s="22" t="s">
        <v>3</v>
      </c>
      <c r="H3" s="22" t="s">
        <v>494</v>
      </c>
      <c r="I3" s="22" t="s">
        <v>491</v>
      </c>
      <c r="J3" s="22" t="s">
        <v>492</v>
      </c>
      <c r="K3" s="22" t="s">
        <v>493</v>
      </c>
      <c r="L3" s="22" t="s">
        <v>494</v>
      </c>
      <c r="M3" s="24">
        <v>246779410303</v>
      </c>
      <c r="N3" s="47"/>
    </row>
    <row r="4" spans="1:14" x14ac:dyDescent="0.35">
      <c r="A4" s="50">
        <v>45708</v>
      </c>
      <c r="B4" s="22" t="s">
        <v>489</v>
      </c>
      <c r="C4" s="23">
        <v>0</v>
      </c>
      <c r="D4" s="23">
        <v>35554.519999999997</v>
      </c>
      <c r="E4" s="23">
        <v>-106663.56</v>
      </c>
      <c r="F4" s="22" t="s">
        <v>3</v>
      </c>
      <c r="G4" s="22" t="s">
        <v>3</v>
      </c>
      <c r="H4" s="22" t="s">
        <v>495</v>
      </c>
      <c r="I4" s="22" t="s">
        <v>491</v>
      </c>
      <c r="J4" s="22" t="s">
        <v>492</v>
      </c>
      <c r="K4" s="22" t="s">
        <v>493</v>
      </c>
      <c r="L4" s="22" t="s">
        <v>495</v>
      </c>
      <c r="M4" s="24">
        <v>246779410117</v>
      </c>
      <c r="N4" s="47"/>
    </row>
    <row r="5" spans="1:14" hidden="1" x14ac:dyDescent="0.35">
      <c r="A5" s="50">
        <v>45708</v>
      </c>
      <c r="B5" s="22" t="s">
        <v>489</v>
      </c>
      <c r="C5" s="23">
        <v>0</v>
      </c>
      <c r="D5" s="23">
        <v>35554.519999999997</v>
      </c>
      <c r="E5" s="23">
        <v>-142218.07999999999</v>
      </c>
      <c r="F5" s="22" t="s">
        <v>3</v>
      </c>
      <c r="G5" s="22" t="s">
        <v>3</v>
      </c>
      <c r="H5" s="22" t="s">
        <v>496</v>
      </c>
      <c r="I5" s="22" t="s">
        <v>491</v>
      </c>
      <c r="J5" s="22" t="s">
        <v>492</v>
      </c>
      <c r="K5" s="22" t="s">
        <v>493</v>
      </c>
      <c r="L5" s="22" t="s">
        <v>496</v>
      </c>
      <c r="M5" s="24">
        <v>246779410160</v>
      </c>
      <c r="N5" s="47"/>
    </row>
    <row r="6" spans="1:14" hidden="1" x14ac:dyDescent="0.35">
      <c r="A6" s="50">
        <v>45708</v>
      </c>
      <c r="B6" s="22" t="s">
        <v>489</v>
      </c>
      <c r="C6" s="23">
        <v>0</v>
      </c>
      <c r="D6" s="23">
        <v>35554.519999999997</v>
      </c>
      <c r="E6" s="23">
        <v>-177772.6</v>
      </c>
      <c r="F6" s="22" t="s">
        <v>3</v>
      </c>
      <c r="G6" s="22" t="s">
        <v>3</v>
      </c>
      <c r="H6" s="22" t="s">
        <v>497</v>
      </c>
      <c r="I6" s="22" t="s">
        <v>491</v>
      </c>
      <c r="J6" s="22" t="s">
        <v>492</v>
      </c>
      <c r="K6" s="22" t="s">
        <v>493</v>
      </c>
      <c r="L6" s="22" t="s">
        <v>497</v>
      </c>
      <c r="M6" s="24">
        <v>246779410203</v>
      </c>
      <c r="N6" s="47"/>
    </row>
    <row r="7" spans="1:14" hidden="1" x14ac:dyDescent="0.35">
      <c r="A7" s="50">
        <v>45708</v>
      </c>
      <c r="B7" s="22" t="s">
        <v>489</v>
      </c>
      <c r="C7" s="23">
        <v>0</v>
      </c>
      <c r="D7" s="23">
        <v>35554.519999999997</v>
      </c>
      <c r="E7" s="23">
        <v>-213327.12</v>
      </c>
      <c r="F7" s="22" t="s">
        <v>3</v>
      </c>
      <c r="G7" s="22" t="s">
        <v>3</v>
      </c>
      <c r="H7" s="22" t="s">
        <v>498</v>
      </c>
      <c r="I7" s="22" t="s">
        <v>491</v>
      </c>
      <c r="J7" s="22" t="s">
        <v>492</v>
      </c>
      <c r="K7" s="22" t="s">
        <v>493</v>
      </c>
      <c r="L7" s="22" t="s">
        <v>498</v>
      </c>
      <c r="M7" s="24">
        <v>246779410246</v>
      </c>
      <c r="N7" s="47"/>
    </row>
    <row r="8" spans="1:14" hidden="1" x14ac:dyDescent="0.35">
      <c r="A8" s="50">
        <v>45719</v>
      </c>
      <c r="B8" s="22" t="s">
        <v>489</v>
      </c>
      <c r="C8" s="23">
        <v>0</v>
      </c>
      <c r="D8" s="23">
        <v>804</v>
      </c>
      <c r="E8" s="23">
        <v>-214131.12</v>
      </c>
      <c r="F8" s="22" t="s">
        <v>3</v>
      </c>
      <c r="G8" s="22" t="s">
        <v>3</v>
      </c>
      <c r="H8" s="22" t="s">
        <v>499</v>
      </c>
      <c r="I8" s="22" t="s">
        <v>500</v>
      </c>
      <c r="J8" s="22" t="s">
        <v>492</v>
      </c>
      <c r="K8" s="22" t="s">
        <v>493</v>
      </c>
      <c r="L8" s="22" t="s">
        <v>499</v>
      </c>
      <c r="M8" s="24">
        <v>246779410613</v>
      </c>
      <c r="N8" s="47"/>
    </row>
    <row r="9" spans="1:14" hidden="1" x14ac:dyDescent="0.35">
      <c r="A9" s="50">
        <v>45719</v>
      </c>
      <c r="B9" s="22" t="s">
        <v>489</v>
      </c>
      <c r="C9" s="23">
        <v>0</v>
      </c>
      <c r="D9" s="23">
        <v>1004</v>
      </c>
      <c r="E9" s="23">
        <v>-215135.12</v>
      </c>
      <c r="F9" s="22" t="s">
        <v>3</v>
      </c>
      <c r="G9" s="22" t="s">
        <v>3</v>
      </c>
      <c r="H9" s="22" t="s">
        <v>501</v>
      </c>
      <c r="I9" s="22" t="s">
        <v>500</v>
      </c>
      <c r="J9" s="22" t="s">
        <v>492</v>
      </c>
      <c r="K9" s="22" t="s">
        <v>493</v>
      </c>
      <c r="L9" s="22" t="s">
        <v>501</v>
      </c>
      <c r="M9" s="24">
        <v>246779410612</v>
      </c>
      <c r="N9" s="47"/>
    </row>
    <row r="10" spans="1:14" hidden="1" x14ac:dyDescent="0.35">
      <c r="A10" s="50">
        <v>45719</v>
      </c>
      <c r="B10" s="22" t="s">
        <v>489</v>
      </c>
      <c r="C10" s="23">
        <v>0</v>
      </c>
      <c r="D10" s="23">
        <v>402</v>
      </c>
      <c r="E10" s="23">
        <v>-215537.12</v>
      </c>
      <c r="F10" s="22" t="s">
        <v>3</v>
      </c>
      <c r="G10" s="22" t="s">
        <v>3</v>
      </c>
      <c r="H10" s="22" t="s">
        <v>502</v>
      </c>
      <c r="I10" s="22" t="s">
        <v>500</v>
      </c>
      <c r="J10" s="22" t="s">
        <v>492</v>
      </c>
      <c r="K10" s="22" t="s">
        <v>493</v>
      </c>
      <c r="L10" s="22" t="s">
        <v>502</v>
      </c>
      <c r="M10" s="24">
        <v>246779410611</v>
      </c>
      <c r="N10" s="47"/>
    </row>
    <row r="11" spans="1:14" hidden="1" x14ac:dyDescent="0.35">
      <c r="A11" s="50">
        <v>45719</v>
      </c>
      <c r="B11" s="22" t="s">
        <v>489</v>
      </c>
      <c r="C11" s="23">
        <v>0</v>
      </c>
      <c r="D11" s="23">
        <v>201</v>
      </c>
      <c r="E11" s="23">
        <v>-215738.12</v>
      </c>
      <c r="F11" s="22" t="s">
        <v>3</v>
      </c>
      <c r="G11" s="22" t="s">
        <v>3</v>
      </c>
      <c r="H11" s="22" t="s">
        <v>503</v>
      </c>
      <c r="I11" s="22" t="s">
        <v>500</v>
      </c>
      <c r="J11" s="22" t="s">
        <v>492</v>
      </c>
      <c r="K11" s="22" t="s">
        <v>493</v>
      </c>
      <c r="L11" s="22" t="s">
        <v>503</v>
      </c>
      <c r="M11" s="24">
        <v>246779410610</v>
      </c>
      <c r="N11" s="47"/>
    </row>
    <row r="12" spans="1:14" hidden="1" x14ac:dyDescent="0.35">
      <c r="A12" s="50">
        <v>45719</v>
      </c>
      <c r="B12" s="22" t="s">
        <v>489</v>
      </c>
      <c r="C12" s="23">
        <v>0</v>
      </c>
      <c r="D12" s="23">
        <v>804</v>
      </c>
      <c r="E12" s="23">
        <v>-216542.12</v>
      </c>
      <c r="F12" s="22" t="s">
        <v>3</v>
      </c>
      <c r="G12" s="22" t="s">
        <v>3</v>
      </c>
      <c r="H12" s="22" t="s">
        <v>504</v>
      </c>
      <c r="I12" s="22" t="s">
        <v>500</v>
      </c>
      <c r="J12" s="22" t="s">
        <v>492</v>
      </c>
      <c r="K12" s="22" t="s">
        <v>493</v>
      </c>
      <c r="L12" s="22" t="s">
        <v>504</v>
      </c>
      <c r="M12" s="24">
        <v>246779410608</v>
      </c>
      <c r="N12" s="47"/>
    </row>
    <row r="13" spans="1:14" hidden="1" x14ac:dyDescent="0.35">
      <c r="A13" s="50">
        <v>45719</v>
      </c>
      <c r="B13" s="22" t="s">
        <v>489</v>
      </c>
      <c r="C13" s="23">
        <v>0</v>
      </c>
      <c r="D13" s="23">
        <v>402</v>
      </c>
      <c r="E13" s="23">
        <v>-216944.12</v>
      </c>
      <c r="F13" s="22" t="s">
        <v>3</v>
      </c>
      <c r="G13" s="22" t="s">
        <v>3</v>
      </c>
      <c r="H13" s="22" t="s">
        <v>505</v>
      </c>
      <c r="I13" s="22" t="s">
        <v>500</v>
      </c>
      <c r="J13" s="22" t="s">
        <v>492</v>
      </c>
      <c r="K13" s="22" t="s">
        <v>493</v>
      </c>
      <c r="L13" s="22" t="s">
        <v>505</v>
      </c>
      <c r="M13" s="24">
        <v>246779410607</v>
      </c>
      <c r="N13" s="47"/>
    </row>
    <row r="14" spans="1:14" hidden="1" x14ac:dyDescent="0.35">
      <c r="A14" s="50">
        <v>45719</v>
      </c>
      <c r="B14" s="22" t="s">
        <v>489</v>
      </c>
      <c r="C14" s="23">
        <v>0</v>
      </c>
      <c r="D14" s="23">
        <v>580687</v>
      </c>
      <c r="E14" s="23">
        <v>-797631.12</v>
      </c>
      <c r="F14" s="22" t="s">
        <v>3</v>
      </c>
      <c r="G14" s="22" t="s">
        <v>3</v>
      </c>
      <c r="H14" s="22" t="s">
        <v>506</v>
      </c>
      <c r="I14" s="22" t="s">
        <v>507</v>
      </c>
      <c r="J14" s="22" t="s">
        <v>492</v>
      </c>
      <c r="K14" s="22" t="s">
        <v>493</v>
      </c>
      <c r="L14" s="22" t="s">
        <v>506</v>
      </c>
      <c r="M14" s="24">
        <v>246779410404</v>
      </c>
      <c r="N14" s="47"/>
    </row>
    <row r="15" spans="1:14" hidden="1" x14ac:dyDescent="0.35">
      <c r="A15" s="50">
        <v>45719</v>
      </c>
      <c r="B15" s="22" t="s">
        <v>489</v>
      </c>
      <c r="C15" s="23">
        <v>0</v>
      </c>
      <c r="D15" s="23">
        <v>340227</v>
      </c>
      <c r="E15" s="23">
        <v>-1137858.1200000001</v>
      </c>
      <c r="F15" s="22" t="s">
        <v>3</v>
      </c>
      <c r="G15" s="22" t="s">
        <v>3</v>
      </c>
      <c r="H15" s="22" t="s">
        <v>508</v>
      </c>
      <c r="I15" s="22" t="s">
        <v>507</v>
      </c>
      <c r="J15" s="22" t="s">
        <v>492</v>
      </c>
      <c r="K15" s="22" t="s">
        <v>493</v>
      </c>
      <c r="L15" s="22" t="s">
        <v>508</v>
      </c>
      <c r="M15" s="24">
        <v>246779410428</v>
      </c>
      <c r="N15" s="47"/>
    </row>
    <row r="16" spans="1:14" hidden="1" x14ac:dyDescent="0.35">
      <c r="A16" s="50">
        <v>45719</v>
      </c>
      <c r="B16" s="22" t="s">
        <v>489</v>
      </c>
      <c r="C16" s="23">
        <v>0</v>
      </c>
      <c r="D16" s="23">
        <v>460370</v>
      </c>
      <c r="E16" s="23">
        <v>-1598228.12</v>
      </c>
      <c r="F16" s="22" t="s">
        <v>3</v>
      </c>
      <c r="G16" s="22" t="s">
        <v>3</v>
      </c>
      <c r="H16" s="22" t="s">
        <v>509</v>
      </c>
      <c r="I16" s="22" t="s">
        <v>507</v>
      </c>
      <c r="J16" s="22" t="s">
        <v>492</v>
      </c>
      <c r="K16" s="22" t="s">
        <v>493</v>
      </c>
      <c r="L16" s="22" t="s">
        <v>509</v>
      </c>
      <c r="M16" s="24">
        <v>246779410379</v>
      </c>
      <c r="N16" s="47"/>
    </row>
    <row r="17" spans="1:14" hidden="1" x14ac:dyDescent="0.35">
      <c r="A17" s="50">
        <v>45719</v>
      </c>
      <c r="B17" s="22" t="s">
        <v>489</v>
      </c>
      <c r="C17" s="23">
        <v>0</v>
      </c>
      <c r="D17" s="23">
        <v>2009</v>
      </c>
      <c r="E17" s="23">
        <v>-1600237.12</v>
      </c>
      <c r="F17" s="22" t="s">
        <v>3</v>
      </c>
      <c r="G17" s="22" t="s">
        <v>3</v>
      </c>
      <c r="H17" s="22" t="s">
        <v>510</v>
      </c>
      <c r="I17" s="22" t="s">
        <v>500</v>
      </c>
      <c r="J17" s="22" t="s">
        <v>492</v>
      </c>
      <c r="K17" s="22" t="s">
        <v>493</v>
      </c>
      <c r="L17" s="22" t="s">
        <v>510</v>
      </c>
      <c r="M17" s="24">
        <v>246779410605</v>
      </c>
      <c r="N17" s="47"/>
    </row>
    <row r="18" spans="1:14" hidden="1" x14ac:dyDescent="0.35">
      <c r="A18" s="50">
        <v>45719</v>
      </c>
      <c r="B18" s="22" t="s">
        <v>489</v>
      </c>
      <c r="C18" s="23">
        <v>0</v>
      </c>
      <c r="D18" s="23">
        <v>402</v>
      </c>
      <c r="E18" s="23">
        <v>-1600639.12</v>
      </c>
      <c r="F18" s="22" t="s">
        <v>3</v>
      </c>
      <c r="G18" s="22" t="s">
        <v>3</v>
      </c>
      <c r="H18" s="22" t="s">
        <v>511</v>
      </c>
      <c r="I18" s="22" t="s">
        <v>500</v>
      </c>
      <c r="J18" s="22" t="s">
        <v>492</v>
      </c>
      <c r="K18" s="22" t="s">
        <v>493</v>
      </c>
      <c r="L18" s="22" t="s">
        <v>511</v>
      </c>
      <c r="M18" s="24">
        <v>246779410606</v>
      </c>
      <c r="N18" s="47"/>
    </row>
    <row r="19" spans="1:14" hidden="1" x14ac:dyDescent="0.35">
      <c r="A19" s="50">
        <v>45719</v>
      </c>
      <c r="B19" s="22" t="s">
        <v>489</v>
      </c>
      <c r="C19" s="23">
        <v>0</v>
      </c>
      <c r="D19" s="23">
        <v>2009</v>
      </c>
      <c r="E19" s="23">
        <v>-1602648.12</v>
      </c>
      <c r="F19" s="22" t="s">
        <v>3</v>
      </c>
      <c r="G19" s="22" t="s">
        <v>3</v>
      </c>
      <c r="H19" s="22" t="s">
        <v>512</v>
      </c>
      <c r="I19" s="22" t="s">
        <v>500</v>
      </c>
      <c r="J19" s="22" t="s">
        <v>492</v>
      </c>
      <c r="K19" s="22" t="s">
        <v>493</v>
      </c>
      <c r="L19" s="22" t="s">
        <v>512</v>
      </c>
      <c r="M19" s="24">
        <v>246779410495</v>
      </c>
      <c r="N19" s="47"/>
    </row>
    <row r="20" spans="1:14" hidden="1" x14ac:dyDescent="0.35">
      <c r="A20" s="50">
        <v>45719</v>
      </c>
      <c r="B20" s="22" t="s">
        <v>489</v>
      </c>
      <c r="C20" s="23">
        <v>0</v>
      </c>
      <c r="D20" s="23">
        <v>201</v>
      </c>
      <c r="E20" s="23">
        <v>-1602849.12</v>
      </c>
      <c r="F20" s="22" t="s">
        <v>3</v>
      </c>
      <c r="G20" s="22" t="s">
        <v>3</v>
      </c>
      <c r="H20" s="22" t="s">
        <v>513</v>
      </c>
      <c r="I20" s="22" t="s">
        <v>500</v>
      </c>
      <c r="J20" s="22" t="s">
        <v>492</v>
      </c>
      <c r="K20" s="22" t="s">
        <v>493</v>
      </c>
      <c r="L20" s="22" t="s">
        <v>513</v>
      </c>
      <c r="M20" s="24">
        <v>246779410494</v>
      </c>
      <c r="N20" s="47"/>
    </row>
    <row r="21" spans="1:14" hidden="1" x14ac:dyDescent="0.35">
      <c r="A21" s="50">
        <v>45719</v>
      </c>
      <c r="B21" s="22" t="s">
        <v>489</v>
      </c>
      <c r="C21" s="23">
        <v>0</v>
      </c>
      <c r="D21" s="23">
        <v>201</v>
      </c>
      <c r="E21" s="23">
        <v>-1603050.12</v>
      </c>
      <c r="F21" s="22" t="s">
        <v>3</v>
      </c>
      <c r="G21" s="22" t="s">
        <v>3</v>
      </c>
      <c r="H21" s="22" t="s">
        <v>514</v>
      </c>
      <c r="I21" s="22" t="s">
        <v>500</v>
      </c>
      <c r="J21" s="22" t="s">
        <v>492</v>
      </c>
      <c r="K21" s="22" t="s">
        <v>493</v>
      </c>
      <c r="L21" s="22" t="s">
        <v>514</v>
      </c>
      <c r="M21" s="24">
        <v>246779410496</v>
      </c>
      <c r="N21" s="47"/>
    </row>
    <row r="22" spans="1:14" hidden="1" x14ac:dyDescent="0.35">
      <c r="A22" s="50">
        <v>45719</v>
      </c>
      <c r="B22" s="22" t="s">
        <v>489</v>
      </c>
      <c r="C22" s="23">
        <v>0</v>
      </c>
      <c r="D22" s="23">
        <v>201</v>
      </c>
      <c r="E22" s="23">
        <v>-1603251.12</v>
      </c>
      <c r="F22" s="22" t="s">
        <v>3</v>
      </c>
      <c r="G22" s="22" t="s">
        <v>3</v>
      </c>
      <c r="H22" s="22" t="s">
        <v>515</v>
      </c>
      <c r="I22" s="22" t="s">
        <v>500</v>
      </c>
      <c r="J22" s="22" t="s">
        <v>492</v>
      </c>
      <c r="K22" s="22" t="s">
        <v>493</v>
      </c>
      <c r="L22" s="22" t="s">
        <v>515</v>
      </c>
      <c r="M22" s="24">
        <v>246779410497</v>
      </c>
      <c r="N22" s="47"/>
    </row>
    <row r="23" spans="1:14" hidden="1" x14ac:dyDescent="0.35">
      <c r="A23" s="50">
        <v>45719</v>
      </c>
      <c r="B23" s="22" t="s">
        <v>489</v>
      </c>
      <c r="C23" s="23">
        <v>0</v>
      </c>
      <c r="D23" s="23">
        <v>804</v>
      </c>
      <c r="E23" s="23">
        <v>-1604055.12</v>
      </c>
      <c r="F23" s="22" t="s">
        <v>3</v>
      </c>
      <c r="G23" s="22" t="s">
        <v>3</v>
      </c>
      <c r="H23" s="22" t="s">
        <v>516</v>
      </c>
      <c r="I23" s="22" t="s">
        <v>500</v>
      </c>
      <c r="J23" s="22" t="s">
        <v>492</v>
      </c>
      <c r="K23" s="22" t="s">
        <v>493</v>
      </c>
      <c r="L23" s="22" t="s">
        <v>516</v>
      </c>
      <c r="M23" s="24">
        <v>246779410499</v>
      </c>
      <c r="N23" s="47"/>
    </row>
    <row r="24" spans="1:14" hidden="1" x14ac:dyDescent="0.35">
      <c r="A24" s="50">
        <v>45719</v>
      </c>
      <c r="B24" s="22" t="s">
        <v>489</v>
      </c>
      <c r="C24" s="23">
        <v>0</v>
      </c>
      <c r="D24" s="23">
        <v>201</v>
      </c>
      <c r="E24" s="23">
        <v>-1604256.12</v>
      </c>
      <c r="F24" s="22" t="s">
        <v>3</v>
      </c>
      <c r="G24" s="22" t="s">
        <v>3</v>
      </c>
      <c r="H24" s="22" t="s">
        <v>517</v>
      </c>
      <c r="I24" s="22" t="s">
        <v>500</v>
      </c>
      <c r="J24" s="22" t="s">
        <v>492</v>
      </c>
      <c r="K24" s="22" t="s">
        <v>493</v>
      </c>
      <c r="L24" s="22" t="s">
        <v>517</v>
      </c>
      <c r="M24" s="24">
        <v>246779410500</v>
      </c>
      <c r="N24" s="47"/>
    </row>
    <row r="25" spans="1:14" hidden="1" x14ac:dyDescent="0.35">
      <c r="A25" s="50">
        <v>45719</v>
      </c>
      <c r="B25" s="22" t="s">
        <v>489</v>
      </c>
      <c r="C25" s="23">
        <v>0</v>
      </c>
      <c r="D25" s="23">
        <v>1607</v>
      </c>
      <c r="E25" s="23">
        <v>-1605863.12</v>
      </c>
      <c r="F25" s="22" t="s">
        <v>3</v>
      </c>
      <c r="G25" s="22" t="s">
        <v>3</v>
      </c>
      <c r="H25" s="22" t="s">
        <v>518</v>
      </c>
      <c r="I25" s="22" t="s">
        <v>500</v>
      </c>
      <c r="J25" s="22" t="s">
        <v>492</v>
      </c>
      <c r="K25" s="22" t="s">
        <v>493</v>
      </c>
      <c r="L25" s="22" t="s">
        <v>518</v>
      </c>
      <c r="M25" s="24">
        <v>246779410501</v>
      </c>
      <c r="N25" s="47"/>
    </row>
    <row r="26" spans="1:14" hidden="1" x14ac:dyDescent="0.35">
      <c r="A26" s="50">
        <v>45719</v>
      </c>
      <c r="B26" s="22" t="s">
        <v>489</v>
      </c>
      <c r="C26" s="23">
        <v>0</v>
      </c>
      <c r="D26" s="23">
        <v>2009</v>
      </c>
      <c r="E26" s="23">
        <v>-1607872.12</v>
      </c>
      <c r="F26" s="22" t="s">
        <v>3</v>
      </c>
      <c r="G26" s="22" t="s">
        <v>3</v>
      </c>
      <c r="H26" s="22" t="s">
        <v>519</v>
      </c>
      <c r="I26" s="22" t="s">
        <v>500</v>
      </c>
      <c r="J26" s="22" t="s">
        <v>492</v>
      </c>
      <c r="K26" s="22" t="s">
        <v>493</v>
      </c>
      <c r="L26" s="22" t="s">
        <v>519</v>
      </c>
      <c r="M26" s="24">
        <v>246779410502</v>
      </c>
      <c r="N26" s="47"/>
    </row>
    <row r="27" spans="1:14" hidden="1" x14ac:dyDescent="0.35">
      <c r="A27" s="50">
        <v>45719</v>
      </c>
      <c r="B27" s="22" t="s">
        <v>489</v>
      </c>
      <c r="C27" s="23">
        <v>0</v>
      </c>
      <c r="D27" s="23">
        <v>2009</v>
      </c>
      <c r="E27" s="23">
        <v>-1609881.12</v>
      </c>
      <c r="F27" s="22" t="s">
        <v>3</v>
      </c>
      <c r="G27" s="22" t="s">
        <v>3</v>
      </c>
      <c r="H27" s="22" t="s">
        <v>520</v>
      </c>
      <c r="I27" s="22" t="s">
        <v>500</v>
      </c>
      <c r="J27" s="22" t="s">
        <v>492</v>
      </c>
      <c r="K27" s="22" t="s">
        <v>493</v>
      </c>
      <c r="L27" s="22" t="s">
        <v>520</v>
      </c>
      <c r="M27" s="24">
        <v>246779410503</v>
      </c>
      <c r="N27" s="47"/>
    </row>
    <row r="28" spans="1:14" hidden="1" x14ac:dyDescent="0.35">
      <c r="A28" s="50">
        <v>45719</v>
      </c>
      <c r="B28" s="22" t="s">
        <v>489</v>
      </c>
      <c r="C28" s="23">
        <v>0</v>
      </c>
      <c r="D28" s="23">
        <v>201</v>
      </c>
      <c r="E28" s="23">
        <v>-1610082.12</v>
      </c>
      <c r="F28" s="22" t="s">
        <v>3</v>
      </c>
      <c r="G28" s="22" t="s">
        <v>3</v>
      </c>
      <c r="H28" s="22" t="s">
        <v>521</v>
      </c>
      <c r="I28" s="22" t="s">
        <v>500</v>
      </c>
      <c r="J28" s="22" t="s">
        <v>492</v>
      </c>
      <c r="K28" s="22" t="s">
        <v>493</v>
      </c>
      <c r="L28" s="22" t="s">
        <v>521</v>
      </c>
      <c r="M28" s="24">
        <v>246779410504</v>
      </c>
      <c r="N28" s="47"/>
    </row>
    <row r="29" spans="1:14" hidden="1" x14ac:dyDescent="0.35">
      <c r="A29" s="50">
        <v>45719</v>
      </c>
      <c r="B29" s="22" t="s">
        <v>489</v>
      </c>
      <c r="C29" s="23">
        <v>0</v>
      </c>
      <c r="D29" s="23">
        <v>603</v>
      </c>
      <c r="E29" s="23">
        <v>-1610685.12</v>
      </c>
      <c r="F29" s="22" t="s">
        <v>3</v>
      </c>
      <c r="G29" s="22" t="s">
        <v>3</v>
      </c>
      <c r="H29" s="22" t="s">
        <v>522</v>
      </c>
      <c r="I29" s="22" t="s">
        <v>500</v>
      </c>
      <c r="J29" s="22" t="s">
        <v>492</v>
      </c>
      <c r="K29" s="22" t="s">
        <v>493</v>
      </c>
      <c r="L29" s="22" t="s">
        <v>522</v>
      </c>
      <c r="M29" s="24">
        <v>246779410505</v>
      </c>
      <c r="N29" s="47"/>
    </row>
    <row r="30" spans="1:14" hidden="1" x14ac:dyDescent="0.35">
      <c r="A30" s="50">
        <v>45719</v>
      </c>
      <c r="B30" s="22" t="s">
        <v>489</v>
      </c>
      <c r="C30" s="23">
        <v>0</v>
      </c>
      <c r="D30" s="23">
        <v>402</v>
      </c>
      <c r="E30" s="23">
        <v>-1611087.12</v>
      </c>
      <c r="F30" s="22" t="s">
        <v>3</v>
      </c>
      <c r="G30" s="22" t="s">
        <v>3</v>
      </c>
      <c r="H30" s="22" t="s">
        <v>523</v>
      </c>
      <c r="I30" s="22" t="s">
        <v>500</v>
      </c>
      <c r="J30" s="22" t="s">
        <v>492</v>
      </c>
      <c r="K30" s="22" t="s">
        <v>493</v>
      </c>
      <c r="L30" s="22" t="s">
        <v>523</v>
      </c>
      <c r="M30" s="24">
        <v>246779410506</v>
      </c>
      <c r="N30" s="47"/>
    </row>
    <row r="31" spans="1:14" hidden="1" x14ac:dyDescent="0.35">
      <c r="A31" s="50">
        <v>45719</v>
      </c>
      <c r="B31" s="22" t="s">
        <v>489</v>
      </c>
      <c r="C31" s="23">
        <v>0</v>
      </c>
      <c r="D31" s="23">
        <v>402</v>
      </c>
      <c r="E31" s="23">
        <v>-1611489.12</v>
      </c>
      <c r="F31" s="22" t="s">
        <v>3</v>
      </c>
      <c r="G31" s="22" t="s">
        <v>3</v>
      </c>
      <c r="H31" s="22" t="s">
        <v>524</v>
      </c>
      <c r="I31" s="22" t="s">
        <v>500</v>
      </c>
      <c r="J31" s="22" t="s">
        <v>492</v>
      </c>
      <c r="K31" s="22" t="s">
        <v>493</v>
      </c>
      <c r="L31" s="22" t="s">
        <v>524</v>
      </c>
      <c r="M31" s="24">
        <v>246779410507</v>
      </c>
      <c r="N31" s="47"/>
    </row>
    <row r="32" spans="1:14" hidden="1" x14ac:dyDescent="0.35">
      <c r="A32" s="50">
        <v>45719</v>
      </c>
      <c r="B32" s="22" t="s">
        <v>489</v>
      </c>
      <c r="C32" s="23">
        <v>0</v>
      </c>
      <c r="D32" s="23">
        <v>201</v>
      </c>
      <c r="E32" s="23">
        <v>-1611690.12</v>
      </c>
      <c r="F32" s="22" t="s">
        <v>3</v>
      </c>
      <c r="G32" s="22" t="s">
        <v>3</v>
      </c>
      <c r="H32" s="22" t="s">
        <v>525</v>
      </c>
      <c r="I32" s="22" t="s">
        <v>500</v>
      </c>
      <c r="J32" s="22" t="s">
        <v>492</v>
      </c>
      <c r="K32" s="22" t="s">
        <v>493</v>
      </c>
      <c r="L32" s="22" t="s">
        <v>525</v>
      </c>
      <c r="M32" s="24">
        <v>246779410508</v>
      </c>
      <c r="N32" s="47"/>
    </row>
    <row r="33" spans="1:14" hidden="1" x14ac:dyDescent="0.35">
      <c r="A33" s="50">
        <v>45720</v>
      </c>
      <c r="B33" s="22" t="s">
        <v>489</v>
      </c>
      <c r="C33" s="23">
        <v>0</v>
      </c>
      <c r="D33" s="23">
        <v>403</v>
      </c>
      <c r="E33" s="23">
        <v>-1612093.12</v>
      </c>
      <c r="F33" s="22" t="s">
        <v>3</v>
      </c>
      <c r="G33" s="22" t="s">
        <v>3</v>
      </c>
      <c r="H33" s="22" t="s">
        <v>526</v>
      </c>
      <c r="I33" s="22" t="s">
        <v>500</v>
      </c>
      <c r="J33" s="22" t="s">
        <v>492</v>
      </c>
      <c r="K33" s="22" t="s">
        <v>493</v>
      </c>
      <c r="L33" s="22" t="s">
        <v>526</v>
      </c>
      <c r="M33" s="24">
        <v>246779410843</v>
      </c>
      <c r="N33" s="47"/>
    </row>
    <row r="34" spans="1:14" hidden="1" x14ac:dyDescent="0.35">
      <c r="A34" s="50">
        <v>45720</v>
      </c>
      <c r="B34" s="22" t="s">
        <v>489</v>
      </c>
      <c r="C34" s="23">
        <v>0</v>
      </c>
      <c r="D34" s="23">
        <v>805</v>
      </c>
      <c r="E34" s="23">
        <v>-1612898.12</v>
      </c>
      <c r="F34" s="22" t="s">
        <v>3</v>
      </c>
      <c r="G34" s="22" t="s">
        <v>3</v>
      </c>
      <c r="H34" s="22" t="s">
        <v>527</v>
      </c>
      <c r="I34" s="22" t="s">
        <v>500</v>
      </c>
      <c r="J34" s="22" t="s">
        <v>492</v>
      </c>
      <c r="K34" s="22" t="s">
        <v>493</v>
      </c>
      <c r="L34" s="22" t="s">
        <v>527</v>
      </c>
      <c r="M34" s="24">
        <v>246779410686</v>
      </c>
      <c r="N34" s="47"/>
    </row>
    <row r="35" spans="1:14" hidden="1" x14ac:dyDescent="0.35">
      <c r="A35" s="50">
        <v>45720</v>
      </c>
      <c r="B35" s="22" t="s">
        <v>489</v>
      </c>
      <c r="C35" s="23">
        <v>0</v>
      </c>
      <c r="D35" s="23">
        <v>201</v>
      </c>
      <c r="E35" s="23">
        <v>-1613099.12</v>
      </c>
      <c r="F35" s="22" t="s">
        <v>3</v>
      </c>
      <c r="G35" s="22" t="s">
        <v>3</v>
      </c>
      <c r="H35" s="22" t="s">
        <v>528</v>
      </c>
      <c r="I35" s="22" t="s">
        <v>500</v>
      </c>
      <c r="J35" s="22" t="s">
        <v>492</v>
      </c>
      <c r="K35" s="22" t="s">
        <v>493</v>
      </c>
      <c r="L35" s="22" t="s">
        <v>528</v>
      </c>
      <c r="M35" s="24">
        <v>246779410683</v>
      </c>
      <c r="N35" s="47"/>
    </row>
    <row r="36" spans="1:14" hidden="1" x14ac:dyDescent="0.35">
      <c r="A36" s="50">
        <v>45720</v>
      </c>
      <c r="B36" s="22" t="s">
        <v>489</v>
      </c>
      <c r="C36" s="23">
        <v>0</v>
      </c>
      <c r="D36" s="23">
        <v>604</v>
      </c>
      <c r="E36" s="23">
        <v>-1613703.12</v>
      </c>
      <c r="F36" s="22" t="s">
        <v>3</v>
      </c>
      <c r="G36" s="22" t="s">
        <v>3</v>
      </c>
      <c r="H36" s="22" t="s">
        <v>529</v>
      </c>
      <c r="I36" s="22" t="s">
        <v>500</v>
      </c>
      <c r="J36" s="22" t="s">
        <v>492</v>
      </c>
      <c r="K36" s="22" t="s">
        <v>493</v>
      </c>
      <c r="L36" s="22" t="s">
        <v>529</v>
      </c>
      <c r="M36" s="24">
        <v>246779410759</v>
      </c>
      <c r="N36" s="47"/>
    </row>
    <row r="37" spans="1:14" hidden="1" x14ac:dyDescent="0.35">
      <c r="A37" s="50">
        <v>45720</v>
      </c>
      <c r="B37" s="22" t="s">
        <v>489</v>
      </c>
      <c r="C37" s="23">
        <v>0</v>
      </c>
      <c r="D37" s="23">
        <v>1006</v>
      </c>
      <c r="E37" s="23">
        <v>-1614709.12</v>
      </c>
      <c r="F37" s="22" t="s">
        <v>3</v>
      </c>
      <c r="G37" s="22" t="s">
        <v>3</v>
      </c>
      <c r="H37" s="22" t="s">
        <v>530</v>
      </c>
      <c r="I37" s="22" t="s">
        <v>500</v>
      </c>
      <c r="J37" s="22" t="s">
        <v>492</v>
      </c>
      <c r="K37" s="22" t="s">
        <v>493</v>
      </c>
      <c r="L37" s="22" t="s">
        <v>530</v>
      </c>
      <c r="M37" s="24">
        <v>246779410760</v>
      </c>
      <c r="N37" s="47"/>
    </row>
    <row r="38" spans="1:14" hidden="1" x14ac:dyDescent="0.35">
      <c r="A38" s="50">
        <v>45720</v>
      </c>
      <c r="B38" s="22" t="s">
        <v>489</v>
      </c>
      <c r="C38" s="23">
        <v>0</v>
      </c>
      <c r="D38" s="23">
        <v>1207</v>
      </c>
      <c r="E38" s="23">
        <v>-1615916.12</v>
      </c>
      <c r="F38" s="22" t="s">
        <v>3</v>
      </c>
      <c r="G38" s="22" t="s">
        <v>3</v>
      </c>
      <c r="H38" s="22" t="s">
        <v>531</v>
      </c>
      <c r="I38" s="22" t="s">
        <v>500</v>
      </c>
      <c r="J38" s="22" t="s">
        <v>492</v>
      </c>
      <c r="K38" s="22" t="s">
        <v>493</v>
      </c>
      <c r="L38" s="22" t="s">
        <v>531</v>
      </c>
      <c r="M38" s="24">
        <v>246779410761</v>
      </c>
      <c r="N38" s="47"/>
    </row>
    <row r="39" spans="1:14" hidden="1" x14ac:dyDescent="0.35">
      <c r="A39" s="50">
        <v>45720</v>
      </c>
      <c r="B39" s="22" t="s">
        <v>489</v>
      </c>
      <c r="C39" s="23">
        <v>0</v>
      </c>
      <c r="D39" s="23">
        <v>201</v>
      </c>
      <c r="E39" s="23">
        <v>-1616117.12</v>
      </c>
      <c r="F39" s="22" t="s">
        <v>3</v>
      </c>
      <c r="G39" s="22" t="s">
        <v>3</v>
      </c>
      <c r="H39" s="22" t="s">
        <v>532</v>
      </c>
      <c r="I39" s="22" t="s">
        <v>500</v>
      </c>
      <c r="J39" s="22" t="s">
        <v>492</v>
      </c>
      <c r="K39" s="22" t="s">
        <v>493</v>
      </c>
      <c r="L39" s="22" t="s">
        <v>532</v>
      </c>
      <c r="M39" s="24">
        <v>246779410763</v>
      </c>
      <c r="N39" s="47"/>
    </row>
    <row r="40" spans="1:14" hidden="1" x14ac:dyDescent="0.35">
      <c r="A40" s="50">
        <v>45720</v>
      </c>
      <c r="B40" s="22" t="s">
        <v>489</v>
      </c>
      <c r="C40" s="23">
        <v>0</v>
      </c>
      <c r="D40" s="23">
        <v>403</v>
      </c>
      <c r="E40" s="23">
        <v>-1616520.12</v>
      </c>
      <c r="F40" s="22" t="s">
        <v>3</v>
      </c>
      <c r="G40" s="22" t="s">
        <v>3</v>
      </c>
      <c r="H40" s="22" t="s">
        <v>533</v>
      </c>
      <c r="I40" s="22" t="s">
        <v>500</v>
      </c>
      <c r="J40" s="22" t="s">
        <v>492</v>
      </c>
      <c r="K40" s="22" t="s">
        <v>493</v>
      </c>
      <c r="L40" s="22" t="s">
        <v>533</v>
      </c>
      <c r="M40" s="24">
        <v>246779410762</v>
      </c>
      <c r="N40" s="47"/>
    </row>
    <row r="41" spans="1:14" hidden="1" x14ac:dyDescent="0.35">
      <c r="A41" s="50">
        <v>45720</v>
      </c>
      <c r="B41" s="22" t="s">
        <v>489</v>
      </c>
      <c r="C41" s="23">
        <v>0</v>
      </c>
      <c r="D41" s="23">
        <v>403</v>
      </c>
      <c r="E41" s="23">
        <v>-1616923.12</v>
      </c>
      <c r="F41" s="22" t="s">
        <v>3</v>
      </c>
      <c r="G41" s="22" t="s">
        <v>3</v>
      </c>
      <c r="H41" s="22" t="s">
        <v>534</v>
      </c>
      <c r="I41" s="22" t="s">
        <v>500</v>
      </c>
      <c r="J41" s="22" t="s">
        <v>492</v>
      </c>
      <c r="K41" s="22" t="s">
        <v>493</v>
      </c>
      <c r="L41" s="22" t="s">
        <v>534</v>
      </c>
      <c r="M41" s="24">
        <v>246779410757</v>
      </c>
      <c r="N41" s="47"/>
    </row>
    <row r="42" spans="1:14" hidden="1" x14ac:dyDescent="0.35">
      <c r="A42" s="50">
        <v>45720</v>
      </c>
      <c r="B42" s="22" t="s">
        <v>489</v>
      </c>
      <c r="C42" s="23">
        <v>0</v>
      </c>
      <c r="D42" s="23">
        <v>201</v>
      </c>
      <c r="E42" s="23">
        <v>-1617124.12</v>
      </c>
      <c r="F42" s="22" t="s">
        <v>3</v>
      </c>
      <c r="G42" s="22" t="s">
        <v>3</v>
      </c>
      <c r="H42" s="22" t="s">
        <v>535</v>
      </c>
      <c r="I42" s="22" t="s">
        <v>500</v>
      </c>
      <c r="J42" s="22" t="s">
        <v>492</v>
      </c>
      <c r="K42" s="22" t="s">
        <v>493</v>
      </c>
      <c r="L42" s="22" t="s">
        <v>535</v>
      </c>
      <c r="M42" s="24">
        <v>246779410765</v>
      </c>
      <c r="N42" s="47"/>
    </row>
    <row r="43" spans="1:14" hidden="1" x14ac:dyDescent="0.35">
      <c r="A43" s="50">
        <v>45720</v>
      </c>
      <c r="B43" s="22" t="s">
        <v>489</v>
      </c>
      <c r="C43" s="23">
        <v>0</v>
      </c>
      <c r="D43" s="23">
        <v>201</v>
      </c>
      <c r="E43" s="23">
        <v>-1617325.12</v>
      </c>
      <c r="F43" s="22" t="s">
        <v>3</v>
      </c>
      <c r="G43" s="22" t="s">
        <v>3</v>
      </c>
      <c r="H43" s="22" t="s">
        <v>536</v>
      </c>
      <c r="I43" s="22" t="s">
        <v>500</v>
      </c>
      <c r="J43" s="22" t="s">
        <v>492</v>
      </c>
      <c r="K43" s="22" t="s">
        <v>493</v>
      </c>
      <c r="L43" s="22" t="s">
        <v>536</v>
      </c>
      <c r="M43" s="24">
        <v>246779410764</v>
      </c>
      <c r="N43" s="47"/>
    </row>
    <row r="44" spans="1:14" hidden="1" x14ac:dyDescent="0.35">
      <c r="A44" s="50">
        <v>45720</v>
      </c>
      <c r="B44" s="22" t="s">
        <v>489</v>
      </c>
      <c r="C44" s="23">
        <v>0</v>
      </c>
      <c r="D44" s="23">
        <v>403</v>
      </c>
      <c r="E44" s="23">
        <v>-1617728.12</v>
      </c>
      <c r="F44" s="22" t="s">
        <v>3</v>
      </c>
      <c r="G44" s="22" t="s">
        <v>3</v>
      </c>
      <c r="H44" s="22" t="s">
        <v>537</v>
      </c>
      <c r="I44" s="22" t="s">
        <v>500</v>
      </c>
      <c r="J44" s="22" t="s">
        <v>492</v>
      </c>
      <c r="K44" s="22" t="s">
        <v>493</v>
      </c>
      <c r="L44" s="22" t="s">
        <v>537</v>
      </c>
      <c r="M44" s="24">
        <v>246779410766</v>
      </c>
      <c r="N44" s="47"/>
    </row>
    <row r="45" spans="1:14" hidden="1" x14ac:dyDescent="0.35">
      <c r="A45" s="50">
        <v>45720</v>
      </c>
      <c r="B45" s="22" t="s">
        <v>489</v>
      </c>
      <c r="C45" s="23">
        <v>0</v>
      </c>
      <c r="D45" s="23">
        <v>403</v>
      </c>
      <c r="E45" s="23">
        <v>-1618131.12</v>
      </c>
      <c r="F45" s="22" t="s">
        <v>3</v>
      </c>
      <c r="G45" s="22" t="s">
        <v>3</v>
      </c>
      <c r="H45" s="22" t="s">
        <v>538</v>
      </c>
      <c r="I45" s="22" t="s">
        <v>500</v>
      </c>
      <c r="J45" s="22" t="s">
        <v>492</v>
      </c>
      <c r="K45" s="22" t="s">
        <v>493</v>
      </c>
      <c r="L45" s="22" t="s">
        <v>538</v>
      </c>
      <c r="M45" s="24">
        <v>246779410756</v>
      </c>
      <c r="N45" s="47"/>
    </row>
    <row r="46" spans="1:14" hidden="1" x14ac:dyDescent="0.35">
      <c r="A46" s="50">
        <v>45720</v>
      </c>
      <c r="B46" s="22" t="s">
        <v>489</v>
      </c>
      <c r="C46" s="23">
        <v>0</v>
      </c>
      <c r="D46" s="23">
        <v>3219</v>
      </c>
      <c r="E46" s="23">
        <v>-1621350.12</v>
      </c>
      <c r="F46" s="22" t="s">
        <v>3</v>
      </c>
      <c r="G46" s="22" t="s">
        <v>3</v>
      </c>
      <c r="H46" s="22" t="s">
        <v>539</v>
      </c>
      <c r="I46" s="22" t="s">
        <v>500</v>
      </c>
      <c r="J46" s="22" t="s">
        <v>492</v>
      </c>
      <c r="K46" s="22" t="s">
        <v>493</v>
      </c>
      <c r="L46" s="22" t="s">
        <v>539</v>
      </c>
      <c r="M46" s="24">
        <v>246779410758</v>
      </c>
      <c r="N46" s="47"/>
    </row>
    <row r="47" spans="1:14" hidden="1" x14ac:dyDescent="0.35">
      <c r="A47" s="50">
        <v>45720</v>
      </c>
      <c r="B47" s="22" t="s">
        <v>489</v>
      </c>
      <c r="C47" s="23">
        <v>0</v>
      </c>
      <c r="D47" s="23">
        <v>403</v>
      </c>
      <c r="E47" s="23">
        <v>-1621753.12</v>
      </c>
      <c r="F47" s="22" t="s">
        <v>3</v>
      </c>
      <c r="G47" s="22" t="s">
        <v>3</v>
      </c>
      <c r="H47" s="22" t="s">
        <v>540</v>
      </c>
      <c r="I47" s="22" t="s">
        <v>500</v>
      </c>
      <c r="J47" s="22" t="s">
        <v>492</v>
      </c>
      <c r="K47" s="22" t="s">
        <v>493</v>
      </c>
      <c r="L47" s="22" t="s">
        <v>540</v>
      </c>
      <c r="M47" s="24">
        <v>246779410689</v>
      </c>
      <c r="N47" s="47"/>
    </row>
    <row r="48" spans="1:14" hidden="1" x14ac:dyDescent="0.35">
      <c r="A48" s="50">
        <v>45720</v>
      </c>
      <c r="B48" s="22" t="s">
        <v>489</v>
      </c>
      <c r="C48" s="23">
        <v>0</v>
      </c>
      <c r="D48" s="23">
        <v>805</v>
      </c>
      <c r="E48" s="23">
        <v>-1622558.12</v>
      </c>
      <c r="F48" s="22" t="s">
        <v>3</v>
      </c>
      <c r="G48" s="22" t="s">
        <v>3</v>
      </c>
      <c r="H48" s="22" t="s">
        <v>541</v>
      </c>
      <c r="I48" s="22" t="s">
        <v>500</v>
      </c>
      <c r="J48" s="22" t="s">
        <v>492</v>
      </c>
      <c r="K48" s="22" t="s">
        <v>493</v>
      </c>
      <c r="L48" s="22" t="s">
        <v>541</v>
      </c>
      <c r="M48" s="24">
        <v>246779410693</v>
      </c>
      <c r="N48" s="47"/>
    </row>
    <row r="49" spans="1:14" hidden="1" x14ac:dyDescent="0.35">
      <c r="A49" s="50">
        <v>45720</v>
      </c>
      <c r="B49" s="22" t="s">
        <v>489</v>
      </c>
      <c r="C49" s="23">
        <v>0</v>
      </c>
      <c r="D49" s="23">
        <v>604</v>
      </c>
      <c r="E49" s="23">
        <v>-1623162.12</v>
      </c>
      <c r="F49" s="22" t="s">
        <v>3</v>
      </c>
      <c r="G49" s="22" t="s">
        <v>3</v>
      </c>
      <c r="H49" s="22" t="s">
        <v>542</v>
      </c>
      <c r="I49" s="22" t="s">
        <v>500</v>
      </c>
      <c r="J49" s="22" t="s">
        <v>492</v>
      </c>
      <c r="K49" s="22" t="s">
        <v>493</v>
      </c>
      <c r="L49" s="22" t="s">
        <v>542</v>
      </c>
      <c r="M49" s="24">
        <v>246779410691</v>
      </c>
      <c r="N49" s="47"/>
    </row>
    <row r="50" spans="1:14" hidden="1" x14ac:dyDescent="0.35">
      <c r="A50" s="50">
        <v>45720</v>
      </c>
      <c r="B50" s="22" t="s">
        <v>489</v>
      </c>
      <c r="C50" s="23">
        <v>0</v>
      </c>
      <c r="D50" s="23">
        <v>604</v>
      </c>
      <c r="E50" s="23">
        <v>-1623766.12</v>
      </c>
      <c r="F50" s="22" t="s">
        <v>3</v>
      </c>
      <c r="G50" s="22" t="s">
        <v>3</v>
      </c>
      <c r="H50" s="22" t="s">
        <v>543</v>
      </c>
      <c r="I50" s="22" t="s">
        <v>500</v>
      </c>
      <c r="J50" s="22" t="s">
        <v>492</v>
      </c>
      <c r="K50" s="22" t="s">
        <v>493</v>
      </c>
      <c r="L50" s="22" t="s">
        <v>543</v>
      </c>
      <c r="M50" s="24">
        <v>246779410684</v>
      </c>
      <c r="N50" s="47"/>
    </row>
    <row r="51" spans="1:14" hidden="1" x14ac:dyDescent="0.35">
      <c r="A51" s="50">
        <v>45720</v>
      </c>
      <c r="B51" s="22" t="s">
        <v>489</v>
      </c>
      <c r="C51" s="23">
        <v>0</v>
      </c>
      <c r="D51" s="23">
        <v>201</v>
      </c>
      <c r="E51" s="23">
        <v>-1623967.12</v>
      </c>
      <c r="F51" s="22" t="s">
        <v>3</v>
      </c>
      <c r="G51" s="22" t="s">
        <v>3</v>
      </c>
      <c r="H51" s="22" t="s">
        <v>544</v>
      </c>
      <c r="I51" s="22" t="s">
        <v>500</v>
      </c>
      <c r="J51" s="22" t="s">
        <v>492</v>
      </c>
      <c r="K51" s="22" t="s">
        <v>493</v>
      </c>
      <c r="L51" s="22" t="s">
        <v>544</v>
      </c>
      <c r="M51" s="24">
        <v>246779410685</v>
      </c>
      <c r="N51" s="47"/>
    </row>
    <row r="52" spans="1:14" hidden="1" x14ac:dyDescent="0.35">
      <c r="A52" s="50">
        <v>45720</v>
      </c>
      <c r="B52" s="22" t="s">
        <v>489</v>
      </c>
      <c r="C52" s="23">
        <v>0</v>
      </c>
      <c r="D52" s="23">
        <v>3622</v>
      </c>
      <c r="E52" s="23">
        <v>-1627589.12</v>
      </c>
      <c r="F52" s="22" t="s">
        <v>3</v>
      </c>
      <c r="G52" s="22" t="s">
        <v>3</v>
      </c>
      <c r="H52" s="22" t="s">
        <v>545</v>
      </c>
      <c r="I52" s="22" t="s">
        <v>500</v>
      </c>
      <c r="J52" s="22" t="s">
        <v>492</v>
      </c>
      <c r="K52" s="22" t="s">
        <v>493</v>
      </c>
      <c r="L52" s="22" t="s">
        <v>545</v>
      </c>
      <c r="M52" s="24">
        <v>246779410690</v>
      </c>
      <c r="N52" s="47"/>
    </row>
    <row r="53" spans="1:14" hidden="1" x14ac:dyDescent="0.35">
      <c r="A53" s="50">
        <v>45720</v>
      </c>
      <c r="B53" s="22" t="s">
        <v>489</v>
      </c>
      <c r="C53" s="23">
        <v>0</v>
      </c>
      <c r="D53" s="23">
        <v>1207</v>
      </c>
      <c r="E53" s="23">
        <v>-1628796.12</v>
      </c>
      <c r="F53" s="22" t="s">
        <v>3</v>
      </c>
      <c r="G53" s="22" t="s">
        <v>3</v>
      </c>
      <c r="H53" s="22" t="s">
        <v>546</v>
      </c>
      <c r="I53" s="22" t="s">
        <v>500</v>
      </c>
      <c r="J53" s="22" t="s">
        <v>492</v>
      </c>
      <c r="K53" s="22" t="s">
        <v>493</v>
      </c>
      <c r="L53" s="22" t="s">
        <v>546</v>
      </c>
      <c r="M53" s="24">
        <v>246779410680</v>
      </c>
      <c r="N53" s="47"/>
    </row>
    <row r="54" spans="1:14" hidden="1" x14ac:dyDescent="0.35">
      <c r="A54" s="50">
        <v>45720</v>
      </c>
      <c r="B54" s="22" t="s">
        <v>489</v>
      </c>
      <c r="C54" s="23">
        <v>0</v>
      </c>
      <c r="D54" s="23">
        <v>201</v>
      </c>
      <c r="E54" s="23">
        <v>-1628997.12</v>
      </c>
      <c r="F54" s="22" t="s">
        <v>3</v>
      </c>
      <c r="G54" s="22" t="s">
        <v>3</v>
      </c>
      <c r="H54" s="22" t="s">
        <v>547</v>
      </c>
      <c r="I54" s="22" t="s">
        <v>500</v>
      </c>
      <c r="J54" s="22" t="s">
        <v>492</v>
      </c>
      <c r="K54" s="22" t="s">
        <v>493</v>
      </c>
      <c r="L54" s="22" t="s">
        <v>547</v>
      </c>
      <c r="M54" s="24">
        <v>246779410681</v>
      </c>
      <c r="N54" s="47"/>
    </row>
    <row r="55" spans="1:14" hidden="1" x14ac:dyDescent="0.35">
      <c r="A55" s="50">
        <v>45720</v>
      </c>
      <c r="B55" s="22" t="s">
        <v>489</v>
      </c>
      <c r="C55" s="23">
        <v>0</v>
      </c>
      <c r="D55" s="23">
        <v>201</v>
      </c>
      <c r="E55" s="23">
        <v>-1629198.12</v>
      </c>
      <c r="F55" s="22" t="s">
        <v>3</v>
      </c>
      <c r="G55" s="22" t="s">
        <v>3</v>
      </c>
      <c r="H55" s="22" t="s">
        <v>548</v>
      </c>
      <c r="I55" s="22" t="s">
        <v>500</v>
      </c>
      <c r="J55" s="22" t="s">
        <v>492</v>
      </c>
      <c r="K55" s="22" t="s">
        <v>493</v>
      </c>
      <c r="L55" s="22" t="s">
        <v>548</v>
      </c>
      <c r="M55" s="24">
        <v>246779410682</v>
      </c>
      <c r="N55" s="47"/>
    </row>
    <row r="56" spans="1:14" hidden="1" x14ac:dyDescent="0.35">
      <c r="A56" s="50">
        <v>45720</v>
      </c>
      <c r="B56" s="22" t="s">
        <v>489</v>
      </c>
      <c r="C56" s="23">
        <v>0</v>
      </c>
      <c r="D56" s="23">
        <v>201</v>
      </c>
      <c r="E56" s="23">
        <v>-1629399.12</v>
      </c>
      <c r="F56" s="22" t="s">
        <v>3</v>
      </c>
      <c r="G56" s="22" t="s">
        <v>3</v>
      </c>
      <c r="H56" s="22" t="s">
        <v>549</v>
      </c>
      <c r="I56" s="22" t="s">
        <v>500</v>
      </c>
      <c r="J56" s="22" t="s">
        <v>492</v>
      </c>
      <c r="K56" s="22" t="s">
        <v>493</v>
      </c>
      <c r="L56" s="22" t="s">
        <v>549</v>
      </c>
      <c r="M56" s="24">
        <v>246779410678</v>
      </c>
      <c r="N56" s="47"/>
    </row>
    <row r="57" spans="1:14" hidden="1" x14ac:dyDescent="0.35">
      <c r="A57" s="50">
        <v>45720</v>
      </c>
      <c r="B57" s="22" t="s">
        <v>489</v>
      </c>
      <c r="C57" s="23">
        <v>0</v>
      </c>
      <c r="D57" s="23">
        <v>805</v>
      </c>
      <c r="E57" s="23">
        <v>-1630204.12</v>
      </c>
      <c r="F57" s="22" t="s">
        <v>3</v>
      </c>
      <c r="G57" s="22" t="s">
        <v>3</v>
      </c>
      <c r="H57" s="22" t="s">
        <v>550</v>
      </c>
      <c r="I57" s="22" t="s">
        <v>500</v>
      </c>
      <c r="J57" s="22" t="s">
        <v>492</v>
      </c>
      <c r="K57" s="22" t="s">
        <v>493</v>
      </c>
      <c r="L57" s="22" t="s">
        <v>550</v>
      </c>
      <c r="M57" s="24">
        <v>246779410845</v>
      </c>
      <c r="N57" s="47"/>
    </row>
    <row r="58" spans="1:14" hidden="1" x14ac:dyDescent="0.35">
      <c r="A58" s="50">
        <v>45720</v>
      </c>
      <c r="B58" s="22" t="s">
        <v>489</v>
      </c>
      <c r="C58" s="23">
        <v>0</v>
      </c>
      <c r="D58" s="23">
        <v>604</v>
      </c>
      <c r="E58" s="23">
        <v>-1630808.12</v>
      </c>
      <c r="F58" s="22" t="s">
        <v>3</v>
      </c>
      <c r="G58" s="22" t="s">
        <v>3</v>
      </c>
      <c r="H58" s="22" t="s">
        <v>551</v>
      </c>
      <c r="I58" s="22" t="s">
        <v>500</v>
      </c>
      <c r="J58" s="22" t="s">
        <v>492</v>
      </c>
      <c r="K58" s="22" t="s">
        <v>493</v>
      </c>
      <c r="L58" s="22" t="s">
        <v>551</v>
      </c>
      <c r="M58" s="24">
        <v>246779410841</v>
      </c>
      <c r="N58" s="47"/>
    </row>
    <row r="59" spans="1:14" hidden="1" x14ac:dyDescent="0.35">
      <c r="A59" s="50">
        <v>45720</v>
      </c>
      <c r="B59" s="22" t="s">
        <v>489</v>
      </c>
      <c r="C59" s="23">
        <v>0</v>
      </c>
      <c r="D59" s="23">
        <v>403</v>
      </c>
      <c r="E59" s="23">
        <v>-1631211.12</v>
      </c>
      <c r="F59" s="22" t="s">
        <v>3</v>
      </c>
      <c r="G59" s="22" t="s">
        <v>3</v>
      </c>
      <c r="H59" s="22" t="s">
        <v>552</v>
      </c>
      <c r="I59" s="22" t="s">
        <v>500</v>
      </c>
      <c r="J59" s="22" t="s">
        <v>492</v>
      </c>
      <c r="K59" s="22" t="s">
        <v>493</v>
      </c>
      <c r="L59" s="22" t="s">
        <v>552</v>
      </c>
      <c r="M59" s="24">
        <v>246779410844</v>
      </c>
      <c r="N59" s="47"/>
    </row>
    <row r="60" spans="1:14" hidden="1" x14ac:dyDescent="0.35">
      <c r="A60" s="50">
        <v>45720</v>
      </c>
      <c r="B60" s="22" t="s">
        <v>489</v>
      </c>
      <c r="C60" s="23">
        <v>0</v>
      </c>
      <c r="D60" s="23">
        <v>403</v>
      </c>
      <c r="E60" s="23">
        <v>-1631614.12</v>
      </c>
      <c r="F60" s="22" t="s">
        <v>3</v>
      </c>
      <c r="G60" s="22" t="s">
        <v>3</v>
      </c>
      <c r="H60" s="22" t="s">
        <v>553</v>
      </c>
      <c r="I60" s="22" t="s">
        <v>500</v>
      </c>
      <c r="J60" s="22" t="s">
        <v>492</v>
      </c>
      <c r="K60" s="22" t="s">
        <v>493</v>
      </c>
      <c r="L60" s="22" t="s">
        <v>553</v>
      </c>
      <c r="M60" s="24">
        <v>246779410842</v>
      </c>
      <c r="N60" s="47"/>
    </row>
    <row r="61" spans="1:14" hidden="1" x14ac:dyDescent="0.35">
      <c r="A61" s="50">
        <v>45720</v>
      </c>
      <c r="B61" s="22" t="s">
        <v>489</v>
      </c>
      <c r="C61" s="23">
        <v>0</v>
      </c>
      <c r="D61" s="23">
        <v>805</v>
      </c>
      <c r="E61" s="23">
        <v>-1632419.12</v>
      </c>
      <c r="F61" s="22" t="s">
        <v>3</v>
      </c>
      <c r="G61" s="22" t="s">
        <v>3</v>
      </c>
      <c r="H61" s="22" t="s">
        <v>554</v>
      </c>
      <c r="I61" s="22" t="s">
        <v>500</v>
      </c>
      <c r="J61" s="22" t="s">
        <v>492</v>
      </c>
      <c r="K61" s="22" t="s">
        <v>493</v>
      </c>
      <c r="L61" s="22" t="s">
        <v>554</v>
      </c>
      <c r="M61" s="24">
        <v>246779410692</v>
      </c>
      <c r="N61" s="47"/>
    </row>
    <row r="62" spans="1:14" hidden="1" x14ac:dyDescent="0.35">
      <c r="A62" s="50">
        <v>45720</v>
      </c>
      <c r="B62" s="22" t="s">
        <v>489</v>
      </c>
      <c r="C62" s="23">
        <v>0</v>
      </c>
      <c r="D62" s="23">
        <v>201</v>
      </c>
      <c r="E62" s="23">
        <v>-1632620.12</v>
      </c>
      <c r="F62" s="22" t="s">
        <v>3</v>
      </c>
      <c r="G62" s="22" t="s">
        <v>3</v>
      </c>
      <c r="H62" s="22" t="s">
        <v>555</v>
      </c>
      <c r="I62" s="22" t="s">
        <v>500</v>
      </c>
      <c r="J62" s="22" t="s">
        <v>492</v>
      </c>
      <c r="K62" s="22" t="s">
        <v>493</v>
      </c>
      <c r="L62" s="22" t="s">
        <v>555</v>
      </c>
      <c r="M62" s="24">
        <v>246779410679</v>
      </c>
      <c r="N62" s="47"/>
    </row>
    <row r="63" spans="1:14" hidden="1" x14ac:dyDescent="0.35">
      <c r="A63" s="50">
        <v>45722</v>
      </c>
      <c r="B63" s="22" t="s">
        <v>489</v>
      </c>
      <c r="C63" s="23">
        <v>0</v>
      </c>
      <c r="D63" s="23">
        <v>2406</v>
      </c>
      <c r="E63" s="23">
        <v>-1635026.12</v>
      </c>
      <c r="F63" s="22" t="s">
        <v>3</v>
      </c>
      <c r="G63" s="22" t="s">
        <v>3</v>
      </c>
      <c r="H63" s="22" t="s">
        <v>556</v>
      </c>
      <c r="I63" s="22" t="s">
        <v>557</v>
      </c>
      <c r="J63" s="22" t="s">
        <v>492</v>
      </c>
      <c r="K63" s="22" t="s">
        <v>493</v>
      </c>
      <c r="L63" s="22" t="s">
        <v>556</v>
      </c>
      <c r="M63" s="24">
        <v>246779411128</v>
      </c>
      <c r="N63" s="47"/>
    </row>
    <row r="64" spans="1:14" hidden="1" x14ac:dyDescent="0.35">
      <c r="A64" s="50">
        <v>45722</v>
      </c>
      <c r="B64" s="22" t="s">
        <v>489</v>
      </c>
      <c r="C64" s="23">
        <v>0</v>
      </c>
      <c r="D64" s="23">
        <v>1882</v>
      </c>
      <c r="E64" s="23">
        <v>-1636908.12</v>
      </c>
      <c r="F64" s="22" t="s">
        <v>3</v>
      </c>
      <c r="G64" s="22" t="s">
        <v>3</v>
      </c>
      <c r="H64" s="22" t="s">
        <v>558</v>
      </c>
      <c r="I64" s="22" t="s">
        <v>559</v>
      </c>
      <c r="J64" s="22" t="s">
        <v>492</v>
      </c>
      <c r="K64" s="22" t="s">
        <v>493</v>
      </c>
      <c r="L64" s="22" t="s">
        <v>558</v>
      </c>
      <c r="M64" s="24">
        <v>246779410970</v>
      </c>
      <c r="N64" s="47"/>
    </row>
    <row r="65" spans="1:14" hidden="1" x14ac:dyDescent="0.35">
      <c r="A65" s="50">
        <v>45722</v>
      </c>
      <c r="B65" s="22" t="s">
        <v>489</v>
      </c>
      <c r="C65" s="23">
        <v>0</v>
      </c>
      <c r="D65" s="23">
        <v>36538</v>
      </c>
      <c r="E65" s="23">
        <v>-1673446.12</v>
      </c>
      <c r="F65" s="22" t="s">
        <v>3</v>
      </c>
      <c r="G65" s="22" t="s">
        <v>3</v>
      </c>
      <c r="H65" s="22" t="s">
        <v>560</v>
      </c>
      <c r="I65" s="22" t="s">
        <v>561</v>
      </c>
      <c r="J65" s="22" t="s">
        <v>492</v>
      </c>
      <c r="K65" s="22" t="s">
        <v>493</v>
      </c>
      <c r="L65" s="22" t="s">
        <v>560</v>
      </c>
      <c r="M65" s="24">
        <v>246779410971</v>
      </c>
      <c r="N65" s="47"/>
    </row>
    <row r="66" spans="1:14" hidden="1" x14ac:dyDescent="0.35">
      <c r="A66" s="50">
        <v>45722</v>
      </c>
      <c r="B66" s="22" t="s">
        <v>489</v>
      </c>
      <c r="C66" s="23">
        <v>0</v>
      </c>
      <c r="D66" s="23">
        <v>401</v>
      </c>
      <c r="E66" s="23">
        <v>-1673847.12</v>
      </c>
      <c r="F66" s="22" t="s">
        <v>3</v>
      </c>
      <c r="G66" s="22" t="s">
        <v>3</v>
      </c>
      <c r="H66" s="22" t="s">
        <v>562</v>
      </c>
      <c r="I66" s="22" t="s">
        <v>557</v>
      </c>
      <c r="J66" s="22" t="s">
        <v>492</v>
      </c>
      <c r="K66" s="22" t="s">
        <v>493</v>
      </c>
      <c r="L66" s="22" t="s">
        <v>562</v>
      </c>
      <c r="M66" s="24">
        <v>246779410974</v>
      </c>
      <c r="N66" s="47"/>
    </row>
    <row r="67" spans="1:14" hidden="1" x14ac:dyDescent="0.35">
      <c r="A67" s="50">
        <v>45722</v>
      </c>
      <c r="B67" s="22" t="s">
        <v>489</v>
      </c>
      <c r="C67" s="23">
        <v>0</v>
      </c>
      <c r="D67" s="23">
        <v>1481</v>
      </c>
      <c r="E67" s="23">
        <v>-1675328.12</v>
      </c>
      <c r="F67" s="22" t="s">
        <v>3</v>
      </c>
      <c r="G67" s="22" t="s">
        <v>3</v>
      </c>
      <c r="H67" s="22" t="s">
        <v>563</v>
      </c>
      <c r="I67" s="22" t="s">
        <v>559</v>
      </c>
      <c r="J67" s="22" t="s">
        <v>492</v>
      </c>
      <c r="K67" s="22" t="s">
        <v>493</v>
      </c>
      <c r="L67" s="22" t="s">
        <v>563</v>
      </c>
      <c r="M67" s="24">
        <v>246779410972</v>
      </c>
      <c r="N67" s="47"/>
    </row>
    <row r="68" spans="1:14" hidden="1" x14ac:dyDescent="0.35">
      <c r="A68" s="50">
        <v>45722</v>
      </c>
      <c r="B68" s="22" t="s">
        <v>489</v>
      </c>
      <c r="C68" s="23">
        <v>0</v>
      </c>
      <c r="D68" s="23">
        <v>2884</v>
      </c>
      <c r="E68" s="23">
        <v>-1678212.12</v>
      </c>
      <c r="F68" s="22" t="s">
        <v>3</v>
      </c>
      <c r="G68" s="22" t="s">
        <v>3</v>
      </c>
      <c r="H68" s="22" t="s">
        <v>564</v>
      </c>
      <c r="I68" s="22" t="s">
        <v>559</v>
      </c>
      <c r="J68" s="22" t="s">
        <v>492</v>
      </c>
      <c r="K68" s="22" t="s">
        <v>493</v>
      </c>
      <c r="L68" s="22" t="s">
        <v>564</v>
      </c>
      <c r="M68" s="24">
        <v>246779410973</v>
      </c>
      <c r="N68" s="47"/>
    </row>
    <row r="69" spans="1:14" hidden="1" x14ac:dyDescent="0.35">
      <c r="A69" s="50">
        <v>45722</v>
      </c>
      <c r="B69" s="22" t="s">
        <v>489</v>
      </c>
      <c r="C69" s="23">
        <v>0</v>
      </c>
      <c r="D69" s="23">
        <v>357094</v>
      </c>
      <c r="E69" s="23">
        <v>-2035306.12</v>
      </c>
      <c r="F69" s="22" t="s">
        <v>3</v>
      </c>
      <c r="G69" s="22" t="s">
        <v>3</v>
      </c>
      <c r="H69" s="22" t="s">
        <v>565</v>
      </c>
      <c r="I69" s="22" t="s">
        <v>507</v>
      </c>
      <c r="J69" s="22" t="s">
        <v>492</v>
      </c>
      <c r="K69" s="22" t="s">
        <v>493</v>
      </c>
      <c r="L69" s="22" t="s">
        <v>565</v>
      </c>
      <c r="M69" s="24">
        <v>246779410896</v>
      </c>
      <c r="N69" s="47"/>
    </row>
    <row r="70" spans="1:14" hidden="1" x14ac:dyDescent="0.35">
      <c r="A70" s="50">
        <v>45722</v>
      </c>
      <c r="B70" s="22" t="s">
        <v>489</v>
      </c>
      <c r="C70" s="23">
        <v>0</v>
      </c>
      <c r="D70" s="23">
        <v>241385</v>
      </c>
      <c r="E70" s="23">
        <v>-2276691.12</v>
      </c>
      <c r="F70" s="22" t="s">
        <v>3</v>
      </c>
      <c r="G70" s="22" t="s">
        <v>3</v>
      </c>
      <c r="H70" s="22" t="s">
        <v>566</v>
      </c>
      <c r="I70" s="22" t="s">
        <v>507</v>
      </c>
      <c r="J70" s="22" t="s">
        <v>492</v>
      </c>
      <c r="K70" s="22" t="s">
        <v>493</v>
      </c>
      <c r="L70" s="22" t="s">
        <v>566</v>
      </c>
      <c r="M70" s="24">
        <v>246779410874</v>
      </c>
      <c r="N70" s="47"/>
    </row>
    <row r="71" spans="1:14" hidden="1" x14ac:dyDescent="0.35">
      <c r="A71" s="50">
        <v>45722</v>
      </c>
      <c r="B71" s="22" t="s">
        <v>489</v>
      </c>
      <c r="C71" s="23">
        <v>0</v>
      </c>
      <c r="D71" s="23">
        <v>2004</v>
      </c>
      <c r="E71" s="23">
        <v>-2278695.12</v>
      </c>
      <c r="F71" s="22" t="s">
        <v>3</v>
      </c>
      <c r="G71" s="22" t="s">
        <v>3</v>
      </c>
      <c r="H71" s="22" t="s">
        <v>567</v>
      </c>
      <c r="I71" s="22" t="s">
        <v>557</v>
      </c>
      <c r="J71" s="22" t="s">
        <v>492</v>
      </c>
      <c r="K71" s="22" t="s">
        <v>493</v>
      </c>
      <c r="L71" s="22" t="s">
        <v>567</v>
      </c>
      <c r="M71" s="24">
        <v>246779411189</v>
      </c>
      <c r="N71" s="47"/>
    </row>
    <row r="72" spans="1:14" hidden="1" x14ac:dyDescent="0.35">
      <c r="A72" s="50">
        <v>45722</v>
      </c>
      <c r="B72" s="22" t="s">
        <v>489</v>
      </c>
      <c r="C72" s="23">
        <v>0</v>
      </c>
      <c r="D72" s="23">
        <v>2004</v>
      </c>
      <c r="E72" s="23">
        <v>-2280699.12</v>
      </c>
      <c r="F72" s="22" t="s">
        <v>3</v>
      </c>
      <c r="G72" s="22" t="s">
        <v>3</v>
      </c>
      <c r="H72" s="22" t="s">
        <v>568</v>
      </c>
      <c r="I72" s="22" t="s">
        <v>557</v>
      </c>
      <c r="J72" s="22" t="s">
        <v>492</v>
      </c>
      <c r="K72" s="22" t="s">
        <v>493</v>
      </c>
      <c r="L72" s="22" t="s">
        <v>568</v>
      </c>
      <c r="M72" s="24">
        <v>246779411188</v>
      </c>
      <c r="N72" s="47"/>
    </row>
    <row r="73" spans="1:14" hidden="1" x14ac:dyDescent="0.35">
      <c r="A73" s="50">
        <v>45722</v>
      </c>
      <c r="B73" s="22" t="s">
        <v>489</v>
      </c>
      <c r="C73" s="23">
        <v>0</v>
      </c>
      <c r="D73" s="23">
        <v>2004</v>
      </c>
      <c r="E73" s="23">
        <v>-2282703.12</v>
      </c>
      <c r="F73" s="22" t="s">
        <v>3</v>
      </c>
      <c r="G73" s="22" t="s">
        <v>3</v>
      </c>
      <c r="H73" s="22" t="s">
        <v>569</v>
      </c>
      <c r="I73" s="22" t="s">
        <v>557</v>
      </c>
      <c r="J73" s="22" t="s">
        <v>492</v>
      </c>
      <c r="K73" s="22" t="s">
        <v>493</v>
      </c>
      <c r="L73" s="22" t="s">
        <v>569</v>
      </c>
      <c r="M73" s="24">
        <v>246779411187</v>
      </c>
      <c r="N73" s="47"/>
    </row>
    <row r="74" spans="1:14" hidden="1" x14ac:dyDescent="0.35">
      <c r="A74" s="50">
        <v>45722</v>
      </c>
      <c r="B74" s="22" t="s">
        <v>489</v>
      </c>
      <c r="C74" s="23">
        <v>0</v>
      </c>
      <c r="D74" s="23">
        <v>2004</v>
      </c>
      <c r="E74" s="23">
        <v>-2284707.12</v>
      </c>
      <c r="F74" s="22" t="s">
        <v>3</v>
      </c>
      <c r="G74" s="22" t="s">
        <v>3</v>
      </c>
      <c r="H74" s="22" t="s">
        <v>570</v>
      </c>
      <c r="I74" s="22" t="s">
        <v>557</v>
      </c>
      <c r="J74" s="22" t="s">
        <v>492</v>
      </c>
      <c r="K74" s="22" t="s">
        <v>493</v>
      </c>
      <c r="L74" s="22" t="s">
        <v>570</v>
      </c>
      <c r="M74" s="24">
        <v>246779411186</v>
      </c>
      <c r="N74" s="47"/>
    </row>
    <row r="75" spans="1:14" hidden="1" x14ac:dyDescent="0.35">
      <c r="A75" s="50">
        <v>45722</v>
      </c>
      <c r="B75" s="22" t="s">
        <v>489</v>
      </c>
      <c r="C75" s="23">
        <v>0</v>
      </c>
      <c r="D75" s="23">
        <v>2004</v>
      </c>
      <c r="E75" s="23">
        <v>-2286711.12</v>
      </c>
      <c r="F75" s="22" t="s">
        <v>3</v>
      </c>
      <c r="G75" s="22" t="s">
        <v>3</v>
      </c>
      <c r="H75" s="22" t="s">
        <v>571</v>
      </c>
      <c r="I75" s="22" t="s">
        <v>557</v>
      </c>
      <c r="J75" s="22" t="s">
        <v>492</v>
      </c>
      <c r="K75" s="22" t="s">
        <v>493</v>
      </c>
      <c r="L75" s="22" t="s">
        <v>571</v>
      </c>
      <c r="M75" s="24">
        <v>246779411185</v>
      </c>
      <c r="N75" s="47"/>
    </row>
    <row r="76" spans="1:14" hidden="1" x14ac:dyDescent="0.35">
      <c r="A76" s="50">
        <v>45733</v>
      </c>
      <c r="B76" s="22" t="s">
        <v>489</v>
      </c>
      <c r="C76" s="23">
        <v>0</v>
      </c>
      <c r="D76" s="23">
        <v>1842</v>
      </c>
      <c r="E76" s="23">
        <v>-2288553.12</v>
      </c>
      <c r="F76" s="22" t="s">
        <v>3</v>
      </c>
      <c r="G76" s="22" t="s">
        <v>3</v>
      </c>
      <c r="H76" s="22" t="s">
        <v>572</v>
      </c>
      <c r="I76" s="22" t="s">
        <v>573</v>
      </c>
      <c r="J76" s="22" t="s">
        <v>492</v>
      </c>
      <c r="K76" s="22" t="s">
        <v>493</v>
      </c>
      <c r="L76" s="22" t="s">
        <v>572</v>
      </c>
      <c r="M76" s="24">
        <v>246779411758</v>
      </c>
      <c r="N76" s="47"/>
    </row>
    <row r="77" spans="1:14" hidden="1" x14ac:dyDescent="0.35">
      <c r="A77" s="50">
        <v>45733</v>
      </c>
      <c r="B77" s="22" t="s">
        <v>489</v>
      </c>
      <c r="C77" s="23">
        <v>0</v>
      </c>
      <c r="D77" s="23">
        <v>576</v>
      </c>
      <c r="E77" s="23">
        <v>-2289129.12</v>
      </c>
      <c r="F77" s="22" t="s">
        <v>3</v>
      </c>
      <c r="G77" s="22" t="s">
        <v>3</v>
      </c>
      <c r="H77" s="22" t="s">
        <v>574</v>
      </c>
      <c r="I77" s="22" t="s">
        <v>573</v>
      </c>
      <c r="J77" s="22" t="s">
        <v>492</v>
      </c>
      <c r="K77" s="22" t="s">
        <v>493</v>
      </c>
      <c r="L77" s="22" t="s">
        <v>574</v>
      </c>
      <c r="M77" s="24">
        <v>246779411933</v>
      </c>
      <c r="N77" s="47"/>
    </row>
    <row r="78" spans="1:14" hidden="1" x14ac:dyDescent="0.35">
      <c r="A78" s="50">
        <v>45733</v>
      </c>
      <c r="B78" s="22" t="s">
        <v>489</v>
      </c>
      <c r="C78" s="23">
        <v>0</v>
      </c>
      <c r="D78" s="23">
        <v>336</v>
      </c>
      <c r="E78" s="23">
        <v>-2289465.12</v>
      </c>
      <c r="F78" s="22" t="s">
        <v>3</v>
      </c>
      <c r="G78" s="22" t="s">
        <v>3</v>
      </c>
      <c r="H78" s="22" t="s">
        <v>575</v>
      </c>
      <c r="I78" s="22" t="s">
        <v>573</v>
      </c>
      <c r="J78" s="22" t="s">
        <v>492</v>
      </c>
      <c r="K78" s="22" t="s">
        <v>493</v>
      </c>
      <c r="L78" s="22" t="s">
        <v>575</v>
      </c>
      <c r="M78" s="24">
        <v>246779411934</v>
      </c>
      <c r="N78" s="47"/>
    </row>
    <row r="79" spans="1:14" hidden="1" x14ac:dyDescent="0.35">
      <c r="A79" s="50">
        <v>45733</v>
      </c>
      <c r="B79" s="22" t="s">
        <v>489</v>
      </c>
      <c r="C79" s="23">
        <v>0</v>
      </c>
      <c r="D79" s="23">
        <v>576</v>
      </c>
      <c r="E79" s="23">
        <v>-2290041.12</v>
      </c>
      <c r="F79" s="22" t="s">
        <v>3</v>
      </c>
      <c r="G79" s="22" t="s">
        <v>3</v>
      </c>
      <c r="H79" s="22" t="s">
        <v>576</v>
      </c>
      <c r="I79" s="22" t="s">
        <v>573</v>
      </c>
      <c r="J79" s="22" t="s">
        <v>492</v>
      </c>
      <c r="K79" s="22" t="s">
        <v>493</v>
      </c>
      <c r="L79" s="22" t="s">
        <v>576</v>
      </c>
      <c r="M79" s="24">
        <v>246779411935</v>
      </c>
      <c r="N79" s="47"/>
    </row>
    <row r="80" spans="1:14" hidden="1" x14ac:dyDescent="0.35">
      <c r="A80" s="50">
        <v>45735</v>
      </c>
      <c r="B80" s="22" t="s">
        <v>489</v>
      </c>
      <c r="C80" s="23">
        <v>0</v>
      </c>
      <c r="D80" s="23">
        <v>35488</v>
      </c>
      <c r="E80" s="23">
        <v>-2325529.12</v>
      </c>
      <c r="F80" s="22" t="s">
        <v>3</v>
      </c>
      <c r="G80" s="22" t="s">
        <v>3</v>
      </c>
      <c r="H80" s="22" t="s">
        <v>577</v>
      </c>
      <c r="I80" s="22" t="s">
        <v>491</v>
      </c>
      <c r="J80" s="22" t="s">
        <v>492</v>
      </c>
      <c r="K80" s="22" t="s">
        <v>493</v>
      </c>
      <c r="L80" s="22" t="s">
        <v>577</v>
      </c>
      <c r="M80" s="24">
        <v>246779413000</v>
      </c>
      <c r="N80" s="47"/>
    </row>
    <row r="81" spans="1:14" hidden="1" x14ac:dyDescent="0.35">
      <c r="A81" s="50">
        <v>45736</v>
      </c>
      <c r="B81" s="22" t="s">
        <v>489</v>
      </c>
      <c r="C81" s="23">
        <v>0</v>
      </c>
      <c r="D81" s="23">
        <v>1268</v>
      </c>
      <c r="E81" s="23">
        <v>-2326797.12</v>
      </c>
      <c r="F81" s="22" t="s">
        <v>3</v>
      </c>
      <c r="G81" s="22" t="s">
        <v>3</v>
      </c>
      <c r="H81" s="22" t="s">
        <v>578</v>
      </c>
      <c r="I81" s="22" t="s">
        <v>579</v>
      </c>
      <c r="J81" s="22" t="s">
        <v>492</v>
      </c>
      <c r="K81" s="22" t="s">
        <v>493</v>
      </c>
      <c r="L81" s="22" t="s">
        <v>578</v>
      </c>
      <c r="M81" s="24">
        <v>246779414142</v>
      </c>
      <c r="N81" s="47"/>
    </row>
    <row r="82" spans="1:14" hidden="1" x14ac:dyDescent="0.35">
      <c r="A82" s="50">
        <v>45736</v>
      </c>
      <c r="B82" s="22" t="s">
        <v>489</v>
      </c>
      <c r="C82" s="23">
        <v>0</v>
      </c>
      <c r="D82" s="23">
        <v>1408</v>
      </c>
      <c r="E82" s="23">
        <v>-2328205.12</v>
      </c>
      <c r="F82" s="22" t="s">
        <v>3</v>
      </c>
      <c r="G82" s="22" t="s">
        <v>3</v>
      </c>
      <c r="H82" s="22" t="s">
        <v>580</v>
      </c>
      <c r="I82" s="22" t="s">
        <v>581</v>
      </c>
      <c r="J82" s="22" t="s">
        <v>492</v>
      </c>
      <c r="K82" s="22" t="s">
        <v>493</v>
      </c>
      <c r="L82" s="22" t="s">
        <v>580</v>
      </c>
      <c r="M82" s="24">
        <v>246779411051</v>
      </c>
      <c r="N82" s="47"/>
    </row>
    <row r="83" spans="1:14" hidden="1" x14ac:dyDescent="0.35">
      <c r="A83" s="50">
        <v>45736</v>
      </c>
      <c r="B83" s="22" t="s">
        <v>489</v>
      </c>
      <c r="C83" s="23">
        <v>0</v>
      </c>
      <c r="D83" s="23">
        <v>381</v>
      </c>
      <c r="E83" s="23">
        <v>-2328586.12</v>
      </c>
      <c r="F83" s="22" t="s">
        <v>3</v>
      </c>
      <c r="G83" s="22" t="s">
        <v>3</v>
      </c>
      <c r="H83" s="22" t="s">
        <v>582</v>
      </c>
      <c r="I83" s="22" t="s">
        <v>557</v>
      </c>
      <c r="J83" s="22" t="s">
        <v>492</v>
      </c>
      <c r="K83" s="22" t="s">
        <v>493</v>
      </c>
      <c r="L83" s="22" t="s">
        <v>582</v>
      </c>
      <c r="M83" s="24">
        <v>246779411052</v>
      </c>
      <c r="N83" s="47"/>
    </row>
    <row r="84" spans="1:14" hidden="1" x14ac:dyDescent="0.35">
      <c r="A84" s="50">
        <v>45736</v>
      </c>
      <c r="B84" s="22" t="s">
        <v>489</v>
      </c>
      <c r="C84" s="23">
        <v>0</v>
      </c>
      <c r="D84" s="23">
        <v>1981</v>
      </c>
      <c r="E84" s="23">
        <v>-2330567.12</v>
      </c>
      <c r="F84" s="22" t="s">
        <v>3</v>
      </c>
      <c r="G84" s="22" t="s">
        <v>3</v>
      </c>
      <c r="H84" s="22" t="s">
        <v>583</v>
      </c>
      <c r="I84" s="22" t="s">
        <v>581</v>
      </c>
      <c r="J84" s="22" t="s">
        <v>492</v>
      </c>
      <c r="K84" s="22" t="s">
        <v>493</v>
      </c>
      <c r="L84" s="22" t="s">
        <v>583</v>
      </c>
      <c r="M84" s="24">
        <v>246779411053</v>
      </c>
      <c r="N84" s="47"/>
    </row>
    <row r="85" spans="1:14" hidden="1" x14ac:dyDescent="0.35">
      <c r="A85" s="50">
        <v>45736</v>
      </c>
      <c r="B85" s="22" t="s">
        <v>489</v>
      </c>
      <c r="C85" s="23">
        <v>0</v>
      </c>
      <c r="D85" s="23">
        <v>1907</v>
      </c>
      <c r="E85" s="23">
        <v>-2332474.12</v>
      </c>
      <c r="F85" s="22" t="s">
        <v>3</v>
      </c>
      <c r="G85" s="22" t="s">
        <v>3</v>
      </c>
      <c r="H85" s="22" t="s">
        <v>584</v>
      </c>
      <c r="I85" s="22" t="s">
        <v>557</v>
      </c>
      <c r="J85" s="22" t="s">
        <v>492</v>
      </c>
      <c r="K85" s="22" t="s">
        <v>493</v>
      </c>
      <c r="L85" s="22" t="s">
        <v>584</v>
      </c>
      <c r="M85" s="24">
        <v>246779411050</v>
      </c>
      <c r="N85" s="47"/>
    </row>
    <row r="86" spans="1:14" hidden="1" x14ac:dyDescent="0.35">
      <c r="A86" s="50">
        <v>45736</v>
      </c>
      <c r="B86" s="22" t="s">
        <v>489</v>
      </c>
      <c r="C86" s="23">
        <v>0</v>
      </c>
      <c r="D86" s="23">
        <v>596</v>
      </c>
      <c r="E86" s="23">
        <v>-2333070.12</v>
      </c>
      <c r="F86" s="22" t="s">
        <v>3</v>
      </c>
      <c r="G86" s="22" t="s">
        <v>3</v>
      </c>
      <c r="H86" s="22" t="s">
        <v>585</v>
      </c>
      <c r="I86" s="22" t="s">
        <v>500</v>
      </c>
      <c r="J86" s="22" t="s">
        <v>492</v>
      </c>
      <c r="K86" s="22" t="s">
        <v>493</v>
      </c>
      <c r="L86" s="22" t="s">
        <v>585</v>
      </c>
      <c r="M86" s="24">
        <v>246779413782</v>
      </c>
      <c r="N86" s="47"/>
    </row>
    <row r="87" spans="1:14" hidden="1" x14ac:dyDescent="0.35">
      <c r="A87" s="50">
        <v>45736</v>
      </c>
      <c r="B87" s="22" t="s">
        <v>489</v>
      </c>
      <c r="C87" s="23">
        <v>0</v>
      </c>
      <c r="D87" s="23">
        <v>3578</v>
      </c>
      <c r="E87" s="23">
        <v>-2336648.12</v>
      </c>
      <c r="F87" s="22" t="s">
        <v>3</v>
      </c>
      <c r="G87" s="22" t="s">
        <v>3</v>
      </c>
      <c r="H87" s="22" t="s">
        <v>586</v>
      </c>
      <c r="I87" s="22" t="s">
        <v>500</v>
      </c>
      <c r="J87" s="22" t="s">
        <v>492</v>
      </c>
      <c r="K87" s="22" t="s">
        <v>493</v>
      </c>
      <c r="L87" s="22" t="s">
        <v>586</v>
      </c>
      <c r="M87" s="24">
        <v>246779413627</v>
      </c>
      <c r="N87" s="47"/>
    </row>
    <row r="88" spans="1:14" hidden="1" x14ac:dyDescent="0.35">
      <c r="A88" s="50">
        <v>45736</v>
      </c>
      <c r="B88" s="22" t="s">
        <v>489</v>
      </c>
      <c r="C88" s="23">
        <v>0</v>
      </c>
      <c r="D88" s="23">
        <v>198</v>
      </c>
      <c r="E88" s="23">
        <v>-2336846.12</v>
      </c>
      <c r="F88" s="22" t="s">
        <v>3</v>
      </c>
      <c r="G88" s="22" t="s">
        <v>3</v>
      </c>
      <c r="H88" s="22" t="s">
        <v>587</v>
      </c>
      <c r="I88" s="22" t="s">
        <v>500</v>
      </c>
      <c r="J88" s="22" t="s">
        <v>492</v>
      </c>
      <c r="K88" s="22" t="s">
        <v>493</v>
      </c>
      <c r="L88" s="22" t="s">
        <v>587</v>
      </c>
      <c r="M88" s="24">
        <v>246779413628</v>
      </c>
      <c r="N88" s="47"/>
    </row>
    <row r="89" spans="1:14" hidden="1" x14ac:dyDescent="0.35">
      <c r="A89" s="50">
        <v>45736</v>
      </c>
      <c r="B89" s="22" t="s">
        <v>489</v>
      </c>
      <c r="C89" s="23">
        <v>0</v>
      </c>
      <c r="D89" s="23">
        <v>397</v>
      </c>
      <c r="E89" s="23">
        <v>-2337243.12</v>
      </c>
      <c r="F89" s="22" t="s">
        <v>3</v>
      </c>
      <c r="G89" s="22" t="s">
        <v>3</v>
      </c>
      <c r="H89" s="22" t="s">
        <v>588</v>
      </c>
      <c r="I89" s="22" t="s">
        <v>500</v>
      </c>
      <c r="J89" s="22" t="s">
        <v>492</v>
      </c>
      <c r="K89" s="22" t="s">
        <v>493</v>
      </c>
      <c r="L89" s="22" t="s">
        <v>588</v>
      </c>
      <c r="M89" s="24">
        <v>246779413629</v>
      </c>
      <c r="N89" s="47"/>
    </row>
    <row r="90" spans="1:14" hidden="1" x14ac:dyDescent="0.35">
      <c r="A90" s="50">
        <v>45736</v>
      </c>
      <c r="B90" s="22" t="s">
        <v>489</v>
      </c>
      <c r="C90" s="23">
        <v>0</v>
      </c>
      <c r="D90" s="23">
        <v>198</v>
      </c>
      <c r="E90" s="23">
        <v>-2337441.12</v>
      </c>
      <c r="F90" s="22" t="s">
        <v>3</v>
      </c>
      <c r="G90" s="22" t="s">
        <v>3</v>
      </c>
      <c r="H90" s="22" t="s">
        <v>589</v>
      </c>
      <c r="I90" s="22" t="s">
        <v>500</v>
      </c>
      <c r="J90" s="22" t="s">
        <v>492</v>
      </c>
      <c r="K90" s="22" t="s">
        <v>493</v>
      </c>
      <c r="L90" s="22" t="s">
        <v>589</v>
      </c>
      <c r="M90" s="24">
        <v>246779413690</v>
      </c>
      <c r="N90" s="47"/>
    </row>
    <row r="91" spans="1:14" hidden="1" x14ac:dyDescent="0.35">
      <c r="A91" s="50">
        <v>45736</v>
      </c>
      <c r="B91" s="22" t="s">
        <v>489</v>
      </c>
      <c r="C91" s="23">
        <v>0</v>
      </c>
      <c r="D91" s="23">
        <v>7156</v>
      </c>
      <c r="E91" s="23">
        <v>-2344597.12</v>
      </c>
      <c r="F91" s="22" t="s">
        <v>3</v>
      </c>
      <c r="G91" s="22" t="s">
        <v>3</v>
      </c>
      <c r="H91" s="22" t="s">
        <v>590</v>
      </c>
      <c r="I91" s="22" t="s">
        <v>500</v>
      </c>
      <c r="J91" s="22" t="s">
        <v>492</v>
      </c>
      <c r="K91" s="22" t="s">
        <v>493</v>
      </c>
      <c r="L91" s="22" t="s">
        <v>590</v>
      </c>
      <c r="M91" s="24">
        <v>246779413626</v>
      </c>
      <c r="N91" s="47"/>
    </row>
    <row r="92" spans="1:14" hidden="1" x14ac:dyDescent="0.35">
      <c r="A92" s="50">
        <v>45736</v>
      </c>
      <c r="B92" s="22" t="s">
        <v>489</v>
      </c>
      <c r="C92" s="23">
        <v>0</v>
      </c>
      <c r="D92" s="23">
        <v>198</v>
      </c>
      <c r="E92" s="23">
        <v>-2344795.12</v>
      </c>
      <c r="F92" s="22" t="s">
        <v>3</v>
      </c>
      <c r="G92" s="22" t="s">
        <v>3</v>
      </c>
      <c r="H92" s="22" t="s">
        <v>591</v>
      </c>
      <c r="I92" s="22" t="s">
        <v>500</v>
      </c>
      <c r="J92" s="22" t="s">
        <v>492</v>
      </c>
      <c r="K92" s="22" t="s">
        <v>493</v>
      </c>
      <c r="L92" s="22" t="s">
        <v>591</v>
      </c>
      <c r="M92" s="24">
        <v>246779413625</v>
      </c>
      <c r="N92" s="47"/>
    </row>
    <row r="93" spans="1:14" hidden="1" x14ac:dyDescent="0.35">
      <c r="A93" s="50">
        <v>45736</v>
      </c>
      <c r="B93" s="22" t="s">
        <v>489</v>
      </c>
      <c r="C93" s="23">
        <v>0</v>
      </c>
      <c r="D93" s="23">
        <v>1590</v>
      </c>
      <c r="E93" s="23">
        <v>-2346385.12</v>
      </c>
      <c r="F93" s="22" t="s">
        <v>3</v>
      </c>
      <c r="G93" s="22" t="s">
        <v>3</v>
      </c>
      <c r="H93" s="22" t="s">
        <v>592</v>
      </c>
      <c r="I93" s="22" t="s">
        <v>500</v>
      </c>
      <c r="J93" s="22" t="s">
        <v>492</v>
      </c>
      <c r="K93" s="22" t="s">
        <v>493</v>
      </c>
      <c r="L93" s="22" t="s">
        <v>592</v>
      </c>
      <c r="M93" s="24">
        <v>246779413622</v>
      </c>
      <c r="N93" s="47"/>
    </row>
    <row r="94" spans="1:14" hidden="1" x14ac:dyDescent="0.35">
      <c r="A94" s="50">
        <v>45736</v>
      </c>
      <c r="B94" s="22" t="s">
        <v>489</v>
      </c>
      <c r="C94" s="23">
        <v>0</v>
      </c>
      <c r="D94" s="23">
        <v>198</v>
      </c>
      <c r="E94" s="23">
        <v>-2346583.12</v>
      </c>
      <c r="F94" s="22" t="s">
        <v>3</v>
      </c>
      <c r="G94" s="22" t="s">
        <v>3</v>
      </c>
      <c r="H94" s="22" t="s">
        <v>593</v>
      </c>
      <c r="I94" s="22" t="s">
        <v>500</v>
      </c>
      <c r="J94" s="22" t="s">
        <v>492</v>
      </c>
      <c r="K94" s="22" t="s">
        <v>493</v>
      </c>
      <c r="L94" s="22" t="s">
        <v>593</v>
      </c>
      <c r="M94" s="24">
        <v>246779413623</v>
      </c>
      <c r="N94" s="47"/>
    </row>
    <row r="95" spans="1:14" hidden="1" x14ac:dyDescent="0.35">
      <c r="A95" s="50">
        <v>45736</v>
      </c>
      <c r="B95" s="22" t="s">
        <v>489</v>
      </c>
      <c r="C95" s="23">
        <v>0</v>
      </c>
      <c r="D95" s="23">
        <v>596</v>
      </c>
      <c r="E95" s="23">
        <v>-2347179.12</v>
      </c>
      <c r="F95" s="22" t="s">
        <v>3</v>
      </c>
      <c r="G95" s="22" t="s">
        <v>3</v>
      </c>
      <c r="H95" s="22" t="s">
        <v>594</v>
      </c>
      <c r="I95" s="22" t="s">
        <v>500</v>
      </c>
      <c r="J95" s="22" t="s">
        <v>492</v>
      </c>
      <c r="K95" s="22" t="s">
        <v>493</v>
      </c>
      <c r="L95" s="22" t="s">
        <v>594</v>
      </c>
      <c r="M95" s="24">
        <v>246779413624</v>
      </c>
      <c r="N95" s="47"/>
    </row>
    <row r="96" spans="1:14" hidden="1" x14ac:dyDescent="0.35">
      <c r="A96" s="50">
        <v>45747</v>
      </c>
      <c r="B96" s="22" t="s">
        <v>489</v>
      </c>
      <c r="C96" s="23">
        <v>0</v>
      </c>
      <c r="D96" s="23">
        <v>4387</v>
      </c>
      <c r="E96" s="23">
        <v>-2351566.12</v>
      </c>
      <c r="F96" s="22" t="s">
        <v>3</v>
      </c>
      <c r="G96" s="22" t="s">
        <v>3</v>
      </c>
      <c r="H96" s="22" t="s">
        <v>595</v>
      </c>
      <c r="I96" s="22" t="s">
        <v>557</v>
      </c>
      <c r="J96" s="22" t="s">
        <v>492</v>
      </c>
      <c r="K96" s="22" t="s">
        <v>493</v>
      </c>
      <c r="L96" s="22" t="s">
        <v>595</v>
      </c>
      <c r="M96" s="24">
        <v>246779411054</v>
      </c>
      <c r="N96" s="47"/>
    </row>
    <row r="97" spans="1:14" hidden="1" x14ac:dyDescent="0.35">
      <c r="A97" s="50">
        <v>45747</v>
      </c>
      <c r="B97" s="22" t="s">
        <v>489</v>
      </c>
      <c r="C97" s="23">
        <v>0</v>
      </c>
      <c r="D97" s="23">
        <v>1408</v>
      </c>
      <c r="E97" s="23">
        <v>-2352974.12</v>
      </c>
      <c r="F97" s="22" t="s">
        <v>3</v>
      </c>
      <c r="G97" s="22" t="s">
        <v>3</v>
      </c>
      <c r="H97" s="22" t="s">
        <v>596</v>
      </c>
      <c r="I97" s="22" t="s">
        <v>559</v>
      </c>
      <c r="J97" s="22" t="s">
        <v>492</v>
      </c>
      <c r="K97" s="22" t="s">
        <v>493</v>
      </c>
      <c r="L97" s="22" t="s">
        <v>596</v>
      </c>
      <c r="M97" s="24">
        <v>246779411055</v>
      </c>
      <c r="N97" s="47"/>
    </row>
    <row r="98" spans="1:14" hidden="1" x14ac:dyDescent="0.35">
      <c r="A98" s="50">
        <v>45747</v>
      </c>
      <c r="B98" s="22" t="s">
        <v>489</v>
      </c>
      <c r="C98" s="23">
        <v>0</v>
      </c>
      <c r="D98" s="23">
        <v>3434</v>
      </c>
      <c r="E98" s="23">
        <v>-2356408.12</v>
      </c>
      <c r="F98" s="22" t="s">
        <v>3</v>
      </c>
      <c r="G98" s="22" t="s">
        <v>3</v>
      </c>
      <c r="H98" s="22" t="s">
        <v>597</v>
      </c>
      <c r="I98" s="22" t="s">
        <v>557</v>
      </c>
      <c r="J98" s="22" t="s">
        <v>492</v>
      </c>
      <c r="K98" s="22" t="s">
        <v>493</v>
      </c>
      <c r="L98" s="22" t="s">
        <v>597</v>
      </c>
      <c r="M98" s="24">
        <v>246779411248</v>
      </c>
      <c r="N98" s="47"/>
    </row>
    <row r="99" spans="1:14" hidden="1" x14ac:dyDescent="0.35">
      <c r="A99" s="50">
        <v>45747</v>
      </c>
      <c r="B99" s="22" t="s">
        <v>489</v>
      </c>
      <c r="C99" s="23">
        <v>0</v>
      </c>
      <c r="D99" s="23">
        <v>13737</v>
      </c>
      <c r="E99" s="23">
        <v>-2370145.12</v>
      </c>
      <c r="F99" s="22" t="s">
        <v>3</v>
      </c>
      <c r="G99" s="22" t="s">
        <v>3</v>
      </c>
      <c r="H99" s="22" t="s">
        <v>598</v>
      </c>
      <c r="I99" s="22" t="s">
        <v>557</v>
      </c>
      <c r="J99" s="22" t="s">
        <v>492</v>
      </c>
      <c r="K99" s="22" t="s">
        <v>493</v>
      </c>
      <c r="L99" s="22" t="s">
        <v>598</v>
      </c>
      <c r="M99" s="24">
        <v>246779411249</v>
      </c>
      <c r="N99" s="47"/>
    </row>
    <row r="100" spans="1:14" hidden="1" x14ac:dyDescent="0.35">
      <c r="A100" s="50">
        <v>45747</v>
      </c>
      <c r="B100" s="22" t="s">
        <v>489</v>
      </c>
      <c r="C100" s="23">
        <v>0</v>
      </c>
      <c r="D100" s="23">
        <v>1599</v>
      </c>
      <c r="E100" s="23">
        <v>-2371744.12</v>
      </c>
      <c r="F100" s="22" t="s">
        <v>3</v>
      </c>
      <c r="G100" s="22" t="s">
        <v>3</v>
      </c>
      <c r="H100" s="22" t="s">
        <v>599</v>
      </c>
      <c r="I100" s="22" t="s">
        <v>559</v>
      </c>
      <c r="J100" s="22" t="s">
        <v>492</v>
      </c>
      <c r="K100" s="22" t="s">
        <v>493</v>
      </c>
      <c r="L100" s="22" t="s">
        <v>599</v>
      </c>
      <c r="M100" s="24">
        <v>246779411250</v>
      </c>
      <c r="N100" s="47"/>
    </row>
    <row r="101" spans="1:14" hidden="1" x14ac:dyDescent="0.35">
      <c r="A101" s="50">
        <v>45747</v>
      </c>
      <c r="B101" s="22" t="s">
        <v>489</v>
      </c>
      <c r="C101" s="23">
        <v>0</v>
      </c>
      <c r="D101" s="23">
        <v>1599</v>
      </c>
      <c r="E101" s="23">
        <v>-2373343.12</v>
      </c>
      <c r="F101" s="22" t="s">
        <v>3</v>
      </c>
      <c r="G101" s="22" t="s">
        <v>3</v>
      </c>
      <c r="H101" s="22" t="s">
        <v>600</v>
      </c>
      <c r="I101" s="22" t="s">
        <v>559</v>
      </c>
      <c r="J101" s="22" t="s">
        <v>492</v>
      </c>
      <c r="K101" s="22" t="s">
        <v>493</v>
      </c>
      <c r="L101" s="22" t="s">
        <v>600</v>
      </c>
      <c r="M101" s="24">
        <v>246779411251</v>
      </c>
      <c r="N101" s="47"/>
    </row>
    <row r="102" spans="1:14" hidden="1" x14ac:dyDescent="0.35">
      <c r="A102" s="50">
        <v>45747</v>
      </c>
      <c r="B102" s="22" t="s">
        <v>489</v>
      </c>
      <c r="C102" s="23">
        <v>0</v>
      </c>
      <c r="D102" s="23">
        <v>1907</v>
      </c>
      <c r="E102" s="23">
        <v>-2375250.12</v>
      </c>
      <c r="F102" s="22" t="s">
        <v>3</v>
      </c>
      <c r="G102" s="22" t="s">
        <v>3</v>
      </c>
      <c r="H102" s="22" t="s">
        <v>601</v>
      </c>
      <c r="I102" s="22" t="s">
        <v>557</v>
      </c>
      <c r="J102" s="22" t="s">
        <v>492</v>
      </c>
      <c r="K102" s="22" t="s">
        <v>493</v>
      </c>
      <c r="L102" s="22" t="s">
        <v>601</v>
      </c>
      <c r="M102" s="24">
        <v>246779411252</v>
      </c>
      <c r="N102" s="47"/>
    </row>
    <row r="103" spans="1:14" hidden="1" x14ac:dyDescent="0.35">
      <c r="A103" s="50">
        <v>45747</v>
      </c>
      <c r="B103" s="22" t="s">
        <v>489</v>
      </c>
      <c r="C103" s="23">
        <v>0</v>
      </c>
      <c r="D103" s="23">
        <v>1907</v>
      </c>
      <c r="E103" s="23">
        <v>-2377157.12</v>
      </c>
      <c r="F103" s="22" t="s">
        <v>3</v>
      </c>
      <c r="G103" s="22" t="s">
        <v>3</v>
      </c>
      <c r="H103" s="22" t="s">
        <v>602</v>
      </c>
      <c r="I103" s="22" t="s">
        <v>557</v>
      </c>
      <c r="J103" s="22" t="s">
        <v>492</v>
      </c>
      <c r="K103" s="22" t="s">
        <v>493</v>
      </c>
      <c r="L103" s="22" t="s">
        <v>602</v>
      </c>
      <c r="M103" s="24">
        <v>246779414317</v>
      </c>
      <c r="N103" s="47"/>
    </row>
    <row r="104" spans="1:14" hidden="1" x14ac:dyDescent="0.35">
      <c r="A104" s="50">
        <v>45747</v>
      </c>
      <c r="B104" s="22" t="s">
        <v>489</v>
      </c>
      <c r="C104" s="23">
        <v>0</v>
      </c>
      <c r="D104" s="23">
        <v>4652</v>
      </c>
      <c r="E104" s="23">
        <v>-2381809.12</v>
      </c>
      <c r="F104" s="22" t="s">
        <v>3</v>
      </c>
      <c r="G104" s="22" t="s">
        <v>3</v>
      </c>
      <c r="H104" s="22" t="s">
        <v>603</v>
      </c>
      <c r="I104" s="22" t="s">
        <v>557</v>
      </c>
      <c r="J104" s="22" t="s">
        <v>492</v>
      </c>
      <c r="K104" s="22" t="s">
        <v>493</v>
      </c>
      <c r="L104" s="22" t="s">
        <v>603</v>
      </c>
      <c r="M104" s="24">
        <v>246779414141</v>
      </c>
      <c r="N104" s="47"/>
    </row>
    <row r="105" spans="1:14" hidden="1" x14ac:dyDescent="0.35">
      <c r="A105" s="50">
        <v>45747</v>
      </c>
      <c r="B105" s="22" t="s">
        <v>489</v>
      </c>
      <c r="C105" s="23">
        <v>0</v>
      </c>
      <c r="D105" s="23">
        <v>2674</v>
      </c>
      <c r="E105" s="23">
        <v>-2384483.12</v>
      </c>
      <c r="F105" s="22" t="s">
        <v>3</v>
      </c>
      <c r="G105" s="22" t="s">
        <v>3</v>
      </c>
      <c r="H105" s="22" t="s">
        <v>604</v>
      </c>
      <c r="I105" s="22" t="s">
        <v>557</v>
      </c>
      <c r="J105" s="22" t="s">
        <v>492</v>
      </c>
      <c r="K105" s="22" t="s">
        <v>493</v>
      </c>
      <c r="L105" s="22" t="s">
        <v>604</v>
      </c>
      <c r="M105" s="24">
        <v>246779414467</v>
      </c>
      <c r="N105" s="47"/>
    </row>
    <row r="106" spans="1:14" hidden="1" x14ac:dyDescent="0.35">
      <c r="A106" s="50">
        <v>45747</v>
      </c>
      <c r="B106" s="22" t="s">
        <v>489</v>
      </c>
      <c r="C106" s="23">
        <v>0</v>
      </c>
      <c r="D106" s="23">
        <v>34760</v>
      </c>
      <c r="E106" s="23">
        <v>-2419243.12</v>
      </c>
      <c r="F106" s="22" t="s">
        <v>3</v>
      </c>
      <c r="G106" s="22" t="s">
        <v>3</v>
      </c>
      <c r="H106" s="22" t="s">
        <v>605</v>
      </c>
      <c r="I106" s="22" t="s">
        <v>500</v>
      </c>
      <c r="J106" s="22" t="s">
        <v>492</v>
      </c>
      <c r="K106" s="22" t="s">
        <v>493</v>
      </c>
      <c r="L106" s="22" t="s">
        <v>605</v>
      </c>
      <c r="M106" s="24">
        <v>246779414603</v>
      </c>
      <c r="N106" s="47"/>
    </row>
    <row r="107" spans="1:14" hidden="1" x14ac:dyDescent="0.35">
      <c r="A107" s="50">
        <v>45747</v>
      </c>
      <c r="B107" s="22" t="s">
        <v>489</v>
      </c>
      <c r="C107" s="23">
        <v>0</v>
      </c>
      <c r="D107" s="23">
        <v>480</v>
      </c>
      <c r="E107" s="23">
        <v>-2419723.12</v>
      </c>
      <c r="F107" s="22" t="s">
        <v>3</v>
      </c>
      <c r="G107" s="22" t="s">
        <v>3</v>
      </c>
      <c r="H107" s="22" t="s">
        <v>606</v>
      </c>
      <c r="I107" s="22" t="s">
        <v>573</v>
      </c>
      <c r="J107" s="22" t="s">
        <v>492</v>
      </c>
      <c r="K107" s="22" t="s">
        <v>493</v>
      </c>
      <c r="L107" s="22" t="s">
        <v>606</v>
      </c>
      <c r="M107" s="24">
        <v>246779411936</v>
      </c>
      <c r="N107" s="47"/>
    </row>
    <row r="108" spans="1:14" x14ac:dyDescent="0.35">
      <c r="A108" s="50">
        <v>45812</v>
      </c>
      <c r="B108" s="22" t="s">
        <v>489</v>
      </c>
      <c r="C108" s="23">
        <v>500946.52</v>
      </c>
      <c r="D108" s="23">
        <v>0</v>
      </c>
      <c r="E108" s="23">
        <v>-4533320.5999999996</v>
      </c>
      <c r="F108" s="22" t="s">
        <v>726</v>
      </c>
      <c r="G108" s="22" t="s">
        <v>2</v>
      </c>
      <c r="H108" s="22" t="s">
        <v>731</v>
      </c>
      <c r="I108" s="22" t="s">
        <v>728</v>
      </c>
      <c r="J108" s="22" t="s">
        <v>492</v>
      </c>
      <c r="K108" s="22" t="s">
        <v>493</v>
      </c>
      <c r="L108" s="22" t="s">
        <v>732</v>
      </c>
      <c r="M108" s="24">
        <v>246779410117</v>
      </c>
      <c r="N108" s="47"/>
    </row>
    <row r="109" spans="1:14" x14ac:dyDescent="0.35">
      <c r="A109" s="50">
        <v>45849</v>
      </c>
      <c r="B109" s="22" t="s">
        <v>489</v>
      </c>
      <c r="C109" s="23">
        <v>0</v>
      </c>
      <c r="D109" s="23">
        <v>151725</v>
      </c>
      <c r="E109" s="23">
        <v>-1632350.6</v>
      </c>
      <c r="F109" s="22" t="s">
        <v>3</v>
      </c>
      <c r="G109" s="22" t="s">
        <v>3</v>
      </c>
      <c r="H109" s="22" t="s">
        <v>743</v>
      </c>
      <c r="I109" s="22" t="s">
        <v>507</v>
      </c>
      <c r="J109" s="22" t="s">
        <v>492</v>
      </c>
      <c r="K109" s="22" t="s">
        <v>493</v>
      </c>
      <c r="L109" s="22" t="s">
        <v>743</v>
      </c>
      <c r="M109" s="24">
        <v>246779410348</v>
      </c>
      <c r="N109" s="47"/>
    </row>
    <row r="110" spans="1:14" x14ac:dyDescent="0.35">
      <c r="A110" s="50">
        <v>45937</v>
      </c>
      <c r="B110" s="22" t="s">
        <v>489</v>
      </c>
      <c r="C110" s="23">
        <v>15778</v>
      </c>
      <c r="D110" s="23">
        <v>15778</v>
      </c>
      <c r="E110" s="23">
        <v>-757662.59999999963</v>
      </c>
      <c r="F110" s="22" t="s">
        <v>792</v>
      </c>
      <c r="G110" s="22" t="s">
        <v>1</v>
      </c>
      <c r="H110" s="22" t="s">
        <v>795</v>
      </c>
      <c r="I110" s="22"/>
      <c r="J110" s="22" t="s">
        <v>492</v>
      </c>
      <c r="K110" s="22" t="s">
        <v>493</v>
      </c>
      <c r="L110" s="22" t="s">
        <v>796</v>
      </c>
      <c r="M110" s="24">
        <v>246779410348</v>
      </c>
      <c r="N110" s="47"/>
    </row>
    <row r="111" spans="1:14" hidden="1" x14ac:dyDescent="0.35">
      <c r="A111" s="50">
        <v>45747</v>
      </c>
      <c r="B111" s="22" t="s">
        <v>489</v>
      </c>
      <c r="C111" s="23">
        <v>0</v>
      </c>
      <c r="D111" s="23">
        <v>31723</v>
      </c>
      <c r="E111" s="23">
        <v>-2522653.12</v>
      </c>
      <c r="F111" s="22" t="s">
        <v>3</v>
      </c>
      <c r="G111" s="22" t="s">
        <v>3</v>
      </c>
      <c r="H111" s="22" t="s">
        <v>611</v>
      </c>
      <c r="I111" s="22" t="s">
        <v>608</v>
      </c>
      <c r="J111" s="22" t="s">
        <v>492</v>
      </c>
      <c r="K111" s="22" t="s">
        <v>493</v>
      </c>
      <c r="L111" s="22" t="s">
        <v>611</v>
      </c>
      <c r="M111" s="24">
        <v>246779413753</v>
      </c>
      <c r="N111" s="47"/>
    </row>
    <row r="112" spans="1:14" hidden="1" x14ac:dyDescent="0.35">
      <c r="A112" s="50">
        <v>45747</v>
      </c>
      <c r="B112" s="22" t="s">
        <v>489</v>
      </c>
      <c r="C112" s="23">
        <v>0</v>
      </c>
      <c r="D112" s="23">
        <v>191</v>
      </c>
      <c r="E112" s="23">
        <v>-2522844.12</v>
      </c>
      <c r="F112" s="22" t="s">
        <v>3</v>
      </c>
      <c r="G112" s="22" t="s">
        <v>3</v>
      </c>
      <c r="H112" s="22" t="s">
        <v>612</v>
      </c>
      <c r="I112" s="22" t="s">
        <v>500</v>
      </c>
      <c r="J112" s="22" t="s">
        <v>492</v>
      </c>
      <c r="K112" s="22" t="s">
        <v>493</v>
      </c>
      <c r="L112" s="22" t="s">
        <v>612</v>
      </c>
      <c r="M112" s="24">
        <v>246779413762</v>
      </c>
      <c r="N112" s="47"/>
    </row>
    <row r="113" spans="1:14" hidden="1" x14ac:dyDescent="0.35">
      <c r="A113" s="50">
        <v>45747</v>
      </c>
      <c r="B113" s="22" t="s">
        <v>489</v>
      </c>
      <c r="C113" s="23">
        <v>0</v>
      </c>
      <c r="D113" s="23">
        <v>3064</v>
      </c>
      <c r="E113" s="23">
        <v>-2525908.12</v>
      </c>
      <c r="F113" s="22" t="s">
        <v>3</v>
      </c>
      <c r="G113" s="22" t="s">
        <v>3</v>
      </c>
      <c r="H113" s="22" t="s">
        <v>613</v>
      </c>
      <c r="I113" s="22" t="s">
        <v>500</v>
      </c>
      <c r="J113" s="22" t="s">
        <v>492</v>
      </c>
      <c r="K113" s="22" t="s">
        <v>493</v>
      </c>
      <c r="L113" s="22" t="s">
        <v>613</v>
      </c>
      <c r="M113" s="24">
        <v>246779413745</v>
      </c>
      <c r="N113" s="47"/>
    </row>
    <row r="114" spans="1:14" hidden="1" x14ac:dyDescent="0.35">
      <c r="A114" s="50">
        <v>45747</v>
      </c>
      <c r="B114" s="22" t="s">
        <v>489</v>
      </c>
      <c r="C114" s="23">
        <v>0</v>
      </c>
      <c r="D114" s="23">
        <v>3448</v>
      </c>
      <c r="E114" s="23">
        <v>-2529356.12</v>
      </c>
      <c r="F114" s="22" t="s">
        <v>3</v>
      </c>
      <c r="G114" s="22" t="s">
        <v>3</v>
      </c>
      <c r="H114" s="22" t="s">
        <v>614</v>
      </c>
      <c r="I114" s="22" t="s">
        <v>500</v>
      </c>
      <c r="J114" s="22" t="s">
        <v>492</v>
      </c>
      <c r="K114" s="22" t="s">
        <v>493</v>
      </c>
      <c r="L114" s="22" t="s">
        <v>614</v>
      </c>
      <c r="M114" s="24">
        <v>246779413734</v>
      </c>
      <c r="N114" s="47"/>
    </row>
    <row r="115" spans="1:14" hidden="1" x14ac:dyDescent="0.35">
      <c r="A115" s="50">
        <v>45747</v>
      </c>
      <c r="B115" s="22" t="s">
        <v>489</v>
      </c>
      <c r="C115" s="23">
        <v>0</v>
      </c>
      <c r="D115" s="23">
        <v>6513</v>
      </c>
      <c r="E115" s="23">
        <v>-2535869.12</v>
      </c>
      <c r="F115" s="22" t="s">
        <v>3</v>
      </c>
      <c r="G115" s="22" t="s">
        <v>3</v>
      </c>
      <c r="H115" s="22" t="s">
        <v>615</v>
      </c>
      <c r="I115" s="22" t="s">
        <v>500</v>
      </c>
      <c r="J115" s="22" t="s">
        <v>492</v>
      </c>
      <c r="K115" s="22" t="s">
        <v>493</v>
      </c>
      <c r="L115" s="22" t="s">
        <v>615</v>
      </c>
      <c r="M115" s="24">
        <v>246779413736</v>
      </c>
      <c r="N115" s="47"/>
    </row>
    <row r="116" spans="1:14" hidden="1" x14ac:dyDescent="0.35">
      <c r="A116" s="50">
        <v>45747</v>
      </c>
      <c r="B116" s="22" t="s">
        <v>489</v>
      </c>
      <c r="C116" s="23">
        <v>0</v>
      </c>
      <c r="D116" s="23">
        <v>1724</v>
      </c>
      <c r="E116" s="23">
        <v>-2537593.12</v>
      </c>
      <c r="F116" s="22" t="s">
        <v>3</v>
      </c>
      <c r="G116" s="22" t="s">
        <v>3</v>
      </c>
      <c r="H116" s="22" t="s">
        <v>616</v>
      </c>
      <c r="I116" s="22" t="s">
        <v>500</v>
      </c>
      <c r="J116" s="22" t="s">
        <v>492</v>
      </c>
      <c r="K116" s="22" t="s">
        <v>493</v>
      </c>
      <c r="L116" s="22" t="s">
        <v>616</v>
      </c>
      <c r="M116" s="24">
        <v>246779413739</v>
      </c>
      <c r="N116" s="47"/>
    </row>
    <row r="117" spans="1:14" hidden="1" x14ac:dyDescent="0.35">
      <c r="A117" s="50">
        <v>45747</v>
      </c>
      <c r="B117" s="22" t="s">
        <v>489</v>
      </c>
      <c r="C117" s="23">
        <v>0</v>
      </c>
      <c r="D117" s="23">
        <v>1149</v>
      </c>
      <c r="E117" s="23">
        <v>-2538742.12</v>
      </c>
      <c r="F117" s="22" t="s">
        <v>3</v>
      </c>
      <c r="G117" s="22" t="s">
        <v>3</v>
      </c>
      <c r="H117" s="22" t="s">
        <v>617</v>
      </c>
      <c r="I117" s="22" t="s">
        <v>500</v>
      </c>
      <c r="J117" s="22" t="s">
        <v>492</v>
      </c>
      <c r="K117" s="22" t="s">
        <v>493</v>
      </c>
      <c r="L117" s="22" t="s">
        <v>617</v>
      </c>
      <c r="M117" s="24">
        <v>246779413742</v>
      </c>
      <c r="N117" s="47"/>
    </row>
    <row r="118" spans="1:14" hidden="1" x14ac:dyDescent="0.35">
      <c r="A118" s="50">
        <v>45747</v>
      </c>
      <c r="B118" s="22" t="s">
        <v>489</v>
      </c>
      <c r="C118" s="23">
        <v>0</v>
      </c>
      <c r="D118" s="23">
        <v>191</v>
      </c>
      <c r="E118" s="23">
        <v>-2538933.12</v>
      </c>
      <c r="F118" s="22" t="s">
        <v>3</v>
      </c>
      <c r="G118" s="22" t="s">
        <v>3</v>
      </c>
      <c r="H118" s="22" t="s">
        <v>618</v>
      </c>
      <c r="I118" s="22" t="s">
        <v>500</v>
      </c>
      <c r="J118" s="22" t="s">
        <v>492</v>
      </c>
      <c r="K118" s="22" t="s">
        <v>493</v>
      </c>
      <c r="L118" s="22" t="s">
        <v>618</v>
      </c>
      <c r="M118" s="24">
        <v>246779413692</v>
      </c>
      <c r="N118" s="47"/>
    </row>
    <row r="119" spans="1:14" hidden="1" x14ac:dyDescent="0.35">
      <c r="A119" s="50">
        <v>45747</v>
      </c>
      <c r="B119" s="22" t="s">
        <v>489</v>
      </c>
      <c r="C119" s="23">
        <v>0</v>
      </c>
      <c r="D119" s="23">
        <v>6896</v>
      </c>
      <c r="E119" s="23">
        <v>-2545829.12</v>
      </c>
      <c r="F119" s="22" t="s">
        <v>3</v>
      </c>
      <c r="G119" s="22" t="s">
        <v>3</v>
      </c>
      <c r="H119" s="22" t="s">
        <v>619</v>
      </c>
      <c r="I119" s="22" t="s">
        <v>500</v>
      </c>
      <c r="J119" s="22" t="s">
        <v>492</v>
      </c>
      <c r="K119" s="22" t="s">
        <v>493</v>
      </c>
      <c r="L119" s="22" t="s">
        <v>619</v>
      </c>
      <c r="M119" s="24">
        <v>246779413693</v>
      </c>
      <c r="N119" s="47"/>
    </row>
    <row r="120" spans="1:14" hidden="1" x14ac:dyDescent="0.35">
      <c r="A120" s="50">
        <v>45747</v>
      </c>
      <c r="B120" s="22" t="s">
        <v>489</v>
      </c>
      <c r="C120" s="23">
        <v>0</v>
      </c>
      <c r="D120" s="23">
        <v>3448</v>
      </c>
      <c r="E120" s="23">
        <v>-2549277.12</v>
      </c>
      <c r="F120" s="22" t="s">
        <v>3</v>
      </c>
      <c r="G120" s="22" t="s">
        <v>3</v>
      </c>
      <c r="H120" s="22" t="s">
        <v>620</v>
      </c>
      <c r="I120" s="22" t="s">
        <v>500</v>
      </c>
      <c r="J120" s="22" t="s">
        <v>492</v>
      </c>
      <c r="K120" s="22" t="s">
        <v>493</v>
      </c>
      <c r="L120" s="22" t="s">
        <v>620</v>
      </c>
      <c r="M120" s="24">
        <v>246779413694</v>
      </c>
      <c r="N120" s="47"/>
    </row>
    <row r="121" spans="1:14" hidden="1" x14ac:dyDescent="0.35">
      <c r="A121" s="50">
        <v>45747</v>
      </c>
      <c r="B121" s="22" t="s">
        <v>489</v>
      </c>
      <c r="C121" s="23">
        <v>0</v>
      </c>
      <c r="D121" s="23">
        <v>191</v>
      </c>
      <c r="E121" s="23">
        <v>-2549468.12</v>
      </c>
      <c r="F121" s="22" t="s">
        <v>3</v>
      </c>
      <c r="G121" s="22" t="s">
        <v>3</v>
      </c>
      <c r="H121" s="22" t="s">
        <v>621</v>
      </c>
      <c r="I121" s="22" t="s">
        <v>500</v>
      </c>
      <c r="J121" s="22" t="s">
        <v>492</v>
      </c>
      <c r="K121" s="22" t="s">
        <v>493</v>
      </c>
      <c r="L121" s="22" t="s">
        <v>621</v>
      </c>
      <c r="M121" s="24">
        <v>246779413695</v>
      </c>
      <c r="N121" s="47"/>
    </row>
    <row r="122" spans="1:14" hidden="1" x14ac:dyDescent="0.35">
      <c r="A122" s="50">
        <v>45747</v>
      </c>
      <c r="B122" s="22" t="s">
        <v>489</v>
      </c>
      <c r="C122" s="23">
        <v>0</v>
      </c>
      <c r="D122" s="23">
        <v>382</v>
      </c>
      <c r="E122" s="23">
        <v>-2549850.12</v>
      </c>
      <c r="F122" s="22" t="s">
        <v>3</v>
      </c>
      <c r="G122" s="22" t="s">
        <v>3</v>
      </c>
      <c r="H122" s="22" t="s">
        <v>622</v>
      </c>
      <c r="I122" s="22" t="s">
        <v>500</v>
      </c>
      <c r="J122" s="22" t="s">
        <v>492</v>
      </c>
      <c r="K122" s="22" t="s">
        <v>493</v>
      </c>
      <c r="L122" s="22" t="s">
        <v>622</v>
      </c>
      <c r="M122" s="24">
        <v>246779413696</v>
      </c>
      <c r="N122" s="47"/>
    </row>
    <row r="123" spans="1:14" hidden="1" x14ac:dyDescent="0.35">
      <c r="A123" s="50">
        <v>45747</v>
      </c>
      <c r="B123" s="22" t="s">
        <v>489</v>
      </c>
      <c r="C123" s="23">
        <v>0</v>
      </c>
      <c r="D123" s="23">
        <v>381</v>
      </c>
      <c r="E123" s="23">
        <v>-2550231.12</v>
      </c>
      <c r="F123" s="22" t="s">
        <v>3</v>
      </c>
      <c r="G123" s="22" t="s">
        <v>3</v>
      </c>
      <c r="H123" s="22" t="s">
        <v>623</v>
      </c>
      <c r="I123" s="22" t="s">
        <v>500</v>
      </c>
      <c r="J123" s="22" t="s">
        <v>492</v>
      </c>
      <c r="K123" s="22" t="s">
        <v>493</v>
      </c>
      <c r="L123" s="22" t="s">
        <v>623</v>
      </c>
      <c r="M123" s="24">
        <v>246779410846</v>
      </c>
      <c r="N123" s="47"/>
    </row>
    <row r="124" spans="1:14" hidden="1" x14ac:dyDescent="0.35">
      <c r="A124" s="50">
        <v>45747</v>
      </c>
      <c r="B124" s="22" t="s">
        <v>489</v>
      </c>
      <c r="C124" s="23">
        <v>0</v>
      </c>
      <c r="D124" s="23">
        <v>1528</v>
      </c>
      <c r="E124" s="23">
        <v>-2551759.12</v>
      </c>
      <c r="F124" s="22" t="s">
        <v>3</v>
      </c>
      <c r="G124" s="22" t="s">
        <v>3</v>
      </c>
      <c r="H124" s="22" t="s">
        <v>624</v>
      </c>
      <c r="I124" s="22" t="s">
        <v>500</v>
      </c>
      <c r="J124" s="22" t="s">
        <v>492</v>
      </c>
      <c r="K124" s="22" t="s">
        <v>493</v>
      </c>
      <c r="L124" s="22" t="s">
        <v>624</v>
      </c>
      <c r="M124" s="24">
        <v>246779410847</v>
      </c>
      <c r="N124" s="47"/>
    </row>
    <row r="125" spans="1:14" hidden="1" x14ac:dyDescent="0.35">
      <c r="A125" s="50">
        <v>45747</v>
      </c>
      <c r="B125" s="22" t="s">
        <v>489</v>
      </c>
      <c r="C125" s="23">
        <v>0</v>
      </c>
      <c r="D125" s="23">
        <v>3436</v>
      </c>
      <c r="E125" s="23">
        <v>-2555195.12</v>
      </c>
      <c r="F125" s="22" t="s">
        <v>3</v>
      </c>
      <c r="G125" s="22" t="s">
        <v>3</v>
      </c>
      <c r="H125" s="22" t="s">
        <v>625</v>
      </c>
      <c r="I125" s="22" t="s">
        <v>500</v>
      </c>
      <c r="J125" s="22" t="s">
        <v>492</v>
      </c>
      <c r="K125" s="22" t="s">
        <v>493</v>
      </c>
      <c r="L125" s="22" t="s">
        <v>625</v>
      </c>
      <c r="M125" s="24">
        <v>246779410849</v>
      </c>
      <c r="N125" s="47"/>
    </row>
    <row r="126" spans="1:14" hidden="1" x14ac:dyDescent="0.35">
      <c r="A126" s="50">
        <v>45747</v>
      </c>
      <c r="B126" s="22" t="s">
        <v>489</v>
      </c>
      <c r="C126" s="23">
        <v>0</v>
      </c>
      <c r="D126" s="23">
        <v>763</v>
      </c>
      <c r="E126" s="23">
        <v>-2555958.12</v>
      </c>
      <c r="F126" s="22" t="s">
        <v>3</v>
      </c>
      <c r="G126" s="22" t="s">
        <v>3</v>
      </c>
      <c r="H126" s="22" t="s">
        <v>626</v>
      </c>
      <c r="I126" s="22" t="s">
        <v>500</v>
      </c>
      <c r="J126" s="22" t="s">
        <v>492</v>
      </c>
      <c r="K126" s="22" t="s">
        <v>493</v>
      </c>
      <c r="L126" s="22" t="s">
        <v>626</v>
      </c>
      <c r="M126" s="24">
        <v>246779410850</v>
      </c>
      <c r="N126" s="47"/>
    </row>
    <row r="127" spans="1:14" hidden="1" x14ac:dyDescent="0.35">
      <c r="A127" s="50">
        <v>45747</v>
      </c>
      <c r="B127" s="22" t="s">
        <v>489</v>
      </c>
      <c r="C127" s="23">
        <v>0</v>
      </c>
      <c r="D127" s="23">
        <v>381</v>
      </c>
      <c r="E127" s="23">
        <v>-2556339.12</v>
      </c>
      <c r="F127" s="22" t="s">
        <v>3</v>
      </c>
      <c r="G127" s="22" t="s">
        <v>3</v>
      </c>
      <c r="H127" s="22" t="s">
        <v>627</v>
      </c>
      <c r="I127" s="22" t="s">
        <v>500</v>
      </c>
      <c r="J127" s="22" t="s">
        <v>492</v>
      </c>
      <c r="K127" s="22" t="s">
        <v>493</v>
      </c>
      <c r="L127" s="22" t="s">
        <v>627</v>
      </c>
      <c r="M127" s="24">
        <v>246779410851</v>
      </c>
      <c r="N127" s="47"/>
    </row>
    <row r="128" spans="1:14" hidden="1" x14ac:dyDescent="0.35">
      <c r="A128" s="50">
        <v>45747</v>
      </c>
      <c r="B128" s="22" t="s">
        <v>489</v>
      </c>
      <c r="C128" s="23">
        <v>0</v>
      </c>
      <c r="D128" s="23">
        <v>381</v>
      </c>
      <c r="E128" s="23">
        <v>-2556720.12</v>
      </c>
      <c r="F128" s="22" t="s">
        <v>3</v>
      </c>
      <c r="G128" s="22" t="s">
        <v>3</v>
      </c>
      <c r="H128" s="22" t="s">
        <v>628</v>
      </c>
      <c r="I128" s="22" t="s">
        <v>500</v>
      </c>
      <c r="J128" s="22" t="s">
        <v>492</v>
      </c>
      <c r="K128" s="22" t="s">
        <v>493</v>
      </c>
      <c r="L128" s="22" t="s">
        <v>628</v>
      </c>
      <c r="M128" s="24">
        <v>246779410852</v>
      </c>
      <c r="N128" s="47"/>
    </row>
    <row r="129" spans="1:14" hidden="1" x14ac:dyDescent="0.35">
      <c r="A129" s="50">
        <v>45747</v>
      </c>
      <c r="B129" s="22" t="s">
        <v>489</v>
      </c>
      <c r="C129" s="23">
        <v>0</v>
      </c>
      <c r="D129" s="23">
        <v>190</v>
      </c>
      <c r="E129" s="23">
        <v>-2556910.12</v>
      </c>
      <c r="F129" s="22" t="s">
        <v>3</v>
      </c>
      <c r="G129" s="22" t="s">
        <v>3</v>
      </c>
      <c r="H129" s="22" t="s">
        <v>629</v>
      </c>
      <c r="I129" s="22" t="s">
        <v>500</v>
      </c>
      <c r="J129" s="22" t="s">
        <v>492</v>
      </c>
      <c r="K129" s="22" t="s">
        <v>493</v>
      </c>
      <c r="L129" s="22" t="s">
        <v>629</v>
      </c>
      <c r="M129" s="24">
        <v>246779410853</v>
      </c>
      <c r="N129" s="47"/>
    </row>
    <row r="130" spans="1:14" hidden="1" x14ac:dyDescent="0.35">
      <c r="A130" s="50">
        <v>45747</v>
      </c>
      <c r="B130" s="22" t="s">
        <v>489</v>
      </c>
      <c r="C130" s="23">
        <v>0</v>
      </c>
      <c r="D130" s="23">
        <v>1145</v>
      </c>
      <c r="E130" s="23">
        <v>-2558055.12</v>
      </c>
      <c r="F130" s="22" t="s">
        <v>3</v>
      </c>
      <c r="G130" s="22" t="s">
        <v>3</v>
      </c>
      <c r="H130" s="22" t="s">
        <v>630</v>
      </c>
      <c r="I130" s="22" t="s">
        <v>500</v>
      </c>
      <c r="J130" s="22" t="s">
        <v>492</v>
      </c>
      <c r="K130" s="22" t="s">
        <v>493</v>
      </c>
      <c r="L130" s="22" t="s">
        <v>630</v>
      </c>
      <c r="M130" s="24">
        <v>246779410854</v>
      </c>
      <c r="N130" s="47"/>
    </row>
    <row r="131" spans="1:14" hidden="1" x14ac:dyDescent="0.35">
      <c r="A131" s="50">
        <v>45747</v>
      </c>
      <c r="B131" s="22" t="s">
        <v>489</v>
      </c>
      <c r="C131" s="23">
        <v>0</v>
      </c>
      <c r="D131" s="23">
        <v>1527</v>
      </c>
      <c r="E131" s="23">
        <v>-2559582.12</v>
      </c>
      <c r="F131" s="22" t="s">
        <v>3</v>
      </c>
      <c r="G131" s="22" t="s">
        <v>3</v>
      </c>
      <c r="H131" s="22" t="s">
        <v>631</v>
      </c>
      <c r="I131" s="22" t="s">
        <v>500</v>
      </c>
      <c r="J131" s="22" t="s">
        <v>492</v>
      </c>
      <c r="K131" s="22" t="s">
        <v>493</v>
      </c>
      <c r="L131" s="22" t="s">
        <v>631</v>
      </c>
      <c r="M131" s="24">
        <v>246779410855</v>
      </c>
      <c r="N131" s="47"/>
    </row>
    <row r="132" spans="1:14" hidden="1" x14ac:dyDescent="0.35">
      <c r="A132" s="50">
        <v>45747</v>
      </c>
      <c r="B132" s="22" t="s">
        <v>489</v>
      </c>
      <c r="C132" s="23">
        <v>0</v>
      </c>
      <c r="D132" s="23">
        <v>1268</v>
      </c>
      <c r="E132" s="23">
        <v>-2560850.12</v>
      </c>
      <c r="F132" s="22" t="s">
        <v>3</v>
      </c>
      <c r="G132" s="22" t="s">
        <v>3</v>
      </c>
      <c r="H132" s="22" t="s">
        <v>632</v>
      </c>
      <c r="I132" s="22" t="s">
        <v>500</v>
      </c>
      <c r="J132" s="22" t="s">
        <v>492</v>
      </c>
      <c r="K132" s="22" t="s">
        <v>493</v>
      </c>
      <c r="L132" s="22" t="s">
        <v>632</v>
      </c>
      <c r="M132" s="24">
        <v>246779414681</v>
      </c>
      <c r="N132" s="47"/>
    </row>
    <row r="133" spans="1:14" hidden="1" x14ac:dyDescent="0.35">
      <c r="A133" s="50">
        <v>45747</v>
      </c>
      <c r="B133" s="22" t="s">
        <v>489</v>
      </c>
      <c r="C133" s="23">
        <v>0</v>
      </c>
      <c r="D133" s="23">
        <v>211</v>
      </c>
      <c r="E133" s="23">
        <v>-2561061.12</v>
      </c>
      <c r="F133" s="22" t="s">
        <v>3</v>
      </c>
      <c r="G133" s="22" t="s">
        <v>3</v>
      </c>
      <c r="H133" s="22" t="s">
        <v>633</v>
      </c>
      <c r="I133" s="22" t="s">
        <v>557</v>
      </c>
      <c r="J133" s="22" t="s">
        <v>492</v>
      </c>
      <c r="K133" s="22" t="s">
        <v>493</v>
      </c>
      <c r="L133" s="22" t="s">
        <v>633</v>
      </c>
      <c r="M133" s="24">
        <v>246779414734</v>
      </c>
      <c r="N133" s="47"/>
    </row>
    <row r="134" spans="1:14" hidden="1" x14ac:dyDescent="0.35">
      <c r="A134" s="50">
        <v>45747</v>
      </c>
      <c r="B134" s="22" t="s">
        <v>489</v>
      </c>
      <c r="C134" s="23">
        <v>0</v>
      </c>
      <c r="D134" s="23">
        <v>211</v>
      </c>
      <c r="E134" s="23">
        <v>-2561272.12</v>
      </c>
      <c r="F134" s="22" t="s">
        <v>3</v>
      </c>
      <c r="G134" s="22" t="s">
        <v>3</v>
      </c>
      <c r="H134" s="22" t="s">
        <v>634</v>
      </c>
      <c r="I134" s="22" t="s">
        <v>500</v>
      </c>
      <c r="J134" s="22" t="s">
        <v>492</v>
      </c>
      <c r="K134" s="22" t="s">
        <v>493</v>
      </c>
      <c r="L134" s="22" t="s">
        <v>634</v>
      </c>
      <c r="M134" s="24">
        <v>246779414885</v>
      </c>
      <c r="N134" s="47"/>
    </row>
    <row r="135" spans="1:14" hidden="1" x14ac:dyDescent="0.35">
      <c r="A135" s="50">
        <v>45747</v>
      </c>
      <c r="B135" s="22" t="s">
        <v>489</v>
      </c>
      <c r="C135" s="23">
        <v>0</v>
      </c>
      <c r="D135" s="23">
        <v>17701</v>
      </c>
      <c r="E135" s="23">
        <v>-2578973.12</v>
      </c>
      <c r="F135" s="22" t="s">
        <v>3</v>
      </c>
      <c r="G135" s="22" t="s">
        <v>3</v>
      </c>
      <c r="H135" s="22" t="s">
        <v>635</v>
      </c>
      <c r="I135" s="22" t="s">
        <v>500</v>
      </c>
      <c r="J135" s="22" t="s">
        <v>492</v>
      </c>
      <c r="K135" s="22" t="s">
        <v>493</v>
      </c>
      <c r="L135" s="22" t="s">
        <v>635</v>
      </c>
      <c r="M135" s="24">
        <v>246779414221</v>
      </c>
      <c r="N135" s="47"/>
    </row>
    <row r="136" spans="1:14" hidden="1" x14ac:dyDescent="0.35">
      <c r="A136" s="50">
        <v>45747</v>
      </c>
      <c r="B136" s="22" t="s">
        <v>489</v>
      </c>
      <c r="C136" s="23">
        <v>0</v>
      </c>
      <c r="D136" s="23">
        <v>596</v>
      </c>
      <c r="E136" s="23">
        <v>-2579569.12</v>
      </c>
      <c r="F136" s="22" t="s">
        <v>3</v>
      </c>
      <c r="G136" s="22" t="s">
        <v>3</v>
      </c>
      <c r="H136" s="22" t="s">
        <v>636</v>
      </c>
      <c r="I136" s="22" t="s">
        <v>500</v>
      </c>
      <c r="J136" s="22" t="s">
        <v>492</v>
      </c>
      <c r="K136" s="22" t="s">
        <v>493</v>
      </c>
      <c r="L136" s="22" t="s">
        <v>636</v>
      </c>
      <c r="M136" s="24">
        <v>246779413691</v>
      </c>
      <c r="N136" s="47"/>
    </row>
    <row r="137" spans="1:14" hidden="1" x14ac:dyDescent="0.35">
      <c r="A137" s="50">
        <v>45747</v>
      </c>
      <c r="B137" s="22" t="s">
        <v>489</v>
      </c>
      <c r="C137" s="23">
        <v>0</v>
      </c>
      <c r="D137" s="23">
        <v>994</v>
      </c>
      <c r="E137" s="23">
        <v>-2580563.12</v>
      </c>
      <c r="F137" s="22" t="s">
        <v>3</v>
      </c>
      <c r="G137" s="22" t="s">
        <v>3</v>
      </c>
      <c r="H137" s="22" t="s">
        <v>637</v>
      </c>
      <c r="I137" s="22" t="s">
        <v>500</v>
      </c>
      <c r="J137" s="22" t="s">
        <v>492</v>
      </c>
      <c r="K137" s="22" t="s">
        <v>493</v>
      </c>
      <c r="L137" s="22" t="s">
        <v>637</v>
      </c>
      <c r="M137" s="24">
        <v>246779413772</v>
      </c>
      <c r="N137" s="47"/>
    </row>
    <row r="138" spans="1:14" x14ac:dyDescent="0.35">
      <c r="A138" s="50">
        <v>45748</v>
      </c>
      <c r="B138" s="22" t="s">
        <v>489</v>
      </c>
      <c r="C138" s="23">
        <v>0</v>
      </c>
      <c r="D138" s="23">
        <v>59624</v>
      </c>
      <c r="E138" s="23">
        <v>-3015382.12</v>
      </c>
      <c r="F138" s="22" t="s">
        <v>3</v>
      </c>
      <c r="G138" s="22" t="s">
        <v>3</v>
      </c>
      <c r="H138" s="22" t="s">
        <v>670</v>
      </c>
      <c r="I138" s="22" t="s">
        <v>507</v>
      </c>
      <c r="J138" s="22" t="s">
        <v>492</v>
      </c>
      <c r="K138" s="22" t="s">
        <v>493</v>
      </c>
      <c r="L138" s="22" t="s">
        <v>670</v>
      </c>
      <c r="M138" s="24">
        <v>246779410360</v>
      </c>
      <c r="N138" s="47"/>
    </row>
    <row r="139" spans="1:14" x14ac:dyDescent="0.35">
      <c r="A139" s="50">
        <v>45937</v>
      </c>
      <c r="B139" s="22" t="s">
        <v>489</v>
      </c>
      <c r="C139" s="23">
        <v>4786</v>
      </c>
      <c r="D139" s="23">
        <v>4786</v>
      </c>
      <c r="E139" s="23">
        <v>-757662.59999999963</v>
      </c>
      <c r="F139" s="22" t="s">
        <v>792</v>
      </c>
      <c r="G139" s="22" t="s">
        <v>1</v>
      </c>
      <c r="H139" s="22" t="s">
        <v>793</v>
      </c>
      <c r="I139" s="22"/>
      <c r="J139" s="22" t="s">
        <v>492</v>
      </c>
      <c r="K139" s="22" t="s">
        <v>493</v>
      </c>
      <c r="L139" s="22" t="s">
        <v>794</v>
      </c>
      <c r="M139" s="24">
        <v>246779410360</v>
      </c>
      <c r="N139" s="47"/>
    </row>
    <row r="140" spans="1:14" hidden="1" x14ac:dyDescent="0.35">
      <c r="A140" s="50">
        <v>45747</v>
      </c>
      <c r="B140" s="22" t="s">
        <v>489</v>
      </c>
      <c r="C140" s="23">
        <v>0</v>
      </c>
      <c r="D140" s="23">
        <v>143412</v>
      </c>
      <c r="E140" s="23">
        <v>-2750354.12</v>
      </c>
      <c r="F140" s="22" t="s">
        <v>3</v>
      </c>
      <c r="G140" s="22" t="s">
        <v>3</v>
      </c>
      <c r="H140" s="22" t="s">
        <v>640</v>
      </c>
      <c r="I140" s="22" t="s">
        <v>573</v>
      </c>
      <c r="J140" s="22" t="s">
        <v>492</v>
      </c>
      <c r="K140" s="22" t="s">
        <v>493</v>
      </c>
      <c r="L140" s="22" t="s">
        <v>640</v>
      </c>
      <c r="M140" s="24">
        <v>246779411619</v>
      </c>
      <c r="N140" s="47"/>
    </row>
    <row r="141" spans="1:14" hidden="1" x14ac:dyDescent="0.35">
      <c r="A141" s="50">
        <v>45747</v>
      </c>
      <c r="B141" s="22" t="s">
        <v>489</v>
      </c>
      <c r="C141" s="23">
        <v>0</v>
      </c>
      <c r="D141" s="23">
        <v>5816</v>
      </c>
      <c r="E141" s="23">
        <v>-2756170.12</v>
      </c>
      <c r="F141" s="22" t="s">
        <v>3</v>
      </c>
      <c r="G141" s="22" t="s">
        <v>3</v>
      </c>
      <c r="H141" s="22" t="s">
        <v>641</v>
      </c>
      <c r="I141" s="22" t="s">
        <v>573</v>
      </c>
      <c r="J141" s="22" t="s">
        <v>492</v>
      </c>
      <c r="K141" s="22" t="s">
        <v>493</v>
      </c>
      <c r="L141" s="22" t="s">
        <v>641</v>
      </c>
      <c r="M141" s="24">
        <v>246779411620</v>
      </c>
      <c r="N141" s="47"/>
    </row>
    <row r="142" spans="1:14" hidden="1" x14ac:dyDescent="0.35">
      <c r="A142" s="50">
        <v>45747</v>
      </c>
      <c r="B142" s="22" t="s">
        <v>489</v>
      </c>
      <c r="C142" s="23">
        <v>0</v>
      </c>
      <c r="D142" s="23">
        <v>5816</v>
      </c>
      <c r="E142" s="23">
        <v>-2761986.12</v>
      </c>
      <c r="F142" s="22" t="s">
        <v>3</v>
      </c>
      <c r="G142" s="22" t="s">
        <v>3</v>
      </c>
      <c r="H142" s="22" t="s">
        <v>642</v>
      </c>
      <c r="I142" s="22" t="s">
        <v>573</v>
      </c>
      <c r="J142" s="22" t="s">
        <v>492</v>
      </c>
      <c r="K142" s="22" t="s">
        <v>493</v>
      </c>
      <c r="L142" s="22" t="s">
        <v>642</v>
      </c>
      <c r="M142" s="24">
        <v>246779411755</v>
      </c>
      <c r="N142" s="47"/>
    </row>
    <row r="143" spans="1:14" hidden="1" x14ac:dyDescent="0.35">
      <c r="A143" s="50">
        <v>45747</v>
      </c>
      <c r="B143" s="22" t="s">
        <v>489</v>
      </c>
      <c r="C143" s="23">
        <v>0</v>
      </c>
      <c r="D143" s="23">
        <v>4339</v>
      </c>
      <c r="E143" s="23">
        <v>-2766325.12</v>
      </c>
      <c r="F143" s="22" t="s">
        <v>3</v>
      </c>
      <c r="G143" s="22" t="s">
        <v>3</v>
      </c>
      <c r="H143" s="22" t="s">
        <v>643</v>
      </c>
      <c r="I143" s="22" t="s">
        <v>573</v>
      </c>
      <c r="J143" s="22" t="s">
        <v>492</v>
      </c>
      <c r="K143" s="22" t="s">
        <v>493</v>
      </c>
      <c r="L143" s="22" t="s">
        <v>643</v>
      </c>
      <c r="M143" s="24">
        <v>246779411756</v>
      </c>
      <c r="N143" s="47"/>
    </row>
    <row r="144" spans="1:14" hidden="1" x14ac:dyDescent="0.35">
      <c r="A144" s="50">
        <v>45747</v>
      </c>
      <c r="B144" s="22" t="s">
        <v>489</v>
      </c>
      <c r="C144" s="23">
        <v>0</v>
      </c>
      <c r="D144" s="23">
        <v>6761</v>
      </c>
      <c r="E144" s="23">
        <v>-2773086.12</v>
      </c>
      <c r="F144" s="22" t="s">
        <v>3</v>
      </c>
      <c r="G144" s="22" t="s">
        <v>3</v>
      </c>
      <c r="H144" s="22" t="s">
        <v>644</v>
      </c>
      <c r="I144" s="22" t="s">
        <v>573</v>
      </c>
      <c r="J144" s="22" t="s">
        <v>492</v>
      </c>
      <c r="K144" s="22" t="s">
        <v>493</v>
      </c>
      <c r="L144" s="22" t="s">
        <v>644</v>
      </c>
      <c r="M144" s="24">
        <v>246779411759</v>
      </c>
      <c r="N144" s="47"/>
    </row>
    <row r="145" spans="1:14" hidden="1" x14ac:dyDescent="0.35">
      <c r="A145" s="50">
        <v>45747</v>
      </c>
      <c r="B145" s="22" t="s">
        <v>489</v>
      </c>
      <c r="C145" s="23">
        <v>0</v>
      </c>
      <c r="D145" s="23">
        <v>3110</v>
      </c>
      <c r="E145" s="23">
        <v>-2776196.12</v>
      </c>
      <c r="F145" s="22" t="s">
        <v>3</v>
      </c>
      <c r="G145" s="22" t="s">
        <v>3</v>
      </c>
      <c r="H145" s="22" t="s">
        <v>645</v>
      </c>
      <c r="I145" s="22" t="s">
        <v>573</v>
      </c>
      <c r="J145" s="22" t="s">
        <v>492</v>
      </c>
      <c r="K145" s="22" t="s">
        <v>493</v>
      </c>
      <c r="L145" s="22" t="s">
        <v>645</v>
      </c>
      <c r="M145" s="24">
        <v>246779411757</v>
      </c>
      <c r="N145" s="47"/>
    </row>
    <row r="146" spans="1:14" x14ac:dyDescent="0.35">
      <c r="A146" s="50">
        <v>45869</v>
      </c>
      <c r="B146" s="22" t="s">
        <v>489</v>
      </c>
      <c r="C146" s="23">
        <v>0</v>
      </c>
      <c r="D146" s="23">
        <v>44602</v>
      </c>
      <c r="E146" s="23">
        <v>-288272.59999999963</v>
      </c>
      <c r="F146" s="22" t="s">
        <v>3</v>
      </c>
      <c r="G146" s="22" t="s">
        <v>3</v>
      </c>
      <c r="H146" s="22" t="s">
        <v>774</v>
      </c>
      <c r="I146" s="22" t="s">
        <v>608</v>
      </c>
      <c r="J146" s="22" t="s">
        <v>492</v>
      </c>
      <c r="K146" s="22" t="s">
        <v>493</v>
      </c>
      <c r="L146" s="22" t="s">
        <v>774</v>
      </c>
      <c r="M146" s="24">
        <v>246779411278</v>
      </c>
      <c r="N146" s="47"/>
    </row>
    <row r="147" spans="1:14" hidden="1" x14ac:dyDescent="0.35">
      <c r="A147" s="50">
        <v>45748</v>
      </c>
      <c r="B147" s="22" t="s">
        <v>489</v>
      </c>
      <c r="C147" s="23">
        <v>0</v>
      </c>
      <c r="D147" s="23">
        <v>1161</v>
      </c>
      <c r="E147" s="23">
        <v>-2810733.12</v>
      </c>
      <c r="F147" s="22" t="s">
        <v>3</v>
      </c>
      <c r="G147" s="22" t="s">
        <v>3</v>
      </c>
      <c r="H147" s="22" t="s">
        <v>647</v>
      </c>
      <c r="I147" s="22" t="s">
        <v>573</v>
      </c>
      <c r="J147" s="22" t="s">
        <v>492</v>
      </c>
      <c r="K147" s="22" t="s">
        <v>493</v>
      </c>
      <c r="L147" s="22" t="s">
        <v>647</v>
      </c>
      <c r="M147" s="24">
        <v>246779411448</v>
      </c>
      <c r="N147" s="47"/>
    </row>
    <row r="148" spans="1:14" hidden="1" x14ac:dyDescent="0.35">
      <c r="A148" s="50">
        <v>45748</v>
      </c>
      <c r="B148" s="22" t="s">
        <v>489</v>
      </c>
      <c r="C148" s="23">
        <v>0</v>
      </c>
      <c r="D148" s="23">
        <v>1591</v>
      </c>
      <c r="E148" s="23">
        <v>-2812324.12</v>
      </c>
      <c r="F148" s="22" t="s">
        <v>3</v>
      </c>
      <c r="G148" s="22" t="s">
        <v>3</v>
      </c>
      <c r="H148" s="22" t="s">
        <v>648</v>
      </c>
      <c r="I148" s="22" t="s">
        <v>500</v>
      </c>
      <c r="J148" s="22" t="s">
        <v>492</v>
      </c>
      <c r="K148" s="22" t="s">
        <v>493</v>
      </c>
      <c r="L148" s="22" t="s">
        <v>648</v>
      </c>
      <c r="M148" s="24">
        <v>246779413689</v>
      </c>
      <c r="N148" s="47"/>
    </row>
    <row r="149" spans="1:14" hidden="1" x14ac:dyDescent="0.35">
      <c r="A149" s="50">
        <v>45748</v>
      </c>
      <c r="B149" s="22" t="s">
        <v>489</v>
      </c>
      <c r="C149" s="23">
        <v>0</v>
      </c>
      <c r="D149" s="23">
        <v>574</v>
      </c>
      <c r="E149" s="23">
        <v>-2812898.12</v>
      </c>
      <c r="F149" s="22" t="s">
        <v>3</v>
      </c>
      <c r="G149" s="22" t="s">
        <v>3</v>
      </c>
      <c r="H149" s="22" t="s">
        <v>649</v>
      </c>
      <c r="I149" s="22" t="s">
        <v>500</v>
      </c>
      <c r="J149" s="22" t="s">
        <v>492</v>
      </c>
      <c r="K149" s="22" t="s">
        <v>493</v>
      </c>
      <c r="L149" s="22" t="s">
        <v>649</v>
      </c>
      <c r="M149" s="24">
        <v>246779413740</v>
      </c>
      <c r="N149" s="47"/>
    </row>
    <row r="150" spans="1:14" hidden="1" x14ac:dyDescent="0.35">
      <c r="A150" s="50">
        <v>45748</v>
      </c>
      <c r="B150" s="22" t="s">
        <v>489</v>
      </c>
      <c r="C150" s="23">
        <v>0</v>
      </c>
      <c r="D150" s="23">
        <v>574</v>
      </c>
      <c r="E150" s="23">
        <v>-2813472.12</v>
      </c>
      <c r="F150" s="22" t="s">
        <v>3</v>
      </c>
      <c r="G150" s="22" t="s">
        <v>3</v>
      </c>
      <c r="H150" s="22" t="s">
        <v>650</v>
      </c>
      <c r="I150" s="22" t="s">
        <v>500</v>
      </c>
      <c r="J150" s="22" t="s">
        <v>492</v>
      </c>
      <c r="K150" s="22" t="s">
        <v>493</v>
      </c>
      <c r="L150" s="22" t="s">
        <v>650</v>
      </c>
      <c r="M150" s="24">
        <v>246779413737</v>
      </c>
      <c r="N150" s="47"/>
    </row>
    <row r="151" spans="1:14" hidden="1" x14ac:dyDescent="0.35">
      <c r="A151" s="50">
        <v>45748</v>
      </c>
      <c r="B151" s="22" t="s">
        <v>489</v>
      </c>
      <c r="C151" s="23">
        <v>0</v>
      </c>
      <c r="D151" s="23">
        <v>6896</v>
      </c>
      <c r="E151" s="23">
        <v>-2820368.12</v>
      </c>
      <c r="F151" s="22" t="s">
        <v>3</v>
      </c>
      <c r="G151" s="22" t="s">
        <v>3</v>
      </c>
      <c r="H151" s="22" t="s">
        <v>651</v>
      </c>
      <c r="I151" s="22" t="s">
        <v>500</v>
      </c>
      <c r="J151" s="22" t="s">
        <v>492</v>
      </c>
      <c r="K151" s="22" t="s">
        <v>493</v>
      </c>
      <c r="L151" s="22" t="s">
        <v>651</v>
      </c>
      <c r="M151" s="24">
        <v>246779413735</v>
      </c>
      <c r="N151" s="47"/>
    </row>
    <row r="152" spans="1:14" hidden="1" x14ac:dyDescent="0.35">
      <c r="A152" s="50">
        <v>45748</v>
      </c>
      <c r="B152" s="22" t="s">
        <v>489</v>
      </c>
      <c r="C152" s="23">
        <v>0</v>
      </c>
      <c r="D152" s="23">
        <v>191</v>
      </c>
      <c r="E152" s="23">
        <v>-2820559.12</v>
      </c>
      <c r="F152" s="22" t="s">
        <v>3</v>
      </c>
      <c r="G152" s="22" t="s">
        <v>3</v>
      </c>
      <c r="H152" s="22" t="s">
        <v>652</v>
      </c>
      <c r="I152" s="22" t="s">
        <v>500</v>
      </c>
      <c r="J152" s="22" t="s">
        <v>492</v>
      </c>
      <c r="K152" s="22" t="s">
        <v>493</v>
      </c>
      <c r="L152" s="22" t="s">
        <v>652</v>
      </c>
      <c r="M152" s="24">
        <v>246779413744</v>
      </c>
      <c r="N152" s="47"/>
    </row>
    <row r="153" spans="1:14" hidden="1" x14ac:dyDescent="0.35">
      <c r="A153" s="50">
        <v>45748</v>
      </c>
      <c r="B153" s="22" t="s">
        <v>489</v>
      </c>
      <c r="C153" s="23">
        <v>0</v>
      </c>
      <c r="D153" s="23">
        <v>191</v>
      </c>
      <c r="E153" s="23">
        <v>-2820750.12</v>
      </c>
      <c r="F153" s="22" t="s">
        <v>3</v>
      </c>
      <c r="G153" s="22" t="s">
        <v>3</v>
      </c>
      <c r="H153" s="22" t="s">
        <v>653</v>
      </c>
      <c r="I153" s="22" t="s">
        <v>500</v>
      </c>
      <c r="J153" s="22" t="s">
        <v>492</v>
      </c>
      <c r="K153" s="22" t="s">
        <v>493</v>
      </c>
      <c r="L153" s="22" t="s">
        <v>653</v>
      </c>
      <c r="M153" s="24">
        <v>246779413733</v>
      </c>
      <c r="N153" s="47"/>
    </row>
    <row r="154" spans="1:14" hidden="1" x14ac:dyDescent="0.35">
      <c r="A154" s="50">
        <v>45748</v>
      </c>
      <c r="B154" s="22" t="s">
        <v>489</v>
      </c>
      <c r="C154" s="23">
        <v>0</v>
      </c>
      <c r="D154" s="23">
        <v>383</v>
      </c>
      <c r="E154" s="23">
        <v>-2821133.12</v>
      </c>
      <c r="F154" s="22" t="s">
        <v>3</v>
      </c>
      <c r="G154" s="22" t="s">
        <v>3</v>
      </c>
      <c r="H154" s="22" t="s">
        <v>654</v>
      </c>
      <c r="I154" s="22" t="s">
        <v>500</v>
      </c>
      <c r="J154" s="22" t="s">
        <v>492</v>
      </c>
      <c r="K154" s="22" t="s">
        <v>493</v>
      </c>
      <c r="L154" s="22" t="s">
        <v>654</v>
      </c>
      <c r="M154" s="24">
        <v>246779413743</v>
      </c>
      <c r="N154" s="47"/>
    </row>
    <row r="155" spans="1:14" hidden="1" x14ac:dyDescent="0.35">
      <c r="A155" s="50">
        <v>45748</v>
      </c>
      <c r="B155" s="22" t="s">
        <v>489</v>
      </c>
      <c r="C155" s="23">
        <v>0</v>
      </c>
      <c r="D155" s="23">
        <v>383</v>
      </c>
      <c r="E155" s="23">
        <v>-2821516.12</v>
      </c>
      <c r="F155" s="22" t="s">
        <v>3</v>
      </c>
      <c r="G155" s="22" t="s">
        <v>3</v>
      </c>
      <c r="H155" s="22" t="s">
        <v>655</v>
      </c>
      <c r="I155" s="22" t="s">
        <v>500</v>
      </c>
      <c r="J155" s="22" t="s">
        <v>492</v>
      </c>
      <c r="K155" s="22" t="s">
        <v>493</v>
      </c>
      <c r="L155" s="22" t="s">
        <v>655</v>
      </c>
      <c r="M155" s="24">
        <v>246779414680</v>
      </c>
      <c r="N155" s="47"/>
    </row>
    <row r="156" spans="1:14" hidden="1" x14ac:dyDescent="0.35">
      <c r="A156" s="50">
        <v>45748</v>
      </c>
      <c r="B156" s="22" t="s">
        <v>489</v>
      </c>
      <c r="C156" s="23">
        <v>0</v>
      </c>
      <c r="D156" s="23">
        <v>6895</v>
      </c>
      <c r="E156" s="23">
        <v>-2828411.12</v>
      </c>
      <c r="F156" s="22" t="s">
        <v>3</v>
      </c>
      <c r="G156" s="22" t="s">
        <v>3</v>
      </c>
      <c r="H156" s="22" t="s">
        <v>656</v>
      </c>
      <c r="I156" s="22" t="s">
        <v>500</v>
      </c>
      <c r="J156" s="22" t="s">
        <v>492</v>
      </c>
      <c r="K156" s="22" t="s">
        <v>493</v>
      </c>
      <c r="L156" s="22" t="s">
        <v>656</v>
      </c>
      <c r="M156" s="24">
        <v>246779413741</v>
      </c>
      <c r="N156" s="47"/>
    </row>
    <row r="157" spans="1:14" hidden="1" x14ac:dyDescent="0.35">
      <c r="A157" s="50">
        <v>45748</v>
      </c>
      <c r="B157" s="22" t="s">
        <v>489</v>
      </c>
      <c r="C157" s="23">
        <v>0</v>
      </c>
      <c r="D157" s="23">
        <v>846</v>
      </c>
      <c r="E157" s="23">
        <v>-2829257.12</v>
      </c>
      <c r="F157" s="22" t="s">
        <v>3</v>
      </c>
      <c r="G157" s="22" t="s">
        <v>3</v>
      </c>
      <c r="H157" s="22" t="s">
        <v>657</v>
      </c>
      <c r="I157" s="22" t="s">
        <v>557</v>
      </c>
      <c r="J157" s="22" t="s">
        <v>492</v>
      </c>
      <c r="K157" s="22" t="s">
        <v>493</v>
      </c>
      <c r="L157" s="22" t="s">
        <v>657</v>
      </c>
      <c r="M157" s="24">
        <v>246779413933</v>
      </c>
      <c r="N157" s="47"/>
    </row>
    <row r="158" spans="1:14" hidden="1" x14ac:dyDescent="0.35">
      <c r="A158" s="50">
        <v>45748</v>
      </c>
      <c r="B158" s="22" t="s">
        <v>489</v>
      </c>
      <c r="C158" s="23">
        <v>0</v>
      </c>
      <c r="D158" s="23">
        <v>3203</v>
      </c>
      <c r="E158" s="23">
        <v>-2832460.12</v>
      </c>
      <c r="F158" s="22" t="s">
        <v>3</v>
      </c>
      <c r="G158" s="22" t="s">
        <v>3</v>
      </c>
      <c r="H158" s="22" t="s">
        <v>658</v>
      </c>
      <c r="I158" s="22" t="s">
        <v>500</v>
      </c>
      <c r="J158" s="22" t="s">
        <v>492</v>
      </c>
      <c r="K158" s="22" t="s">
        <v>493</v>
      </c>
      <c r="L158" s="22" t="s">
        <v>658</v>
      </c>
      <c r="M158" s="24">
        <v>246779410609</v>
      </c>
      <c r="N158" s="47"/>
    </row>
    <row r="159" spans="1:14" hidden="1" x14ac:dyDescent="0.35">
      <c r="A159" s="50">
        <v>45748</v>
      </c>
      <c r="B159" s="22" t="s">
        <v>489</v>
      </c>
      <c r="C159" s="23">
        <v>0</v>
      </c>
      <c r="D159" s="23">
        <v>3603</v>
      </c>
      <c r="E159" s="23">
        <v>-2836063.12</v>
      </c>
      <c r="F159" s="22" t="s">
        <v>3</v>
      </c>
      <c r="G159" s="22" t="s">
        <v>3</v>
      </c>
      <c r="H159" s="22" t="s">
        <v>659</v>
      </c>
      <c r="I159" s="22" t="s">
        <v>500</v>
      </c>
      <c r="J159" s="22" t="s">
        <v>492</v>
      </c>
      <c r="K159" s="22" t="s">
        <v>493</v>
      </c>
      <c r="L159" s="22" t="s">
        <v>659</v>
      </c>
      <c r="M159" s="24">
        <v>246779413738</v>
      </c>
      <c r="N159" s="47"/>
    </row>
    <row r="160" spans="1:14" hidden="1" x14ac:dyDescent="0.35">
      <c r="A160" s="50">
        <v>45748</v>
      </c>
      <c r="B160" s="22" t="s">
        <v>489</v>
      </c>
      <c r="C160" s="23">
        <v>0</v>
      </c>
      <c r="D160" s="23">
        <v>200</v>
      </c>
      <c r="E160" s="23">
        <v>-2836263.12</v>
      </c>
      <c r="F160" s="22" t="s">
        <v>3</v>
      </c>
      <c r="G160" s="22" t="s">
        <v>3</v>
      </c>
      <c r="H160" s="22" t="s">
        <v>660</v>
      </c>
      <c r="I160" s="22" t="s">
        <v>500</v>
      </c>
      <c r="J160" s="22" t="s">
        <v>492</v>
      </c>
      <c r="K160" s="22" t="s">
        <v>493</v>
      </c>
      <c r="L160" s="22" t="s">
        <v>660</v>
      </c>
      <c r="M160" s="24">
        <v>246779410498</v>
      </c>
      <c r="N160" s="47"/>
    </row>
    <row r="161" spans="1:14" hidden="1" x14ac:dyDescent="0.35">
      <c r="A161" s="50">
        <v>45748</v>
      </c>
      <c r="B161" s="22" t="s">
        <v>489</v>
      </c>
      <c r="C161" s="23">
        <v>0</v>
      </c>
      <c r="D161" s="23">
        <v>13011</v>
      </c>
      <c r="E161" s="23">
        <v>-2849274.12</v>
      </c>
      <c r="F161" s="22" t="s">
        <v>3</v>
      </c>
      <c r="G161" s="22" t="s">
        <v>3</v>
      </c>
      <c r="H161" s="22" t="s">
        <v>661</v>
      </c>
      <c r="I161" s="22" t="s">
        <v>507</v>
      </c>
      <c r="J161" s="22" t="s">
        <v>492</v>
      </c>
      <c r="K161" s="22" t="s">
        <v>493</v>
      </c>
      <c r="L161" s="22" t="s">
        <v>661</v>
      </c>
      <c r="M161" s="24">
        <v>246779413704</v>
      </c>
      <c r="N161" s="47"/>
    </row>
    <row r="162" spans="1:14" hidden="1" x14ac:dyDescent="0.35">
      <c r="A162" s="50">
        <v>45748</v>
      </c>
      <c r="B162" s="22" t="s">
        <v>489</v>
      </c>
      <c r="C162" s="23">
        <v>0</v>
      </c>
      <c r="D162" s="23">
        <v>200</v>
      </c>
      <c r="E162" s="23">
        <v>-2849474.12</v>
      </c>
      <c r="F162" s="22" t="s">
        <v>3</v>
      </c>
      <c r="G162" s="22" t="s">
        <v>3</v>
      </c>
      <c r="H162" s="22" t="s">
        <v>662</v>
      </c>
      <c r="I162" s="22" t="s">
        <v>500</v>
      </c>
      <c r="J162" s="22" t="s">
        <v>492</v>
      </c>
      <c r="K162" s="22" t="s">
        <v>493</v>
      </c>
      <c r="L162" s="22" t="s">
        <v>662</v>
      </c>
      <c r="M162" s="24">
        <v>246779410848</v>
      </c>
      <c r="N162" s="47"/>
    </row>
    <row r="163" spans="1:14" x14ac:dyDescent="0.35">
      <c r="A163" s="50">
        <v>45937</v>
      </c>
      <c r="B163" s="22" t="s">
        <v>489</v>
      </c>
      <c r="C163" s="23">
        <v>36410</v>
      </c>
      <c r="D163" s="23">
        <v>36410</v>
      </c>
      <c r="E163" s="23">
        <v>-757662.59999999963</v>
      </c>
      <c r="F163" s="22" t="s">
        <v>792</v>
      </c>
      <c r="G163" s="22" t="s">
        <v>1</v>
      </c>
      <c r="H163" s="22" t="s">
        <v>797</v>
      </c>
      <c r="I163" s="22"/>
      <c r="J163" s="22" t="s">
        <v>492</v>
      </c>
      <c r="K163" s="22" t="s">
        <v>493</v>
      </c>
      <c r="L163" s="22" t="s">
        <v>798</v>
      </c>
      <c r="M163" s="24">
        <v>246779411278</v>
      </c>
      <c r="N163" s="47"/>
    </row>
    <row r="164" spans="1:14" x14ac:dyDescent="0.35">
      <c r="A164" s="50">
        <v>45747</v>
      </c>
      <c r="B164" s="22" t="s">
        <v>489</v>
      </c>
      <c r="C164" s="23">
        <v>0</v>
      </c>
      <c r="D164" s="23">
        <v>33376</v>
      </c>
      <c r="E164" s="23">
        <v>-2809572.12</v>
      </c>
      <c r="F164" s="22" t="s">
        <v>3</v>
      </c>
      <c r="G164" s="22" t="s">
        <v>3</v>
      </c>
      <c r="H164" s="22" t="s">
        <v>646</v>
      </c>
      <c r="I164" s="22" t="s">
        <v>608</v>
      </c>
      <c r="J164" s="22" t="s">
        <v>492</v>
      </c>
      <c r="K164" s="22" t="s">
        <v>493</v>
      </c>
      <c r="L164" s="22" t="s">
        <v>646</v>
      </c>
      <c r="M164" s="24">
        <v>246779411300</v>
      </c>
      <c r="N164" s="47"/>
    </row>
    <row r="165" spans="1:14" hidden="1" x14ac:dyDescent="0.35">
      <c r="A165" s="50">
        <v>45748</v>
      </c>
      <c r="B165" s="22" t="s">
        <v>489</v>
      </c>
      <c r="C165" s="23">
        <v>0</v>
      </c>
      <c r="D165" s="23">
        <v>3594</v>
      </c>
      <c r="E165" s="23">
        <v>-2917685.12</v>
      </c>
      <c r="F165" s="22" t="s">
        <v>3</v>
      </c>
      <c r="G165" s="22" t="s">
        <v>3</v>
      </c>
      <c r="H165" s="22" t="s">
        <v>666</v>
      </c>
      <c r="I165" s="22" t="s">
        <v>500</v>
      </c>
      <c r="J165" s="22" t="s">
        <v>492</v>
      </c>
      <c r="K165" s="22" t="s">
        <v>493</v>
      </c>
      <c r="L165" s="22" t="s">
        <v>666</v>
      </c>
      <c r="M165" s="24">
        <v>246779410755</v>
      </c>
      <c r="N165" s="47"/>
    </row>
    <row r="166" spans="1:14" hidden="1" x14ac:dyDescent="0.35">
      <c r="A166" s="50">
        <v>45748</v>
      </c>
      <c r="B166" s="22" t="s">
        <v>489</v>
      </c>
      <c r="C166" s="23">
        <v>0</v>
      </c>
      <c r="D166" s="23">
        <v>35477</v>
      </c>
      <c r="E166" s="23">
        <v>-2953162.12</v>
      </c>
      <c r="F166" s="22" t="s">
        <v>3</v>
      </c>
      <c r="G166" s="22" t="s">
        <v>3</v>
      </c>
      <c r="H166" s="22" t="s">
        <v>667</v>
      </c>
      <c r="I166" s="22" t="s">
        <v>491</v>
      </c>
      <c r="J166" s="22" t="s">
        <v>492</v>
      </c>
      <c r="K166" s="22" t="s">
        <v>493</v>
      </c>
      <c r="L166" s="22" t="s">
        <v>667</v>
      </c>
      <c r="M166" s="24">
        <v>246779410072</v>
      </c>
      <c r="N166" s="47"/>
    </row>
    <row r="167" spans="1:14" hidden="1" x14ac:dyDescent="0.35">
      <c r="A167" s="50">
        <v>45748</v>
      </c>
      <c r="B167" s="22" t="s">
        <v>489</v>
      </c>
      <c r="C167" s="23">
        <v>0</v>
      </c>
      <c r="D167" s="23">
        <v>799</v>
      </c>
      <c r="E167" s="23">
        <v>-2953961.12</v>
      </c>
      <c r="F167" s="22" t="s">
        <v>3</v>
      </c>
      <c r="G167" s="22" t="s">
        <v>3</v>
      </c>
      <c r="H167" s="22" t="s">
        <v>668</v>
      </c>
      <c r="I167" s="22" t="s">
        <v>500</v>
      </c>
      <c r="J167" s="22" t="s">
        <v>492</v>
      </c>
      <c r="K167" s="22" t="s">
        <v>493</v>
      </c>
      <c r="L167" s="22" t="s">
        <v>668</v>
      </c>
      <c r="M167" s="24">
        <v>246779410688</v>
      </c>
      <c r="N167" s="47"/>
    </row>
    <row r="168" spans="1:14" hidden="1" x14ac:dyDescent="0.35">
      <c r="A168" s="50">
        <v>45748</v>
      </c>
      <c r="B168" s="22" t="s">
        <v>489</v>
      </c>
      <c r="C168" s="23">
        <v>0</v>
      </c>
      <c r="D168" s="23">
        <v>1797</v>
      </c>
      <c r="E168" s="23">
        <v>-2955758.12</v>
      </c>
      <c r="F168" s="22" t="s">
        <v>3</v>
      </c>
      <c r="G168" s="22" t="s">
        <v>3</v>
      </c>
      <c r="H168" s="22" t="s">
        <v>669</v>
      </c>
      <c r="I168" s="22" t="s">
        <v>500</v>
      </c>
      <c r="J168" s="22" t="s">
        <v>492</v>
      </c>
      <c r="K168" s="22" t="s">
        <v>493</v>
      </c>
      <c r="L168" s="22" t="s">
        <v>669</v>
      </c>
      <c r="M168" s="24">
        <v>246779410687</v>
      </c>
      <c r="N168" s="47"/>
    </row>
    <row r="169" spans="1:14" x14ac:dyDescent="0.35">
      <c r="A169" s="50">
        <v>45869</v>
      </c>
      <c r="B169" s="22" t="s">
        <v>489</v>
      </c>
      <c r="C169" s="23">
        <v>33376</v>
      </c>
      <c r="D169" s="23">
        <v>0</v>
      </c>
      <c r="E169" s="23">
        <v>-259448.5999999996</v>
      </c>
      <c r="F169" s="22" t="s">
        <v>3</v>
      </c>
      <c r="G169" s="22" t="s">
        <v>0</v>
      </c>
      <c r="H169" s="22" t="s">
        <v>771</v>
      </c>
      <c r="I169" s="22" t="s">
        <v>608</v>
      </c>
      <c r="J169" s="22" t="s">
        <v>492</v>
      </c>
      <c r="K169" s="22" t="s">
        <v>493</v>
      </c>
      <c r="L169" s="22" t="s">
        <v>646</v>
      </c>
      <c r="M169" s="24">
        <v>246779411300</v>
      </c>
      <c r="N169" s="47"/>
    </row>
    <row r="170" spans="1:14" hidden="1" x14ac:dyDescent="0.35">
      <c r="A170" s="50">
        <v>45750</v>
      </c>
      <c r="B170" s="22" t="s">
        <v>489</v>
      </c>
      <c r="C170" s="23">
        <v>0</v>
      </c>
      <c r="D170" s="23">
        <v>2883</v>
      </c>
      <c r="E170" s="23">
        <v>-3018265.12</v>
      </c>
      <c r="F170" s="22" t="s">
        <v>3</v>
      </c>
      <c r="G170" s="22" t="s">
        <v>3</v>
      </c>
      <c r="H170" s="22" t="s">
        <v>671</v>
      </c>
      <c r="I170" s="22" t="s">
        <v>672</v>
      </c>
      <c r="J170" s="22" t="s">
        <v>492</v>
      </c>
      <c r="K170" s="22" t="s">
        <v>493</v>
      </c>
      <c r="L170" s="22" t="s">
        <v>671</v>
      </c>
      <c r="M170" s="24">
        <v>256779410157</v>
      </c>
      <c r="N170" s="47"/>
    </row>
    <row r="171" spans="1:14" hidden="1" x14ac:dyDescent="0.35">
      <c r="A171" s="50">
        <v>45750</v>
      </c>
      <c r="B171" s="22" t="s">
        <v>489</v>
      </c>
      <c r="C171" s="23">
        <v>0</v>
      </c>
      <c r="D171" s="23">
        <v>4913</v>
      </c>
      <c r="E171" s="23">
        <v>-3023178.12</v>
      </c>
      <c r="F171" s="22" t="s">
        <v>3</v>
      </c>
      <c r="G171" s="22" t="s">
        <v>3</v>
      </c>
      <c r="H171" s="22" t="s">
        <v>673</v>
      </c>
      <c r="I171" s="22" t="s">
        <v>557</v>
      </c>
      <c r="J171" s="22" t="s">
        <v>492</v>
      </c>
      <c r="K171" s="22" t="s">
        <v>493</v>
      </c>
      <c r="L171" s="22" t="s">
        <v>673</v>
      </c>
      <c r="M171" s="24">
        <v>256779410156</v>
      </c>
      <c r="N171" s="47"/>
    </row>
    <row r="172" spans="1:14" hidden="1" x14ac:dyDescent="0.35">
      <c r="A172" s="50">
        <v>45750</v>
      </c>
      <c r="B172" s="22" t="s">
        <v>489</v>
      </c>
      <c r="C172" s="23">
        <v>0</v>
      </c>
      <c r="D172" s="23">
        <v>13011</v>
      </c>
      <c r="E172" s="23">
        <v>-3036189.12</v>
      </c>
      <c r="F172" s="22" t="s">
        <v>3</v>
      </c>
      <c r="G172" s="22" t="s">
        <v>3</v>
      </c>
      <c r="H172" s="22" t="s">
        <v>674</v>
      </c>
      <c r="I172" s="22" t="s">
        <v>500</v>
      </c>
      <c r="J172" s="22" t="s">
        <v>492</v>
      </c>
      <c r="K172" s="22" t="s">
        <v>493</v>
      </c>
      <c r="L172" s="22" t="s">
        <v>674</v>
      </c>
      <c r="M172" s="24">
        <v>256779410166</v>
      </c>
      <c r="N172" s="47"/>
    </row>
    <row r="173" spans="1:14" hidden="1" x14ac:dyDescent="0.35">
      <c r="A173" s="50">
        <v>45750</v>
      </c>
      <c r="B173" s="22" t="s">
        <v>489</v>
      </c>
      <c r="C173" s="23">
        <v>0</v>
      </c>
      <c r="D173" s="23">
        <v>6205</v>
      </c>
      <c r="E173" s="23">
        <v>-3042394.12</v>
      </c>
      <c r="F173" s="22" t="s">
        <v>3</v>
      </c>
      <c r="G173" s="22" t="s">
        <v>3</v>
      </c>
      <c r="H173" s="22" t="s">
        <v>675</v>
      </c>
      <c r="I173" s="22" t="s">
        <v>500</v>
      </c>
      <c r="J173" s="22" t="s">
        <v>492</v>
      </c>
      <c r="K173" s="22" t="s">
        <v>493</v>
      </c>
      <c r="L173" s="22" t="s">
        <v>675</v>
      </c>
      <c r="M173" s="24">
        <v>256779410174</v>
      </c>
      <c r="N173" s="47"/>
    </row>
    <row r="174" spans="1:14" hidden="1" x14ac:dyDescent="0.35">
      <c r="A174" s="50">
        <v>45750</v>
      </c>
      <c r="B174" s="22" t="s">
        <v>489</v>
      </c>
      <c r="C174" s="23">
        <v>0</v>
      </c>
      <c r="D174" s="23">
        <v>2937</v>
      </c>
      <c r="E174" s="23">
        <v>-3045331.12</v>
      </c>
      <c r="F174" s="22" t="s">
        <v>3</v>
      </c>
      <c r="G174" s="22" t="s">
        <v>3</v>
      </c>
      <c r="H174" s="22" t="s">
        <v>676</v>
      </c>
      <c r="I174" s="22" t="s">
        <v>573</v>
      </c>
      <c r="J174" s="22" t="s">
        <v>492</v>
      </c>
      <c r="K174" s="22" t="s">
        <v>493</v>
      </c>
      <c r="L174" s="22" t="s">
        <v>676</v>
      </c>
      <c r="M174" s="24">
        <v>256779410201</v>
      </c>
      <c r="N174" s="47"/>
    </row>
    <row r="175" spans="1:14" hidden="1" x14ac:dyDescent="0.35">
      <c r="A175" s="50">
        <v>45750</v>
      </c>
      <c r="B175" s="22" t="s">
        <v>489</v>
      </c>
      <c r="C175" s="23">
        <v>0</v>
      </c>
      <c r="D175" s="23">
        <v>319</v>
      </c>
      <c r="E175" s="23">
        <v>-3045650.12</v>
      </c>
      <c r="F175" s="22" t="s">
        <v>3</v>
      </c>
      <c r="G175" s="22" t="s">
        <v>3</v>
      </c>
      <c r="H175" s="22" t="s">
        <v>677</v>
      </c>
      <c r="I175" s="22" t="s">
        <v>579</v>
      </c>
      <c r="J175" s="22" t="s">
        <v>492</v>
      </c>
      <c r="K175" s="22" t="s">
        <v>493</v>
      </c>
      <c r="L175" s="22" t="s">
        <v>677</v>
      </c>
      <c r="M175" s="24">
        <v>256779410135</v>
      </c>
      <c r="N175" s="47"/>
    </row>
    <row r="176" spans="1:14" hidden="1" x14ac:dyDescent="0.35">
      <c r="A176" s="50">
        <v>45750</v>
      </c>
      <c r="B176" s="22" t="s">
        <v>489</v>
      </c>
      <c r="C176" s="23">
        <v>0</v>
      </c>
      <c r="D176" s="23">
        <v>639</v>
      </c>
      <c r="E176" s="23">
        <v>-3046289.12</v>
      </c>
      <c r="F176" s="22" t="s">
        <v>3</v>
      </c>
      <c r="G176" s="22" t="s">
        <v>3</v>
      </c>
      <c r="H176" s="22" t="s">
        <v>678</v>
      </c>
      <c r="I176" s="22" t="s">
        <v>557</v>
      </c>
      <c r="J176" s="22" t="s">
        <v>492</v>
      </c>
      <c r="K176" s="22" t="s">
        <v>493</v>
      </c>
      <c r="L176" s="22" t="s">
        <v>678</v>
      </c>
      <c r="M176" s="24">
        <v>256779410134</v>
      </c>
      <c r="N176" s="47"/>
    </row>
    <row r="177" spans="1:14" x14ac:dyDescent="0.35">
      <c r="A177" s="50">
        <v>45747</v>
      </c>
      <c r="B177" s="22" t="s">
        <v>489</v>
      </c>
      <c r="C177" s="23">
        <v>0</v>
      </c>
      <c r="D177" s="23">
        <v>8522</v>
      </c>
      <c r="E177" s="23">
        <v>-2606942.12</v>
      </c>
      <c r="F177" s="22" t="s">
        <v>3</v>
      </c>
      <c r="G177" s="22" t="s">
        <v>3</v>
      </c>
      <c r="H177" s="22" t="s">
        <v>639</v>
      </c>
      <c r="I177" s="22" t="s">
        <v>608</v>
      </c>
      <c r="J177" s="22" t="s">
        <v>492</v>
      </c>
      <c r="K177" s="22" t="s">
        <v>493</v>
      </c>
      <c r="L177" s="22" t="s">
        <v>639</v>
      </c>
      <c r="M177" s="24">
        <v>246779411314</v>
      </c>
      <c r="N177" s="47"/>
    </row>
    <row r="178" spans="1:14" x14ac:dyDescent="0.35">
      <c r="A178" s="50">
        <v>46022</v>
      </c>
      <c r="B178" s="22" t="s">
        <v>489</v>
      </c>
      <c r="C178" s="23">
        <v>8522</v>
      </c>
      <c r="D178" s="23">
        <v>8522</v>
      </c>
      <c r="E178" s="23">
        <v>-2052708.6117</v>
      </c>
      <c r="F178" s="22" t="s">
        <v>792</v>
      </c>
      <c r="G178" s="22" t="s">
        <v>1</v>
      </c>
      <c r="H178" s="22" t="s">
        <v>929</v>
      </c>
      <c r="I178" s="22"/>
      <c r="J178" s="22" t="s">
        <v>492</v>
      </c>
      <c r="K178" s="22" t="s">
        <v>493</v>
      </c>
      <c r="L178" s="22" t="s">
        <v>930</v>
      </c>
      <c r="M178" s="24">
        <v>246779411314</v>
      </c>
      <c r="N178" s="47"/>
    </row>
    <row r="179" spans="1:14" x14ac:dyDescent="0.35">
      <c r="A179" s="50">
        <v>45747</v>
      </c>
      <c r="B179" s="22" t="s">
        <v>489</v>
      </c>
      <c r="C179" s="23">
        <v>0</v>
      </c>
      <c r="D179" s="23">
        <v>20874</v>
      </c>
      <c r="E179" s="23">
        <v>-2440597.12</v>
      </c>
      <c r="F179" s="22" t="s">
        <v>3</v>
      </c>
      <c r="G179" s="22" t="s">
        <v>3</v>
      </c>
      <c r="H179" s="22" t="s">
        <v>607</v>
      </c>
      <c r="I179" s="22" t="s">
        <v>608</v>
      </c>
      <c r="J179" s="22" t="s">
        <v>492</v>
      </c>
      <c r="K179" s="22" t="s">
        <v>493</v>
      </c>
      <c r="L179" s="22" t="s">
        <v>607</v>
      </c>
      <c r="M179" s="24">
        <v>246779411326</v>
      </c>
      <c r="N179" s="47"/>
    </row>
    <row r="180" spans="1:14" hidden="1" x14ac:dyDescent="0.35">
      <c r="A180" s="50">
        <v>45751</v>
      </c>
      <c r="B180" s="22" t="s">
        <v>489</v>
      </c>
      <c r="C180" s="23">
        <v>0</v>
      </c>
      <c r="D180" s="23">
        <v>331566</v>
      </c>
      <c r="E180" s="23">
        <v>-3687999.12</v>
      </c>
      <c r="F180" s="22" t="s">
        <v>3</v>
      </c>
      <c r="G180" s="22" t="s">
        <v>3</v>
      </c>
      <c r="H180" s="22" t="s">
        <v>682</v>
      </c>
      <c r="I180" s="22" t="s">
        <v>507</v>
      </c>
      <c r="J180" s="22" t="s">
        <v>492</v>
      </c>
      <c r="K180" s="22" t="s">
        <v>493</v>
      </c>
      <c r="L180" s="22" t="s">
        <v>682</v>
      </c>
      <c r="M180" s="24">
        <v>256779410812</v>
      </c>
      <c r="N180" s="47"/>
    </row>
    <row r="181" spans="1:14" hidden="1" x14ac:dyDescent="0.35">
      <c r="A181" s="50">
        <v>45751</v>
      </c>
      <c r="B181" s="22" t="s">
        <v>489</v>
      </c>
      <c r="C181" s="23">
        <v>0</v>
      </c>
      <c r="D181" s="23">
        <v>384955</v>
      </c>
      <c r="E181" s="23">
        <v>-4072954.12</v>
      </c>
      <c r="F181" s="22" t="s">
        <v>3</v>
      </c>
      <c r="G181" s="22" t="s">
        <v>3</v>
      </c>
      <c r="H181" s="22" t="s">
        <v>683</v>
      </c>
      <c r="I181" s="22" t="s">
        <v>507</v>
      </c>
      <c r="J181" s="22" t="s">
        <v>492</v>
      </c>
      <c r="K181" s="22" t="s">
        <v>493</v>
      </c>
      <c r="L181" s="22" t="s">
        <v>683</v>
      </c>
      <c r="M181" s="24">
        <v>256779410795</v>
      </c>
      <c r="N181" s="47"/>
    </row>
    <row r="182" spans="1:14" hidden="1" x14ac:dyDescent="0.35">
      <c r="A182" s="50">
        <v>45762</v>
      </c>
      <c r="B182" s="22" t="s">
        <v>489</v>
      </c>
      <c r="C182" s="23">
        <v>0</v>
      </c>
      <c r="D182" s="23">
        <v>13328</v>
      </c>
      <c r="E182" s="23">
        <v>-4086282.12</v>
      </c>
      <c r="F182" s="22" t="s">
        <v>3</v>
      </c>
      <c r="G182" s="22" t="s">
        <v>3</v>
      </c>
      <c r="H182" s="22" t="s">
        <v>684</v>
      </c>
      <c r="I182" s="22" t="s">
        <v>500</v>
      </c>
      <c r="J182" s="22" t="s">
        <v>492</v>
      </c>
      <c r="K182" s="22" t="s">
        <v>493</v>
      </c>
      <c r="L182" s="22" t="s">
        <v>684</v>
      </c>
      <c r="M182" s="24">
        <v>256779411150</v>
      </c>
      <c r="N182" s="47"/>
    </row>
    <row r="183" spans="1:14" hidden="1" x14ac:dyDescent="0.35">
      <c r="A183" s="50">
        <v>45762</v>
      </c>
      <c r="B183" s="22" t="s">
        <v>489</v>
      </c>
      <c r="C183" s="23">
        <v>0</v>
      </c>
      <c r="D183" s="23">
        <v>25546</v>
      </c>
      <c r="E183" s="23">
        <v>-4111828.12</v>
      </c>
      <c r="F183" s="22" t="s">
        <v>3</v>
      </c>
      <c r="G183" s="22" t="s">
        <v>3</v>
      </c>
      <c r="H183" s="22" t="s">
        <v>685</v>
      </c>
      <c r="I183" s="22" t="s">
        <v>561</v>
      </c>
      <c r="J183" s="22" t="s">
        <v>492</v>
      </c>
      <c r="K183" s="22" t="s">
        <v>493</v>
      </c>
      <c r="L183" s="22" t="s">
        <v>685</v>
      </c>
      <c r="M183" s="24">
        <v>256779411148</v>
      </c>
      <c r="N183" s="47"/>
    </row>
    <row r="184" spans="1:14" hidden="1" x14ac:dyDescent="0.35">
      <c r="A184" s="50">
        <v>45762</v>
      </c>
      <c r="B184" s="22" t="s">
        <v>489</v>
      </c>
      <c r="C184" s="23">
        <v>0</v>
      </c>
      <c r="D184" s="23">
        <v>2664</v>
      </c>
      <c r="E184" s="23">
        <v>-4114492.12</v>
      </c>
      <c r="F184" s="22" t="s">
        <v>3</v>
      </c>
      <c r="G184" s="22" t="s">
        <v>3</v>
      </c>
      <c r="H184" s="22" t="s">
        <v>686</v>
      </c>
      <c r="I184" s="22" t="s">
        <v>557</v>
      </c>
      <c r="J184" s="22" t="s">
        <v>492</v>
      </c>
      <c r="K184" s="22" t="s">
        <v>493</v>
      </c>
      <c r="L184" s="22" t="s">
        <v>686</v>
      </c>
      <c r="M184" s="24">
        <v>256779411149</v>
      </c>
      <c r="N184" s="47"/>
    </row>
    <row r="185" spans="1:14" hidden="1" x14ac:dyDescent="0.35">
      <c r="A185" s="50">
        <v>45762</v>
      </c>
      <c r="B185" s="22" t="s">
        <v>489</v>
      </c>
      <c r="C185" s="23">
        <v>0</v>
      </c>
      <c r="D185" s="23">
        <v>790</v>
      </c>
      <c r="E185" s="23">
        <v>-4115282.12</v>
      </c>
      <c r="F185" s="22" t="s">
        <v>3</v>
      </c>
      <c r="G185" s="22" t="s">
        <v>3</v>
      </c>
      <c r="H185" s="22" t="s">
        <v>687</v>
      </c>
      <c r="I185" s="22" t="s">
        <v>557</v>
      </c>
      <c r="J185" s="22" t="s">
        <v>492</v>
      </c>
      <c r="K185" s="22" t="s">
        <v>493</v>
      </c>
      <c r="L185" s="22" t="s">
        <v>687</v>
      </c>
      <c r="M185" s="24">
        <v>256779411564</v>
      </c>
      <c r="N185" s="47"/>
    </row>
    <row r="186" spans="1:14" hidden="1" x14ac:dyDescent="0.35">
      <c r="A186" s="50">
        <v>45762</v>
      </c>
      <c r="B186" s="22" t="s">
        <v>489</v>
      </c>
      <c r="C186" s="23">
        <v>0</v>
      </c>
      <c r="D186" s="23">
        <v>198</v>
      </c>
      <c r="E186" s="23">
        <v>-4115480.12</v>
      </c>
      <c r="F186" s="22" t="s">
        <v>3</v>
      </c>
      <c r="G186" s="22" t="s">
        <v>3</v>
      </c>
      <c r="H186" s="22" t="s">
        <v>688</v>
      </c>
      <c r="I186" s="22" t="s">
        <v>500</v>
      </c>
      <c r="J186" s="22" t="s">
        <v>492</v>
      </c>
      <c r="K186" s="22" t="s">
        <v>493</v>
      </c>
      <c r="L186" s="22" t="s">
        <v>688</v>
      </c>
      <c r="M186" s="24">
        <v>256779411563</v>
      </c>
      <c r="N186" s="47"/>
    </row>
    <row r="187" spans="1:14" hidden="1" x14ac:dyDescent="0.35">
      <c r="A187" s="50">
        <v>45762</v>
      </c>
      <c r="B187" s="22" t="s">
        <v>489</v>
      </c>
      <c r="C187" s="23">
        <v>0</v>
      </c>
      <c r="D187" s="23">
        <v>13629</v>
      </c>
      <c r="E187" s="23">
        <v>-4129109.12</v>
      </c>
      <c r="F187" s="22" t="s">
        <v>3</v>
      </c>
      <c r="G187" s="22" t="s">
        <v>3</v>
      </c>
      <c r="H187" s="22" t="s">
        <v>689</v>
      </c>
      <c r="I187" s="22" t="s">
        <v>581</v>
      </c>
      <c r="J187" s="22" t="s">
        <v>492</v>
      </c>
      <c r="K187" s="22" t="s">
        <v>493</v>
      </c>
      <c r="L187" s="22" t="s">
        <v>689</v>
      </c>
      <c r="M187" s="24">
        <v>256779411151</v>
      </c>
      <c r="N187" s="47"/>
    </row>
    <row r="188" spans="1:14" hidden="1" x14ac:dyDescent="0.35">
      <c r="A188" s="50">
        <v>45763</v>
      </c>
      <c r="B188" s="22" t="s">
        <v>489</v>
      </c>
      <c r="C188" s="23">
        <v>0</v>
      </c>
      <c r="D188" s="23">
        <v>417286</v>
      </c>
      <c r="E188" s="23">
        <v>-4546395.12</v>
      </c>
      <c r="F188" s="22" t="s">
        <v>3</v>
      </c>
      <c r="G188" s="22" t="s">
        <v>3</v>
      </c>
      <c r="H188" s="22" t="s">
        <v>690</v>
      </c>
      <c r="I188" s="22" t="s">
        <v>507</v>
      </c>
      <c r="J188" s="22" t="s">
        <v>492</v>
      </c>
      <c r="K188" s="22" t="s">
        <v>493</v>
      </c>
      <c r="L188" s="22" t="s">
        <v>690</v>
      </c>
      <c r="M188" s="24">
        <v>256779412117</v>
      </c>
      <c r="N188" s="47"/>
    </row>
    <row r="189" spans="1:14" hidden="1" x14ac:dyDescent="0.35">
      <c r="A189" s="50">
        <v>45763</v>
      </c>
      <c r="B189" s="22" t="s">
        <v>489</v>
      </c>
      <c r="C189" s="23">
        <v>0</v>
      </c>
      <c r="D189" s="23">
        <v>1972</v>
      </c>
      <c r="E189" s="23">
        <v>-4548367.12</v>
      </c>
      <c r="F189" s="22" t="s">
        <v>3</v>
      </c>
      <c r="G189" s="22" t="s">
        <v>3</v>
      </c>
      <c r="H189" s="22" t="s">
        <v>691</v>
      </c>
      <c r="I189" s="22" t="s">
        <v>557</v>
      </c>
      <c r="J189" s="22" t="s">
        <v>492</v>
      </c>
      <c r="K189" s="22" t="s">
        <v>493</v>
      </c>
      <c r="L189" s="22" t="s">
        <v>691</v>
      </c>
      <c r="M189" s="24">
        <v>25677941807</v>
      </c>
      <c r="N189" s="47"/>
    </row>
    <row r="190" spans="1:14" hidden="1" x14ac:dyDescent="0.35">
      <c r="A190" s="50">
        <v>45763</v>
      </c>
      <c r="B190" s="22" t="s">
        <v>489</v>
      </c>
      <c r="C190" s="23">
        <v>0</v>
      </c>
      <c r="D190" s="23">
        <v>1584</v>
      </c>
      <c r="E190" s="23">
        <v>-4549951.12</v>
      </c>
      <c r="F190" s="22" t="s">
        <v>3</v>
      </c>
      <c r="G190" s="22" t="s">
        <v>3</v>
      </c>
      <c r="H190" s="22" t="s">
        <v>692</v>
      </c>
      <c r="I190" s="22" t="s">
        <v>573</v>
      </c>
      <c r="J190" s="22" t="s">
        <v>492</v>
      </c>
      <c r="K190" s="22" t="s">
        <v>493</v>
      </c>
      <c r="L190" s="22" t="s">
        <v>692</v>
      </c>
      <c r="M190" s="24">
        <v>256779412065</v>
      </c>
      <c r="N190" s="47"/>
    </row>
    <row r="191" spans="1:14" hidden="1" x14ac:dyDescent="0.35">
      <c r="A191" s="50">
        <v>45763</v>
      </c>
      <c r="B191" s="22" t="s">
        <v>489</v>
      </c>
      <c r="C191" s="23">
        <v>0</v>
      </c>
      <c r="D191" s="23">
        <v>1256</v>
      </c>
      <c r="E191" s="23">
        <v>-4551207.12</v>
      </c>
      <c r="F191" s="22" t="s">
        <v>3</v>
      </c>
      <c r="G191" s="22" t="s">
        <v>3</v>
      </c>
      <c r="H191" s="22" t="s">
        <v>693</v>
      </c>
      <c r="I191" s="22" t="s">
        <v>500</v>
      </c>
      <c r="J191" s="22" t="s">
        <v>492</v>
      </c>
      <c r="K191" s="22" t="s">
        <v>493</v>
      </c>
      <c r="L191" s="22" t="s">
        <v>693</v>
      </c>
      <c r="M191" s="24">
        <v>256779411885</v>
      </c>
      <c r="N191" s="47"/>
    </row>
    <row r="192" spans="1:14" hidden="1" x14ac:dyDescent="0.35">
      <c r="A192" s="50">
        <v>45763</v>
      </c>
      <c r="B192" s="22" t="s">
        <v>489</v>
      </c>
      <c r="C192" s="23">
        <v>0</v>
      </c>
      <c r="D192" s="23">
        <v>21549</v>
      </c>
      <c r="E192" s="23">
        <v>-4572756.12</v>
      </c>
      <c r="F192" s="22" t="s">
        <v>3</v>
      </c>
      <c r="G192" s="22" t="s">
        <v>3</v>
      </c>
      <c r="H192" s="22" t="s">
        <v>694</v>
      </c>
      <c r="I192" s="22" t="s">
        <v>573</v>
      </c>
      <c r="J192" s="22" t="s">
        <v>492</v>
      </c>
      <c r="K192" s="22" t="s">
        <v>493</v>
      </c>
      <c r="L192" s="22" t="s">
        <v>694</v>
      </c>
      <c r="M192" s="24">
        <v>256779412100</v>
      </c>
      <c r="N192" s="47"/>
    </row>
    <row r="193" spans="1:14" hidden="1" x14ac:dyDescent="0.35">
      <c r="A193" s="50">
        <v>45763</v>
      </c>
      <c r="B193" s="22" t="s">
        <v>489</v>
      </c>
      <c r="C193" s="23">
        <v>0</v>
      </c>
      <c r="D193" s="23">
        <v>447</v>
      </c>
      <c r="E193" s="23">
        <v>-4573203.12</v>
      </c>
      <c r="F193" s="22" t="s">
        <v>3</v>
      </c>
      <c r="G193" s="22" t="s">
        <v>3</v>
      </c>
      <c r="H193" s="22" t="s">
        <v>695</v>
      </c>
      <c r="I193" s="22" t="s">
        <v>500</v>
      </c>
      <c r="J193" s="22" t="s">
        <v>492</v>
      </c>
      <c r="K193" s="22" t="s">
        <v>493</v>
      </c>
      <c r="L193" s="22" t="s">
        <v>695</v>
      </c>
      <c r="M193" s="24">
        <v>256779411886</v>
      </c>
      <c r="N193" s="47"/>
    </row>
    <row r="194" spans="1:14" x14ac:dyDescent="0.35">
      <c r="A194" s="50">
        <v>45854</v>
      </c>
      <c r="B194" s="22" t="s">
        <v>489</v>
      </c>
      <c r="C194" s="23">
        <v>20874</v>
      </c>
      <c r="D194" s="23">
        <v>0</v>
      </c>
      <c r="E194" s="23">
        <v>-1512057.6</v>
      </c>
      <c r="F194" s="22" t="s">
        <v>3</v>
      </c>
      <c r="G194" s="22" t="s">
        <v>0</v>
      </c>
      <c r="H194" s="22" t="s">
        <v>749</v>
      </c>
      <c r="I194" s="22" t="s">
        <v>608</v>
      </c>
      <c r="J194" s="22" t="s">
        <v>492</v>
      </c>
      <c r="K194" s="22" t="s">
        <v>493</v>
      </c>
      <c r="L194" s="22" t="s">
        <v>607</v>
      </c>
      <c r="M194" s="24">
        <v>246779411326</v>
      </c>
      <c r="N194" s="47"/>
    </row>
    <row r="195" spans="1:14" hidden="1" x14ac:dyDescent="0.35">
      <c r="A195" s="50">
        <v>45768</v>
      </c>
      <c r="B195" s="22" t="s">
        <v>489</v>
      </c>
      <c r="C195" s="23">
        <v>0</v>
      </c>
      <c r="D195" s="23">
        <v>34962</v>
      </c>
      <c r="E195" s="23">
        <v>-4620334.12</v>
      </c>
      <c r="F195" s="22" t="s">
        <v>3</v>
      </c>
      <c r="G195" s="22" t="s">
        <v>3</v>
      </c>
      <c r="H195" s="22" t="s">
        <v>698</v>
      </c>
      <c r="I195" s="22" t="s">
        <v>491</v>
      </c>
      <c r="J195" s="22" t="s">
        <v>492</v>
      </c>
      <c r="K195" s="22" t="s">
        <v>493</v>
      </c>
      <c r="L195" s="22" t="s">
        <v>698</v>
      </c>
      <c r="M195" s="24">
        <v>256779412161</v>
      </c>
      <c r="N195" s="47"/>
    </row>
    <row r="196" spans="1:14" hidden="1" x14ac:dyDescent="0.35">
      <c r="A196" s="50">
        <v>45769</v>
      </c>
      <c r="B196" s="22" t="s">
        <v>489</v>
      </c>
      <c r="C196" s="23">
        <v>0</v>
      </c>
      <c r="D196" s="23">
        <v>2085</v>
      </c>
      <c r="E196" s="23">
        <v>-4622419.12</v>
      </c>
      <c r="F196" s="22" t="s">
        <v>3</v>
      </c>
      <c r="G196" s="22" t="s">
        <v>3</v>
      </c>
      <c r="H196" s="22" t="s">
        <v>699</v>
      </c>
      <c r="I196" s="22" t="s">
        <v>500</v>
      </c>
      <c r="J196" s="22" t="s">
        <v>492</v>
      </c>
      <c r="K196" s="22" t="s">
        <v>493</v>
      </c>
      <c r="L196" s="22" t="s">
        <v>699</v>
      </c>
      <c r="M196" s="24">
        <v>256779412655</v>
      </c>
      <c r="N196" s="47"/>
    </row>
    <row r="197" spans="1:14" hidden="1" x14ac:dyDescent="0.35">
      <c r="A197" s="50">
        <v>45769</v>
      </c>
      <c r="B197" s="22" t="s">
        <v>489</v>
      </c>
      <c r="C197" s="23">
        <v>0</v>
      </c>
      <c r="D197" s="23">
        <v>3922</v>
      </c>
      <c r="E197" s="23">
        <v>-4626341.12</v>
      </c>
      <c r="F197" s="22" t="s">
        <v>3</v>
      </c>
      <c r="G197" s="22" t="s">
        <v>3</v>
      </c>
      <c r="H197" s="22" t="s">
        <v>700</v>
      </c>
      <c r="I197" s="22" t="s">
        <v>500</v>
      </c>
      <c r="J197" s="22" t="s">
        <v>492</v>
      </c>
      <c r="K197" s="22" t="s">
        <v>493</v>
      </c>
      <c r="L197" s="22" t="s">
        <v>700</v>
      </c>
      <c r="M197" s="24">
        <v>256779412613</v>
      </c>
      <c r="N197" s="47"/>
    </row>
    <row r="198" spans="1:14" hidden="1" x14ac:dyDescent="0.35">
      <c r="A198" s="50">
        <v>45769</v>
      </c>
      <c r="B198" s="22" t="s">
        <v>489</v>
      </c>
      <c r="C198" s="23">
        <v>0</v>
      </c>
      <c r="D198" s="23">
        <v>14119</v>
      </c>
      <c r="E198" s="23">
        <v>-4640460.12</v>
      </c>
      <c r="F198" s="22" t="s">
        <v>3</v>
      </c>
      <c r="G198" s="22" t="s">
        <v>3</v>
      </c>
      <c r="H198" s="22" t="s">
        <v>701</v>
      </c>
      <c r="I198" s="22" t="s">
        <v>557</v>
      </c>
      <c r="J198" s="22" t="s">
        <v>492</v>
      </c>
      <c r="K198" s="22" t="s">
        <v>493</v>
      </c>
      <c r="L198" s="22" t="s">
        <v>701</v>
      </c>
      <c r="M198" s="24">
        <v>256779412468</v>
      </c>
      <c r="N198" s="47"/>
    </row>
    <row r="199" spans="1:14" hidden="1" x14ac:dyDescent="0.35">
      <c r="A199" s="50">
        <v>45769</v>
      </c>
      <c r="B199" s="22" t="s">
        <v>489</v>
      </c>
      <c r="C199" s="23">
        <v>0</v>
      </c>
      <c r="D199" s="23">
        <v>1447</v>
      </c>
      <c r="E199" s="23">
        <v>-4641907.12</v>
      </c>
      <c r="F199" s="22" t="s">
        <v>3</v>
      </c>
      <c r="G199" s="22" t="s">
        <v>3</v>
      </c>
      <c r="H199" s="22" t="s">
        <v>702</v>
      </c>
      <c r="I199" s="22" t="s">
        <v>559</v>
      </c>
      <c r="J199" s="22" t="s">
        <v>492</v>
      </c>
      <c r="K199" s="22" t="s">
        <v>493</v>
      </c>
      <c r="L199" s="22" t="s">
        <v>702</v>
      </c>
      <c r="M199" s="24">
        <v>256779412675</v>
      </c>
      <c r="N199" s="47"/>
    </row>
    <row r="200" spans="1:14" hidden="1" x14ac:dyDescent="0.35">
      <c r="A200" s="50">
        <v>45769</v>
      </c>
      <c r="B200" s="22" t="s">
        <v>489</v>
      </c>
      <c r="C200" s="23">
        <v>0</v>
      </c>
      <c r="D200" s="23">
        <v>43195</v>
      </c>
      <c r="E200" s="23">
        <v>-4685102.12</v>
      </c>
      <c r="F200" s="22" t="s">
        <v>3</v>
      </c>
      <c r="G200" s="22" t="s">
        <v>3</v>
      </c>
      <c r="H200" s="22" t="s">
        <v>703</v>
      </c>
      <c r="I200" s="22" t="s">
        <v>704</v>
      </c>
      <c r="J200" s="22" t="s">
        <v>492</v>
      </c>
      <c r="K200" s="22" t="s">
        <v>493</v>
      </c>
      <c r="L200" s="22" t="s">
        <v>703</v>
      </c>
      <c r="M200" s="24">
        <v>256779412683</v>
      </c>
      <c r="N200" s="47"/>
    </row>
    <row r="201" spans="1:14" hidden="1" x14ac:dyDescent="0.35">
      <c r="A201" s="50">
        <v>45769</v>
      </c>
      <c r="B201" s="22" t="s">
        <v>489</v>
      </c>
      <c r="C201" s="23">
        <v>0</v>
      </c>
      <c r="D201" s="23">
        <v>10809</v>
      </c>
      <c r="E201" s="23">
        <v>-4695911.12</v>
      </c>
      <c r="F201" s="22" t="s">
        <v>3</v>
      </c>
      <c r="G201" s="22" t="s">
        <v>3</v>
      </c>
      <c r="H201" s="22" t="s">
        <v>705</v>
      </c>
      <c r="I201" s="22" t="s">
        <v>557</v>
      </c>
      <c r="J201" s="22" t="s">
        <v>492</v>
      </c>
      <c r="K201" s="22" t="s">
        <v>493</v>
      </c>
      <c r="L201" s="22" t="s">
        <v>705</v>
      </c>
      <c r="M201" s="24">
        <v>256779412461</v>
      </c>
      <c r="N201" s="47"/>
    </row>
    <row r="202" spans="1:14" hidden="1" x14ac:dyDescent="0.35">
      <c r="A202" s="50">
        <v>45770</v>
      </c>
      <c r="B202" s="22" t="s">
        <v>489</v>
      </c>
      <c r="C202" s="23">
        <v>0</v>
      </c>
      <c r="D202" s="23">
        <v>1878</v>
      </c>
      <c r="E202" s="23">
        <v>-4697789.12</v>
      </c>
      <c r="F202" s="22" t="s">
        <v>3</v>
      </c>
      <c r="G202" s="22" t="s">
        <v>3</v>
      </c>
      <c r="H202" s="22" t="s">
        <v>706</v>
      </c>
      <c r="I202" s="22" t="s">
        <v>500</v>
      </c>
      <c r="J202" s="22" t="s">
        <v>492</v>
      </c>
      <c r="K202" s="22" t="s">
        <v>493</v>
      </c>
      <c r="L202" s="22" t="s">
        <v>706</v>
      </c>
      <c r="M202" s="24">
        <v>256779412926</v>
      </c>
      <c r="N202" s="47"/>
    </row>
    <row r="203" spans="1:14" hidden="1" x14ac:dyDescent="0.35">
      <c r="A203" s="50">
        <v>45770</v>
      </c>
      <c r="B203" s="22" t="s">
        <v>489</v>
      </c>
      <c r="C203" s="23">
        <v>0</v>
      </c>
      <c r="D203" s="23">
        <v>13211</v>
      </c>
      <c r="E203" s="23">
        <v>-4711000.12</v>
      </c>
      <c r="F203" s="22" t="s">
        <v>3</v>
      </c>
      <c r="G203" s="22" t="s">
        <v>3</v>
      </c>
      <c r="H203" s="22" t="s">
        <v>707</v>
      </c>
      <c r="I203" s="22" t="s">
        <v>500</v>
      </c>
      <c r="J203" s="22" t="s">
        <v>492</v>
      </c>
      <c r="K203" s="22" t="s">
        <v>493</v>
      </c>
      <c r="L203" s="22" t="s">
        <v>707</v>
      </c>
      <c r="M203" s="24">
        <v>256779412950</v>
      </c>
      <c r="N203" s="47"/>
    </row>
    <row r="204" spans="1:14" hidden="1" x14ac:dyDescent="0.35">
      <c r="A204" s="50">
        <v>45770</v>
      </c>
      <c r="B204" s="22" t="s">
        <v>489</v>
      </c>
      <c r="C204" s="23">
        <v>0</v>
      </c>
      <c r="D204" s="23">
        <v>27408</v>
      </c>
      <c r="E204" s="23">
        <v>-4738408.12</v>
      </c>
      <c r="F204" s="22" t="s">
        <v>3</v>
      </c>
      <c r="G204" s="22" t="s">
        <v>3</v>
      </c>
      <c r="H204" s="22" t="s">
        <v>708</v>
      </c>
      <c r="I204" s="22" t="s">
        <v>581</v>
      </c>
      <c r="J204" s="22" t="s">
        <v>492</v>
      </c>
      <c r="K204" s="22" t="s">
        <v>493</v>
      </c>
      <c r="L204" s="22" t="s">
        <v>708</v>
      </c>
      <c r="M204" s="24">
        <v>256779412941</v>
      </c>
      <c r="N204" s="47"/>
    </row>
    <row r="205" spans="1:14" x14ac:dyDescent="0.35">
      <c r="A205" s="50">
        <v>45747</v>
      </c>
      <c r="B205" s="22" t="s">
        <v>489</v>
      </c>
      <c r="C205" s="23">
        <v>0</v>
      </c>
      <c r="D205" s="23">
        <v>17857</v>
      </c>
      <c r="E205" s="23">
        <v>-2598420.12</v>
      </c>
      <c r="F205" s="22" t="s">
        <v>3</v>
      </c>
      <c r="G205" s="22" t="s">
        <v>3</v>
      </c>
      <c r="H205" s="22" t="s">
        <v>638</v>
      </c>
      <c r="I205" s="22" t="s">
        <v>608</v>
      </c>
      <c r="J205" s="22" t="s">
        <v>492</v>
      </c>
      <c r="K205" s="22" t="s">
        <v>493</v>
      </c>
      <c r="L205" s="22" t="s">
        <v>638</v>
      </c>
      <c r="M205" s="24">
        <v>246779411339</v>
      </c>
      <c r="N205" s="47"/>
    </row>
    <row r="206" spans="1:14" hidden="1" x14ac:dyDescent="0.35">
      <c r="A206" s="50">
        <v>45771</v>
      </c>
      <c r="B206" s="22" t="s">
        <v>489</v>
      </c>
      <c r="C206" s="23">
        <v>0</v>
      </c>
      <c r="D206" s="23">
        <v>7981</v>
      </c>
      <c r="E206" s="23">
        <v>-4752473.12</v>
      </c>
      <c r="F206" s="22" t="s">
        <v>3</v>
      </c>
      <c r="G206" s="22" t="s">
        <v>3</v>
      </c>
      <c r="H206" s="22" t="s">
        <v>710</v>
      </c>
      <c r="I206" s="22" t="s">
        <v>573</v>
      </c>
      <c r="J206" s="22" t="s">
        <v>492</v>
      </c>
      <c r="K206" s="22" t="s">
        <v>493</v>
      </c>
      <c r="L206" s="22" t="s">
        <v>710</v>
      </c>
      <c r="M206" s="24">
        <v>256779412777</v>
      </c>
      <c r="N206" s="47"/>
    </row>
    <row r="207" spans="1:14" hidden="1" x14ac:dyDescent="0.35">
      <c r="A207" s="50">
        <v>45787</v>
      </c>
      <c r="B207" s="22" t="s">
        <v>489</v>
      </c>
      <c r="C207" s="23">
        <v>0</v>
      </c>
      <c r="D207" s="23">
        <v>15927</v>
      </c>
      <c r="E207" s="23">
        <v>-4768400.12</v>
      </c>
      <c r="F207" s="22" t="s">
        <v>3</v>
      </c>
      <c r="G207" s="22" t="s">
        <v>3</v>
      </c>
      <c r="H207" s="22" t="s">
        <v>711</v>
      </c>
      <c r="I207" s="22" t="s">
        <v>557</v>
      </c>
      <c r="J207" s="22" t="s">
        <v>492</v>
      </c>
      <c r="K207" s="22" t="s">
        <v>493</v>
      </c>
      <c r="L207" s="22" t="s">
        <v>711</v>
      </c>
      <c r="M207" s="24">
        <v>256779413163</v>
      </c>
      <c r="N207" s="47"/>
    </row>
    <row r="208" spans="1:14" hidden="1" x14ac:dyDescent="0.35">
      <c r="A208" s="50">
        <v>45787</v>
      </c>
      <c r="B208" s="22" t="s">
        <v>489</v>
      </c>
      <c r="C208" s="23">
        <v>0</v>
      </c>
      <c r="D208" s="23">
        <v>35097</v>
      </c>
      <c r="E208" s="23">
        <v>-4803497.12</v>
      </c>
      <c r="F208" s="22" t="s">
        <v>3</v>
      </c>
      <c r="G208" s="22" t="s">
        <v>3</v>
      </c>
      <c r="H208" s="22" t="s">
        <v>712</v>
      </c>
      <c r="I208" s="22" t="s">
        <v>491</v>
      </c>
      <c r="J208" s="22" t="s">
        <v>492</v>
      </c>
      <c r="K208" s="22" t="s">
        <v>493</v>
      </c>
      <c r="L208" s="22" t="s">
        <v>712</v>
      </c>
      <c r="M208" s="24">
        <v>256779413127</v>
      </c>
      <c r="N208" s="47"/>
    </row>
    <row r="209" spans="1:14" hidden="1" x14ac:dyDescent="0.35">
      <c r="A209" s="50">
        <v>45787</v>
      </c>
      <c r="B209" s="22" t="s">
        <v>489</v>
      </c>
      <c r="C209" s="23">
        <v>0</v>
      </c>
      <c r="D209" s="23">
        <v>11810</v>
      </c>
      <c r="E209" s="23">
        <v>-4815307.12</v>
      </c>
      <c r="F209" s="22" t="s">
        <v>3</v>
      </c>
      <c r="G209" s="22" t="s">
        <v>3</v>
      </c>
      <c r="H209" s="22" t="s">
        <v>713</v>
      </c>
      <c r="I209" s="22" t="s">
        <v>500</v>
      </c>
      <c r="J209" s="22" t="s">
        <v>492</v>
      </c>
      <c r="K209" s="22" t="s">
        <v>493</v>
      </c>
      <c r="L209" s="22" t="s">
        <v>713</v>
      </c>
      <c r="M209" s="24">
        <v>256779413172</v>
      </c>
      <c r="N209" s="47"/>
    </row>
    <row r="210" spans="1:14" hidden="1" x14ac:dyDescent="0.35">
      <c r="A210" s="50">
        <v>45787</v>
      </c>
      <c r="B210" s="22" t="s">
        <v>489</v>
      </c>
      <c r="C210" s="23">
        <v>0</v>
      </c>
      <c r="D210" s="23">
        <v>3623</v>
      </c>
      <c r="E210" s="23">
        <v>-4818930.12</v>
      </c>
      <c r="F210" s="22" t="s">
        <v>3</v>
      </c>
      <c r="G210" s="22" t="s">
        <v>3</v>
      </c>
      <c r="H210" s="22" t="s">
        <v>714</v>
      </c>
      <c r="I210" s="22" t="s">
        <v>573</v>
      </c>
      <c r="J210" s="22" t="s">
        <v>492</v>
      </c>
      <c r="K210" s="22" t="s">
        <v>493</v>
      </c>
      <c r="L210" s="22" t="s">
        <v>714</v>
      </c>
      <c r="M210" s="24">
        <v>256779413243</v>
      </c>
      <c r="N210" s="47"/>
    </row>
    <row r="211" spans="1:14" hidden="1" x14ac:dyDescent="0.35">
      <c r="A211" s="50">
        <v>45793</v>
      </c>
      <c r="B211" s="22" t="s">
        <v>489</v>
      </c>
      <c r="C211" s="23">
        <v>0</v>
      </c>
      <c r="D211" s="23">
        <v>1264</v>
      </c>
      <c r="E211" s="23">
        <v>-4820194.12</v>
      </c>
      <c r="F211" s="22" t="s">
        <v>3</v>
      </c>
      <c r="G211" s="22" t="s">
        <v>3</v>
      </c>
      <c r="H211" s="22" t="s">
        <v>715</v>
      </c>
      <c r="I211" s="22" t="s">
        <v>500</v>
      </c>
      <c r="J211" s="22" t="s">
        <v>492</v>
      </c>
      <c r="K211" s="22" t="s">
        <v>493</v>
      </c>
      <c r="L211" s="22" t="s">
        <v>715</v>
      </c>
      <c r="M211" s="24">
        <v>256779413357</v>
      </c>
      <c r="N211" s="47"/>
    </row>
    <row r="212" spans="1:14" x14ac:dyDescent="0.35">
      <c r="A212" s="50">
        <v>45854</v>
      </c>
      <c r="B212" s="22" t="s">
        <v>489</v>
      </c>
      <c r="C212" s="23">
        <v>17857</v>
      </c>
      <c r="D212" s="23">
        <v>0</v>
      </c>
      <c r="E212" s="23">
        <v>-1544729.6000000001</v>
      </c>
      <c r="F212" s="22" t="s">
        <v>3</v>
      </c>
      <c r="G212" s="22" t="s">
        <v>0</v>
      </c>
      <c r="H212" s="22" t="s">
        <v>747</v>
      </c>
      <c r="I212" s="22" t="s">
        <v>608</v>
      </c>
      <c r="J212" s="22" t="s">
        <v>492</v>
      </c>
      <c r="K212" s="22" t="s">
        <v>493</v>
      </c>
      <c r="L212" s="22" t="s">
        <v>638</v>
      </c>
      <c r="M212" s="24">
        <v>246779411339</v>
      </c>
      <c r="N212" s="47"/>
    </row>
    <row r="213" spans="1:14" hidden="1" x14ac:dyDescent="0.35">
      <c r="A213" s="50">
        <v>45797</v>
      </c>
      <c r="B213" s="22" t="s">
        <v>489</v>
      </c>
      <c r="C213" s="23">
        <v>0</v>
      </c>
      <c r="D213" s="23">
        <v>1054</v>
      </c>
      <c r="E213" s="23">
        <v>-4833045.12</v>
      </c>
      <c r="F213" s="22" t="s">
        <v>3</v>
      </c>
      <c r="G213" s="22" t="s">
        <v>3</v>
      </c>
      <c r="H213" s="22" t="s">
        <v>717</v>
      </c>
      <c r="I213" s="22" t="s">
        <v>500</v>
      </c>
      <c r="J213" s="22" t="s">
        <v>492</v>
      </c>
      <c r="K213" s="22" t="s">
        <v>493</v>
      </c>
      <c r="L213" s="22" t="s">
        <v>717</v>
      </c>
      <c r="M213" s="24">
        <v>256779413486</v>
      </c>
      <c r="N213" s="47"/>
    </row>
    <row r="214" spans="1:14" hidden="1" x14ac:dyDescent="0.35">
      <c r="A214" s="50">
        <v>45797</v>
      </c>
      <c r="B214" s="22" t="s">
        <v>489</v>
      </c>
      <c r="C214" s="23">
        <v>0</v>
      </c>
      <c r="D214" s="23">
        <v>12177</v>
      </c>
      <c r="E214" s="23">
        <v>-4845222.12</v>
      </c>
      <c r="F214" s="22" t="s">
        <v>3</v>
      </c>
      <c r="G214" s="22" t="s">
        <v>3</v>
      </c>
      <c r="H214" s="22" t="s">
        <v>718</v>
      </c>
      <c r="I214" s="22" t="s">
        <v>573</v>
      </c>
      <c r="J214" s="22" t="s">
        <v>492</v>
      </c>
      <c r="K214" s="22" t="s">
        <v>493</v>
      </c>
      <c r="L214" s="22" t="s">
        <v>718</v>
      </c>
      <c r="M214" s="24">
        <v>256779413837</v>
      </c>
      <c r="N214" s="47"/>
    </row>
    <row r="215" spans="1:14" hidden="1" x14ac:dyDescent="0.35">
      <c r="A215" s="50">
        <v>45798</v>
      </c>
      <c r="B215" s="22" t="s">
        <v>489</v>
      </c>
      <c r="C215" s="23">
        <v>0</v>
      </c>
      <c r="D215" s="23">
        <v>3960</v>
      </c>
      <c r="E215" s="23">
        <v>-4849182.12</v>
      </c>
      <c r="F215" s="22" t="s">
        <v>3</v>
      </c>
      <c r="G215" s="22" t="s">
        <v>3</v>
      </c>
      <c r="H215" s="22" t="s">
        <v>719</v>
      </c>
      <c r="I215" s="22" t="s">
        <v>557</v>
      </c>
      <c r="J215" s="22" t="s">
        <v>492</v>
      </c>
      <c r="K215" s="22" t="s">
        <v>493</v>
      </c>
      <c r="L215" s="22" t="s">
        <v>719</v>
      </c>
      <c r="M215" s="24">
        <v>256779413405</v>
      </c>
      <c r="N215" s="47"/>
    </row>
    <row r="216" spans="1:14" hidden="1" x14ac:dyDescent="0.35">
      <c r="A216" s="50">
        <v>45798</v>
      </c>
      <c r="B216" s="22" t="s">
        <v>489</v>
      </c>
      <c r="C216" s="23">
        <v>0</v>
      </c>
      <c r="D216" s="23">
        <v>7129</v>
      </c>
      <c r="E216" s="23">
        <v>-4856311.12</v>
      </c>
      <c r="F216" s="22" t="s">
        <v>3</v>
      </c>
      <c r="G216" s="22" t="s">
        <v>3</v>
      </c>
      <c r="H216" s="22" t="s">
        <v>720</v>
      </c>
      <c r="I216" s="22" t="s">
        <v>557</v>
      </c>
      <c r="J216" s="22" t="s">
        <v>492</v>
      </c>
      <c r="K216" s="22" t="s">
        <v>493</v>
      </c>
      <c r="L216" s="22" t="s">
        <v>720</v>
      </c>
      <c r="M216" s="24">
        <v>256779413404</v>
      </c>
      <c r="N216" s="47"/>
    </row>
    <row r="217" spans="1:14" hidden="1" x14ac:dyDescent="0.35">
      <c r="A217" s="50">
        <v>45798</v>
      </c>
      <c r="B217" s="22" t="s">
        <v>489</v>
      </c>
      <c r="C217" s="23">
        <v>0</v>
      </c>
      <c r="D217" s="23">
        <v>990</v>
      </c>
      <c r="E217" s="23">
        <v>-4857301.12</v>
      </c>
      <c r="F217" s="22" t="s">
        <v>3</v>
      </c>
      <c r="G217" s="22" t="s">
        <v>3</v>
      </c>
      <c r="H217" s="22" t="s">
        <v>721</v>
      </c>
      <c r="I217" s="22" t="s">
        <v>500</v>
      </c>
      <c r="J217" s="22" t="s">
        <v>492</v>
      </c>
      <c r="K217" s="22" t="s">
        <v>493</v>
      </c>
      <c r="L217" s="22" t="s">
        <v>721</v>
      </c>
      <c r="M217" s="24">
        <v>256779413427</v>
      </c>
      <c r="N217" s="47"/>
    </row>
    <row r="218" spans="1:14" hidden="1" x14ac:dyDescent="0.35">
      <c r="A218" s="50">
        <v>45798</v>
      </c>
      <c r="B218" s="22" t="s">
        <v>489</v>
      </c>
      <c r="C218" s="23">
        <v>0</v>
      </c>
      <c r="D218" s="23">
        <v>990</v>
      </c>
      <c r="E218" s="23">
        <v>-4858291.12</v>
      </c>
      <c r="F218" s="22" t="s">
        <v>3</v>
      </c>
      <c r="G218" s="22" t="s">
        <v>3</v>
      </c>
      <c r="H218" s="22" t="s">
        <v>722</v>
      </c>
      <c r="I218" s="22" t="s">
        <v>500</v>
      </c>
      <c r="J218" s="22" t="s">
        <v>492</v>
      </c>
      <c r="K218" s="22" t="s">
        <v>493</v>
      </c>
      <c r="L218" s="22" t="s">
        <v>722</v>
      </c>
      <c r="M218" s="24">
        <v>256779413428</v>
      </c>
      <c r="N218" s="47"/>
    </row>
    <row r="219" spans="1:14" hidden="1" x14ac:dyDescent="0.35">
      <c r="A219" s="50">
        <v>45798</v>
      </c>
      <c r="B219" s="22" t="s">
        <v>489</v>
      </c>
      <c r="C219" s="23">
        <v>0</v>
      </c>
      <c r="D219" s="23">
        <v>601</v>
      </c>
      <c r="E219" s="23">
        <v>-4858892.12</v>
      </c>
      <c r="F219" s="22" t="s">
        <v>3</v>
      </c>
      <c r="G219" s="22" t="s">
        <v>3</v>
      </c>
      <c r="H219" s="22" t="s">
        <v>723</v>
      </c>
      <c r="I219" s="22" t="s">
        <v>500</v>
      </c>
      <c r="J219" s="22" t="s">
        <v>492</v>
      </c>
      <c r="K219" s="22" t="s">
        <v>493</v>
      </c>
      <c r="L219" s="22" t="s">
        <v>723</v>
      </c>
      <c r="M219" s="24">
        <v>256779413429</v>
      </c>
      <c r="N219" s="47"/>
    </row>
    <row r="220" spans="1:14" hidden="1" x14ac:dyDescent="0.35">
      <c r="A220" s="50">
        <v>45798</v>
      </c>
      <c r="B220" s="22" t="s">
        <v>489</v>
      </c>
      <c r="C220" s="23">
        <v>0</v>
      </c>
      <c r="D220" s="23">
        <v>1201</v>
      </c>
      <c r="E220" s="23">
        <v>-4860093.12</v>
      </c>
      <c r="F220" s="22" t="s">
        <v>3</v>
      </c>
      <c r="G220" s="22" t="s">
        <v>3</v>
      </c>
      <c r="H220" s="22" t="s">
        <v>724</v>
      </c>
      <c r="I220" s="22" t="s">
        <v>500</v>
      </c>
      <c r="J220" s="22" t="s">
        <v>492</v>
      </c>
      <c r="K220" s="22" t="s">
        <v>493</v>
      </c>
      <c r="L220" s="22" t="s">
        <v>724</v>
      </c>
      <c r="M220" s="24">
        <v>256779413430</v>
      </c>
      <c r="N220" s="47"/>
    </row>
    <row r="221" spans="1:14" hidden="1" x14ac:dyDescent="0.35">
      <c r="A221" s="50">
        <v>45805</v>
      </c>
      <c r="B221" s="22" t="s">
        <v>489</v>
      </c>
      <c r="C221" s="23">
        <v>0</v>
      </c>
      <c r="D221" s="23">
        <v>333696</v>
      </c>
      <c r="E221" s="23">
        <v>-5193789.12</v>
      </c>
      <c r="F221" s="22" t="s">
        <v>3</v>
      </c>
      <c r="G221" s="22" t="s">
        <v>3</v>
      </c>
      <c r="H221" s="22" t="s">
        <v>725</v>
      </c>
      <c r="I221" s="22" t="s">
        <v>507</v>
      </c>
      <c r="J221" s="22" t="s">
        <v>492</v>
      </c>
      <c r="K221" s="22" t="s">
        <v>493</v>
      </c>
      <c r="L221" s="22" t="s">
        <v>725</v>
      </c>
      <c r="M221" s="24">
        <v>256779413899</v>
      </c>
      <c r="N221" s="47"/>
    </row>
    <row r="222" spans="1:14" hidden="1" x14ac:dyDescent="0.35">
      <c r="A222" s="50">
        <v>45807</v>
      </c>
      <c r="B222" s="22" t="s">
        <v>489</v>
      </c>
      <c r="C222" s="23">
        <v>177773</v>
      </c>
      <c r="D222" s="23">
        <v>0</v>
      </c>
      <c r="E222" s="23">
        <v>-5016016.12</v>
      </c>
      <c r="F222" s="22" t="s">
        <v>726</v>
      </c>
      <c r="G222" s="22" t="s">
        <v>2</v>
      </c>
      <c r="H222" s="22" t="s">
        <v>727</v>
      </c>
      <c r="I222" s="22" t="s">
        <v>728</v>
      </c>
      <c r="J222" s="22" t="s">
        <v>492</v>
      </c>
      <c r="K222" s="22" t="s">
        <v>493</v>
      </c>
      <c r="L222" s="22"/>
      <c r="M222" s="24"/>
      <c r="N222" s="47"/>
    </row>
    <row r="223" spans="1:14" hidden="1" x14ac:dyDescent="0.35">
      <c r="A223" s="50">
        <v>45812</v>
      </c>
      <c r="B223" s="22" t="s">
        <v>489</v>
      </c>
      <c r="C223" s="23">
        <v>0</v>
      </c>
      <c r="D223" s="23">
        <v>9844</v>
      </c>
      <c r="E223" s="23">
        <v>-5025860.12</v>
      </c>
      <c r="F223" s="22" t="s">
        <v>3</v>
      </c>
      <c r="G223" s="22" t="s">
        <v>3</v>
      </c>
      <c r="H223" s="22" t="s">
        <v>729</v>
      </c>
      <c r="I223" s="22" t="s">
        <v>500</v>
      </c>
      <c r="J223" s="22" t="s">
        <v>492</v>
      </c>
      <c r="K223" s="22" t="s">
        <v>493</v>
      </c>
      <c r="L223" s="22" t="s">
        <v>729</v>
      </c>
      <c r="M223" s="24">
        <v>256779414165</v>
      </c>
      <c r="N223" s="47"/>
    </row>
    <row r="224" spans="1:14" hidden="1" x14ac:dyDescent="0.35">
      <c r="A224" s="50">
        <v>45812</v>
      </c>
      <c r="B224" s="22" t="s">
        <v>489</v>
      </c>
      <c r="C224" s="23">
        <v>0</v>
      </c>
      <c r="D224" s="23">
        <v>8407</v>
      </c>
      <c r="E224" s="23">
        <v>-5034267.12</v>
      </c>
      <c r="F224" s="22" t="s">
        <v>3</v>
      </c>
      <c r="G224" s="22" t="s">
        <v>3</v>
      </c>
      <c r="H224" s="22" t="s">
        <v>730</v>
      </c>
      <c r="I224" s="22" t="s">
        <v>500</v>
      </c>
      <c r="J224" s="22" t="s">
        <v>492</v>
      </c>
      <c r="K224" s="22" t="s">
        <v>493</v>
      </c>
      <c r="L224" s="22" t="s">
        <v>730</v>
      </c>
      <c r="M224" s="24">
        <v>256779414216</v>
      </c>
      <c r="N224" s="47"/>
    </row>
    <row r="225" spans="1:14" x14ac:dyDescent="0.35">
      <c r="A225" s="50">
        <v>45869</v>
      </c>
      <c r="B225" s="22" t="s">
        <v>489</v>
      </c>
      <c r="C225" s="23">
        <v>0</v>
      </c>
      <c r="D225" s="23">
        <v>18367</v>
      </c>
      <c r="E225" s="23">
        <v>-254828.5999999996</v>
      </c>
      <c r="F225" s="22" t="s">
        <v>3</v>
      </c>
      <c r="G225" s="22" t="s">
        <v>3</v>
      </c>
      <c r="H225" s="22" t="s">
        <v>779</v>
      </c>
      <c r="I225" s="22" t="s">
        <v>491</v>
      </c>
      <c r="J225" s="22" t="s">
        <v>492</v>
      </c>
      <c r="K225" s="22" t="s">
        <v>493</v>
      </c>
      <c r="L225" s="22" t="s">
        <v>779</v>
      </c>
      <c r="M225" s="24">
        <v>246779413701</v>
      </c>
      <c r="N225" s="47"/>
    </row>
    <row r="226" spans="1:14" x14ac:dyDescent="0.35">
      <c r="A226" s="50">
        <v>45937</v>
      </c>
      <c r="B226" s="22" t="s">
        <v>489</v>
      </c>
      <c r="C226" s="23">
        <v>15401</v>
      </c>
      <c r="D226" s="23">
        <v>15401</v>
      </c>
      <c r="E226" s="23">
        <v>-757662.59999999963</v>
      </c>
      <c r="F226" s="22" t="s">
        <v>792</v>
      </c>
      <c r="G226" s="22" t="s">
        <v>1</v>
      </c>
      <c r="H226" s="22" t="s">
        <v>799</v>
      </c>
      <c r="I226" s="22"/>
      <c r="J226" s="22" t="s">
        <v>492</v>
      </c>
      <c r="K226" s="22" t="s">
        <v>493</v>
      </c>
      <c r="L226" s="22" t="s">
        <v>800</v>
      </c>
      <c r="M226" s="24">
        <v>246779413701</v>
      </c>
      <c r="N226" s="47"/>
    </row>
    <row r="227" spans="1:14" x14ac:dyDescent="0.35">
      <c r="A227" s="50">
        <v>45854</v>
      </c>
      <c r="B227" s="22" t="s">
        <v>489</v>
      </c>
      <c r="C227" s="23">
        <v>0</v>
      </c>
      <c r="D227" s="23">
        <v>31577</v>
      </c>
      <c r="E227" s="23">
        <v>-1349660.6</v>
      </c>
      <c r="F227" s="22" t="s">
        <v>3</v>
      </c>
      <c r="G227" s="22" t="s">
        <v>3</v>
      </c>
      <c r="H227" s="22" t="s">
        <v>759</v>
      </c>
      <c r="I227" s="22" t="s">
        <v>507</v>
      </c>
      <c r="J227" s="22" t="s">
        <v>492</v>
      </c>
      <c r="K227" s="22" t="s">
        <v>493</v>
      </c>
      <c r="L227" s="22" t="s">
        <v>759</v>
      </c>
      <c r="M227" s="24">
        <v>246779413702</v>
      </c>
      <c r="N227" s="47"/>
    </row>
    <row r="228" spans="1:14" hidden="1" x14ac:dyDescent="0.35">
      <c r="A228" s="50">
        <v>45815</v>
      </c>
      <c r="B228" s="22" t="s">
        <v>489</v>
      </c>
      <c r="C228" s="23">
        <v>0</v>
      </c>
      <c r="D228" s="23">
        <v>352792</v>
      </c>
      <c r="E228" s="23">
        <v>-4945194.5999999996</v>
      </c>
      <c r="F228" s="22" t="s">
        <v>3</v>
      </c>
      <c r="G228" s="22" t="s">
        <v>3</v>
      </c>
      <c r="H228" s="22" t="s">
        <v>736</v>
      </c>
      <c r="I228" s="22" t="s">
        <v>507</v>
      </c>
      <c r="J228" s="22" t="s">
        <v>492</v>
      </c>
      <c r="K228" s="22" t="s">
        <v>493</v>
      </c>
      <c r="L228" s="22" t="s">
        <v>736</v>
      </c>
      <c r="M228" s="24">
        <v>256779414242</v>
      </c>
      <c r="N228" s="47"/>
    </row>
    <row r="229" spans="1:14" hidden="1" x14ac:dyDescent="0.35">
      <c r="A229" s="50">
        <v>45818</v>
      </c>
      <c r="B229" s="22" t="s">
        <v>489</v>
      </c>
      <c r="C229" s="23">
        <v>0</v>
      </c>
      <c r="D229" s="23">
        <v>35431</v>
      </c>
      <c r="E229" s="23">
        <v>-4980625.5999999996</v>
      </c>
      <c r="F229" s="22" t="s">
        <v>3</v>
      </c>
      <c r="G229" s="22" t="s">
        <v>3</v>
      </c>
      <c r="H229" s="22" t="s">
        <v>737</v>
      </c>
      <c r="I229" s="22" t="s">
        <v>491</v>
      </c>
      <c r="J229" s="22" t="s">
        <v>492</v>
      </c>
      <c r="K229" s="22" t="s">
        <v>493</v>
      </c>
      <c r="L229" s="22" t="s">
        <v>737</v>
      </c>
      <c r="M229" s="24">
        <v>256779414386</v>
      </c>
      <c r="N229" s="47"/>
    </row>
    <row r="230" spans="1:14" hidden="1" x14ac:dyDescent="0.35">
      <c r="A230" s="50">
        <v>45821</v>
      </c>
      <c r="B230" s="22" t="s">
        <v>489</v>
      </c>
      <c r="C230" s="23">
        <v>700000</v>
      </c>
      <c r="D230" s="23">
        <v>0</v>
      </c>
      <c r="E230" s="23">
        <v>-4280625.5999999996</v>
      </c>
      <c r="F230" s="22" t="s">
        <v>726</v>
      </c>
      <c r="G230" s="22" t="s">
        <v>2</v>
      </c>
      <c r="H230" s="22" t="s">
        <v>738</v>
      </c>
      <c r="I230" s="22" t="s">
        <v>728</v>
      </c>
      <c r="J230" s="22" t="s">
        <v>492</v>
      </c>
      <c r="K230" s="22" t="s">
        <v>493</v>
      </c>
      <c r="L230" s="22"/>
      <c r="M230" s="24"/>
      <c r="N230" s="47"/>
    </row>
    <row r="231" spans="1:14" hidden="1" x14ac:dyDescent="0.35">
      <c r="A231" s="50">
        <v>45829</v>
      </c>
      <c r="B231" s="22" t="s">
        <v>489</v>
      </c>
      <c r="C231" s="23">
        <v>700000</v>
      </c>
      <c r="D231" s="23">
        <v>0</v>
      </c>
      <c r="E231" s="23">
        <v>-3580625.6</v>
      </c>
      <c r="F231" s="22" t="s">
        <v>726</v>
      </c>
      <c r="G231" s="22" t="s">
        <v>2</v>
      </c>
      <c r="H231" s="22" t="s">
        <v>739</v>
      </c>
      <c r="I231" s="22" t="s">
        <v>728</v>
      </c>
      <c r="J231" s="22" t="s">
        <v>492</v>
      </c>
      <c r="K231" s="22" t="s">
        <v>493</v>
      </c>
      <c r="L231" s="22"/>
      <c r="M231" s="24"/>
      <c r="N231" s="47"/>
    </row>
    <row r="232" spans="1:14" hidden="1" x14ac:dyDescent="0.35">
      <c r="A232" s="50">
        <v>45838</v>
      </c>
      <c r="B232" s="22" t="s">
        <v>489</v>
      </c>
      <c r="C232" s="23">
        <v>700000</v>
      </c>
      <c r="D232" s="23">
        <v>0</v>
      </c>
      <c r="E232" s="23">
        <v>-2880625.6</v>
      </c>
      <c r="F232" s="22" t="s">
        <v>726</v>
      </c>
      <c r="G232" s="22" t="s">
        <v>2</v>
      </c>
      <c r="H232" s="22" t="s">
        <v>740</v>
      </c>
      <c r="I232" s="22" t="s">
        <v>728</v>
      </c>
      <c r="J232" s="22" t="s">
        <v>492</v>
      </c>
      <c r="K232" s="22" t="s">
        <v>493</v>
      </c>
      <c r="L232" s="22"/>
      <c r="M232" s="24"/>
      <c r="N232" s="47"/>
    </row>
    <row r="233" spans="1:14" hidden="1" x14ac:dyDescent="0.35">
      <c r="A233" s="50">
        <v>45843</v>
      </c>
      <c r="B233" s="22" t="s">
        <v>489</v>
      </c>
      <c r="C233" s="23">
        <v>700000</v>
      </c>
      <c r="D233" s="23">
        <v>0</v>
      </c>
      <c r="E233" s="23">
        <v>-2180625.6</v>
      </c>
      <c r="F233" s="22" t="s">
        <v>726</v>
      </c>
      <c r="G233" s="22" t="s">
        <v>2</v>
      </c>
      <c r="H233" s="22" t="s">
        <v>741</v>
      </c>
      <c r="I233" s="22" t="s">
        <v>728</v>
      </c>
      <c r="J233" s="22" t="s">
        <v>492</v>
      </c>
      <c r="K233" s="22" t="s">
        <v>493</v>
      </c>
      <c r="L233" s="22"/>
      <c r="M233" s="24"/>
      <c r="N233" s="47"/>
    </row>
    <row r="234" spans="1:14" hidden="1" x14ac:dyDescent="0.35">
      <c r="A234" s="50">
        <v>45849</v>
      </c>
      <c r="B234" s="22" t="s">
        <v>489</v>
      </c>
      <c r="C234" s="23">
        <v>700000</v>
      </c>
      <c r="D234" s="23">
        <v>0</v>
      </c>
      <c r="E234" s="23">
        <v>-1480625.6</v>
      </c>
      <c r="F234" s="22" t="s">
        <v>726</v>
      </c>
      <c r="G234" s="22" t="s">
        <v>2</v>
      </c>
      <c r="H234" s="22" t="s">
        <v>742</v>
      </c>
      <c r="I234" s="22" t="s">
        <v>728</v>
      </c>
      <c r="J234" s="22" t="s">
        <v>492</v>
      </c>
      <c r="K234" s="22" t="s">
        <v>493</v>
      </c>
      <c r="L234" s="22"/>
      <c r="M234" s="24"/>
      <c r="N234" s="47"/>
    </row>
    <row r="235" spans="1:14" x14ac:dyDescent="0.35">
      <c r="A235" s="50">
        <v>45937</v>
      </c>
      <c r="B235" s="22" t="s">
        <v>489</v>
      </c>
      <c r="C235" s="23">
        <v>31577</v>
      </c>
      <c r="D235" s="23">
        <v>31577</v>
      </c>
      <c r="E235" s="23">
        <v>-757662.59999999963</v>
      </c>
      <c r="F235" s="22" t="s">
        <v>792</v>
      </c>
      <c r="G235" s="22" t="s">
        <v>1</v>
      </c>
      <c r="H235" s="22" t="s">
        <v>809</v>
      </c>
      <c r="I235" s="22"/>
      <c r="J235" s="22" t="s">
        <v>492</v>
      </c>
      <c r="K235" s="22" t="s">
        <v>493</v>
      </c>
      <c r="L235" s="22" t="s">
        <v>810</v>
      </c>
      <c r="M235" s="24">
        <v>246779413702</v>
      </c>
      <c r="N235" s="47"/>
    </row>
    <row r="236" spans="1:14" x14ac:dyDescent="0.35">
      <c r="A236" s="50">
        <v>45748</v>
      </c>
      <c r="B236" s="22" t="s">
        <v>489</v>
      </c>
      <c r="C236" s="23">
        <v>0</v>
      </c>
      <c r="D236" s="23">
        <v>19429</v>
      </c>
      <c r="E236" s="23">
        <v>-2914091.12</v>
      </c>
      <c r="F236" s="22" t="s">
        <v>3</v>
      </c>
      <c r="G236" s="22" t="s">
        <v>3</v>
      </c>
      <c r="H236" s="22" t="s">
        <v>665</v>
      </c>
      <c r="I236" s="22" t="s">
        <v>507</v>
      </c>
      <c r="J236" s="22" t="s">
        <v>492</v>
      </c>
      <c r="K236" s="22" t="s">
        <v>493</v>
      </c>
      <c r="L236" s="22" t="s">
        <v>665</v>
      </c>
      <c r="M236" s="24">
        <v>246779413705</v>
      </c>
      <c r="N236" s="47"/>
    </row>
    <row r="237" spans="1:14" x14ac:dyDescent="0.35">
      <c r="A237" s="50">
        <v>45854</v>
      </c>
      <c r="B237" s="22" t="s">
        <v>489</v>
      </c>
      <c r="C237" s="23">
        <v>19430</v>
      </c>
      <c r="D237" s="23">
        <v>0</v>
      </c>
      <c r="E237" s="23">
        <v>-1612920.6</v>
      </c>
      <c r="F237" s="22" t="s">
        <v>3</v>
      </c>
      <c r="G237" s="22" t="s">
        <v>0</v>
      </c>
      <c r="H237" s="22" t="s">
        <v>744</v>
      </c>
      <c r="I237" s="22" t="s">
        <v>507</v>
      </c>
      <c r="J237" s="22" t="s">
        <v>492</v>
      </c>
      <c r="K237" s="22" t="s">
        <v>493</v>
      </c>
      <c r="L237" s="22" t="s">
        <v>665</v>
      </c>
      <c r="M237" s="24">
        <v>246779413705</v>
      </c>
      <c r="N237" s="47"/>
    </row>
    <row r="238" spans="1:14" x14ac:dyDescent="0.35">
      <c r="A238" s="50">
        <v>45854</v>
      </c>
      <c r="B238" s="22" t="s">
        <v>489</v>
      </c>
      <c r="C238" s="23">
        <v>0</v>
      </c>
      <c r="D238" s="23">
        <v>163631</v>
      </c>
      <c r="E238" s="23">
        <v>-1463026.6</v>
      </c>
      <c r="F238" s="22" t="s">
        <v>3</v>
      </c>
      <c r="G238" s="22" t="s">
        <v>3</v>
      </c>
      <c r="H238" s="22" t="s">
        <v>754</v>
      </c>
      <c r="I238" s="22" t="s">
        <v>507</v>
      </c>
      <c r="J238" s="22" t="s">
        <v>492</v>
      </c>
      <c r="K238" s="22" t="s">
        <v>493</v>
      </c>
      <c r="L238" s="22" t="s">
        <v>754</v>
      </c>
      <c r="M238" s="24">
        <v>246779413796</v>
      </c>
      <c r="N238" s="47"/>
    </row>
    <row r="239" spans="1:14" x14ac:dyDescent="0.35">
      <c r="A239" s="50">
        <v>45937</v>
      </c>
      <c r="B239" s="22" t="s">
        <v>489</v>
      </c>
      <c r="C239" s="23">
        <v>12467</v>
      </c>
      <c r="D239" s="23">
        <v>12467</v>
      </c>
      <c r="E239" s="23">
        <v>-757662.59999999963</v>
      </c>
      <c r="F239" s="22" t="s">
        <v>792</v>
      </c>
      <c r="G239" s="22" t="s">
        <v>1</v>
      </c>
      <c r="H239" s="22" t="s">
        <v>801</v>
      </c>
      <c r="I239" s="22"/>
      <c r="J239" s="22" t="s">
        <v>492</v>
      </c>
      <c r="K239" s="22" t="s">
        <v>493</v>
      </c>
      <c r="L239" s="22" t="s">
        <v>802</v>
      </c>
      <c r="M239" s="24">
        <v>246779413796</v>
      </c>
      <c r="N239" s="47"/>
    </row>
    <row r="240" spans="1:14" x14ac:dyDescent="0.35">
      <c r="A240" s="50">
        <v>45747</v>
      </c>
      <c r="B240" s="22" t="s">
        <v>489</v>
      </c>
      <c r="C240" s="23">
        <v>0</v>
      </c>
      <c r="D240" s="23">
        <v>18610</v>
      </c>
      <c r="E240" s="23">
        <v>-2459207.12</v>
      </c>
      <c r="F240" s="22" t="s">
        <v>3</v>
      </c>
      <c r="G240" s="22" t="s">
        <v>3</v>
      </c>
      <c r="H240" s="22" t="s">
        <v>609</v>
      </c>
      <c r="I240" s="22" t="s">
        <v>608</v>
      </c>
      <c r="J240" s="22" t="s">
        <v>492</v>
      </c>
      <c r="K240" s="22" t="s">
        <v>493</v>
      </c>
      <c r="L240" s="22" t="s">
        <v>609</v>
      </c>
      <c r="M240" s="24">
        <v>246779413816</v>
      </c>
      <c r="N240" s="47"/>
    </row>
    <row r="241" spans="1:14" x14ac:dyDescent="0.35">
      <c r="A241" s="50">
        <v>45854</v>
      </c>
      <c r="B241" s="22" t="s">
        <v>489</v>
      </c>
      <c r="C241" s="23">
        <v>18611</v>
      </c>
      <c r="D241" s="23">
        <v>0</v>
      </c>
      <c r="E241" s="23">
        <v>-1594309.6</v>
      </c>
      <c r="F241" s="22" t="s">
        <v>3</v>
      </c>
      <c r="G241" s="22" t="s">
        <v>0</v>
      </c>
      <c r="H241" s="22" t="s">
        <v>745</v>
      </c>
      <c r="I241" s="22" t="s">
        <v>608</v>
      </c>
      <c r="J241" s="22" t="s">
        <v>492</v>
      </c>
      <c r="K241" s="22" t="s">
        <v>493</v>
      </c>
      <c r="L241" s="22" t="s">
        <v>609</v>
      </c>
      <c r="M241" s="24">
        <v>246779413816</v>
      </c>
      <c r="N241" s="47"/>
    </row>
    <row r="242" spans="1:14" x14ac:dyDescent="0.35">
      <c r="A242" s="50">
        <v>45747</v>
      </c>
      <c r="B242" s="22" t="s">
        <v>489</v>
      </c>
      <c r="C242" s="23">
        <v>0</v>
      </c>
      <c r="D242" s="23">
        <v>31723</v>
      </c>
      <c r="E242" s="23">
        <v>-2490930.12</v>
      </c>
      <c r="F242" s="22" t="s">
        <v>3</v>
      </c>
      <c r="G242" s="22" t="s">
        <v>3</v>
      </c>
      <c r="H242" s="22" t="s">
        <v>610</v>
      </c>
      <c r="I242" s="22" t="s">
        <v>608</v>
      </c>
      <c r="J242" s="22" t="s">
        <v>492</v>
      </c>
      <c r="K242" s="22" t="s">
        <v>493</v>
      </c>
      <c r="L242" s="22" t="s">
        <v>610</v>
      </c>
      <c r="M242" s="24">
        <v>246779413827</v>
      </c>
      <c r="N242" s="47"/>
    </row>
    <row r="243" spans="1:14" x14ac:dyDescent="0.35">
      <c r="A243" s="50">
        <v>45854</v>
      </c>
      <c r="B243" s="22" t="s">
        <v>489</v>
      </c>
      <c r="C243" s="23">
        <v>31723</v>
      </c>
      <c r="D243" s="23">
        <v>0</v>
      </c>
      <c r="E243" s="23">
        <v>-1562586.6</v>
      </c>
      <c r="F243" s="22" t="s">
        <v>3</v>
      </c>
      <c r="G243" s="22" t="s">
        <v>0</v>
      </c>
      <c r="H243" s="22" t="s">
        <v>746</v>
      </c>
      <c r="I243" s="22" t="s">
        <v>608</v>
      </c>
      <c r="J243" s="22" t="s">
        <v>492</v>
      </c>
      <c r="K243" s="22" t="s">
        <v>493</v>
      </c>
      <c r="L243" s="22" t="s">
        <v>610</v>
      </c>
      <c r="M243" s="24">
        <v>246779413827</v>
      </c>
      <c r="N243" s="47"/>
    </row>
    <row r="244" spans="1:14" hidden="1" x14ac:dyDescent="0.35">
      <c r="A244" s="50">
        <v>45854</v>
      </c>
      <c r="B244" s="22" t="s">
        <v>489</v>
      </c>
      <c r="C244" s="23">
        <v>4786</v>
      </c>
      <c r="D244" s="23">
        <v>0</v>
      </c>
      <c r="E244" s="23">
        <v>-1311350.6000000001</v>
      </c>
      <c r="F244" s="22" t="s">
        <v>3</v>
      </c>
      <c r="G244" s="22" t="s">
        <v>0</v>
      </c>
      <c r="H244" s="22" t="s">
        <v>752</v>
      </c>
      <c r="I244" s="22" t="s">
        <v>507</v>
      </c>
      <c r="J244" s="22" t="s">
        <v>492</v>
      </c>
      <c r="K244" s="22" t="s">
        <v>493</v>
      </c>
      <c r="L244" s="22" t="s">
        <v>752</v>
      </c>
      <c r="M244" s="24">
        <v>256779421381</v>
      </c>
      <c r="N244" s="47"/>
    </row>
    <row r="245" spans="1:14" x14ac:dyDescent="0.35">
      <c r="A245" s="50">
        <v>45748</v>
      </c>
      <c r="B245" s="22" t="s">
        <v>489</v>
      </c>
      <c r="C245" s="23">
        <v>0</v>
      </c>
      <c r="D245" s="23">
        <v>45188</v>
      </c>
      <c r="E245" s="23">
        <v>-2894662.12</v>
      </c>
      <c r="F245" s="22" t="s">
        <v>3</v>
      </c>
      <c r="G245" s="22" t="s">
        <v>3</v>
      </c>
      <c r="H245" s="22" t="s">
        <v>663</v>
      </c>
      <c r="I245" s="22" t="s">
        <v>664</v>
      </c>
      <c r="J245" s="22" t="s">
        <v>492</v>
      </c>
      <c r="K245" s="22" t="s">
        <v>493</v>
      </c>
      <c r="L245" s="22" t="s">
        <v>663</v>
      </c>
      <c r="M245" s="24">
        <v>246779413845</v>
      </c>
      <c r="N245" s="47"/>
    </row>
    <row r="246" spans="1:14" x14ac:dyDescent="0.35">
      <c r="A246" s="50">
        <v>45854</v>
      </c>
      <c r="B246" s="22" t="s">
        <v>489</v>
      </c>
      <c r="C246" s="23">
        <v>11955</v>
      </c>
      <c r="D246" s="23">
        <v>0</v>
      </c>
      <c r="E246" s="23">
        <v>-1299395.6000000001</v>
      </c>
      <c r="F246" s="22" t="s">
        <v>3</v>
      </c>
      <c r="G246" s="22" t="s">
        <v>0</v>
      </c>
      <c r="H246" s="22" t="s">
        <v>753</v>
      </c>
      <c r="I246" s="22" t="s">
        <v>664</v>
      </c>
      <c r="J246" s="22" t="s">
        <v>492</v>
      </c>
      <c r="K246" s="22" t="s">
        <v>493</v>
      </c>
      <c r="L246" s="22" t="s">
        <v>663</v>
      </c>
      <c r="M246" s="24">
        <v>246779413845</v>
      </c>
      <c r="N246" s="47"/>
    </row>
    <row r="247" spans="1:14" hidden="1" x14ac:dyDescent="0.35">
      <c r="A247" s="50">
        <v>45854</v>
      </c>
      <c r="B247" s="22" t="s">
        <v>489</v>
      </c>
      <c r="C247" s="23">
        <v>12467</v>
      </c>
      <c r="D247" s="23">
        <v>0</v>
      </c>
      <c r="E247" s="23">
        <v>-1450559.6</v>
      </c>
      <c r="F247" s="22" t="s">
        <v>3</v>
      </c>
      <c r="G247" s="22" t="s">
        <v>0</v>
      </c>
      <c r="H247" s="22" t="s">
        <v>755</v>
      </c>
      <c r="I247" s="22" t="s">
        <v>507</v>
      </c>
      <c r="J247" s="22" t="s">
        <v>492</v>
      </c>
      <c r="K247" s="22" t="s">
        <v>493</v>
      </c>
      <c r="L247" s="22" t="s">
        <v>755</v>
      </c>
      <c r="M247" s="24">
        <v>256779421383</v>
      </c>
      <c r="N247" s="47"/>
    </row>
    <row r="248" spans="1:14" hidden="1" x14ac:dyDescent="0.35">
      <c r="A248" s="50">
        <v>45854</v>
      </c>
      <c r="B248" s="22" t="s">
        <v>489</v>
      </c>
      <c r="C248" s="23">
        <v>6084</v>
      </c>
      <c r="D248" s="23">
        <v>0</v>
      </c>
      <c r="E248" s="23">
        <v>-1444475.6</v>
      </c>
      <c r="F248" s="22" t="s">
        <v>3</v>
      </c>
      <c r="G248" s="22" t="s">
        <v>0</v>
      </c>
      <c r="H248" s="22" t="s">
        <v>756</v>
      </c>
      <c r="I248" s="22" t="s">
        <v>697</v>
      </c>
      <c r="J248" s="22" t="s">
        <v>492</v>
      </c>
      <c r="K248" s="22" t="s">
        <v>493</v>
      </c>
      <c r="L248" s="22" t="s">
        <v>756</v>
      </c>
      <c r="M248" s="24">
        <v>256779421376</v>
      </c>
      <c r="N248" s="47"/>
    </row>
    <row r="249" spans="1:14" hidden="1" x14ac:dyDescent="0.35">
      <c r="A249" s="50">
        <v>45854</v>
      </c>
      <c r="B249" s="22" t="s">
        <v>489</v>
      </c>
      <c r="C249" s="23">
        <v>12169</v>
      </c>
      <c r="D249" s="23">
        <v>0</v>
      </c>
      <c r="E249" s="23">
        <v>-1432306.6</v>
      </c>
      <c r="F249" s="22" t="s">
        <v>3</v>
      </c>
      <c r="G249" s="22" t="s">
        <v>0</v>
      </c>
      <c r="H249" s="22" t="s">
        <v>757</v>
      </c>
      <c r="I249" s="22" t="s">
        <v>697</v>
      </c>
      <c r="J249" s="22" t="s">
        <v>492</v>
      </c>
      <c r="K249" s="22" t="s">
        <v>493</v>
      </c>
      <c r="L249" s="22" t="s">
        <v>757</v>
      </c>
      <c r="M249" s="24">
        <v>256779421370</v>
      </c>
      <c r="N249" s="47"/>
    </row>
    <row r="250" spans="1:14" hidden="1" x14ac:dyDescent="0.35">
      <c r="A250" s="50">
        <v>45854</v>
      </c>
      <c r="B250" s="22" t="s">
        <v>489</v>
      </c>
      <c r="C250" s="23">
        <v>114223</v>
      </c>
      <c r="D250" s="23">
        <v>0</v>
      </c>
      <c r="E250" s="23">
        <v>-1318083.6000000001</v>
      </c>
      <c r="F250" s="22" t="s">
        <v>3</v>
      </c>
      <c r="G250" s="22" t="s">
        <v>0</v>
      </c>
      <c r="H250" s="22" t="s">
        <v>758</v>
      </c>
      <c r="I250" s="22" t="s">
        <v>507</v>
      </c>
      <c r="J250" s="22" t="s">
        <v>492</v>
      </c>
      <c r="K250" s="22" t="s">
        <v>493</v>
      </c>
      <c r="L250" s="22" t="s">
        <v>758</v>
      </c>
      <c r="M250" s="24">
        <v>256779421367</v>
      </c>
      <c r="N250" s="47"/>
    </row>
    <row r="251" spans="1:14" x14ac:dyDescent="0.35">
      <c r="A251" s="50">
        <v>45750</v>
      </c>
      <c r="B251" s="22" t="s">
        <v>489</v>
      </c>
      <c r="C251" s="23">
        <v>0</v>
      </c>
      <c r="D251" s="23">
        <v>55272</v>
      </c>
      <c r="E251" s="23">
        <v>-3242210.12</v>
      </c>
      <c r="F251" s="22" t="s">
        <v>3</v>
      </c>
      <c r="G251" s="22" t="s">
        <v>3</v>
      </c>
      <c r="H251" s="22" t="s">
        <v>680</v>
      </c>
      <c r="I251" s="22" t="s">
        <v>507</v>
      </c>
      <c r="J251" s="22" t="s">
        <v>492</v>
      </c>
      <c r="K251" s="22" t="s">
        <v>493</v>
      </c>
      <c r="L251" s="22" t="s">
        <v>680</v>
      </c>
      <c r="M251" s="24">
        <v>256779410004</v>
      </c>
      <c r="N251" s="47"/>
    </row>
    <row r="252" spans="1:14" hidden="1" x14ac:dyDescent="0.35">
      <c r="A252" s="50">
        <v>45854</v>
      </c>
      <c r="B252" s="22" t="s">
        <v>489</v>
      </c>
      <c r="C252" s="23">
        <v>31577</v>
      </c>
      <c r="D252" s="23">
        <v>0</v>
      </c>
      <c r="E252" s="23">
        <v>-1318083.6000000001</v>
      </c>
      <c r="F252" s="22" t="s">
        <v>3</v>
      </c>
      <c r="G252" s="22" t="s">
        <v>0</v>
      </c>
      <c r="H252" s="22" t="s">
        <v>760</v>
      </c>
      <c r="I252" s="22" t="s">
        <v>507</v>
      </c>
      <c r="J252" s="22" t="s">
        <v>492</v>
      </c>
      <c r="K252" s="22" t="s">
        <v>493</v>
      </c>
      <c r="L252" s="22" t="s">
        <v>760</v>
      </c>
      <c r="M252" s="24">
        <v>256779421361</v>
      </c>
      <c r="N252" s="47"/>
    </row>
    <row r="253" spans="1:14" hidden="1" x14ac:dyDescent="0.35">
      <c r="A253" s="50">
        <v>45854</v>
      </c>
      <c r="B253" s="22" t="s">
        <v>489</v>
      </c>
      <c r="C253" s="23">
        <v>17313</v>
      </c>
      <c r="D253" s="23">
        <v>330</v>
      </c>
      <c r="E253" s="23">
        <v>-1301100.6000000001</v>
      </c>
      <c r="F253" s="22" t="s">
        <v>3</v>
      </c>
      <c r="G253" s="22" t="s">
        <v>1</v>
      </c>
      <c r="H253" s="22" t="s">
        <v>761</v>
      </c>
      <c r="I253" s="22" t="s">
        <v>697</v>
      </c>
      <c r="J253" s="22" t="s">
        <v>492</v>
      </c>
      <c r="K253" s="22" t="s">
        <v>493</v>
      </c>
      <c r="L253" s="22" t="s">
        <v>762</v>
      </c>
      <c r="M253" s="24">
        <v>256779421379</v>
      </c>
      <c r="N253" s="47"/>
    </row>
    <row r="254" spans="1:14" hidden="1" x14ac:dyDescent="0.35">
      <c r="A254" s="50">
        <v>45854</v>
      </c>
      <c r="B254" s="22" t="s">
        <v>489</v>
      </c>
      <c r="C254" s="23">
        <v>8696</v>
      </c>
      <c r="D254" s="23">
        <v>173</v>
      </c>
      <c r="E254" s="23">
        <v>-1292577.6000000001</v>
      </c>
      <c r="F254" s="22" t="s">
        <v>3</v>
      </c>
      <c r="G254" s="22" t="s">
        <v>1</v>
      </c>
      <c r="H254" s="22" t="s">
        <v>763</v>
      </c>
      <c r="I254" s="22" t="s">
        <v>608</v>
      </c>
      <c r="J254" s="22" t="s">
        <v>492</v>
      </c>
      <c r="K254" s="22" t="s">
        <v>493</v>
      </c>
      <c r="L254" s="22" t="s">
        <v>764</v>
      </c>
      <c r="M254" s="24">
        <v>256779421373</v>
      </c>
      <c r="N254" s="47"/>
    </row>
    <row r="255" spans="1:14" hidden="1" x14ac:dyDescent="0.35">
      <c r="A255" s="50">
        <v>45857</v>
      </c>
      <c r="B255" s="22" t="s">
        <v>489</v>
      </c>
      <c r="C255" s="23">
        <v>700000</v>
      </c>
      <c r="D255" s="23">
        <v>0</v>
      </c>
      <c r="E255" s="23">
        <v>-592577.59999999963</v>
      </c>
      <c r="F255" s="22" t="s">
        <v>726</v>
      </c>
      <c r="G255" s="22" t="s">
        <v>2</v>
      </c>
      <c r="H255" s="22" t="s">
        <v>765</v>
      </c>
      <c r="I255" s="22" t="s">
        <v>728</v>
      </c>
      <c r="J255" s="22" t="s">
        <v>492</v>
      </c>
      <c r="K255" s="22" t="s">
        <v>493</v>
      </c>
      <c r="L255" s="22"/>
      <c r="M255" s="24"/>
      <c r="N255" s="47"/>
    </row>
    <row r="256" spans="1:14" hidden="1" x14ac:dyDescent="0.35">
      <c r="A256" s="50">
        <v>45862</v>
      </c>
      <c r="B256" s="22" t="s">
        <v>489</v>
      </c>
      <c r="C256" s="23">
        <v>0</v>
      </c>
      <c r="D256" s="23">
        <v>9368</v>
      </c>
      <c r="E256" s="23">
        <v>-601945.59999999963</v>
      </c>
      <c r="F256" s="22" t="s">
        <v>3</v>
      </c>
      <c r="G256" s="22" t="s">
        <v>3</v>
      </c>
      <c r="H256" s="22" t="s">
        <v>766</v>
      </c>
      <c r="I256" s="22" t="s">
        <v>557</v>
      </c>
      <c r="J256" s="22" t="s">
        <v>492</v>
      </c>
      <c r="K256" s="22" t="s">
        <v>493</v>
      </c>
      <c r="L256" s="22" t="s">
        <v>766</v>
      </c>
      <c r="M256" s="24">
        <v>256779415945</v>
      </c>
      <c r="N256" s="47"/>
    </row>
    <row r="257" spans="1:14" hidden="1" x14ac:dyDescent="0.35">
      <c r="A257" s="50">
        <v>45863</v>
      </c>
      <c r="B257" s="22" t="s">
        <v>489</v>
      </c>
      <c r="C257" s="23">
        <v>350672</v>
      </c>
      <c r="D257" s="23">
        <v>0</v>
      </c>
      <c r="E257" s="23">
        <v>-251273.5999999996</v>
      </c>
      <c r="F257" s="22" t="s">
        <v>726</v>
      </c>
      <c r="G257" s="22" t="s">
        <v>2</v>
      </c>
      <c r="H257" s="22" t="s">
        <v>767</v>
      </c>
      <c r="I257" s="22" t="s">
        <v>728</v>
      </c>
      <c r="J257" s="22" t="s">
        <v>492</v>
      </c>
      <c r="K257" s="22" t="s">
        <v>493</v>
      </c>
      <c r="L257" s="22"/>
      <c r="M257" s="24"/>
      <c r="N257" s="47"/>
    </row>
    <row r="258" spans="1:14" hidden="1" x14ac:dyDescent="0.35">
      <c r="A258" s="50">
        <v>45863</v>
      </c>
      <c r="B258" s="22" t="s">
        <v>489</v>
      </c>
      <c r="C258" s="23">
        <v>0</v>
      </c>
      <c r="D258" s="23">
        <v>32007</v>
      </c>
      <c r="E258" s="23">
        <v>-283280.59999999963</v>
      </c>
      <c r="F258" s="22" t="s">
        <v>3</v>
      </c>
      <c r="G258" s="22" t="s">
        <v>3</v>
      </c>
      <c r="H258" s="22" t="s">
        <v>768</v>
      </c>
      <c r="I258" s="22" t="s">
        <v>507</v>
      </c>
      <c r="J258" s="22" t="s">
        <v>492</v>
      </c>
      <c r="K258" s="22" t="s">
        <v>493</v>
      </c>
      <c r="L258" s="22" t="s">
        <v>768</v>
      </c>
      <c r="M258" s="24">
        <v>256779415967</v>
      </c>
      <c r="N258" s="47"/>
    </row>
    <row r="259" spans="1:14" hidden="1" x14ac:dyDescent="0.35">
      <c r="A259" s="50">
        <v>45863</v>
      </c>
      <c r="B259" s="22" t="s">
        <v>489</v>
      </c>
      <c r="C259" s="23">
        <v>0</v>
      </c>
      <c r="D259" s="23">
        <v>9348</v>
      </c>
      <c r="E259" s="23">
        <v>-292628.59999999963</v>
      </c>
      <c r="F259" s="22" t="s">
        <v>3</v>
      </c>
      <c r="G259" s="22" t="s">
        <v>3</v>
      </c>
      <c r="H259" s="22" t="s">
        <v>769</v>
      </c>
      <c r="I259" s="22" t="s">
        <v>507</v>
      </c>
      <c r="J259" s="22" t="s">
        <v>492</v>
      </c>
      <c r="K259" s="22" t="s">
        <v>493</v>
      </c>
      <c r="L259" s="22" t="s">
        <v>769</v>
      </c>
      <c r="M259" s="24">
        <v>256779415970</v>
      </c>
      <c r="N259" s="47"/>
    </row>
    <row r="260" spans="1:14" hidden="1" x14ac:dyDescent="0.35">
      <c r="A260" s="50">
        <v>45863</v>
      </c>
      <c r="B260" s="22" t="s">
        <v>489</v>
      </c>
      <c r="C260" s="23">
        <v>0</v>
      </c>
      <c r="D260" s="23">
        <v>196</v>
      </c>
      <c r="E260" s="23">
        <v>-292824.59999999963</v>
      </c>
      <c r="F260" s="22" t="s">
        <v>3</v>
      </c>
      <c r="G260" s="22" t="s">
        <v>3</v>
      </c>
      <c r="H260" s="22" t="s">
        <v>770</v>
      </c>
      <c r="I260" s="22" t="s">
        <v>573</v>
      </c>
      <c r="J260" s="22" t="s">
        <v>492</v>
      </c>
      <c r="K260" s="22" t="s">
        <v>493</v>
      </c>
      <c r="L260" s="22" t="s">
        <v>770</v>
      </c>
      <c r="M260" s="24">
        <v>256779415995</v>
      </c>
      <c r="N260" s="47"/>
    </row>
    <row r="261" spans="1:14" x14ac:dyDescent="0.35">
      <c r="A261" s="50">
        <v>45854</v>
      </c>
      <c r="B261" s="22" t="s">
        <v>489</v>
      </c>
      <c r="C261" s="23">
        <v>55272</v>
      </c>
      <c r="D261" s="23">
        <v>0</v>
      </c>
      <c r="E261" s="23">
        <v>-1316136.6000000001</v>
      </c>
      <c r="F261" s="22" t="s">
        <v>3</v>
      </c>
      <c r="G261" s="22" t="s">
        <v>0</v>
      </c>
      <c r="H261" s="22" t="s">
        <v>751</v>
      </c>
      <c r="I261" s="22" t="s">
        <v>507</v>
      </c>
      <c r="J261" s="22" t="s">
        <v>492</v>
      </c>
      <c r="K261" s="22" t="s">
        <v>493</v>
      </c>
      <c r="L261" s="22" t="s">
        <v>680</v>
      </c>
      <c r="M261" s="24">
        <v>256779410004</v>
      </c>
      <c r="N261" s="47"/>
    </row>
    <row r="262" spans="1:14" hidden="1" x14ac:dyDescent="0.35">
      <c r="A262" s="50">
        <v>45869</v>
      </c>
      <c r="B262" s="22" t="s">
        <v>489</v>
      </c>
      <c r="C262" s="23">
        <v>15778</v>
      </c>
      <c r="D262" s="23">
        <v>0</v>
      </c>
      <c r="E262" s="23">
        <v>-243670.5999999996</v>
      </c>
      <c r="F262" s="22" t="s">
        <v>3</v>
      </c>
      <c r="G262" s="22" t="s">
        <v>0</v>
      </c>
      <c r="H262" s="22" t="s">
        <v>772</v>
      </c>
      <c r="I262" s="22" t="s">
        <v>507</v>
      </c>
      <c r="J262" s="22" t="s">
        <v>492</v>
      </c>
      <c r="K262" s="22" t="s">
        <v>493</v>
      </c>
      <c r="L262" s="22" t="s">
        <v>772</v>
      </c>
      <c r="M262" s="24" t="s">
        <v>773</v>
      </c>
      <c r="N262" s="47"/>
    </row>
    <row r="263" spans="1:14" x14ac:dyDescent="0.35">
      <c r="A263" s="50">
        <v>45750</v>
      </c>
      <c r="B263" s="22" t="s">
        <v>489</v>
      </c>
      <c r="C263" s="23">
        <v>0</v>
      </c>
      <c r="D263" s="23">
        <v>140649</v>
      </c>
      <c r="E263" s="23">
        <v>-3186938.12</v>
      </c>
      <c r="F263" s="22" t="s">
        <v>3</v>
      </c>
      <c r="G263" s="22" t="s">
        <v>3</v>
      </c>
      <c r="H263" s="22" t="s">
        <v>679</v>
      </c>
      <c r="I263" s="22" t="s">
        <v>507</v>
      </c>
      <c r="J263" s="22" t="s">
        <v>492</v>
      </c>
      <c r="K263" s="22" t="s">
        <v>493</v>
      </c>
      <c r="L263" s="22" t="s">
        <v>679</v>
      </c>
      <c r="M263" s="24">
        <v>256779410010</v>
      </c>
      <c r="N263" s="47"/>
    </row>
    <row r="264" spans="1:14" hidden="1" x14ac:dyDescent="0.35">
      <c r="A264" s="50">
        <v>45869</v>
      </c>
      <c r="B264" s="22" t="s">
        <v>489</v>
      </c>
      <c r="C264" s="23">
        <v>36410</v>
      </c>
      <c r="D264" s="23">
        <v>0</v>
      </c>
      <c r="E264" s="23">
        <v>-251862.5999999996</v>
      </c>
      <c r="F264" s="22" t="s">
        <v>3</v>
      </c>
      <c r="G264" s="22" t="s">
        <v>0</v>
      </c>
      <c r="H264" s="22" t="s">
        <v>775</v>
      </c>
      <c r="I264" s="22" t="s">
        <v>608</v>
      </c>
      <c r="J264" s="22" t="s">
        <v>492</v>
      </c>
      <c r="K264" s="22" t="s">
        <v>493</v>
      </c>
      <c r="L264" s="22" t="s">
        <v>775</v>
      </c>
      <c r="M264" s="24" t="s">
        <v>776</v>
      </c>
      <c r="N264" s="47"/>
    </row>
    <row r="265" spans="1:14" hidden="1" x14ac:dyDescent="0.35">
      <c r="A265" s="50">
        <v>45869</v>
      </c>
      <c r="B265" s="22" t="s">
        <v>489</v>
      </c>
      <c r="C265" s="23">
        <v>15401</v>
      </c>
      <c r="D265" s="23">
        <v>0</v>
      </c>
      <c r="E265" s="23">
        <v>-236461.5999999996</v>
      </c>
      <c r="F265" s="22" t="s">
        <v>3</v>
      </c>
      <c r="G265" s="22" t="s">
        <v>0</v>
      </c>
      <c r="H265" s="22" t="s">
        <v>777</v>
      </c>
      <c r="I265" s="22" t="s">
        <v>491</v>
      </c>
      <c r="J265" s="22" t="s">
        <v>492</v>
      </c>
      <c r="K265" s="22" t="s">
        <v>493</v>
      </c>
      <c r="L265" s="22" t="s">
        <v>777</v>
      </c>
      <c r="M265" s="24" t="s">
        <v>778</v>
      </c>
      <c r="N265" s="47"/>
    </row>
    <row r="266" spans="1:14" x14ac:dyDescent="0.35">
      <c r="A266" s="50">
        <v>45854</v>
      </c>
      <c r="B266" s="22" t="s">
        <v>489</v>
      </c>
      <c r="C266" s="23">
        <v>140649</v>
      </c>
      <c r="D266" s="23">
        <v>0</v>
      </c>
      <c r="E266" s="23">
        <v>-1371408.6</v>
      </c>
      <c r="F266" s="22" t="s">
        <v>3</v>
      </c>
      <c r="G266" s="22" t="s">
        <v>0</v>
      </c>
      <c r="H266" s="22" t="s">
        <v>750</v>
      </c>
      <c r="I266" s="22" t="s">
        <v>507</v>
      </c>
      <c r="J266" s="22" t="s">
        <v>492</v>
      </c>
      <c r="K266" s="22" t="s">
        <v>493</v>
      </c>
      <c r="L266" s="22" t="s">
        <v>679</v>
      </c>
      <c r="M266" s="24">
        <v>256779410010</v>
      </c>
      <c r="N266" s="47"/>
    </row>
    <row r="267" spans="1:14" hidden="1" x14ac:dyDescent="0.35">
      <c r="A267" s="50">
        <v>45877</v>
      </c>
      <c r="B267" s="22" t="s">
        <v>489</v>
      </c>
      <c r="C267" s="23">
        <v>0</v>
      </c>
      <c r="D267" s="23">
        <v>9124</v>
      </c>
      <c r="E267" s="23">
        <v>-263952.59999999963</v>
      </c>
      <c r="F267" s="22" t="s">
        <v>3</v>
      </c>
      <c r="G267" s="22" t="s">
        <v>3</v>
      </c>
      <c r="H267" s="22" t="s">
        <v>780</v>
      </c>
      <c r="I267" s="22" t="s">
        <v>500</v>
      </c>
      <c r="J267" s="22" t="s">
        <v>492</v>
      </c>
      <c r="K267" s="22" t="s">
        <v>493</v>
      </c>
      <c r="L267" s="22" t="s">
        <v>780</v>
      </c>
      <c r="M267" s="24">
        <v>256779416223</v>
      </c>
      <c r="N267" s="47"/>
    </row>
    <row r="268" spans="1:14" hidden="1" x14ac:dyDescent="0.35">
      <c r="A268" s="50">
        <v>45877</v>
      </c>
      <c r="B268" s="22" t="s">
        <v>489</v>
      </c>
      <c r="C268" s="23">
        <v>0</v>
      </c>
      <c r="D268" s="23">
        <v>4755</v>
      </c>
      <c r="E268" s="23">
        <v>-268707.59999999963</v>
      </c>
      <c r="F268" s="22" t="s">
        <v>3</v>
      </c>
      <c r="G268" s="22" t="s">
        <v>3</v>
      </c>
      <c r="H268" s="22" t="s">
        <v>781</v>
      </c>
      <c r="I268" s="22" t="s">
        <v>500</v>
      </c>
      <c r="J268" s="22" t="s">
        <v>492</v>
      </c>
      <c r="K268" s="22" t="s">
        <v>493</v>
      </c>
      <c r="L268" s="22" t="s">
        <v>781</v>
      </c>
      <c r="M268" s="24">
        <v>256779416256</v>
      </c>
      <c r="N268" s="47"/>
    </row>
    <row r="269" spans="1:14" hidden="1" x14ac:dyDescent="0.35">
      <c r="A269" s="50">
        <v>45877</v>
      </c>
      <c r="B269" s="22" t="s">
        <v>489</v>
      </c>
      <c r="C269" s="23">
        <v>0</v>
      </c>
      <c r="D269" s="23">
        <v>462828</v>
      </c>
      <c r="E269" s="23">
        <v>-731535.59999999963</v>
      </c>
      <c r="F269" s="22" t="s">
        <v>3</v>
      </c>
      <c r="G269" s="22" t="s">
        <v>3</v>
      </c>
      <c r="H269" s="22" t="s">
        <v>782</v>
      </c>
      <c r="I269" s="22" t="s">
        <v>783</v>
      </c>
      <c r="J269" s="22" t="s">
        <v>492</v>
      </c>
      <c r="K269" s="22" t="s">
        <v>493</v>
      </c>
      <c r="L269" s="22" t="s">
        <v>782</v>
      </c>
      <c r="M269" s="24">
        <v>256779416088</v>
      </c>
      <c r="N269" s="47"/>
    </row>
    <row r="270" spans="1:14" hidden="1" x14ac:dyDescent="0.35">
      <c r="A270" s="50">
        <v>45889</v>
      </c>
      <c r="B270" s="22" t="s">
        <v>489</v>
      </c>
      <c r="C270" s="23">
        <v>0</v>
      </c>
      <c r="D270" s="23">
        <v>4790</v>
      </c>
      <c r="E270" s="23">
        <v>-736325.59999999963</v>
      </c>
      <c r="F270" s="22" t="s">
        <v>3</v>
      </c>
      <c r="G270" s="22" t="s">
        <v>3</v>
      </c>
      <c r="H270" s="22" t="s">
        <v>784</v>
      </c>
      <c r="I270" s="22" t="s">
        <v>704</v>
      </c>
      <c r="J270" s="22" t="s">
        <v>492</v>
      </c>
      <c r="K270" s="22" t="s">
        <v>493</v>
      </c>
      <c r="L270" s="22" t="s">
        <v>784</v>
      </c>
      <c r="M270" s="24">
        <v>256779416615</v>
      </c>
      <c r="N270" s="47"/>
    </row>
    <row r="271" spans="1:14" hidden="1" x14ac:dyDescent="0.35">
      <c r="A271" s="50">
        <v>45889</v>
      </c>
      <c r="B271" s="22" t="s">
        <v>489</v>
      </c>
      <c r="C271" s="23">
        <v>0</v>
      </c>
      <c r="D271" s="23">
        <v>6981</v>
      </c>
      <c r="E271" s="23">
        <v>-743306.59999999963</v>
      </c>
      <c r="F271" s="22" t="s">
        <v>3</v>
      </c>
      <c r="G271" s="22" t="s">
        <v>3</v>
      </c>
      <c r="H271" s="22" t="s">
        <v>785</v>
      </c>
      <c r="I271" s="22" t="s">
        <v>573</v>
      </c>
      <c r="J271" s="22" t="s">
        <v>492</v>
      </c>
      <c r="K271" s="22" t="s">
        <v>493</v>
      </c>
      <c r="L271" s="22" t="s">
        <v>785</v>
      </c>
      <c r="M271" s="24">
        <v>256779416809</v>
      </c>
      <c r="N271" s="47"/>
    </row>
    <row r="272" spans="1:14" hidden="1" x14ac:dyDescent="0.35">
      <c r="A272" s="50">
        <v>45889</v>
      </c>
      <c r="B272" s="22" t="s">
        <v>489</v>
      </c>
      <c r="C272" s="23">
        <v>0</v>
      </c>
      <c r="D272" s="23">
        <v>971</v>
      </c>
      <c r="E272" s="23">
        <v>-744277.59999999963</v>
      </c>
      <c r="F272" s="22" t="s">
        <v>3</v>
      </c>
      <c r="G272" s="22" t="s">
        <v>3</v>
      </c>
      <c r="H272" s="22" t="s">
        <v>786</v>
      </c>
      <c r="I272" s="22" t="s">
        <v>787</v>
      </c>
      <c r="J272" s="22" t="s">
        <v>492</v>
      </c>
      <c r="K272" s="22" t="s">
        <v>493</v>
      </c>
      <c r="L272" s="22" t="s">
        <v>786</v>
      </c>
      <c r="M272" s="24">
        <v>256779416878</v>
      </c>
      <c r="N272" s="47"/>
    </row>
    <row r="273" spans="1:14" hidden="1" x14ac:dyDescent="0.35">
      <c r="A273" s="50">
        <v>45889</v>
      </c>
      <c r="B273" s="22" t="s">
        <v>489</v>
      </c>
      <c r="C273" s="23">
        <v>0</v>
      </c>
      <c r="D273" s="23">
        <v>11922</v>
      </c>
      <c r="E273" s="23">
        <v>-756199.59999999963</v>
      </c>
      <c r="F273" s="22" t="s">
        <v>3</v>
      </c>
      <c r="G273" s="22" t="s">
        <v>3</v>
      </c>
      <c r="H273" s="22" t="s">
        <v>788</v>
      </c>
      <c r="I273" s="22" t="s">
        <v>789</v>
      </c>
      <c r="J273" s="22" t="s">
        <v>492</v>
      </c>
      <c r="K273" s="22" t="s">
        <v>493</v>
      </c>
      <c r="L273" s="22" t="s">
        <v>788</v>
      </c>
      <c r="M273" s="24">
        <v>256779416844</v>
      </c>
      <c r="N273" s="47"/>
    </row>
    <row r="274" spans="1:14" hidden="1" x14ac:dyDescent="0.35">
      <c r="A274" s="50">
        <v>45889</v>
      </c>
      <c r="B274" s="22" t="s">
        <v>489</v>
      </c>
      <c r="C274" s="23">
        <v>0</v>
      </c>
      <c r="D274" s="23">
        <v>1463</v>
      </c>
      <c r="E274" s="23">
        <v>-757662.59999999963</v>
      </c>
      <c r="F274" s="22" t="s">
        <v>3</v>
      </c>
      <c r="G274" s="22" t="s">
        <v>3</v>
      </c>
      <c r="H274" s="22" t="s">
        <v>790</v>
      </c>
      <c r="I274" s="22" t="s">
        <v>791</v>
      </c>
      <c r="J274" s="22" t="s">
        <v>492</v>
      </c>
      <c r="K274" s="22" t="s">
        <v>493</v>
      </c>
      <c r="L274" s="22" t="s">
        <v>790</v>
      </c>
      <c r="M274" s="24">
        <v>256779416603</v>
      </c>
      <c r="N274" s="47"/>
    </row>
    <row r="275" spans="1:14" x14ac:dyDescent="0.35">
      <c r="A275" s="50">
        <v>45750</v>
      </c>
      <c r="B275" s="22" t="s">
        <v>489</v>
      </c>
      <c r="C275" s="23">
        <v>0</v>
      </c>
      <c r="D275" s="23">
        <v>114223</v>
      </c>
      <c r="E275" s="23">
        <v>-3356433.12</v>
      </c>
      <c r="F275" s="22" t="s">
        <v>3</v>
      </c>
      <c r="G275" s="22" t="s">
        <v>3</v>
      </c>
      <c r="H275" s="22" t="s">
        <v>681</v>
      </c>
      <c r="I275" s="22" t="s">
        <v>507</v>
      </c>
      <c r="J275" s="22" t="s">
        <v>492</v>
      </c>
      <c r="K275" s="22" t="s">
        <v>493</v>
      </c>
      <c r="L275" s="22" t="s">
        <v>681</v>
      </c>
      <c r="M275" s="24">
        <v>256779410220</v>
      </c>
      <c r="N275" s="47"/>
    </row>
    <row r="276" spans="1:14" x14ac:dyDescent="0.35">
      <c r="A276" s="50">
        <v>45937</v>
      </c>
      <c r="B276" s="22" t="s">
        <v>489</v>
      </c>
      <c r="C276" s="23">
        <v>114223</v>
      </c>
      <c r="D276" s="23">
        <v>114223</v>
      </c>
      <c r="E276" s="23">
        <v>-757662.59999999963</v>
      </c>
      <c r="F276" s="22" t="s">
        <v>792</v>
      </c>
      <c r="G276" s="22" t="s">
        <v>1</v>
      </c>
      <c r="H276" s="22" t="s">
        <v>807</v>
      </c>
      <c r="I276" s="22"/>
      <c r="J276" s="22" t="s">
        <v>492</v>
      </c>
      <c r="K276" s="22" t="s">
        <v>493</v>
      </c>
      <c r="L276" s="22" t="s">
        <v>808</v>
      </c>
      <c r="M276" s="24">
        <v>256779410220</v>
      </c>
      <c r="N276" s="47"/>
    </row>
    <row r="277" spans="1:14" x14ac:dyDescent="0.35">
      <c r="A277" s="50">
        <v>45763</v>
      </c>
      <c r="B277" s="22" t="s">
        <v>489</v>
      </c>
      <c r="C277" s="23">
        <v>0</v>
      </c>
      <c r="D277" s="23">
        <v>12169</v>
      </c>
      <c r="E277" s="23">
        <v>-4585372.12</v>
      </c>
      <c r="F277" s="22" t="s">
        <v>3</v>
      </c>
      <c r="G277" s="22" t="s">
        <v>3</v>
      </c>
      <c r="H277" s="22" t="s">
        <v>696</v>
      </c>
      <c r="I277" s="22" t="s">
        <v>697</v>
      </c>
      <c r="J277" s="22" t="s">
        <v>492</v>
      </c>
      <c r="K277" s="22" t="s">
        <v>493</v>
      </c>
      <c r="L277" s="22" t="s">
        <v>696</v>
      </c>
      <c r="M277" s="24">
        <v>256779411917</v>
      </c>
      <c r="N277" s="47"/>
    </row>
    <row r="278" spans="1:14" x14ac:dyDescent="0.35">
      <c r="A278" s="50">
        <v>45937</v>
      </c>
      <c r="B278" s="22" t="s">
        <v>489</v>
      </c>
      <c r="C278" s="23">
        <v>12169</v>
      </c>
      <c r="D278" s="23">
        <v>12169</v>
      </c>
      <c r="E278" s="23">
        <v>-757662.59999999963</v>
      </c>
      <c r="F278" s="22" t="s">
        <v>792</v>
      </c>
      <c r="G278" s="22" t="s">
        <v>1</v>
      </c>
      <c r="H278" s="22" t="s">
        <v>805</v>
      </c>
      <c r="I278" s="22"/>
      <c r="J278" s="22" t="s">
        <v>492</v>
      </c>
      <c r="K278" s="22" t="s">
        <v>493</v>
      </c>
      <c r="L278" s="22" t="s">
        <v>806</v>
      </c>
      <c r="M278" s="24">
        <v>256779411917</v>
      </c>
      <c r="N278" s="47"/>
    </row>
    <row r="279" spans="1:14" x14ac:dyDescent="0.35">
      <c r="A279" s="50">
        <v>45770</v>
      </c>
      <c r="B279" s="22" t="s">
        <v>489</v>
      </c>
      <c r="C279" s="23">
        <v>0</v>
      </c>
      <c r="D279" s="23">
        <v>6084</v>
      </c>
      <c r="E279" s="23">
        <v>-4744492.12</v>
      </c>
      <c r="F279" s="22" t="s">
        <v>3</v>
      </c>
      <c r="G279" s="22" t="s">
        <v>3</v>
      </c>
      <c r="H279" s="22" t="s">
        <v>709</v>
      </c>
      <c r="I279" s="22" t="s">
        <v>697</v>
      </c>
      <c r="J279" s="22" t="s">
        <v>492</v>
      </c>
      <c r="K279" s="22" t="s">
        <v>493</v>
      </c>
      <c r="L279" s="22" t="s">
        <v>709</v>
      </c>
      <c r="M279" s="24">
        <v>256779412692</v>
      </c>
      <c r="N279" s="47"/>
    </row>
    <row r="280" spans="1:14" x14ac:dyDescent="0.35">
      <c r="A280" s="50">
        <v>45937</v>
      </c>
      <c r="B280" s="22" t="s">
        <v>489</v>
      </c>
      <c r="C280" s="23">
        <v>6084</v>
      </c>
      <c r="D280" s="23">
        <v>6084</v>
      </c>
      <c r="E280" s="23">
        <v>-757662.59999999963</v>
      </c>
      <c r="F280" s="22" t="s">
        <v>792</v>
      </c>
      <c r="G280" s="22" t="s">
        <v>1</v>
      </c>
      <c r="H280" s="22" t="s">
        <v>803</v>
      </c>
      <c r="I280" s="22"/>
      <c r="J280" s="22" t="s">
        <v>492</v>
      </c>
      <c r="K280" s="22" t="s">
        <v>493</v>
      </c>
      <c r="L280" s="22" t="s">
        <v>804</v>
      </c>
      <c r="M280" s="24">
        <v>256779412692</v>
      </c>
      <c r="N280" s="47"/>
    </row>
    <row r="281" spans="1:14" x14ac:dyDescent="0.35">
      <c r="A281" s="50">
        <v>45793</v>
      </c>
      <c r="B281" s="22" t="s">
        <v>489</v>
      </c>
      <c r="C281" s="23">
        <v>0</v>
      </c>
      <c r="D281" s="23">
        <v>11797</v>
      </c>
      <c r="E281" s="23">
        <v>-4831991.12</v>
      </c>
      <c r="F281" s="22" t="s">
        <v>3</v>
      </c>
      <c r="G281" s="22" t="s">
        <v>3</v>
      </c>
      <c r="H281" s="22" t="s">
        <v>716</v>
      </c>
      <c r="I281" s="22" t="s">
        <v>608</v>
      </c>
      <c r="J281" s="22" t="s">
        <v>492</v>
      </c>
      <c r="K281" s="22" t="s">
        <v>493</v>
      </c>
      <c r="L281" s="22" t="s">
        <v>716</v>
      </c>
      <c r="M281" s="24">
        <v>256779413283</v>
      </c>
      <c r="N281" s="47"/>
    </row>
    <row r="282" spans="1:14" x14ac:dyDescent="0.35">
      <c r="A282" s="50">
        <v>45854</v>
      </c>
      <c r="B282" s="22" t="s">
        <v>489</v>
      </c>
      <c r="C282" s="23">
        <v>11798</v>
      </c>
      <c r="D282" s="23">
        <v>0</v>
      </c>
      <c r="E282" s="23">
        <v>-1532931.6</v>
      </c>
      <c r="F282" s="22" t="s">
        <v>3</v>
      </c>
      <c r="G282" s="22" t="s">
        <v>0</v>
      </c>
      <c r="H282" s="22" t="s">
        <v>748</v>
      </c>
      <c r="I282" s="22" t="s">
        <v>608</v>
      </c>
      <c r="J282" s="22" t="s">
        <v>492</v>
      </c>
      <c r="K282" s="22" t="s">
        <v>493</v>
      </c>
      <c r="L282" s="22" t="s">
        <v>716</v>
      </c>
      <c r="M282" s="24">
        <v>256779413283</v>
      </c>
      <c r="N282" s="47"/>
    </row>
    <row r="283" spans="1:14" x14ac:dyDescent="0.35">
      <c r="A283" s="50">
        <v>45812</v>
      </c>
      <c r="B283" s="22" t="s">
        <v>489</v>
      </c>
      <c r="C283" s="23">
        <v>0</v>
      </c>
      <c r="D283" s="23">
        <v>41769</v>
      </c>
      <c r="E283" s="23">
        <v>-4592402.5999999996</v>
      </c>
      <c r="F283" s="22" t="s">
        <v>3</v>
      </c>
      <c r="G283" s="22" t="s">
        <v>3</v>
      </c>
      <c r="H283" s="22" t="s">
        <v>734</v>
      </c>
      <c r="I283" s="22" t="s">
        <v>735</v>
      </c>
      <c r="J283" s="22" t="s">
        <v>492</v>
      </c>
      <c r="K283" s="22" t="s">
        <v>493</v>
      </c>
      <c r="L283" s="22" t="s">
        <v>734</v>
      </c>
      <c r="M283" s="24">
        <v>256779414158</v>
      </c>
      <c r="N283" s="47"/>
    </row>
    <row r="284" spans="1:14" x14ac:dyDescent="0.35">
      <c r="A284" s="50">
        <v>45939</v>
      </c>
      <c r="B284" s="22" t="s">
        <v>489</v>
      </c>
      <c r="C284" s="23">
        <v>500000</v>
      </c>
      <c r="D284" s="23">
        <v>0</v>
      </c>
      <c r="E284" s="23">
        <v>-257662.5999999996</v>
      </c>
      <c r="F284" s="22" t="s">
        <v>726</v>
      </c>
      <c r="G284" s="22" t="s">
        <v>2</v>
      </c>
      <c r="H284" s="22" t="s">
        <v>811</v>
      </c>
      <c r="I284" s="22" t="s">
        <v>728</v>
      </c>
      <c r="J284" s="22" t="s">
        <v>492</v>
      </c>
      <c r="K284" s="22" t="s">
        <v>493</v>
      </c>
      <c r="L284" s="22" t="s">
        <v>812</v>
      </c>
      <c r="M284" s="24">
        <v>256779414158</v>
      </c>
      <c r="N284" s="47"/>
    </row>
    <row r="285" spans="1:14" x14ac:dyDescent="0.35">
      <c r="A285" s="50">
        <v>45940</v>
      </c>
      <c r="B285" s="22" t="s">
        <v>489</v>
      </c>
      <c r="C285" s="23">
        <v>108564</v>
      </c>
      <c r="D285" s="23">
        <v>0</v>
      </c>
      <c r="E285" s="23">
        <v>-149098.5999999996</v>
      </c>
      <c r="F285" s="22" t="s">
        <v>726</v>
      </c>
      <c r="G285" s="22" t="s">
        <v>2</v>
      </c>
      <c r="H285" s="22" t="s">
        <v>813</v>
      </c>
      <c r="I285" s="22" t="s">
        <v>728</v>
      </c>
      <c r="J285" s="22" t="s">
        <v>492</v>
      </c>
      <c r="K285" s="22" t="s">
        <v>493</v>
      </c>
      <c r="L285" s="22" t="s">
        <v>814</v>
      </c>
      <c r="M285" s="24">
        <v>256779414158</v>
      </c>
      <c r="N285" s="47"/>
    </row>
    <row r="286" spans="1:14" hidden="1" x14ac:dyDescent="0.35">
      <c r="A286" s="50">
        <v>45948</v>
      </c>
      <c r="B286" s="22" t="s">
        <v>489</v>
      </c>
      <c r="C286" s="23">
        <v>500000</v>
      </c>
      <c r="D286" s="23">
        <v>0</v>
      </c>
      <c r="E286" s="23">
        <v>350901.40000000037</v>
      </c>
      <c r="F286" s="22" t="s">
        <v>726</v>
      </c>
      <c r="G286" s="22" t="s">
        <v>2</v>
      </c>
      <c r="H286" s="22" t="s">
        <v>815</v>
      </c>
      <c r="I286" s="22" t="s">
        <v>728</v>
      </c>
      <c r="J286" s="22" t="s">
        <v>492</v>
      </c>
      <c r="K286" s="22" t="s">
        <v>493</v>
      </c>
      <c r="L286" s="22"/>
      <c r="M286" s="24"/>
      <c r="N286" s="47"/>
    </row>
    <row r="287" spans="1:14" hidden="1" x14ac:dyDescent="0.35">
      <c r="A287" s="50">
        <v>45959</v>
      </c>
      <c r="B287" s="22" t="s">
        <v>489</v>
      </c>
      <c r="C287" s="23">
        <v>300000</v>
      </c>
      <c r="D287" s="23">
        <v>0</v>
      </c>
      <c r="E287" s="23">
        <v>650901.40000000037</v>
      </c>
      <c r="F287" s="22" t="s">
        <v>726</v>
      </c>
      <c r="G287" s="22" t="s">
        <v>2</v>
      </c>
      <c r="H287" s="22" t="s">
        <v>816</v>
      </c>
      <c r="I287" s="22" t="s">
        <v>728</v>
      </c>
      <c r="J287" s="22" t="s">
        <v>492</v>
      </c>
      <c r="K287" s="22" t="s">
        <v>493</v>
      </c>
      <c r="L287" s="22"/>
      <c r="M287" s="24"/>
      <c r="N287" s="47"/>
    </row>
    <row r="288" spans="1:14" hidden="1" x14ac:dyDescent="0.35">
      <c r="A288" s="50">
        <v>45962</v>
      </c>
      <c r="B288" s="22" t="s">
        <v>489</v>
      </c>
      <c r="C288" s="23">
        <v>500000</v>
      </c>
      <c r="D288" s="23">
        <v>0</v>
      </c>
      <c r="E288" s="23">
        <v>1150901.3999999999</v>
      </c>
      <c r="F288" s="22" t="s">
        <v>726</v>
      </c>
      <c r="G288" s="22" t="s">
        <v>2</v>
      </c>
      <c r="H288" s="22" t="s">
        <v>817</v>
      </c>
      <c r="I288" s="22" t="s">
        <v>728</v>
      </c>
      <c r="J288" s="22" t="s">
        <v>492</v>
      </c>
      <c r="K288" s="22" t="s">
        <v>493</v>
      </c>
      <c r="L288" s="22"/>
      <c r="M288" s="24"/>
      <c r="N288" s="47"/>
    </row>
    <row r="289" spans="1:14" hidden="1" x14ac:dyDescent="0.35">
      <c r="A289" s="50">
        <v>46003</v>
      </c>
      <c r="B289" s="22" t="s">
        <v>489</v>
      </c>
      <c r="C289" s="23">
        <v>0</v>
      </c>
      <c r="D289" s="23">
        <v>16480.710999999999</v>
      </c>
      <c r="E289" s="23">
        <v>1134420.689</v>
      </c>
      <c r="F289" s="22" t="s">
        <v>3</v>
      </c>
      <c r="G289" s="22" t="s">
        <v>3</v>
      </c>
      <c r="H289" s="22" t="s">
        <v>818</v>
      </c>
      <c r="I289" s="22" t="s">
        <v>507</v>
      </c>
      <c r="J289" s="22" t="s">
        <v>492</v>
      </c>
      <c r="K289" s="22" t="s">
        <v>493</v>
      </c>
      <c r="L289" s="22" t="s">
        <v>818</v>
      </c>
      <c r="M289" s="24">
        <v>246779410327</v>
      </c>
      <c r="N289" s="47"/>
    </row>
    <row r="290" spans="1:14" hidden="1" x14ac:dyDescent="0.35">
      <c r="A290" s="50">
        <v>46003</v>
      </c>
      <c r="B290" s="22" t="s">
        <v>489</v>
      </c>
      <c r="C290" s="23">
        <v>0</v>
      </c>
      <c r="D290" s="23">
        <v>29975.441999999999</v>
      </c>
      <c r="E290" s="23">
        <v>1104445.247</v>
      </c>
      <c r="F290" s="22" t="s">
        <v>3</v>
      </c>
      <c r="G290" s="22" t="s">
        <v>3</v>
      </c>
      <c r="H290" s="22" t="s">
        <v>819</v>
      </c>
      <c r="I290" s="22" t="s">
        <v>507</v>
      </c>
      <c r="J290" s="22" t="s">
        <v>492</v>
      </c>
      <c r="K290" s="22" t="s">
        <v>493</v>
      </c>
      <c r="L290" s="22" t="s">
        <v>819</v>
      </c>
      <c r="M290" s="24">
        <v>246779410333</v>
      </c>
      <c r="N290" s="47"/>
    </row>
    <row r="291" spans="1:14" hidden="1" x14ac:dyDescent="0.35">
      <c r="A291" s="50">
        <v>46003</v>
      </c>
      <c r="B291" s="22" t="s">
        <v>489</v>
      </c>
      <c r="C291" s="23">
        <v>0</v>
      </c>
      <c r="D291" s="23">
        <v>144772.565</v>
      </c>
      <c r="E291" s="23">
        <v>959672.6820000005</v>
      </c>
      <c r="F291" s="22" t="s">
        <v>3</v>
      </c>
      <c r="G291" s="22" t="s">
        <v>3</v>
      </c>
      <c r="H291" s="22" t="s">
        <v>820</v>
      </c>
      <c r="I291" s="22" t="s">
        <v>507</v>
      </c>
      <c r="J291" s="22" t="s">
        <v>492</v>
      </c>
      <c r="K291" s="22" t="s">
        <v>493</v>
      </c>
      <c r="L291" s="22" t="s">
        <v>820</v>
      </c>
      <c r="M291" s="24">
        <v>246779410340</v>
      </c>
      <c r="N291" s="47"/>
    </row>
    <row r="292" spans="1:14" hidden="1" x14ac:dyDescent="0.35">
      <c r="A292" s="50">
        <v>46003</v>
      </c>
      <c r="B292" s="22" t="s">
        <v>489</v>
      </c>
      <c r="C292" s="23">
        <v>0</v>
      </c>
      <c r="D292" s="23">
        <v>102103.25599999999</v>
      </c>
      <c r="E292" s="23">
        <v>857569.42600000044</v>
      </c>
      <c r="F292" s="22" t="s">
        <v>3</v>
      </c>
      <c r="G292" s="22" t="s">
        <v>3</v>
      </c>
      <c r="H292" s="22" t="s">
        <v>821</v>
      </c>
      <c r="I292" s="22" t="s">
        <v>507</v>
      </c>
      <c r="J292" s="22" t="s">
        <v>492</v>
      </c>
      <c r="K292" s="22" t="s">
        <v>493</v>
      </c>
      <c r="L292" s="22" t="s">
        <v>821</v>
      </c>
      <c r="M292" s="24">
        <v>246779410352</v>
      </c>
      <c r="N292" s="47"/>
    </row>
    <row r="293" spans="1:14" hidden="1" x14ac:dyDescent="0.35">
      <c r="A293" s="50">
        <v>46003</v>
      </c>
      <c r="B293" s="22" t="s">
        <v>489</v>
      </c>
      <c r="C293" s="23">
        <v>0</v>
      </c>
      <c r="D293" s="23">
        <v>13859.78</v>
      </c>
      <c r="E293" s="23">
        <v>843709.64600000042</v>
      </c>
      <c r="F293" s="22" t="s">
        <v>3</v>
      </c>
      <c r="G293" s="22" t="s">
        <v>3</v>
      </c>
      <c r="H293" s="22" t="s">
        <v>822</v>
      </c>
      <c r="I293" s="22" t="s">
        <v>507</v>
      </c>
      <c r="J293" s="22" t="s">
        <v>492</v>
      </c>
      <c r="K293" s="22" t="s">
        <v>493</v>
      </c>
      <c r="L293" s="22" t="s">
        <v>822</v>
      </c>
      <c r="M293" s="24">
        <v>246779410338</v>
      </c>
      <c r="N293" s="47"/>
    </row>
    <row r="294" spans="1:14" hidden="1" x14ac:dyDescent="0.35">
      <c r="A294" s="50">
        <v>46003</v>
      </c>
      <c r="B294" s="22" t="s">
        <v>489</v>
      </c>
      <c r="C294" s="23">
        <v>0</v>
      </c>
      <c r="D294" s="23">
        <v>44681.824999999997</v>
      </c>
      <c r="E294" s="23">
        <v>799027.82100000046</v>
      </c>
      <c r="F294" s="22" t="s">
        <v>3</v>
      </c>
      <c r="G294" s="22" t="s">
        <v>3</v>
      </c>
      <c r="H294" s="22" t="s">
        <v>823</v>
      </c>
      <c r="I294" s="22" t="s">
        <v>507</v>
      </c>
      <c r="J294" s="22" t="s">
        <v>492</v>
      </c>
      <c r="K294" s="22" t="s">
        <v>493</v>
      </c>
      <c r="L294" s="22" t="s">
        <v>823</v>
      </c>
      <c r="M294" s="24">
        <v>246779410339</v>
      </c>
      <c r="N294" s="47"/>
    </row>
    <row r="295" spans="1:14" hidden="1" x14ac:dyDescent="0.35">
      <c r="A295" s="50">
        <v>46003</v>
      </c>
      <c r="B295" s="22" t="s">
        <v>489</v>
      </c>
      <c r="C295" s="23">
        <v>500000</v>
      </c>
      <c r="D295" s="23">
        <v>0</v>
      </c>
      <c r="E295" s="23">
        <v>1299027.821</v>
      </c>
      <c r="F295" s="22" t="s">
        <v>726</v>
      </c>
      <c r="G295" s="22" t="s">
        <v>2</v>
      </c>
      <c r="H295" s="22" t="s">
        <v>824</v>
      </c>
      <c r="I295" s="22" t="s">
        <v>728</v>
      </c>
      <c r="J295" s="22" t="s">
        <v>492</v>
      </c>
      <c r="K295" s="22" t="s">
        <v>493</v>
      </c>
      <c r="L295" s="22"/>
      <c r="M295" s="24"/>
      <c r="N295" s="47"/>
    </row>
    <row r="296" spans="1:14" hidden="1" x14ac:dyDescent="0.35">
      <c r="A296" s="50">
        <v>46003</v>
      </c>
      <c r="B296" s="22" t="s">
        <v>489</v>
      </c>
      <c r="C296" s="23">
        <v>0</v>
      </c>
      <c r="D296" s="23">
        <v>2053.9</v>
      </c>
      <c r="E296" s="23">
        <v>1296973.921000001</v>
      </c>
      <c r="F296" s="22" t="s">
        <v>3</v>
      </c>
      <c r="G296" s="22" t="s">
        <v>3</v>
      </c>
      <c r="H296" s="22" t="s">
        <v>825</v>
      </c>
      <c r="I296" s="22" t="s">
        <v>557</v>
      </c>
      <c r="J296" s="22" t="s">
        <v>492</v>
      </c>
      <c r="K296" s="22" t="s">
        <v>493</v>
      </c>
      <c r="L296" s="22" t="s">
        <v>825</v>
      </c>
      <c r="M296" s="24">
        <v>256779411807</v>
      </c>
      <c r="N296" s="47"/>
    </row>
    <row r="297" spans="1:14" hidden="1" x14ac:dyDescent="0.35">
      <c r="A297" s="50">
        <v>46006</v>
      </c>
      <c r="B297" s="22" t="s">
        <v>489</v>
      </c>
      <c r="C297" s="23">
        <v>0</v>
      </c>
      <c r="D297" s="23">
        <v>6064.0230000000001</v>
      </c>
      <c r="E297" s="23">
        <v>1290909.898000001</v>
      </c>
      <c r="F297" s="22" t="s">
        <v>3</v>
      </c>
      <c r="G297" s="22" t="s">
        <v>3</v>
      </c>
      <c r="H297" s="22" t="s">
        <v>826</v>
      </c>
      <c r="I297" s="22" t="s">
        <v>573</v>
      </c>
      <c r="J297" s="22" t="s">
        <v>492</v>
      </c>
      <c r="K297" s="22" t="s">
        <v>493</v>
      </c>
      <c r="L297" s="22" t="s">
        <v>826</v>
      </c>
      <c r="M297" s="24">
        <v>256779414743</v>
      </c>
      <c r="N297" s="47"/>
    </row>
    <row r="298" spans="1:14" hidden="1" x14ac:dyDescent="0.35">
      <c r="A298" s="50">
        <v>46006</v>
      </c>
      <c r="B298" s="22" t="s">
        <v>489</v>
      </c>
      <c r="C298" s="23">
        <v>0</v>
      </c>
      <c r="D298" s="23">
        <v>1800.3510000000001</v>
      </c>
      <c r="E298" s="23">
        <v>1289109.547</v>
      </c>
      <c r="F298" s="22" t="s">
        <v>3</v>
      </c>
      <c r="G298" s="22" t="s">
        <v>3</v>
      </c>
      <c r="H298" s="22" t="s">
        <v>827</v>
      </c>
      <c r="I298" s="22" t="s">
        <v>828</v>
      </c>
      <c r="J298" s="22" t="s">
        <v>492</v>
      </c>
      <c r="K298" s="22" t="s">
        <v>493</v>
      </c>
      <c r="L298" s="22" t="s">
        <v>827</v>
      </c>
      <c r="M298" s="24">
        <v>256779414748</v>
      </c>
      <c r="N298" s="47"/>
    </row>
    <row r="299" spans="1:14" hidden="1" x14ac:dyDescent="0.35">
      <c r="A299" s="50">
        <v>46006</v>
      </c>
      <c r="B299" s="22" t="s">
        <v>489</v>
      </c>
      <c r="C299" s="23">
        <v>0</v>
      </c>
      <c r="D299" s="23">
        <v>14610.374299999999</v>
      </c>
      <c r="E299" s="23">
        <v>1274499.1727</v>
      </c>
      <c r="F299" s="22" t="s">
        <v>3</v>
      </c>
      <c r="G299" s="22" t="s">
        <v>3</v>
      </c>
      <c r="H299" s="22" t="s">
        <v>829</v>
      </c>
      <c r="I299" s="22" t="s">
        <v>500</v>
      </c>
      <c r="J299" s="22" t="s">
        <v>492</v>
      </c>
      <c r="K299" s="22" t="s">
        <v>493</v>
      </c>
      <c r="L299" s="22" t="s">
        <v>829</v>
      </c>
      <c r="M299" s="24">
        <v>256779414758</v>
      </c>
      <c r="N299" s="47"/>
    </row>
    <row r="300" spans="1:14" hidden="1" x14ac:dyDescent="0.35">
      <c r="A300" s="50">
        <v>46006</v>
      </c>
      <c r="B300" s="22" t="s">
        <v>489</v>
      </c>
      <c r="C300" s="23">
        <v>0</v>
      </c>
      <c r="D300" s="23">
        <v>45061.335200000001</v>
      </c>
      <c r="E300" s="23">
        <v>1229437.8374999999</v>
      </c>
      <c r="F300" s="22" t="s">
        <v>3</v>
      </c>
      <c r="G300" s="22" t="s">
        <v>3</v>
      </c>
      <c r="H300" s="22" t="s">
        <v>830</v>
      </c>
      <c r="I300" s="22" t="s">
        <v>507</v>
      </c>
      <c r="J300" s="22" t="s">
        <v>492</v>
      </c>
      <c r="K300" s="22" t="s">
        <v>493</v>
      </c>
      <c r="L300" s="22" t="s">
        <v>830</v>
      </c>
      <c r="M300" s="24">
        <v>256779414340</v>
      </c>
      <c r="N300" s="47"/>
    </row>
    <row r="301" spans="1:14" hidden="1" x14ac:dyDescent="0.35">
      <c r="A301" s="50">
        <v>46006</v>
      </c>
      <c r="B301" s="22" t="s">
        <v>489</v>
      </c>
      <c r="C301" s="23">
        <v>0</v>
      </c>
      <c r="D301" s="23">
        <v>11782.0918</v>
      </c>
      <c r="E301" s="23">
        <v>1217655.7457000001</v>
      </c>
      <c r="F301" s="22" t="s">
        <v>3</v>
      </c>
      <c r="G301" s="22" t="s">
        <v>3</v>
      </c>
      <c r="H301" s="22" t="s">
        <v>831</v>
      </c>
      <c r="I301" s="22" t="s">
        <v>608</v>
      </c>
      <c r="J301" s="22" t="s">
        <v>492</v>
      </c>
      <c r="K301" s="22" t="s">
        <v>493</v>
      </c>
      <c r="L301" s="22" t="s">
        <v>831</v>
      </c>
      <c r="M301" s="24">
        <v>256779415939</v>
      </c>
      <c r="N301" s="47"/>
    </row>
    <row r="302" spans="1:14" hidden="1" x14ac:dyDescent="0.35">
      <c r="A302" s="50">
        <v>46006</v>
      </c>
      <c r="B302" s="22" t="s">
        <v>489</v>
      </c>
      <c r="C302" s="23">
        <v>0</v>
      </c>
      <c r="D302" s="23">
        <v>2559.3798999999999</v>
      </c>
      <c r="E302" s="23">
        <v>1215096.3658</v>
      </c>
      <c r="F302" s="22" t="s">
        <v>3</v>
      </c>
      <c r="G302" s="22" t="s">
        <v>3</v>
      </c>
      <c r="H302" s="22" t="s">
        <v>832</v>
      </c>
      <c r="I302" s="22" t="s">
        <v>573</v>
      </c>
      <c r="J302" s="22" t="s">
        <v>492</v>
      </c>
      <c r="K302" s="22" t="s">
        <v>493</v>
      </c>
      <c r="L302" s="22" t="s">
        <v>832</v>
      </c>
      <c r="M302" s="24">
        <v>256779415771</v>
      </c>
      <c r="N302" s="47"/>
    </row>
    <row r="303" spans="1:14" hidden="1" x14ac:dyDescent="0.35">
      <c r="A303" s="50">
        <v>46006</v>
      </c>
      <c r="B303" s="22" t="s">
        <v>489</v>
      </c>
      <c r="C303" s="23">
        <v>0</v>
      </c>
      <c r="D303" s="23">
        <v>148540.3572</v>
      </c>
      <c r="E303" s="23">
        <v>1066556.0086000001</v>
      </c>
      <c r="F303" s="22" t="s">
        <v>3</v>
      </c>
      <c r="G303" s="22" t="s">
        <v>3</v>
      </c>
      <c r="H303" s="22" t="s">
        <v>833</v>
      </c>
      <c r="I303" s="22" t="s">
        <v>557</v>
      </c>
      <c r="J303" s="22" t="s">
        <v>492</v>
      </c>
      <c r="K303" s="22" t="s">
        <v>493</v>
      </c>
      <c r="L303" s="22" t="s">
        <v>833</v>
      </c>
      <c r="M303" s="24">
        <v>256779415801</v>
      </c>
      <c r="N303" s="47"/>
    </row>
    <row r="304" spans="1:14" hidden="1" x14ac:dyDescent="0.35">
      <c r="A304" s="50">
        <v>46006</v>
      </c>
      <c r="B304" s="22" t="s">
        <v>489</v>
      </c>
      <c r="C304" s="23">
        <v>0</v>
      </c>
      <c r="D304" s="23">
        <v>13522.7454</v>
      </c>
      <c r="E304" s="23">
        <v>1053033.2631999999</v>
      </c>
      <c r="F304" s="22" t="s">
        <v>3</v>
      </c>
      <c r="G304" s="22" t="s">
        <v>3</v>
      </c>
      <c r="H304" s="22" t="s">
        <v>834</v>
      </c>
      <c r="I304" s="22" t="s">
        <v>704</v>
      </c>
      <c r="J304" s="22" t="s">
        <v>492</v>
      </c>
      <c r="K304" s="22" t="s">
        <v>493</v>
      </c>
      <c r="L304" s="22" t="s">
        <v>834</v>
      </c>
      <c r="M304" s="24">
        <v>256779415456</v>
      </c>
      <c r="N304" s="47"/>
    </row>
    <row r="305" spans="1:14" hidden="1" x14ac:dyDescent="0.35">
      <c r="A305" s="50">
        <v>46006</v>
      </c>
      <c r="B305" s="22" t="s">
        <v>489</v>
      </c>
      <c r="C305" s="23">
        <v>0</v>
      </c>
      <c r="D305" s="23">
        <v>8342.0650000000005</v>
      </c>
      <c r="E305" s="23">
        <v>1044691.1982</v>
      </c>
      <c r="F305" s="22" t="s">
        <v>3</v>
      </c>
      <c r="G305" s="22" t="s">
        <v>3</v>
      </c>
      <c r="H305" s="22" t="s">
        <v>835</v>
      </c>
      <c r="I305" s="22" t="s">
        <v>836</v>
      </c>
      <c r="J305" s="22" t="s">
        <v>492</v>
      </c>
      <c r="K305" s="22" t="s">
        <v>493</v>
      </c>
      <c r="L305" s="22" t="s">
        <v>835</v>
      </c>
      <c r="M305" s="24">
        <v>256779415444</v>
      </c>
      <c r="N305" s="47"/>
    </row>
    <row r="306" spans="1:14" hidden="1" x14ac:dyDescent="0.35">
      <c r="A306" s="50">
        <v>46007</v>
      </c>
      <c r="B306" s="22" t="s">
        <v>489</v>
      </c>
      <c r="C306" s="23">
        <v>0</v>
      </c>
      <c r="D306" s="23">
        <v>2629.9005000000002</v>
      </c>
      <c r="E306" s="23">
        <v>1042061.2977</v>
      </c>
      <c r="F306" s="22" t="s">
        <v>3</v>
      </c>
      <c r="G306" s="22" t="s">
        <v>3</v>
      </c>
      <c r="H306" s="22" t="s">
        <v>837</v>
      </c>
      <c r="I306" s="22" t="s">
        <v>838</v>
      </c>
      <c r="J306" s="22" t="s">
        <v>492</v>
      </c>
      <c r="K306" s="22" t="s">
        <v>493</v>
      </c>
      <c r="L306" s="22" t="s">
        <v>837</v>
      </c>
      <c r="M306" s="24">
        <v>256779414968</v>
      </c>
      <c r="N306" s="47"/>
    </row>
    <row r="307" spans="1:14" hidden="1" x14ac:dyDescent="0.35">
      <c r="A307" s="50">
        <v>46007</v>
      </c>
      <c r="B307" s="22" t="s">
        <v>489</v>
      </c>
      <c r="C307" s="23">
        <v>0</v>
      </c>
      <c r="D307" s="23">
        <v>201.24160000000001</v>
      </c>
      <c r="E307" s="23">
        <v>1041860.056100001</v>
      </c>
      <c r="F307" s="22" t="s">
        <v>3</v>
      </c>
      <c r="G307" s="22" t="s">
        <v>3</v>
      </c>
      <c r="H307" s="22" t="s">
        <v>839</v>
      </c>
      <c r="I307" s="22" t="s">
        <v>573</v>
      </c>
      <c r="J307" s="22" t="s">
        <v>492</v>
      </c>
      <c r="K307" s="22" t="s">
        <v>493</v>
      </c>
      <c r="L307" s="22" t="s">
        <v>839</v>
      </c>
      <c r="M307" s="24">
        <v>256779415263</v>
      </c>
      <c r="N307" s="47"/>
    </row>
    <row r="308" spans="1:14" hidden="1" x14ac:dyDescent="0.35">
      <c r="A308" s="50">
        <v>46007</v>
      </c>
      <c r="B308" s="22" t="s">
        <v>489</v>
      </c>
      <c r="C308" s="23">
        <v>0</v>
      </c>
      <c r="D308" s="23">
        <v>257812.80850000001</v>
      </c>
      <c r="E308" s="23">
        <v>784047.24760000047</v>
      </c>
      <c r="F308" s="22" t="s">
        <v>3</v>
      </c>
      <c r="G308" s="22" t="s">
        <v>3</v>
      </c>
      <c r="H308" s="22" t="s">
        <v>840</v>
      </c>
      <c r="I308" s="22" t="s">
        <v>841</v>
      </c>
      <c r="J308" s="22" t="s">
        <v>492</v>
      </c>
      <c r="K308" s="22" t="s">
        <v>493</v>
      </c>
      <c r="L308" s="22" t="s">
        <v>840</v>
      </c>
      <c r="M308" s="24">
        <v>256779415198</v>
      </c>
      <c r="N308" s="47"/>
    </row>
    <row r="309" spans="1:14" hidden="1" x14ac:dyDescent="0.35">
      <c r="A309" s="50">
        <v>46007</v>
      </c>
      <c r="B309" s="22" t="s">
        <v>489</v>
      </c>
      <c r="C309" s="23">
        <v>0</v>
      </c>
      <c r="D309" s="23">
        <v>552.98429999999996</v>
      </c>
      <c r="E309" s="23">
        <v>783494.26330000046</v>
      </c>
      <c r="F309" s="22" t="s">
        <v>3</v>
      </c>
      <c r="G309" s="22" t="s">
        <v>3</v>
      </c>
      <c r="H309" s="22" t="s">
        <v>842</v>
      </c>
      <c r="I309" s="22" t="s">
        <v>843</v>
      </c>
      <c r="J309" s="22" t="s">
        <v>492</v>
      </c>
      <c r="K309" s="22" t="s">
        <v>493</v>
      </c>
      <c r="L309" s="22" t="s">
        <v>842</v>
      </c>
      <c r="M309" s="24">
        <v>256779415048</v>
      </c>
      <c r="N309" s="47"/>
    </row>
    <row r="310" spans="1:14" hidden="1" x14ac:dyDescent="0.35">
      <c r="A310" s="50">
        <v>46007</v>
      </c>
      <c r="B310" s="22" t="s">
        <v>489</v>
      </c>
      <c r="C310" s="23">
        <v>0</v>
      </c>
      <c r="D310" s="23">
        <v>4562.3355000000001</v>
      </c>
      <c r="E310" s="23">
        <v>778931.92780000041</v>
      </c>
      <c r="F310" s="22" t="s">
        <v>3</v>
      </c>
      <c r="G310" s="22" t="s">
        <v>3</v>
      </c>
      <c r="H310" s="22" t="s">
        <v>844</v>
      </c>
      <c r="I310" s="22" t="s">
        <v>500</v>
      </c>
      <c r="J310" s="22" t="s">
        <v>492</v>
      </c>
      <c r="K310" s="22" t="s">
        <v>493</v>
      </c>
      <c r="L310" s="22" t="s">
        <v>844</v>
      </c>
      <c r="M310" s="24">
        <v>256779414975</v>
      </c>
      <c r="N310" s="47"/>
    </row>
    <row r="311" spans="1:14" hidden="1" x14ac:dyDescent="0.35">
      <c r="A311" s="50">
        <v>46007</v>
      </c>
      <c r="B311" s="22" t="s">
        <v>489</v>
      </c>
      <c r="C311" s="23">
        <v>0</v>
      </c>
      <c r="D311" s="23">
        <v>35324.775199999996</v>
      </c>
      <c r="E311" s="23">
        <v>743607.15260000038</v>
      </c>
      <c r="F311" s="22" t="s">
        <v>3</v>
      </c>
      <c r="G311" s="22" t="s">
        <v>3</v>
      </c>
      <c r="H311" s="22" t="s">
        <v>845</v>
      </c>
      <c r="I311" s="22" t="s">
        <v>783</v>
      </c>
      <c r="J311" s="22" t="s">
        <v>492</v>
      </c>
      <c r="K311" s="22" t="s">
        <v>493</v>
      </c>
      <c r="L311" s="22" t="s">
        <v>845</v>
      </c>
      <c r="M311" s="24">
        <v>256779414944</v>
      </c>
      <c r="N311" s="47"/>
    </row>
    <row r="312" spans="1:14" hidden="1" x14ac:dyDescent="0.35">
      <c r="A312" s="50">
        <v>46007</v>
      </c>
      <c r="B312" s="22" t="s">
        <v>489</v>
      </c>
      <c r="C312" s="23">
        <v>0</v>
      </c>
      <c r="D312" s="23">
        <v>91401.512100000007</v>
      </c>
      <c r="E312" s="23">
        <v>652205.64050000033</v>
      </c>
      <c r="F312" s="22" t="s">
        <v>3</v>
      </c>
      <c r="G312" s="22" t="s">
        <v>3</v>
      </c>
      <c r="H312" s="22" t="s">
        <v>846</v>
      </c>
      <c r="I312" s="22" t="s">
        <v>507</v>
      </c>
      <c r="J312" s="22" t="s">
        <v>492</v>
      </c>
      <c r="K312" s="22" t="s">
        <v>493</v>
      </c>
      <c r="L312" s="22" t="s">
        <v>846</v>
      </c>
      <c r="M312" s="24">
        <v>256779414890</v>
      </c>
      <c r="N312" s="47"/>
    </row>
    <row r="313" spans="1:14" hidden="1" x14ac:dyDescent="0.35">
      <c r="A313" s="50">
        <v>46007</v>
      </c>
      <c r="B313" s="22" t="s">
        <v>489</v>
      </c>
      <c r="C313" s="23">
        <v>0</v>
      </c>
      <c r="D313" s="23">
        <v>2642.8006</v>
      </c>
      <c r="E313" s="23">
        <v>649562.83990000037</v>
      </c>
      <c r="F313" s="22" t="s">
        <v>3</v>
      </c>
      <c r="G313" s="22" t="s">
        <v>3</v>
      </c>
      <c r="H313" s="22" t="s">
        <v>847</v>
      </c>
      <c r="I313" s="22" t="s">
        <v>557</v>
      </c>
      <c r="J313" s="22" t="s">
        <v>492</v>
      </c>
      <c r="K313" s="22" t="s">
        <v>493</v>
      </c>
      <c r="L313" s="22" t="s">
        <v>847</v>
      </c>
      <c r="M313" s="24">
        <v>256779414878</v>
      </c>
      <c r="N313" s="47"/>
    </row>
    <row r="314" spans="1:14" hidden="1" x14ac:dyDescent="0.35">
      <c r="A314" s="50">
        <v>46007</v>
      </c>
      <c r="B314" s="22" t="s">
        <v>489</v>
      </c>
      <c r="C314" s="23">
        <v>0</v>
      </c>
      <c r="D314" s="23">
        <v>8595.7669999999998</v>
      </c>
      <c r="E314" s="23">
        <v>640967.07290000038</v>
      </c>
      <c r="F314" s="22" t="s">
        <v>3</v>
      </c>
      <c r="G314" s="22" t="s">
        <v>3</v>
      </c>
      <c r="H314" s="22" t="s">
        <v>848</v>
      </c>
      <c r="I314" s="22" t="s">
        <v>500</v>
      </c>
      <c r="J314" s="22" t="s">
        <v>492</v>
      </c>
      <c r="K314" s="22" t="s">
        <v>493</v>
      </c>
      <c r="L314" s="22" t="s">
        <v>848</v>
      </c>
      <c r="M314" s="24">
        <v>256779414829</v>
      </c>
      <c r="N314" s="47"/>
    </row>
    <row r="315" spans="1:14" hidden="1" x14ac:dyDescent="0.35">
      <c r="A315" s="50">
        <v>46007</v>
      </c>
      <c r="B315" s="22" t="s">
        <v>489</v>
      </c>
      <c r="C315" s="23">
        <v>0</v>
      </c>
      <c r="D315" s="23">
        <v>1492.1116</v>
      </c>
      <c r="E315" s="23">
        <v>639474.96130000043</v>
      </c>
      <c r="F315" s="22" t="s">
        <v>3</v>
      </c>
      <c r="G315" s="22" t="s">
        <v>3</v>
      </c>
      <c r="H315" s="22" t="s">
        <v>849</v>
      </c>
      <c r="I315" s="22" t="s">
        <v>850</v>
      </c>
      <c r="J315" s="22" t="s">
        <v>492</v>
      </c>
      <c r="K315" s="22" t="s">
        <v>493</v>
      </c>
      <c r="L315" s="22" t="s">
        <v>849</v>
      </c>
      <c r="M315" s="24">
        <v>256779414768</v>
      </c>
      <c r="N315" s="47"/>
    </row>
    <row r="316" spans="1:14" hidden="1" x14ac:dyDescent="0.35">
      <c r="A316" s="50">
        <v>46007</v>
      </c>
      <c r="B316" s="22" t="s">
        <v>489</v>
      </c>
      <c r="C316" s="23">
        <v>0</v>
      </c>
      <c r="D316" s="23">
        <v>23117.1535</v>
      </c>
      <c r="E316" s="23">
        <v>616357.80780000042</v>
      </c>
      <c r="F316" s="22" t="s">
        <v>3</v>
      </c>
      <c r="G316" s="22" t="s">
        <v>3</v>
      </c>
      <c r="H316" s="22" t="s">
        <v>851</v>
      </c>
      <c r="I316" s="22" t="s">
        <v>852</v>
      </c>
      <c r="J316" s="22" t="s">
        <v>492</v>
      </c>
      <c r="K316" s="22" t="s">
        <v>493</v>
      </c>
      <c r="L316" s="22" t="s">
        <v>851</v>
      </c>
      <c r="M316" s="24">
        <v>256779416544</v>
      </c>
      <c r="N316" s="47"/>
    </row>
    <row r="317" spans="1:14" hidden="1" x14ac:dyDescent="0.35">
      <c r="A317" s="50">
        <v>46007</v>
      </c>
      <c r="B317" s="22" t="s">
        <v>489</v>
      </c>
      <c r="C317" s="23">
        <v>0</v>
      </c>
      <c r="D317" s="23">
        <v>21929.077600000001</v>
      </c>
      <c r="E317" s="23">
        <v>594428.73020000046</v>
      </c>
      <c r="F317" s="22" t="s">
        <v>3</v>
      </c>
      <c r="G317" s="22" t="s">
        <v>3</v>
      </c>
      <c r="H317" s="22" t="s">
        <v>853</v>
      </c>
      <c r="I317" s="22" t="s">
        <v>852</v>
      </c>
      <c r="J317" s="22" t="s">
        <v>492</v>
      </c>
      <c r="K317" s="22" t="s">
        <v>493</v>
      </c>
      <c r="L317" s="22" t="s">
        <v>853</v>
      </c>
      <c r="M317" s="24">
        <v>256779416546</v>
      </c>
      <c r="N317" s="47"/>
    </row>
    <row r="318" spans="1:14" hidden="1" x14ac:dyDescent="0.35">
      <c r="A318" s="50">
        <v>46007</v>
      </c>
      <c r="B318" s="22" t="s">
        <v>489</v>
      </c>
      <c r="C318" s="23">
        <v>0</v>
      </c>
      <c r="D318" s="23">
        <v>9260.2821000000004</v>
      </c>
      <c r="E318" s="23">
        <v>585168.4481000005</v>
      </c>
      <c r="F318" s="22" t="s">
        <v>3</v>
      </c>
      <c r="G318" s="22" t="s">
        <v>3</v>
      </c>
      <c r="H318" s="22" t="s">
        <v>854</v>
      </c>
      <c r="I318" s="22" t="s">
        <v>573</v>
      </c>
      <c r="J318" s="22" t="s">
        <v>492</v>
      </c>
      <c r="K318" s="22" t="s">
        <v>493</v>
      </c>
      <c r="L318" s="22" t="s">
        <v>854</v>
      </c>
      <c r="M318" s="24">
        <v>256779416444</v>
      </c>
      <c r="N318" s="47"/>
    </row>
    <row r="319" spans="1:14" hidden="1" x14ac:dyDescent="0.35">
      <c r="A319" s="50">
        <v>46007</v>
      </c>
      <c r="B319" s="22" t="s">
        <v>489</v>
      </c>
      <c r="C319" s="23">
        <v>0</v>
      </c>
      <c r="D319" s="23">
        <v>27395.431400000001</v>
      </c>
      <c r="E319" s="23">
        <v>557773.0167000005</v>
      </c>
      <c r="F319" s="22" t="s">
        <v>3</v>
      </c>
      <c r="G319" s="22" t="s">
        <v>3</v>
      </c>
      <c r="H319" s="22" t="s">
        <v>855</v>
      </c>
      <c r="I319" s="22" t="s">
        <v>507</v>
      </c>
      <c r="J319" s="22" t="s">
        <v>492</v>
      </c>
      <c r="K319" s="22" t="s">
        <v>493</v>
      </c>
      <c r="L319" s="22" t="s">
        <v>855</v>
      </c>
      <c r="M319" s="24">
        <v>256779416538</v>
      </c>
      <c r="N319" s="47"/>
    </row>
    <row r="320" spans="1:14" hidden="1" x14ac:dyDescent="0.35">
      <c r="A320" s="50">
        <v>46007</v>
      </c>
      <c r="B320" s="22" t="s">
        <v>489</v>
      </c>
      <c r="C320" s="23">
        <v>0</v>
      </c>
      <c r="D320" s="23">
        <v>35336.871800000001</v>
      </c>
      <c r="E320" s="23">
        <v>522436.14490000048</v>
      </c>
      <c r="F320" s="22" t="s">
        <v>3</v>
      </c>
      <c r="G320" s="22" t="s">
        <v>3</v>
      </c>
      <c r="H320" s="22" t="s">
        <v>856</v>
      </c>
      <c r="I320" s="22" t="s">
        <v>783</v>
      </c>
      <c r="J320" s="22" t="s">
        <v>492</v>
      </c>
      <c r="K320" s="22" t="s">
        <v>493</v>
      </c>
      <c r="L320" s="22" t="s">
        <v>856</v>
      </c>
      <c r="M320" s="24">
        <v>256779416054</v>
      </c>
      <c r="N320" s="47"/>
    </row>
    <row r="321" spans="1:14" hidden="1" x14ac:dyDescent="0.35">
      <c r="A321" s="50">
        <v>46007</v>
      </c>
      <c r="B321" s="22" t="s">
        <v>489</v>
      </c>
      <c r="C321" s="23">
        <v>0</v>
      </c>
      <c r="D321" s="23">
        <v>33482.010999999999</v>
      </c>
      <c r="E321" s="23">
        <v>488954.13390000048</v>
      </c>
      <c r="F321" s="22" t="s">
        <v>3</v>
      </c>
      <c r="G321" s="22" t="s">
        <v>3</v>
      </c>
      <c r="H321" s="22" t="s">
        <v>857</v>
      </c>
      <c r="I321" s="22" t="s">
        <v>783</v>
      </c>
      <c r="J321" s="22" t="s">
        <v>492</v>
      </c>
      <c r="K321" s="22" t="s">
        <v>493</v>
      </c>
      <c r="L321" s="22" t="s">
        <v>857</v>
      </c>
      <c r="M321" s="24">
        <v>256779417373</v>
      </c>
      <c r="N321" s="47"/>
    </row>
    <row r="322" spans="1:14" hidden="1" x14ac:dyDescent="0.35">
      <c r="A322" s="50">
        <v>46007</v>
      </c>
      <c r="B322" s="22" t="s">
        <v>489</v>
      </c>
      <c r="C322" s="23">
        <v>0</v>
      </c>
      <c r="D322" s="23">
        <v>6432.3032999999996</v>
      </c>
      <c r="E322" s="23">
        <v>482521.83060000051</v>
      </c>
      <c r="F322" s="22" t="s">
        <v>3</v>
      </c>
      <c r="G322" s="22" t="s">
        <v>3</v>
      </c>
      <c r="H322" s="22" t="s">
        <v>858</v>
      </c>
      <c r="I322" s="22" t="s">
        <v>561</v>
      </c>
      <c r="J322" s="22" t="s">
        <v>492</v>
      </c>
      <c r="K322" s="22" t="s">
        <v>493</v>
      </c>
      <c r="L322" s="22" t="s">
        <v>858</v>
      </c>
      <c r="M322" s="24">
        <v>256779417566</v>
      </c>
      <c r="N322" s="47"/>
    </row>
    <row r="323" spans="1:14" hidden="1" x14ac:dyDescent="0.35">
      <c r="A323" s="50">
        <v>46007</v>
      </c>
      <c r="B323" s="22" t="s">
        <v>489</v>
      </c>
      <c r="C323" s="23">
        <v>0</v>
      </c>
      <c r="D323" s="23">
        <v>6896.1292000000003</v>
      </c>
      <c r="E323" s="23">
        <v>475625.70140000043</v>
      </c>
      <c r="F323" s="22" t="s">
        <v>3</v>
      </c>
      <c r="G323" s="22" t="s">
        <v>3</v>
      </c>
      <c r="H323" s="22" t="s">
        <v>859</v>
      </c>
      <c r="I323" s="22" t="s">
        <v>561</v>
      </c>
      <c r="J323" s="22" t="s">
        <v>492</v>
      </c>
      <c r="K323" s="22" t="s">
        <v>493</v>
      </c>
      <c r="L323" s="22" t="s">
        <v>859</v>
      </c>
      <c r="M323" s="24">
        <v>256779417582</v>
      </c>
      <c r="N323" s="47"/>
    </row>
    <row r="324" spans="1:14" hidden="1" x14ac:dyDescent="0.35">
      <c r="A324" s="50">
        <v>46007</v>
      </c>
      <c r="B324" s="22" t="s">
        <v>489</v>
      </c>
      <c r="C324" s="23">
        <v>0</v>
      </c>
      <c r="D324" s="23">
        <v>1028.2935</v>
      </c>
      <c r="E324" s="23">
        <v>474597.4079000004</v>
      </c>
      <c r="F324" s="22" t="s">
        <v>3</v>
      </c>
      <c r="G324" s="22" t="s">
        <v>3</v>
      </c>
      <c r="H324" s="22" t="s">
        <v>860</v>
      </c>
      <c r="I324" s="22" t="s">
        <v>500</v>
      </c>
      <c r="J324" s="22" t="s">
        <v>492</v>
      </c>
      <c r="K324" s="22" t="s">
        <v>493</v>
      </c>
      <c r="L324" s="22" t="s">
        <v>860</v>
      </c>
      <c r="M324" s="24">
        <v>256779417594</v>
      </c>
      <c r="N324" s="47"/>
    </row>
    <row r="325" spans="1:14" hidden="1" x14ac:dyDescent="0.35">
      <c r="A325" s="50">
        <v>46007</v>
      </c>
      <c r="B325" s="22" t="s">
        <v>489</v>
      </c>
      <c r="C325" s="23">
        <v>0</v>
      </c>
      <c r="D325" s="23">
        <v>545.21420000000001</v>
      </c>
      <c r="E325" s="23">
        <v>474052.19370000041</v>
      </c>
      <c r="F325" s="22" t="s">
        <v>3</v>
      </c>
      <c r="G325" s="22" t="s">
        <v>3</v>
      </c>
      <c r="H325" s="22" t="s">
        <v>861</v>
      </c>
      <c r="I325" s="22" t="s">
        <v>573</v>
      </c>
      <c r="J325" s="22" t="s">
        <v>492</v>
      </c>
      <c r="K325" s="22" t="s">
        <v>493</v>
      </c>
      <c r="L325" s="22" t="s">
        <v>861</v>
      </c>
      <c r="M325" s="24">
        <v>256779417442</v>
      </c>
      <c r="N325" s="47"/>
    </row>
    <row r="326" spans="1:14" hidden="1" x14ac:dyDescent="0.35">
      <c r="A326" s="50">
        <v>46007</v>
      </c>
      <c r="B326" s="22" t="s">
        <v>489</v>
      </c>
      <c r="C326" s="23">
        <v>0</v>
      </c>
      <c r="D326" s="23">
        <v>26724.251</v>
      </c>
      <c r="E326" s="23">
        <v>447327.94270000042</v>
      </c>
      <c r="F326" s="22" t="s">
        <v>3</v>
      </c>
      <c r="G326" s="22" t="s">
        <v>3</v>
      </c>
      <c r="H326" s="22" t="s">
        <v>862</v>
      </c>
      <c r="I326" s="22" t="s">
        <v>500</v>
      </c>
      <c r="J326" s="22" t="s">
        <v>492</v>
      </c>
      <c r="K326" s="22" t="s">
        <v>493</v>
      </c>
      <c r="L326" s="22" t="s">
        <v>862</v>
      </c>
      <c r="M326" s="24">
        <v>256779417525</v>
      </c>
      <c r="N326" s="47"/>
    </row>
    <row r="327" spans="1:14" hidden="1" x14ac:dyDescent="0.35">
      <c r="A327" s="50">
        <v>46007</v>
      </c>
      <c r="B327" s="22" t="s">
        <v>489</v>
      </c>
      <c r="C327" s="23">
        <v>0</v>
      </c>
      <c r="D327" s="23">
        <v>29303.298299999999</v>
      </c>
      <c r="E327" s="23">
        <v>418024.6444000004</v>
      </c>
      <c r="F327" s="22" t="s">
        <v>3</v>
      </c>
      <c r="G327" s="22" t="s">
        <v>3</v>
      </c>
      <c r="H327" s="22" t="s">
        <v>863</v>
      </c>
      <c r="I327" s="22" t="s">
        <v>852</v>
      </c>
      <c r="J327" s="22" t="s">
        <v>492</v>
      </c>
      <c r="K327" s="22" t="s">
        <v>493</v>
      </c>
      <c r="L327" s="22" t="s">
        <v>863</v>
      </c>
      <c r="M327" s="24">
        <v>256779417410</v>
      </c>
      <c r="N327" s="47"/>
    </row>
    <row r="328" spans="1:14" hidden="1" x14ac:dyDescent="0.35">
      <c r="A328" s="50">
        <v>46008</v>
      </c>
      <c r="B328" s="22" t="s">
        <v>489</v>
      </c>
      <c r="C328" s="23">
        <v>0</v>
      </c>
      <c r="D328" s="23">
        <v>42087.391600000003</v>
      </c>
      <c r="E328" s="23">
        <v>375937.25280000042</v>
      </c>
      <c r="F328" s="22" t="s">
        <v>3</v>
      </c>
      <c r="G328" s="22" t="s">
        <v>3</v>
      </c>
      <c r="H328" s="22" t="s">
        <v>864</v>
      </c>
      <c r="I328" s="22" t="s">
        <v>507</v>
      </c>
      <c r="J328" s="22" t="s">
        <v>492</v>
      </c>
      <c r="K328" s="22" t="s">
        <v>493</v>
      </c>
      <c r="L328" s="22" t="s">
        <v>864</v>
      </c>
      <c r="M328" s="24">
        <v>256779417489</v>
      </c>
      <c r="N328" s="47"/>
    </row>
    <row r="329" spans="1:14" hidden="1" x14ac:dyDescent="0.35">
      <c r="A329" s="50">
        <v>46008</v>
      </c>
      <c r="B329" s="22" t="s">
        <v>489</v>
      </c>
      <c r="C329" s="23">
        <v>0</v>
      </c>
      <c r="D329" s="23">
        <v>36224.358800000002</v>
      </c>
      <c r="E329" s="23">
        <v>339712.89400000038</v>
      </c>
      <c r="F329" s="22" t="s">
        <v>3</v>
      </c>
      <c r="G329" s="22" t="s">
        <v>3</v>
      </c>
      <c r="H329" s="22" t="s">
        <v>865</v>
      </c>
      <c r="I329" s="22" t="s">
        <v>783</v>
      </c>
      <c r="J329" s="22" t="s">
        <v>492</v>
      </c>
      <c r="K329" s="22" t="s">
        <v>493</v>
      </c>
      <c r="L329" s="22" t="s">
        <v>865</v>
      </c>
      <c r="M329" s="24">
        <v>256779418036</v>
      </c>
      <c r="N329" s="47"/>
    </row>
    <row r="330" spans="1:14" hidden="1" x14ac:dyDescent="0.35">
      <c r="A330" s="50">
        <v>46008</v>
      </c>
      <c r="B330" s="22" t="s">
        <v>489</v>
      </c>
      <c r="C330" s="23">
        <v>0</v>
      </c>
      <c r="D330" s="23">
        <v>38482.042500000003</v>
      </c>
      <c r="E330" s="23">
        <v>301230.8515000004</v>
      </c>
      <c r="F330" s="22" t="s">
        <v>3</v>
      </c>
      <c r="G330" s="22" t="s">
        <v>3</v>
      </c>
      <c r="H330" s="22" t="s">
        <v>866</v>
      </c>
      <c r="I330" s="22" t="s">
        <v>561</v>
      </c>
      <c r="J330" s="22" t="s">
        <v>492</v>
      </c>
      <c r="K330" s="22" t="s">
        <v>493</v>
      </c>
      <c r="L330" s="22" t="s">
        <v>866</v>
      </c>
      <c r="M330" s="24">
        <v>256779417939</v>
      </c>
      <c r="N330" s="47"/>
    </row>
    <row r="331" spans="1:14" hidden="1" x14ac:dyDescent="0.35">
      <c r="A331" s="50">
        <v>46008</v>
      </c>
      <c r="B331" s="22" t="s">
        <v>489</v>
      </c>
      <c r="C331" s="23">
        <v>0</v>
      </c>
      <c r="D331" s="23">
        <v>679906.74129999999</v>
      </c>
      <c r="E331" s="23">
        <v>-378675.8897999996</v>
      </c>
      <c r="F331" s="22" t="s">
        <v>3</v>
      </c>
      <c r="G331" s="22" t="s">
        <v>3</v>
      </c>
      <c r="H331" s="22" t="s">
        <v>867</v>
      </c>
      <c r="I331" s="22" t="s">
        <v>841</v>
      </c>
      <c r="J331" s="22" t="s">
        <v>492</v>
      </c>
      <c r="K331" s="22" t="s">
        <v>493</v>
      </c>
      <c r="L331" s="22" t="s">
        <v>867</v>
      </c>
      <c r="M331" s="24">
        <v>256779418010</v>
      </c>
      <c r="N331" s="47"/>
    </row>
    <row r="332" spans="1:14" hidden="1" x14ac:dyDescent="0.35">
      <c r="A332" s="50">
        <v>46008</v>
      </c>
      <c r="B332" s="22" t="s">
        <v>489</v>
      </c>
      <c r="C332" s="23">
        <v>0</v>
      </c>
      <c r="D332" s="23">
        <v>3487.4461000000001</v>
      </c>
      <c r="E332" s="23">
        <v>-382163.3358999996</v>
      </c>
      <c r="F332" s="22" t="s">
        <v>3</v>
      </c>
      <c r="G332" s="22" t="s">
        <v>3</v>
      </c>
      <c r="H332" s="22" t="s">
        <v>868</v>
      </c>
      <c r="I332" s="22" t="s">
        <v>836</v>
      </c>
      <c r="J332" s="22" t="s">
        <v>492</v>
      </c>
      <c r="K332" s="22" t="s">
        <v>493</v>
      </c>
      <c r="L332" s="22" t="s">
        <v>868</v>
      </c>
      <c r="M332" s="24">
        <v>256779416911</v>
      </c>
      <c r="N332" s="47"/>
    </row>
    <row r="333" spans="1:14" hidden="1" x14ac:dyDescent="0.35">
      <c r="A333" s="50">
        <v>46008</v>
      </c>
      <c r="B333" s="22" t="s">
        <v>489</v>
      </c>
      <c r="C333" s="23">
        <v>0</v>
      </c>
      <c r="D333" s="23">
        <v>90131.008499999996</v>
      </c>
      <c r="E333" s="23">
        <v>-472294.34439999959</v>
      </c>
      <c r="F333" s="22" t="s">
        <v>3</v>
      </c>
      <c r="G333" s="22" t="s">
        <v>3</v>
      </c>
      <c r="H333" s="22" t="s">
        <v>869</v>
      </c>
      <c r="I333" s="22" t="s">
        <v>836</v>
      </c>
      <c r="J333" s="22" t="s">
        <v>492</v>
      </c>
      <c r="K333" s="22" t="s">
        <v>493</v>
      </c>
      <c r="L333" s="22" t="s">
        <v>869</v>
      </c>
      <c r="M333" s="24">
        <v>256779417286</v>
      </c>
      <c r="N333" s="47"/>
    </row>
    <row r="334" spans="1:14" hidden="1" x14ac:dyDescent="0.35">
      <c r="A334" s="50">
        <v>46008</v>
      </c>
      <c r="B334" s="22" t="s">
        <v>489</v>
      </c>
      <c r="C334" s="23">
        <v>0</v>
      </c>
      <c r="D334" s="23">
        <v>4231.3179</v>
      </c>
      <c r="E334" s="23">
        <v>-476525.66229999962</v>
      </c>
      <c r="F334" s="22" t="s">
        <v>3</v>
      </c>
      <c r="G334" s="22" t="s">
        <v>3</v>
      </c>
      <c r="H334" s="22" t="s">
        <v>870</v>
      </c>
      <c r="I334" s="22" t="s">
        <v>500</v>
      </c>
      <c r="J334" s="22" t="s">
        <v>492</v>
      </c>
      <c r="K334" s="22" t="s">
        <v>493</v>
      </c>
      <c r="L334" s="22" t="s">
        <v>870</v>
      </c>
      <c r="M334" s="24">
        <v>256779417324</v>
      </c>
      <c r="N334" s="47"/>
    </row>
    <row r="335" spans="1:14" hidden="1" x14ac:dyDescent="0.35">
      <c r="A335" s="50">
        <v>46008</v>
      </c>
      <c r="B335" s="22" t="s">
        <v>489</v>
      </c>
      <c r="C335" s="23">
        <v>0</v>
      </c>
      <c r="D335" s="23">
        <v>1233.9521</v>
      </c>
      <c r="E335" s="23">
        <v>-477759.61439999961</v>
      </c>
      <c r="F335" s="22" t="s">
        <v>3</v>
      </c>
      <c r="G335" s="22" t="s">
        <v>3</v>
      </c>
      <c r="H335" s="22" t="s">
        <v>871</v>
      </c>
      <c r="I335" s="22" t="s">
        <v>500</v>
      </c>
      <c r="J335" s="22" t="s">
        <v>492</v>
      </c>
      <c r="K335" s="22" t="s">
        <v>493</v>
      </c>
      <c r="L335" s="22" t="s">
        <v>871</v>
      </c>
      <c r="M335" s="24">
        <v>256779416948</v>
      </c>
      <c r="N335" s="47"/>
    </row>
    <row r="336" spans="1:14" hidden="1" x14ac:dyDescent="0.35">
      <c r="A336" s="50">
        <v>46008</v>
      </c>
      <c r="B336" s="22" t="s">
        <v>489</v>
      </c>
      <c r="C336" s="23">
        <v>0</v>
      </c>
      <c r="D336" s="23">
        <v>1992.7012</v>
      </c>
      <c r="E336" s="23">
        <v>-479752.31559999962</v>
      </c>
      <c r="F336" s="22" t="s">
        <v>3</v>
      </c>
      <c r="G336" s="22" t="s">
        <v>3</v>
      </c>
      <c r="H336" s="22" t="s">
        <v>872</v>
      </c>
      <c r="I336" s="22" t="s">
        <v>843</v>
      </c>
      <c r="J336" s="22" t="s">
        <v>492</v>
      </c>
      <c r="K336" s="22" t="s">
        <v>493</v>
      </c>
      <c r="L336" s="22" t="s">
        <v>872</v>
      </c>
      <c r="M336" s="24">
        <v>256779417261</v>
      </c>
      <c r="N336" s="47"/>
    </row>
    <row r="337" spans="1:14" x14ac:dyDescent="0.35">
      <c r="A337" s="50">
        <v>45812</v>
      </c>
      <c r="B337" s="22" t="s">
        <v>489</v>
      </c>
      <c r="C337" s="23">
        <v>0</v>
      </c>
      <c r="D337" s="23">
        <v>17313</v>
      </c>
      <c r="E337" s="23">
        <v>-4550633.5999999996</v>
      </c>
      <c r="F337" s="22" t="s">
        <v>3</v>
      </c>
      <c r="G337" s="22" t="s">
        <v>3</v>
      </c>
      <c r="H337" s="22" t="s">
        <v>733</v>
      </c>
      <c r="I337" s="22" t="s">
        <v>697</v>
      </c>
      <c r="J337" s="22" t="s">
        <v>492</v>
      </c>
      <c r="K337" s="22" t="s">
        <v>493</v>
      </c>
      <c r="L337" s="22" t="s">
        <v>733</v>
      </c>
      <c r="M337" s="24">
        <v>256779414288</v>
      </c>
      <c r="N337" s="47"/>
    </row>
    <row r="338" spans="1:14" hidden="1" x14ac:dyDescent="0.35">
      <c r="A338" s="50">
        <v>46008</v>
      </c>
      <c r="B338" s="22" t="s">
        <v>489</v>
      </c>
      <c r="C338" s="23">
        <v>0</v>
      </c>
      <c r="D338" s="23">
        <v>1247.0791999999999</v>
      </c>
      <c r="E338" s="23">
        <v>-1176663.0560000001</v>
      </c>
      <c r="F338" s="22" t="s">
        <v>3</v>
      </c>
      <c r="G338" s="22" t="s">
        <v>3</v>
      </c>
      <c r="H338" s="22" t="s">
        <v>874</v>
      </c>
      <c r="I338" s="22" t="s">
        <v>573</v>
      </c>
      <c r="J338" s="22" t="s">
        <v>492</v>
      </c>
      <c r="K338" s="22" t="s">
        <v>493</v>
      </c>
      <c r="L338" s="22" t="s">
        <v>874</v>
      </c>
      <c r="M338" s="24">
        <v>256779417160</v>
      </c>
      <c r="N338" s="47"/>
    </row>
    <row r="339" spans="1:14" hidden="1" x14ac:dyDescent="0.35">
      <c r="A339" s="50">
        <v>46008</v>
      </c>
      <c r="B339" s="22" t="s">
        <v>489</v>
      </c>
      <c r="C339" s="23">
        <v>0</v>
      </c>
      <c r="D339" s="23">
        <v>59881.6803</v>
      </c>
      <c r="E339" s="23">
        <v>-1236544.7363</v>
      </c>
      <c r="F339" s="22" t="s">
        <v>3</v>
      </c>
      <c r="G339" s="22" t="s">
        <v>3</v>
      </c>
      <c r="H339" s="22" t="s">
        <v>875</v>
      </c>
      <c r="I339" s="22" t="s">
        <v>876</v>
      </c>
      <c r="J339" s="22" t="s">
        <v>492</v>
      </c>
      <c r="K339" s="22" t="s">
        <v>493</v>
      </c>
      <c r="L339" s="22" t="s">
        <v>875</v>
      </c>
      <c r="M339" s="24">
        <v>256779417166</v>
      </c>
      <c r="N339" s="47"/>
    </row>
    <row r="340" spans="1:14" hidden="1" x14ac:dyDescent="0.35">
      <c r="A340" s="50">
        <v>46008</v>
      </c>
      <c r="B340" s="22" t="s">
        <v>489</v>
      </c>
      <c r="C340" s="23">
        <v>0</v>
      </c>
      <c r="D340" s="23">
        <v>58594.344499999999</v>
      </c>
      <c r="E340" s="23">
        <v>-1295139.0807999989</v>
      </c>
      <c r="F340" s="22" t="s">
        <v>3</v>
      </c>
      <c r="G340" s="22" t="s">
        <v>3</v>
      </c>
      <c r="H340" s="22" t="s">
        <v>877</v>
      </c>
      <c r="I340" s="22" t="s">
        <v>507</v>
      </c>
      <c r="J340" s="22" t="s">
        <v>492</v>
      </c>
      <c r="K340" s="22" t="s">
        <v>493</v>
      </c>
      <c r="L340" s="22" t="s">
        <v>877</v>
      </c>
      <c r="M340" s="24">
        <v>256779417173</v>
      </c>
      <c r="N340" s="47"/>
    </row>
    <row r="341" spans="1:14" hidden="1" x14ac:dyDescent="0.35">
      <c r="A341" s="50">
        <v>46008</v>
      </c>
      <c r="B341" s="22" t="s">
        <v>489</v>
      </c>
      <c r="C341" s="23">
        <v>0</v>
      </c>
      <c r="D341" s="23">
        <v>991.79819999999995</v>
      </c>
      <c r="E341" s="23">
        <v>-1296130.878999999</v>
      </c>
      <c r="F341" s="22" t="s">
        <v>3</v>
      </c>
      <c r="G341" s="22" t="s">
        <v>3</v>
      </c>
      <c r="H341" s="22" t="s">
        <v>878</v>
      </c>
      <c r="I341" s="22" t="s">
        <v>843</v>
      </c>
      <c r="J341" s="22" t="s">
        <v>492</v>
      </c>
      <c r="K341" s="22" t="s">
        <v>493</v>
      </c>
      <c r="L341" s="22" t="s">
        <v>878</v>
      </c>
      <c r="M341" s="24">
        <v>256779419248</v>
      </c>
      <c r="N341" s="47"/>
    </row>
    <row r="342" spans="1:14" hidden="1" x14ac:dyDescent="0.35">
      <c r="A342" s="50">
        <v>46008</v>
      </c>
      <c r="B342" s="22" t="s">
        <v>489</v>
      </c>
      <c r="C342" s="23">
        <v>0</v>
      </c>
      <c r="D342" s="23">
        <v>2793.2276000000002</v>
      </c>
      <c r="E342" s="23">
        <v>-1298924.1066000001</v>
      </c>
      <c r="F342" s="22" t="s">
        <v>3</v>
      </c>
      <c r="G342" s="22" t="s">
        <v>3</v>
      </c>
      <c r="H342" s="22" t="s">
        <v>879</v>
      </c>
      <c r="I342" s="22" t="s">
        <v>573</v>
      </c>
      <c r="J342" s="22" t="s">
        <v>492</v>
      </c>
      <c r="K342" s="22" t="s">
        <v>493</v>
      </c>
      <c r="L342" s="22" t="s">
        <v>879</v>
      </c>
      <c r="M342" s="24">
        <v>256779418819</v>
      </c>
      <c r="N342" s="47"/>
    </row>
    <row r="343" spans="1:14" hidden="1" x14ac:dyDescent="0.35">
      <c r="A343" s="50">
        <v>46008</v>
      </c>
      <c r="B343" s="22" t="s">
        <v>489</v>
      </c>
      <c r="C343" s="23">
        <v>0</v>
      </c>
      <c r="D343" s="23">
        <v>529469.75580000004</v>
      </c>
      <c r="E343" s="23">
        <v>-1828393.8624</v>
      </c>
      <c r="F343" s="22" t="s">
        <v>3</v>
      </c>
      <c r="G343" s="22" t="s">
        <v>3</v>
      </c>
      <c r="H343" s="22" t="s">
        <v>880</v>
      </c>
      <c r="I343" s="22" t="s">
        <v>841</v>
      </c>
      <c r="J343" s="22" t="s">
        <v>492</v>
      </c>
      <c r="K343" s="22" t="s">
        <v>493</v>
      </c>
      <c r="L343" s="22" t="s">
        <v>880</v>
      </c>
      <c r="M343" s="24">
        <v>256779418869</v>
      </c>
      <c r="N343" s="47"/>
    </row>
    <row r="344" spans="1:14" hidden="1" x14ac:dyDescent="0.35">
      <c r="A344" s="50">
        <v>46008</v>
      </c>
      <c r="B344" s="22" t="s">
        <v>489</v>
      </c>
      <c r="C344" s="23">
        <v>0</v>
      </c>
      <c r="D344" s="23">
        <v>9367.9609</v>
      </c>
      <c r="E344" s="23">
        <v>-1837761.8233</v>
      </c>
      <c r="F344" s="22" t="s">
        <v>3</v>
      </c>
      <c r="G344" s="22" t="s">
        <v>3</v>
      </c>
      <c r="H344" s="22" t="s">
        <v>881</v>
      </c>
      <c r="I344" s="22" t="s">
        <v>561</v>
      </c>
      <c r="J344" s="22" t="s">
        <v>492</v>
      </c>
      <c r="K344" s="22" t="s">
        <v>493</v>
      </c>
      <c r="L344" s="22" t="s">
        <v>881</v>
      </c>
      <c r="M344" s="24">
        <v>256779418897</v>
      </c>
      <c r="N344" s="47"/>
    </row>
    <row r="345" spans="1:14" hidden="1" x14ac:dyDescent="0.35">
      <c r="A345" s="50">
        <v>46008</v>
      </c>
      <c r="B345" s="22" t="s">
        <v>489</v>
      </c>
      <c r="C345" s="23">
        <v>0</v>
      </c>
      <c r="D345" s="23">
        <v>3014.1161000000002</v>
      </c>
      <c r="E345" s="23">
        <v>-1840775.9394</v>
      </c>
      <c r="F345" s="22" t="s">
        <v>3</v>
      </c>
      <c r="G345" s="22" t="s">
        <v>3</v>
      </c>
      <c r="H345" s="22" t="s">
        <v>882</v>
      </c>
      <c r="I345" s="22" t="s">
        <v>500</v>
      </c>
      <c r="J345" s="22" t="s">
        <v>492</v>
      </c>
      <c r="K345" s="22" t="s">
        <v>493</v>
      </c>
      <c r="L345" s="22" t="s">
        <v>882</v>
      </c>
      <c r="M345" s="24">
        <v>256779418906</v>
      </c>
      <c r="N345" s="47"/>
    </row>
    <row r="346" spans="1:14" hidden="1" x14ac:dyDescent="0.35">
      <c r="A346" s="50">
        <v>46008</v>
      </c>
      <c r="B346" s="22" t="s">
        <v>489</v>
      </c>
      <c r="C346" s="23">
        <v>0</v>
      </c>
      <c r="D346" s="23">
        <v>63274.437400000003</v>
      </c>
      <c r="E346" s="23">
        <v>-1904050.3768</v>
      </c>
      <c r="F346" s="22" t="s">
        <v>3</v>
      </c>
      <c r="G346" s="22" t="s">
        <v>3</v>
      </c>
      <c r="H346" s="22" t="s">
        <v>883</v>
      </c>
      <c r="I346" s="22" t="s">
        <v>507</v>
      </c>
      <c r="J346" s="22" t="s">
        <v>492</v>
      </c>
      <c r="K346" s="22" t="s">
        <v>493</v>
      </c>
      <c r="L346" s="22" t="s">
        <v>883</v>
      </c>
      <c r="M346" s="24">
        <v>256779419076</v>
      </c>
      <c r="N346" s="47"/>
    </row>
    <row r="347" spans="1:14" hidden="1" x14ac:dyDescent="0.35">
      <c r="A347" s="50">
        <v>46008</v>
      </c>
      <c r="B347" s="22" t="s">
        <v>489</v>
      </c>
      <c r="C347" s="23">
        <v>0</v>
      </c>
      <c r="D347" s="23">
        <v>26716.949199999999</v>
      </c>
      <c r="E347" s="23">
        <v>-1930767.325999999</v>
      </c>
      <c r="F347" s="22" t="s">
        <v>3</v>
      </c>
      <c r="G347" s="22" t="s">
        <v>3</v>
      </c>
      <c r="H347" s="22" t="s">
        <v>884</v>
      </c>
      <c r="I347" s="22" t="s">
        <v>852</v>
      </c>
      <c r="J347" s="22" t="s">
        <v>492</v>
      </c>
      <c r="K347" s="22" t="s">
        <v>493</v>
      </c>
      <c r="L347" s="22" t="s">
        <v>884</v>
      </c>
      <c r="M347" s="24">
        <v>256779419069</v>
      </c>
      <c r="N347" s="47"/>
    </row>
    <row r="348" spans="1:14" hidden="1" x14ac:dyDescent="0.35">
      <c r="A348" s="50">
        <v>46008</v>
      </c>
      <c r="B348" s="22" t="s">
        <v>489</v>
      </c>
      <c r="C348" s="23">
        <v>0</v>
      </c>
      <c r="D348" s="23">
        <v>5909.4276</v>
      </c>
      <c r="E348" s="23">
        <v>-1936676.753599999</v>
      </c>
      <c r="F348" s="22" t="s">
        <v>3</v>
      </c>
      <c r="G348" s="22" t="s">
        <v>3</v>
      </c>
      <c r="H348" s="22" t="s">
        <v>885</v>
      </c>
      <c r="I348" s="22" t="s">
        <v>500</v>
      </c>
      <c r="J348" s="22" t="s">
        <v>492</v>
      </c>
      <c r="K348" s="22" t="s">
        <v>493</v>
      </c>
      <c r="L348" s="22" t="s">
        <v>885</v>
      </c>
      <c r="M348" s="24">
        <v>256779419172</v>
      </c>
      <c r="N348" s="47"/>
    </row>
    <row r="349" spans="1:14" hidden="1" x14ac:dyDescent="0.35">
      <c r="A349" s="50">
        <v>46008</v>
      </c>
      <c r="B349" s="22" t="s">
        <v>489</v>
      </c>
      <c r="C349" s="23">
        <v>0</v>
      </c>
      <c r="D349" s="23">
        <v>39821.534</v>
      </c>
      <c r="E349" s="23">
        <v>-1976498.287599999</v>
      </c>
      <c r="F349" s="22" t="s">
        <v>3</v>
      </c>
      <c r="G349" s="22" t="s">
        <v>3</v>
      </c>
      <c r="H349" s="22" t="s">
        <v>886</v>
      </c>
      <c r="I349" s="22" t="s">
        <v>507</v>
      </c>
      <c r="J349" s="22" t="s">
        <v>492</v>
      </c>
      <c r="K349" s="22" t="s">
        <v>493</v>
      </c>
      <c r="L349" s="22" t="s">
        <v>886</v>
      </c>
      <c r="M349" s="24">
        <v>256779419556</v>
      </c>
      <c r="N349" s="47"/>
    </row>
    <row r="350" spans="1:14" hidden="1" x14ac:dyDescent="0.35">
      <c r="A350" s="50">
        <v>46008</v>
      </c>
      <c r="B350" s="22" t="s">
        <v>489</v>
      </c>
      <c r="C350" s="23">
        <v>0</v>
      </c>
      <c r="D350" s="23">
        <v>29234.726200000001</v>
      </c>
      <c r="E350" s="23">
        <v>-2005733.0137999989</v>
      </c>
      <c r="F350" s="22" t="s">
        <v>3</v>
      </c>
      <c r="G350" s="22" t="s">
        <v>3</v>
      </c>
      <c r="H350" s="22" t="s">
        <v>887</v>
      </c>
      <c r="I350" s="22" t="s">
        <v>836</v>
      </c>
      <c r="J350" s="22" t="s">
        <v>492</v>
      </c>
      <c r="K350" s="22" t="s">
        <v>493</v>
      </c>
      <c r="L350" s="22" t="s">
        <v>887</v>
      </c>
      <c r="M350" s="24">
        <v>256779419588</v>
      </c>
      <c r="N350" s="47"/>
    </row>
    <row r="351" spans="1:14" hidden="1" x14ac:dyDescent="0.35">
      <c r="A351" s="50">
        <v>46008</v>
      </c>
      <c r="B351" s="22" t="s">
        <v>489</v>
      </c>
      <c r="C351" s="23">
        <v>0</v>
      </c>
      <c r="D351" s="23">
        <v>897.63459999999998</v>
      </c>
      <c r="E351" s="23">
        <v>-2006630.6483999989</v>
      </c>
      <c r="F351" s="22" t="s">
        <v>3</v>
      </c>
      <c r="G351" s="22" t="s">
        <v>3</v>
      </c>
      <c r="H351" s="22" t="s">
        <v>888</v>
      </c>
      <c r="I351" s="22" t="s">
        <v>787</v>
      </c>
      <c r="J351" s="22" t="s">
        <v>492</v>
      </c>
      <c r="K351" s="22" t="s">
        <v>493</v>
      </c>
      <c r="L351" s="22" t="s">
        <v>888</v>
      </c>
      <c r="M351" s="24">
        <v>256779419628</v>
      </c>
      <c r="N351" s="47"/>
    </row>
    <row r="352" spans="1:14" hidden="1" x14ac:dyDescent="0.35">
      <c r="A352" s="50">
        <v>46009</v>
      </c>
      <c r="B352" s="22" t="s">
        <v>489</v>
      </c>
      <c r="C352" s="23">
        <v>0</v>
      </c>
      <c r="D352" s="23">
        <v>20693.117099999999</v>
      </c>
      <c r="E352" s="23">
        <v>-2027323.765499999</v>
      </c>
      <c r="F352" s="22" t="s">
        <v>3</v>
      </c>
      <c r="G352" s="22" t="s">
        <v>3</v>
      </c>
      <c r="H352" s="22" t="s">
        <v>889</v>
      </c>
      <c r="I352" s="22" t="s">
        <v>573</v>
      </c>
      <c r="J352" s="22" t="s">
        <v>492</v>
      </c>
      <c r="K352" s="22" t="s">
        <v>493</v>
      </c>
      <c r="L352" s="22" t="s">
        <v>889</v>
      </c>
      <c r="M352" s="24">
        <v>256779419465</v>
      </c>
      <c r="N352" s="47"/>
    </row>
    <row r="353" spans="1:14" hidden="1" x14ac:dyDescent="0.35">
      <c r="A353" s="50">
        <v>46009</v>
      </c>
      <c r="B353" s="22" t="s">
        <v>489</v>
      </c>
      <c r="C353" s="23">
        <v>0</v>
      </c>
      <c r="D353" s="23">
        <v>14016.2999</v>
      </c>
      <c r="E353" s="23">
        <v>-2041340.065399999</v>
      </c>
      <c r="F353" s="22" t="s">
        <v>3</v>
      </c>
      <c r="G353" s="22" t="s">
        <v>3</v>
      </c>
      <c r="H353" s="22" t="s">
        <v>890</v>
      </c>
      <c r="I353" s="22" t="s">
        <v>828</v>
      </c>
      <c r="J353" s="22" t="s">
        <v>492</v>
      </c>
      <c r="K353" s="22" t="s">
        <v>493</v>
      </c>
      <c r="L353" s="22" t="s">
        <v>890</v>
      </c>
      <c r="M353" s="24">
        <v>256779419476</v>
      </c>
      <c r="N353" s="47"/>
    </row>
    <row r="354" spans="1:14" hidden="1" x14ac:dyDescent="0.35">
      <c r="A354" s="50">
        <v>46009</v>
      </c>
      <c r="B354" s="22" t="s">
        <v>489</v>
      </c>
      <c r="C354" s="23">
        <v>0</v>
      </c>
      <c r="D354" s="23">
        <v>7761.8990000000003</v>
      </c>
      <c r="E354" s="23">
        <v>-2049101.964399999</v>
      </c>
      <c r="F354" s="22" t="s">
        <v>3</v>
      </c>
      <c r="G354" s="22" t="s">
        <v>3</v>
      </c>
      <c r="H354" s="22" t="s">
        <v>891</v>
      </c>
      <c r="I354" s="22" t="s">
        <v>836</v>
      </c>
      <c r="J354" s="22" t="s">
        <v>492</v>
      </c>
      <c r="K354" s="22" t="s">
        <v>493</v>
      </c>
      <c r="L354" s="22" t="s">
        <v>891</v>
      </c>
      <c r="M354" s="24">
        <v>256779419534</v>
      </c>
      <c r="N354" s="47"/>
    </row>
    <row r="355" spans="1:14" hidden="1" x14ac:dyDescent="0.35">
      <c r="A355" s="50">
        <v>46009</v>
      </c>
      <c r="B355" s="22" t="s">
        <v>489</v>
      </c>
      <c r="C355" s="23">
        <v>0</v>
      </c>
      <c r="D355" s="23">
        <v>9417.2428</v>
      </c>
      <c r="E355" s="23">
        <v>-2058519.2071999989</v>
      </c>
      <c r="F355" s="22" t="s">
        <v>3</v>
      </c>
      <c r="G355" s="22" t="s">
        <v>3</v>
      </c>
      <c r="H355" s="22" t="s">
        <v>892</v>
      </c>
      <c r="I355" s="22" t="s">
        <v>704</v>
      </c>
      <c r="J355" s="22" t="s">
        <v>492</v>
      </c>
      <c r="K355" s="22" t="s">
        <v>493</v>
      </c>
      <c r="L355" s="22" t="s">
        <v>892</v>
      </c>
      <c r="M355" s="24">
        <v>256779419547</v>
      </c>
      <c r="N355" s="47"/>
    </row>
    <row r="356" spans="1:14" hidden="1" x14ac:dyDescent="0.35">
      <c r="A356" s="50">
        <v>46009</v>
      </c>
      <c r="B356" s="22" t="s">
        <v>489</v>
      </c>
      <c r="C356" s="23">
        <v>0</v>
      </c>
      <c r="D356" s="23">
        <v>27787.070400000001</v>
      </c>
      <c r="E356" s="23">
        <v>-2086306.277599999</v>
      </c>
      <c r="F356" s="22" t="s">
        <v>3</v>
      </c>
      <c r="G356" s="22" t="s">
        <v>3</v>
      </c>
      <c r="H356" s="22" t="s">
        <v>893</v>
      </c>
      <c r="I356" s="22" t="s">
        <v>876</v>
      </c>
      <c r="J356" s="22" t="s">
        <v>492</v>
      </c>
      <c r="K356" s="22" t="s">
        <v>493</v>
      </c>
      <c r="L356" s="22" t="s">
        <v>893</v>
      </c>
      <c r="M356" s="24">
        <v>256779419364</v>
      </c>
      <c r="N356" s="47"/>
    </row>
    <row r="357" spans="1:14" hidden="1" x14ac:dyDescent="0.35">
      <c r="A357" s="50">
        <v>46009</v>
      </c>
      <c r="B357" s="22" t="s">
        <v>489</v>
      </c>
      <c r="C357" s="23">
        <v>0</v>
      </c>
      <c r="D357" s="23">
        <v>11723.0177</v>
      </c>
      <c r="E357" s="23">
        <v>-2098029.295299999</v>
      </c>
      <c r="F357" s="22" t="s">
        <v>3</v>
      </c>
      <c r="G357" s="22" t="s">
        <v>3</v>
      </c>
      <c r="H357" s="22" t="s">
        <v>894</v>
      </c>
      <c r="I357" s="22" t="s">
        <v>507</v>
      </c>
      <c r="J357" s="22" t="s">
        <v>492</v>
      </c>
      <c r="K357" s="22" t="s">
        <v>493</v>
      </c>
      <c r="L357" s="22" t="s">
        <v>894</v>
      </c>
      <c r="M357" s="24">
        <v>256779413184</v>
      </c>
      <c r="N357" s="47"/>
    </row>
    <row r="358" spans="1:14" hidden="1" x14ac:dyDescent="0.35">
      <c r="A358" s="50">
        <v>46010</v>
      </c>
      <c r="B358" s="22" t="s">
        <v>489</v>
      </c>
      <c r="C358" s="23">
        <v>0</v>
      </c>
      <c r="D358" s="23">
        <v>61159.633500000004</v>
      </c>
      <c r="E358" s="23">
        <v>-2159188.9287999989</v>
      </c>
      <c r="F358" s="22" t="s">
        <v>3</v>
      </c>
      <c r="G358" s="22" t="s">
        <v>3</v>
      </c>
      <c r="H358" s="22" t="s">
        <v>895</v>
      </c>
      <c r="I358" s="22" t="s">
        <v>836</v>
      </c>
      <c r="J358" s="22" t="s">
        <v>492</v>
      </c>
      <c r="K358" s="22" t="s">
        <v>493</v>
      </c>
      <c r="L358" s="22" t="s">
        <v>895</v>
      </c>
      <c r="M358" s="24">
        <v>256779419867</v>
      </c>
      <c r="N358" s="47"/>
    </row>
    <row r="359" spans="1:14" hidden="1" x14ac:dyDescent="0.35">
      <c r="A359" s="50">
        <v>46010</v>
      </c>
      <c r="B359" s="22" t="s">
        <v>489</v>
      </c>
      <c r="C359" s="23">
        <v>0</v>
      </c>
      <c r="D359" s="23">
        <v>11115.014499999999</v>
      </c>
      <c r="E359" s="23">
        <v>-2170303.943299999</v>
      </c>
      <c r="F359" s="22" t="s">
        <v>3</v>
      </c>
      <c r="G359" s="22" t="s">
        <v>3</v>
      </c>
      <c r="H359" s="22" t="s">
        <v>896</v>
      </c>
      <c r="I359" s="22" t="s">
        <v>500</v>
      </c>
      <c r="J359" s="22" t="s">
        <v>492</v>
      </c>
      <c r="K359" s="22" t="s">
        <v>493</v>
      </c>
      <c r="L359" s="22" t="s">
        <v>896</v>
      </c>
      <c r="M359" s="24">
        <v>256779419916</v>
      </c>
      <c r="N359" s="47"/>
    </row>
    <row r="360" spans="1:14" hidden="1" x14ac:dyDescent="0.35">
      <c r="A360" s="50">
        <v>46010</v>
      </c>
      <c r="B360" s="22" t="s">
        <v>489</v>
      </c>
      <c r="C360" s="23">
        <v>0</v>
      </c>
      <c r="D360" s="23">
        <v>10489.678599999999</v>
      </c>
      <c r="E360" s="23">
        <v>-2180793.6219000001</v>
      </c>
      <c r="F360" s="22" t="s">
        <v>3</v>
      </c>
      <c r="G360" s="22" t="s">
        <v>3</v>
      </c>
      <c r="H360" s="22" t="s">
        <v>897</v>
      </c>
      <c r="I360" s="22" t="s">
        <v>852</v>
      </c>
      <c r="J360" s="22" t="s">
        <v>492</v>
      </c>
      <c r="K360" s="22" t="s">
        <v>493</v>
      </c>
      <c r="L360" s="22" t="s">
        <v>897</v>
      </c>
      <c r="M360" s="24">
        <v>256779419933</v>
      </c>
      <c r="N360" s="47"/>
    </row>
    <row r="361" spans="1:14" hidden="1" x14ac:dyDescent="0.35">
      <c r="A361" s="50">
        <v>46010</v>
      </c>
      <c r="B361" s="22" t="s">
        <v>489</v>
      </c>
      <c r="C361" s="23">
        <v>0</v>
      </c>
      <c r="D361" s="23">
        <v>28407.106800000001</v>
      </c>
      <c r="E361" s="23">
        <v>-2209200.7286999999</v>
      </c>
      <c r="F361" s="22" t="s">
        <v>3</v>
      </c>
      <c r="G361" s="22" t="s">
        <v>3</v>
      </c>
      <c r="H361" s="22" t="s">
        <v>898</v>
      </c>
      <c r="I361" s="22" t="s">
        <v>507</v>
      </c>
      <c r="J361" s="22" t="s">
        <v>492</v>
      </c>
      <c r="K361" s="22" t="s">
        <v>493</v>
      </c>
      <c r="L361" s="22" t="s">
        <v>898</v>
      </c>
      <c r="M361" s="24">
        <v>256779419795</v>
      </c>
      <c r="N361" s="47"/>
    </row>
    <row r="362" spans="1:14" hidden="1" x14ac:dyDescent="0.35">
      <c r="A362" s="50">
        <v>46020</v>
      </c>
      <c r="B362" s="22" t="s">
        <v>489</v>
      </c>
      <c r="C362" s="23">
        <v>4048</v>
      </c>
      <c r="D362" s="23">
        <v>40195.392399999997</v>
      </c>
      <c r="E362" s="23">
        <v>-2245348.1211000001</v>
      </c>
      <c r="F362" s="22" t="s">
        <v>3</v>
      </c>
      <c r="G362" s="22" t="s">
        <v>3</v>
      </c>
      <c r="H362" s="22" t="s">
        <v>899</v>
      </c>
      <c r="I362" s="22" t="s">
        <v>491</v>
      </c>
      <c r="J362" s="22" t="s">
        <v>492</v>
      </c>
      <c r="K362" s="22" t="s">
        <v>493</v>
      </c>
      <c r="L362" s="22" t="s">
        <v>900</v>
      </c>
      <c r="M362" s="24">
        <v>256779418802</v>
      </c>
      <c r="N362" s="47"/>
    </row>
    <row r="363" spans="1:14" hidden="1" x14ac:dyDescent="0.35">
      <c r="A363" s="50">
        <v>46020</v>
      </c>
      <c r="B363" s="22" t="s">
        <v>489</v>
      </c>
      <c r="C363" s="23">
        <v>0</v>
      </c>
      <c r="D363" s="23">
        <v>299.84859999999998</v>
      </c>
      <c r="E363" s="23">
        <v>-2245647.9696999998</v>
      </c>
      <c r="F363" s="22" t="s">
        <v>3</v>
      </c>
      <c r="G363" s="22" t="s">
        <v>3</v>
      </c>
      <c r="H363" s="22" t="s">
        <v>901</v>
      </c>
      <c r="I363" s="22" t="s">
        <v>828</v>
      </c>
      <c r="J363" s="22" t="s">
        <v>492</v>
      </c>
      <c r="K363" s="22" t="s">
        <v>493</v>
      </c>
      <c r="L363" s="22" t="s">
        <v>901</v>
      </c>
      <c r="M363" s="24">
        <v>256779418477</v>
      </c>
      <c r="N363" s="47"/>
    </row>
    <row r="364" spans="1:14" hidden="1" x14ac:dyDescent="0.35">
      <c r="A364" s="50">
        <v>46020</v>
      </c>
      <c r="B364" s="22" t="s">
        <v>489</v>
      </c>
      <c r="C364" s="23">
        <v>7320</v>
      </c>
      <c r="D364" s="23">
        <v>73283.168300000005</v>
      </c>
      <c r="E364" s="23">
        <v>-2311611.1379999998</v>
      </c>
      <c r="F364" s="22" t="s">
        <v>3</v>
      </c>
      <c r="G364" s="22" t="s">
        <v>3</v>
      </c>
      <c r="H364" s="22" t="s">
        <v>902</v>
      </c>
      <c r="I364" s="22" t="s">
        <v>507</v>
      </c>
      <c r="J364" s="22" t="s">
        <v>492</v>
      </c>
      <c r="K364" s="22" t="s">
        <v>493</v>
      </c>
      <c r="L364" s="22" t="s">
        <v>903</v>
      </c>
      <c r="M364" s="24">
        <v>246779418620</v>
      </c>
      <c r="N364" s="47"/>
    </row>
    <row r="365" spans="1:14" hidden="1" x14ac:dyDescent="0.35">
      <c r="A365" s="50">
        <v>46020</v>
      </c>
      <c r="B365" s="22" t="s">
        <v>489</v>
      </c>
      <c r="C365" s="23">
        <v>500000</v>
      </c>
      <c r="D365" s="23">
        <v>0</v>
      </c>
      <c r="E365" s="23">
        <v>-1811611.138</v>
      </c>
      <c r="F365" s="22" t="s">
        <v>726</v>
      </c>
      <c r="G365" s="22" t="s">
        <v>2</v>
      </c>
      <c r="H365" s="22" t="s">
        <v>904</v>
      </c>
      <c r="I365" s="22" t="s">
        <v>728</v>
      </c>
      <c r="J365" s="22" t="s">
        <v>492</v>
      </c>
      <c r="K365" s="22" t="s">
        <v>493</v>
      </c>
      <c r="L365" s="22"/>
      <c r="M365" s="24"/>
      <c r="N365" s="47"/>
    </row>
    <row r="366" spans="1:14" hidden="1" x14ac:dyDescent="0.35">
      <c r="A366" s="50">
        <v>46020</v>
      </c>
      <c r="B366" s="22" t="s">
        <v>489</v>
      </c>
      <c r="C366" s="23">
        <v>6</v>
      </c>
      <c r="D366" s="23">
        <v>306</v>
      </c>
      <c r="E366" s="23">
        <v>-1811911.138</v>
      </c>
      <c r="F366" s="22" t="s">
        <v>3</v>
      </c>
      <c r="G366" s="22" t="s">
        <v>3</v>
      </c>
      <c r="H366" s="22" t="s">
        <v>905</v>
      </c>
      <c r="I366" s="22" t="s">
        <v>828</v>
      </c>
      <c r="J366" s="22" t="s">
        <v>492</v>
      </c>
      <c r="K366" s="22" t="s">
        <v>493</v>
      </c>
      <c r="L366" s="22" t="s">
        <v>906</v>
      </c>
      <c r="M366" s="24">
        <v>256779418492</v>
      </c>
      <c r="N366" s="47"/>
    </row>
    <row r="367" spans="1:14" hidden="1" x14ac:dyDescent="0.35">
      <c r="A367" s="50">
        <v>46021</v>
      </c>
      <c r="B367" s="22" t="s">
        <v>489</v>
      </c>
      <c r="C367" s="23">
        <v>176</v>
      </c>
      <c r="D367" s="23">
        <v>7046.0609999999997</v>
      </c>
      <c r="E367" s="23">
        <v>-1818781.199</v>
      </c>
      <c r="F367" s="22" t="s">
        <v>3</v>
      </c>
      <c r="G367" s="22" t="s">
        <v>3</v>
      </c>
      <c r="H367" s="22" t="s">
        <v>907</v>
      </c>
      <c r="I367" s="22" t="s">
        <v>500</v>
      </c>
      <c r="J367" s="22" t="s">
        <v>492</v>
      </c>
      <c r="K367" s="22" t="s">
        <v>493</v>
      </c>
      <c r="L367" s="22" t="s">
        <v>908</v>
      </c>
      <c r="M367" s="24">
        <v>256779418437</v>
      </c>
      <c r="N367" s="47"/>
    </row>
    <row r="368" spans="1:14" hidden="1" x14ac:dyDescent="0.35">
      <c r="A368" s="50">
        <v>46021</v>
      </c>
      <c r="B368" s="22" t="s">
        <v>489</v>
      </c>
      <c r="C368" s="23">
        <v>88</v>
      </c>
      <c r="D368" s="23">
        <v>2901.2856000000002</v>
      </c>
      <c r="E368" s="23">
        <v>-1821594.4846000001</v>
      </c>
      <c r="F368" s="22" t="s">
        <v>3</v>
      </c>
      <c r="G368" s="22" t="s">
        <v>3</v>
      </c>
      <c r="H368" s="22" t="s">
        <v>909</v>
      </c>
      <c r="I368" s="22" t="s">
        <v>557</v>
      </c>
      <c r="J368" s="22" t="s">
        <v>492</v>
      </c>
      <c r="K368" s="22" t="s">
        <v>493</v>
      </c>
      <c r="L368" s="22" t="s">
        <v>910</v>
      </c>
      <c r="M368" s="24">
        <v>256779418428</v>
      </c>
      <c r="N368" s="47"/>
    </row>
    <row r="369" spans="1:14" hidden="1" x14ac:dyDescent="0.35">
      <c r="A369" s="50">
        <v>46021</v>
      </c>
      <c r="B369" s="22" t="s">
        <v>489</v>
      </c>
      <c r="C369" s="23">
        <v>0</v>
      </c>
      <c r="D369" s="23">
        <v>1036.08</v>
      </c>
      <c r="E369" s="23">
        <v>-1822630.5645999999</v>
      </c>
      <c r="F369" s="22" t="s">
        <v>3</v>
      </c>
      <c r="G369" s="22" t="s">
        <v>3</v>
      </c>
      <c r="H369" s="22" t="s">
        <v>911</v>
      </c>
      <c r="I369" s="22" t="s">
        <v>500</v>
      </c>
      <c r="J369" s="22" t="s">
        <v>492</v>
      </c>
      <c r="K369" s="22" t="s">
        <v>493</v>
      </c>
      <c r="L369" s="22" t="s">
        <v>911</v>
      </c>
      <c r="M369" s="24">
        <v>256779418351</v>
      </c>
      <c r="N369" s="47"/>
    </row>
    <row r="370" spans="1:14" x14ac:dyDescent="0.35">
      <c r="A370" s="50">
        <v>46022</v>
      </c>
      <c r="B370" s="22" t="s">
        <v>489</v>
      </c>
      <c r="C370" s="23">
        <v>16530</v>
      </c>
      <c r="D370" s="23">
        <v>16530</v>
      </c>
      <c r="E370" s="23">
        <v>-2052708.6117</v>
      </c>
      <c r="F370" s="22" t="s">
        <v>792</v>
      </c>
      <c r="G370" s="22" t="s">
        <v>1</v>
      </c>
      <c r="H370" s="22" t="s">
        <v>925</v>
      </c>
      <c r="I370" s="22"/>
      <c r="J370" s="22" t="s">
        <v>492</v>
      </c>
      <c r="K370" s="22" t="s">
        <v>493</v>
      </c>
      <c r="L370" s="22" t="s">
        <v>926</v>
      </c>
      <c r="M370" s="24">
        <v>256779414288</v>
      </c>
      <c r="N370" s="47"/>
    </row>
    <row r="371" spans="1:14" hidden="1" x14ac:dyDescent="0.35">
      <c r="A371" s="50">
        <v>46021</v>
      </c>
      <c r="B371" s="22" t="s">
        <v>489</v>
      </c>
      <c r="C371" s="23">
        <v>88</v>
      </c>
      <c r="D371" s="23">
        <v>6173.1630999999998</v>
      </c>
      <c r="E371" s="23">
        <v>-1874397.6647000001</v>
      </c>
      <c r="F371" s="22" t="s">
        <v>3</v>
      </c>
      <c r="G371" s="22" t="s">
        <v>3</v>
      </c>
      <c r="H371" s="22" t="s">
        <v>914</v>
      </c>
      <c r="I371" s="22" t="s">
        <v>915</v>
      </c>
      <c r="J371" s="22" t="s">
        <v>492</v>
      </c>
      <c r="K371" s="22" t="s">
        <v>493</v>
      </c>
      <c r="L371" s="22" t="s">
        <v>916</v>
      </c>
      <c r="M371" s="24">
        <v>256779418168</v>
      </c>
      <c r="N371" s="47"/>
    </row>
    <row r="372" spans="1:14" hidden="1" x14ac:dyDescent="0.35">
      <c r="A372" s="50">
        <v>46021</v>
      </c>
      <c r="B372" s="22" t="s">
        <v>489</v>
      </c>
      <c r="C372" s="23">
        <v>6791</v>
      </c>
      <c r="D372" s="23">
        <v>68060.655499999993</v>
      </c>
      <c r="E372" s="23">
        <v>-1935667.3202</v>
      </c>
      <c r="F372" s="22" t="s">
        <v>3</v>
      </c>
      <c r="G372" s="22" t="s">
        <v>3</v>
      </c>
      <c r="H372" s="22" t="s">
        <v>917</v>
      </c>
      <c r="I372" s="22" t="s">
        <v>507</v>
      </c>
      <c r="J372" s="22" t="s">
        <v>492</v>
      </c>
      <c r="K372" s="22" t="s">
        <v>493</v>
      </c>
      <c r="L372" s="22" t="s">
        <v>918</v>
      </c>
      <c r="M372" s="24">
        <v>256779418094</v>
      </c>
      <c r="N372" s="47"/>
    </row>
    <row r="373" spans="1:14" hidden="1" x14ac:dyDescent="0.35">
      <c r="A373" s="50">
        <v>46021</v>
      </c>
      <c r="B373" s="22" t="s">
        <v>489</v>
      </c>
      <c r="C373" s="23">
        <v>1058</v>
      </c>
      <c r="D373" s="23">
        <v>51397.291499999999</v>
      </c>
      <c r="E373" s="23">
        <v>-1986006.6117</v>
      </c>
      <c r="F373" s="22" t="s">
        <v>3</v>
      </c>
      <c r="G373" s="22" t="s">
        <v>3</v>
      </c>
      <c r="H373" s="22" t="s">
        <v>919</v>
      </c>
      <c r="I373" s="22" t="s">
        <v>500</v>
      </c>
      <c r="J373" s="22" t="s">
        <v>492</v>
      </c>
      <c r="K373" s="22" t="s">
        <v>493</v>
      </c>
      <c r="L373" s="22" t="s">
        <v>920</v>
      </c>
      <c r="M373" s="24">
        <v>256779417978</v>
      </c>
      <c r="N373" s="47"/>
    </row>
    <row r="374" spans="1:14" x14ac:dyDescent="0.35">
      <c r="A374" s="50">
        <v>46008</v>
      </c>
      <c r="B374" s="22" t="s">
        <v>489</v>
      </c>
      <c r="C374" s="23">
        <v>0</v>
      </c>
      <c r="D374" s="23">
        <v>695663.66119999997</v>
      </c>
      <c r="E374" s="23">
        <v>-1175415.9768000001</v>
      </c>
      <c r="F374" s="22" t="s">
        <v>3</v>
      </c>
      <c r="G374" s="22" t="s">
        <v>3</v>
      </c>
      <c r="H374" s="22" t="s">
        <v>873</v>
      </c>
      <c r="I374" s="22" t="s">
        <v>841</v>
      </c>
      <c r="J374" s="22" t="s">
        <v>492</v>
      </c>
      <c r="K374" s="22" t="s">
        <v>493</v>
      </c>
      <c r="L374" s="22" t="s">
        <v>873</v>
      </c>
      <c r="M374" s="24">
        <v>256779417084</v>
      </c>
      <c r="N374" s="47"/>
    </row>
    <row r="375" spans="1:14" hidden="1" x14ac:dyDescent="0.35">
      <c r="A375" s="50">
        <v>46022</v>
      </c>
      <c r="B375" s="22" t="s">
        <v>489</v>
      </c>
      <c r="C375" s="23">
        <v>1351</v>
      </c>
      <c r="D375" s="23">
        <v>67557</v>
      </c>
      <c r="E375" s="23">
        <v>-2052708.6117</v>
      </c>
      <c r="F375" s="22" t="s">
        <v>3</v>
      </c>
      <c r="G375" s="22" t="s">
        <v>3</v>
      </c>
      <c r="H375" s="22" t="s">
        <v>923</v>
      </c>
      <c r="I375" s="22" t="s">
        <v>561</v>
      </c>
      <c r="J375" s="22" t="s">
        <v>492</v>
      </c>
      <c r="K375" s="22" t="s">
        <v>493</v>
      </c>
      <c r="L375" s="22" t="s">
        <v>924</v>
      </c>
      <c r="M375" s="24">
        <v>256779416178</v>
      </c>
      <c r="N375" s="47"/>
    </row>
    <row r="376" spans="1:14" x14ac:dyDescent="0.35">
      <c r="A376" s="50">
        <v>46022</v>
      </c>
      <c r="B376" s="22" t="s">
        <v>489</v>
      </c>
      <c r="C376" s="23">
        <v>453</v>
      </c>
      <c r="D376" s="23">
        <v>453</v>
      </c>
      <c r="E376" s="23">
        <v>-2052708.6117</v>
      </c>
      <c r="F376" s="22" t="s">
        <v>792</v>
      </c>
      <c r="G376" s="22" t="s">
        <v>1</v>
      </c>
      <c r="H376" s="22" t="s">
        <v>927</v>
      </c>
      <c r="I376" s="22"/>
      <c r="J376" s="22" t="s">
        <v>492</v>
      </c>
      <c r="K376" s="22" t="s">
        <v>493</v>
      </c>
      <c r="L376" s="22" t="s">
        <v>928</v>
      </c>
      <c r="M376" s="24">
        <v>256779417084</v>
      </c>
      <c r="N376" s="47"/>
    </row>
    <row r="377" spans="1:14" x14ac:dyDescent="0.35">
      <c r="A377" s="50">
        <v>46050</v>
      </c>
      <c r="B377" s="22" t="s">
        <v>489</v>
      </c>
      <c r="C377" s="23">
        <v>674751</v>
      </c>
      <c r="D377" s="23">
        <v>0</v>
      </c>
      <c r="E377" s="23">
        <v>-1425098.6727</v>
      </c>
      <c r="F377" s="22" t="s">
        <v>726</v>
      </c>
      <c r="G377" s="22" t="s">
        <v>2</v>
      </c>
      <c r="H377" s="22" t="s">
        <v>937</v>
      </c>
      <c r="I377" s="22" t="s">
        <v>728</v>
      </c>
      <c r="J377" s="22" t="s">
        <v>492</v>
      </c>
      <c r="K377" s="22" t="s">
        <v>493</v>
      </c>
      <c r="L377" s="22" t="s">
        <v>873</v>
      </c>
      <c r="M377" s="24">
        <v>256779417084</v>
      </c>
      <c r="N377" s="47"/>
    </row>
    <row r="378" spans="1:14" x14ac:dyDescent="0.35">
      <c r="A378" s="50">
        <v>46021</v>
      </c>
      <c r="B378" s="22" t="s">
        <v>489</v>
      </c>
      <c r="C378" s="23">
        <v>970</v>
      </c>
      <c r="D378" s="23">
        <v>46651.936999999998</v>
      </c>
      <c r="E378" s="23">
        <v>-1868312.5016000001</v>
      </c>
      <c r="F378" s="22" t="s">
        <v>3</v>
      </c>
      <c r="G378" s="22" t="s">
        <v>3</v>
      </c>
      <c r="H378" s="22" t="s">
        <v>912</v>
      </c>
      <c r="I378" s="22" t="s">
        <v>573</v>
      </c>
      <c r="J378" s="22" t="s">
        <v>492</v>
      </c>
      <c r="K378" s="22" t="s">
        <v>493</v>
      </c>
      <c r="L378" s="22" t="s">
        <v>913</v>
      </c>
      <c r="M378" s="24">
        <v>256779418103</v>
      </c>
      <c r="N378" s="47"/>
    </row>
    <row r="379" spans="1:14" hidden="1" x14ac:dyDescent="0.35">
      <c r="A379" s="50">
        <v>46038</v>
      </c>
      <c r="B379" s="22" t="s">
        <v>489</v>
      </c>
      <c r="C379" s="23">
        <v>4174</v>
      </c>
      <c r="D379" s="23">
        <v>41446.745000000003</v>
      </c>
      <c r="E379" s="23">
        <v>-2089981.3566999999</v>
      </c>
      <c r="F379" s="22" t="s">
        <v>3</v>
      </c>
      <c r="G379" s="22" t="s">
        <v>3</v>
      </c>
      <c r="H379" s="22" t="s">
        <v>931</v>
      </c>
      <c r="I379" s="22" t="s">
        <v>783</v>
      </c>
      <c r="J379" s="22" t="s">
        <v>492</v>
      </c>
      <c r="K379" s="22" t="s">
        <v>493</v>
      </c>
      <c r="L379" s="22" t="s">
        <v>932</v>
      </c>
      <c r="M379" s="24">
        <v>256779440041</v>
      </c>
      <c r="N379" s="47"/>
    </row>
    <row r="380" spans="1:14" hidden="1" x14ac:dyDescent="0.35">
      <c r="A380" s="50">
        <v>46038</v>
      </c>
      <c r="B380" s="22" t="s">
        <v>489</v>
      </c>
      <c r="C380" s="23">
        <v>0</v>
      </c>
      <c r="D380" s="23">
        <v>1066.231</v>
      </c>
      <c r="E380" s="23">
        <v>-2091047.5877</v>
      </c>
      <c r="F380" s="22" t="s">
        <v>3</v>
      </c>
      <c r="G380" s="22" t="s">
        <v>3</v>
      </c>
      <c r="H380" s="22" t="s">
        <v>933</v>
      </c>
      <c r="I380" s="22" t="s">
        <v>500</v>
      </c>
      <c r="J380" s="22" t="s">
        <v>492</v>
      </c>
      <c r="K380" s="22" t="s">
        <v>493</v>
      </c>
      <c r="L380" s="22" t="s">
        <v>933</v>
      </c>
      <c r="M380" s="24">
        <v>256779440069</v>
      </c>
      <c r="N380" s="47"/>
    </row>
    <row r="381" spans="1:14" hidden="1" x14ac:dyDescent="0.35">
      <c r="A381" s="50">
        <v>46045</v>
      </c>
      <c r="B381" s="22" t="s">
        <v>489</v>
      </c>
      <c r="C381" s="23">
        <v>181</v>
      </c>
      <c r="D381" s="23">
        <v>8983.0849999999991</v>
      </c>
      <c r="E381" s="23">
        <v>-2099849.6727</v>
      </c>
      <c r="F381" s="22" t="s">
        <v>3</v>
      </c>
      <c r="G381" s="22" t="s">
        <v>3</v>
      </c>
      <c r="H381" s="22" t="s">
        <v>934</v>
      </c>
      <c r="I381" s="22" t="s">
        <v>935</v>
      </c>
      <c r="J381" s="22" t="s">
        <v>492</v>
      </c>
      <c r="K381" s="22" t="s">
        <v>493</v>
      </c>
      <c r="L381" s="22" t="s">
        <v>936</v>
      </c>
      <c r="M381" s="24">
        <v>256779440118</v>
      </c>
      <c r="N381" s="47"/>
    </row>
    <row r="382" spans="1:14" x14ac:dyDescent="0.35">
      <c r="A382" s="50">
        <v>46021</v>
      </c>
      <c r="B382" s="22" t="s">
        <v>489</v>
      </c>
      <c r="C382" s="23">
        <v>10</v>
      </c>
      <c r="D382" s="23">
        <v>506</v>
      </c>
      <c r="E382" s="23">
        <v>-1986502.6117</v>
      </c>
      <c r="F382" s="22" t="s">
        <v>3</v>
      </c>
      <c r="G382" s="22" t="s">
        <v>3</v>
      </c>
      <c r="H382" s="22" t="s">
        <v>921</v>
      </c>
      <c r="I382" s="22" t="s">
        <v>843</v>
      </c>
      <c r="J382" s="22" t="s">
        <v>492</v>
      </c>
      <c r="K382" s="22" t="s">
        <v>493</v>
      </c>
      <c r="L382" s="22" t="s">
        <v>922</v>
      </c>
      <c r="M382" s="24">
        <v>256779418103</v>
      </c>
      <c r="N382" s="47"/>
    </row>
    <row r="383" spans="1:14" hidden="1" x14ac:dyDescent="0.35">
      <c r="A383" s="50">
        <v>46057</v>
      </c>
      <c r="B383" s="22" t="s">
        <v>489</v>
      </c>
      <c r="C383" s="23">
        <v>90</v>
      </c>
      <c r="D383" s="23">
        <v>4904.3774000000003</v>
      </c>
      <c r="E383" s="23">
        <v>-1429913.0501000001</v>
      </c>
      <c r="F383" s="22" t="s">
        <v>3</v>
      </c>
      <c r="G383" s="22" t="s">
        <v>3</v>
      </c>
      <c r="H383" s="22" t="s">
        <v>938</v>
      </c>
      <c r="I383" s="22" t="s">
        <v>939</v>
      </c>
      <c r="J383" s="22" t="s">
        <v>492</v>
      </c>
      <c r="K383" s="22" t="s">
        <v>493</v>
      </c>
      <c r="L383" s="22" t="s">
        <v>940</v>
      </c>
      <c r="M383" s="24">
        <v>256779440383</v>
      </c>
      <c r="N383" s="47"/>
    </row>
    <row r="384" spans="1:14" hidden="1" x14ac:dyDescent="0.35">
      <c r="A384" s="50">
        <v>46057</v>
      </c>
      <c r="B384" s="22" t="s">
        <v>489</v>
      </c>
      <c r="C384" s="23">
        <v>181</v>
      </c>
      <c r="D384" s="23">
        <v>8983.0846000000001</v>
      </c>
      <c r="E384" s="23">
        <v>-1438715.1347000001</v>
      </c>
      <c r="F384" s="22" t="s">
        <v>3</v>
      </c>
      <c r="G384" s="22" t="s">
        <v>3</v>
      </c>
      <c r="H384" s="22" t="s">
        <v>941</v>
      </c>
      <c r="I384" s="22" t="s">
        <v>942</v>
      </c>
      <c r="J384" s="22" t="s">
        <v>492</v>
      </c>
      <c r="K384" s="22" t="s">
        <v>493</v>
      </c>
      <c r="L384" s="22" t="s">
        <v>943</v>
      </c>
      <c r="M384" s="24">
        <v>256779440413</v>
      </c>
      <c r="N384" s="47"/>
    </row>
    <row r="385" spans="1:14" hidden="1" x14ac:dyDescent="0.35">
      <c r="A385" s="50">
        <v>46057</v>
      </c>
      <c r="B385" s="22" t="s">
        <v>489</v>
      </c>
      <c r="C385" s="23">
        <v>91</v>
      </c>
      <c r="D385" s="23">
        <v>6141.7525999999998</v>
      </c>
      <c r="E385" s="23">
        <v>-1444765.8873000001</v>
      </c>
      <c r="F385" s="22" t="s">
        <v>3</v>
      </c>
      <c r="G385" s="22" t="s">
        <v>3</v>
      </c>
      <c r="H385" s="22" t="s">
        <v>944</v>
      </c>
      <c r="I385" s="22" t="s">
        <v>500</v>
      </c>
      <c r="J385" s="22" t="s">
        <v>492</v>
      </c>
      <c r="K385" s="22" t="s">
        <v>493</v>
      </c>
      <c r="L385" s="22" t="s">
        <v>945</v>
      </c>
      <c r="M385" s="24">
        <v>256779440429</v>
      </c>
      <c r="N385" s="47"/>
    </row>
    <row r="386" spans="1:14" hidden="1" x14ac:dyDescent="0.35">
      <c r="A386" s="50">
        <v>46057</v>
      </c>
      <c r="B386" s="22" t="s">
        <v>489</v>
      </c>
      <c r="C386" s="23">
        <v>1815</v>
      </c>
      <c r="D386" s="23">
        <v>18211.378000000001</v>
      </c>
      <c r="E386" s="23">
        <v>-1461162.2653000001</v>
      </c>
      <c r="F386" s="22" t="s">
        <v>3</v>
      </c>
      <c r="G386" s="22" t="s">
        <v>3</v>
      </c>
      <c r="H386" s="22" t="s">
        <v>946</v>
      </c>
      <c r="I386" s="22" t="s">
        <v>507</v>
      </c>
      <c r="J386" s="22" t="s">
        <v>492</v>
      </c>
      <c r="K386" s="22" t="s">
        <v>493</v>
      </c>
      <c r="L386" s="22" t="s">
        <v>947</v>
      </c>
      <c r="M386" s="24">
        <v>256779440394</v>
      </c>
      <c r="N386" s="47"/>
    </row>
    <row r="387" spans="1:14" hidden="1" x14ac:dyDescent="0.35">
      <c r="A387" s="50">
        <v>46057</v>
      </c>
      <c r="B387" s="22" t="s">
        <v>489</v>
      </c>
      <c r="C387" s="23">
        <v>1089</v>
      </c>
      <c r="D387" s="23">
        <v>11313.937</v>
      </c>
      <c r="E387" s="23">
        <v>-1471387.2023</v>
      </c>
      <c r="F387" s="22" t="s">
        <v>3</v>
      </c>
      <c r="G387" s="22" t="s">
        <v>3</v>
      </c>
      <c r="H387" s="22" t="s">
        <v>948</v>
      </c>
      <c r="I387" s="22" t="s">
        <v>949</v>
      </c>
      <c r="J387" s="22" t="s">
        <v>492</v>
      </c>
      <c r="K387" s="22" t="s">
        <v>493</v>
      </c>
      <c r="L387" s="22" t="s">
        <v>950</v>
      </c>
      <c r="M387" s="24">
        <v>256779440392</v>
      </c>
      <c r="N387" s="47"/>
    </row>
    <row r="388" spans="1:14" hidden="1" x14ac:dyDescent="0.35">
      <c r="A388" s="50">
        <v>46058</v>
      </c>
      <c r="B388" s="22" t="s">
        <v>489</v>
      </c>
      <c r="C388" s="23">
        <v>181</v>
      </c>
      <c r="D388" s="23">
        <v>7063.8671999999997</v>
      </c>
      <c r="E388" s="23">
        <v>-1478270.0695</v>
      </c>
      <c r="F388" s="22" t="s">
        <v>3</v>
      </c>
      <c r="G388" s="22" t="s">
        <v>3</v>
      </c>
      <c r="H388" s="22" t="s">
        <v>951</v>
      </c>
      <c r="I388" s="22" t="s">
        <v>559</v>
      </c>
      <c r="J388" s="22" t="s">
        <v>492</v>
      </c>
      <c r="K388" s="22" t="s">
        <v>493</v>
      </c>
      <c r="L388" s="22" t="s">
        <v>952</v>
      </c>
      <c r="M388" s="24">
        <v>256779440210</v>
      </c>
      <c r="N388" s="47"/>
    </row>
    <row r="389" spans="1:14" hidden="1" x14ac:dyDescent="0.35">
      <c r="A389" s="50">
        <v>46058</v>
      </c>
      <c r="B389" s="22" t="s">
        <v>489</v>
      </c>
      <c r="C389" s="23">
        <v>181</v>
      </c>
      <c r="D389" s="23">
        <v>11185.420599999999</v>
      </c>
      <c r="E389" s="23">
        <v>-1489274.4901000001</v>
      </c>
      <c r="F389" s="22" t="s">
        <v>3</v>
      </c>
      <c r="G389" s="22" t="s">
        <v>3</v>
      </c>
      <c r="H389" s="22" t="s">
        <v>953</v>
      </c>
      <c r="I389" s="22" t="s">
        <v>949</v>
      </c>
      <c r="J389" s="22" t="s">
        <v>492</v>
      </c>
      <c r="K389" s="22" t="s">
        <v>493</v>
      </c>
      <c r="L389" s="22" t="s">
        <v>954</v>
      </c>
      <c r="M389" s="24">
        <v>256779440122</v>
      </c>
      <c r="N389" s="47"/>
    </row>
  </sheetData>
  <autoFilter ref="A1:R389" xr:uid="{5E0DF18B-6637-4F91-BB8B-08A98E32E4D7}">
    <filterColumn colId="12">
      <colorFilter dxfId="4"/>
    </filterColumn>
    <sortState xmlns:xlrd2="http://schemas.microsoft.com/office/spreadsheetml/2017/richdata2" ref="A4:N382">
      <sortCondition ref="M1:M389"/>
    </sortState>
  </autoFilter>
  <conditionalFormatting sqref="M1:M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7BE3-75FD-4793-9093-2CB3E77C9EF8}">
  <sheetPr filterMode="1"/>
  <dimension ref="A1:AN479"/>
  <sheetViews>
    <sheetView topLeftCell="H443" workbookViewId="0">
      <selection activeCell="H1" sqref="A1:AL479"/>
    </sheetView>
  </sheetViews>
  <sheetFormatPr defaultRowHeight="14.5" x14ac:dyDescent="0.35"/>
  <cols>
    <col min="1" max="1" width="11.453125" hidden="1" customWidth="1"/>
    <col min="2" max="2" width="13.54296875" hidden="1" customWidth="1"/>
    <col min="3" max="3" width="9.81640625" hidden="1" customWidth="1"/>
    <col min="4" max="4" width="33" hidden="1" customWidth="1"/>
    <col min="5" max="5" width="9.453125" hidden="1" customWidth="1"/>
    <col min="6" max="6" width="6.81640625" hidden="1" customWidth="1"/>
    <col min="7" max="7" width="11.1796875" hidden="1" customWidth="1"/>
    <col min="8" max="8" width="16.81640625" bestFit="1" customWidth="1"/>
    <col min="9" max="9" width="7.7265625" bestFit="1" customWidth="1"/>
    <col min="10" max="10" width="13.90625" bestFit="1" customWidth="1"/>
    <col min="11" max="11" width="10.08984375" hidden="1" customWidth="1"/>
    <col min="12" max="12" width="24" hidden="1" customWidth="1"/>
    <col min="13" max="13" width="16.453125" bestFit="1" customWidth="1"/>
    <col min="14" max="14" width="10.90625" hidden="1" customWidth="1"/>
    <col min="15" max="15" width="20.54296875" hidden="1" customWidth="1"/>
    <col min="16" max="16" width="13.7265625" hidden="1" customWidth="1"/>
    <col min="17" max="17" width="10.1796875" hidden="1" customWidth="1"/>
    <col min="18" max="18" width="8.26953125" bestFit="1" customWidth="1"/>
    <col min="19" max="19" width="11.90625" bestFit="1" customWidth="1"/>
    <col min="21" max="21" width="11.26953125" bestFit="1" customWidth="1"/>
    <col min="22" max="22" width="8.453125" hidden="1" customWidth="1"/>
    <col min="23" max="23" width="11.36328125" hidden="1" customWidth="1"/>
    <col min="24" max="24" width="17.26953125" hidden="1" customWidth="1"/>
    <col min="25" max="25" width="14.81640625" hidden="1" customWidth="1"/>
    <col min="26" max="26" width="4.6328125" hidden="1" customWidth="1"/>
    <col min="27" max="27" width="45" bestFit="1" customWidth="1"/>
    <col min="28" max="30" width="14.08984375" hidden="1" customWidth="1"/>
    <col min="31" max="31" width="19" hidden="1" customWidth="1"/>
    <col min="32" max="32" width="11.90625" hidden="1" customWidth="1"/>
    <col min="33" max="33" width="16.7265625" hidden="1" customWidth="1"/>
    <col min="34" max="35" width="0" hidden="1" customWidth="1"/>
    <col min="36" max="36" width="11.1796875" style="5" bestFit="1" customWidth="1"/>
    <col min="37" max="37" width="11.1796875" bestFit="1" customWidth="1"/>
    <col min="38" max="38" width="11.36328125" bestFit="1" customWidth="1"/>
    <col min="39" max="39" width="33.36328125" bestFit="1" customWidth="1"/>
    <col min="40" max="41" width="16.36328125" bestFit="1" customWidth="1"/>
    <col min="42" max="42" width="10.81640625" bestFit="1" customWidth="1"/>
    <col min="43" max="44" width="8.453125" bestFit="1" customWidth="1"/>
  </cols>
  <sheetData>
    <row r="1" spans="1:40" ht="58" x14ac:dyDescent="0.35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10" t="s">
        <v>40</v>
      </c>
      <c r="G1" s="9" t="s">
        <v>14</v>
      </c>
      <c r="H1" s="9" t="s">
        <v>41</v>
      </c>
      <c r="I1" s="10" t="s">
        <v>42</v>
      </c>
      <c r="J1" s="9" t="s">
        <v>6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10" t="s">
        <v>50</v>
      </c>
      <c r="S1" s="10" t="s">
        <v>51</v>
      </c>
      <c r="T1" s="10" t="s">
        <v>52</v>
      </c>
      <c r="U1" s="10" t="s">
        <v>53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58</v>
      </c>
      <c r="AA1" s="9" t="s">
        <v>59</v>
      </c>
      <c r="AB1" s="9" t="s">
        <v>60</v>
      </c>
      <c r="AC1" s="9" t="s">
        <v>61</v>
      </c>
      <c r="AD1" s="9" t="s">
        <v>62</v>
      </c>
      <c r="AE1" s="9" t="s">
        <v>63</v>
      </c>
      <c r="AF1" s="9" t="s">
        <v>64</v>
      </c>
      <c r="AG1" s="9" t="s">
        <v>65</v>
      </c>
      <c r="AJ1" s="57" t="s">
        <v>972</v>
      </c>
      <c r="AK1" s="38" t="s">
        <v>973</v>
      </c>
      <c r="AL1" s="38" t="s">
        <v>964</v>
      </c>
      <c r="AM1" s="38" t="s">
        <v>965</v>
      </c>
      <c r="AN1" s="38" t="s">
        <v>966</v>
      </c>
    </row>
    <row r="2" spans="1:40" hidden="1" x14ac:dyDescent="0.35">
      <c r="A2" s="1" t="s">
        <v>66</v>
      </c>
      <c r="B2" s="1" t="s">
        <v>67</v>
      </c>
      <c r="C2" s="1" t="s">
        <v>68</v>
      </c>
      <c r="D2" s="1" t="s">
        <v>69</v>
      </c>
      <c r="E2" s="1" t="s">
        <v>17</v>
      </c>
      <c r="F2" s="1" t="s">
        <v>70</v>
      </c>
      <c r="G2" s="11">
        <v>45854</v>
      </c>
      <c r="H2" s="25">
        <v>1600001726</v>
      </c>
      <c r="I2" s="1" t="s">
        <v>8</v>
      </c>
      <c r="J2" s="11">
        <v>45854</v>
      </c>
      <c r="K2" s="11">
        <v>45854</v>
      </c>
      <c r="L2" s="1" t="s">
        <v>71</v>
      </c>
      <c r="M2" s="35">
        <v>256779421358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2">
        <v>-1793.99</v>
      </c>
      <c r="T2" s="1" t="s">
        <v>77</v>
      </c>
      <c r="U2" s="12">
        <v>-154827.9</v>
      </c>
      <c r="V2" s="1" t="s">
        <v>78</v>
      </c>
      <c r="W2" s="1" t="s">
        <v>79</v>
      </c>
      <c r="X2" s="1" t="s">
        <v>74</v>
      </c>
      <c r="Y2" s="1" t="s">
        <v>71</v>
      </c>
      <c r="Z2" s="1" t="s">
        <v>80</v>
      </c>
      <c r="AA2" s="1" t="s">
        <v>81</v>
      </c>
      <c r="AB2" s="1" t="s">
        <v>74</v>
      </c>
      <c r="AC2" s="1" t="s">
        <v>74</v>
      </c>
      <c r="AD2" s="1" t="s">
        <v>74</v>
      </c>
      <c r="AE2" s="11">
        <v>45854</v>
      </c>
      <c r="AF2" s="11">
        <v>45854</v>
      </c>
      <c r="AG2" s="1" t="s">
        <v>82</v>
      </c>
      <c r="AJ2" s="5" t="e" cm="1">
        <f t="array" ref="AJ2">_xlfn.XLOOKUP(M2,'Customer Data Vlookup'!$L:$L,'Customer Data Vlookup'!$M:$N,,0)</f>
        <v>#N/A</v>
      </c>
    </row>
    <row r="3" spans="1:40" hidden="1" x14ac:dyDescent="0.35">
      <c r="A3" s="1" t="s">
        <v>66</v>
      </c>
      <c r="B3" s="1" t="s">
        <v>67</v>
      </c>
      <c r="C3" s="1" t="s">
        <v>68</v>
      </c>
      <c r="D3" s="1" t="s">
        <v>69</v>
      </c>
      <c r="E3" s="1" t="s">
        <v>17</v>
      </c>
      <c r="F3" s="1" t="s">
        <v>70</v>
      </c>
      <c r="G3" s="11">
        <v>45854</v>
      </c>
      <c r="H3" s="25">
        <v>1800010646</v>
      </c>
      <c r="I3" s="1" t="s">
        <v>9</v>
      </c>
      <c r="J3" s="11">
        <v>45854</v>
      </c>
      <c r="K3" s="11">
        <v>45855</v>
      </c>
      <c r="L3" s="1" t="s">
        <v>71</v>
      </c>
      <c r="M3" s="35">
        <v>256779415406</v>
      </c>
      <c r="N3" s="1" t="s">
        <v>72</v>
      </c>
      <c r="O3" s="1" t="s">
        <v>73</v>
      </c>
      <c r="P3" s="1" t="s">
        <v>74</v>
      </c>
      <c r="Q3" s="1" t="s">
        <v>83</v>
      </c>
      <c r="R3" s="1" t="s">
        <v>76</v>
      </c>
      <c r="S3" s="12">
        <v>1793.99</v>
      </c>
      <c r="T3" s="1" t="s">
        <v>77</v>
      </c>
      <c r="U3" s="12">
        <v>154827.9</v>
      </c>
      <c r="V3" s="1" t="s">
        <v>78</v>
      </c>
      <c r="W3" s="1" t="s">
        <v>79</v>
      </c>
      <c r="X3" s="1" t="s">
        <v>74</v>
      </c>
      <c r="Y3" s="1" t="s">
        <v>71</v>
      </c>
      <c r="Z3" s="1" t="s">
        <v>80</v>
      </c>
      <c r="AA3" s="1" t="s">
        <v>84</v>
      </c>
      <c r="AB3" s="1" t="s">
        <v>74</v>
      </c>
      <c r="AC3" s="1" t="s">
        <v>74</v>
      </c>
      <c r="AD3" s="1" t="s">
        <v>74</v>
      </c>
      <c r="AE3" s="11">
        <v>45854</v>
      </c>
      <c r="AF3" s="11">
        <v>45854</v>
      </c>
      <c r="AG3" s="1" t="s">
        <v>82</v>
      </c>
      <c r="AJ3" t="e" cm="1">
        <f t="array" ref="AJ3">_xlfn.XLOOKUP(M3,'Customer Data Vlookup'!$L:$L,'Customer Data Vlookup'!$M:$N,,0)</f>
        <v>#N/A</v>
      </c>
    </row>
    <row r="4" spans="1:40" hidden="1" x14ac:dyDescent="0.35">
      <c r="A4" s="1" t="s">
        <v>66</v>
      </c>
      <c r="B4" s="1" t="s">
        <v>67</v>
      </c>
      <c r="C4" s="1" t="s">
        <v>68</v>
      </c>
      <c r="D4" s="1" t="s">
        <v>69</v>
      </c>
      <c r="E4" s="1" t="s">
        <v>17</v>
      </c>
      <c r="F4" s="1" t="s">
        <v>70</v>
      </c>
      <c r="G4" s="11">
        <v>45854</v>
      </c>
      <c r="H4" s="25">
        <v>1600001727</v>
      </c>
      <c r="I4" s="1" t="s">
        <v>8</v>
      </c>
      <c r="J4" s="11">
        <v>45854</v>
      </c>
      <c r="K4" s="11">
        <v>45854</v>
      </c>
      <c r="L4" s="1" t="s">
        <v>71</v>
      </c>
      <c r="M4" s="35">
        <v>256779421359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2">
        <v>-705</v>
      </c>
      <c r="T4" s="1" t="s">
        <v>77</v>
      </c>
      <c r="U4" s="12">
        <v>-60844.08</v>
      </c>
      <c r="V4" s="1" t="s">
        <v>78</v>
      </c>
      <c r="W4" s="1" t="s">
        <v>79</v>
      </c>
      <c r="X4" s="1" t="s">
        <v>74</v>
      </c>
      <c r="Y4" s="1" t="s">
        <v>71</v>
      </c>
      <c r="Z4" s="1" t="s">
        <v>80</v>
      </c>
      <c r="AA4" s="1" t="s">
        <v>85</v>
      </c>
      <c r="AB4" s="1" t="s">
        <v>74</v>
      </c>
      <c r="AC4" s="1" t="s">
        <v>74</v>
      </c>
      <c r="AD4" s="1" t="s">
        <v>74</v>
      </c>
      <c r="AE4" s="11">
        <v>45854</v>
      </c>
      <c r="AF4" s="11">
        <v>45854</v>
      </c>
      <c r="AG4" s="1" t="s">
        <v>86</v>
      </c>
      <c r="AJ4" s="5" t="e" cm="1">
        <f t="array" ref="AJ4">_xlfn.XLOOKUP(M4,'Customer Data Vlookup'!$L:$L,'Customer Data Vlookup'!$M:$N,,0)</f>
        <v>#N/A</v>
      </c>
    </row>
    <row r="5" spans="1:40" hidden="1" x14ac:dyDescent="0.35">
      <c r="A5" s="1" t="s">
        <v>66</v>
      </c>
      <c r="B5" s="1" t="s">
        <v>67</v>
      </c>
      <c r="C5" s="1" t="s">
        <v>68</v>
      </c>
      <c r="D5" s="1" t="s">
        <v>69</v>
      </c>
      <c r="E5" s="1" t="s">
        <v>17</v>
      </c>
      <c r="F5" s="1" t="s">
        <v>70</v>
      </c>
      <c r="G5" s="11">
        <v>45854</v>
      </c>
      <c r="H5" s="25">
        <v>1800010647</v>
      </c>
      <c r="I5" s="1" t="s">
        <v>9</v>
      </c>
      <c r="J5" s="11">
        <v>45854</v>
      </c>
      <c r="K5" s="11">
        <v>45855</v>
      </c>
      <c r="L5" s="1" t="s">
        <v>71</v>
      </c>
      <c r="M5" s="35">
        <v>256779415407</v>
      </c>
      <c r="N5" s="1" t="s">
        <v>72</v>
      </c>
      <c r="O5" s="1" t="s">
        <v>73</v>
      </c>
      <c r="P5" s="1" t="s">
        <v>74</v>
      </c>
      <c r="Q5" s="1" t="s">
        <v>83</v>
      </c>
      <c r="R5" s="1" t="s">
        <v>76</v>
      </c>
      <c r="S5" s="12">
        <v>705</v>
      </c>
      <c r="T5" s="1" t="s">
        <v>77</v>
      </c>
      <c r="U5" s="12">
        <v>60844.08</v>
      </c>
      <c r="V5" s="1" t="s">
        <v>78</v>
      </c>
      <c r="W5" s="1" t="s">
        <v>79</v>
      </c>
      <c r="X5" s="1" t="s">
        <v>74</v>
      </c>
      <c r="Y5" s="1" t="s">
        <v>71</v>
      </c>
      <c r="Z5" s="1" t="s">
        <v>80</v>
      </c>
      <c r="AA5" s="1" t="s">
        <v>87</v>
      </c>
      <c r="AB5" s="1" t="s">
        <v>74</v>
      </c>
      <c r="AC5" s="1" t="s">
        <v>74</v>
      </c>
      <c r="AD5" s="1" t="s">
        <v>74</v>
      </c>
      <c r="AE5" s="11">
        <v>45854</v>
      </c>
      <c r="AF5" s="11">
        <v>45854</v>
      </c>
      <c r="AG5" s="1" t="s">
        <v>86</v>
      </c>
      <c r="AJ5" t="e" cm="1">
        <f t="array" ref="AJ5">_xlfn.XLOOKUP(M5,'Customer Data Vlookup'!$L:$L,'Customer Data Vlookup'!$M:$N,,0)</f>
        <v>#N/A</v>
      </c>
    </row>
    <row r="6" spans="1:40" hidden="1" x14ac:dyDescent="0.35">
      <c r="A6" s="1" t="s">
        <v>66</v>
      </c>
      <c r="B6" s="1" t="s">
        <v>67</v>
      </c>
      <c r="C6" s="1" t="s">
        <v>68</v>
      </c>
      <c r="D6" s="1" t="s">
        <v>69</v>
      </c>
      <c r="E6" s="1" t="s">
        <v>17</v>
      </c>
      <c r="F6" s="1" t="s">
        <v>70</v>
      </c>
      <c r="G6" s="11">
        <v>45854</v>
      </c>
      <c r="H6" s="25">
        <v>1600001728</v>
      </c>
      <c r="I6" s="1" t="s">
        <v>8</v>
      </c>
      <c r="J6" s="11">
        <v>45854</v>
      </c>
      <c r="K6" s="11">
        <v>45854</v>
      </c>
      <c r="L6" s="1" t="s">
        <v>71</v>
      </c>
      <c r="M6" s="35">
        <v>256779421360</v>
      </c>
      <c r="N6" s="1" t="s">
        <v>72</v>
      </c>
      <c r="O6" s="1" t="s">
        <v>73</v>
      </c>
      <c r="P6" s="1" t="s">
        <v>74</v>
      </c>
      <c r="Q6" s="1" t="s">
        <v>75</v>
      </c>
      <c r="R6" s="1" t="s">
        <v>76</v>
      </c>
      <c r="S6" s="12">
        <v>-216.2</v>
      </c>
      <c r="T6" s="1" t="s">
        <v>77</v>
      </c>
      <c r="U6" s="12">
        <v>-18742.650000000001</v>
      </c>
      <c r="V6" s="1" t="s">
        <v>78</v>
      </c>
      <c r="W6" s="1" t="s">
        <v>79</v>
      </c>
      <c r="X6" s="1" t="s">
        <v>74</v>
      </c>
      <c r="Y6" s="1" t="s">
        <v>71</v>
      </c>
      <c r="Z6" s="1" t="s">
        <v>80</v>
      </c>
      <c r="AA6" s="1" t="s">
        <v>88</v>
      </c>
      <c r="AB6" s="1" t="s">
        <v>74</v>
      </c>
      <c r="AC6" s="1" t="s">
        <v>74</v>
      </c>
      <c r="AD6" s="1" t="s">
        <v>74</v>
      </c>
      <c r="AE6" s="11">
        <v>45854</v>
      </c>
      <c r="AF6" s="11">
        <v>45854</v>
      </c>
      <c r="AG6" s="1" t="s">
        <v>89</v>
      </c>
      <c r="AJ6" s="5" t="e" cm="1">
        <f t="array" ref="AJ6">_xlfn.XLOOKUP(M6,'Customer Data Vlookup'!$L:$L,'Customer Data Vlookup'!$M:$N,,0)</f>
        <v>#N/A</v>
      </c>
    </row>
    <row r="7" spans="1:40" hidden="1" x14ac:dyDescent="0.35">
      <c r="A7" s="1" t="s">
        <v>66</v>
      </c>
      <c r="B7" s="1" t="s">
        <v>67</v>
      </c>
      <c r="C7" s="1" t="s">
        <v>68</v>
      </c>
      <c r="D7" s="1" t="s">
        <v>69</v>
      </c>
      <c r="E7" s="1" t="s">
        <v>17</v>
      </c>
      <c r="F7" s="1" t="s">
        <v>70</v>
      </c>
      <c r="G7" s="11">
        <v>45854</v>
      </c>
      <c r="H7" s="25">
        <v>1800010648</v>
      </c>
      <c r="I7" s="1" t="s">
        <v>9</v>
      </c>
      <c r="J7" s="11">
        <v>45854</v>
      </c>
      <c r="K7" s="11">
        <v>45855</v>
      </c>
      <c r="L7" s="1" t="s">
        <v>71</v>
      </c>
      <c r="M7" s="35">
        <v>256779415408</v>
      </c>
      <c r="N7" s="1" t="s">
        <v>72</v>
      </c>
      <c r="O7" s="1" t="s">
        <v>73</v>
      </c>
      <c r="P7" s="1" t="s">
        <v>74</v>
      </c>
      <c r="Q7" s="1" t="s">
        <v>83</v>
      </c>
      <c r="R7" s="1" t="s">
        <v>76</v>
      </c>
      <c r="S7" s="12">
        <v>216.2</v>
      </c>
      <c r="T7" s="1" t="s">
        <v>77</v>
      </c>
      <c r="U7" s="12">
        <v>18742.650000000001</v>
      </c>
      <c r="V7" s="1" t="s">
        <v>78</v>
      </c>
      <c r="W7" s="1" t="s">
        <v>79</v>
      </c>
      <c r="X7" s="1" t="s">
        <v>74</v>
      </c>
      <c r="Y7" s="1" t="s">
        <v>71</v>
      </c>
      <c r="Z7" s="1" t="s">
        <v>80</v>
      </c>
      <c r="AA7" s="1" t="s">
        <v>90</v>
      </c>
      <c r="AB7" s="1" t="s">
        <v>74</v>
      </c>
      <c r="AC7" s="1" t="s">
        <v>74</v>
      </c>
      <c r="AD7" s="1" t="s">
        <v>74</v>
      </c>
      <c r="AE7" s="11">
        <v>45854</v>
      </c>
      <c r="AF7" s="11">
        <v>45854</v>
      </c>
      <c r="AG7" s="1" t="s">
        <v>89</v>
      </c>
      <c r="AJ7" t="e" cm="1">
        <f t="array" ref="AJ7">_xlfn.XLOOKUP(M7,'Customer Data Vlookup'!$L:$L,'Customer Data Vlookup'!$M:$N,,0)</f>
        <v>#N/A</v>
      </c>
    </row>
    <row r="8" spans="1:40" hidden="1" x14ac:dyDescent="0.35">
      <c r="A8" s="1" t="s">
        <v>66</v>
      </c>
      <c r="B8" s="1" t="s">
        <v>67</v>
      </c>
      <c r="C8" s="1" t="s">
        <v>68</v>
      </c>
      <c r="D8" s="1" t="s">
        <v>69</v>
      </c>
      <c r="E8" s="1" t="s">
        <v>17</v>
      </c>
      <c r="F8" s="1" t="s">
        <v>70</v>
      </c>
      <c r="G8" s="11">
        <v>45854</v>
      </c>
      <c r="H8" s="25">
        <v>1600001731</v>
      </c>
      <c r="I8" s="1" t="s">
        <v>8</v>
      </c>
      <c r="J8" s="11">
        <v>45854</v>
      </c>
      <c r="K8" s="11">
        <v>45854</v>
      </c>
      <c r="L8" s="1" t="s">
        <v>71</v>
      </c>
      <c r="M8" s="35">
        <v>256779421363</v>
      </c>
      <c r="N8" s="1" t="s">
        <v>72</v>
      </c>
      <c r="O8" s="1" t="s">
        <v>73</v>
      </c>
      <c r="P8" s="1" t="s">
        <v>74</v>
      </c>
      <c r="Q8" s="1" t="s">
        <v>75</v>
      </c>
      <c r="R8" s="1" t="s">
        <v>76</v>
      </c>
      <c r="S8" s="12">
        <v>-1926.06</v>
      </c>
      <c r="T8" s="1" t="s">
        <v>77</v>
      </c>
      <c r="U8" s="12">
        <v>-166972.57</v>
      </c>
      <c r="V8" s="1" t="s">
        <v>78</v>
      </c>
      <c r="W8" s="1" t="s">
        <v>79</v>
      </c>
      <c r="X8" s="1" t="s">
        <v>74</v>
      </c>
      <c r="Y8" s="1" t="s">
        <v>71</v>
      </c>
      <c r="Z8" s="1" t="s">
        <v>80</v>
      </c>
      <c r="AA8" s="1" t="s">
        <v>91</v>
      </c>
      <c r="AB8" s="1" t="s">
        <v>74</v>
      </c>
      <c r="AC8" s="1" t="s">
        <v>74</v>
      </c>
      <c r="AD8" s="1" t="s">
        <v>74</v>
      </c>
      <c r="AE8" s="11">
        <v>45854</v>
      </c>
      <c r="AF8" s="11">
        <v>45854</v>
      </c>
      <c r="AG8" s="1" t="s">
        <v>92</v>
      </c>
      <c r="AJ8" s="5" t="e" cm="1">
        <f t="array" ref="AJ8">_xlfn.XLOOKUP(M8,'Customer Data Vlookup'!$L:$L,'Customer Data Vlookup'!$M:$N,,0)</f>
        <v>#N/A</v>
      </c>
    </row>
    <row r="9" spans="1:40" hidden="1" x14ac:dyDescent="0.35">
      <c r="A9" s="1" t="s">
        <v>66</v>
      </c>
      <c r="B9" s="1" t="s">
        <v>67</v>
      </c>
      <c r="C9" s="1" t="s">
        <v>68</v>
      </c>
      <c r="D9" s="1" t="s">
        <v>69</v>
      </c>
      <c r="E9" s="1" t="s">
        <v>17</v>
      </c>
      <c r="F9" s="1" t="s">
        <v>70</v>
      </c>
      <c r="G9" s="11">
        <v>45854</v>
      </c>
      <c r="H9" s="25">
        <v>1800010649</v>
      </c>
      <c r="I9" s="1" t="s">
        <v>9</v>
      </c>
      <c r="J9" s="11">
        <v>45854</v>
      </c>
      <c r="K9" s="11">
        <v>45855</v>
      </c>
      <c r="L9" s="1" t="s">
        <v>71</v>
      </c>
      <c r="M9" s="35">
        <v>256779415409</v>
      </c>
      <c r="N9" s="1" t="s">
        <v>72</v>
      </c>
      <c r="O9" s="1" t="s">
        <v>73</v>
      </c>
      <c r="P9" s="1" t="s">
        <v>74</v>
      </c>
      <c r="Q9" s="1" t="s">
        <v>83</v>
      </c>
      <c r="R9" s="1" t="s">
        <v>76</v>
      </c>
      <c r="S9" s="12">
        <v>1926.06</v>
      </c>
      <c r="T9" s="1" t="s">
        <v>77</v>
      </c>
      <c r="U9" s="12">
        <v>166972.57</v>
      </c>
      <c r="V9" s="1" t="s">
        <v>78</v>
      </c>
      <c r="W9" s="1" t="s">
        <v>79</v>
      </c>
      <c r="X9" s="1" t="s">
        <v>74</v>
      </c>
      <c r="Y9" s="1" t="s">
        <v>71</v>
      </c>
      <c r="Z9" s="1" t="s">
        <v>80</v>
      </c>
      <c r="AA9" s="1" t="s">
        <v>93</v>
      </c>
      <c r="AB9" s="1" t="s">
        <v>74</v>
      </c>
      <c r="AC9" s="1" t="s">
        <v>74</v>
      </c>
      <c r="AD9" s="1" t="s">
        <v>74</v>
      </c>
      <c r="AE9" s="11">
        <v>45854</v>
      </c>
      <c r="AF9" s="11">
        <v>45854</v>
      </c>
      <c r="AG9" s="1" t="s">
        <v>92</v>
      </c>
      <c r="AJ9" t="e" cm="1">
        <f t="array" ref="AJ9">_xlfn.XLOOKUP(M9,'Customer Data Vlookup'!$L:$L,'Customer Data Vlookup'!$M:$N,,0)</f>
        <v>#N/A</v>
      </c>
    </row>
    <row r="10" spans="1:40" hidden="1" x14ac:dyDescent="0.3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17</v>
      </c>
      <c r="F10" s="1" t="s">
        <v>70</v>
      </c>
      <c r="G10" s="11">
        <v>45854</v>
      </c>
      <c r="H10" s="25">
        <v>1600001734</v>
      </c>
      <c r="I10" s="1" t="s">
        <v>8</v>
      </c>
      <c r="J10" s="11">
        <v>45854</v>
      </c>
      <c r="K10" s="11">
        <v>45854</v>
      </c>
      <c r="L10" s="1" t="s">
        <v>71</v>
      </c>
      <c r="M10" s="35">
        <v>256779421366</v>
      </c>
      <c r="N10" s="1" t="s">
        <v>72</v>
      </c>
      <c r="O10" s="1" t="s">
        <v>73</v>
      </c>
      <c r="P10" s="1" t="s">
        <v>74</v>
      </c>
      <c r="Q10" s="1" t="s">
        <v>75</v>
      </c>
      <c r="R10" s="1" t="s">
        <v>76</v>
      </c>
      <c r="S10" s="12">
        <v>-531.9</v>
      </c>
      <c r="T10" s="1" t="s">
        <v>77</v>
      </c>
      <c r="U10" s="12">
        <v>-46111.08</v>
      </c>
      <c r="V10" s="1" t="s">
        <v>78</v>
      </c>
      <c r="W10" s="1" t="s">
        <v>79</v>
      </c>
      <c r="X10" s="1" t="s">
        <v>74</v>
      </c>
      <c r="Y10" s="1" t="s">
        <v>71</v>
      </c>
      <c r="Z10" s="1" t="s">
        <v>80</v>
      </c>
      <c r="AA10" s="1" t="s">
        <v>94</v>
      </c>
      <c r="AB10" s="1" t="s">
        <v>74</v>
      </c>
      <c r="AC10" s="1" t="s">
        <v>74</v>
      </c>
      <c r="AD10" s="1" t="s">
        <v>74</v>
      </c>
      <c r="AE10" s="11">
        <v>45854</v>
      </c>
      <c r="AF10" s="11">
        <v>45854</v>
      </c>
      <c r="AG10" s="1" t="s">
        <v>95</v>
      </c>
      <c r="AJ10" s="5" t="e" cm="1">
        <f t="array" ref="AJ10">_xlfn.XLOOKUP(M10,'Customer Data Vlookup'!$L:$L,'Customer Data Vlookup'!$M:$N,,0)</f>
        <v>#N/A</v>
      </c>
    </row>
    <row r="11" spans="1:40" hidden="1" x14ac:dyDescent="0.3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17</v>
      </c>
      <c r="F11" s="1" t="s">
        <v>70</v>
      </c>
      <c r="G11" s="11">
        <v>45854</v>
      </c>
      <c r="H11" s="25">
        <v>1800010650</v>
      </c>
      <c r="I11" s="1" t="s">
        <v>9</v>
      </c>
      <c r="J11" s="11">
        <v>45854</v>
      </c>
      <c r="K11" s="11">
        <v>45855</v>
      </c>
      <c r="L11" s="1" t="s">
        <v>71</v>
      </c>
      <c r="M11" s="35">
        <v>256779415410</v>
      </c>
      <c r="N11" s="1" t="s">
        <v>72</v>
      </c>
      <c r="O11" s="1" t="s">
        <v>73</v>
      </c>
      <c r="P11" s="1" t="s">
        <v>74</v>
      </c>
      <c r="Q11" s="1" t="s">
        <v>83</v>
      </c>
      <c r="R11" s="1" t="s">
        <v>76</v>
      </c>
      <c r="S11" s="12">
        <v>531.9</v>
      </c>
      <c r="T11" s="1" t="s">
        <v>77</v>
      </c>
      <c r="U11" s="12">
        <v>46111.08</v>
      </c>
      <c r="V11" s="1" t="s">
        <v>78</v>
      </c>
      <c r="W11" s="1" t="s">
        <v>79</v>
      </c>
      <c r="X11" s="1" t="s">
        <v>74</v>
      </c>
      <c r="Y11" s="1" t="s">
        <v>71</v>
      </c>
      <c r="Z11" s="1" t="s">
        <v>80</v>
      </c>
      <c r="AA11" s="1" t="s">
        <v>96</v>
      </c>
      <c r="AB11" s="1" t="s">
        <v>74</v>
      </c>
      <c r="AC11" s="1" t="s">
        <v>74</v>
      </c>
      <c r="AD11" s="1" t="s">
        <v>74</v>
      </c>
      <c r="AE11" s="11">
        <v>45854</v>
      </c>
      <c r="AF11" s="11">
        <v>45854</v>
      </c>
      <c r="AG11" s="1" t="s">
        <v>95</v>
      </c>
      <c r="AJ11" t="e" cm="1">
        <f t="array" ref="AJ11">_xlfn.XLOOKUP(M11,'Customer Data Vlookup'!$L:$L,'Customer Data Vlookup'!$M:$N,,0)</f>
        <v>#N/A</v>
      </c>
    </row>
    <row r="12" spans="1:40" hidden="1" x14ac:dyDescent="0.3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17</v>
      </c>
      <c r="F12" s="1" t="s">
        <v>70</v>
      </c>
      <c r="G12" s="11">
        <v>45854</v>
      </c>
      <c r="H12" s="25">
        <v>1600001739</v>
      </c>
      <c r="I12" s="1" t="s">
        <v>8</v>
      </c>
      <c r="J12" s="11">
        <v>45854</v>
      </c>
      <c r="K12" s="11">
        <v>45854</v>
      </c>
      <c r="L12" s="1" t="s">
        <v>71</v>
      </c>
      <c r="M12" s="35">
        <v>256779421371</v>
      </c>
      <c r="N12" s="1" t="s">
        <v>72</v>
      </c>
      <c r="O12" s="1" t="s">
        <v>73</v>
      </c>
      <c r="P12" s="1" t="s">
        <v>74</v>
      </c>
      <c r="Q12" s="1" t="s">
        <v>75</v>
      </c>
      <c r="R12" s="1" t="s">
        <v>76</v>
      </c>
      <c r="S12" s="12">
        <v>-525</v>
      </c>
      <c r="T12" s="1" t="s">
        <v>77</v>
      </c>
      <c r="U12" s="12">
        <v>-45512.91</v>
      </c>
      <c r="V12" s="1" t="s">
        <v>78</v>
      </c>
      <c r="W12" s="1" t="s">
        <v>79</v>
      </c>
      <c r="X12" s="1" t="s">
        <v>74</v>
      </c>
      <c r="Y12" s="1" t="s">
        <v>71</v>
      </c>
      <c r="Z12" s="1" t="s">
        <v>80</v>
      </c>
      <c r="AA12" s="1" t="s">
        <v>97</v>
      </c>
      <c r="AB12" s="1" t="s">
        <v>74</v>
      </c>
      <c r="AC12" s="1" t="s">
        <v>74</v>
      </c>
      <c r="AD12" s="1" t="s">
        <v>74</v>
      </c>
      <c r="AE12" s="11">
        <v>45854</v>
      </c>
      <c r="AF12" s="11">
        <v>45854</v>
      </c>
      <c r="AG12" s="1" t="s">
        <v>98</v>
      </c>
      <c r="AJ12" s="5" t="e" cm="1">
        <f t="array" ref="AJ12">_xlfn.XLOOKUP(M12,'Customer Data Vlookup'!$L:$L,'Customer Data Vlookup'!$M:$N,,0)</f>
        <v>#N/A</v>
      </c>
    </row>
    <row r="13" spans="1:40" hidden="1" x14ac:dyDescent="0.35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17</v>
      </c>
      <c r="F13" s="1" t="s">
        <v>70</v>
      </c>
      <c r="G13" s="11">
        <v>45854</v>
      </c>
      <c r="H13" s="25">
        <v>1800010651</v>
      </c>
      <c r="I13" s="1" t="s">
        <v>9</v>
      </c>
      <c r="J13" s="11">
        <v>45854</v>
      </c>
      <c r="K13" s="11">
        <v>45855</v>
      </c>
      <c r="L13" s="1" t="s">
        <v>71</v>
      </c>
      <c r="M13" s="35">
        <v>256779415411</v>
      </c>
      <c r="N13" s="1" t="s">
        <v>72</v>
      </c>
      <c r="O13" s="1" t="s">
        <v>73</v>
      </c>
      <c r="P13" s="1" t="s">
        <v>74</v>
      </c>
      <c r="Q13" s="1" t="s">
        <v>83</v>
      </c>
      <c r="R13" s="1" t="s">
        <v>76</v>
      </c>
      <c r="S13" s="12">
        <v>525</v>
      </c>
      <c r="T13" s="1" t="s">
        <v>77</v>
      </c>
      <c r="U13" s="12">
        <v>45512.91</v>
      </c>
      <c r="V13" s="1" t="s">
        <v>78</v>
      </c>
      <c r="W13" s="1" t="s">
        <v>79</v>
      </c>
      <c r="X13" s="1" t="s">
        <v>74</v>
      </c>
      <c r="Y13" s="1" t="s">
        <v>71</v>
      </c>
      <c r="Z13" s="1" t="s">
        <v>80</v>
      </c>
      <c r="AA13" s="1" t="s">
        <v>99</v>
      </c>
      <c r="AB13" s="1" t="s">
        <v>74</v>
      </c>
      <c r="AC13" s="1" t="s">
        <v>74</v>
      </c>
      <c r="AD13" s="1" t="s">
        <v>74</v>
      </c>
      <c r="AE13" s="11">
        <v>45854</v>
      </c>
      <c r="AF13" s="11">
        <v>45854</v>
      </c>
      <c r="AG13" s="1" t="s">
        <v>98</v>
      </c>
      <c r="AJ13" t="e" cm="1">
        <f t="array" ref="AJ13">_xlfn.XLOOKUP(M13,'Customer Data Vlookup'!$L:$L,'Customer Data Vlookup'!$M:$N,,0)</f>
        <v>#N/A</v>
      </c>
    </row>
    <row r="14" spans="1:40" hidden="1" x14ac:dyDescent="0.3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17</v>
      </c>
      <c r="F14" s="1" t="s">
        <v>70</v>
      </c>
      <c r="G14" s="11">
        <v>45854</v>
      </c>
      <c r="H14" s="25">
        <v>1600001729</v>
      </c>
      <c r="I14" s="1" t="s">
        <v>8</v>
      </c>
      <c r="J14" s="11">
        <v>45854</v>
      </c>
      <c r="K14" s="11">
        <v>45854</v>
      </c>
      <c r="L14" s="1" t="s">
        <v>71</v>
      </c>
      <c r="M14" s="35">
        <v>256779421361</v>
      </c>
      <c r="N14" s="1" t="s">
        <v>72</v>
      </c>
      <c r="O14" s="1" t="s">
        <v>73</v>
      </c>
      <c r="P14" s="1" t="s">
        <v>74</v>
      </c>
      <c r="Q14" s="1" t="s">
        <v>75</v>
      </c>
      <c r="R14" s="1" t="s">
        <v>76</v>
      </c>
      <c r="S14" s="12">
        <v>-364.25</v>
      </c>
      <c r="T14" s="1" t="s">
        <v>77</v>
      </c>
      <c r="U14" s="12">
        <v>-31577.29</v>
      </c>
      <c r="V14" s="1" t="s">
        <v>78</v>
      </c>
      <c r="W14" s="1" t="s">
        <v>79</v>
      </c>
      <c r="X14" s="1" t="s">
        <v>74</v>
      </c>
      <c r="Y14" s="1" t="s">
        <v>71</v>
      </c>
      <c r="Z14" s="1" t="s">
        <v>80</v>
      </c>
      <c r="AA14" s="1" t="s">
        <v>100</v>
      </c>
      <c r="AB14" s="1" t="s">
        <v>74</v>
      </c>
      <c r="AC14" s="1" t="s">
        <v>74</v>
      </c>
      <c r="AD14" s="1" t="s">
        <v>74</v>
      </c>
      <c r="AE14" s="11">
        <v>45854</v>
      </c>
      <c r="AF14" s="11">
        <v>45976</v>
      </c>
      <c r="AG14" s="1" t="s">
        <v>101</v>
      </c>
      <c r="AJ14" s="5" t="e" cm="1">
        <f t="array" ref="AJ14">_xlfn.XLOOKUP(M14,'Customer Data Vlookup'!$L:$L,'Customer Data Vlookup'!$M:$N,,0)</f>
        <v>#N/A</v>
      </c>
    </row>
    <row r="15" spans="1:40" hidden="1" x14ac:dyDescent="0.3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17</v>
      </c>
      <c r="F15" s="1" t="s">
        <v>70</v>
      </c>
      <c r="G15" s="11">
        <v>45854</v>
      </c>
      <c r="H15" s="25">
        <v>1600001730</v>
      </c>
      <c r="I15" s="1" t="s">
        <v>8</v>
      </c>
      <c r="J15" s="11">
        <v>45854</v>
      </c>
      <c r="K15" s="11">
        <v>45854</v>
      </c>
      <c r="L15" s="1" t="s">
        <v>71</v>
      </c>
      <c r="M15" s="35">
        <v>256779421362</v>
      </c>
      <c r="N15" s="1" t="s">
        <v>72</v>
      </c>
      <c r="O15" s="1" t="s">
        <v>73</v>
      </c>
      <c r="P15" s="1" t="s">
        <v>74</v>
      </c>
      <c r="Q15" s="1" t="s">
        <v>75</v>
      </c>
      <c r="R15" s="1" t="s">
        <v>76</v>
      </c>
      <c r="S15" s="12">
        <v>-237.35</v>
      </c>
      <c r="T15" s="1" t="s">
        <v>77</v>
      </c>
      <c r="U15" s="12">
        <v>-20576.169999999998</v>
      </c>
      <c r="V15" s="1" t="s">
        <v>78</v>
      </c>
      <c r="W15" s="1" t="s">
        <v>79</v>
      </c>
      <c r="X15" s="1" t="s">
        <v>74</v>
      </c>
      <c r="Y15" s="1" t="s">
        <v>71</v>
      </c>
      <c r="Z15" s="1" t="s">
        <v>80</v>
      </c>
      <c r="AA15" s="1" t="s">
        <v>102</v>
      </c>
      <c r="AB15" s="1" t="s">
        <v>74</v>
      </c>
      <c r="AC15" s="1" t="s">
        <v>74</v>
      </c>
      <c r="AD15" s="1" t="s">
        <v>74</v>
      </c>
      <c r="AE15" s="11">
        <v>45854</v>
      </c>
      <c r="AF15" s="11">
        <v>45976</v>
      </c>
      <c r="AG15" s="1" t="s">
        <v>101</v>
      </c>
      <c r="AJ15" s="5" t="e" cm="1">
        <f t="array" ref="AJ15">_xlfn.XLOOKUP(M15,'Customer Data Vlookup'!$L:$L,'Customer Data Vlookup'!$M:$N,,0)</f>
        <v>#N/A</v>
      </c>
    </row>
    <row r="16" spans="1:40" hidden="1" x14ac:dyDescent="0.35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17</v>
      </c>
      <c r="F16" s="1" t="s">
        <v>70</v>
      </c>
      <c r="G16" s="11">
        <v>45854</v>
      </c>
      <c r="H16" s="25">
        <v>1600001732</v>
      </c>
      <c r="I16" s="1" t="s">
        <v>8</v>
      </c>
      <c r="J16" s="11">
        <v>45854</v>
      </c>
      <c r="K16" s="11">
        <v>45854</v>
      </c>
      <c r="L16" s="1" t="s">
        <v>71</v>
      </c>
      <c r="M16" s="35">
        <v>256779421364</v>
      </c>
      <c r="N16" s="1" t="s">
        <v>72</v>
      </c>
      <c r="O16" s="1" t="s">
        <v>73</v>
      </c>
      <c r="P16" s="1" t="s">
        <v>74</v>
      </c>
      <c r="Q16" s="1" t="s">
        <v>75</v>
      </c>
      <c r="R16" s="1" t="s">
        <v>76</v>
      </c>
      <c r="S16" s="12">
        <v>-220</v>
      </c>
      <c r="T16" s="1" t="s">
        <v>77</v>
      </c>
      <c r="U16" s="12">
        <v>-19072.080000000002</v>
      </c>
      <c r="V16" s="1" t="s">
        <v>78</v>
      </c>
      <c r="W16" s="1" t="s">
        <v>79</v>
      </c>
      <c r="X16" s="1" t="s">
        <v>74</v>
      </c>
      <c r="Y16" s="1" t="s">
        <v>71</v>
      </c>
      <c r="Z16" s="1" t="s">
        <v>80</v>
      </c>
      <c r="AA16" s="1" t="s">
        <v>103</v>
      </c>
      <c r="AB16" s="1" t="s">
        <v>74</v>
      </c>
      <c r="AC16" s="1" t="s">
        <v>74</v>
      </c>
      <c r="AD16" s="1" t="s">
        <v>74</v>
      </c>
      <c r="AE16" s="11">
        <v>45854</v>
      </c>
      <c r="AF16" s="11">
        <v>45976</v>
      </c>
      <c r="AG16" s="1" t="s">
        <v>101</v>
      </c>
      <c r="AJ16" s="5" t="e" cm="1">
        <f t="array" ref="AJ16">_xlfn.XLOOKUP(M16,'Customer Data Vlookup'!$L:$L,'Customer Data Vlookup'!$M:$N,,0)</f>
        <v>#N/A</v>
      </c>
    </row>
    <row r="17" spans="1:36" hidden="1" x14ac:dyDescent="0.3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17</v>
      </c>
      <c r="F17" s="1" t="s">
        <v>70</v>
      </c>
      <c r="G17" s="11">
        <v>45854</v>
      </c>
      <c r="H17" s="25">
        <v>1600001733</v>
      </c>
      <c r="I17" s="1" t="s">
        <v>8</v>
      </c>
      <c r="J17" s="11">
        <v>45854</v>
      </c>
      <c r="K17" s="11">
        <v>45854</v>
      </c>
      <c r="L17" s="1" t="s">
        <v>71</v>
      </c>
      <c r="M17" s="35">
        <v>256779421365</v>
      </c>
      <c r="N17" s="1" t="s">
        <v>72</v>
      </c>
      <c r="O17" s="1" t="s">
        <v>73</v>
      </c>
      <c r="P17" s="1" t="s">
        <v>74</v>
      </c>
      <c r="Q17" s="1" t="s">
        <v>75</v>
      </c>
      <c r="R17" s="1" t="s">
        <v>76</v>
      </c>
      <c r="S17" s="12">
        <v>-375</v>
      </c>
      <c r="T17" s="1" t="s">
        <v>77</v>
      </c>
      <c r="U17" s="12">
        <v>-32509.22</v>
      </c>
      <c r="V17" s="1" t="s">
        <v>78</v>
      </c>
      <c r="W17" s="1" t="s">
        <v>79</v>
      </c>
      <c r="X17" s="1" t="s">
        <v>74</v>
      </c>
      <c r="Y17" s="1" t="s">
        <v>71</v>
      </c>
      <c r="Z17" s="1" t="s">
        <v>80</v>
      </c>
      <c r="AA17" s="1" t="s">
        <v>104</v>
      </c>
      <c r="AB17" s="1" t="s">
        <v>74</v>
      </c>
      <c r="AC17" s="1" t="s">
        <v>74</v>
      </c>
      <c r="AD17" s="1" t="s">
        <v>74</v>
      </c>
      <c r="AE17" s="11">
        <v>45854</v>
      </c>
      <c r="AF17" s="11">
        <v>45976</v>
      </c>
      <c r="AG17" s="1" t="s">
        <v>101</v>
      </c>
      <c r="AJ17" s="5" t="e" cm="1">
        <f t="array" ref="AJ17">_xlfn.XLOOKUP(M17,'Customer Data Vlookup'!$L:$L,'Customer Data Vlookup'!$M:$N,,0)</f>
        <v>#N/A</v>
      </c>
    </row>
    <row r="18" spans="1:36" hidden="1" x14ac:dyDescent="0.3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17</v>
      </c>
      <c r="F18" s="1" t="s">
        <v>70</v>
      </c>
      <c r="G18" s="11">
        <v>45854</v>
      </c>
      <c r="H18" s="25">
        <v>1600001735</v>
      </c>
      <c r="I18" s="1" t="s">
        <v>8</v>
      </c>
      <c r="J18" s="11">
        <v>45854</v>
      </c>
      <c r="K18" s="11">
        <v>45854</v>
      </c>
      <c r="L18" s="1" t="s">
        <v>71</v>
      </c>
      <c r="M18" s="35">
        <v>256779421367</v>
      </c>
      <c r="N18" s="1" t="s">
        <v>72</v>
      </c>
      <c r="O18" s="1" t="s">
        <v>73</v>
      </c>
      <c r="P18" s="1" t="s">
        <v>74</v>
      </c>
      <c r="Q18" s="1" t="s">
        <v>75</v>
      </c>
      <c r="R18" s="1" t="s">
        <v>76</v>
      </c>
      <c r="S18" s="12">
        <v>-1314.12</v>
      </c>
      <c r="T18" s="1" t="s">
        <v>77</v>
      </c>
      <c r="U18" s="12">
        <v>-114225.7</v>
      </c>
      <c r="V18" s="1" t="s">
        <v>78</v>
      </c>
      <c r="W18" s="1" t="s">
        <v>79</v>
      </c>
      <c r="X18" s="1" t="s">
        <v>74</v>
      </c>
      <c r="Y18" s="1" t="s">
        <v>71</v>
      </c>
      <c r="Z18" s="1" t="s">
        <v>80</v>
      </c>
      <c r="AA18" s="1" t="s">
        <v>105</v>
      </c>
      <c r="AB18" s="1" t="s">
        <v>74</v>
      </c>
      <c r="AC18" s="1" t="s">
        <v>74</v>
      </c>
      <c r="AD18" s="1" t="s">
        <v>74</v>
      </c>
      <c r="AE18" s="11">
        <v>45854</v>
      </c>
      <c r="AF18" s="11">
        <v>45976</v>
      </c>
      <c r="AG18" s="1" t="s">
        <v>101</v>
      </c>
      <c r="AJ18" s="5" t="e" cm="1">
        <f t="array" ref="AJ18">_xlfn.XLOOKUP(M18,'Customer Data Vlookup'!$L:$L,'Customer Data Vlookup'!$M:$N,,0)</f>
        <v>#N/A</v>
      </c>
    </row>
    <row r="19" spans="1:36" hidden="1" x14ac:dyDescent="0.35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17</v>
      </c>
      <c r="F19" s="1" t="s">
        <v>70</v>
      </c>
      <c r="G19" s="11">
        <v>45854</v>
      </c>
      <c r="H19" s="25">
        <v>1600001736</v>
      </c>
      <c r="I19" s="1" t="s">
        <v>8</v>
      </c>
      <c r="J19" s="11">
        <v>45854</v>
      </c>
      <c r="K19" s="11">
        <v>45854</v>
      </c>
      <c r="L19" s="1" t="s">
        <v>71</v>
      </c>
      <c r="M19" s="35">
        <v>256779421368</v>
      </c>
      <c r="N19" s="1" t="s">
        <v>72</v>
      </c>
      <c r="O19" s="1" t="s">
        <v>73</v>
      </c>
      <c r="P19" s="1" t="s">
        <v>74</v>
      </c>
      <c r="Q19" s="1" t="s">
        <v>75</v>
      </c>
      <c r="R19" s="1" t="s">
        <v>76</v>
      </c>
      <c r="S19" s="12">
        <v>-705</v>
      </c>
      <c r="T19" s="1" t="s">
        <v>77</v>
      </c>
      <c r="U19" s="12">
        <v>-61279.88</v>
      </c>
      <c r="V19" s="1" t="s">
        <v>78</v>
      </c>
      <c r="W19" s="1" t="s">
        <v>79</v>
      </c>
      <c r="X19" s="1" t="s">
        <v>74</v>
      </c>
      <c r="Y19" s="1" t="s">
        <v>71</v>
      </c>
      <c r="Z19" s="1" t="s">
        <v>80</v>
      </c>
      <c r="AA19" s="1" t="s">
        <v>106</v>
      </c>
      <c r="AB19" s="1" t="s">
        <v>74</v>
      </c>
      <c r="AC19" s="1" t="s">
        <v>74</v>
      </c>
      <c r="AD19" s="1" t="s">
        <v>74</v>
      </c>
      <c r="AE19" s="11">
        <v>45854</v>
      </c>
      <c r="AF19" s="11">
        <v>45976</v>
      </c>
      <c r="AG19" s="1" t="s">
        <v>101</v>
      </c>
      <c r="AJ19" s="5" t="e" cm="1">
        <f t="array" ref="AJ19">_xlfn.XLOOKUP(M19,'Customer Data Vlookup'!$L:$L,'Customer Data Vlookup'!$M:$N,,0)</f>
        <v>#N/A</v>
      </c>
    </row>
    <row r="20" spans="1:36" hidden="1" x14ac:dyDescent="0.35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17</v>
      </c>
      <c r="F20" s="1" t="s">
        <v>70</v>
      </c>
      <c r="G20" s="11">
        <v>45854</v>
      </c>
      <c r="H20" s="25">
        <v>1600001737</v>
      </c>
      <c r="I20" s="1" t="s">
        <v>8</v>
      </c>
      <c r="J20" s="11">
        <v>45854</v>
      </c>
      <c r="K20" s="11">
        <v>45854</v>
      </c>
      <c r="L20" s="1" t="s">
        <v>71</v>
      </c>
      <c r="M20" s="35">
        <v>256779421369</v>
      </c>
      <c r="N20" s="1" t="s">
        <v>72</v>
      </c>
      <c r="O20" s="1" t="s">
        <v>73</v>
      </c>
      <c r="P20" s="1" t="s">
        <v>74</v>
      </c>
      <c r="Q20" s="1" t="s">
        <v>75</v>
      </c>
      <c r="R20" s="1" t="s">
        <v>76</v>
      </c>
      <c r="S20" s="12">
        <v>-1793.99</v>
      </c>
      <c r="T20" s="1" t="s">
        <v>77</v>
      </c>
      <c r="U20" s="12">
        <v>-155936.88</v>
      </c>
      <c r="V20" s="1" t="s">
        <v>78</v>
      </c>
      <c r="W20" s="1" t="s">
        <v>79</v>
      </c>
      <c r="X20" s="1" t="s">
        <v>74</v>
      </c>
      <c r="Y20" s="1" t="s">
        <v>71</v>
      </c>
      <c r="Z20" s="1" t="s">
        <v>80</v>
      </c>
      <c r="AA20" s="1" t="s">
        <v>107</v>
      </c>
      <c r="AB20" s="1" t="s">
        <v>74</v>
      </c>
      <c r="AC20" s="1" t="s">
        <v>74</v>
      </c>
      <c r="AD20" s="1" t="s">
        <v>74</v>
      </c>
      <c r="AE20" s="11">
        <v>45854</v>
      </c>
      <c r="AF20" s="11">
        <v>45976</v>
      </c>
      <c r="AG20" s="1" t="s">
        <v>101</v>
      </c>
      <c r="AJ20" s="5" t="e" cm="1">
        <f t="array" ref="AJ20">_xlfn.XLOOKUP(M20,'Customer Data Vlookup'!$L:$L,'Customer Data Vlookup'!$M:$N,,0)</f>
        <v>#N/A</v>
      </c>
    </row>
    <row r="21" spans="1:36" hidden="1" x14ac:dyDescent="0.35">
      <c r="A21" s="1" t="s">
        <v>66</v>
      </c>
      <c r="B21" s="1" t="s">
        <v>67</v>
      </c>
      <c r="C21" s="1" t="s">
        <v>68</v>
      </c>
      <c r="D21" s="1" t="s">
        <v>69</v>
      </c>
      <c r="E21" s="1" t="s">
        <v>17</v>
      </c>
      <c r="F21" s="1" t="s">
        <v>70</v>
      </c>
      <c r="G21" s="11">
        <v>45854</v>
      </c>
      <c r="H21" s="25">
        <v>1600001738</v>
      </c>
      <c r="I21" s="1" t="s">
        <v>8</v>
      </c>
      <c r="J21" s="11">
        <v>45854</v>
      </c>
      <c r="K21" s="11">
        <v>45854</v>
      </c>
      <c r="L21" s="1" t="s">
        <v>71</v>
      </c>
      <c r="M21" s="35">
        <v>256779421370</v>
      </c>
      <c r="N21" s="1" t="s">
        <v>72</v>
      </c>
      <c r="O21" s="1" t="s">
        <v>73</v>
      </c>
      <c r="P21" s="1" t="s">
        <v>74</v>
      </c>
      <c r="Q21" s="1" t="s">
        <v>75</v>
      </c>
      <c r="R21" s="1" t="s">
        <v>76</v>
      </c>
      <c r="S21" s="12">
        <v>-140</v>
      </c>
      <c r="T21" s="1" t="s">
        <v>77</v>
      </c>
      <c r="U21" s="12">
        <v>-12169.05</v>
      </c>
      <c r="V21" s="1" t="s">
        <v>78</v>
      </c>
      <c r="W21" s="1" t="s">
        <v>79</v>
      </c>
      <c r="X21" s="1" t="s">
        <v>74</v>
      </c>
      <c r="Y21" s="1" t="s">
        <v>71</v>
      </c>
      <c r="Z21" s="1" t="s">
        <v>80</v>
      </c>
      <c r="AA21" s="1" t="s">
        <v>108</v>
      </c>
      <c r="AB21" s="1" t="s">
        <v>74</v>
      </c>
      <c r="AC21" s="1" t="s">
        <v>74</v>
      </c>
      <c r="AD21" s="1" t="s">
        <v>74</v>
      </c>
      <c r="AE21" s="11">
        <v>45854</v>
      </c>
      <c r="AF21" s="11">
        <v>45976</v>
      </c>
      <c r="AG21" s="1" t="s">
        <v>101</v>
      </c>
      <c r="AJ21" s="5" t="e" cm="1">
        <f t="array" ref="AJ21">_xlfn.XLOOKUP(M21,'Customer Data Vlookup'!$L:$L,'Customer Data Vlookup'!$M:$N,,0)</f>
        <v>#N/A</v>
      </c>
    </row>
    <row r="22" spans="1:36" hidden="1" x14ac:dyDescent="0.35">
      <c r="A22" s="1" t="s">
        <v>66</v>
      </c>
      <c r="B22" s="1" t="s">
        <v>67</v>
      </c>
      <c r="C22" s="1" t="s">
        <v>68</v>
      </c>
      <c r="D22" s="1" t="s">
        <v>69</v>
      </c>
      <c r="E22" s="1" t="s">
        <v>17</v>
      </c>
      <c r="F22" s="1" t="s">
        <v>70</v>
      </c>
      <c r="G22" s="11">
        <v>45854</v>
      </c>
      <c r="H22" s="25">
        <v>1600001740</v>
      </c>
      <c r="I22" s="1" t="s">
        <v>8</v>
      </c>
      <c r="J22" s="11">
        <v>45854</v>
      </c>
      <c r="K22" s="11">
        <v>45854</v>
      </c>
      <c r="L22" s="1" t="s">
        <v>71</v>
      </c>
      <c r="M22" s="35">
        <v>256779421372</v>
      </c>
      <c r="N22" s="1" t="s">
        <v>72</v>
      </c>
      <c r="O22" s="1" t="s">
        <v>73</v>
      </c>
      <c r="P22" s="1" t="s">
        <v>74</v>
      </c>
      <c r="Q22" s="1" t="s">
        <v>75</v>
      </c>
      <c r="R22" s="1" t="s">
        <v>76</v>
      </c>
      <c r="S22" s="12">
        <v>-385</v>
      </c>
      <c r="T22" s="1" t="s">
        <v>77</v>
      </c>
      <c r="U22" s="12">
        <v>-33376.14</v>
      </c>
      <c r="V22" s="1" t="s">
        <v>78</v>
      </c>
      <c r="W22" s="1" t="s">
        <v>79</v>
      </c>
      <c r="X22" s="1" t="s">
        <v>74</v>
      </c>
      <c r="Y22" s="1" t="s">
        <v>71</v>
      </c>
      <c r="Z22" s="1" t="s">
        <v>80</v>
      </c>
      <c r="AA22" s="1" t="s">
        <v>109</v>
      </c>
      <c r="AB22" s="1" t="s">
        <v>74</v>
      </c>
      <c r="AC22" s="1" t="s">
        <v>74</v>
      </c>
      <c r="AD22" s="1" t="s">
        <v>74</v>
      </c>
      <c r="AE22" s="11">
        <v>45854</v>
      </c>
      <c r="AF22" s="11">
        <v>45976</v>
      </c>
      <c r="AG22" s="1" t="s">
        <v>101</v>
      </c>
      <c r="AJ22" s="5" t="e" cm="1">
        <f t="array" ref="AJ22">_xlfn.XLOOKUP(M22,'Customer Data Vlookup'!$L:$L,'Customer Data Vlookup'!$M:$N,,0)</f>
        <v>#N/A</v>
      </c>
    </row>
    <row r="23" spans="1:36" hidden="1" x14ac:dyDescent="0.35">
      <c r="A23" s="1" t="s">
        <v>66</v>
      </c>
      <c r="B23" s="1" t="s">
        <v>67</v>
      </c>
      <c r="C23" s="1" t="s">
        <v>68</v>
      </c>
      <c r="D23" s="1" t="s">
        <v>69</v>
      </c>
      <c r="E23" s="1" t="s">
        <v>17</v>
      </c>
      <c r="F23" s="1" t="s">
        <v>70</v>
      </c>
      <c r="G23" s="11">
        <v>45854</v>
      </c>
      <c r="H23" s="25">
        <v>1600001741</v>
      </c>
      <c r="I23" s="1" t="s">
        <v>8</v>
      </c>
      <c r="J23" s="11">
        <v>45854</v>
      </c>
      <c r="K23" s="11">
        <v>45854</v>
      </c>
      <c r="L23" s="1" t="s">
        <v>71</v>
      </c>
      <c r="M23" s="35">
        <v>256779421373</v>
      </c>
      <c r="N23" s="1" t="s">
        <v>72</v>
      </c>
      <c r="O23" s="1" t="s">
        <v>73</v>
      </c>
      <c r="P23" s="1" t="s">
        <v>74</v>
      </c>
      <c r="Q23" s="1" t="s">
        <v>75</v>
      </c>
      <c r="R23" s="1" t="s">
        <v>76</v>
      </c>
      <c r="S23" s="12">
        <v>-105</v>
      </c>
      <c r="T23" s="1" t="s">
        <v>77</v>
      </c>
      <c r="U23" s="12">
        <v>-9102.58</v>
      </c>
      <c r="V23" s="1" t="s">
        <v>78</v>
      </c>
      <c r="W23" s="1" t="s">
        <v>79</v>
      </c>
      <c r="X23" s="1" t="s">
        <v>74</v>
      </c>
      <c r="Y23" s="1" t="s">
        <v>71</v>
      </c>
      <c r="Z23" s="1" t="s">
        <v>80</v>
      </c>
      <c r="AA23" s="1" t="s">
        <v>110</v>
      </c>
      <c r="AB23" s="1" t="s">
        <v>74</v>
      </c>
      <c r="AC23" s="1" t="s">
        <v>74</v>
      </c>
      <c r="AD23" s="1" t="s">
        <v>74</v>
      </c>
      <c r="AE23" s="11">
        <v>45854</v>
      </c>
      <c r="AF23" s="11">
        <v>45976</v>
      </c>
      <c r="AG23" s="1" t="s">
        <v>101</v>
      </c>
      <c r="AJ23" s="5" t="e" cm="1">
        <f t="array" ref="AJ23">_xlfn.XLOOKUP(M23,'Customer Data Vlookup'!$L:$L,'Customer Data Vlookup'!$M:$N,,0)</f>
        <v>#N/A</v>
      </c>
    </row>
    <row r="24" spans="1:36" hidden="1" x14ac:dyDescent="0.35">
      <c r="A24" s="1" t="s">
        <v>66</v>
      </c>
      <c r="B24" s="1" t="s">
        <v>67</v>
      </c>
      <c r="C24" s="1" t="s">
        <v>68</v>
      </c>
      <c r="D24" s="1" t="s">
        <v>69</v>
      </c>
      <c r="E24" s="1" t="s">
        <v>17</v>
      </c>
      <c r="F24" s="1" t="s">
        <v>70</v>
      </c>
      <c r="G24" s="11">
        <v>45854</v>
      </c>
      <c r="H24" s="25">
        <v>1600001742</v>
      </c>
      <c r="I24" s="1" t="s">
        <v>8</v>
      </c>
      <c r="J24" s="11">
        <v>45854</v>
      </c>
      <c r="K24" s="11">
        <v>45854</v>
      </c>
      <c r="L24" s="1" t="s">
        <v>71</v>
      </c>
      <c r="M24" s="35">
        <v>256779421374</v>
      </c>
      <c r="N24" s="1" t="s">
        <v>72</v>
      </c>
      <c r="O24" s="1" t="s">
        <v>73</v>
      </c>
      <c r="P24" s="1" t="s">
        <v>74</v>
      </c>
      <c r="Q24" s="1" t="s">
        <v>75</v>
      </c>
      <c r="R24" s="1" t="s">
        <v>76</v>
      </c>
      <c r="S24" s="12">
        <v>-245</v>
      </c>
      <c r="T24" s="1" t="s">
        <v>77</v>
      </c>
      <c r="U24" s="12">
        <v>-21239.360000000001</v>
      </c>
      <c r="V24" s="1" t="s">
        <v>78</v>
      </c>
      <c r="W24" s="1" t="s">
        <v>79</v>
      </c>
      <c r="X24" s="1" t="s">
        <v>74</v>
      </c>
      <c r="Y24" s="1" t="s">
        <v>71</v>
      </c>
      <c r="Z24" s="1" t="s">
        <v>80</v>
      </c>
      <c r="AA24" s="1" t="s">
        <v>111</v>
      </c>
      <c r="AB24" s="1" t="s">
        <v>74</v>
      </c>
      <c r="AC24" s="1" t="s">
        <v>74</v>
      </c>
      <c r="AD24" s="1" t="s">
        <v>74</v>
      </c>
      <c r="AE24" s="11">
        <v>45854</v>
      </c>
      <c r="AF24" s="11">
        <v>45976</v>
      </c>
      <c r="AG24" s="1" t="s">
        <v>101</v>
      </c>
      <c r="AJ24" s="5" t="e" cm="1">
        <f t="array" ref="AJ24">_xlfn.XLOOKUP(M24,'Customer Data Vlookup'!$L:$L,'Customer Data Vlookup'!$M:$N,,0)</f>
        <v>#N/A</v>
      </c>
    </row>
    <row r="25" spans="1:36" hidden="1" x14ac:dyDescent="0.35">
      <c r="A25" s="1" t="s">
        <v>66</v>
      </c>
      <c r="B25" s="1" t="s">
        <v>67</v>
      </c>
      <c r="C25" s="1" t="s">
        <v>68</v>
      </c>
      <c r="D25" s="1" t="s">
        <v>69</v>
      </c>
      <c r="E25" s="1" t="s">
        <v>17</v>
      </c>
      <c r="F25" s="1" t="s">
        <v>70</v>
      </c>
      <c r="G25" s="11">
        <v>45854</v>
      </c>
      <c r="H25" s="25">
        <v>1600001743</v>
      </c>
      <c r="I25" s="1" t="s">
        <v>8</v>
      </c>
      <c r="J25" s="11">
        <v>45854</v>
      </c>
      <c r="K25" s="11">
        <v>45854</v>
      </c>
      <c r="L25" s="1" t="s">
        <v>71</v>
      </c>
      <c r="M25" s="35">
        <v>256779421375</v>
      </c>
      <c r="N25" s="1" t="s">
        <v>72</v>
      </c>
      <c r="O25" s="1" t="s">
        <v>73</v>
      </c>
      <c r="P25" s="1" t="s">
        <v>74</v>
      </c>
      <c r="Q25" s="1" t="s">
        <v>75</v>
      </c>
      <c r="R25" s="1" t="s">
        <v>76</v>
      </c>
      <c r="S25" s="12">
        <v>-220</v>
      </c>
      <c r="T25" s="1" t="s">
        <v>77</v>
      </c>
      <c r="U25" s="12">
        <v>-19072.080000000002</v>
      </c>
      <c r="V25" s="1" t="s">
        <v>78</v>
      </c>
      <c r="W25" s="1" t="s">
        <v>79</v>
      </c>
      <c r="X25" s="1" t="s">
        <v>74</v>
      </c>
      <c r="Y25" s="1" t="s">
        <v>71</v>
      </c>
      <c r="Z25" s="1" t="s">
        <v>80</v>
      </c>
      <c r="AA25" s="1" t="s">
        <v>112</v>
      </c>
      <c r="AB25" s="1" t="s">
        <v>74</v>
      </c>
      <c r="AC25" s="1" t="s">
        <v>74</v>
      </c>
      <c r="AD25" s="1" t="s">
        <v>74</v>
      </c>
      <c r="AE25" s="11">
        <v>45854</v>
      </c>
      <c r="AF25" s="11">
        <v>45976</v>
      </c>
      <c r="AG25" s="1" t="s">
        <v>101</v>
      </c>
      <c r="AJ25" s="5" t="e" cm="1">
        <f t="array" ref="AJ25">_xlfn.XLOOKUP(M25,'Customer Data Vlookup'!$L:$L,'Customer Data Vlookup'!$M:$N,,0)</f>
        <v>#N/A</v>
      </c>
    </row>
    <row r="26" spans="1:36" hidden="1" x14ac:dyDescent="0.35">
      <c r="A26" s="1" t="s">
        <v>66</v>
      </c>
      <c r="B26" s="1" t="s">
        <v>67</v>
      </c>
      <c r="C26" s="1" t="s">
        <v>68</v>
      </c>
      <c r="D26" s="1" t="s">
        <v>69</v>
      </c>
      <c r="E26" s="1" t="s">
        <v>17</v>
      </c>
      <c r="F26" s="1" t="s">
        <v>70</v>
      </c>
      <c r="G26" s="11">
        <v>45854</v>
      </c>
      <c r="H26" s="25">
        <v>1600001744</v>
      </c>
      <c r="I26" s="1" t="s">
        <v>8</v>
      </c>
      <c r="J26" s="11">
        <v>45854</v>
      </c>
      <c r="K26" s="11">
        <v>45854</v>
      </c>
      <c r="L26" s="1" t="s">
        <v>71</v>
      </c>
      <c r="M26" s="35">
        <v>256779421376</v>
      </c>
      <c r="N26" s="1" t="s">
        <v>72</v>
      </c>
      <c r="O26" s="1" t="s">
        <v>73</v>
      </c>
      <c r="P26" s="1" t="s">
        <v>74</v>
      </c>
      <c r="Q26" s="1" t="s">
        <v>75</v>
      </c>
      <c r="R26" s="1" t="s">
        <v>76</v>
      </c>
      <c r="S26" s="12">
        <v>-70</v>
      </c>
      <c r="T26" s="1" t="s">
        <v>77</v>
      </c>
      <c r="U26" s="12">
        <v>-6084.53</v>
      </c>
      <c r="V26" s="1" t="s">
        <v>78</v>
      </c>
      <c r="W26" s="1" t="s">
        <v>79</v>
      </c>
      <c r="X26" s="1" t="s">
        <v>74</v>
      </c>
      <c r="Y26" s="1" t="s">
        <v>71</v>
      </c>
      <c r="Z26" s="1" t="s">
        <v>80</v>
      </c>
      <c r="AA26" s="1" t="s">
        <v>113</v>
      </c>
      <c r="AB26" s="1" t="s">
        <v>74</v>
      </c>
      <c r="AC26" s="1" t="s">
        <v>74</v>
      </c>
      <c r="AD26" s="1" t="s">
        <v>74</v>
      </c>
      <c r="AE26" s="11">
        <v>45854</v>
      </c>
      <c r="AF26" s="11">
        <v>45976</v>
      </c>
      <c r="AG26" s="1" t="s">
        <v>101</v>
      </c>
      <c r="AJ26" s="5" t="e" cm="1">
        <f t="array" ref="AJ26">_xlfn.XLOOKUP(M26,'Customer Data Vlookup'!$L:$L,'Customer Data Vlookup'!$M:$N,,0)</f>
        <v>#N/A</v>
      </c>
    </row>
    <row r="27" spans="1:36" hidden="1" x14ac:dyDescent="0.35">
      <c r="A27" s="1" t="s">
        <v>66</v>
      </c>
      <c r="B27" s="1" t="s">
        <v>67</v>
      </c>
      <c r="C27" s="1" t="s">
        <v>68</v>
      </c>
      <c r="D27" s="1" t="s">
        <v>69</v>
      </c>
      <c r="E27" s="1" t="s">
        <v>17</v>
      </c>
      <c r="F27" s="1" t="s">
        <v>70</v>
      </c>
      <c r="G27" s="11">
        <v>45854</v>
      </c>
      <c r="H27" s="25">
        <v>1600001745</v>
      </c>
      <c r="I27" s="1" t="s">
        <v>8</v>
      </c>
      <c r="J27" s="11">
        <v>45854</v>
      </c>
      <c r="K27" s="11">
        <v>45854</v>
      </c>
      <c r="L27" s="1" t="s">
        <v>71</v>
      </c>
      <c r="M27" s="35">
        <v>256779421377</v>
      </c>
      <c r="N27" s="1" t="s">
        <v>72</v>
      </c>
      <c r="O27" s="1" t="s">
        <v>73</v>
      </c>
      <c r="P27" s="1" t="s">
        <v>74</v>
      </c>
      <c r="Q27" s="1" t="s">
        <v>75</v>
      </c>
      <c r="R27" s="1" t="s">
        <v>76</v>
      </c>
      <c r="S27" s="12">
        <v>-140</v>
      </c>
      <c r="T27" s="1" t="s">
        <v>77</v>
      </c>
      <c r="U27" s="12">
        <v>-12037.72</v>
      </c>
      <c r="V27" s="1" t="s">
        <v>78</v>
      </c>
      <c r="W27" s="1" t="s">
        <v>79</v>
      </c>
      <c r="X27" s="1" t="s">
        <v>74</v>
      </c>
      <c r="Y27" s="1" t="s">
        <v>71</v>
      </c>
      <c r="Z27" s="1" t="s">
        <v>80</v>
      </c>
      <c r="AA27" s="1" t="s">
        <v>114</v>
      </c>
      <c r="AB27" s="1" t="s">
        <v>74</v>
      </c>
      <c r="AC27" s="1" t="s">
        <v>74</v>
      </c>
      <c r="AD27" s="1" t="s">
        <v>74</v>
      </c>
      <c r="AE27" s="11">
        <v>45854</v>
      </c>
      <c r="AF27" s="11">
        <v>45976</v>
      </c>
      <c r="AG27" s="1" t="s">
        <v>101</v>
      </c>
      <c r="AJ27" s="5" t="e" cm="1">
        <f t="array" ref="AJ27">_xlfn.XLOOKUP(M27,'Customer Data Vlookup'!$L:$L,'Customer Data Vlookup'!$M:$N,,0)</f>
        <v>#N/A</v>
      </c>
    </row>
    <row r="28" spans="1:36" hidden="1" x14ac:dyDescent="0.35">
      <c r="A28" s="1" t="s">
        <v>66</v>
      </c>
      <c r="B28" s="1" t="s">
        <v>67</v>
      </c>
      <c r="C28" s="1" t="s">
        <v>68</v>
      </c>
      <c r="D28" s="1" t="s">
        <v>69</v>
      </c>
      <c r="E28" s="1" t="s">
        <v>17</v>
      </c>
      <c r="F28" s="1" t="s">
        <v>70</v>
      </c>
      <c r="G28" s="11">
        <v>45854</v>
      </c>
      <c r="H28" s="25">
        <v>1600001746</v>
      </c>
      <c r="I28" s="1" t="s">
        <v>8</v>
      </c>
      <c r="J28" s="11">
        <v>45854</v>
      </c>
      <c r="K28" s="11">
        <v>45854</v>
      </c>
      <c r="L28" s="1" t="s">
        <v>71</v>
      </c>
      <c r="M28" s="35">
        <v>256779421378</v>
      </c>
      <c r="N28" s="1" t="s">
        <v>72</v>
      </c>
      <c r="O28" s="1" t="s">
        <v>73</v>
      </c>
      <c r="P28" s="1" t="s">
        <v>74</v>
      </c>
      <c r="Q28" s="1" t="s">
        <v>75</v>
      </c>
      <c r="R28" s="1" t="s">
        <v>76</v>
      </c>
      <c r="S28" s="12">
        <v>-140</v>
      </c>
      <c r="T28" s="1" t="s">
        <v>77</v>
      </c>
      <c r="U28" s="12">
        <v>-12037.72</v>
      </c>
      <c r="V28" s="1" t="s">
        <v>78</v>
      </c>
      <c r="W28" s="1" t="s">
        <v>79</v>
      </c>
      <c r="X28" s="1" t="s">
        <v>74</v>
      </c>
      <c r="Y28" s="1" t="s">
        <v>71</v>
      </c>
      <c r="Z28" s="1" t="s">
        <v>80</v>
      </c>
      <c r="AA28" s="1" t="s">
        <v>115</v>
      </c>
      <c r="AB28" s="1" t="s">
        <v>74</v>
      </c>
      <c r="AC28" s="1" t="s">
        <v>74</v>
      </c>
      <c r="AD28" s="1" t="s">
        <v>74</v>
      </c>
      <c r="AE28" s="11">
        <v>45854</v>
      </c>
      <c r="AF28" s="11">
        <v>45976</v>
      </c>
      <c r="AG28" s="1" t="s">
        <v>101</v>
      </c>
      <c r="AJ28" s="5" t="e" cm="1">
        <f t="array" ref="AJ28">_xlfn.XLOOKUP(M28,'Customer Data Vlookup'!$L:$L,'Customer Data Vlookup'!$M:$N,,0)</f>
        <v>#N/A</v>
      </c>
    </row>
    <row r="29" spans="1:36" hidden="1" x14ac:dyDescent="0.35">
      <c r="A29" s="1" t="s">
        <v>66</v>
      </c>
      <c r="B29" s="1" t="s">
        <v>67</v>
      </c>
      <c r="C29" s="1" t="s">
        <v>68</v>
      </c>
      <c r="D29" s="1" t="s">
        <v>69</v>
      </c>
      <c r="E29" s="1" t="s">
        <v>17</v>
      </c>
      <c r="F29" s="1" t="s">
        <v>70</v>
      </c>
      <c r="G29" s="11">
        <v>45854</v>
      </c>
      <c r="H29" s="25">
        <v>1600001747</v>
      </c>
      <c r="I29" s="1" t="s">
        <v>8</v>
      </c>
      <c r="J29" s="11">
        <v>45854</v>
      </c>
      <c r="K29" s="11">
        <v>45854</v>
      </c>
      <c r="L29" s="1" t="s">
        <v>71</v>
      </c>
      <c r="M29" s="35">
        <v>256779421379</v>
      </c>
      <c r="N29" s="1" t="s">
        <v>72</v>
      </c>
      <c r="O29" s="1" t="s">
        <v>73</v>
      </c>
      <c r="P29" s="1" t="s">
        <v>74</v>
      </c>
      <c r="Q29" s="1" t="s">
        <v>75</v>
      </c>
      <c r="R29" s="1" t="s">
        <v>76</v>
      </c>
      <c r="S29" s="12">
        <v>-190</v>
      </c>
      <c r="T29" s="1" t="s">
        <v>77</v>
      </c>
      <c r="U29" s="12">
        <v>-16243.25</v>
      </c>
      <c r="V29" s="1" t="s">
        <v>78</v>
      </c>
      <c r="W29" s="1" t="s">
        <v>79</v>
      </c>
      <c r="X29" s="1" t="s">
        <v>74</v>
      </c>
      <c r="Y29" s="1" t="s">
        <v>71</v>
      </c>
      <c r="Z29" s="1" t="s">
        <v>80</v>
      </c>
      <c r="AA29" s="1" t="s">
        <v>116</v>
      </c>
      <c r="AB29" s="1" t="s">
        <v>74</v>
      </c>
      <c r="AC29" s="1" t="s">
        <v>74</v>
      </c>
      <c r="AD29" s="1" t="s">
        <v>74</v>
      </c>
      <c r="AE29" s="11">
        <v>45854</v>
      </c>
      <c r="AF29" s="11">
        <v>45976</v>
      </c>
      <c r="AG29" s="1" t="s">
        <v>101</v>
      </c>
      <c r="AJ29" s="5" t="e" cm="1">
        <f t="array" ref="AJ29">_xlfn.XLOOKUP(M29,'Customer Data Vlookup'!$L:$L,'Customer Data Vlookup'!$M:$N,,0)</f>
        <v>#N/A</v>
      </c>
    </row>
    <row r="30" spans="1:36" hidden="1" x14ac:dyDescent="0.35">
      <c r="A30" s="1" t="s">
        <v>66</v>
      </c>
      <c r="B30" s="1" t="s">
        <v>67</v>
      </c>
      <c r="C30" s="1" t="s">
        <v>68</v>
      </c>
      <c r="D30" s="1" t="s">
        <v>69</v>
      </c>
      <c r="E30" s="1" t="s">
        <v>17</v>
      </c>
      <c r="F30" s="1" t="s">
        <v>70</v>
      </c>
      <c r="G30" s="11">
        <v>45854</v>
      </c>
      <c r="H30" s="25">
        <v>1600001748</v>
      </c>
      <c r="I30" s="1" t="s">
        <v>8</v>
      </c>
      <c r="J30" s="11">
        <v>45854</v>
      </c>
      <c r="K30" s="11">
        <v>45855</v>
      </c>
      <c r="L30" s="1" t="s">
        <v>71</v>
      </c>
      <c r="M30" s="35">
        <v>256779421380</v>
      </c>
      <c r="N30" s="1" t="s">
        <v>72</v>
      </c>
      <c r="O30" s="1" t="s">
        <v>73</v>
      </c>
      <c r="P30" s="1" t="s">
        <v>74</v>
      </c>
      <c r="Q30" s="1" t="s">
        <v>75</v>
      </c>
      <c r="R30" s="1" t="s">
        <v>76</v>
      </c>
      <c r="S30" s="12">
        <v>-182.83</v>
      </c>
      <c r="T30" s="1" t="s">
        <v>77</v>
      </c>
      <c r="U30" s="12">
        <v>-15778.9</v>
      </c>
      <c r="V30" s="1" t="s">
        <v>78</v>
      </c>
      <c r="W30" s="1" t="s">
        <v>79</v>
      </c>
      <c r="X30" s="1" t="s">
        <v>74</v>
      </c>
      <c r="Y30" s="1" t="s">
        <v>71</v>
      </c>
      <c r="Z30" s="1" t="s">
        <v>80</v>
      </c>
      <c r="AA30" s="1" t="s">
        <v>117</v>
      </c>
      <c r="AB30" s="1" t="s">
        <v>74</v>
      </c>
      <c r="AC30" s="1" t="s">
        <v>74</v>
      </c>
      <c r="AD30" s="1" t="s">
        <v>74</v>
      </c>
      <c r="AE30" s="11">
        <v>45854</v>
      </c>
      <c r="AF30" s="11">
        <v>45976</v>
      </c>
      <c r="AG30" s="1" t="s">
        <v>118</v>
      </c>
      <c r="AJ30" s="5" t="e" cm="1">
        <f t="array" ref="AJ30">_xlfn.XLOOKUP(M30,'Customer Data Vlookup'!$L:$L,'Customer Data Vlookup'!$M:$N,,0)</f>
        <v>#N/A</v>
      </c>
    </row>
    <row r="31" spans="1:36" hidden="1" x14ac:dyDescent="0.35">
      <c r="A31" s="1" t="s">
        <v>66</v>
      </c>
      <c r="B31" s="1" t="s">
        <v>67</v>
      </c>
      <c r="C31" s="1" t="s">
        <v>68</v>
      </c>
      <c r="D31" s="1" t="s">
        <v>69</v>
      </c>
      <c r="E31" s="1" t="s">
        <v>17</v>
      </c>
      <c r="F31" s="1" t="s">
        <v>70</v>
      </c>
      <c r="G31" s="11">
        <v>45854</v>
      </c>
      <c r="H31" s="25">
        <v>1600001749</v>
      </c>
      <c r="I31" s="1" t="s">
        <v>8</v>
      </c>
      <c r="J31" s="11">
        <v>45854</v>
      </c>
      <c r="K31" s="11">
        <v>45855</v>
      </c>
      <c r="L31" s="1" t="s">
        <v>71</v>
      </c>
      <c r="M31" s="35">
        <v>256779421381</v>
      </c>
      <c r="N31" s="1" t="s">
        <v>72</v>
      </c>
      <c r="O31" s="1" t="s">
        <v>73</v>
      </c>
      <c r="P31" s="1" t="s">
        <v>74</v>
      </c>
      <c r="Q31" s="1" t="s">
        <v>75</v>
      </c>
      <c r="R31" s="1" t="s">
        <v>76</v>
      </c>
      <c r="S31" s="12">
        <v>-55.46</v>
      </c>
      <c r="T31" s="1" t="s">
        <v>77</v>
      </c>
      <c r="U31" s="12">
        <v>-4786.3999999999996</v>
      </c>
      <c r="V31" s="1" t="s">
        <v>78</v>
      </c>
      <c r="W31" s="1" t="s">
        <v>79</v>
      </c>
      <c r="X31" s="1" t="s">
        <v>74</v>
      </c>
      <c r="Y31" s="1" t="s">
        <v>71</v>
      </c>
      <c r="Z31" s="1" t="s">
        <v>80</v>
      </c>
      <c r="AA31" s="1" t="s">
        <v>119</v>
      </c>
      <c r="AB31" s="1" t="s">
        <v>74</v>
      </c>
      <c r="AC31" s="1" t="s">
        <v>74</v>
      </c>
      <c r="AD31" s="1" t="s">
        <v>74</v>
      </c>
      <c r="AE31" s="11">
        <v>45854</v>
      </c>
      <c r="AF31" s="11">
        <v>45976</v>
      </c>
      <c r="AG31" s="1" t="s">
        <v>118</v>
      </c>
      <c r="AJ31" s="5" t="e" cm="1">
        <f t="array" ref="AJ31">_xlfn.XLOOKUP(M31,'Customer Data Vlookup'!$L:$L,'Customer Data Vlookup'!$M:$N,,0)</f>
        <v>#N/A</v>
      </c>
    </row>
    <row r="32" spans="1:36" hidden="1" x14ac:dyDescent="0.35">
      <c r="A32" s="1" t="s">
        <v>66</v>
      </c>
      <c r="B32" s="1" t="s">
        <v>67</v>
      </c>
      <c r="C32" s="1" t="s">
        <v>68</v>
      </c>
      <c r="D32" s="1" t="s">
        <v>69</v>
      </c>
      <c r="E32" s="1" t="s">
        <v>17</v>
      </c>
      <c r="F32" s="1" t="s">
        <v>70</v>
      </c>
      <c r="G32" s="11">
        <v>45854</v>
      </c>
      <c r="H32" s="25">
        <v>1600001750</v>
      </c>
      <c r="I32" s="1" t="s">
        <v>8</v>
      </c>
      <c r="J32" s="11">
        <v>45854</v>
      </c>
      <c r="K32" s="11">
        <v>45855</v>
      </c>
      <c r="L32" s="1" t="s">
        <v>71</v>
      </c>
      <c r="M32" s="35">
        <v>256779421382</v>
      </c>
      <c r="N32" s="1" t="s">
        <v>72</v>
      </c>
      <c r="O32" s="1" t="s">
        <v>73</v>
      </c>
      <c r="P32" s="1" t="s">
        <v>74</v>
      </c>
      <c r="Q32" s="1" t="s">
        <v>75</v>
      </c>
      <c r="R32" s="1" t="s">
        <v>76</v>
      </c>
      <c r="S32" s="12">
        <v>-177.66</v>
      </c>
      <c r="T32" s="1" t="s">
        <v>77</v>
      </c>
      <c r="U32" s="12">
        <v>-15401.57</v>
      </c>
      <c r="V32" s="1" t="s">
        <v>78</v>
      </c>
      <c r="W32" s="1" t="s">
        <v>79</v>
      </c>
      <c r="X32" s="1" t="s">
        <v>74</v>
      </c>
      <c r="Y32" s="1" t="s">
        <v>71</v>
      </c>
      <c r="Z32" s="1" t="s">
        <v>80</v>
      </c>
      <c r="AA32" s="1" t="s">
        <v>120</v>
      </c>
      <c r="AB32" s="1" t="s">
        <v>74</v>
      </c>
      <c r="AC32" s="1" t="s">
        <v>74</v>
      </c>
      <c r="AD32" s="1" t="s">
        <v>74</v>
      </c>
      <c r="AE32" s="11">
        <v>45854</v>
      </c>
      <c r="AF32" s="11">
        <v>45976</v>
      </c>
      <c r="AG32" s="1" t="s">
        <v>118</v>
      </c>
      <c r="AJ32" s="5" t="e" cm="1">
        <f t="array" ref="AJ32">_xlfn.XLOOKUP(M32,'Customer Data Vlookup'!$L:$L,'Customer Data Vlookup'!$M:$N,,0)</f>
        <v>#N/A</v>
      </c>
    </row>
    <row r="33" spans="1:39" hidden="1" x14ac:dyDescent="0.35">
      <c r="A33" s="1" t="s">
        <v>66</v>
      </c>
      <c r="B33" s="1" t="s">
        <v>67</v>
      </c>
      <c r="C33" s="1" t="s">
        <v>68</v>
      </c>
      <c r="D33" s="1" t="s">
        <v>69</v>
      </c>
      <c r="E33" s="1" t="s">
        <v>17</v>
      </c>
      <c r="F33" s="1" t="s">
        <v>70</v>
      </c>
      <c r="G33" s="11">
        <v>45854</v>
      </c>
      <c r="H33" s="25">
        <v>1600001751</v>
      </c>
      <c r="I33" s="1" t="s">
        <v>8</v>
      </c>
      <c r="J33" s="11">
        <v>45854</v>
      </c>
      <c r="K33" s="11">
        <v>45855</v>
      </c>
      <c r="L33" s="1" t="s">
        <v>71</v>
      </c>
      <c r="M33" s="35">
        <v>256779421383</v>
      </c>
      <c r="N33" s="1" t="s">
        <v>72</v>
      </c>
      <c r="O33" s="1" t="s">
        <v>73</v>
      </c>
      <c r="P33" s="1" t="s">
        <v>74</v>
      </c>
      <c r="Q33" s="1" t="s">
        <v>75</v>
      </c>
      <c r="R33" s="1" t="s">
        <v>76</v>
      </c>
      <c r="S33" s="12">
        <v>-143.81</v>
      </c>
      <c r="T33" s="1" t="s">
        <v>77</v>
      </c>
      <c r="U33" s="12">
        <v>-12467.07</v>
      </c>
      <c r="V33" s="1" t="s">
        <v>78</v>
      </c>
      <c r="W33" s="1" t="s">
        <v>79</v>
      </c>
      <c r="X33" s="1" t="s">
        <v>74</v>
      </c>
      <c r="Y33" s="1" t="s">
        <v>71</v>
      </c>
      <c r="Z33" s="1" t="s">
        <v>80</v>
      </c>
      <c r="AA33" s="1" t="s">
        <v>121</v>
      </c>
      <c r="AB33" s="1" t="s">
        <v>74</v>
      </c>
      <c r="AC33" s="1" t="s">
        <v>74</v>
      </c>
      <c r="AD33" s="1" t="s">
        <v>74</v>
      </c>
      <c r="AE33" s="11">
        <v>45854</v>
      </c>
      <c r="AF33" s="11">
        <v>45976</v>
      </c>
      <c r="AG33" s="1" t="s">
        <v>118</v>
      </c>
      <c r="AJ33" s="5" t="e" cm="1">
        <f t="array" ref="AJ33">_xlfn.XLOOKUP(M33,'Customer Data Vlookup'!$L:$L,'Customer Data Vlookup'!$M:$N,,0)</f>
        <v>#N/A</v>
      </c>
    </row>
    <row r="34" spans="1:39" hidden="1" x14ac:dyDescent="0.35">
      <c r="A34" s="1" t="s">
        <v>66</v>
      </c>
      <c r="B34" s="1" t="s">
        <v>67</v>
      </c>
      <c r="C34" s="1" t="s">
        <v>68</v>
      </c>
      <c r="D34" s="1" t="s">
        <v>69</v>
      </c>
      <c r="E34" s="1" t="s">
        <v>17</v>
      </c>
      <c r="F34" s="1" t="s">
        <v>70</v>
      </c>
      <c r="G34" s="11">
        <v>45854</v>
      </c>
      <c r="H34" s="25">
        <v>1600001752</v>
      </c>
      <c r="I34" s="1" t="s">
        <v>8</v>
      </c>
      <c r="J34" s="11">
        <v>45854</v>
      </c>
      <c r="K34" s="11">
        <v>45855</v>
      </c>
      <c r="L34" s="1" t="s">
        <v>71</v>
      </c>
      <c r="M34" s="35">
        <v>256779421384</v>
      </c>
      <c r="N34" s="1" t="s">
        <v>72</v>
      </c>
      <c r="O34" s="1" t="s">
        <v>73</v>
      </c>
      <c r="P34" s="1" t="s">
        <v>74</v>
      </c>
      <c r="Q34" s="1" t="s">
        <v>75</v>
      </c>
      <c r="R34" s="1" t="s">
        <v>76</v>
      </c>
      <c r="S34" s="12">
        <v>-137.9</v>
      </c>
      <c r="T34" s="1" t="s">
        <v>77</v>
      </c>
      <c r="U34" s="12">
        <v>-11954.72</v>
      </c>
      <c r="V34" s="1" t="s">
        <v>78</v>
      </c>
      <c r="W34" s="1" t="s">
        <v>79</v>
      </c>
      <c r="X34" s="1" t="s">
        <v>74</v>
      </c>
      <c r="Y34" s="1" t="s">
        <v>71</v>
      </c>
      <c r="Z34" s="1" t="s">
        <v>80</v>
      </c>
      <c r="AA34" s="1" t="s">
        <v>122</v>
      </c>
      <c r="AB34" s="1" t="s">
        <v>74</v>
      </c>
      <c r="AC34" s="1" t="s">
        <v>74</v>
      </c>
      <c r="AD34" s="1" t="s">
        <v>74</v>
      </c>
      <c r="AE34" s="11">
        <v>45854</v>
      </c>
      <c r="AF34" s="11">
        <v>45976</v>
      </c>
      <c r="AG34" s="1" t="s">
        <v>118</v>
      </c>
      <c r="AJ34" s="5" t="e" cm="1">
        <f t="array" ref="AJ34">_xlfn.XLOOKUP(M34,'Customer Data Vlookup'!$L:$L,'Customer Data Vlookup'!$M:$N,,0)</f>
        <v>#N/A</v>
      </c>
    </row>
    <row r="35" spans="1:39" hidden="1" x14ac:dyDescent="0.35">
      <c r="A35" s="1" t="s">
        <v>66</v>
      </c>
      <c r="B35" s="1" t="s">
        <v>67</v>
      </c>
      <c r="C35" s="1" t="s">
        <v>68</v>
      </c>
      <c r="D35" s="1" t="s">
        <v>69</v>
      </c>
      <c r="E35" s="1" t="s">
        <v>17</v>
      </c>
      <c r="F35" s="1" t="s">
        <v>70</v>
      </c>
      <c r="G35" s="11">
        <v>45854</v>
      </c>
      <c r="H35" s="25">
        <v>1600001753</v>
      </c>
      <c r="I35" s="1" t="s">
        <v>8</v>
      </c>
      <c r="J35" s="11">
        <v>45854</v>
      </c>
      <c r="K35" s="11">
        <v>45855</v>
      </c>
      <c r="L35" s="1" t="s">
        <v>71</v>
      </c>
      <c r="M35" s="35">
        <v>256779421385</v>
      </c>
      <c r="N35" s="1" t="s">
        <v>72</v>
      </c>
      <c r="O35" s="1" t="s">
        <v>73</v>
      </c>
      <c r="P35" s="1" t="s">
        <v>74</v>
      </c>
      <c r="Q35" s="1" t="s">
        <v>75</v>
      </c>
      <c r="R35" s="1" t="s">
        <v>76</v>
      </c>
      <c r="S35" s="12">
        <v>-420</v>
      </c>
      <c r="T35" s="1" t="s">
        <v>77</v>
      </c>
      <c r="U35" s="12">
        <v>-36410.33</v>
      </c>
      <c r="V35" s="1" t="s">
        <v>78</v>
      </c>
      <c r="W35" s="1" t="s">
        <v>79</v>
      </c>
      <c r="X35" s="1" t="s">
        <v>74</v>
      </c>
      <c r="Y35" s="1" t="s">
        <v>71</v>
      </c>
      <c r="Z35" s="1" t="s">
        <v>80</v>
      </c>
      <c r="AA35" s="1" t="s">
        <v>123</v>
      </c>
      <c r="AB35" s="1" t="s">
        <v>74</v>
      </c>
      <c r="AC35" s="1" t="s">
        <v>74</v>
      </c>
      <c r="AD35" s="1" t="s">
        <v>74</v>
      </c>
      <c r="AE35" s="11">
        <v>45854</v>
      </c>
      <c r="AF35" s="11">
        <v>45976</v>
      </c>
      <c r="AG35" s="1" t="s">
        <v>118</v>
      </c>
      <c r="AJ35" s="5" t="e" cm="1">
        <f t="array" ref="AJ35">_xlfn.XLOOKUP(M35,'Customer Data Vlookup'!$L:$L,'Customer Data Vlookup'!$M:$N,,0)</f>
        <v>#N/A</v>
      </c>
    </row>
    <row r="36" spans="1:39" x14ac:dyDescent="0.35">
      <c r="A36" s="1" t="s">
        <v>124</v>
      </c>
      <c r="B36" s="1" t="s">
        <v>67</v>
      </c>
      <c r="C36" s="1" t="s">
        <v>68</v>
      </c>
      <c r="D36" s="1" t="s">
        <v>69</v>
      </c>
      <c r="E36" s="1" t="s">
        <v>17</v>
      </c>
      <c r="F36" s="1" t="s">
        <v>125</v>
      </c>
      <c r="G36" s="11">
        <v>45797</v>
      </c>
      <c r="H36" s="25">
        <v>1800008722</v>
      </c>
      <c r="I36" s="1" t="s">
        <v>9</v>
      </c>
      <c r="J36" s="11">
        <v>45797</v>
      </c>
      <c r="K36" s="11">
        <v>45805</v>
      </c>
      <c r="L36" s="1" t="s">
        <v>71</v>
      </c>
      <c r="M36" s="35">
        <v>256779413486</v>
      </c>
      <c r="N36" s="1" t="s">
        <v>72</v>
      </c>
      <c r="O36" s="1" t="s">
        <v>73</v>
      </c>
      <c r="P36" s="1" t="s">
        <v>74</v>
      </c>
      <c r="Q36" s="1" t="s">
        <v>83</v>
      </c>
      <c r="R36" s="1" t="s">
        <v>76</v>
      </c>
      <c r="S36" s="12">
        <v>12.5</v>
      </c>
      <c r="T36" s="1" t="s">
        <v>77</v>
      </c>
      <c r="U36" s="12">
        <v>1074.8</v>
      </c>
      <c r="V36" s="1" t="s">
        <v>78</v>
      </c>
      <c r="W36" s="1" t="s">
        <v>79</v>
      </c>
      <c r="X36" s="1" t="s">
        <v>74</v>
      </c>
      <c r="Y36" s="1" t="s">
        <v>71</v>
      </c>
      <c r="Z36" s="1" t="s">
        <v>80</v>
      </c>
      <c r="AA36" s="1" t="s">
        <v>126</v>
      </c>
      <c r="AB36" s="1" t="s">
        <v>74</v>
      </c>
      <c r="AC36" s="1" t="s">
        <v>74</v>
      </c>
      <c r="AD36" s="1" t="s">
        <v>74</v>
      </c>
      <c r="AE36" s="11">
        <v>45797</v>
      </c>
      <c r="AF36" s="11"/>
      <c r="AG36" s="1" t="s">
        <v>74</v>
      </c>
      <c r="AJ36" cm="1">
        <f t="array" ref="AJ36:AK36">_xlfn.XLOOKUP(M36,'Customer Data Vlookup'!$L:$L,'Customer Data Vlookup'!$M:$N,,0)</f>
        <v>0</v>
      </c>
      <c r="AK36" s="47">
        <v>1054</v>
      </c>
      <c r="AL36" s="47">
        <f>AK36-AJ36</f>
        <v>1054</v>
      </c>
      <c r="AM36" s="58">
        <f>U36-AL36</f>
        <v>20.799999999999955</v>
      </c>
    </row>
    <row r="37" spans="1:39" x14ac:dyDescent="0.35">
      <c r="A37" s="1" t="s">
        <v>124</v>
      </c>
      <c r="B37" s="1" t="s">
        <v>67</v>
      </c>
      <c r="C37" s="1" t="s">
        <v>68</v>
      </c>
      <c r="D37" s="1" t="s">
        <v>69</v>
      </c>
      <c r="E37" s="1" t="s">
        <v>17</v>
      </c>
      <c r="F37" s="1" t="s">
        <v>125</v>
      </c>
      <c r="G37" s="11">
        <v>45797</v>
      </c>
      <c r="H37" s="25">
        <v>1800009073</v>
      </c>
      <c r="I37" s="1" t="s">
        <v>9</v>
      </c>
      <c r="J37" s="11">
        <v>45797</v>
      </c>
      <c r="K37" s="11">
        <v>45805</v>
      </c>
      <c r="L37" s="1" t="s">
        <v>71</v>
      </c>
      <c r="M37" s="35">
        <v>256779413837</v>
      </c>
      <c r="N37" s="1" t="s">
        <v>72</v>
      </c>
      <c r="O37" s="1" t="s">
        <v>73</v>
      </c>
      <c r="P37" s="1" t="s">
        <v>74</v>
      </c>
      <c r="Q37" s="1" t="s">
        <v>83</v>
      </c>
      <c r="R37" s="1" t="s">
        <v>76</v>
      </c>
      <c r="S37" s="12">
        <v>144.52000000000001</v>
      </c>
      <c r="T37" s="1" t="s">
        <v>77</v>
      </c>
      <c r="U37" s="12">
        <v>12426.36</v>
      </c>
      <c r="V37" s="1" t="s">
        <v>78</v>
      </c>
      <c r="W37" s="1" t="s">
        <v>79</v>
      </c>
      <c r="X37" s="1" t="s">
        <v>74</v>
      </c>
      <c r="Y37" s="1" t="s">
        <v>74</v>
      </c>
      <c r="Z37" s="1" t="s">
        <v>80</v>
      </c>
      <c r="AA37" s="1" t="s">
        <v>127</v>
      </c>
      <c r="AB37" s="1" t="s">
        <v>74</v>
      </c>
      <c r="AC37" s="1" t="s">
        <v>74</v>
      </c>
      <c r="AD37" s="1" t="s">
        <v>74</v>
      </c>
      <c r="AE37" s="11">
        <v>45797</v>
      </c>
      <c r="AF37" s="11"/>
      <c r="AG37" s="1" t="s">
        <v>74</v>
      </c>
      <c r="AJ37" cm="1">
        <f t="array" ref="AJ37:AK37">_xlfn.XLOOKUP(M37,'Customer Data Vlookup'!$L:$L,'Customer Data Vlookup'!$M:$N,,0)</f>
        <v>0</v>
      </c>
      <c r="AK37" s="47">
        <v>12177</v>
      </c>
      <c r="AL37" s="47">
        <f>AK37-AJ37</f>
        <v>12177</v>
      </c>
      <c r="AM37" s="58">
        <f>U37-AL37</f>
        <v>249.36000000000058</v>
      </c>
    </row>
    <row r="38" spans="1:39" hidden="1" x14ac:dyDescent="0.35">
      <c r="A38" s="1" t="s">
        <v>66</v>
      </c>
      <c r="B38" s="1" t="s">
        <v>67</v>
      </c>
      <c r="C38" s="1" t="s">
        <v>68</v>
      </c>
      <c r="D38" s="1" t="s">
        <v>69</v>
      </c>
      <c r="E38" s="1" t="s">
        <v>17</v>
      </c>
      <c r="F38" s="1" t="s">
        <v>125</v>
      </c>
      <c r="G38" s="11">
        <v>45797</v>
      </c>
      <c r="H38" s="25">
        <v>1800009121</v>
      </c>
      <c r="I38" s="1" t="s">
        <v>9</v>
      </c>
      <c r="J38" s="11">
        <v>45797</v>
      </c>
      <c r="K38" s="11">
        <v>45805</v>
      </c>
      <c r="L38" s="1" t="s">
        <v>71</v>
      </c>
      <c r="M38" s="35">
        <v>256779413885</v>
      </c>
      <c r="N38" s="1" t="s">
        <v>72</v>
      </c>
      <c r="O38" s="1" t="s">
        <v>73</v>
      </c>
      <c r="P38" s="1" t="s">
        <v>74</v>
      </c>
      <c r="Q38" s="1" t="s">
        <v>83</v>
      </c>
      <c r="R38" s="1" t="s">
        <v>76</v>
      </c>
      <c r="S38" s="12">
        <v>111.15</v>
      </c>
      <c r="T38" s="1" t="s">
        <v>77</v>
      </c>
      <c r="U38" s="12">
        <v>9557.09</v>
      </c>
      <c r="V38" s="1" t="s">
        <v>78</v>
      </c>
      <c r="W38" s="1" t="s">
        <v>79</v>
      </c>
      <c r="X38" s="1" t="s">
        <v>74</v>
      </c>
      <c r="Y38" s="1" t="s">
        <v>71</v>
      </c>
      <c r="Z38" s="1" t="s">
        <v>80</v>
      </c>
      <c r="AA38" s="1" t="s">
        <v>128</v>
      </c>
      <c r="AB38" s="1" t="s">
        <v>74</v>
      </c>
      <c r="AC38" s="1" t="s">
        <v>74</v>
      </c>
      <c r="AD38" s="1" t="s">
        <v>74</v>
      </c>
      <c r="AE38" s="11">
        <v>45797</v>
      </c>
      <c r="AF38" s="11">
        <v>45976</v>
      </c>
      <c r="AG38" s="1" t="s">
        <v>101</v>
      </c>
      <c r="AJ38" t="e" cm="1">
        <f t="array" ref="AJ38">_xlfn.XLOOKUP(M38,'Customer Data Vlookup'!$L:$L,'Customer Data Vlookup'!$M:$N,,0)</f>
        <v>#N/A</v>
      </c>
    </row>
    <row r="39" spans="1:39" x14ac:dyDescent="0.35">
      <c r="A39" s="1" t="s">
        <v>124</v>
      </c>
      <c r="B39" s="1" t="s">
        <v>67</v>
      </c>
      <c r="C39" s="1" t="s">
        <v>68</v>
      </c>
      <c r="D39" s="1" t="s">
        <v>69</v>
      </c>
      <c r="E39" s="1" t="s">
        <v>17</v>
      </c>
      <c r="F39" s="1" t="s">
        <v>129</v>
      </c>
      <c r="G39" s="11">
        <v>45750</v>
      </c>
      <c r="H39" s="25">
        <v>1800005188</v>
      </c>
      <c r="I39" s="1" t="s">
        <v>9</v>
      </c>
      <c r="J39" s="11">
        <v>45750</v>
      </c>
      <c r="K39" s="11">
        <v>45752</v>
      </c>
      <c r="L39" s="1" t="s">
        <v>71</v>
      </c>
      <c r="M39" s="35">
        <v>256779410134</v>
      </c>
      <c r="N39" s="1" t="s">
        <v>72</v>
      </c>
      <c r="O39" s="1" t="s">
        <v>73</v>
      </c>
      <c r="P39" s="1" t="s">
        <v>74</v>
      </c>
      <c r="Q39" s="1" t="s">
        <v>83</v>
      </c>
      <c r="R39" s="1" t="s">
        <v>76</v>
      </c>
      <c r="S39" s="12">
        <v>7.5</v>
      </c>
      <c r="T39" s="1" t="s">
        <v>77</v>
      </c>
      <c r="U39" s="12">
        <v>651.91</v>
      </c>
      <c r="V39" s="1" t="s">
        <v>78</v>
      </c>
      <c r="W39" s="1" t="s">
        <v>74</v>
      </c>
      <c r="X39" s="1" t="s">
        <v>74</v>
      </c>
      <c r="Y39" s="1" t="s">
        <v>71</v>
      </c>
      <c r="Z39" s="1" t="s">
        <v>80</v>
      </c>
      <c r="AA39" s="1" t="s">
        <v>130</v>
      </c>
      <c r="AB39" s="1" t="s">
        <v>74</v>
      </c>
      <c r="AC39" s="1" t="s">
        <v>74</v>
      </c>
      <c r="AD39" s="1" t="s">
        <v>74</v>
      </c>
      <c r="AE39" s="11">
        <v>45750</v>
      </c>
      <c r="AF39" s="11"/>
      <c r="AG39" s="1" t="s">
        <v>74</v>
      </c>
      <c r="AJ39" cm="1">
        <f t="array" ref="AJ39:AK39">_xlfn.XLOOKUP(M39,'Customer Data Vlookup'!$L:$L,'Customer Data Vlookup'!$M:$N,,0)</f>
        <v>0</v>
      </c>
      <c r="AK39" s="47">
        <v>639</v>
      </c>
      <c r="AL39" s="47">
        <f t="shared" ref="AL39:AL45" si="0">AK39-AJ39</f>
        <v>639</v>
      </c>
      <c r="AM39" s="58">
        <f t="shared" ref="AM39:AM45" si="1">U39-AL39</f>
        <v>12.909999999999968</v>
      </c>
    </row>
    <row r="40" spans="1:39" x14ac:dyDescent="0.35">
      <c r="A40" s="1" t="s">
        <v>124</v>
      </c>
      <c r="B40" s="1" t="s">
        <v>67</v>
      </c>
      <c r="C40" s="1" t="s">
        <v>68</v>
      </c>
      <c r="D40" s="1" t="s">
        <v>69</v>
      </c>
      <c r="E40" s="1" t="s">
        <v>17</v>
      </c>
      <c r="F40" s="1" t="s">
        <v>129</v>
      </c>
      <c r="G40" s="11">
        <v>45750</v>
      </c>
      <c r="H40" s="25">
        <v>1800005189</v>
      </c>
      <c r="I40" s="1" t="s">
        <v>9</v>
      </c>
      <c r="J40" s="11">
        <v>45750</v>
      </c>
      <c r="K40" s="11">
        <v>45752</v>
      </c>
      <c r="L40" s="1" t="s">
        <v>71</v>
      </c>
      <c r="M40" s="35">
        <v>256779410135</v>
      </c>
      <c r="N40" s="1" t="s">
        <v>72</v>
      </c>
      <c r="O40" s="1" t="s">
        <v>73</v>
      </c>
      <c r="P40" s="1" t="s">
        <v>74</v>
      </c>
      <c r="Q40" s="1" t="s">
        <v>83</v>
      </c>
      <c r="R40" s="1" t="s">
        <v>76</v>
      </c>
      <c r="S40" s="12">
        <v>3.75</v>
      </c>
      <c r="T40" s="1" t="s">
        <v>77</v>
      </c>
      <c r="U40" s="12">
        <v>325.95999999999998</v>
      </c>
      <c r="V40" s="1" t="s">
        <v>78</v>
      </c>
      <c r="W40" s="1" t="s">
        <v>74</v>
      </c>
      <c r="X40" s="1" t="s">
        <v>74</v>
      </c>
      <c r="Y40" s="1" t="s">
        <v>71</v>
      </c>
      <c r="Z40" s="1" t="s">
        <v>80</v>
      </c>
      <c r="AA40" s="1" t="s">
        <v>131</v>
      </c>
      <c r="AB40" s="1" t="s">
        <v>74</v>
      </c>
      <c r="AC40" s="1" t="s">
        <v>74</v>
      </c>
      <c r="AD40" s="1" t="s">
        <v>74</v>
      </c>
      <c r="AE40" s="11">
        <v>45750</v>
      </c>
      <c r="AF40" s="11"/>
      <c r="AG40" s="1" t="s">
        <v>74</v>
      </c>
      <c r="AJ40" cm="1">
        <f t="array" ref="AJ40:AK40">_xlfn.XLOOKUP(M40,'Customer Data Vlookup'!$L:$L,'Customer Data Vlookup'!$M:$N,,0)</f>
        <v>0</v>
      </c>
      <c r="AK40" s="47">
        <v>319</v>
      </c>
      <c r="AL40" s="47">
        <f t="shared" si="0"/>
        <v>319</v>
      </c>
      <c r="AM40" s="58">
        <f t="shared" si="1"/>
        <v>6.9599999999999795</v>
      </c>
    </row>
    <row r="41" spans="1:39" x14ac:dyDescent="0.35">
      <c r="A41" s="1" t="s">
        <v>124</v>
      </c>
      <c r="B41" s="1" t="s">
        <v>67</v>
      </c>
      <c r="C41" s="1" t="s">
        <v>68</v>
      </c>
      <c r="D41" s="1" t="s">
        <v>69</v>
      </c>
      <c r="E41" s="1" t="s">
        <v>17</v>
      </c>
      <c r="F41" s="1" t="s">
        <v>129</v>
      </c>
      <c r="G41" s="11">
        <v>45750</v>
      </c>
      <c r="H41" s="25">
        <v>1800005264</v>
      </c>
      <c r="I41" s="1" t="s">
        <v>9</v>
      </c>
      <c r="J41" s="11">
        <v>45750</v>
      </c>
      <c r="K41" s="11">
        <v>45752</v>
      </c>
      <c r="L41" s="1" t="s">
        <v>71</v>
      </c>
      <c r="M41" s="35">
        <v>256779410156</v>
      </c>
      <c r="N41" s="1" t="s">
        <v>72</v>
      </c>
      <c r="O41" s="1" t="s">
        <v>73</v>
      </c>
      <c r="P41" s="1" t="s">
        <v>74</v>
      </c>
      <c r="Q41" s="1" t="s">
        <v>83</v>
      </c>
      <c r="R41" s="1" t="s">
        <v>76</v>
      </c>
      <c r="S41" s="12">
        <v>58.75</v>
      </c>
      <c r="T41" s="1" t="s">
        <v>77</v>
      </c>
      <c r="U41" s="12">
        <v>5106.66</v>
      </c>
      <c r="V41" s="1" t="s">
        <v>78</v>
      </c>
      <c r="W41" s="1" t="s">
        <v>74</v>
      </c>
      <c r="X41" s="1" t="s">
        <v>74</v>
      </c>
      <c r="Y41" s="1" t="s">
        <v>71</v>
      </c>
      <c r="Z41" s="1" t="s">
        <v>80</v>
      </c>
      <c r="AA41" s="1" t="s">
        <v>132</v>
      </c>
      <c r="AB41" s="1" t="s">
        <v>74</v>
      </c>
      <c r="AC41" s="1" t="s">
        <v>74</v>
      </c>
      <c r="AD41" s="1" t="s">
        <v>74</v>
      </c>
      <c r="AE41" s="11">
        <v>45750</v>
      </c>
      <c r="AF41" s="11"/>
      <c r="AG41" s="1" t="s">
        <v>74</v>
      </c>
      <c r="AJ41" cm="1">
        <f t="array" ref="AJ41:AK41">_xlfn.XLOOKUP(M41,'Customer Data Vlookup'!$L:$L,'Customer Data Vlookup'!$M:$N,,0)</f>
        <v>0</v>
      </c>
      <c r="AK41" s="47">
        <v>4913</v>
      </c>
      <c r="AL41" s="47">
        <f t="shared" si="0"/>
        <v>4913</v>
      </c>
      <c r="AM41" s="58">
        <f t="shared" si="1"/>
        <v>193.65999999999985</v>
      </c>
    </row>
    <row r="42" spans="1:39" x14ac:dyDescent="0.35">
      <c r="A42" s="1" t="s">
        <v>124</v>
      </c>
      <c r="B42" s="1" t="s">
        <v>67</v>
      </c>
      <c r="C42" s="1" t="s">
        <v>68</v>
      </c>
      <c r="D42" s="1" t="s">
        <v>69</v>
      </c>
      <c r="E42" s="1" t="s">
        <v>17</v>
      </c>
      <c r="F42" s="1" t="s">
        <v>129</v>
      </c>
      <c r="G42" s="11">
        <v>45750</v>
      </c>
      <c r="H42" s="25">
        <v>1800005265</v>
      </c>
      <c r="I42" s="1" t="s">
        <v>9</v>
      </c>
      <c r="J42" s="11">
        <v>45750</v>
      </c>
      <c r="K42" s="11">
        <v>45752</v>
      </c>
      <c r="L42" s="1" t="s">
        <v>71</v>
      </c>
      <c r="M42" s="35">
        <v>256779410157</v>
      </c>
      <c r="N42" s="1" t="s">
        <v>72</v>
      </c>
      <c r="O42" s="1" t="s">
        <v>73</v>
      </c>
      <c r="P42" s="1" t="s">
        <v>74</v>
      </c>
      <c r="Q42" s="1" t="s">
        <v>83</v>
      </c>
      <c r="R42" s="1" t="s">
        <v>76</v>
      </c>
      <c r="S42" s="12">
        <v>34.479999999999997</v>
      </c>
      <c r="T42" s="1" t="s">
        <v>77</v>
      </c>
      <c r="U42" s="12">
        <v>2997.06</v>
      </c>
      <c r="V42" s="1" t="s">
        <v>78</v>
      </c>
      <c r="W42" s="1" t="s">
        <v>74</v>
      </c>
      <c r="X42" s="1" t="s">
        <v>74</v>
      </c>
      <c r="Y42" s="1" t="s">
        <v>71</v>
      </c>
      <c r="Z42" s="1" t="s">
        <v>80</v>
      </c>
      <c r="AA42" s="1" t="s">
        <v>133</v>
      </c>
      <c r="AB42" s="1" t="s">
        <v>74</v>
      </c>
      <c r="AC42" s="1" t="s">
        <v>74</v>
      </c>
      <c r="AD42" s="1" t="s">
        <v>74</v>
      </c>
      <c r="AE42" s="11">
        <v>45750</v>
      </c>
      <c r="AF42" s="11"/>
      <c r="AG42" s="1" t="s">
        <v>74</v>
      </c>
      <c r="AJ42" cm="1">
        <f t="array" ref="AJ42:AK42">_xlfn.XLOOKUP(M42,'Customer Data Vlookup'!$L:$L,'Customer Data Vlookup'!$M:$N,,0)</f>
        <v>0</v>
      </c>
      <c r="AK42" s="47">
        <v>2883</v>
      </c>
      <c r="AL42" s="47">
        <f t="shared" si="0"/>
        <v>2883</v>
      </c>
      <c r="AM42" s="58">
        <f t="shared" si="1"/>
        <v>114.05999999999995</v>
      </c>
    </row>
    <row r="43" spans="1:39" x14ac:dyDescent="0.35">
      <c r="A43" s="1" t="s">
        <v>124</v>
      </c>
      <c r="B43" s="1" t="s">
        <v>67</v>
      </c>
      <c r="C43" s="1" t="s">
        <v>68</v>
      </c>
      <c r="D43" s="1" t="s">
        <v>69</v>
      </c>
      <c r="E43" s="1" t="s">
        <v>17</v>
      </c>
      <c r="F43" s="1" t="s">
        <v>129</v>
      </c>
      <c r="G43" s="11">
        <v>45750</v>
      </c>
      <c r="H43" s="25">
        <v>1800005274</v>
      </c>
      <c r="I43" s="1" t="s">
        <v>9</v>
      </c>
      <c r="J43" s="11">
        <v>45750</v>
      </c>
      <c r="K43" s="11">
        <v>45752</v>
      </c>
      <c r="L43" s="1" t="s">
        <v>71</v>
      </c>
      <c r="M43" s="35">
        <v>256779410166</v>
      </c>
      <c r="N43" s="1" t="s">
        <v>72</v>
      </c>
      <c r="O43" s="1" t="s">
        <v>73</v>
      </c>
      <c r="P43" s="1" t="s">
        <v>74</v>
      </c>
      <c r="Q43" s="1" t="s">
        <v>83</v>
      </c>
      <c r="R43" s="1" t="s">
        <v>76</v>
      </c>
      <c r="S43" s="12">
        <v>152.75</v>
      </c>
      <c r="T43" s="1" t="s">
        <v>77</v>
      </c>
      <c r="U43" s="12">
        <v>13277.31</v>
      </c>
      <c r="V43" s="1" t="s">
        <v>78</v>
      </c>
      <c r="W43" s="1" t="s">
        <v>74</v>
      </c>
      <c r="X43" s="1" t="s">
        <v>74</v>
      </c>
      <c r="Y43" s="1" t="s">
        <v>71</v>
      </c>
      <c r="Z43" s="1" t="s">
        <v>80</v>
      </c>
      <c r="AA43" s="1" t="s">
        <v>130</v>
      </c>
      <c r="AB43" s="1" t="s">
        <v>74</v>
      </c>
      <c r="AC43" s="1" t="s">
        <v>74</v>
      </c>
      <c r="AD43" s="1" t="s">
        <v>74</v>
      </c>
      <c r="AE43" s="11">
        <v>45750</v>
      </c>
      <c r="AF43" s="11"/>
      <c r="AG43" s="1" t="s">
        <v>74</v>
      </c>
      <c r="AJ43" cm="1">
        <f t="array" ref="AJ43:AK43">_xlfn.XLOOKUP(M43,'Customer Data Vlookup'!$L:$L,'Customer Data Vlookup'!$M:$N,,0)</f>
        <v>0</v>
      </c>
      <c r="AK43" s="47">
        <v>13011</v>
      </c>
      <c r="AL43" s="47">
        <f t="shared" si="0"/>
        <v>13011</v>
      </c>
      <c r="AM43" s="58">
        <f t="shared" si="1"/>
        <v>266.30999999999949</v>
      </c>
    </row>
    <row r="44" spans="1:39" x14ac:dyDescent="0.35">
      <c r="A44" s="1" t="s">
        <v>124</v>
      </c>
      <c r="B44" s="1" t="s">
        <v>67</v>
      </c>
      <c r="C44" s="1" t="s">
        <v>68</v>
      </c>
      <c r="D44" s="1" t="s">
        <v>69</v>
      </c>
      <c r="E44" s="1" t="s">
        <v>17</v>
      </c>
      <c r="F44" s="1" t="s">
        <v>129</v>
      </c>
      <c r="G44" s="11">
        <v>45750</v>
      </c>
      <c r="H44" s="25">
        <v>1800005282</v>
      </c>
      <c r="I44" s="1" t="s">
        <v>9</v>
      </c>
      <c r="J44" s="11">
        <v>45750</v>
      </c>
      <c r="K44" s="11">
        <v>45752</v>
      </c>
      <c r="L44" s="1" t="s">
        <v>71</v>
      </c>
      <c r="M44" s="35">
        <v>256779410174</v>
      </c>
      <c r="N44" s="1" t="s">
        <v>72</v>
      </c>
      <c r="O44" s="1" t="s">
        <v>73</v>
      </c>
      <c r="P44" s="1" t="s">
        <v>74</v>
      </c>
      <c r="Q44" s="1" t="s">
        <v>83</v>
      </c>
      <c r="R44" s="1" t="s">
        <v>76</v>
      </c>
      <c r="S44" s="12">
        <v>72.849999999999994</v>
      </c>
      <c r="T44" s="1" t="s">
        <v>77</v>
      </c>
      <c r="U44" s="12">
        <v>6332.25</v>
      </c>
      <c r="V44" s="1" t="s">
        <v>78</v>
      </c>
      <c r="W44" s="1" t="s">
        <v>74</v>
      </c>
      <c r="X44" s="1" t="s">
        <v>74</v>
      </c>
      <c r="Y44" s="1" t="s">
        <v>71</v>
      </c>
      <c r="Z44" s="1" t="s">
        <v>80</v>
      </c>
      <c r="AA44" s="1" t="s">
        <v>134</v>
      </c>
      <c r="AB44" s="1" t="s">
        <v>74</v>
      </c>
      <c r="AC44" s="1" t="s">
        <v>74</v>
      </c>
      <c r="AD44" s="1" t="s">
        <v>74</v>
      </c>
      <c r="AE44" s="11">
        <v>45750</v>
      </c>
      <c r="AF44" s="11"/>
      <c r="AG44" s="1" t="s">
        <v>74</v>
      </c>
      <c r="AJ44" cm="1">
        <f t="array" ref="AJ44:AK44">_xlfn.XLOOKUP(M44,'Customer Data Vlookup'!$L:$L,'Customer Data Vlookup'!$M:$N,,0)</f>
        <v>0</v>
      </c>
      <c r="AK44" s="47">
        <v>6205</v>
      </c>
      <c r="AL44" s="47">
        <f t="shared" si="0"/>
        <v>6205</v>
      </c>
      <c r="AM44" s="58">
        <f t="shared" si="1"/>
        <v>127.25</v>
      </c>
    </row>
    <row r="45" spans="1:39" x14ac:dyDescent="0.35">
      <c r="A45" s="1" t="s">
        <v>124</v>
      </c>
      <c r="B45" s="1" t="s">
        <v>67</v>
      </c>
      <c r="C45" s="1" t="s">
        <v>68</v>
      </c>
      <c r="D45" s="1" t="s">
        <v>69</v>
      </c>
      <c r="E45" s="1" t="s">
        <v>17</v>
      </c>
      <c r="F45" s="1" t="s">
        <v>129</v>
      </c>
      <c r="G45" s="11">
        <v>45750</v>
      </c>
      <c r="H45" s="25">
        <v>1800005309</v>
      </c>
      <c r="I45" s="1" t="s">
        <v>9</v>
      </c>
      <c r="J45" s="11">
        <v>45750</v>
      </c>
      <c r="K45" s="11">
        <v>45752</v>
      </c>
      <c r="L45" s="1" t="s">
        <v>71</v>
      </c>
      <c r="M45" s="35">
        <v>256779410201</v>
      </c>
      <c r="N45" s="1" t="s">
        <v>72</v>
      </c>
      <c r="O45" s="1" t="s">
        <v>73</v>
      </c>
      <c r="P45" s="1" t="s">
        <v>74</v>
      </c>
      <c r="Q45" s="1" t="s">
        <v>83</v>
      </c>
      <c r="R45" s="1" t="s">
        <v>76</v>
      </c>
      <c r="S45" s="12">
        <v>34.479999999999997</v>
      </c>
      <c r="T45" s="1" t="s">
        <v>77</v>
      </c>
      <c r="U45" s="12">
        <v>2997.06</v>
      </c>
      <c r="V45" s="1" t="s">
        <v>78</v>
      </c>
      <c r="W45" s="1" t="s">
        <v>74</v>
      </c>
      <c r="X45" s="1" t="s">
        <v>74</v>
      </c>
      <c r="Y45" s="1" t="s">
        <v>71</v>
      </c>
      <c r="Z45" s="1" t="s">
        <v>80</v>
      </c>
      <c r="AA45" s="1" t="s">
        <v>135</v>
      </c>
      <c r="AB45" s="1" t="s">
        <v>74</v>
      </c>
      <c r="AC45" s="1" t="s">
        <v>74</v>
      </c>
      <c r="AD45" s="1" t="s">
        <v>74</v>
      </c>
      <c r="AE45" s="11">
        <v>45750</v>
      </c>
      <c r="AF45" s="11"/>
      <c r="AG45" s="1" t="s">
        <v>74</v>
      </c>
      <c r="AJ45" cm="1">
        <f t="array" ref="AJ45:AK45">_xlfn.XLOOKUP(M45,'Customer Data Vlookup'!$L:$L,'Customer Data Vlookup'!$M:$N,,0)</f>
        <v>0</v>
      </c>
      <c r="AK45" s="47">
        <v>2937</v>
      </c>
      <c r="AL45" s="47">
        <f t="shared" si="0"/>
        <v>2937</v>
      </c>
      <c r="AM45" s="58">
        <f t="shared" si="1"/>
        <v>60.059999999999945</v>
      </c>
    </row>
    <row r="46" spans="1:39" hidden="1" x14ac:dyDescent="0.35">
      <c r="A46" s="1" t="s">
        <v>66</v>
      </c>
      <c r="B46" s="1" t="s">
        <v>67</v>
      </c>
      <c r="C46" s="1" t="s">
        <v>68</v>
      </c>
      <c r="D46" s="1" t="s">
        <v>69</v>
      </c>
      <c r="E46" s="1" t="s">
        <v>17</v>
      </c>
      <c r="F46" s="1" t="s">
        <v>129</v>
      </c>
      <c r="G46" s="11">
        <v>45750</v>
      </c>
      <c r="H46" s="25">
        <v>1800005399</v>
      </c>
      <c r="I46" s="1" t="s">
        <v>9</v>
      </c>
      <c r="J46" s="11">
        <v>45750</v>
      </c>
      <c r="K46" s="11">
        <v>45752</v>
      </c>
      <c r="L46" s="1" t="s">
        <v>71</v>
      </c>
      <c r="M46" s="35">
        <v>256779410291</v>
      </c>
      <c r="N46" s="1" t="s">
        <v>72</v>
      </c>
      <c r="O46" s="1" t="s">
        <v>73</v>
      </c>
      <c r="P46" s="1" t="s">
        <v>74</v>
      </c>
      <c r="Q46" s="1" t="s">
        <v>83</v>
      </c>
      <c r="R46" s="1" t="s">
        <v>76</v>
      </c>
      <c r="S46" s="12">
        <v>456.75</v>
      </c>
      <c r="T46" s="1" t="s">
        <v>77</v>
      </c>
      <c r="U46" s="12">
        <v>39701.54</v>
      </c>
      <c r="V46" s="1" t="s">
        <v>78</v>
      </c>
      <c r="W46" s="1" t="s">
        <v>74</v>
      </c>
      <c r="X46" s="1" t="s">
        <v>74</v>
      </c>
      <c r="Y46" s="1" t="s">
        <v>71</v>
      </c>
      <c r="Z46" s="1" t="s">
        <v>80</v>
      </c>
      <c r="AA46" s="1" t="s">
        <v>136</v>
      </c>
      <c r="AB46" s="1" t="s">
        <v>74</v>
      </c>
      <c r="AC46" s="1" t="s">
        <v>74</v>
      </c>
      <c r="AD46" s="1" t="s">
        <v>74</v>
      </c>
      <c r="AE46" s="11">
        <v>45750</v>
      </c>
      <c r="AF46" s="11">
        <v>45842</v>
      </c>
      <c r="AG46" s="1" t="s">
        <v>137</v>
      </c>
      <c r="AJ46" t="e" cm="1">
        <f t="array" ref="AJ46">_xlfn.XLOOKUP(M46,'Customer Data Vlookup'!$L:$L,'Customer Data Vlookup'!$M:$N,,0)</f>
        <v>#N/A</v>
      </c>
    </row>
    <row r="47" spans="1:39" hidden="1" x14ac:dyDescent="0.35">
      <c r="A47" s="1" t="s">
        <v>66</v>
      </c>
      <c r="B47" s="1" t="s">
        <v>67</v>
      </c>
      <c r="C47" s="1" t="s">
        <v>68</v>
      </c>
      <c r="D47" s="1" t="s">
        <v>69</v>
      </c>
      <c r="E47" s="1" t="s">
        <v>17</v>
      </c>
      <c r="F47" s="1" t="s">
        <v>129</v>
      </c>
      <c r="G47" s="11">
        <v>45750</v>
      </c>
      <c r="H47" s="25">
        <v>1800005358</v>
      </c>
      <c r="I47" s="1" t="s">
        <v>9</v>
      </c>
      <c r="J47" s="11">
        <v>45750</v>
      </c>
      <c r="K47" s="11">
        <v>45752</v>
      </c>
      <c r="L47" s="1" t="s">
        <v>71</v>
      </c>
      <c r="M47" s="35">
        <v>256779410250</v>
      </c>
      <c r="N47" s="1" t="s">
        <v>72</v>
      </c>
      <c r="O47" s="1" t="s">
        <v>73</v>
      </c>
      <c r="P47" s="1" t="s">
        <v>74</v>
      </c>
      <c r="Q47" s="1" t="s">
        <v>83</v>
      </c>
      <c r="R47" s="1" t="s">
        <v>76</v>
      </c>
      <c r="S47" s="12">
        <v>456.75</v>
      </c>
      <c r="T47" s="1" t="s">
        <v>77</v>
      </c>
      <c r="U47" s="12">
        <v>39701.54</v>
      </c>
      <c r="V47" s="1" t="s">
        <v>78</v>
      </c>
      <c r="W47" s="1" t="s">
        <v>74</v>
      </c>
      <c r="X47" s="1" t="s">
        <v>74</v>
      </c>
      <c r="Y47" s="1" t="s">
        <v>71</v>
      </c>
      <c r="Z47" s="1" t="s">
        <v>80</v>
      </c>
      <c r="AA47" s="1" t="s">
        <v>138</v>
      </c>
      <c r="AB47" s="1" t="s">
        <v>74</v>
      </c>
      <c r="AC47" s="1" t="s">
        <v>74</v>
      </c>
      <c r="AD47" s="1" t="s">
        <v>74</v>
      </c>
      <c r="AE47" s="11">
        <v>45750</v>
      </c>
      <c r="AF47" s="11">
        <v>45842</v>
      </c>
      <c r="AG47" s="1" t="s">
        <v>139</v>
      </c>
      <c r="AJ47" t="e" cm="1">
        <f t="array" ref="AJ47">_xlfn.XLOOKUP(M47,'Customer Data Vlookup'!$L:$L,'Customer Data Vlookup'!$M:$N,,0)</f>
        <v>#N/A</v>
      </c>
    </row>
    <row r="48" spans="1:39" x14ac:dyDescent="0.35">
      <c r="A48" s="1" t="s">
        <v>66</v>
      </c>
      <c r="B48" s="1" t="s">
        <v>67</v>
      </c>
      <c r="C48" s="1" t="s">
        <v>68</v>
      </c>
      <c r="D48" s="1" t="s">
        <v>69</v>
      </c>
      <c r="E48" s="1" t="s">
        <v>17</v>
      </c>
      <c r="F48" s="1" t="s">
        <v>129</v>
      </c>
      <c r="G48" s="11">
        <v>45750</v>
      </c>
      <c r="H48" s="25">
        <v>1800005058</v>
      </c>
      <c r="I48" s="1" t="s">
        <v>9</v>
      </c>
      <c r="J48" s="11">
        <v>45750</v>
      </c>
      <c r="K48" s="11">
        <v>45752</v>
      </c>
      <c r="L48" s="1" t="s">
        <v>71</v>
      </c>
      <c r="M48" s="35">
        <v>256779410004</v>
      </c>
      <c r="N48" s="1" t="s">
        <v>72</v>
      </c>
      <c r="O48" s="1" t="s">
        <v>73</v>
      </c>
      <c r="P48" s="1" t="s">
        <v>74</v>
      </c>
      <c r="Q48" s="1" t="s">
        <v>83</v>
      </c>
      <c r="R48" s="1" t="s">
        <v>76</v>
      </c>
      <c r="S48" s="12">
        <v>705</v>
      </c>
      <c r="T48" s="1" t="s">
        <v>77</v>
      </c>
      <c r="U48" s="12">
        <v>61279.88</v>
      </c>
      <c r="V48" s="1" t="s">
        <v>78</v>
      </c>
      <c r="W48" s="1" t="s">
        <v>74</v>
      </c>
      <c r="X48" s="1" t="s">
        <v>74</v>
      </c>
      <c r="Y48" s="1" t="s">
        <v>71</v>
      </c>
      <c r="Z48" s="1" t="s">
        <v>80</v>
      </c>
      <c r="AA48" s="1" t="s">
        <v>140</v>
      </c>
      <c r="AB48" s="1" t="s">
        <v>74</v>
      </c>
      <c r="AC48" s="1" t="s">
        <v>74</v>
      </c>
      <c r="AD48" s="1" t="s">
        <v>74</v>
      </c>
      <c r="AE48" s="11">
        <v>45750</v>
      </c>
      <c r="AF48" s="11">
        <v>45976</v>
      </c>
      <c r="AG48" s="1" t="s">
        <v>101</v>
      </c>
      <c r="AJ48" cm="1">
        <f t="array" ref="AJ48:AK48">_xlfn.XLOOKUP(M48,'Customer Data Vlookup'!$L:$L,'Customer Data Vlookup'!$M:$N,,0)</f>
        <v>0</v>
      </c>
      <c r="AK48" s="47">
        <v>55272</v>
      </c>
      <c r="AL48" s="47">
        <f t="shared" ref="AL48:AL50" si="2">AK48-AJ48</f>
        <v>55272</v>
      </c>
      <c r="AM48" s="58">
        <f t="shared" ref="AM48:AM50" si="3">U48-AL48</f>
        <v>6007.8799999999974</v>
      </c>
    </row>
    <row r="49" spans="1:39" x14ac:dyDescent="0.35">
      <c r="A49" s="1" t="s">
        <v>66</v>
      </c>
      <c r="B49" s="1" t="s">
        <v>67</v>
      </c>
      <c r="C49" s="1" t="s">
        <v>68</v>
      </c>
      <c r="D49" s="1" t="s">
        <v>69</v>
      </c>
      <c r="E49" s="1" t="s">
        <v>17</v>
      </c>
      <c r="F49" s="1" t="s">
        <v>129</v>
      </c>
      <c r="G49" s="11">
        <v>45750</v>
      </c>
      <c r="H49" s="25">
        <v>1800005064</v>
      </c>
      <c r="I49" s="1" t="s">
        <v>9</v>
      </c>
      <c r="J49" s="11">
        <v>45750</v>
      </c>
      <c r="K49" s="11">
        <v>45752</v>
      </c>
      <c r="L49" s="1" t="s">
        <v>71</v>
      </c>
      <c r="M49" s="35">
        <v>256779410010</v>
      </c>
      <c r="N49" s="1" t="s">
        <v>72</v>
      </c>
      <c r="O49" s="1" t="s">
        <v>73</v>
      </c>
      <c r="P49" s="1" t="s">
        <v>74</v>
      </c>
      <c r="Q49" s="1" t="s">
        <v>83</v>
      </c>
      <c r="R49" s="1" t="s">
        <v>76</v>
      </c>
      <c r="S49" s="12">
        <v>1793.99</v>
      </c>
      <c r="T49" s="1" t="s">
        <v>77</v>
      </c>
      <c r="U49" s="12">
        <v>155936.88</v>
      </c>
      <c r="V49" s="1" t="s">
        <v>78</v>
      </c>
      <c r="W49" s="1" t="s">
        <v>74</v>
      </c>
      <c r="X49" s="1" t="s">
        <v>74</v>
      </c>
      <c r="Y49" s="1" t="s">
        <v>71</v>
      </c>
      <c r="Z49" s="1" t="s">
        <v>80</v>
      </c>
      <c r="AA49" s="1" t="s">
        <v>140</v>
      </c>
      <c r="AB49" s="1" t="s">
        <v>74</v>
      </c>
      <c r="AC49" s="1" t="s">
        <v>74</v>
      </c>
      <c r="AD49" s="1" t="s">
        <v>74</v>
      </c>
      <c r="AE49" s="11">
        <v>45750</v>
      </c>
      <c r="AF49" s="11">
        <v>45976</v>
      </c>
      <c r="AG49" s="1" t="s">
        <v>101</v>
      </c>
      <c r="AJ49" cm="1">
        <f t="array" ref="AJ49:AK49">_xlfn.XLOOKUP(M49,'Customer Data Vlookup'!$L:$L,'Customer Data Vlookup'!$M:$N,,0)</f>
        <v>0</v>
      </c>
      <c r="AK49" s="47">
        <v>140649</v>
      </c>
      <c r="AL49" s="47">
        <f t="shared" si="2"/>
        <v>140649</v>
      </c>
      <c r="AM49" s="58">
        <f t="shared" si="3"/>
        <v>15287.880000000005</v>
      </c>
    </row>
    <row r="50" spans="1:39" x14ac:dyDescent="0.35">
      <c r="A50" s="1" t="s">
        <v>66</v>
      </c>
      <c r="B50" s="1" t="s">
        <v>67</v>
      </c>
      <c r="C50" s="1" t="s">
        <v>68</v>
      </c>
      <c r="D50" s="1" t="s">
        <v>69</v>
      </c>
      <c r="E50" s="1" t="s">
        <v>17</v>
      </c>
      <c r="F50" s="1" t="s">
        <v>129</v>
      </c>
      <c r="G50" s="11">
        <v>45750</v>
      </c>
      <c r="H50" s="25">
        <v>1800005328</v>
      </c>
      <c r="I50" s="1" t="s">
        <v>9</v>
      </c>
      <c r="J50" s="11">
        <v>45750</v>
      </c>
      <c r="K50" s="11">
        <v>45752</v>
      </c>
      <c r="L50" s="1" t="s">
        <v>71</v>
      </c>
      <c r="M50" s="35">
        <v>256779410220</v>
      </c>
      <c r="N50" s="1" t="s">
        <v>72</v>
      </c>
      <c r="O50" s="1" t="s">
        <v>73</v>
      </c>
      <c r="P50" s="1" t="s">
        <v>74</v>
      </c>
      <c r="Q50" s="1" t="s">
        <v>83</v>
      </c>
      <c r="R50" s="1" t="s">
        <v>76</v>
      </c>
      <c r="S50" s="12">
        <v>1314.12</v>
      </c>
      <c r="T50" s="1" t="s">
        <v>77</v>
      </c>
      <c r="U50" s="12">
        <v>114225.7</v>
      </c>
      <c r="V50" s="1" t="s">
        <v>78</v>
      </c>
      <c r="W50" s="1" t="s">
        <v>74</v>
      </c>
      <c r="X50" s="1" t="s">
        <v>74</v>
      </c>
      <c r="Y50" s="1" t="s">
        <v>71</v>
      </c>
      <c r="Z50" s="1" t="s">
        <v>80</v>
      </c>
      <c r="AA50" s="1" t="s">
        <v>140</v>
      </c>
      <c r="AB50" s="1" t="s">
        <v>74</v>
      </c>
      <c r="AC50" s="1" t="s">
        <v>74</v>
      </c>
      <c r="AD50" s="1" t="s">
        <v>74</v>
      </c>
      <c r="AE50" s="11">
        <v>45750</v>
      </c>
      <c r="AF50" s="11">
        <v>45976</v>
      </c>
      <c r="AG50" s="1" t="s">
        <v>101</v>
      </c>
      <c r="AJ50" cm="1">
        <f t="array" ref="AJ50:AK50">_xlfn.XLOOKUP(M50,'Customer Data Vlookup'!$L:$L,'Customer Data Vlookup'!$M:$N,,0)</f>
        <v>0</v>
      </c>
      <c r="AK50" s="47">
        <v>114223</v>
      </c>
      <c r="AL50" s="47">
        <f t="shared" si="2"/>
        <v>114223</v>
      </c>
      <c r="AM50" s="58">
        <f t="shared" si="3"/>
        <v>2.6999999999970896</v>
      </c>
    </row>
    <row r="51" spans="1:39" hidden="1" x14ac:dyDescent="0.35">
      <c r="A51" s="1" t="s">
        <v>124</v>
      </c>
      <c r="B51" s="1" t="s">
        <v>67</v>
      </c>
      <c r="C51" s="1" t="s">
        <v>68</v>
      </c>
      <c r="D51" s="1" t="s">
        <v>69</v>
      </c>
      <c r="E51" s="1" t="s">
        <v>17</v>
      </c>
      <c r="F51" s="1" t="s">
        <v>141</v>
      </c>
      <c r="G51" s="11">
        <v>45950</v>
      </c>
      <c r="H51" s="25">
        <v>1800013971</v>
      </c>
      <c r="I51" s="1" t="s">
        <v>9</v>
      </c>
      <c r="J51" s="11">
        <v>45950</v>
      </c>
      <c r="K51" s="11">
        <v>45951</v>
      </c>
      <c r="L51" s="1" t="s">
        <v>71</v>
      </c>
      <c r="M51" s="35">
        <v>256779418614</v>
      </c>
      <c r="N51" s="1" t="s">
        <v>72</v>
      </c>
      <c r="O51" s="1" t="s">
        <v>73</v>
      </c>
      <c r="P51" s="1" t="s">
        <v>74</v>
      </c>
      <c r="Q51" s="1" t="s">
        <v>83</v>
      </c>
      <c r="R51" s="1" t="s">
        <v>76</v>
      </c>
      <c r="S51" s="12">
        <v>338.06</v>
      </c>
      <c r="T51" s="1" t="s">
        <v>77</v>
      </c>
      <c r="U51" s="12">
        <v>29813.77</v>
      </c>
      <c r="V51" s="1" t="s">
        <v>78</v>
      </c>
      <c r="W51" s="1" t="s">
        <v>79</v>
      </c>
      <c r="X51" s="1" t="s">
        <v>74</v>
      </c>
      <c r="Y51" s="1" t="s">
        <v>142</v>
      </c>
      <c r="Z51" s="1" t="s">
        <v>80</v>
      </c>
      <c r="AA51" s="1" t="s">
        <v>143</v>
      </c>
      <c r="AB51" s="1" t="s">
        <v>74</v>
      </c>
      <c r="AC51" s="1" t="s">
        <v>74</v>
      </c>
      <c r="AD51" s="1" t="s">
        <v>74</v>
      </c>
      <c r="AE51" s="11">
        <v>45950</v>
      </c>
      <c r="AF51" s="11"/>
      <c r="AG51" s="1" t="s">
        <v>74</v>
      </c>
      <c r="AJ51" t="e" cm="1">
        <f t="array" ref="AJ51">_xlfn.XLOOKUP(M51,'Customer Data Vlookup'!$L:$L,'Customer Data Vlookup'!$M:$N,,0)</f>
        <v>#N/A</v>
      </c>
    </row>
    <row r="52" spans="1:39" hidden="1" x14ac:dyDescent="0.35">
      <c r="A52" s="1" t="s">
        <v>124</v>
      </c>
      <c r="B52" s="1" t="s">
        <v>67</v>
      </c>
      <c r="C52" s="1" t="s">
        <v>68</v>
      </c>
      <c r="D52" s="1" t="s">
        <v>69</v>
      </c>
      <c r="E52" s="1" t="s">
        <v>17</v>
      </c>
      <c r="F52" s="1" t="s">
        <v>141</v>
      </c>
      <c r="G52" s="11">
        <v>45950</v>
      </c>
      <c r="H52" s="25">
        <v>1800014013</v>
      </c>
      <c r="I52" s="1" t="s">
        <v>9</v>
      </c>
      <c r="J52" s="11">
        <v>45950</v>
      </c>
      <c r="K52" s="11">
        <v>45951</v>
      </c>
      <c r="L52" s="1" t="s">
        <v>71</v>
      </c>
      <c r="M52" s="35">
        <v>256779418620</v>
      </c>
      <c r="N52" s="1" t="s">
        <v>72</v>
      </c>
      <c r="O52" s="1" t="s">
        <v>73</v>
      </c>
      <c r="P52" s="1" t="s">
        <v>74</v>
      </c>
      <c r="Q52" s="1" t="s">
        <v>83</v>
      </c>
      <c r="R52" s="1" t="s">
        <v>76</v>
      </c>
      <c r="S52" s="12">
        <v>830.96</v>
      </c>
      <c r="T52" s="1" t="s">
        <v>77</v>
      </c>
      <c r="U52" s="12">
        <v>73283</v>
      </c>
      <c r="V52" s="1" t="s">
        <v>78</v>
      </c>
      <c r="W52" s="1" t="s">
        <v>79</v>
      </c>
      <c r="X52" s="1" t="s">
        <v>74</v>
      </c>
      <c r="Y52" s="1" t="s">
        <v>144</v>
      </c>
      <c r="Z52" s="1" t="s">
        <v>80</v>
      </c>
      <c r="AA52" s="1" t="s">
        <v>145</v>
      </c>
      <c r="AB52" s="1" t="s">
        <v>74</v>
      </c>
      <c r="AC52" s="1" t="s">
        <v>74</v>
      </c>
      <c r="AD52" s="1" t="s">
        <v>74</v>
      </c>
      <c r="AE52" s="11">
        <v>45950</v>
      </c>
      <c r="AF52" s="11"/>
      <c r="AG52" s="1" t="s">
        <v>74</v>
      </c>
      <c r="AJ52" t="e" cm="1">
        <f t="array" ref="AJ52">_xlfn.XLOOKUP(M52,'Customer Data Vlookup'!$L:$L,'Customer Data Vlookup'!$M:$N,,0)</f>
        <v>#N/A</v>
      </c>
    </row>
    <row r="53" spans="1:39" hidden="1" x14ac:dyDescent="0.35">
      <c r="A53" s="1" t="s">
        <v>124</v>
      </c>
      <c r="B53" s="1" t="s">
        <v>67</v>
      </c>
      <c r="C53" s="1" t="s">
        <v>68</v>
      </c>
      <c r="D53" s="1" t="s">
        <v>69</v>
      </c>
      <c r="E53" s="1" t="s">
        <v>17</v>
      </c>
      <c r="F53" s="1" t="s">
        <v>141</v>
      </c>
      <c r="G53" s="11">
        <v>45950</v>
      </c>
      <c r="H53" s="25">
        <v>1800013843</v>
      </c>
      <c r="I53" s="1" t="s">
        <v>9</v>
      </c>
      <c r="J53" s="11">
        <v>45950</v>
      </c>
      <c r="K53" s="11">
        <v>45951</v>
      </c>
      <c r="L53" s="1" t="s">
        <v>71</v>
      </c>
      <c r="M53" s="35">
        <v>256779418661</v>
      </c>
      <c r="N53" s="1" t="s">
        <v>72</v>
      </c>
      <c r="O53" s="1" t="s">
        <v>73</v>
      </c>
      <c r="P53" s="1" t="s">
        <v>74</v>
      </c>
      <c r="Q53" s="1" t="s">
        <v>83</v>
      </c>
      <c r="R53" s="1" t="s">
        <v>76</v>
      </c>
      <c r="S53" s="12">
        <v>226.3</v>
      </c>
      <c r="T53" s="1" t="s">
        <v>77</v>
      </c>
      <c r="U53" s="12">
        <v>19957.57</v>
      </c>
      <c r="V53" s="1" t="s">
        <v>78</v>
      </c>
      <c r="W53" s="1" t="s">
        <v>79</v>
      </c>
      <c r="X53" s="1" t="s">
        <v>74</v>
      </c>
      <c r="Y53" s="1" t="s">
        <v>146</v>
      </c>
      <c r="Z53" s="1" t="s">
        <v>80</v>
      </c>
      <c r="AA53" s="1" t="s">
        <v>147</v>
      </c>
      <c r="AB53" s="1" t="s">
        <v>74</v>
      </c>
      <c r="AC53" s="1" t="s">
        <v>74</v>
      </c>
      <c r="AD53" s="1" t="s">
        <v>74</v>
      </c>
      <c r="AE53" s="11">
        <v>45950</v>
      </c>
      <c r="AF53" s="11"/>
      <c r="AG53" s="1" t="s">
        <v>74</v>
      </c>
      <c r="AJ53" t="e" cm="1">
        <f t="array" ref="AJ53">_xlfn.XLOOKUP(M53,'Customer Data Vlookup'!$L:$L,'Customer Data Vlookup'!$M:$N,,0)</f>
        <v>#N/A</v>
      </c>
    </row>
    <row r="54" spans="1:39" hidden="1" x14ac:dyDescent="0.35">
      <c r="A54" s="1" t="s">
        <v>124</v>
      </c>
      <c r="B54" s="1" t="s">
        <v>67</v>
      </c>
      <c r="C54" s="1" t="s">
        <v>68</v>
      </c>
      <c r="D54" s="1" t="s">
        <v>69</v>
      </c>
      <c r="E54" s="1" t="s">
        <v>17</v>
      </c>
      <c r="F54" s="1" t="s">
        <v>141</v>
      </c>
      <c r="G54" s="11">
        <v>45950</v>
      </c>
      <c r="H54" s="25">
        <v>1800013925</v>
      </c>
      <c r="I54" s="1" t="s">
        <v>9</v>
      </c>
      <c r="J54" s="11">
        <v>45950</v>
      </c>
      <c r="K54" s="11">
        <v>45951</v>
      </c>
      <c r="L54" s="1" t="s">
        <v>71</v>
      </c>
      <c r="M54" s="35">
        <v>256779418702</v>
      </c>
      <c r="N54" s="1" t="s">
        <v>72</v>
      </c>
      <c r="O54" s="1" t="s">
        <v>73</v>
      </c>
      <c r="P54" s="1" t="s">
        <v>74</v>
      </c>
      <c r="Q54" s="1" t="s">
        <v>83</v>
      </c>
      <c r="R54" s="1" t="s">
        <v>76</v>
      </c>
      <c r="S54" s="12">
        <v>182.87</v>
      </c>
      <c r="T54" s="1" t="s">
        <v>77</v>
      </c>
      <c r="U54" s="12">
        <v>16127.45</v>
      </c>
      <c r="V54" s="1" t="s">
        <v>78</v>
      </c>
      <c r="W54" s="1" t="s">
        <v>79</v>
      </c>
      <c r="X54" s="1" t="s">
        <v>74</v>
      </c>
      <c r="Y54" s="1" t="s">
        <v>148</v>
      </c>
      <c r="Z54" s="1" t="s">
        <v>80</v>
      </c>
      <c r="AA54" s="1" t="s">
        <v>149</v>
      </c>
      <c r="AB54" s="1" t="s">
        <v>74</v>
      </c>
      <c r="AC54" s="1" t="s">
        <v>74</v>
      </c>
      <c r="AD54" s="1" t="s">
        <v>74</v>
      </c>
      <c r="AE54" s="11">
        <v>45950</v>
      </c>
      <c r="AF54" s="11"/>
      <c r="AG54" s="1" t="s">
        <v>74</v>
      </c>
      <c r="AJ54" t="e" cm="1">
        <f t="array" ref="AJ54">_xlfn.XLOOKUP(M54,'Customer Data Vlookup'!$L:$L,'Customer Data Vlookup'!$M:$N,,0)</f>
        <v>#N/A</v>
      </c>
    </row>
    <row r="55" spans="1:39" x14ac:dyDescent="0.35">
      <c r="A55" s="1" t="s">
        <v>124</v>
      </c>
      <c r="B55" s="1" t="s">
        <v>67</v>
      </c>
      <c r="C55" s="1" t="s">
        <v>68</v>
      </c>
      <c r="D55" s="1" t="s">
        <v>69</v>
      </c>
      <c r="E55" s="1" t="s">
        <v>17</v>
      </c>
      <c r="F55" s="1" t="s">
        <v>129</v>
      </c>
      <c r="G55" s="11">
        <v>45768</v>
      </c>
      <c r="H55" s="25">
        <v>1800007270</v>
      </c>
      <c r="I55" s="1" t="s">
        <v>9</v>
      </c>
      <c r="J55" s="11">
        <v>45768</v>
      </c>
      <c r="K55" s="11">
        <v>45769</v>
      </c>
      <c r="L55" s="1" t="s">
        <v>71</v>
      </c>
      <c r="M55" s="35">
        <v>256779412161</v>
      </c>
      <c r="N55" s="1" t="s">
        <v>72</v>
      </c>
      <c r="O55" s="1" t="s">
        <v>73</v>
      </c>
      <c r="P55" s="1" t="s">
        <v>74</v>
      </c>
      <c r="Q55" s="1" t="s">
        <v>83</v>
      </c>
      <c r="R55" s="1" t="s">
        <v>76</v>
      </c>
      <c r="S55" s="12">
        <v>456.75</v>
      </c>
      <c r="T55" s="1" t="s">
        <v>77</v>
      </c>
      <c r="U55" s="12">
        <v>39193.72</v>
      </c>
      <c r="V55" s="1" t="s">
        <v>78</v>
      </c>
      <c r="W55" s="1" t="s">
        <v>79</v>
      </c>
      <c r="X55" s="1" t="s">
        <v>74</v>
      </c>
      <c r="Y55" s="1" t="s">
        <v>71</v>
      </c>
      <c r="Z55" s="1" t="s">
        <v>80</v>
      </c>
      <c r="AA55" s="1" t="s">
        <v>150</v>
      </c>
      <c r="AB55" s="1" t="s">
        <v>74</v>
      </c>
      <c r="AC55" s="1" t="s">
        <v>74</v>
      </c>
      <c r="AD55" s="1" t="s">
        <v>74</v>
      </c>
      <c r="AE55" s="11">
        <v>45768</v>
      </c>
      <c r="AF55" s="11"/>
      <c r="AG55" s="1" t="s">
        <v>74</v>
      </c>
      <c r="AJ55" cm="1">
        <f t="array" ref="AJ55:AK55">_xlfn.XLOOKUP(M55,'Customer Data Vlookup'!$L:$L,'Customer Data Vlookup'!$M:$N,,0)</f>
        <v>0</v>
      </c>
      <c r="AK55" s="47">
        <v>34962</v>
      </c>
      <c r="AL55" s="47">
        <f>AK55-AJ55</f>
        <v>34962</v>
      </c>
      <c r="AM55" s="58">
        <f>U55-AL55</f>
        <v>4231.7200000000012</v>
      </c>
    </row>
    <row r="56" spans="1:39" hidden="1" x14ac:dyDescent="0.35">
      <c r="A56" s="1" t="s">
        <v>124</v>
      </c>
      <c r="B56" s="1" t="s">
        <v>67</v>
      </c>
      <c r="C56" s="1" t="s">
        <v>68</v>
      </c>
      <c r="D56" s="1" t="s">
        <v>69</v>
      </c>
      <c r="E56" s="1" t="s">
        <v>17</v>
      </c>
      <c r="F56" s="1" t="s">
        <v>70</v>
      </c>
      <c r="G56" s="11">
        <v>45862</v>
      </c>
      <c r="H56" s="25">
        <v>1600001816</v>
      </c>
      <c r="I56" s="1" t="s">
        <v>8</v>
      </c>
      <c r="J56" s="11">
        <v>45862</v>
      </c>
      <c r="K56" s="11">
        <v>45862</v>
      </c>
      <c r="L56" s="1" t="s">
        <v>71</v>
      </c>
      <c r="M56" s="35">
        <v>256779421436</v>
      </c>
      <c r="N56" s="1" t="s">
        <v>72</v>
      </c>
      <c r="O56" s="1" t="s">
        <v>73</v>
      </c>
      <c r="P56" s="1" t="s">
        <v>74</v>
      </c>
      <c r="Q56" s="1" t="s">
        <v>75</v>
      </c>
      <c r="R56" s="1" t="s">
        <v>76</v>
      </c>
      <c r="S56" s="12">
        <v>-140</v>
      </c>
      <c r="T56" s="1" t="s">
        <v>77</v>
      </c>
      <c r="U56" s="12">
        <v>-12037.72</v>
      </c>
      <c r="V56" s="1" t="s">
        <v>78</v>
      </c>
      <c r="W56" s="1" t="s">
        <v>79</v>
      </c>
      <c r="X56" s="1" t="s">
        <v>74</v>
      </c>
      <c r="Y56" s="1" t="s">
        <v>71</v>
      </c>
      <c r="Z56" s="1" t="s">
        <v>80</v>
      </c>
      <c r="AA56" s="1" t="s">
        <v>151</v>
      </c>
      <c r="AB56" s="1" t="s">
        <v>74</v>
      </c>
      <c r="AC56" s="1" t="s">
        <v>74</v>
      </c>
      <c r="AD56" s="1" t="s">
        <v>74</v>
      </c>
      <c r="AE56" s="11">
        <v>45862</v>
      </c>
      <c r="AF56" s="11"/>
      <c r="AG56" s="1" t="s">
        <v>74</v>
      </c>
      <c r="AJ56" s="5" t="e" cm="1">
        <f t="array" ref="AJ56">_xlfn.XLOOKUP(M56,'Customer Data Vlookup'!$L:$L,'Customer Data Vlookup'!$M:$N,,0)</f>
        <v>#N/A</v>
      </c>
    </row>
    <row r="57" spans="1:39" x14ac:dyDescent="0.35">
      <c r="A57" s="1" t="s">
        <v>124</v>
      </c>
      <c r="B57" s="1" t="s">
        <v>67</v>
      </c>
      <c r="C57" s="1" t="s">
        <v>68</v>
      </c>
      <c r="D57" s="1" t="s">
        <v>69</v>
      </c>
      <c r="E57" s="1" t="s">
        <v>17</v>
      </c>
      <c r="F57" s="1" t="s">
        <v>70</v>
      </c>
      <c r="G57" s="11">
        <v>45862</v>
      </c>
      <c r="H57" s="25">
        <v>1800011187</v>
      </c>
      <c r="I57" s="1" t="s">
        <v>9</v>
      </c>
      <c r="J57" s="11">
        <v>45862</v>
      </c>
      <c r="K57" s="11">
        <v>45862</v>
      </c>
      <c r="L57" s="1" t="s">
        <v>71</v>
      </c>
      <c r="M57" s="35">
        <v>256779415939</v>
      </c>
      <c r="N57" s="1" t="s">
        <v>72</v>
      </c>
      <c r="O57" s="1" t="s">
        <v>73</v>
      </c>
      <c r="P57" s="1" t="s">
        <v>74</v>
      </c>
      <c r="Q57" s="1" t="s">
        <v>83</v>
      </c>
      <c r="R57" s="1" t="s">
        <v>76</v>
      </c>
      <c r="S57" s="12">
        <v>140</v>
      </c>
      <c r="T57" s="1" t="s">
        <v>77</v>
      </c>
      <c r="U57" s="12">
        <v>12040.09</v>
      </c>
      <c r="V57" s="1" t="s">
        <v>78</v>
      </c>
      <c r="W57" s="1" t="s">
        <v>79</v>
      </c>
      <c r="X57" s="1" t="s">
        <v>74</v>
      </c>
      <c r="Y57" s="1" t="s">
        <v>71</v>
      </c>
      <c r="Z57" s="1" t="s">
        <v>80</v>
      </c>
      <c r="AA57" s="1" t="s">
        <v>152</v>
      </c>
      <c r="AB57" s="1" t="s">
        <v>74</v>
      </c>
      <c r="AC57" s="1" t="s">
        <v>74</v>
      </c>
      <c r="AD57" s="1" t="s">
        <v>74</v>
      </c>
      <c r="AE57" s="11">
        <v>45862</v>
      </c>
      <c r="AF57" s="11"/>
      <c r="AG57" s="1" t="s">
        <v>74</v>
      </c>
      <c r="AJ57" cm="1">
        <f t="array" ref="AJ57:AK57">_xlfn.XLOOKUP(M57,'Customer Data Vlookup'!$L:$L,'Customer Data Vlookup'!$M:$N,,0)</f>
        <v>0</v>
      </c>
      <c r="AK57" s="47">
        <v>11782.0918</v>
      </c>
      <c r="AL57" s="47">
        <f t="shared" ref="AL57:AL58" si="4">AK57-AJ57</f>
        <v>11782.0918</v>
      </c>
      <c r="AM57" s="58">
        <f t="shared" ref="AM57:AM58" si="5">U57-AL57</f>
        <v>257.9982</v>
      </c>
    </row>
    <row r="58" spans="1:39" hidden="1" x14ac:dyDescent="0.35">
      <c r="A58" s="1" t="s">
        <v>124</v>
      </c>
      <c r="B58" s="1" t="s">
        <v>67</v>
      </c>
      <c r="C58" s="1" t="s">
        <v>68</v>
      </c>
      <c r="D58" s="1" t="s">
        <v>69</v>
      </c>
      <c r="E58" s="1" t="s">
        <v>17</v>
      </c>
      <c r="F58" s="1" t="s">
        <v>70</v>
      </c>
      <c r="G58" s="11">
        <v>45862</v>
      </c>
      <c r="H58" s="25">
        <v>1800011193</v>
      </c>
      <c r="I58" s="1" t="s">
        <v>9</v>
      </c>
      <c r="J58" s="11">
        <v>45862</v>
      </c>
      <c r="K58" s="11">
        <v>45862</v>
      </c>
      <c r="L58" s="1" t="s">
        <v>71</v>
      </c>
      <c r="M58" s="35">
        <v>256779415945</v>
      </c>
      <c r="N58" s="1" t="s">
        <v>72</v>
      </c>
      <c r="O58" s="1" t="s">
        <v>73</v>
      </c>
      <c r="P58" s="1" t="s">
        <v>74</v>
      </c>
      <c r="Q58" s="1" t="s">
        <v>83</v>
      </c>
      <c r="R58" s="1" t="s">
        <v>76</v>
      </c>
      <c r="S58" s="12">
        <v>111.15</v>
      </c>
      <c r="T58" s="1" t="s">
        <v>77</v>
      </c>
      <c r="U58" s="12">
        <v>9558.9699999999993</v>
      </c>
      <c r="V58" s="1" t="s">
        <v>78</v>
      </c>
      <c r="W58" s="1" t="s">
        <v>79</v>
      </c>
      <c r="X58" s="1" t="s">
        <v>74</v>
      </c>
      <c r="Y58" s="1" t="s">
        <v>71</v>
      </c>
      <c r="Z58" s="1" t="s">
        <v>80</v>
      </c>
      <c r="AA58" s="1" t="s">
        <v>128</v>
      </c>
      <c r="AB58" s="1" t="s">
        <v>74</v>
      </c>
      <c r="AC58" s="1" t="s">
        <v>74</v>
      </c>
      <c r="AD58" s="1" t="s">
        <v>74</v>
      </c>
      <c r="AE58" s="11">
        <v>45862</v>
      </c>
      <c r="AF58" s="11"/>
      <c r="AG58" s="1" t="s">
        <v>74</v>
      </c>
      <c r="AJ58" t="e" cm="1">
        <f t="array" ref="AJ58">_xlfn.XLOOKUP(M58,'Customer Data Vlookup'!$L:$L,'Customer Data Vlookup'!$M:$N,,0)</f>
        <v>#N/A</v>
      </c>
      <c r="AK58" s="47"/>
      <c r="AL58" s="47" t="e">
        <f t="shared" si="4"/>
        <v>#N/A</v>
      </c>
      <c r="AM58" s="58" t="e">
        <f t="shared" si="5"/>
        <v>#N/A</v>
      </c>
    </row>
    <row r="59" spans="1:39" hidden="1" x14ac:dyDescent="0.35">
      <c r="A59" s="1" t="s">
        <v>66</v>
      </c>
      <c r="B59" s="1" t="s">
        <v>67</v>
      </c>
      <c r="C59" s="1" t="s">
        <v>68</v>
      </c>
      <c r="D59" s="1" t="s">
        <v>69</v>
      </c>
      <c r="E59" s="1" t="s">
        <v>17</v>
      </c>
      <c r="F59" s="1" t="s">
        <v>70</v>
      </c>
      <c r="G59" s="11">
        <v>45862</v>
      </c>
      <c r="H59" s="25">
        <v>1600001906</v>
      </c>
      <c r="I59" s="1" t="s">
        <v>8</v>
      </c>
      <c r="J59" s="11">
        <v>45862</v>
      </c>
      <c r="K59" s="11">
        <v>45862</v>
      </c>
      <c r="L59" s="1" t="s">
        <v>71</v>
      </c>
      <c r="M59" s="35">
        <v>256779421526</v>
      </c>
      <c r="N59" s="1" t="s">
        <v>72</v>
      </c>
      <c r="O59" s="1" t="s">
        <v>73</v>
      </c>
      <c r="P59" s="1" t="s">
        <v>74</v>
      </c>
      <c r="Q59" s="1" t="s">
        <v>75</v>
      </c>
      <c r="R59" s="1" t="s">
        <v>76</v>
      </c>
      <c r="S59" s="12">
        <v>-456.75</v>
      </c>
      <c r="T59" s="1" t="s">
        <v>77</v>
      </c>
      <c r="U59" s="12">
        <v>-39280.81</v>
      </c>
      <c r="V59" s="1" t="s">
        <v>78</v>
      </c>
      <c r="W59" s="1" t="s">
        <v>79</v>
      </c>
      <c r="X59" s="1" t="s">
        <v>74</v>
      </c>
      <c r="Y59" s="1" t="s">
        <v>71</v>
      </c>
      <c r="Z59" s="1" t="s">
        <v>80</v>
      </c>
      <c r="AA59" s="1" t="s">
        <v>153</v>
      </c>
      <c r="AB59" s="1" t="s">
        <v>74</v>
      </c>
      <c r="AC59" s="1" t="s">
        <v>74</v>
      </c>
      <c r="AD59" s="1" t="s">
        <v>74</v>
      </c>
      <c r="AE59" s="11">
        <v>45862</v>
      </c>
      <c r="AF59" s="11">
        <v>45902</v>
      </c>
      <c r="AG59" s="1" t="s">
        <v>154</v>
      </c>
      <c r="AJ59" s="5" t="e" cm="1">
        <f t="array" ref="AJ59">_xlfn.XLOOKUP(M59,'Customer Data Vlookup'!$L:$L,'Customer Data Vlookup'!$M:$N,,0)</f>
        <v>#N/A</v>
      </c>
    </row>
    <row r="60" spans="1:39" hidden="1" x14ac:dyDescent="0.35">
      <c r="A60" s="1" t="s">
        <v>66</v>
      </c>
      <c r="B60" s="1" t="s">
        <v>67</v>
      </c>
      <c r="C60" s="1" t="s">
        <v>68</v>
      </c>
      <c r="D60" s="1" t="s">
        <v>69</v>
      </c>
      <c r="E60" s="1" t="s">
        <v>17</v>
      </c>
      <c r="F60" s="1" t="s">
        <v>70</v>
      </c>
      <c r="G60" s="11">
        <v>45862</v>
      </c>
      <c r="H60" s="25">
        <v>1600001923</v>
      </c>
      <c r="I60" s="1" t="s">
        <v>8</v>
      </c>
      <c r="J60" s="11">
        <v>45862</v>
      </c>
      <c r="K60" s="11">
        <v>45862</v>
      </c>
      <c r="L60" s="1" t="s">
        <v>71</v>
      </c>
      <c r="M60" s="35">
        <v>256779421543</v>
      </c>
      <c r="N60" s="1" t="s">
        <v>72</v>
      </c>
      <c r="O60" s="1" t="s">
        <v>73</v>
      </c>
      <c r="P60" s="1" t="s">
        <v>74</v>
      </c>
      <c r="Q60" s="1" t="s">
        <v>75</v>
      </c>
      <c r="R60" s="1" t="s">
        <v>76</v>
      </c>
      <c r="S60" s="12">
        <v>-456.75</v>
      </c>
      <c r="T60" s="1" t="s">
        <v>77</v>
      </c>
      <c r="U60" s="12">
        <v>-39280.81</v>
      </c>
      <c r="V60" s="1" t="s">
        <v>78</v>
      </c>
      <c r="W60" s="1" t="s">
        <v>79</v>
      </c>
      <c r="X60" s="1" t="s">
        <v>74</v>
      </c>
      <c r="Y60" s="1" t="s">
        <v>71</v>
      </c>
      <c r="Z60" s="1" t="s">
        <v>80</v>
      </c>
      <c r="AA60" s="1" t="s">
        <v>155</v>
      </c>
      <c r="AB60" s="1" t="s">
        <v>74</v>
      </c>
      <c r="AC60" s="1" t="s">
        <v>74</v>
      </c>
      <c r="AD60" s="1" t="s">
        <v>74</v>
      </c>
      <c r="AE60" s="11">
        <v>45862</v>
      </c>
      <c r="AF60" s="11">
        <v>45902</v>
      </c>
      <c r="AG60" s="1" t="s">
        <v>154</v>
      </c>
      <c r="AJ60" s="5" t="e" cm="1">
        <f t="array" ref="AJ60">_xlfn.XLOOKUP(M60,'Customer Data Vlookup'!$L:$L,'Customer Data Vlookup'!$M:$N,,0)</f>
        <v>#N/A</v>
      </c>
    </row>
    <row r="61" spans="1:39" hidden="1" x14ac:dyDescent="0.35">
      <c r="A61" s="1" t="s">
        <v>66</v>
      </c>
      <c r="B61" s="1" t="s">
        <v>67</v>
      </c>
      <c r="C61" s="1" t="s">
        <v>68</v>
      </c>
      <c r="D61" s="1" t="s">
        <v>69</v>
      </c>
      <c r="E61" s="1" t="s">
        <v>17</v>
      </c>
      <c r="F61" s="1" t="s">
        <v>70</v>
      </c>
      <c r="G61" s="11">
        <v>45862</v>
      </c>
      <c r="H61" s="25">
        <v>1600001822</v>
      </c>
      <c r="I61" s="1" t="s">
        <v>8</v>
      </c>
      <c r="J61" s="11">
        <v>45862</v>
      </c>
      <c r="K61" s="11">
        <v>45862</v>
      </c>
      <c r="L61" s="1" t="s">
        <v>71</v>
      </c>
      <c r="M61" s="35">
        <v>256779421442</v>
      </c>
      <c r="N61" s="1" t="s">
        <v>72</v>
      </c>
      <c r="O61" s="1" t="s">
        <v>73</v>
      </c>
      <c r="P61" s="1" t="s">
        <v>74</v>
      </c>
      <c r="Q61" s="1" t="s">
        <v>75</v>
      </c>
      <c r="R61" s="1" t="s">
        <v>76</v>
      </c>
      <c r="S61" s="12">
        <v>-111.15</v>
      </c>
      <c r="T61" s="1" t="s">
        <v>77</v>
      </c>
      <c r="U61" s="12">
        <v>-9557.09</v>
      </c>
      <c r="V61" s="1" t="s">
        <v>78</v>
      </c>
      <c r="W61" s="1" t="s">
        <v>79</v>
      </c>
      <c r="X61" s="1" t="s">
        <v>74</v>
      </c>
      <c r="Y61" s="1" t="s">
        <v>71</v>
      </c>
      <c r="Z61" s="1" t="s">
        <v>80</v>
      </c>
      <c r="AA61" s="1" t="s">
        <v>156</v>
      </c>
      <c r="AB61" s="1" t="s">
        <v>74</v>
      </c>
      <c r="AC61" s="1" t="s">
        <v>74</v>
      </c>
      <c r="AD61" s="1" t="s">
        <v>74</v>
      </c>
      <c r="AE61" s="11">
        <v>45862</v>
      </c>
      <c r="AF61" s="11">
        <v>45976</v>
      </c>
      <c r="AG61" s="1" t="s">
        <v>101</v>
      </c>
      <c r="AJ61" s="5" t="e" cm="1">
        <f t="array" ref="AJ61">_xlfn.XLOOKUP(M61,'Customer Data Vlookup'!$L:$L,'Customer Data Vlookup'!$M:$N,,0)</f>
        <v>#N/A</v>
      </c>
    </row>
    <row r="62" spans="1:39" x14ac:dyDescent="0.35">
      <c r="A62" s="1" t="s">
        <v>124</v>
      </c>
      <c r="B62" s="1" t="s">
        <v>67</v>
      </c>
      <c r="C62" s="1" t="s">
        <v>68</v>
      </c>
      <c r="D62" s="1" t="s">
        <v>69</v>
      </c>
      <c r="E62" s="1" t="s">
        <v>17</v>
      </c>
      <c r="F62" s="1" t="s">
        <v>125</v>
      </c>
      <c r="G62" s="11">
        <v>45798</v>
      </c>
      <c r="H62" s="25">
        <v>1800008640</v>
      </c>
      <c r="I62" s="1" t="s">
        <v>9</v>
      </c>
      <c r="J62" s="11">
        <v>45798</v>
      </c>
      <c r="K62" s="11">
        <v>45800</v>
      </c>
      <c r="L62" s="1" t="s">
        <v>71</v>
      </c>
      <c r="M62" s="35">
        <v>256779413404</v>
      </c>
      <c r="N62" s="1" t="s">
        <v>72</v>
      </c>
      <c r="O62" s="1" t="s">
        <v>73</v>
      </c>
      <c r="P62" s="1" t="s">
        <v>74</v>
      </c>
      <c r="Q62" s="1" t="s">
        <v>83</v>
      </c>
      <c r="R62" s="1" t="s">
        <v>76</v>
      </c>
      <c r="S62" s="12">
        <v>84.6</v>
      </c>
      <c r="T62" s="1" t="s">
        <v>77</v>
      </c>
      <c r="U62" s="12">
        <v>7274.22</v>
      </c>
      <c r="V62" s="1" t="s">
        <v>78</v>
      </c>
      <c r="W62" s="1" t="s">
        <v>79</v>
      </c>
      <c r="X62" s="1" t="s">
        <v>74</v>
      </c>
      <c r="Y62" s="1" t="s">
        <v>71</v>
      </c>
      <c r="Z62" s="1" t="s">
        <v>80</v>
      </c>
      <c r="AA62" s="1" t="s">
        <v>157</v>
      </c>
      <c r="AB62" s="1" t="s">
        <v>74</v>
      </c>
      <c r="AC62" s="1" t="s">
        <v>74</v>
      </c>
      <c r="AD62" s="1" t="s">
        <v>74</v>
      </c>
      <c r="AE62" s="11">
        <v>45798</v>
      </c>
      <c r="AF62" s="11"/>
      <c r="AG62" s="1" t="s">
        <v>74</v>
      </c>
      <c r="AJ62" cm="1">
        <f t="array" ref="AJ62:AK62">_xlfn.XLOOKUP(M62,'Customer Data Vlookup'!$L:$L,'Customer Data Vlookup'!$M:$N,,0)</f>
        <v>0</v>
      </c>
      <c r="AK62" s="47">
        <v>7129</v>
      </c>
      <c r="AL62" s="47">
        <f t="shared" ref="AL62:AL67" si="6">AK62-AJ62</f>
        <v>7129</v>
      </c>
      <c r="AM62" s="58">
        <f t="shared" ref="AM62:AM67" si="7">U62-AL62</f>
        <v>145.22000000000025</v>
      </c>
    </row>
    <row r="63" spans="1:39" x14ac:dyDescent="0.35">
      <c r="A63" s="1" t="s">
        <v>124</v>
      </c>
      <c r="B63" s="1" t="s">
        <v>67</v>
      </c>
      <c r="C63" s="1" t="s">
        <v>68</v>
      </c>
      <c r="D63" s="1" t="s">
        <v>69</v>
      </c>
      <c r="E63" s="1" t="s">
        <v>17</v>
      </c>
      <c r="F63" s="1" t="s">
        <v>125</v>
      </c>
      <c r="G63" s="11">
        <v>45798</v>
      </c>
      <c r="H63" s="25">
        <v>1800008641</v>
      </c>
      <c r="I63" s="1" t="s">
        <v>9</v>
      </c>
      <c r="J63" s="11">
        <v>45798</v>
      </c>
      <c r="K63" s="11">
        <v>45800</v>
      </c>
      <c r="L63" s="1" t="s">
        <v>71</v>
      </c>
      <c r="M63" s="35">
        <v>256779413405</v>
      </c>
      <c r="N63" s="1" t="s">
        <v>72</v>
      </c>
      <c r="O63" s="1" t="s">
        <v>73</v>
      </c>
      <c r="P63" s="1" t="s">
        <v>74</v>
      </c>
      <c r="Q63" s="1" t="s">
        <v>83</v>
      </c>
      <c r="R63" s="1" t="s">
        <v>76</v>
      </c>
      <c r="S63" s="12">
        <v>47</v>
      </c>
      <c r="T63" s="1" t="s">
        <v>77</v>
      </c>
      <c r="U63" s="12">
        <v>4041.23</v>
      </c>
      <c r="V63" s="1" t="s">
        <v>78</v>
      </c>
      <c r="W63" s="1" t="s">
        <v>79</v>
      </c>
      <c r="X63" s="1" t="s">
        <v>74</v>
      </c>
      <c r="Y63" s="1" t="s">
        <v>71</v>
      </c>
      <c r="Z63" s="1" t="s">
        <v>80</v>
      </c>
      <c r="AA63" s="1" t="s">
        <v>158</v>
      </c>
      <c r="AB63" s="1" t="s">
        <v>74</v>
      </c>
      <c r="AC63" s="1" t="s">
        <v>74</v>
      </c>
      <c r="AD63" s="1" t="s">
        <v>74</v>
      </c>
      <c r="AE63" s="11">
        <v>45798</v>
      </c>
      <c r="AF63" s="11"/>
      <c r="AG63" s="1" t="s">
        <v>74</v>
      </c>
      <c r="AJ63" cm="1">
        <f t="array" ref="AJ63:AK63">_xlfn.XLOOKUP(M63,'Customer Data Vlookup'!$L:$L,'Customer Data Vlookup'!$M:$N,,0)</f>
        <v>0</v>
      </c>
      <c r="AK63" s="47">
        <v>3960</v>
      </c>
      <c r="AL63" s="47">
        <f t="shared" si="6"/>
        <v>3960</v>
      </c>
      <c r="AM63" s="58">
        <f t="shared" si="7"/>
        <v>81.230000000000018</v>
      </c>
    </row>
    <row r="64" spans="1:39" x14ac:dyDescent="0.35">
      <c r="A64" s="1" t="s">
        <v>124</v>
      </c>
      <c r="B64" s="1" t="s">
        <v>67</v>
      </c>
      <c r="C64" s="1" t="s">
        <v>68</v>
      </c>
      <c r="D64" s="1" t="s">
        <v>69</v>
      </c>
      <c r="E64" s="1" t="s">
        <v>17</v>
      </c>
      <c r="F64" s="1" t="s">
        <v>125</v>
      </c>
      <c r="G64" s="11">
        <v>45798</v>
      </c>
      <c r="H64" s="25">
        <v>1800008665</v>
      </c>
      <c r="I64" s="1" t="s">
        <v>9</v>
      </c>
      <c r="J64" s="11">
        <v>45798</v>
      </c>
      <c r="K64" s="11">
        <v>45800</v>
      </c>
      <c r="L64" s="1" t="s">
        <v>71</v>
      </c>
      <c r="M64" s="35">
        <v>256779413429</v>
      </c>
      <c r="N64" s="1" t="s">
        <v>72</v>
      </c>
      <c r="O64" s="1" t="s">
        <v>73</v>
      </c>
      <c r="P64" s="1" t="s">
        <v>74</v>
      </c>
      <c r="Q64" s="1" t="s">
        <v>83</v>
      </c>
      <c r="R64" s="1" t="s">
        <v>76</v>
      </c>
      <c r="S64" s="12">
        <v>7.05</v>
      </c>
      <c r="T64" s="1" t="s">
        <v>77</v>
      </c>
      <c r="U64" s="12">
        <v>606.19000000000005</v>
      </c>
      <c r="V64" s="1" t="s">
        <v>78</v>
      </c>
      <c r="W64" s="1" t="s">
        <v>79</v>
      </c>
      <c r="X64" s="1" t="s">
        <v>74</v>
      </c>
      <c r="Y64" s="1" t="s">
        <v>71</v>
      </c>
      <c r="Z64" s="1" t="s">
        <v>80</v>
      </c>
      <c r="AA64" s="1" t="s">
        <v>159</v>
      </c>
      <c r="AB64" s="1" t="s">
        <v>74</v>
      </c>
      <c r="AC64" s="1" t="s">
        <v>74</v>
      </c>
      <c r="AD64" s="1" t="s">
        <v>74</v>
      </c>
      <c r="AE64" s="11">
        <v>45798</v>
      </c>
      <c r="AF64" s="11"/>
      <c r="AG64" s="1" t="s">
        <v>74</v>
      </c>
      <c r="AJ64" cm="1">
        <f t="array" ref="AJ64:AK64">_xlfn.XLOOKUP(M64,'Customer Data Vlookup'!$L:$L,'Customer Data Vlookup'!$M:$N,,0)</f>
        <v>0</v>
      </c>
      <c r="AK64" s="47">
        <v>601</v>
      </c>
      <c r="AL64" s="47">
        <f t="shared" si="6"/>
        <v>601</v>
      </c>
      <c r="AM64" s="58">
        <f t="shared" si="7"/>
        <v>5.1900000000000546</v>
      </c>
    </row>
    <row r="65" spans="1:39" x14ac:dyDescent="0.35">
      <c r="A65" s="1" t="s">
        <v>124</v>
      </c>
      <c r="B65" s="1" t="s">
        <v>67</v>
      </c>
      <c r="C65" s="1" t="s">
        <v>68</v>
      </c>
      <c r="D65" s="1" t="s">
        <v>69</v>
      </c>
      <c r="E65" s="1" t="s">
        <v>17</v>
      </c>
      <c r="F65" s="1" t="s">
        <v>125</v>
      </c>
      <c r="G65" s="11">
        <v>45798</v>
      </c>
      <c r="H65" s="25">
        <v>1800008666</v>
      </c>
      <c r="I65" s="1" t="s">
        <v>9</v>
      </c>
      <c r="J65" s="11">
        <v>45798</v>
      </c>
      <c r="K65" s="11">
        <v>45800</v>
      </c>
      <c r="L65" s="1" t="s">
        <v>71</v>
      </c>
      <c r="M65" s="35">
        <v>256779413430</v>
      </c>
      <c r="N65" s="1" t="s">
        <v>72</v>
      </c>
      <c r="O65" s="1" t="s">
        <v>73</v>
      </c>
      <c r="P65" s="1" t="s">
        <v>74</v>
      </c>
      <c r="Q65" s="1" t="s">
        <v>83</v>
      </c>
      <c r="R65" s="1" t="s">
        <v>76</v>
      </c>
      <c r="S65" s="12">
        <v>14.1</v>
      </c>
      <c r="T65" s="1" t="s">
        <v>77</v>
      </c>
      <c r="U65" s="12">
        <v>1212.3699999999999</v>
      </c>
      <c r="V65" s="1" t="s">
        <v>78</v>
      </c>
      <c r="W65" s="1" t="s">
        <v>79</v>
      </c>
      <c r="X65" s="1" t="s">
        <v>74</v>
      </c>
      <c r="Y65" s="1" t="s">
        <v>71</v>
      </c>
      <c r="Z65" s="1" t="s">
        <v>80</v>
      </c>
      <c r="AA65" s="1" t="s">
        <v>160</v>
      </c>
      <c r="AB65" s="1" t="s">
        <v>74</v>
      </c>
      <c r="AC65" s="1" t="s">
        <v>74</v>
      </c>
      <c r="AD65" s="1" t="s">
        <v>74</v>
      </c>
      <c r="AE65" s="11">
        <v>45798</v>
      </c>
      <c r="AF65" s="11"/>
      <c r="AG65" s="1" t="s">
        <v>74</v>
      </c>
      <c r="AJ65" cm="1">
        <f t="array" ref="AJ65:AK65">_xlfn.XLOOKUP(M65,'Customer Data Vlookup'!$L:$L,'Customer Data Vlookup'!$M:$N,,0)</f>
        <v>0</v>
      </c>
      <c r="AK65" s="47">
        <v>1201</v>
      </c>
      <c r="AL65" s="47">
        <f t="shared" si="6"/>
        <v>1201</v>
      </c>
      <c r="AM65" s="58">
        <f t="shared" si="7"/>
        <v>11.369999999999891</v>
      </c>
    </row>
    <row r="66" spans="1:39" x14ac:dyDescent="0.35">
      <c r="A66" s="1" t="s">
        <v>124</v>
      </c>
      <c r="B66" s="1" t="s">
        <v>67</v>
      </c>
      <c r="C66" s="1" t="s">
        <v>68</v>
      </c>
      <c r="D66" s="1" t="s">
        <v>69</v>
      </c>
      <c r="E66" s="1" t="s">
        <v>17</v>
      </c>
      <c r="F66" s="1" t="s">
        <v>129</v>
      </c>
      <c r="G66" s="11">
        <v>45771</v>
      </c>
      <c r="H66" s="25">
        <v>1800007886</v>
      </c>
      <c r="I66" s="1" t="s">
        <v>9</v>
      </c>
      <c r="J66" s="11">
        <v>45771</v>
      </c>
      <c r="K66" s="11">
        <v>45773</v>
      </c>
      <c r="L66" s="1" t="s">
        <v>71</v>
      </c>
      <c r="M66" s="35">
        <v>256779412777</v>
      </c>
      <c r="N66" s="1" t="s">
        <v>72</v>
      </c>
      <c r="O66" s="1" t="s">
        <v>73</v>
      </c>
      <c r="P66" s="1" t="s">
        <v>74</v>
      </c>
      <c r="Q66" s="1" t="s">
        <v>83</v>
      </c>
      <c r="R66" s="1" t="s">
        <v>76</v>
      </c>
      <c r="S66" s="12">
        <v>95.39</v>
      </c>
      <c r="T66" s="1" t="s">
        <v>77</v>
      </c>
      <c r="U66" s="12">
        <v>8291.4699999999993</v>
      </c>
      <c r="V66" s="1" t="s">
        <v>78</v>
      </c>
      <c r="W66" s="1" t="s">
        <v>79</v>
      </c>
      <c r="X66" s="1" t="s">
        <v>74</v>
      </c>
      <c r="Y66" s="1" t="s">
        <v>71</v>
      </c>
      <c r="Z66" s="1" t="s">
        <v>80</v>
      </c>
      <c r="AA66" s="1" t="s">
        <v>161</v>
      </c>
      <c r="AB66" s="1" t="s">
        <v>74</v>
      </c>
      <c r="AC66" s="1" t="s">
        <v>74</v>
      </c>
      <c r="AD66" s="1" t="s">
        <v>74</v>
      </c>
      <c r="AE66" s="11">
        <v>45771</v>
      </c>
      <c r="AF66" s="11"/>
      <c r="AG66" s="1" t="s">
        <v>74</v>
      </c>
      <c r="AJ66" cm="1">
        <f t="array" ref="AJ66:AK66">_xlfn.XLOOKUP(M66,'Customer Data Vlookup'!$L:$L,'Customer Data Vlookup'!$M:$N,,0)</f>
        <v>0</v>
      </c>
      <c r="AK66" s="47">
        <v>7981</v>
      </c>
      <c r="AL66" s="47">
        <f t="shared" si="6"/>
        <v>7981</v>
      </c>
      <c r="AM66" s="58">
        <f t="shared" si="7"/>
        <v>310.46999999999935</v>
      </c>
    </row>
    <row r="67" spans="1:39" x14ac:dyDescent="0.35">
      <c r="A67" s="1" t="s">
        <v>124</v>
      </c>
      <c r="B67" s="1" t="s">
        <v>67</v>
      </c>
      <c r="C67" s="1" t="s">
        <v>68</v>
      </c>
      <c r="D67" s="1" t="s">
        <v>69</v>
      </c>
      <c r="E67" s="1" t="s">
        <v>17</v>
      </c>
      <c r="F67" s="1" t="s">
        <v>162</v>
      </c>
      <c r="G67" s="11">
        <v>45826</v>
      </c>
      <c r="H67" s="25">
        <v>1800009994</v>
      </c>
      <c r="I67" s="1" t="s">
        <v>9</v>
      </c>
      <c r="J67" s="11">
        <v>45826</v>
      </c>
      <c r="K67" s="11">
        <v>45829</v>
      </c>
      <c r="L67" s="1" t="s">
        <v>71</v>
      </c>
      <c r="M67" s="35">
        <v>256779414758</v>
      </c>
      <c r="N67" s="1" t="s">
        <v>72</v>
      </c>
      <c r="O67" s="1" t="s">
        <v>73</v>
      </c>
      <c r="P67" s="1" t="s">
        <v>74</v>
      </c>
      <c r="Q67" s="1" t="s">
        <v>83</v>
      </c>
      <c r="R67" s="1" t="s">
        <v>76</v>
      </c>
      <c r="S67" s="12">
        <v>173.9</v>
      </c>
      <c r="T67" s="1" t="s">
        <v>77</v>
      </c>
      <c r="U67" s="12">
        <v>14866.85</v>
      </c>
      <c r="V67" s="1" t="s">
        <v>78</v>
      </c>
      <c r="W67" s="1" t="s">
        <v>79</v>
      </c>
      <c r="X67" s="1" t="s">
        <v>74</v>
      </c>
      <c r="Y67" s="1" t="s">
        <v>71</v>
      </c>
      <c r="Z67" s="1" t="s">
        <v>80</v>
      </c>
      <c r="AA67" s="1" t="s">
        <v>163</v>
      </c>
      <c r="AB67" s="1" t="s">
        <v>74</v>
      </c>
      <c r="AC67" s="1" t="s">
        <v>74</v>
      </c>
      <c r="AD67" s="1" t="s">
        <v>74</v>
      </c>
      <c r="AE67" s="11">
        <v>45826</v>
      </c>
      <c r="AF67" s="11"/>
      <c r="AG67" s="1" t="s">
        <v>74</v>
      </c>
      <c r="AJ67" cm="1">
        <f t="array" ref="AJ67:AK67">_xlfn.XLOOKUP(M67,'Customer Data Vlookup'!$L:$L,'Customer Data Vlookup'!$M:$N,,0)</f>
        <v>0</v>
      </c>
      <c r="AK67" s="47">
        <v>14610.374299999999</v>
      </c>
      <c r="AL67" s="47">
        <f t="shared" si="6"/>
        <v>14610.374299999999</v>
      </c>
      <c r="AM67" s="58">
        <f t="shared" si="7"/>
        <v>256.47570000000087</v>
      </c>
    </row>
    <row r="68" spans="1:39" hidden="1" x14ac:dyDescent="0.35">
      <c r="A68" s="1" t="s">
        <v>66</v>
      </c>
      <c r="B68" s="1" t="s">
        <v>67</v>
      </c>
      <c r="C68" s="1" t="s">
        <v>68</v>
      </c>
      <c r="D68" s="1" t="s">
        <v>69</v>
      </c>
      <c r="E68" s="1" t="s">
        <v>17</v>
      </c>
      <c r="F68" s="1" t="s">
        <v>162</v>
      </c>
      <c r="G68" s="11">
        <v>45826</v>
      </c>
      <c r="H68" s="25">
        <v>1800009695</v>
      </c>
      <c r="I68" s="1" t="s">
        <v>9</v>
      </c>
      <c r="J68" s="11">
        <v>45826</v>
      </c>
      <c r="K68" s="11">
        <v>45827</v>
      </c>
      <c r="L68" s="1" t="s">
        <v>71</v>
      </c>
      <c r="M68" s="35">
        <v>256779414459</v>
      </c>
      <c r="N68" s="1" t="s">
        <v>72</v>
      </c>
      <c r="O68" s="1" t="s">
        <v>73</v>
      </c>
      <c r="P68" s="1" t="s">
        <v>74</v>
      </c>
      <c r="Q68" s="1" t="s">
        <v>83</v>
      </c>
      <c r="R68" s="1" t="s">
        <v>76</v>
      </c>
      <c r="S68" s="12">
        <v>456.75</v>
      </c>
      <c r="T68" s="1" t="s">
        <v>77</v>
      </c>
      <c r="U68" s="12">
        <v>39047.910000000003</v>
      </c>
      <c r="V68" s="1" t="s">
        <v>78</v>
      </c>
      <c r="W68" s="1" t="s">
        <v>79</v>
      </c>
      <c r="X68" s="1" t="s">
        <v>74</v>
      </c>
      <c r="Y68" s="1" t="s">
        <v>71</v>
      </c>
      <c r="Z68" s="1" t="s">
        <v>80</v>
      </c>
      <c r="AA68" s="1" t="s">
        <v>138</v>
      </c>
      <c r="AB68" s="1" t="s">
        <v>74</v>
      </c>
      <c r="AC68" s="1" t="s">
        <v>74</v>
      </c>
      <c r="AD68" s="1" t="s">
        <v>74</v>
      </c>
      <c r="AE68" s="11">
        <v>45826</v>
      </c>
      <c r="AF68" s="11">
        <v>45902</v>
      </c>
      <c r="AG68" s="1" t="s">
        <v>154</v>
      </c>
      <c r="AJ68" t="e" cm="1">
        <f t="array" ref="AJ68">_xlfn.XLOOKUP(M68,'Customer Data Vlookup'!$L:$L,'Customer Data Vlookup'!$M:$N,,0)</f>
        <v>#N/A</v>
      </c>
    </row>
    <row r="69" spans="1:39" hidden="1" x14ac:dyDescent="0.35">
      <c r="A69" s="1" t="s">
        <v>66</v>
      </c>
      <c r="B69" s="1" t="s">
        <v>67</v>
      </c>
      <c r="C69" s="1" t="s">
        <v>68</v>
      </c>
      <c r="D69" s="1" t="s">
        <v>69</v>
      </c>
      <c r="E69" s="1" t="s">
        <v>17</v>
      </c>
      <c r="F69" s="1" t="s">
        <v>162</v>
      </c>
      <c r="G69" s="11">
        <v>45826</v>
      </c>
      <c r="H69" s="25">
        <v>1800009712</v>
      </c>
      <c r="I69" s="1" t="s">
        <v>9</v>
      </c>
      <c r="J69" s="11">
        <v>45826</v>
      </c>
      <c r="K69" s="11">
        <v>45827</v>
      </c>
      <c r="L69" s="1" t="s">
        <v>71</v>
      </c>
      <c r="M69" s="35">
        <v>256779414476</v>
      </c>
      <c r="N69" s="1" t="s">
        <v>72</v>
      </c>
      <c r="O69" s="1" t="s">
        <v>73</v>
      </c>
      <c r="P69" s="1" t="s">
        <v>74</v>
      </c>
      <c r="Q69" s="1" t="s">
        <v>83</v>
      </c>
      <c r="R69" s="1" t="s">
        <v>76</v>
      </c>
      <c r="S69" s="12">
        <v>456.75</v>
      </c>
      <c r="T69" s="1" t="s">
        <v>77</v>
      </c>
      <c r="U69" s="12">
        <v>39047.910000000003</v>
      </c>
      <c r="V69" s="1" t="s">
        <v>78</v>
      </c>
      <c r="W69" s="1" t="s">
        <v>79</v>
      </c>
      <c r="X69" s="1" t="s">
        <v>74</v>
      </c>
      <c r="Y69" s="1" t="s">
        <v>71</v>
      </c>
      <c r="Z69" s="1" t="s">
        <v>80</v>
      </c>
      <c r="AA69" s="1" t="s">
        <v>136</v>
      </c>
      <c r="AB69" s="1" t="s">
        <v>74</v>
      </c>
      <c r="AC69" s="1" t="s">
        <v>74</v>
      </c>
      <c r="AD69" s="1" t="s">
        <v>74</v>
      </c>
      <c r="AE69" s="11">
        <v>45826</v>
      </c>
      <c r="AF69" s="11">
        <v>45902</v>
      </c>
      <c r="AG69" s="1" t="s">
        <v>154</v>
      </c>
      <c r="AJ69" t="e" cm="1">
        <f t="array" ref="AJ69">_xlfn.XLOOKUP(M69,'Customer Data Vlookup'!$L:$L,'Customer Data Vlookup'!$M:$N,,0)</f>
        <v>#N/A</v>
      </c>
    </row>
    <row r="70" spans="1:39" x14ac:dyDescent="0.35">
      <c r="A70" s="1" t="s">
        <v>124</v>
      </c>
      <c r="B70" s="1" t="s">
        <v>67</v>
      </c>
      <c r="C70" s="1" t="s">
        <v>68</v>
      </c>
      <c r="D70" s="1" t="s">
        <v>69</v>
      </c>
      <c r="E70" s="1" t="s">
        <v>17</v>
      </c>
      <c r="F70" s="1" t="s">
        <v>141</v>
      </c>
      <c r="G70" s="11">
        <v>45951</v>
      </c>
      <c r="H70" s="25">
        <v>1800013945</v>
      </c>
      <c r="I70" s="1" t="s">
        <v>9</v>
      </c>
      <c r="J70" s="11">
        <v>45951</v>
      </c>
      <c r="K70" s="11">
        <v>45951</v>
      </c>
      <c r="L70" s="1" t="s">
        <v>71</v>
      </c>
      <c r="M70" s="35">
        <v>256779418477</v>
      </c>
      <c r="N70" s="1" t="s">
        <v>72</v>
      </c>
      <c r="O70" s="1" t="s">
        <v>73</v>
      </c>
      <c r="P70" s="1" t="s">
        <v>74</v>
      </c>
      <c r="Q70" s="1" t="s">
        <v>83</v>
      </c>
      <c r="R70" s="1" t="s">
        <v>76</v>
      </c>
      <c r="S70" s="12">
        <v>3.4</v>
      </c>
      <c r="T70" s="1" t="s">
        <v>77</v>
      </c>
      <c r="U70" s="12">
        <v>299.85000000000002</v>
      </c>
      <c r="V70" s="1" t="s">
        <v>78</v>
      </c>
      <c r="W70" s="1" t="s">
        <v>79</v>
      </c>
      <c r="X70" s="1" t="s">
        <v>74</v>
      </c>
      <c r="Y70" s="1" t="s">
        <v>164</v>
      </c>
      <c r="Z70" s="1" t="s">
        <v>80</v>
      </c>
      <c r="AA70" s="1" t="s">
        <v>165</v>
      </c>
      <c r="AB70" s="1" t="s">
        <v>74</v>
      </c>
      <c r="AC70" s="1" t="s">
        <v>74</v>
      </c>
      <c r="AD70" s="1" t="s">
        <v>74</v>
      </c>
      <c r="AE70" s="11">
        <v>45951</v>
      </c>
      <c r="AF70" s="11"/>
      <c r="AG70" s="1" t="s">
        <v>74</v>
      </c>
      <c r="AJ70" cm="1">
        <f t="array" ref="AJ70:AK70">_xlfn.XLOOKUP(M70,'Customer Data Vlookup'!$L:$L,'Customer Data Vlookup'!$M:$N,,0)</f>
        <v>0</v>
      </c>
      <c r="AK70" s="47">
        <v>299.84859999999998</v>
      </c>
      <c r="AL70" s="47">
        <f t="shared" ref="AL70:AL72" si="8">AK70-AJ70</f>
        <v>299.84859999999998</v>
      </c>
      <c r="AM70" s="58">
        <f t="shared" ref="AM70:AM72" si="9">U70-AL70</f>
        <v>1.4000000000464752E-3</v>
      </c>
    </row>
    <row r="71" spans="1:39" x14ac:dyDescent="0.35">
      <c r="A71" s="1" t="s">
        <v>124</v>
      </c>
      <c r="B71" s="1" t="s">
        <v>67</v>
      </c>
      <c r="C71" s="1" t="s">
        <v>68</v>
      </c>
      <c r="D71" s="1" t="s">
        <v>69</v>
      </c>
      <c r="E71" s="1" t="s">
        <v>17</v>
      </c>
      <c r="F71" s="1" t="s">
        <v>141</v>
      </c>
      <c r="G71" s="11">
        <v>45951</v>
      </c>
      <c r="H71" s="25">
        <v>1800013962</v>
      </c>
      <c r="I71" s="1" t="s">
        <v>9</v>
      </c>
      <c r="J71" s="11">
        <v>45951</v>
      </c>
      <c r="K71" s="11">
        <v>45951</v>
      </c>
      <c r="L71" s="1" t="s">
        <v>71</v>
      </c>
      <c r="M71" s="35">
        <v>256779418492</v>
      </c>
      <c r="N71" s="1" t="s">
        <v>72</v>
      </c>
      <c r="O71" s="1" t="s">
        <v>73</v>
      </c>
      <c r="P71" s="1" t="s">
        <v>74</v>
      </c>
      <c r="Q71" s="1" t="s">
        <v>83</v>
      </c>
      <c r="R71" s="1" t="s">
        <v>76</v>
      </c>
      <c r="S71" s="12">
        <v>3.4</v>
      </c>
      <c r="T71" s="1" t="s">
        <v>77</v>
      </c>
      <c r="U71" s="12">
        <v>299.85000000000002</v>
      </c>
      <c r="V71" s="1" t="s">
        <v>78</v>
      </c>
      <c r="W71" s="1" t="s">
        <v>79</v>
      </c>
      <c r="X71" s="1" t="s">
        <v>74</v>
      </c>
      <c r="Y71" s="1" t="s">
        <v>164</v>
      </c>
      <c r="Z71" s="1" t="s">
        <v>80</v>
      </c>
      <c r="AA71" s="1" t="s">
        <v>165</v>
      </c>
      <c r="AB71" s="1" t="s">
        <v>74</v>
      </c>
      <c r="AC71" s="1" t="s">
        <v>74</v>
      </c>
      <c r="AD71" s="1" t="s">
        <v>74</v>
      </c>
      <c r="AE71" s="11">
        <v>45951</v>
      </c>
      <c r="AF71" s="11"/>
      <c r="AG71" s="1" t="s">
        <v>74</v>
      </c>
      <c r="AJ71" cm="1">
        <f t="array" ref="AJ71:AK71">_xlfn.XLOOKUP(M71,'Customer Data Vlookup'!$L:$L,'Customer Data Vlookup'!$M:$N,,0)</f>
        <v>6</v>
      </c>
      <c r="AK71" s="47">
        <v>306</v>
      </c>
      <c r="AL71" s="47">
        <f t="shared" si="8"/>
        <v>300</v>
      </c>
      <c r="AM71" s="58">
        <f t="shared" si="9"/>
        <v>-0.14999999999997726</v>
      </c>
    </row>
    <row r="72" spans="1:39" x14ac:dyDescent="0.35">
      <c r="A72" s="1" t="s">
        <v>124</v>
      </c>
      <c r="B72" s="1" t="s">
        <v>67</v>
      </c>
      <c r="C72" s="1" t="s">
        <v>68</v>
      </c>
      <c r="D72" s="1" t="s">
        <v>69</v>
      </c>
      <c r="E72" s="1" t="s">
        <v>17</v>
      </c>
      <c r="F72" s="1" t="s">
        <v>166</v>
      </c>
      <c r="G72" s="11">
        <v>45735</v>
      </c>
      <c r="H72" s="25">
        <v>1800003133</v>
      </c>
      <c r="I72" s="1" t="s">
        <v>9</v>
      </c>
      <c r="J72" s="11">
        <v>45735</v>
      </c>
      <c r="K72" s="11">
        <v>45736</v>
      </c>
      <c r="L72" s="1" t="s">
        <v>71</v>
      </c>
      <c r="M72" s="35">
        <v>246779413000</v>
      </c>
      <c r="N72" s="1" t="s">
        <v>72</v>
      </c>
      <c r="O72" s="1" t="s">
        <v>73</v>
      </c>
      <c r="P72" s="1" t="s">
        <v>74</v>
      </c>
      <c r="Q72" s="1" t="s">
        <v>83</v>
      </c>
      <c r="R72" s="1" t="s">
        <v>76</v>
      </c>
      <c r="S72" s="12">
        <v>456.75</v>
      </c>
      <c r="T72" s="1" t="s">
        <v>77</v>
      </c>
      <c r="U72" s="12">
        <v>39596.230000000003</v>
      </c>
      <c r="V72" s="1" t="s">
        <v>78</v>
      </c>
      <c r="W72" s="1" t="s">
        <v>79</v>
      </c>
      <c r="X72" s="1" t="s">
        <v>74</v>
      </c>
      <c r="Y72" s="1" t="s">
        <v>71</v>
      </c>
      <c r="Z72" s="1" t="s">
        <v>80</v>
      </c>
      <c r="AA72" s="1" t="s">
        <v>167</v>
      </c>
      <c r="AB72" s="1" t="s">
        <v>74</v>
      </c>
      <c r="AC72" s="1" t="s">
        <v>74</v>
      </c>
      <c r="AD72" s="1" t="s">
        <v>74</v>
      </c>
      <c r="AE72" s="11">
        <v>45735</v>
      </c>
      <c r="AF72" s="11"/>
      <c r="AG72" s="1" t="s">
        <v>74</v>
      </c>
      <c r="AJ72" cm="1">
        <f t="array" ref="AJ72:AK72">_xlfn.XLOOKUP(M72,'Customer Data Vlookup'!$L:$L,'Customer Data Vlookup'!$M:$N,,0)</f>
        <v>0</v>
      </c>
      <c r="AK72" s="47">
        <v>35488</v>
      </c>
      <c r="AL72" s="47">
        <f t="shared" si="8"/>
        <v>35488</v>
      </c>
      <c r="AM72" s="58">
        <f t="shared" si="9"/>
        <v>4108.2300000000032</v>
      </c>
    </row>
    <row r="73" spans="1:39" hidden="1" x14ac:dyDescent="0.35">
      <c r="A73" s="1" t="s">
        <v>124</v>
      </c>
      <c r="B73" s="1" t="s">
        <v>67</v>
      </c>
      <c r="C73" s="1" t="s">
        <v>68</v>
      </c>
      <c r="D73" s="1" t="s">
        <v>69</v>
      </c>
      <c r="E73" s="1" t="s">
        <v>17</v>
      </c>
      <c r="F73" s="1" t="s">
        <v>166</v>
      </c>
      <c r="G73" s="11">
        <v>45735</v>
      </c>
      <c r="H73" s="25">
        <v>1800003342</v>
      </c>
      <c r="I73" s="1" t="s">
        <v>9</v>
      </c>
      <c r="J73" s="11">
        <v>45735</v>
      </c>
      <c r="K73" s="11">
        <v>45736</v>
      </c>
      <c r="L73" s="1" t="s">
        <v>71</v>
      </c>
      <c r="M73" s="35">
        <v>246779413209</v>
      </c>
      <c r="N73" s="1" t="s">
        <v>72</v>
      </c>
      <c r="O73" s="1" t="s">
        <v>73</v>
      </c>
      <c r="P73" s="1" t="s">
        <v>74</v>
      </c>
      <c r="Q73" s="1" t="s">
        <v>83</v>
      </c>
      <c r="R73" s="1" t="s">
        <v>76</v>
      </c>
      <c r="S73" s="12">
        <v>39.06</v>
      </c>
      <c r="T73" s="1" t="s">
        <v>77</v>
      </c>
      <c r="U73" s="12">
        <v>3386.16</v>
      </c>
      <c r="V73" s="1" t="s">
        <v>78</v>
      </c>
      <c r="W73" s="1" t="s">
        <v>79</v>
      </c>
      <c r="X73" s="1" t="s">
        <v>74</v>
      </c>
      <c r="Y73" s="1" t="s">
        <v>71</v>
      </c>
      <c r="Z73" s="1" t="s">
        <v>80</v>
      </c>
      <c r="AA73" s="1" t="s">
        <v>168</v>
      </c>
      <c r="AB73" s="1" t="s">
        <v>74</v>
      </c>
      <c r="AC73" s="1" t="s">
        <v>74</v>
      </c>
      <c r="AD73" s="1" t="s">
        <v>74</v>
      </c>
      <c r="AE73" s="11">
        <v>45735</v>
      </c>
      <c r="AF73" s="11"/>
      <c r="AG73" s="1" t="s">
        <v>74</v>
      </c>
      <c r="AJ73" t="e" cm="1">
        <f t="array" ref="AJ73">_xlfn.XLOOKUP(M73,'Customer Data Vlookup'!$L:$L,'Customer Data Vlookup'!$M:$N,,0)</f>
        <v>#N/A</v>
      </c>
    </row>
    <row r="74" spans="1:39" hidden="1" x14ac:dyDescent="0.35">
      <c r="A74" s="1" t="s">
        <v>124</v>
      </c>
      <c r="B74" s="1" t="s">
        <v>67</v>
      </c>
      <c r="C74" s="1" t="s">
        <v>68</v>
      </c>
      <c r="D74" s="1" t="s">
        <v>69</v>
      </c>
      <c r="E74" s="1" t="s">
        <v>17</v>
      </c>
      <c r="F74" s="1" t="s">
        <v>166</v>
      </c>
      <c r="G74" s="11">
        <v>45735</v>
      </c>
      <c r="H74" s="25">
        <v>1800003343</v>
      </c>
      <c r="I74" s="1" t="s">
        <v>9</v>
      </c>
      <c r="J74" s="11">
        <v>45735</v>
      </c>
      <c r="K74" s="11">
        <v>45736</v>
      </c>
      <c r="L74" s="1" t="s">
        <v>71</v>
      </c>
      <c r="M74" s="35">
        <v>246779413210</v>
      </c>
      <c r="N74" s="1" t="s">
        <v>72</v>
      </c>
      <c r="O74" s="1" t="s">
        <v>73</v>
      </c>
      <c r="P74" s="1" t="s">
        <v>74</v>
      </c>
      <c r="Q74" s="1" t="s">
        <v>83</v>
      </c>
      <c r="R74" s="1" t="s">
        <v>76</v>
      </c>
      <c r="S74" s="12">
        <v>39.06</v>
      </c>
      <c r="T74" s="1" t="s">
        <v>77</v>
      </c>
      <c r="U74" s="12">
        <v>3386.16</v>
      </c>
      <c r="V74" s="1" t="s">
        <v>78</v>
      </c>
      <c r="W74" s="1" t="s">
        <v>79</v>
      </c>
      <c r="X74" s="1" t="s">
        <v>74</v>
      </c>
      <c r="Y74" s="1" t="s">
        <v>71</v>
      </c>
      <c r="Z74" s="1" t="s">
        <v>80</v>
      </c>
      <c r="AA74" s="1" t="s">
        <v>169</v>
      </c>
      <c r="AB74" s="1" t="s">
        <v>74</v>
      </c>
      <c r="AC74" s="1" t="s">
        <v>74</v>
      </c>
      <c r="AD74" s="1" t="s">
        <v>74</v>
      </c>
      <c r="AE74" s="11">
        <v>45735</v>
      </c>
      <c r="AF74" s="11"/>
      <c r="AG74" s="1" t="s">
        <v>74</v>
      </c>
      <c r="AJ74" t="e" cm="1">
        <f t="array" ref="AJ74">_xlfn.XLOOKUP(M74,'Customer Data Vlookup'!$L:$L,'Customer Data Vlookup'!$M:$N,,0)</f>
        <v>#N/A</v>
      </c>
    </row>
    <row r="75" spans="1:39" hidden="1" x14ac:dyDescent="0.35">
      <c r="A75" s="1" t="s">
        <v>124</v>
      </c>
      <c r="B75" s="1" t="s">
        <v>67</v>
      </c>
      <c r="C75" s="1" t="s">
        <v>68</v>
      </c>
      <c r="D75" s="1" t="s">
        <v>69</v>
      </c>
      <c r="E75" s="1" t="s">
        <v>17</v>
      </c>
      <c r="F75" s="1" t="s">
        <v>166</v>
      </c>
      <c r="G75" s="11">
        <v>45735</v>
      </c>
      <c r="H75" s="25">
        <v>1800003344</v>
      </c>
      <c r="I75" s="1" t="s">
        <v>9</v>
      </c>
      <c r="J75" s="11">
        <v>45735</v>
      </c>
      <c r="K75" s="11">
        <v>45736</v>
      </c>
      <c r="L75" s="1" t="s">
        <v>71</v>
      </c>
      <c r="M75" s="35">
        <v>246779413211</v>
      </c>
      <c r="N75" s="1" t="s">
        <v>72</v>
      </c>
      <c r="O75" s="1" t="s">
        <v>73</v>
      </c>
      <c r="P75" s="1" t="s">
        <v>74</v>
      </c>
      <c r="Q75" s="1" t="s">
        <v>83</v>
      </c>
      <c r="R75" s="1" t="s">
        <v>76</v>
      </c>
      <c r="S75" s="12">
        <v>78.12</v>
      </c>
      <c r="T75" s="1" t="s">
        <v>77</v>
      </c>
      <c r="U75" s="12">
        <v>6772.32</v>
      </c>
      <c r="V75" s="1" t="s">
        <v>78</v>
      </c>
      <c r="W75" s="1" t="s">
        <v>79</v>
      </c>
      <c r="X75" s="1" t="s">
        <v>74</v>
      </c>
      <c r="Y75" s="1" t="s">
        <v>71</v>
      </c>
      <c r="Z75" s="1" t="s">
        <v>80</v>
      </c>
      <c r="AA75" s="1" t="s">
        <v>170</v>
      </c>
      <c r="AB75" s="1" t="s">
        <v>74</v>
      </c>
      <c r="AC75" s="1" t="s">
        <v>74</v>
      </c>
      <c r="AD75" s="1" t="s">
        <v>74</v>
      </c>
      <c r="AE75" s="11">
        <v>45735</v>
      </c>
      <c r="AF75" s="11"/>
      <c r="AG75" s="1" t="s">
        <v>74</v>
      </c>
      <c r="AJ75" t="e" cm="1">
        <f t="array" ref="AJ75">_xlfn.XLOOKUP(M75,'Customer Data Vlookup'!$L:$L,'Customer Data Vlookup'!$M:$N,,0)</f>
        <v>#N/A</v>
      </c>
    </row>
    <row r="76" spans="1:39" hidden="1" x14ac:dyDescent="0.35">
      <c r="A76" s="1" t="s">
        <v>124</v>
      </c>
      <c r="B76" s="1" t="s">
        <v>67</v>
      </c>
      <c r="C76" s="1" t="s">
        <v>68</v>
      </c>
      <c r="D76" s="1" t="s">
        <v>69</v>
      </c>
      <c r="E76" s="1" t="s">
        <v>17</v>
      </c>
      <c r="F76" s="1" t="s">
        <v>166</v>
      </c>
      <c r="G76" s="11">
        <v>45735</v>
      </c>
      <c r="H76" s="25">
        <v>1800003345</v>
      </c>
      <c r="I76" s="1" t="s">
        <v>9</v>
      </c>
      <c r="J76" s="11">
        <v>45735</v>
      </c>
      <c r="K76" s="11">
        <v>45736</v>
      </c>
      <c r="L76" s="1" t="s">
        <v>71</v>
      </c>
      <c r="M76" s="35">
        <v>246779413212</v>
      </c>
      <c r="N76" s="1" t="s">
        <v>72</v>
      </c>
      <c r="O76" s="1" t="s">
        <v>73</v>
      </c>
      <c r="P76" s="1" t="s">
        <v>74</v>
      </c>
      <c r="Q76" s="1" t="s">
        <v>83</v>
      </c>
      <c r="R76" s="1" t="s">
        <v>76</v>
      </c>
      <c r="S76" s="12">
        <v>39.06</v>
      </c>
      <c r="T76" s="1" t="s">
        <v>77</v>
      </c>
      <c r="U76" s="12">
        <v>3386.16</v>
      </c>
      <c r="V76" s="1" t="s">
        <v>78</v>
      </c>
      <c r="W76" s="1" t="s">
        <v>79</v>
      </c>
      <c r="X76" s="1" t="s">
        <v>74</v>
      </c>
      <c r="Y76" s="1" t="s">
        <v>71</v>
      </c>
      <c r="Z76" s="1" t="s">
        <v>80</v>
      </c>
      <c r="AA76" s="1" t="s">
        <v>171</v>
      </c>
      <c r="AB76" s="1" t="s">
        <v>74</v>
      </c>
      <c r="AC76" s="1" t="s">
        <v>74</v>
      </c>
      <c r="AD76" s="1" t="s">
        <v>74</v>
      </c>
      <c r="AE76" s="11">
        <v>45735</v>
      </c>
      <c r="AF76" s="11"/>
      <c r="AG76" s="1" t="s">
        <v>74</v>
      </c>
      <c r="AJ76" t="e" cm="1">
        <f t="array" ref="AJ76">_xlfn.XLOOKUP(M76,'Customer Data Vlookup'!$L:$L,'Customer Data Vlookup'!$M:$N,,0)</f>
        <v>#N/A</v>
      </c>
    </row>
    <row r="77" spans="1:39" hidden="1" x14ac:dyDescent="0.35">
      <c r="A77" s="1" t="s">
        <v>124</v>
      </c>
      <c r="B77" s="1" t="s">
        <v>67</v>
      </c>
      <c r="C77" s="1" t="s">
        <v>68</v>
      </c>
      <c r="D77" s="1" t="s">
        <v>69</v>
      </c>
      <c r="E77" s="1" t="s">
        <v>17</v>
      </c>
      <c r="F77" s="1" t="s">
        <v>166</v>
      </c>
      <c r="G77" s="11">
        <v>45735</v>
      </c>
      <c r="H77" s="25">
        <v>1800003346</v>
      </c>
      <c r="I77" s="1" t="s">
        <v>9</v>
      </c>
      <c r="J77" s="11">
        <v>45735</v>
      </c>
      <c r="K77" s="11">
        <v>45736</v>
      </c>
      <c r="L77" s="1" t="s">
        <v>71</v>
      </c>
      <c r="M77" s="35">
        <v>246779413213</v>
      </c>
      <c r="N77" s="1" t="s">
        <v>72</v>
      </c>
      <c r="O77" s="1" t="s">
        <v>73</v>
      </c>
      <c r="P77" s="1" t="s">
        <v>74</v>
      </c>
      <c r="Q77" s="1" t="s">
        <v>83</v>
      </c>
      <c r="R77" s="1" t="s">
        <v>76</v>
      </c>
      <c r="S77" s="12">
        <v>52.08</v>
      </c>
      <c r="T77" s="1" t="s">
        <v>77</v>
      </c>
      <c r="U77" s="12">
        <v>4514.88</v>
      </c>
      <c r="V77" s="1" t="s">
        <v>78</v>
      </c>
      <c r="W77" s="1" t="s">
        <v>79</v>
      </c>
      <c r="X77" s="1" t="s">
        <v>74</v>
      </c>
      <c r="Y77" s="1" t="s">
        <v>71</v>
      </c>
      <c r="Z77" s="1" t="s">
        <v>80</v>
      </c>
      <c r="AA77" s="1" t="s">
        <v>172</v>
      </c>
      <c r="AB77" s="1" t="s">
        <v>74</v>
      </c>
      <c r="AC77" s="1" t="s">
        <v>74</v>
      </c>
      <c r="AD77" s="1" t="s">
        <v>74</v>
      </c>
      <c r="AE77" s="11">
        <v>45735</v>
      </c>
      <c r="AF77" s="11"/>
      <c r="AG77" s="1" t="s">
        <v>74</v>
      </c>
      <c r="AJ77" t="e" cm="1">
        <f t="array" ref="AJ77">_xlfn.XLOOKUP(M77,'Customer Data Vlookup'!$L:$L,'Customer Data Vlookup'!$M:$N,,0)</f>
        <v>#N/A</v>
      </c>
    </row>
    <row r="78" spans="1:39" hidden="1" x14ac:dyDescent="0.35">
      <c r="A78" s="1" t="s">
        <v>124</v>
      </c>
      <c r="B78" s="1" t="s">
        <v>67</v>
      </c>
      <c r="C78" s="1" t="s">
        <v>68</v>
      </c>
      <c r="D78" s="1" t="s">
        <v>69</v>
      </c>
      <c r="E78" s="1" t="s">
        <v>17</v>
      </c>
      <c r="F78" s="1" t="s">
        <v>166</v>
      </c>
      <c r="G78" s="11">
        <v>45735</v>
      </c>
      <c r="H78" s="25">
        <v>1800003457</v>
      </c>
      <c r="I78" s="1" t="s">
        <v>9</v>
      </c>
      <c r="J78" s="11">
        <v>45735</v>
      </c>
      <c r="K78" s="11">
        <v>45736</v>
      </c>
      <c r="L78" s="1" t="s">
        <v>71</v>
      </c>
      <c r="M78" s="35">
        <v>246779413324</v>
      </c>
      <c r="N78" s="1" t="s">
        <v>72</v>
      </c>
      <c r="O78" s="1" t="s">
        <v>73</v>
      </c>
      <c r="P78" s="1" t="s">
        <v>74</v>
      </c>
      <c r="Q78" s="1" t="s">
        <v>83</v>
      </c>
      <c r="R78" s="1" t="s">
        <v>76</v>
      </c>
      <c r="S78" s="12">
        <v>4.3</v>
      </c>
      <c r="T78" s="1" t="s">
        <v>77</v>
      </c>
      <c r="U78" s="12">
        <v>372.77</v>
      </c>
      <c r="V78" s="1" t="s">
        <v>78</v>
      </c>
      <c r="W78" s="1" t="s">
        <v>79</v>
      </c>
      <c r="X78" s="1" t="s">
        <v>74</v>
      </c>
      <c r="Y78" s="1" t="s">
        <v>71</v>
      </c>
      <c r="Z78" s="1" t="s">
        <v>80</v>
      </c>
      <c r="AA78" s="1" t="s">
        <v>173</v>
      </c>
      <c r="AB78" s="1" t="s">
        <v>74</v>
      </c>
      <c r="AC78" s="1" t="s">
        <v>74</v>
      </c>
      <c r="AD78" s="1" t="s">
        <v>74</v>
      </c>
      <c r="AE78" s="11">
        <v>45735</v>
      </c>
      <c r="AF78" s="11"/>
      <c r="AG78" s="1" t="s">
        <v>74</v>
      </c>
      <c r="AJ78" t="e" cm="1">
        <f t="array" ref="AJ78">_xlfn.XLOOKUP(M78,'Customer Data Vlookup'!$L:$L,'Customer Data Vlookup'!$M:$N,,0)</f>
        <v>#N/A</v>
      </c>
    </row>
    <row r="79" spans="1:39" x14ac:dyDescent="0.35">
      <c r="A79" s="1" t="s">
        <v>124</v>
      </c>
      <c r="B79" s="1" t="s">
        <v>67</v>
      </c>
      <c r="C79" s="1" t="s">
        <v>68</v>
      </c>
      <c r="D79" s="1" t="s">
        <v>69</v>
      </c>
      <c r="E79" s="1" t="s">
        <v>17</v>
      </c>
      <c r="F79" s="1" t="s">
        <v>162</v>
      </c>
      <c r="G79" s="11">
        <v>45827</v>
      </c>
      <c r="H79" s="25">
        <v>1800009979</v>
      </c>
      <c r="I79" s="1" t="s">
        <v>9</v>
      </c>
      <c r="J79" s="11">
        <v>45827</v>
      </c>
      <c r="K79" s="11">
        <v>45829</v>
      </c>
      <c r="L79" s="1" t="s">
        <v>71</v>
      </c>
      <c r="M79" s="35">
        <v>256779414743</v>
      </c>
      <c r="N79" s="1" t="s">
        <v>72</v>
      </c>
      <c r="O79" s="1" t="s">
        <v>73</v>
      </c>
      <c r="P79" s="1" t="s">
        <v>74</v>
      </c>
      <c r="Q79" s="1" t="s">
        <v>83</v>
      </c>
      <c r="R79" s="1" t="s">
        <v>76</v>
      </c>
      <c r="S79" s="12">
        <v>71.430000000000007</v>
      </c>
      <c r="T79" s="1" t="s">
        <v>77</v>
      </c>
      <c r="U79" s="12">
        <v>6106.61</v>
      </c>
      <c r="V79" s="1" t="s">
        <v>78</v>
      </c>
      <c r="W79" s="1" t="s">
        <v>79</v>
      </c>
      <c r="X79" s="1" t="s">
        <v>74</v>
      </c>
      <c r="Y79" s="1" t="s">
        <v>74</v>
      </c>
      <c r="Z79" s="1" t="s">
        <v>80</v>
      </c>
      <c r="AA79" s="1" t="s">
        <v>174</v>
      </c>
      <c r="AB79" s="1" t="s">
        <v>74</v>
      </c>
      <c r="AC79" s="1" t="s">
        <v>74</v>
      </c>
      <c r="AD79" s="1" t="s">
        <v>74</v>
      </c>
      <c r="AE79" s="11">
        <v>45827</v>
      </c>
      <c r="AF79" s="11"/>
      <c r="AG79" s="1" t="s">
        <v>74</v>
      </c>
      <c r="AJ79" cm="1">
        <f t="array" ref="AJ79:AK79">_xlfn.XLOOKUP(M79,'Customer Data Vlookup'!$L:$L,'Customer Data Vlookup'!$M:$N,,0)</f>
        <v>0</v>
      </c>
      <c r="AK79" s="47">
        <v>6064.0230000000001</v>
      </c>
      <c r="AL79" s="47">
        <f t="shared" ref="AL79:AL100" si="10">AK79-AJ79</f>
        <v>6064.0230000000001</v>
      </c>
      <c r="AM79" s="58">
        <f t="shared" ref="AM79:AM100" si="11">U79-AL79</f>
        <v>42.586999999999534</v>
      </c>
    </row>
    <row r="80" spans="1:39" x14ac:dyDescent="0.35">
      <c r="A80" s="1" t="s">
        <v>124</v>
      </c>
      <c r="B80" s="1" t="s">
        <v>67</v>
      </c>
      <c r="C80" s="1" t="s">
        <v>68</v>
      </c>
      <c r="D80" s="1" t="s">
        <v>69</v>
      </c>
      <c r="E80" s="1" t="s">
        <v>17</v>
      </c>
      <c r="F80" s="1" t="s">
        <v>162</v>
      </c>
      <c r="G80" s="11">
        <v>45827</v>
      </c>
      <c r="H80" s="25">
        <v>1800009984</v>
      </c>
      <c r="I80" s="1" t="s">
        <v>9</v>
      </c>
      <c r="J80" s="11">
        <v>45827</v>
      </c>
      <c r="K80" s="11">
        <v>45829</v>
      </c>
      <c r="L80" s="1" t="s">
        <v>71</v>
      </c>
      <c r="M80" s="35">
        <v>256779414748</v>
      </c>
      <c r="N80" s="1" t="s">
        <v>72</v>
      </c>
      <c r="O80" s="1" t="s">
        <v>73</v>
      </c>
      <c r="P80" s="1" t="s">
        <v>74</v>
      </c>
      <c r="Q80" s="1" t="s">
        <v>83</v>
      </c>
      <c r="R80" s="1" t="s">
        <v>76</v>
      </c>
      <c r="S80" s="12">
        <v>20.91</v>
      </c>
      <c r="T80" s="1" t="s">
        <v>77</v>
      </c>
      <c r="U80" s="12">
        <v>1787.61</v>
      </c>
      <c r="V80" s="1" t="s">
        <v>78</v>
      </c>
      <c r="W80" s="1" t="s">
        <v>79</v>
      </c>
      <c r="X80" s="1" t="s">
        <v>74</v>
      </c>
      <c r="Y80" s="1" t="s">
        <v>74</v>
      </c>
      <c r="Z80" s="1" t="s">
        <v>80</v>
      </c>
      <c r="AA80" s="1" t="s">
        <v>175</v>
      </c>
      <c r="AB80" s="1" t="s">
        <v>74</v>
      </c>
      <c r="AC80" s="1" t="s">
        <v>74</v>
      </c>
      <c r="AD80" s="1" t="s">
        <v>74</v>
      </c>
      <c r="AE80" s="11">
        <v>45827</v>
      </c>
      <c r="AF80" s="11"/>
      <c r="AG80" s="1" t="s">
        <v>74</v>
      </c>
      <c r="AJ80" cm="1">
        <f t="array" ref="AJ80:AK80">_xlfn.XLOOKUP(M80,'Customer Data Vlookup'!$L:$L,'Customer Data Vlookup'!$M:$N,,0)</f>
        <v>0</v>
      </c>
      <c r="AK80" s="47">
        <v>1800.3510000000001</v>
      </c>
      <c r="AL80" s="47">
        <f t="shared" si="10"/>
        <v>1800.3510000000001</v>
      </c>
      <c r="AM80" s="58">
        <f t="shared" si="11"/>
        <v>-12.741000000000213</v>
      </c>
    </row>
    <row r="81" spans="1:39" x14ac:dyDescent="0.35">
      <c r="A81" s="1" t="s">
        <v>124</v>
      </c>
      <c r="B81" s="1" t="s">
        <v>67</v>
      </c>
      <c r="C81" s="1" t="s">
        <v>68</v>
      </c>
      <c r="D81" s="1" t="s">
        <v>69</v>
      </c>
      <c r="E81" s="1" t="s">
        <v>17</v>
      </c>
      <c r="F81" s="1" t="s">
        <v>75</v>
      </c>
      <c r="G81" s="11">
        <v>45981</v>
      </c>
      <c r="H81" s="25">
        <v>1800014964</v>
      </c>
      <c r="I81" s="1" t="s">
        <v>9</v>
      </c>
      <c r="J81" s="11">
        <v>45981</v>
      </c>
      <c r="K81" s="11">
        <v>45982</v>
      </c>
      <c r="L81" s="1" t="s">
        <v>71</v>
      </c>
      <c r="M81" s="35">
        <v>256779419465</v>
      </c>
      <c r="N81" s="1" t="s">
        <v>72</v>
      </c>
      <c r="O81" s="1" t="s">
        <v>73</v>
      </c>
      <c r="P81" s="1" t="s">
        <v>74</v>
      </c>
      <c r="Q81" s="1" t="s">
        <v>83</v>
      </c>
      <c r="R81" s="1" t="s">
        <v>76</v>
      </c>
      <c r="S81" s="12">
        <v>240.14</v>
      </c>
      <c r="T81" s="1" t="s">
        <v>77</v>
      </c>
      <c r="U81" s="12">
        <v>21133.13</v>
      </c>
      <c r="V81" s="1" t="s">
        <v>78</v>
      </c>
      <c r="W81" s="1" t="s">
        <v>79</v>
      </c>
      <c r="X81" s="1" t="s">
        <v>74</v>
      </c>
      <c r="Y81" s="1" t="s">
        <v>176</v>
      </c>
      <c r="Z81" s="1" t="s">
        <v>80</v>
      </c>
      <c r="AA81" s="1" t="s">
        <v>177</v>
      </c>
      <c r="AB81" s="1" t="s">
        <v>74</v>
      </c>
      <c r="AC81" s="1" t="s">
        <v>74</v>
      </c>
      <c r="AD81" s="1" t="s">
        <v>74</v>
      </c>
      <c r="AE81" s="11">
        <v>45981</v>
      </c>
      <c r="AF81" s="11"/>
      <c r="AG81" s="1" t="s">
        <v>74</v>
      </c>
      <c r="AJ81" cm="1">
        <f t="array" ref="AJ81:AK81">_xlfn.XLOOKUP(M81,'Customer Data Vlookup'!$L:$L,'Customer Data Vlookup'!$M:$N,,0)</f>
        <v>0</v>
      </c>
      <c r="AK81" s="47">
        <v>20693.117099999999</v>
      </c>
      <c r="AL81" s="47">
        <f t="shared" si="10"/>
        <v>20693.117099999999</v>
      </c>
      <c r="AM81" s="58">
        <f t="shared" si="11"/>
        <v>440.01290000000154</v>
      </c>
    </row>
    <row r="82" spans="1:39" x14ac:dyDescent="0.35">
      <c r="A82" s="1" t="s">
        <v>124</v>
      </c>
      <c r="B82" s="1" t="s">
        <v>67</v>
      </c>
      <c r="C82" s="1" t="s">
        <v>68</v>
      </c>
      <c r="D82" s="1" t="s">
        <v>69</v>
      </c>
      <c r="E82" s="1" t="s">
        <v>17</v>
      </c>
      <c r="F82" s="1" t="s">
        <v>75</v>
      </c>
      <c r="G82" s="11">
        <v>45981</v>
      </c>
      <c r="H82" s="25">
        <v>1800014975</v>
      </c>
      <c r="I82" s="1" t="s">
        <v>9</v>
      </c>
      <c r="J82" s="11">
        <v>45981</v>
      </c>
      <c r="K82" s="11">
        <v>45982</v>
      </c>
      <c r="L82" s="1" t="s">
        <v>71</v>
      </c>
      <c r="M82" s="35">
        <v>256779419476</v>
      </c>
      <c r="N82" s="1" t="s">
        <v>72</v>
      </c>
      <c r="O82" s="1" t="s">
        <v>73</v>
      </c>
      <c r="P82" s="1" t="s">
        <v>74</v>
      </c>
      <c r="Q82" s="1" t="s">
        <v>83</v>
      </c>
      <c r="R82" s="1" t="s">
        <v>76</v>
      </c>
      <c r="S82" s="12">
        <v>162.27000000000001</v>
      </c>
      <c r="T82" s="1" t="s">
        <v>77</v>
      </c>
      <c r="U82" s="12">
        <v>14280.31</v>
      </c>
      <c r="V82" s="1" t="s">
        <v>78</v>
      </c>
      <c r="W82" s="1" t="s">
        <v>79</v>
      </c>
      <c r="X82" s="1" t="s">
        <v>74</v>
      </c>
      <c r="Y82" s="1" t="s">
        <v>176</v>
      </c>
      <c r="Z82" s="1" t="s">
        <v>80</v>
      </c>
      <c r="AA82" s="1" t="s">
        <v>178</v>
      </c>
      <c r="AB82" s="1" t="s">
        <v>74</v>
      </c>
      <c r="AC82" s="1" t="s">
        <v>74</v>
      </c>
      <c r="AD82" s="1" t="s">
        <v>74</v>
      </c>
      <c r="AE82" s="11">
        <v>45981</v>
      </c>
      <c r="AF82" s="11"/>
      <c r="AG82" s="1" t="s">
        <v>74</v>
      </c>
      <c r="AJ82" cm="1">
        <f t="array" ref="AJ82:AK82">_xlfn.XLOOKUP(M82,'Customer Data Vlookup'!$L:$L,'Customer Data Vlookup'!$M:$N,,0)</f>
        <v>0</v>
      </c>
      <c r="AK82" s="47">
        <v>14016.2999</v>
      </c>
      <c r="AL82" s="47">
        <f t="shared" si="10"/>
        <v>14016.2999</v>
      </c>
      <c r="AM82" s="58">
        <f t="shared" si="11"/>
        <v>264.01009999999951</v>
      </c>
    </row>
    <row r="83" spans="1:39" x14ac:dyDescent="0.35">
      <c r="A83" s="1" t="s">
        <v>124</v>
      </c>
      <c r="B83" s="1" t="s">
        <v>67</v>
      </c>
      <c r="C83" s="1" t="s">
        <v>68</v>
      </c>
      <c r="D83" s="1" t="s">
        <v>69</v>
      </c>
      <c r="E83" s="1" t="s">
        <v>17</v>
      </c>
      <c r="F83" s="1" t="s">
        <v>75</v>
      </c>
      <c r="G83" s="11">
        <v>45981</v>
      </c>
      <c r="H83" s="25">
        <v>1800015033</v>
      </c>
      <c r="I83" s="1" t="s">
        <v>9</v>
      </c>
      <c r="J83" s="11">
        <v>45981</v>
      </c>
      <c r="K83" s="11">
        <v>45985</v>
      </c>
      <c r="L83" s="1" t="s">
        <v>71</v>
      </c>
      <c r="M83" s="35">
        <v>256779419534</v>
      </c>
      <c r="N83" s="1" t="s">
        <v>72</v>
      </c>
      <c r="O83" s="1" t="s">
        <v>73</v>
      </c>
      <c r="P83" s="1" t="s">
        <v>74</v>
      </c>
      <c r="Q83" s="1" t="s">
        <v>83</v>
      </c>
      <c r="R83" s="1" t="s">
        <v>76</v>
      </c>
      <c r="S83" s="12">
        <v>90.2</v>
      </c>
      <c r="T83" s="1" t="s">
        <v>77</v>
      </c>
      <c r="U83" s="12">
        <v>7937.91</v>
      </c>
      <c r="V83" s="1" t="s">
        <v>78</v>
      </c>
      <c r="W83" s="1" t="s">
        <v>79</v>
      </c>
      <c r="X83" s="1" t="s">
        <v>74</v>
      </c>
      <c r="Y83" s="1" t="s">
        <v>71</v>
      </c>
      <c r="Z83" s="1" t="s">
        <v>80</v>
      </c>
      <c r="AA83" s="1" t="s">
        <v>179</v>
      </c>
      <c r="AB83" s="1" t="s">
        <v>74</v>
      </c>
      <c r="AC83" s="1" t="s">
        <v>74</v>
      </c>
      <c r="AD83" s="1" t="s">
        <v>74</v>
      </c>
      <c r="AE83" s="11">
        <v>45981</v>
      </c>
      <c r="AF83" s="11"/>
      <c r="AG83" s="1" t="s">
        <v>74</v>
      </c>
      <c r="AJ83" cm="1">
        <f t="array" ref="AJ83:AK83">_xlfn.XLOOKUP(M83,'Customer Data Vlookup'!$L:$L,'Customer Data Vlookup'!$M:$N,,0)</f>
        <v>0</v>
      </c>
      <c r="AK83" s="47">
        <v>7761.8990000000003</v>
      </c>
      <c r="AL83" s="47">
        <f t="shared" si="10"/>
        <v>7761.8990000000003</v>
      </c>
      <c r="AM83" s="58">
        <f t="shared" si="11"/>
        <v>176.01099999999951</v>
      </c>
    </row>
    <row r="84" spans="1:39" x14ac:dyDescent="0.35">
      <c r="A84" s="1" t="s">
        <v>124</v>
      </c>
      <c r="B84" s="1" t="s">
        <v>67</v>
      </c>
      <c r="C84" s="1" t="s">
        <v>68</v>
      </c>
      <c r="D84" s="1" t="s">
        <v>69</v>
      </c>
      <c r="E84" s="1" t="s">
        <v>17</v>
      </c>
      <c r="F84" s="1" t="s">
        <v>75</v>
      </c>
      <c r="G84" s="11">
        <v>45981</v>
      </c>
      <c r="H84" s="25">
        <v>1800015043</v>
      </c>
      <c r="I84" s="1" t="s">
        <v>9</v>
      </c>
      <c r="J84" s="11">
        <v>45981</v>
      </c>
      <c r="K84" s="11">
        <v>45985</v>
      </c>
      <c r="L84" s="1" t="s">
        <v>71</v>
      </c>
      <c r="M84" s="35">
        <v>256779419556</v>
      </c>
      <c r="N84" s="1" t="s">
        <v>72</v>
      </c>
      <c r="O84" s="1" t="s">
        <v>73</v>
      </c>
      <c r="P84" s="1" t="s">
        <v>74</v>
      </c>
      <c r="Q84" s="1" t="s">
        <v>83</v>
      </c>
      <c r="R84" s="1" t="s">
        <v>76</v>
      </c>
      <c r="S84" s="12">
        <v>502.5</v>
      </c>
      <c r="T84" s="1" t="s">
        <v>77</v>
      </c>
      <c r="U84" s="12">
        <v>44221.7</v>
      </c>
      <c r="V84" s="1" t="s">
        <v>78</v>
      </c>
      <c r="W84" s="1" t="s">
        <v>79</v>
      </c>
      <c r="X84" s="1" t="s">
        <v>74</v>
      </c>
      <c r="Y84" s="1" t="s">
        <v>180</v>
      </c>
      <c r="Z84" s="1" t="s">
        <v>80</v>
      </c>
      <c r="AA84" s="1" t="s">
        <v>181</v>
      </c>
      <c r="AB84" s="1" t="s">
        <v>74</v>
      </c>
      <c r="AC84" s="1" t="s">
        <v>74</v>
      </c>
      <c r="AD84" s="1" t="s">
        <v>74</v>
      </c>
      <c r="AE84" s="11">
        <v>45981</v>
      </c>
      <c r="AF84" s="11"/>
      <c r="AG84" s="1" t="s">
        <v>74</v>
      </c>
      <c r="AJ84" cm="1">
        <f t="array" ref="AJ84:AK84">_xlfn.XLOOKUP(M84,'Customer Data Vlookup'!$L:$L,'Customer Data Vlookup'!$M:$N,,0)</f>
        <v>0</v>
      </c>
      <c r="AK84" s="47">
        <v>39821.534</v>
      </c>
      <c r="AL84" s="47">
        <f t="shared" si="10"/>
        <v>39821.534</v>
      </c>
      <c r="AM84" s="58">
        <f t="shared" si="11"/>
        <v>4400.1659999999974</v>
      </c>
    </row>
    <row r="85" spans="1:39" x14ac:dyDescent="0.35">
      <c r="A85" s="1" t="s">
        <v>124</v>
      </c>
      <c r="B85" s="1" t="s">
        <v>67</v>
      </c>
      <c r="C85" s="1" t="s">
        <v>68</v>
      </c>
      <c r="D85" s="1" t="s">
        <v>69</v>
      </c>
      <c r="E85" s="1" t="s">
        <v>17</v>
      </c>
      <c r="F85" s="1" t="s">
        <v>75</v>
      </c>
      <c r="G85" s="11">
        <v>45981</v>
      </c>
      <c r="H85" s="25">
        <v>1800015096</v>
      </c>
      <c r="I85" s="1" t="s">
        <v>9</v>
      </c>
      <c r="J85" s="11">
        <v>45981</v>
      </c>
      <c r="K85" s="11">
        <v>45985</v>
      </c>
      <c r="L85" s="1" t="s">
        <v>71</v>
      </c>
      <c r="M85" s="35">
        <v>256779419547</v>
      </c>
      <c r="N85" s="1" t="s">
        <v>72</v>
      </c>
      <c r="O85" s="1" t="s">
        <v>73</v>
      </c>
      <c r="P85" s="1" t="s">
        <v>74</v>
      </c>
      <c r="Q85" s="1" t="s">
        <v>83</v>
      </c>
      <c r="R85" s="1" t="s">
        <v>76</v>
      </c>
      <c r="S85" s="12">
        <v>109.01</v>
      </c>
      <c r="T85" s="1" t="s">
        <v>77</v>
      </c>
      <c r="U85" s="12">
        <v>9593.25</v>
      </c>
      <c r="V85" s="1" t="s">
        <v>78</v>
      </c>
      <c r="W85" s="1" t="s">
        <v>79</v>
      </c>
      <c r="X85" s="1" t="s">
        <v>74</v>
      </c>
      <c r="Y85" s="1" t="s">
        <v>182</v>
      </c>
      <c r="Z85" s="1" t="s">
        <v>80</v>
      </c>
      <c r="AA85" s="1" t="s">
        <v>183</v>
      </c>
      <c r="AB85" s="1" t="s">
        <v>74</v>
      </c>
      <c r="AC85" s="1" t="s">
        <v>74</v>
      </c>
      <c r="AD85" s="1" t="s">
        <v>74</v>
      </c>
      <c r="AE85" s="11">
        <v>45981</v>
      </c>
      <c r="AF85" s="11"/>
      <c r="AG85" s="1" t="s">
        <v>74</v>
      </c>
      <c r="AJ85" cm="1">
        <f t="array" ref="AJ85:AK85">_xlfn.XLOOKUP(M85,'Customer Data Vlookup'!$L:$L,'Customer Data Vlookup'!$M:$N,,0)</f>
        <v>0</v>
      </c>
      <c r="AK85" s="47">
        <v>9417.2428</v>
      </c>
      <c r="AL85" s="47">
        <f t="shared" si="10"/>
        <v>9417.2428</v>
      </c>
      <c r="AM85" s="58">
        <f t="shared" si="11"/>
        <v>176.00720000000001</v>
      </c>
    </row>
    <row r="86" spans="1:39" x14ac:dyDescent="0.35">
      <c r="A86" s="1" t="s">
        <v>124</v>
      </c>
      <c r="B86" s="1" t="s">
        <v>67</v>
      </c>
      <c r="C86" s="1" t="s">
        <v>68</v>
      </c>
      <c r="D86" s="1" t="s">
        <v>69</v>
      </c>
      <c r="E86" s="1" t="s">
        <v>17</v>
      </c>
      <c r="F86" s="1" t="s">
        <v>75</v>
      </c>
      <c r="G86" s="11">
        <v>45981</v>
      </c>
      <c r="H86" s="25">
        <v>1800015075</v>
      </c>
      <c r="I86" s="1" t="s">
        <v>9</v>
      </c>
      <c r="J86" s="11">
        <v>45981</v>
      </c>
      <c r="K86" s="11">
        <v>45985</v>
      </c>
      <c r="L86" s="1" t="s">
        <v>71</v>
      </c>
      <c r="M86" s="35">
        <v>256779419588</v>
      </c>
      <c r="N86" s="1" t="s">
        <v>72</v>
      </c>
      <c r="O86" s="1" t="s">
        <v>73</v>
      </c>
      <c r="P86" s="1" t="s">
        <v>74</v>
      </c>
      <c r="Q86" s="1" t="s">
        <v>83</v>
      </c>
      <c r="R86" s="1" t="s">
        <v>76</v>
      </c>
      <c r="S86" s="12">
        <v>339.2</v>
      </c>
      <c r="T86" s="1" t="s">
        <v>77</v>
      </c>
      <c r="U86" s="12">
        <v>29850.75</v>
      </c>
      <c r="V86" s="1" t="s">
        <v>78</v>
      </c>
      <c r="W86" s="1" t="s">
        <v>79</v>
      </c>
      <c r="X86" s="1" t="s">
        <v>74</v>
      </c>
      <c r="Y86" s="1" t="s">
        <v>184</v>
      </c>
      <c r="Z86" s="1" t="s">
        <v>80</v>
      </c>
      <c r="AA86" s="1" t="s">
        <v>185</v>
      </c>
      <c r="AB86" s="1" t="s">
        <v>74</v>
      </c>
      <c r="AC86" s="1" t="s">
        <v>74</v>
      </c>
      <c r="AD86" s="1" t="s">
        <v>74</v>
      </c>
      <c r="AE86" s="11">
        <v>45981</v>
      </c>
      <c r="AF86" s="11"/>
      <c r="AG86" s="1" t="s">
        <v>74</v>
      </c>
      <c r="AJ86" cm="1">
        <f t="array" ref="AJ86:AK86">_xlfn.XLOOKUP(M86,'Customer Data Vlookup'!$L:$L,'Customer Data Vlookup'!$M:$N,,0)</f>
        <v>0</v>
      </c>
      <c r="AK86" s="47">
        <v>29234.726200000001</v>
      </c>
      <c r="AL86" s="47">
        <f t="shared" si="10"/>
        <v>29234.726200000001</v>
      </c>
      <c r="AM86" s="58">
        <f t="shared" si="11"/>
        <v>616.02379999999903</v>
      </c>
    </row>
    <row r="87" spans="1:39" x14ac:dyDescent="0.35">
      <c r="A87" s="1" t="s">
        <v>124</v>
      </c>
      <c r="B87" s="1" t="s">
        <v>67</v>
      </c>
      <c r="C87" s="1" t="s">
        <v>68</v>
      </c>
      <c r="D87" s="1" t="s">
        <v>69</v>
      </c>
      <c r="E87" s="1" t="s">
        <v>17</v>
      </c>
      <c r="F87" s="1" t="s">
        <v>75</v>
      </c>
      <c r="G87" s="11">
        <v>45981</v>
      </c>
      <c r="H87" s="25">
        <v>1800015129</v>
      </c>
      <c r="I87" s="1" t="s">
        <v>9</v>
      </c>
      <c r="J87" s="11">
        <v>45981</v>
      </c>
      <c r="K87" s="11">
        <v>45985</v>
      </c>
      <c r="L87" s="1" t="s">
        <v>71</v>
      </c>
      <c r="M87" s="35">
        <v>256779419628</v>
      </c>
      <c r="N87" s="1" t="s">
        <v>72</v>
      </c>
      <c r="O87" s="1" t="s">
        <v>73</v>
      </c>
      <c r="P87" s="1" t="s">
        <v>74</v>
      </c>
      <c r="Q87" s="1" t="s">
        <v>83</v>
      </c>
      <c r="R87" s="1" t="s">
        <v>76</v>
      </c>
      <c r="S87" s="12">
        <v>10.199999999999999</v>
      </c>
      <c r="T87" s="1" t="s">
        <v>77</v>
      </c>
      <c r="U87" s="12">
        <v>897.63</v>
      </c>
      <c r="V87" s="1" t="s">
        <v>78</v>
      </c>
      <c r="W87" s="1" t="s">
        <v>79</v>
      </c>
      <c r="X87" s="1" t="s">
        <v>74</v>
      </c>
      <c r="Y87" s="1" t="s">
        <v>186</v>
      </c>
      <c r="Z87" s="1" t="s">
        <v>80</v>
      </c>
      <c r="AA87" s="1" t="s">
        <v>187</v>
      </c>
      <c r="AB87" s="1" t="s">
        <v>74</v>
      </c>
      <c r="AC87" s="1" t="s">
        <v>74</v>
      </c>
      <c r="AD87" s="1" t="s">
        <v>74</v>
      </c>
      <c r="AE87" s="11">
        <v>45981</v>
      </c>
      <c r="AF87" s="11"/>
      <c r="AG87" s="1" t="s">
        <v>74</v>
      </c>
      <c r="AJ87" cm="1">
        <f t="array" ref="AJ87:AK87">_xlfn.XLOOKUP(M87,'Customer Data Vlookup'!$L:$L,'Customer Data Vlookup'!$M:$N,,0)</f>
        <v>0</v>
      </c>
      <c r="AK87" s="47">
        <v>897.63459999999998</v>
      </c>
      <c r="AL87" s="47">
        <f t="shared" si="10"/>
        <v>897.63459999999998</v>
      </c>
      <c r="AM87" s="58">
        <f t="shared" si="11"/>
        <v>-4.5999999999821739E-3</v>
      </c>
    </row>
    <row r="88" spans="1:39" x14ac:dyDescent="0.35">
      <c r="A88" s="1" t="s">
        <v>124</v>
      </c>
      <c r="B88" s="1" t="s">
        <v>67</v>
      </c>
      <c r="C88" s="1" t="s">
        <v>68</v>
      </c>
      <c r="D88" s="1" t="s">
        <v>69</v>
      </c>
      <c r="E88" s="1" t="s">
        <v>17</v>
      </c>
      <c r="F88" s="1" t="s">
        <v>129</v>
      </c>
      <c r="G88" s="11">
        <v>45769</v>
      </c>
      <c r="H88" s="25">
        <v>1800007570</v>
      </c>
      <c r="I88" s="1" t="s">
        <v>9</v>
      </c>
      <c r="J88" s="11">
        <v>45769</v>
      </c>
      <c r="K88" s="11">
        <v>45770</v>
      </c>
      <c r="L88" s="1" t="s">
        <v>71</v>
      </c>
      <c r="M88" s="35">
        <v>256779412461</v>
      </c>
      <c r="N88" s="1" t="s">
        <v>72</v>
      </c>
      <c r="O88" s="1" t="s">
        <v>73</v>
      </c>
      <c r="P88" s="1" t="s">
        <v>74</v>
      </c>
      <c r="Q88" s="1" t="s">
        <v>83</v>
      </c>
      <c r="R88" s="1" t="s">
        <v>76</v>
      </c>
      <c r="S88" s="12">
        <v>126.9</v>
      </c>
      <c r="T88" s="1" t="s">
        <v>77</v>
      </c>
      <c r="U88" s="12">
        <v>11030.38</v>
      </c>
      <c r="V88" s="1" t="s">
        <v>78</v>
      </c>
      <c r="W88" s="1" t="s">
        <v>79</v>
      </c>
      <c r="X88" s="1" t="s">
        <v>74</v>
      </c>
      <c r="Y88" s="1" t="s">
        <v>71</v>
      </c>
      <c r="Z88" s="1" t="s">
        <v>80</v>
      </c>
      <c r="AA88" s="1" t="s">
        <v>188</v>
      </c>
      <c r="AB88" s="1" t="s">
        <v>74</v>
      </c>
      <c r="AC88" s="1" t="s">
        <v>74</v>
      </c>
      <c r="AD88" s="1" t="s">
        <v>74</v>
      </c>
      <c r="AE88" s="11">
        <v>45769</v>
      </c>
      <c r="AF88" s="11"/>
      <c r="AG88" s="1" t="s">
        <v>74</v>
      </c>
      <c r="AJ88" cm="1">
        <f t="array" ref="AJ88:AK88">_xlfn.XLOOKUP(M88,'Customer Data Vlookup'!$L:$L,'Customer Data Vlookup'!$M:$N,,0)</f>
        <v>0</v>
      </c>
      <c r="AK88" s="47">
        <v>10809</v>
      </c>
      <c r="AL88" s="47">
        <f t="shared" si="10"/>
        <v>10809</v>
      </c>
      <c r="AM88" s="58">
        <f t="shared" si="11"/>
        <v>221.3799999999992</v>
      </c>
    </row>
    <row r="89" spans="1:39" x14ac:dyDescent="0.35">
      <c r="A89" s="1" t="s">
        <v>124</v>
      </c>
      <c r="B89" s="1" t="s">
        <v>67</v>
      </c>
      <c r="C89" s="1" t="s">
        <v>68</v>
      </c>
      <c r="D89" s="1" t="s">
        <v>69</v>
      </c>
      <c r="E89" s="1" t="s">
        <v>17</v>
      </c>
      <c r="F89" s="1" t="s">
        <v>129</v>
      </c>
      <c r="G89" s="11">
        <v>45769</v>
      </c>
      <c r="H89" s="25">
        <v>1800007577</v>
      </c>
      <c r="I89" s="1" t="s">
        <v>9</v>
      </c>
      <c r="J89" s="11">
        <v>45769</v>
      </c>
      <c r="K89" s="11">
        <v>45770</v>
      </c>
      <c r="L89" s="1" t="s">
        <v>71</v>
      </c>
      <c r="M89" s="35">
        <v>256779412468</v>
      </c>
      <c r="N89" s="1" t="s">
        <v>72</v>
      </c>
      <c r="O89" s="1" t="s">
        <v>73</v>
      </c>
      <c r="P89" s="1" t="s">
        <v>74</v>
      </c>
      <c r="Q89" s="1" t="s">
        <v>83</v>
      </c>
      <c r="R89" s="1" t="s">
        <v>76</v>
      </c>
      <c r="S89" s="12">
        <v>169.2</v>
      </c>
      <c r="T89" s="1" t="s">
        <v>77</v>
      </c>
      <c r="U89" s="12">
        <v>14707.17</v>
      </c>
      <c r="V89" s="1" t="s">
        <v>78</v>
      </c>
      <c r="W89" s="1" t="s">
        <v>79</v>
      </c>
      <c r="X89" s="1" t="s">
        <v>74</v>
      </c>
      <c r="Y89" s="1" t="s">
        <v>71</v>
      </c>
      <c r="Z89" s="1" t="s">
        <v>80</v>
      </c>
      <c r="AA89" s="1" t="s">
        <v>188</v>
      </c>
      <c r="AB89" s="1" t="s">
        <v>74</v>
      </c>
      <c r="AC89" s="1" t="s">
        <v>74</v>
      </c>
      <c r="AD89" s="1" t="s">
        <v>74</v>
      </c>
      <c r="AE89" s="11">
        <v>45769</v>
      </c>
      <c r="AF89" s="11"/>
      <c r="AG89" s="1" t="s">
        <v>74</v>
      </c>
      <c r="AJ89" cm="1">
        <f t="array" ref="AJ89:AK89">_xlfn.XLOOKUP(M89,'Customer Data Vlookup'!$L:$L,'Customer Data Vlookup'!$M:$N,,0)</f>
        <v>0</v>
      </c>
      <c r="AK89" s="47">
        <v>14119</v>
      </c>
      <c r="AL89" s="47">
        <f t="shared" si="10"/>
        <v>14119</v>
      </c>
      <c r="AM89" s="58">
        <f t="shared" si="11"/>
        <v>588.17000000000007</v>
      </c>
    </row>
    <row r="90" spans="1:39" x14ac:dyDescent="0.35">
      <c r="A90" s="1" t="s">
        <v>124</v>
      </c>
      <c r="B90" s="1" t="s">
        <v>67</v>
      </c>
      <c r="C90" s="1" t="s">
        <v>68</v>
      </c>
      <c r="D90" s="1" t="s">
        <v>69</v>
      </c>
      <c r="E90" s="1" t="s">
        <v>17</v>
      </c>
      <c r="F90" s="1" t="s">
        <v>129</v>
      </c>
      <c r="G90" s="11">
        <v>45769</v>
      </c>
      <c r="H90" s="25">
        <v>1800007722</v>
      </c>
      <c r="I90" s="1" t="s">
        <v>9</v>
      </c>
      <c r="J90" s="11">
        <v>45769</v>
      </c>
      <c r="K90" s="11">
        <v>45770</v>
      </c>
      <c r="L90" s="1" t="s">
        <v>71</v>
      </c>
      <c r="M90" s="35">
        <v>256779412613</v>
      </c>
      <c r="N90" s="1" t="s">
        <v>72</v>
      </c>
      <c r="O90" s="1" t="s">
        <v>73</v>
      </c>
      <c r="P90" s="1" t="s">
        <v>74</v>
      </c>
      <c r="Q90" s="1" t="s">
        <v>83</v>
      </c>
      <c r="R90" s="1" t="s">
        <v>76</v>
      </c>
      <c r="S90" s="12">
        <v>47</v>
      </c>
      <c r="T90" s="1" t="s">
        <v>77</v>
      </c>
      <c r="U90" s="12">
        <v>4085.33</v>
      </c>
      <c r="V90" s="1" t="s">
        <v>78</v>
      </c>
      <c r="W90" s="1" t="s">
        <v>79</v>
      </c>
      <c r="X90" s="1" t="s">
        <v>74</v>
      </c>
      <c r="Y90" s="1" t="s">
        <v>71</v>
      </c>
      <c r="Z90" s="1" t="s">
        <v>80</v>
      </c>
      <c r="AA90" s="1" t="s">
        <v>189</v>
      </c>
      <c r="AB90" s="1" t="s">
        <v>74</v>
      </c>
      <c r="AC90" s="1" t="s">
        <v>74</v>
      </c>
      <c r="AD90" s="1" t="s">
        <v>74</v>
      </c>
      <c r="AE90" s="11">
        <v>45769</v>
      </c>
      <c r="AF90" s="11"/>
      <c r="AG90" s="1" t="s">
        <v>74</v>
      </c>
      <c r="AJ90" cm="1">
        <f t="array" ref="AJ90:AK90">_xlfn.XLOOKUP(M90,'Customer Data Vlookup'!$L:$L,'Customer Data Vlookup'!$M:$N,,0)</f>
        <v>0</v>
      </c>
      <c r="AK90" s="47">
        <v>3922</v>
      </c>
      <c r="AL90" s="47">
        <f t="shared" si="10"/>
        <v>3922</v>
      </c>
      <c r="AM90" s="58">
        <f t="shared" si="11"/>
        <v>163.32999999999993</v>
      </c>
    </row>
    <row r="91" spans="1:39" x14ac:dyDescent="0.35">
      <c r="A91" s="1" t="s">
        <v>124</v>
      </c>
      <c r="B91" s="1" t="s">
        <v>67</v>
      </c>
      <c r="C91" s="1" t="s">
        <v>68</v>
      </c>
      <c r="D91" s="1" t="s">
        <v>69</v>
      </c>
      <c r="E91" s="1" t="s">
        <v>17</v>
      </c>
      <c r="F91" s="1" t="s">
        <v>129</v>
      </c>
      <c r="G91" s="11">
        <v>45769</v>
      </c>
      <c r="H91" s="25">
        <v>1800007764</v>
      </c>
      <c r="I91" s="1" t="s">
        <v>9</v>
      </c>
      <c r="J91" s="11">
        <v>45769</v>
      </c>
      <c r="K91" s="11">
        <v>45770</v>
      </c>
      <c r="L91" s="1" t="s">
        <v>71</v>
      </c>
      <c r="M91" s="35">
        <v>256779412655</v>
      </c>
      <c r="N91" s="1" t="s">
        <v>72</v>
      </c>
      <c r="O91" s="1" t="s">
        <v>73</v>
      </c>
      <c r="P91" s="1" t="s">
        <v>74</v>
      </c>
      <c r="Q91" s="1" t="s">
        <v>83</v>
      </c>
      <c r="R91" s="1" t="s">
        <v>76</v>
      </c>
      <c r="S91" s="12">
        <v>25</v>
      </c>
      <c r="T91" s="1" t="s">
        <v>77</v>
      </c>
      <c r="U91" s="12">
        <v>2173.0500000000002</v>
      </c>
      <c r="V91" s="1" t="s">
        <v>78</v>
      </c>
      <c r="W91" s="1" t="s">
        <v>79</v>
      </c>
      <c r="X91" s="1" t="s">
        <v>74</v>
      </c>
      <c r="Y91" s="1" t="s">
        <v>71</v>
      </c>
      <c r="Z91" s="1" t="s">
        <v>80</v>
      </c>
      <c r="AA91" s="1" t="s">
        <v>190</v>
      </c>
      <c r="AB91" s="1" t="s">
        <v>74</v>
      </c>
      <c r="AC91" s="1" t="s">
        <v>74</v>
      </c>
      <c r="AD91" s="1" t="s">
        <v>74</v>
      </c>
      <c r="AE91" s="11">
        <v>45769</v>
      </c>
      <c r="AF91" s="11"/>
      <c r="AG91" s="1" t="s">
        <v>74</v>
      </c>
      <c r="AJ91" cm="1">
        <f t="array" ref="AJ91:AK91">_xlfn.XLOOKUP(M91,'Customer Data Vlookup'!$L:$L,'Customer Data Vlookup'!$M:$N,,0)</f>
        <v>0</v>
      </c>
      <c r="AK91" s="47">
        <v>2085</v>
      </c>
      <c r="AL91" s="47">
        <f t="shared" si="10"/>
        <v>2085</v>
      </c>
      <c r="AM91" s="58">
        <f t="shared" si="11"/>
        <v>88.050000000000182</v>
      </c>
    </row>
    <row r="92" spans="1:39" x14ac:dyDescent="0.35">
      <c r="A92" s="1" t="s">
        <v>124</v>
      </c>
      <c r="B92" s="1" t="s">
        <v>67</v>
      </c>
      <c r="C92" s="1" t="s">
        <v>68</v>
      </c>
      <c r="D92" s="1" t="s">
        <v>69</v>
      </c>
      <c r="E92" s="1" t="s">
        <v>17</v>
      </c>
      <c r="F92" s="1" t="s">
        <v>129</v>
      </c>
      <c r="G92" s="11">
        <v>45769</v>
      </c>
      <c r="H92" s="25">
        <v>1800007784</v>
      </c>
      <c r="I92" s="1" t="s">
        <v>9</v>
      </c>
      <c r="J92" s="11">
        <v>45769</v>
      </c>
      <c r="K92" s="11">
        <v>45770</v>
      </c>
      <c r="L92" s="1" t="s">
        <v>71</v>
      </c>
      <c r="M92" s="35">
        <v>256779412675</v>
      </c>
      <c r="N92" s="1" t="s">
        <v>72</v>
      </c>
      <c r="O92" s="1" t="s">
        <v>73</v>
      </c>
      <c r="P92" s="1" t="s">
        <v>74</v>
      </c>
      <c r="Q92" s="1" t="s">
        <v>83</v>
      </c>
      <c r="R92" s="1" t="s">
        <v>76</v>
      </c>
      <c r="S92" s="12">
        <v>17.350000000000001</v>
      </c>
      <c r="T92" s="1" t="s">
        <v>77</v>
      </c>
      <c r="U92" s="12">
        <v>1508.09</v>
      </c>
      <c r="V92" s="1" t="s">
        <v>78</v>
      </c>
      <c r="W92" s="1" t="s">
        <v>79</v>
      </c>
      <c r="X92" s="1" t="s">
        <v>74</v>
      </c>
      <c r="Y92" s="1" t="s">
        <v>71</v>
      </c>
      <c r="Z92" s="1" t="s">
        <v>80</v>
      </c>
      <c r="AA92" s="1" t="s">
        <v>191</v>
      </c>
      <c r="AB92" s="1" t="s">
        <v>74</v>
      </c>
      <c r="AC92" s="1" t="s">
        <v>74</v>
      </c>
      <c r="AD92" s="1" t="s">
        <v>74</v>
      </c>
      <c r="AE92" s="11">
        <v>45769</v>
      </c>
      <c r="AF92" s="11"/>
      <c r="AG92" s="1" t="s">
        <v>74</v>
      </c>
      <c r="AJ92" cm="1">
        <f t="array" ref="AJ92:AK92">_xlfn.XLOOKUP(M92,'Customer Data Vlookup'!$L:$L,'Customer Data Vlookup'!$M:$N,,0)</f>
        <v>0</v>
      </c>
      <c r="AK92" s="47">
        <v>1447</v>
      </c>
      <c r="AL92" s="47">
        <f t="shared" si="10"/>
        <v>1447</v>
      </c>
      <c r="AM92" s="58">
        <f t="shared" si="11"/>
        <v>61.089999999999918</v>
      </c>
    </row>
    <row r="93" spans="1:39" x14ac:dyDescent="0.35">
      <c r="A93" s="1" t="s">
        <v>124</v>
      </c>
      <c r="B93" s="1" t="s">
        <v>67</v>
      </c>
      <c r="C93" s="1" t="s">
        <v>68</v>
      </c>
      <c r="D93" s="1" t="s">
        <v>69</v>
      </c>
      <c r="E93" s="1" t="s">
        <v>17</v>
      </c>
      <c r="F93" s="1" t="s">
        <v>129</v>
      </c>
      <c r="G93" s="11">
        <v>45769</v>
      </c>
      <c r="H93" s="25">
        <v>1800007792</v>
      </c>
      <c r="I93" s="1" t="s">
        <v>9</v>
      </c>
      <c r="J93" s="11">
        <v>45769</v>
      </c>
      <c r="K93" s="11">
        <v>45770</v>
      </c>
      <c r="L93" s="1" t="s">
        <v>71</v>
      </c>
      <c r="M93" s="35">
        <v>256779412683</v>
      </c>
      <c r="N93" s="1" t="s">
        <v>72</v>
      </c>
      <c r="O93" s="1" t="s">
        <v>73</v>
      </c>
      <c r="P93" s="1" t="s">
        <v>74</v>
      </c>
      <c r="Q93" s="1" t="s">
        <v>83</v>
      </c>
      <c r="R93" s="1" t="s">
        <v>76</v>
      </c>
      <c r="S93" s="12">
        <v>517.64</v>
      </c>
      <c r="T93" s="1" t="s">
        <v>77</v>
      </c>
      <c r="U93" s="12">
        <v>44994.21</v>
      </c>
      <c r="V93" s="1" t="s">
        <v>78</v>
      </c>
      <c r="W93" s="1" t="s">
        <v>79</v>
      </c>
      <c r="X93" s="1" t="s">
        <v>74</v>
      </c>
      <c r="Y93" s="1" t="s">
        <v>71</v>
      </c>
      <c r="Z93" s="1" t="s">
        <v>80</v>
      </c>
      <c r="AA93" s="1" t="s">
        <v>190</v>
      </c>
      <c r="AB93" s="1" t="s">
        <v>74</v>
      </c>
      <c r="AC93" s="1" t="s">
        <v>74</v>
      </c>
      <c r="AD93" s="1" t="s">
        <v>74</v>
      </c>
      <c r="AE93" s="11">
        <v>45769</v>
      </c>
      <c r="AF93" s="11"/>
      <c r="AG93" s="1" t="s">
        <v>74</v>
      </c>
      <c r="AJ93" cm="1">
        <f t="array" ref="AJ93:AK93">_xlfn.XLOOKUP(M93,'Customer Data Vlookup'!$L:$L,'Customer Data Vlookup'!$M:$N,,0)</f>
        <v>0</v>
      </c>
      <c r="AK93" s="47">
        <v>43195</v>
      </c>
      <c r="AL93" s="47">
        <f t="shared" si="10"/>
        <v>43195</v>
      </c>
      <c r="AM93" s="58">
        <f t="shared" si="11"/>
        <v>1799.2099999999991</v>
      </c>
    </row>
    <row r="94" spans="1:39" x14ac:dyDescent="0.35">
      <c r="A94" s="1" t="s">
        <v>124</v>
      </c>
      <c r="B94" s="1" t="s">
        <v>67</v>
      </c>
      <c r="C94" s="1" t="s">
        <v>68</v>
      </c>
      <c r="D94" s="1" t="s">
        <v>69</v>
      </c>
      <c r="E94" s="1" t="s">
        <v>17</v>
      </c>
      <c r="F94" s="1" t="s">
        <v>192</v>
      </c>
      <c r="G94" s="11">
        <v>45918</v>
      </c>
      <c r="H94" s="25">
        <v>1800012845</v>
      </c>
      <c r="I94" s="1" t="s">
        <v>9</v>
      </c>
      <c r="J94" s="11">
        <v>45918</v>
      </c>
      <c r="K94" s="11">
        <v>45922</v>
      </c>
      <c r="L94" s="1" t="s">
        <v>71</v>
      </c>
      <c r="M94" s="35">
        <v>256779417410</v>
      </c>
      <c r="N94" s="1" t="s">
        <v>72</v>
      </c>
      <c r="O94" s="1" t="s">
        <v>73</v>
      </c>
      <c r="P94" s="1" t="s">
        <v>74</v>
      </c>
      <c r="Q94" s="1" t="s">
        <v>83</v>
      </c>
      <c r="R94" s="1" t="s">
        <v>76</v>
      </c>
      <c r="S94" s="12">
        <v>371.84</v>
      </c>
      <c r="T94" s="1" t="s">
        <v>77</v>
      </c>
      <c r="U94" s="12">
        <v>32541.33</v>
      </c>
      <c r="V94" s="1" t="s">
        <v>78</v>
      </c>
      <c r="W94" s="1" t="s">
        <v>79</v>
      </c>
      <c r="X94" s="1" t="s">
        <v>74</v>
      </c>
      <c r="Y94" s="1" t="s">
        <v>193</v>
      </c>
      <c r="Z94" s="1" t="s">
        <v>80</v>
      </c>
      <c r="AA94" s="1" t="s">
        <v>194</v>
      </c>
      <c r="AB94" s="1" t="s">
        <v>74</v>
      </c>
      <c r="AC94" s="1" t="s">
        <v>74</v>
      </c>
      <c r="AD94" s="1" t="s">
        <v>74</v>
      </c>
      <c r="AE94" s="11">
        <v>45918</v>
      </c>
      <c r="AF94" s="11"/>
      <c r="AG94" s="1" t="s">
        <v>74</v>
      </c>
      <c r="AJ94" cm="1">
        <f t="array" ref="AJ94:AK94">_xlfn.XLOOKUP(M94,'Customer Data Vlookup'!$L:$L,'Customer Data Vlookup'!$M:$N,,0)</f>
        <v>0</v>
      </c>
      <c r="AK94" s="47">
        <v>29303.298299999999</v>
      </c>
      <c r="AL94" s="47">
        <f t="shared" si="10"/>
        <v>29303.298299999999</v>
      </c>
      <c r="AM94" s="58">
        <f t="shared" si="11"/>
        <v>3238.0317000000032</v>
      </c>
    </row>
    <row r="95" spans="1:39" x14ac:dyDescent="0.35">
      <c r="A95" s="1" t="s">
        <v>124</v>
      </c>
      <c r="B95" s="1" t="s">
        <v>67</v>
      </c>
      <c r="C95" s="1" t="s">
        <v>68</v>
      </c>
      <c r="D95" s="1" t="s">
        <v>69</v>
      </c>
      <c r="E95" s="1" t="s">
        <v>17</v>
      </c>
      <c r="F95" s="1" t="s">
        <v>192</v>
      </c>
      <c r="G95" s="11">
        <v>45918</v>
      </c>
      <c r="H95" s="25">
        <v>1800012871</v>
      </c>
      <c r="I95" s="1" t="s">
        <v>9</v>
      </c>
      <c r="J95" s="11">
        <v>45918</v>
      </c>
      <c r="K95" s="11">
        <v>45922</v>
      </c>
      <c r="L95" s="1" t="s">
        <v>71</v>
      </c>
      <c r="M95" s="35">
        <v>256779417489</v>
      </c>
      <c r="N95" s="1" t="s">
        <v>72</v>
      </c>
      <c r="O95" s="1" t="s">
        <v>73</v>
      </c>
      <c r="P95" s="1" t="s">
        <v>74</v>
      </c>
      <c r="Q95" s="1" t="s">
        <v>83</v>
      </c>
      <c r="R95" s="1" t="s">
        <v>76</v>
      </c>
      <c r="S95" s="12">
        <v>533.91999999999996</v>
      </c>
      <c r="T95" s="1" t="s">
        <v>77</v>
      </c>
      <c r="U95" s="12">
        <v>46725.65</v>
      </c>
      <c r="V95" s="1" t="s">
        <v>78</v>
      </c>
      <c r="W95" s="1" t="s">
        <v>79</v>
      </c>
      <c r="X95" s="1" t="s">
        <v>74</v>
      </c>
      <c r="Y95" s="1" t="s">
        <v>195</v>
      </c>
      <c r="Z95" s="1" t="s">
        <v>80</v>
      </c>
      <c r="AA95" s="1" t="s">
        <v>196</v>
      </c>
      <c r="AB95" s="1" t="s">
        <v>74</v>
      </c>
      <c r="AC95" s="1" t="s">
        <v>74</v>
      </c>
      <c r="AD95" s="1" t="s">
        <v>74</v>
      </c>
      <c r="AE95" s="11">
        <v>45918</v>
      </c>
      <c r="AF95" s="11"/>
      <c r="AG95" s="1" t="s">
        <v>74</v>
      </c>
      <c r="AJ95" cm="1">
        <f t="array" ref="AJ95:AK95">_xlfn.XLOOKUP(M95,'Customer Data Vlookup'!$L:$L,'Customer Data Vlookup'!$M:$N,,0)</f>
        <v>0</v>
      </c>
      <c r="AK95" s="47">
        <v>42087.391600000003</v>
      </c>
      <c r="AL95" s="47">
        <f t="shared" si="10"/>
        <v>42087.391600000003</v>
      </c>
      <c r="AM95" s="58">
        <f t="shared" si="11"/>
        <v>4638.2583999999988</v>
      </c>
    </row>
    <row r="96" spans="1:39" x14ac:dyDescent="0.35">
      <c r="A96" s="1" t="s">
        <v>124</v>
      </c>
      <c r="B96" s="1" t="s">
        <v>67</v>
      </c>
      <c r="C96" s="1" t="s">
        <v>68</v>
      </c>
      <c r="D96" s="1" t="s">
        <v>69</v>
      </c>
      <c r="E96" s="1" t="s">
        <v>17</v>
      </c>
      <c r="F96" s="1" t="s">
        <v>192</v>
      </c>
      <c r="G96" s="11">
        <v>45918</v>
      </c>
      <c r="H96" s="25">
        <v>1800012990</v>
      </c>
      <c r="I96" s="1" t="s">
        <v>9</v>
      </c>
      <c r="J96" s="11">
        <v>45918</v>
      </c>
      <c r="K96" s="11">
        <v>45922</v>
      </c>
      <c r="L96" s="1" t="s">
        <v>71</v>
      </c>
      <c r="M96" s="35">
        <v>256779417525</v>
      </c>
      <c r="N96" s="1" t="s">
        <v>72</v>
      </c>
      <c r="O96" s="1" t="s">
        <v>73</v>
      </c>
      <c r="P96" s="1" t="s">
        <v>74</v>
      </c>
      <c r="Q96" s="1" t="s">
        <v>83</v>
      </c>
      <c r="R96" s="1" t="s">
        <v>76</v>
      </c>
      <c r="S96" s="12">
        <v>311.37</v>
      </c>
      <c r="T96" s="1" t="s">
        <v>77</v>
      </c>
      <c r="U96" s="12">
        <v>27249.34</v>
      </c>
      <c r="V96" s="1" t="s">
        <v>78</v>
      </c>
      <c r="W96" s="1" t="s">
        <v>79</v>
      </c>
      <c r="X96" s="1" t="s">
        <v>74</v>
      </c>
      <c r="Y96" s="1" t="s">
        <v>197</v>
      </c>
      <c r="Z96" s="1" t="s">
        <v>80</v>
      </c>
      <c r="AA96" s="1" t="s">
        <v>198</v>
      </c>
      <c r="AB96" s="1" t="s">
        <v>74</v>
      </c>
      <c r="AC96" s="1" t="s">
        <v>74</v>
      </c>
      <c r="AD96" s="1" t="s">
        <v>74</v>
      </c>
      <c r="AE96" s="11">
        <v>45918</v>
      </c>
      <c r="AF96" s="11"/>
      <c r="AG96" s="1" t="s">
        <v>74</v>
      </c>
      <c r="AJ96" cm="1">
        <f t="array" ref="AJ96:AK96">_xlfn.XLOOKUP(M96,'Customer Data Vlookup'!$L:$L,'Customer Data Vlookup'!$M:$N,,0)</f>
        <v>0</v>
      </c>
      <c r="AK96" s="47">
        <v>26724.251</v>
      </c>
      <c r="AL96" s="47">
        <f t="shared" si="10"/>
        <v>26724.251</v>
      </c>
      <c r="AM96" s="58">
        <f t="shared" si="11"/>
        <v>525.08899999999994</v>
      </c>
    </row>
    <row r="97" spans="1:39" x14ac:dyDescent="0.35">
      <c r="A97" s="1" t="s">
        <v>124</v>
      </c>
      <c r="B97" s="1" t="s">
        <v>67</v>
      </c>
      <c r="C97" s="1" t="s">
        <v>68</v>
      </c>
      <c r="D97" s="1" t="s">
        <v>69</v>
      </c>
      <c r="E97" s="1" t="s">
        <v>17</v>
      </c>
      <c r="F97" s="1" t="s">
        <v>192</v>
      </c>
      <c r="G97" s="11">
        <v>45918</v>
      </c>
      <c r="H97" s="25">
        <v>1800012927</v>
      </c>
      <c r="I97" s="1" t="s">
        <v>9</v>
      </c>
      <c r="J97" s="11">
        <v>45918</v>
      </c>
      <c r="K97" s="11">
        <v>45922</v>
      </c>
      <c r="L97" s="1" t="s">
        <v>71</v>
      </c>
      <c r="M97" s="35">
        <v>256779417566</v>
      </c>
      <c r="N97" s="1" t="s">
        <v>72</v>
      </c>
      <c r="O97" s="1" t="s">
        <v>73</v>
      </c>
      <c r="P97" s="1" t="s">
        <v>74</v>
      </c>
      <c r="Q97" s="1" t="s">
        <v>83</v>
      </c>
      <c r="R97" s="1" t="s">
        <v>76</v>
      </c>
      <c r="S97" s="12">
        <v>75.5</v>
      </c>
      <c r="T97" s="1" t="s">
        <v>77</v>
      </c>
      <c r="U97" s="12">
        <v>6607.33</v>
      </c>
      <c r="V97" s="1" t="s">
        <v>78</v>
      </c>
      <c r="W97" s="1" t="s">
        <v>79</v>
      </c>
      <c r="X97" s="1" t="s">
        <v>74</v>
      </c>
      <c r="Y97" s="1" t="s">
        <v>199</v>
      </c>
      <c r="Z97" s="1" t="s">
        <v>80</v>
      </c>
      <c r="AA97" s="1" t="s">
        <v>200</v>
      </c>
      <c r="AB97" s="1" t="s">
        <v>74</v>
      </c>
      <c r="AC97" s="1" t="s">
        <v>74</v>
      </c>
      <c r="AD97" s="1" t="s">
        <v>74</v>
      </c>
      <c r="AE97" s="11">
        <v>45918</v>
      </c>
      <c r="AF97" s="11"/>
      <c r="AG97" s="1" t="s">
        <v>74</v>
      </c>
      <c r="AJ97" cm="1">
        <f t="array" ref="AJ97:AK97">_xlfn.XLOOKUP(M97,'Customer Data Vlookup'!$L:$L,'Customer Data Vlookup'!$M:$N,,0)</f>
        <v>0</v>
      </c>
      <c r="AK97" s="47">
        <v>6432.3032999999996</v>
      </c>
      <c r="AL97" s="47">
        <f t="shared" si="10"/>
        <v>6432.3032999999996</v>
      </c>
      <c r="AM97" s="58">
        <f t="shared" si="11"/>
        <v>175.02670000000035</v>
      </c>
    </row>
    <row r="98" spans="1:39" x14ac:dyDescent="0.35">
      <c r="A98" s="1" t="s">
        <v>124</v>
      </c>
      <c r="B98" s="1" t="s">
        <v>67</v>
      </c>
      <c r="C98" s="1" t="s">
        <v>68</v>
      </c>
      <c r="D98" s="1" t="s">
        <v>69</v>
      </c>
      <c r="E98" s="1" t="s">
        <v>17</v>
      </c>
      <c r="F98" s="1" t="s">
        <v>192</v>
      </c>
      <c r="G98" s="11">
        <v>45918</v>
      </c>
      <c r="H98" s="25">
        <v>1800012943</v>
      </c>
      <c r="I98" s="1" t="s">
        <v>9</v>
      </c>
      <c r="J98" s="11">
        <v>45918</v>
      </c>
      <c r="K98" s="11">
        <v>45922</v>
      </c>
      <c r="L98" s="1" t="s">
        <v>71</v>
      </c>
      <c r="M98" s="35">
        <v>256779417582</v>
      </c>
      <c r="N98" s="1" t="s">
        <v>72</v>
      </c>
      <c r="O98" s="1" t="s">
        <v>73</v>
      </c>
      <c r="P98" s="1" t="s">
        <v>74</v>
      </c>
      <c r="Q98" s="1" t="s">
        <v>83</v>
      </c>
      <c r="R98" s="1" t="s">
        <v>76</v>
      </c>
      <c r="S98" s="12">
        <v>80.8</v>
      </c>
      <c r="T98" s="1" t="s">
        <v>77</v>
      </c>
      <c r="U98" s="12">
        <v>7071.16</v>
      </c>
      <c r="V98" s="1" t="s">
        <v>78</v>
      </c>
      <c r="W98" s="1" t="s">
        <v>79</v>
      </c>
      <c r="X98" s="1" t="s">
        <v>74</v>
      </c>
      <c r="Y98" s="1" t="s">
        <v>201</v>
      </c>
      <c r="Z98" s="1" t="s">
        <v>80</v>
      </c>
      <c r="AA98" s="1" t="s">
        <v>202</v>
      </c>
      <c r="AB98" s="1" t="s">
        <v>74</v>
      </c>
      <c r="AC98" s="1" t="s">
        <v>74</v>
      </c>
      <c r="AD98" s="1" t="s">
        <v>74</v>
      </c>
      <c r="AE98" s="11">
        <v>45918</v>
      </c>
      <c r="AF98" s="11"/>
      <c r="AG98" s="1" t="s">
        <v>74</v>
      </c>
      <c r="AJ98" cm="1">
        <f t="array" ref="AJ98:AK98">_xlfn.XLOOKUP(M98,'Customer Data Vlookup'!$L:$L,'Customer Data Vlookup'!$M:$N,,0)</f>
        <v>0</v>
      </c>
      <c r="AK98" s="47">
        <v>6896.1292000000003</v>
      </c>
      <c r="AL98" s="47">
        <f t="shared" si="10"/>
        <v>6896.1292000000003</v>
      </c>
      <c r="AM98" s="58">
        <f t="shared" si="11"/>
        <v>175.03079999999954</v>
      </c>
    </row>
    <row r="99" spans="1:39" x14ac:dyDescent="0.35">
      <c r="A99" s="1" t="s">
        <v>124</v>
      </c>
      <c r="B99" s="1" t="s">
        <v>67</v>
      </c>
      <c r="C99" s="1" t="s">
        <v>68</v>
      </c>
      <c r="D99" s="1" t="s">
        <v>69</v>
      </c>
      <c r="E99" s="1" t="s">
        <v>17</v>
      </c>
      <c r="F99" s="1" t="s">
        <v>203</v>
      </c>
      <c r="G99" s="11">
        <v>45996</v>
      </c>
      <c r="H99" s="25">
        <v>1800015346</v>
      </c>
      <c r="I99" s="1" t="s">
        <v>9</v>
      </c>
      <c r="J99" s="11">
        <v>45996</v>
      </c>
      <c r="K99" s="11">
        <v>46000</v>
      </c>
      <c r="L99" s="1" t="s">
        <v>71</v>
      </c>
      <c r="M99" s="35">
        <v>256779419795</v>
      </c>
      <c r="N99" s="1" t="s">
        <v>72</v>
      </c>
      <c r="O99" s="1" t="s">
        <v>73</v>
      </c>
      <c r="P99" s="1" t="s">
        <v>74</v>
      </c>
      <c r="Q99" s="1" t="s">
        <v>83</v>
      </c>
      <c r="R99" s="1" t="s">
        <v>76</v>
      </c>
      <c r="S99" s="12">
        <v>356.26</v>
      </c>
      <c r="T99" s="1" t="s">
        <v>77</v>
      </c>
      <c r="U99" s="12">
        <v>31600.31</v>
      </c>
      <c r="V99" s="1" t="s">
        <v>78</v>
      </c>
      <c r="W99" s="1" t="s">
        <v>79</v>
      </c>
      <c r="X99" s="1" t="s">
        <v>74</v>
      </c>
      <c r="Y99" s="1" t="s">
        <v>204</v>
      </c>
      <c r="Z99" s="1" t="s">
        <v>80</v>
      </c>
      <c r="AA99" s="1" t="s">
        <v>205</v>
      </c>
      <c r="AB99" s="1" t="s">
        <v>74</v>
      </c>
      <c r="AC99" s="1" t="s">
        <v>74</v>
      </c>
      <c r="AD99" s="1" t="s">
        <v>74</v>
      </c>
      <c r="AE99" s="11">
        <v>45996</v>
      </c>
      <c r="AF99" s="11"/>
      <c r="AG99" s="1" t="s">
        <v>74</v>
      </c>
      <c r="AJ99" cm="1">
        <f t="array" ref="AJ99:AK99">_xlfn.XLOOKUP(M99,'Customer Data Vlookup'!$L:$L,'Customer Data Vlookup'!$M:$N,,0)</f>
        <v>0</v>
      </c>
      <c r="AK99" s="47">
        <v>28407.106800000001</v>
      </c>
      <c r="AL99" s="47">
        <f t="shared" si="10"/>
        <v>28407.106800000001</v>
      </c>
      <c r="AM99" s="58">
        <f t="shared" si="11"/>
        <v>3193.2031999999999</v>
      </c>
    </row>
    <row r="100" spans="1:39" x14ac:dyDescent="0.35">
      <c r="A100" s="1" t="s">
        <v>124</v>
      </c>
      <c r="B100" s="1" t="s">
        <v>67</v>
      </c>
      <c r="C100" s="1" t="s">
        <v>68</v>
      </c>
      <c r="D100" s="1" t="s">
        <v>69</v>
      </c>
      <c r="E100" s="1" t="s">
        <v>17</v>
      </c>
      <c r="F100" s="1" t="s">
        <v>203</v>
      </c>
      <c r="G100" s="11">
        <v>45996</v>
      </c>
      <c r="H100" s="25">
        <v>1800015287</v>
      </c>
      <c r="I100" s="1" t="s">
        <v>9</v>
      </c>
      <c r="J100" s="11">
        <v>45996</v>
      </c>
      <c r="K100" s="11">
        <v>46000</v>
      </c>
      <c r="L100" s="1" t="s">
        <v>71</v>
      </c>
      <c r="M100" s="35">
        <v>256779419916</v>
      </c>
      <c r="N100" s="1" t="s">
        <v>72</v>
      </c>
      <c r="O100" s="1" t="s">
        <v>73</v>
      </c>
      <c r="P100" s="1" t="s">
        <v>74</v>
      </c>
      <c r="Q100" s="1" t="s">
        <v>83</v>
      </c>
      <c r="R100" s="1" t="s">
        <v>76</v>
      </c>
      <c r="S100" s="12">
        <v>128.31</v>
      </c>
      <c r="T100" s="1" t="s">
        <v>77</v>
      </c>
      <c r="U100" s="12">
        <v>11381.11</v>
      </c>
      <c r="V100" s="1" t="s">
        <v>78</v>
      </c>
      <c r="W100" s="1" t="s">
        <v>79</v>
      </c>
      <c r="X100" s="1" t="s">
        <v>74</v>
      </c>
      <c r="Y100" s="1" t="s">
        <v>206</v>
      </c>
      <c r="Z100" s="1" t="s">
        <v>80</v>
      </c>
      <c r="AA100" s="1" t="s">
        <v>207</v>
      </c>
      <c r="AB100" s="1" t="s">
        <v>74</v>
      </c>
      <c r="AC100" s="1" t="s">
        <v>74</v>
      </c>
      <c r="AD100" s="1" t="s">
        <v>74</v>
      </c>
      <c r="AE100" s="11">
        <v>45996</v>
      </c>
      <c r="AF100" s="11"/>
      <c r="AG100" s="1" t="s">
        <v>74</v>
      </c>
      <c r="AJ100" cm="1">
        <f t="array" ref="AJ100:AK100">_xlfn.XLOOKUP(M100,'Customer Data Vlookup'!$L:$L,'Customer Data Vlookup'!$M:$N,,0)</f>
        <v>0</v>
      </c>
      <c r="AK100" s="47">
        <v>11115.014499999999</v>
      </c>
      <c r="AL100" s="47">
        <f t="shared" si="10"/>
        <v>11115.014499999999</v>
      </c>
      <c r="AM100" s="58">
        <f t="shared" si="11"/>
        <v>266.09550000000127</v>
      </c>
    </row>
    <row r="101" spans="1:39" hidden="1" x14ac:dyDescent="0.35">
      <c r="A101" s="1" t="s">
        <v>66</v>
      </c>
      <c r="B101" s="1" t="s">
        <v>67</v>
      </c>
      <c r="C101" s="1" t="s">
        <v>68</v>
      </c>
      <c r="D101" s="1" t="s">
        <v>69</v>
      </c>
      <c r="E101" s="1" t="s">
        <v>17</v>
      </c>
      <c r="F101" s="1" t="s">
        <v>125</v>
      </c>
      <c r="G101" s="11">
        <v>45799</v>
      </c>
      <c r="H101" s="25">
        <v>1600001068</v>
      </c>
      <c r="I101" s="1" t="s">
        <v>8</v>
      </c>
      <c r="J101" s="11">
        <v>45799</v>
      </c>
      <c r="K101" s="11">
        <v>45800</v>
      </c>
      <c r="L101" s="1" t="s">
        <v>71</v>
      </c>
      <c r="M101" s="35">
        <v>256779420756</v>
      </c>
      <c r="N101" s="1" t="s">
        <v>72</v>
      </c>
      <c r="O101" s="1" t="s">
        <v>73</v>
      </c>
      <c r="P101" s="1" t="s">
        <v>74</v>
      </c>
      <c r="Q101" s="1" t="s">
        <v>75</v>
      </c>
      <c r="R101" s="1" t="s">
        <v>76</v>
      </c>
      <c r="S101" s="12">
        <v>-500.63</v>
      </c>
      <c r="T101" s="1" t="s">
        <v>77</v>
      </c>
      <c r="U101" s="12">
        <v>-43400.25</v>
      </c>
      <c r="V101" s="1" t="s">
        <v>78</v>
      </c>
      <c r="W101" s="1" t="s">
        <v>79</v>
      </c>
      <c r="X101" s="1" t="s">
        <v>74</v>
      </c>
      <c r="Y101" s="1" t="s">
        <v>71</v>
      </c>
      <c r="Z101" s="1" t="s">
        <v>80</v>
      </c>
      <c r="AA101" s="1" t="s">
        <v>208</v>
      </c>
      <c r="AB101" s="1" t="s">
        <v>74</v>
      </c>
      <c r="AC101" s="1" t="s">
        <v>74</v>
      </c>
      <c r="AD101" s="1" t="s">
        <v>74</v>
      </c>
      <c r="AE101" s="11">
        <v>45799</v>
      </c>
      <c r="AF101" s="11">
        <v>45842</v>
      </c>
      <c r="AG101" s="1" t="s">
        <v>209</v>
      </c>
      <c r="AJ101" s="5" t="e" cm="1">
        <f t="array" ref="AJ101">_xlfn.XLOOKUP(M101,'Customer Data Vlookup'!$L:$L,'Customer Data Vlookup'!$M:$N,,0)</f>
        <v>#N/A</v>
      </c>
    </row>
    <row r="102" spans="1:39" x14ac:dyDescent="0.35">
      <c r="A102" s="1" t="s">
        <v>124</v>
      </c>
      <c r="B102" s="1" t="s">
        <v>67</v>
      </c>
      <c r="C102" s="1" t="s">
        <v>68</v>
      </c>
      <c r="D102" s="1" t="s">
        <v>69</v>
      </c>
      <c r="E102" s="1" t="s">
        <v>17</v>
      </c>
      <c r="F102" s="1" t="s">
        <v>129</v>
      </c>
      <c r="G102" s="11">
        <v>45770</v>
      </c>
      <c r="H102" s="25">
        <v>1800008035</v>
      </c>
      <c r="I102" s="1" t="s">
        <v>9</v>
      </c>
      <c r="J102" s="11">
        <v>45770</v>
      </c>
      <c r="K102" s="11">
        <v>45776</v>
      </c>
      <c r="L102" s="1" t="s">
        <v>71</v>
      </c>
      <c r="M102" s="35">
        <v>256779412926</v>
      </c>
      <c r="N102" s="1" t="s">
        <v>72</v>
      </c>
      <c r="O102" s="1" t="s">
        <v>73</v>
      </c>
      <c r="P102" s="1" t="s">
        <v>74</v>
      </c>
      <c r="Q102" s="1" t="s">
        <v>83</v>
      </c>
      <c r="R102" s="1" t="s">
        <v>76</v>
      </c>
      <c r="S102" s="12">
        <v>22.5</v>
      </c>
      <c r="T102" s="1" t="s">
        <v>77</v>
      </c>
      <c r="U102" s="12">
        <v>1955.74</v>
      </c>
      <c r="V102" s="1" t="s">
        <v>78</v>
      </c>
      <c r="W102" s="1" t="s">
        <v>79</v>
      </c>
      <c r="X102" s="1" t="s">
        <v>74</v>
      </c>
      <c r="Y102" s="1" t="s">
        <v>71</v>
      </c>
      <c r="Z102" s="1" t="s">
        <v>80</v>
      </c>
      <c r="AA102" s="1" t="s">
        <v>210</v>
      </c>
      <c r="AB102" s="1" t="s">
        <v>74</v>
      </c>
      <c r="AC102" s="1" t="s">
        <v>74</v>
      </c>
      <c r="AD102" s="1" t="s">
        <v>74</v>
      </c>
      <c r="AE102" s="11">
        <v>45770</v>
      </c>
      <c r="AF102" s="11"/>
      <c r="AG102" s="1" t="s">
        <v>74</v>
      </c>
      <c r="AJ102" cm="1">
        <f t="array" ref="AJ102:AK102">_xlfn.XLOOKUP(M102,'Customer Data Vlookup'!$L:$L,'Customer Data Vlookup'!$M:$N,,0)</f>
        <v>0</v>
      </c>
      <c r="AK102" s="47">
        <v>1878</v>
      </c>
      <c r="AL102" s="47">
        <f t="shared" ref="AL102:AL108" si="12">AK102-AJ102</f>
        <v>1878</v>
      </c>
      <c r="AM102" s="58">
        <f t="shared" ref="AM102:AM108" si="13">U102-AL102</f>
        <v>77.740000000000009</v>
      </c>
    </row>
    <row r="103" spans="1:39" x14ac:dyDescent="0.35">
      <c r="A103" s="1" t="s">
        <v>124</v>
      </c>
      <c r="B103" s="1" t="s">
        <v>67</v>
      </c>
      <c r="C103" s="1" t="s">
        <v>68</v>
      </c>
      <c r="D103" s="1" t="s">
        <v>69</v>
      </c>
      <c r="E103" s="1" t="s">
        <v>17</v>
      </c>
      <c r="F103" s="1" t="s">
        <v>129</v>
      </c>
      <c r="G103" s="11">
        <v>45770</v>
      </c>
      <c r="H103" s="25">
        <v>1800008050</v>
      </c>
      <c r="I103" s="1" t="s">
        <v>9</v>
      </c>
      <c r="J103" s="11">
        <v>45770</v>
      </c>
      <c r="K103" s="11">
        <v>45776</v>
      </c>
      <c r="L103" s="1" t="s">
        <v>71</v>
      </c>
      <c r="M103" s="35">
        <v>256779412941</v>
      </c>
      <c r="N103" s="1" t="s">
        <v>72</v>
      </c>
      <c r="O103" s="1" t="s">
        <v>73</v>
      </c>
      <c r="P103" s="1" t="s">
        <v>74</v>
      </c>
      <c r="Q103" s="1" t="s">
        <v>83</v>
      </c>
      <c r="R103" s="1" t="s">
        <v>76</v>
      </c>
      <c r="S103" s="12">
        <v>321.75</v>
      </c>
      <c r="T103" s="1" t="s">
        <v>77</v>
      </c>
      <c r="U103" s="12">
        <v>27967.1</v>
      </c>
      <c r="V103" s="1" t="s">
        <v>78</v>
      </c>
      <c r="W103" s="1" t="s">
        <v>79</v>
      </c>
      <c r="X103" s="1" t="s">
        <v>74</v>
      </c>
      <c r="Y103" s="1" t="s">
        <v>71</v>
      </c>
      <c r="Z103" s="1" t="s">
        <v>80</v>
      </c>
      <c r="AA103" s="1" t="s">
        <v>211</v>
      </c>
      <c r="AB103" s="1" t="s">
        <v>74</v>
      </c>
      <c r="AC103" s="1" t="s">
        <v>74</v>
      </c>
      <c r="AD103" s="1" t="s">
        <v>74</v>
      </c>
      <c r="AE103" s="11">
        <v>45770</v>
      </c>
      <c r="AF103" s="11"/>
      <c r="AG103" s="1" t="s">
        <v>74</v>
      </c>
      <c r="AJ103" cm="1">
        <f t="array" ref="AJ103:AK103">_xlfn.XLOOKUP(M103,'Customer Data Vlookup'!$L:$L,'Customer Data Vlookup'!$M:$N,,0)</f>
        <v>0</v>
      </c>
      <c r="AK103" s="47">
        <v>27408</v>
      </c>
      <c r="AL103" s="47">
        <f t="shared" si="12"/>
        <v>27408</v>
      </c>
      <c r="AM103" s="58">
        <f t="shared" si="13"/>
        <v>559.09999999999854</v>
      </c>
    </row>
    <row r="104" spans="1:39" x14ac:dyDescent="0.35">
      <c r="A104" s="1" t="s">
        <v>124</v>
      </c>
      <c r="B104" s="1" t="s">
        <v>67</v>
      </c>
      <c r="C104" s="1" t="s">
        <v>68</v>
      </c>
      <c r="D104" s="1" t="s">
        <v>69</v>
      </c>
      <c r="E104" s="1" t="s">
        <v>17</v>
      </c>
      <c r="F104" s="1" t="s">
        <v>129</v>
      </c>
      <c r="G104" s="11">
        <v>45770</v>
      </c>
      <c r="H104" s="25">
        <v>1800008059</v>
      </c>
      <c r="I104" s="1" t="s">
        <v>9</v>
      </c>
      <c r="J104" s="11">
        <v>45770</v>
      </c>
      <c r="K104" s="11">
        <v>45776</v>
      </c>
      <c r="L104" s="1" t="s">
        <v>71</v>
      </c>
      <c r="M104" s="35">
        <v>256779412950</v>
      </c>
      <c r="N104" s="1" t="s">
        <v>72</v>
      </c>
      <c r="O104" s="1" t="s">
        <v>73</v>
      </c>
      <c r="P104" s="1" t="s">
        <v>74</v>
      </c>
      <c r="Q104" s="1" t="s">
        <v>83</v>
      </c>
      <c r="R104" s="1" t="s">
        <v>76</v>
      </c>
      <c r="S104" s="12">
        <v>155.1</v>
      </c>
      <c r="T104" s="1" t="s">
        <v>77</v>
      </c>
      <c r="U104" s="12">
        <v>13481.57</v>
      </c>
      <c r="V104" s="1" t="s">
        <v>78</v>
      </c>
      <c r="W104" s="1" t="s">
        <v>79</v>
      </c>
      <c r="X104" s="1" t="s">
        <v>74</v>
      </c>
      <c r="Y104" s="1" t="s">
        <v>71</v>
      </c>
      <c r="Z104" s="1" t="s">
        <v>80</v>
      </c>
      <c r="AA104" s="1" t="s">
        <v>210</v>
      </c>
      <c r="AB104" s="1" t="s">
        <v>74</v>
      </c>
      <c r="AC104" s="1" t="s">
        <v>74</v>
      </c>
      <c r="AD104" s="1" t="s">
        <v>74</v>
      </c>
      <c r="AE104" s="11">
        <v>45770</v>
      </c>
      <c r="AF104" s="11"/>
      <c r="AG104" s="1" t="s">
        <v>74</v>
      </c>
      <c r="AJ104" cm="1">
        <f t="array" ref="AJ104:AK104">_xlfn.XLOOKUP(M104,'Customer Data Vlookup'!$L:$L,'Customer Data Vlookup'!$M:$N,,0)</f>
        <v>0</v>
      </c>
      <c r="AK104" s="47">
        <v>13211</v>
      </c>
      <c r="AL104" s="47">
        <f t="shared" si="12"/>
        <v>13211</v>
      </c>
      <c r="AM104" s="58">
        <f t="shared" si="13"/>
        <v>270.56999999999971</v>
      </c>
    </row>
    <row r="105" spans="1:39" x14ac:dyDescent="0.35">
      <c r="A105" s="1" t="s">
        <v>66</v>
      </c>
      <c r="B105" s="1" t="s">
        <v>67</v>
      </c>
      <c r="C105" s="1" t="s">
        <v>68</v>
      </c>
      <c r="D105" s="1" t="s">
        <v>69</v>
      </c>
      <c r="E105" s="1" t="s">
        <v>17</v>
      </c>
      <c r="F105" s="1" t="s">
        <v>129</v>
      </c>
      <c r="G105" s="11">
        <v>45770</v>
      </c>
      <c r="H105" s="25">
        <v>1800007801</v>
      </c>
      <c r="I105" s="1" t="s">
        <v>9</v>
      </c>
      <c r="J105" s="11">
        <v>45770</v>
      </c>
      <c r="K105" s="11">
        <v>45773</v>
      </c>
      <c r="L105" s="1" t="s">
        <v>71</v>
      </c>
      <c r="M105" s="35">
        <v>256779412692</v>
      </c>
      <c r="N105" s="1" t="s">
        <v>72</v>
      </c>
      <c r="O105" s="1" t="s">
        <v>73</v>
      </c>
      <c r="P105" s="1" t="s">
        <v>74</v>
      </c>
      <c r="Q105" s="1" t="s">
        <v>83</v>
      </c>
      <c r="R105" s="1" t="s">
        <v>76</v>
      </c>
      <c r="S105" s="12">
        <v>70</v>
      </c>
      <c r="T105" s="1" t="s">
        <v>77</v>
      </c>
      <c r="U105" s="12">
        <v>6084.53</v>
      </c>
      <c r="V105" s="1" t="s">
        <v>78</v>
      </c>
      <c r="W105" s="1" t="s">
        <v>79</v>
      </c>
      <c r="X105" s="1" t="s">
        <v>74</v>
      </c>
      <c r="Y105" s="1" t="s">
        <v>71</v>
      </c>
      <c r="Z105" s="1" t="s">
        <v>80</v>
      </c>
      <c r="AA105" s="1" t="s">
        <v>212</v>
      </c>
      <c r="AB105" s="1" t="s">
        <v>74</v>
      </c>
      <c r="AC105" s="1" t="s">
        <v>74</v>
      </c>
      <c r="AD105" s="1" t="s">
        <v>74</v>
      </c>
      <c r="AE105" s="11">
        <v>45770</v>
      </c>
      <c r="AF105" s="11">
        <v>45976</v>
      </c>
      <c r="AG105" s="1" t="s">
        <v>101</v>
      </c>
      <c r="AJ105" cm="1">
        <f t="array" ref="AJ105:AK105">_xlfn.XLOOKUP(M105,'Customer Data Vlookup'!$L:$L,'Customer Data Vlookup'!$M:$N,,0)</f>
        <v>0</v>
      </c>
      <c r="AK105" s="47">
        <v>6084</v>
      </c>
      <c r="AL105" s="47">
        <f t="shared" si="12"/>
        <v>6084</v>
      </c>
      <c r="AM105" s="58">
        <f t="shared" si="13"/>
        <v>0.52999999999974534</v>
      </c>
    </row>
    <row r="106" spans="1:39" x14ac:dyDescent="0.35">
      <c r="A106" s="1" t="s">
        <v>124</v>
      </c>
      <c r="B106" s="1" t="s">
        <v>67</v>
      </c>
      <c r="C106" s="1" t="s">
        <v>68</v>
      </c>
      <c r="D106" s="1" t="s">
        <v>69</v>
      </c>
      <c r="E106" s="1" t="s">
        <v>17</v>
      </c>
      <c r="F106" s="1" t="s">
        <v>213</v>
      </c>
      <c r="G106" s="11">
        <v>45709</v>
      </c>
      <c r="H106" s="25">
        <v>1800000353</v>
      </c>
      <c r="I106" s="1" t="s">
        <v>9</v>
      </c>
      <c r="J106" s="11">
        <v>45709</v>
      </c>
      <c r="K106" s="11">
        <v>45716</v>
      </c>
      <c r="L106" s="1" t="s">
        <v>71</v>
      </c>
      <c r="M106" s="35">
        <v>246779410327</v>
      </c>
      <c r="N106" s="1" t="s">
        <v>72</v>
      </c>
      <c r="O106" s="1" t="s">
        <v>73</v>
      </c>
      <c r="P106" s="1" t="s">
        <v>74</v>
      </c>
      <c r="Q106" s="1" t="s">
        <v>83</v>
      </c>
      <c r="R106" s="1" t="s">
        <v>76</v>
      </c>
      <c r="S106" s="12">
        <v>211.97</v>
      </c>
      <c r="T106" s="1" t="s">
        <v>77</v>
      </c>
      <c r="U106" s="12">
        <v>18293.79</v>
      </c>
      <c r="V106" s="1" t="s">
        <v>78</v>
      </c>
      <c r="W106" s="1" t="s">
        <v>79</v>
      </c>
      <c r="X106" s="1" t="s">
        <v>74</v>
      </c>
      <c r="Y106" s="1" t="s">
        <v>71</v>
      </c>
      <c r="Z106" s="1" t="s">
        <v>80</v>
      </c>
      <c r="AA106" s="1" t="s">
        <v>214</v>
      </c>
      <c r="AB106" s="1" t="s">
        <v>74</v>
      </c>
      <c r="AC106" s="1" t="s">
        <v>74</v>
      </c>
      <c r="AD106" s="1" t="s">
        <v>74</v>
      </c>
      <c r="AE106" s="11">
        <v>45709</v>
      </c>
      <c r="AF106" s="11"/>
      <c r="AG106" s="1" t="s">
        <v>74</v>
      </c>
      <c r="AJ106" cm="1">
        <f t="array" ref="AJ106:AK106">_xlfn.XLOOKUP(M106,'Customer Data Vlookup'!$L:$L,'Customer Data Vlookup'!$M:$N,,0)</f>
        <v>0</v>
      </c>
      <c r="AK106" s="47">
        <v>16480.710999999999</v>
      </c>
      <c r="AL106" s="47">
        <f t="shared" si="12"/>
        <v>16480.710999999999</v>
      </c>
      <c r="AM106" s="58">
        <f t="shared" si="13"/>
        <v>1813.0790000000015</v>
      </c>
    </row>
    <row r="107" spans="1:39" x14ac:dyDescent="0.35">
      <c r="A107" s="1" t="s">
        <v>124</v>
      </c>
      <c r="B107" s="1" t="s">
        <v>67</v>
      </c>
      <c r="C107" s="1" t="s">
        <v>68</v>
      </c>
      <c r="D107" s="1" t="s">
        <v>69</v>
      </c>
      <c r="E107" s="1" t="s">
        <v>17</v>
      </c>
      <c r="F107" s="1" t="s">
        <v>166</v>
      </c>
      <c r="G107" s="11">
        <v>45737</v>
      </c>
      <c r="H107" s="25">
        <v>1800004449</v>
      </c>
      <c r="I107" s="1" t="s">
        <v>9</v>
      </c>
      <c r="J107" s="11">
        <v>45737</v>
      </c>
      <c r="K107" s="11">
        <v>45737</v>
      </c>
      <c r="L107" s="1" t="s">
        <v>71</v>
      </c>
      <c r="M107" s="35">
        <v>246779414317</v>
      </c>
      <c r="N107" s="1" t="s">
        <v>72</v>
      </c>
      <c r="O107" s="1" t="s">
        <v>73</v>
      </c>
      <c r="P107" s="1" t="s">
        <v>74</v>
      </c>
      <c r="Q107" s="1" t="s">
        <v>83</v>
      </c>
      <c r="R107" s="1" t="s">
        <v>76</v>
      </c>
      <c r="S107" s="12">
        <v>25</v>
      </c>
      <c r="T107" s="1" t="s">
        <v>77</v>
      </c>
      <c r="U107" s="12">
        <v>2167.2800000000002</v>
      </c>
      <c r="V107" s="1" t="s">
        <v>78</v>
      </c>
      <c r="W107" s="1" t="s">
        <v>79</v>
      </c>
      <c r="X107" s="1" t="s">
        <v>74</v>
      </c>
      <c r="Y107" s="1" t="s">
        <v>71</v>
      </c>
      <c r="Z107" s="1" t="s">
        <v>80</v>
      </c>
      <c r="AA107" s="1" t="s">
        <v>215</v>
      </c>
      <c r="AB107" s="1" t="s">
        <v>74</v>
      </c>
      <c r="AC107" s="1" t="s">
        <v>74</v>
      </c>
      <c r="AD107" s="1" t="s">
        <v>74</v>
      </c>
      <c r="AE107" s="11">
        <v>45737</v>
      </c>
      <c r="AF107" s="11"/>
      <c r="AG107" s="1" t="s">
        <v>74</v>
      </c>
      <c r="AJ107" cm="1">
        <f t="array" ref="AJ107:AK107">_xlfn.XLOOKUP(M107,'Customer Data Vlookup'!$L:$L,'Customer Data Vlookup'!$M:$N,,0)</f>
        <v>0</v>
      </c>
      <c r="AK107" s="47">
        <v>1907</v>
      </c>
      <c r="AL107" s="47">
        <f t="shared" si="12"/>
        <v>1907</v>
      </c>
      <c r="AM107" s="58">
        <f t="shared" si="13"/>
        <v>260.2800000000002</v>
      </c>
    </row>
    <row r="108" spans="1:39" x14ac:dyDescent="0.35">
      <c r="A108" s="1" t="s">
        <v>124</v>
      </c>
      <c r="B108" s="1" t="s">
        <v>67</v>
      </c>
      <c r="C108" s="1" t="s">
        <v>68</v>
      </c>
      <c r="D108" s="1" t="s">
        <v>69</v>
      </c>
      <c r="E108" s="1" t="s">
        <v>17</v>
      </c>
      <c r="F108" s="1" t="s">
        <v>141</v>
      </c>
      <c r="G108" s="11">
        <v>45938</v>
      </c>
      <c r="H108" s="25">
        <v>1800013487</v>
      </c>
      <c r="I108" s="1" t="s">
        <v>9</v>
      </c>
      <c r="J108" s="11">
        <v>45938</v>
      </c>
      <c r="K108" s="11">
        <v>45939</v>
      </c>
      <c r="L108" s="1" t="s">
        <v>71</v>
      </c>
      <c r="M108" s="35">
        <v>256779418103</v>
      </c>
      <c r="N108" s="1" t="s">
        <v>72</v>
      </c>
      <c r="O108" s="1" t="s">
        <v>73</v>
      </c>
      <c r="P108" s="1" t="s">
        <v>74</v>
      </c>
      <c r="Q108" s="1" t="s">
        <v>83</v>
      </c>
      <c r="R108" s="1" t="s">
        <v>76</v>
      </c>
      <c r="S108" s="12">
        <v>11.26</v>
      </c>
      <c r="T108" s="1" t="s">
        <v>77</v>
      </c>
      <c r="U108" s="12">
        <v>993.03</v>
      </c>
      <c r="V108" s="1" t="s">
        <v>78</v>
      </c>
      <c r="W108" s="1" t="s">
        <v>79</v>
      </c>
      <c r="X108" s="1" t="s">
        <v>74</v>
      </c>
      <c r="Y108" s="1" t="s">
        <v>216</v>
      </c>
      <c r="Z108" s="1" t="s">
        <v>80</v>
      </c>
      <c r="AA108" s="1" t="s">
        <v>217</v>
      </c>
      <c r="AB108" s="1" t="s">
        <v>74</v>
      </c>
      <c r="AC108" s="1" t="s">
        <v>74</v>
      </c>
      <c r="AD108" s="1" t="s">
        <v>74</v>
      </c>
      <c r="AE108" s="11">
        <v>45938</v>
      </c>
      <c r="AF108" s="11"/>
      <c r="AG108" s="1" t="s">
        <v>74</v>
      </c>
      <c r="AJ108" cm="1">
        <f t="array" ref="AJ108:AK108">_xlfn.XLOOKUP(M108,'Customer Data Vlookup'!$L:$L,'Customer Data Vlookup'!$M:$N,,0)</f>
        <v>980</v>
      </c>
      <c r="AK108" s="47">
        <v>47157.936999999998</v>
      </c>
      <c r="AL108" s="47">
        <f t="shared" si="12"/>
        <v>46177.936999999998</v>
      </c>
      <c r="AM108" s="58">
        <f t="shared" si="13"/>
        <v>-45184.906999999999</v>
      </c>
    </row>
    <row r="109" spans="1:39" hidden="1" x14ac:dyDescent="0.35">
      <c r="A109" s="1" t="s">
        <v>124</v>
      </c>
      <c r="B109" s="1" t="s">
        <v>67</v>
      </c>
      <c r="C109" s="1" t="s">
        <v>68</v>
      </c>
      <c r="D109" s="1" t="s">
        <v>69</v>
      </c>
      <c r="E109" s="1" t="s">
        <v>17</v>
      </c>
      <c r="F109" s="1" t="s">
        <v>162</v>
      </c>
      <c r="G109" s="11">
        <v>45810</v>
      </c>
      <c r="H109" s="25">
        <v>1800009171</v>
      </c>
      <c r="I109" s="1" t="s">
        <v>9</v>
      </c>
      <c r="J109" s="11">
        <v>45810</v>
      </c>
      <c r="K109" s="11">
        <v>45810</v>
      </c>
      <c r="L109" s="1" t="s">
        <v>71</v>
      </c>
      <c r="M109" s="35">
        <v>256779413935</v>
      </c>
      <c r="N109" s="1" t="s">
        <v>72</v>
      </c>
      <c r="O109" s="1" t="s">
        <v>73</v>
      </c>
      <c r="P109" s="1" t="s">
        <v>74</v>
      </c>
      <c r="Q109" s="1" t="s">
        <v>83</v>
      </c>
      <c r="R109" s="1" t="s">
        <v>76</v>
      </c>
      <c r="S109" s="12">
        <v>590.74</v>
      </c>
      <c r="T109" s="1" t="s">
        <v>77</v>
      </c>
      <c r="U109" s="12">
        <v>50502.82</v>
      </c>
      <c r="V109" s="1" t="s">
        <v>218</v>
      </c>
      <c r="W109" s="1" t="s">
        <v>79</v>
      </c>
      <c r="X109" s="1" t="s">
        <v>74</v>
      </c>
      <c r="Y109" s="1" t="s">
        <v>71</v>
      </c>
      <c r="Z109" s="1" t="s">
        <v>80</v>
      </c>
      <c r="AA109" s="1" t="s">
        <v>219</v>
      </c>
      <c r="AB109" s="1" t="s">
        <v>74</v>
      </c>
      <c r="AC109" s="1" t="s">
        <v>74</v>
      </c>
      <c r="AD109" s="1" t="s">
        <v>74</v>
      </c>
      <c r="AE109" s="11">
        <v>45810</v>
      </c>
      <c r="AF109" s="11"/>
      <c r="AG109" s="1" t="s">
        <v>74</v>
      </c>
      <c r="AJ109" t="e" cm="1">
        <f t="array" ref="AJ109">_xlfn.XLOOKUP(M109,'Customer Data Vlookup'!$L:$L,'Customer Data Vlookup'!$M:$N,,0)</f>
        <v>#N/A</v>
      </c>
    </row>
    <row r="110" spans="1:39" x14ac:dyDescent="0.35">
      <c r="A110" s="1" t="s">
        <v>124</v>
      </c>
      <c r="B110" s="1" t="s">
        <v>67</v>
      </c>
      <c r="C110" s="1" t="s">
        <v>68</v>
      </c>
      <c r="D110" s="1" t="s">
        <v>69</v>
      </c>
      <c r="E110" s="1" t="s">
        <v>17</v>
      </c>
      <c r="F110" s="1" t="s">
        <v>141</v>
      </c>
      <c r="G110" s="11">
        <v>45937</v>
      </c>
      <c r="H110" s="25">
        <v>1800013747</v>
      </c>
      <c r="I110" s="1" t="s">
        <v>9</v>
      </c>
      <c r="J110" s="11">
        <v>45937</v>
      </c>
      <c r="K110" s="11">
        <v>45939</v>
      </c>
      <c r="L110" s="1" t="s">
        <v>71</v>
      </c>
      <c r="M110" s="35">
        <v>256779418168</v>
      </c>
      <c r="N110" s="1" t="s">
        <v>72</v>
      </c>
      <c r="O110" s="1" t="s">
        <v>73</v>
      </c>
      <c r="P110" s="1" t="s">
        <v>74</v>
      </c>
      <c r="Q110" s="1" t="s">
        <v>83</v>
      </c>
      <c r="R110" s="1" t="s">
        <v>76</v>
      </c>
      <c r="S110" s="12">
        <v>70</v>
      </c>
      <c r="T110" s="1" t="s">
        <v>77</v>
      </c>
      <c r="U110" s="12">
        <v>6173.35</v>
      </c>
      <c r="V110" s="1" t="s">
        <v>78</v>
      </c>
      <c r="W110" s="1" t="s">
        <v>79</v>
      </c>
      <c r="X110" s="1" t="s">
        <v>74</v>
      </c>
      <c r="Y110" s="1" t="s">
        <v>220</v>
      </c>
      <c r="Z110" s="1" t="s">
        <v>80</v>
      </c>
      <c r="AA110" s="1" t="s">
        <v>221</v>
      </c>
      <c r="AB110" s="1" t="s">
        <v>74</v>
      </c>
      <c r="AC110" s="1" t="s">
        <v>74</v>
      </c>
      <c r="AD110" s="1" t="s">
        <v>74</v>
      </c>
      <c r="AE110" s="11">
        <v>45937</v>
      </c>
      <c r="AF110" s="11"/>
      <c r="AG110" s="1" t="s">
        <v>74</v>
      </c>
      <c r="AJ110" cm="1">
        <f t="array" ref="AJ110:AK110">_xlfn.XLOOKUP(M110,'Customer Data Vlookup'!$L:$L,'Customer Data Vlookup'!$M:$N,,0)</f>
        <v>88</v>
      </c>
      <c r="AK110" s="47">
        <v>6173.1630999999998</v>
      </c>
      <c r="AL110" s="47">
        <f>AK110-AJ110</f>
        <v>6085.1630999999998</v>
      </c>
      <c r="AM110" s="58">
        <f>U110-AL110</f>
        <v>88.186900000000605</v>
      </c>
    </row>
    <row r="111" spans="1:39" hidden="1" x14ac:dyDescent="0.35">
      <c r="A111" s="1" t="s">
        <v>124</v>
      </c>
      <c r="B111" s="1" t="s">
        <v>67</v>
      </c>
      <c r="C111" s="1" t="s">
        <v>68</v>
      </c>
      <c r="D111" s="1" t="s">
        <v>69</v>
      </c>
      <c r="E111" s="1" t="s">
        <v>17</v>
      </c>
      <c r="F111" s="1" t="s">
        <v>141</v>
      </c>
      <c r="G111" s="11">
        <v>45937</v>
      </c>
      <c r="H111" s="25">
        <v>1800013758</v>
      </c>
      <c r="I111" s="1" t="s">
        <v>9</v>
      </c>
      <c r="J111" s="11">
        <v>45937</v>
      </c>
      <c r="K111" s="11">
        <v>45939</v>
      </c>
      <c r="L111" s="1" t="s">
        <v>71</v>
      </c>
      <c r="M111" s="35">
        <v>256779418179</v>
      </c>
      <c r="N111" s="1" t="s">
        <v>72</v>
      </c>
      <c r="O111" s="1" t="s">
        <v>73</v>
      </c>
      <c r="P111" s="1" t="s">
        <v>74</v>
      </c>
      <c r="Q111" s="1" t="s">
        <v>83</v>
      </c>
      <c r="R111" s="1" t="s">
        <v>76</v>
      </c>
      <c r="S111" s="12">
        <v>528.99</v>
      </c>
      <c r="T111" s="1" t="s">
        <v>77</v>
      </c>
      <c r="U111" s="12">
        <v>46652.04</v>
      </c>
      <c r="V111" s="1" t="s">
        <v>78</v>
      </c>
      <c r="W111" s="1" t="s">
        <v>79</v>
      </c>
      <c r="X111" s="1" t="s">
        <v>74</v>
      </c>
      <c r="Y111" s="1" t="s">
        <v>220</v>
      </c>
      <c r="Z111" s="1" t="s">
        <v>80</v>
      </c>
      <c r="AA111" s="1" t="s">
        <v>222</v>
      </c>
      <c r="AB111" s="1" t="s">
        <v>74</v>
      </c>
      <c r="AC111" s="1" t="s">
        <v>74</v>
      </c>
      <c r="AD111" s="1" t="s">
        <v>74</v>
      </c>
      <c r="AE111" s="11">
        <v>45937</v>
      </c>
      <c r="AF111" s="11"/>
      <c r="AG111" s="1" t="s">
        <v>74</v>
      </c>
      <c r="AJ111" t="e" cm="1">
        <f t="array" ref="AJ111">_xlfn.XLOOKUP(M111,'Customer Data Vlookup'!$L:$L,'Customer Data Vlookup'!$M:$N,,0)</f>
        <v>#N/A</v>
      </c>
    </row>
    <row r="112" spans="1:39" x14ac:dyDescent="0.35">
      <c r="A112" s="1" t="s">
        <v>124</v>
      </c>
      <c r="B112" s="1" t="s">
        <v>67</v>
      </c>
      <c r="C112" s="1" t="s">
        <v>68</v>
      </c>
      <c r="D112" s="1" t="s">
        <v>69</v>
      </c>
      <c r="E112" s="1" t="s">
        <v>17</v>
      </c>
      <c r="F112" s="1" t="s">
        <v>70</v>
      </c>
      <c r="G112" s="11">
        <v>45857</v>
      </c>
      <c r="H112" s="25">
        <v>1800011011</v>
      </c>
      <c r="I112" s="1" t="s">
        <v>9</v>
      </c>
      <c r="J112" s="11">
        <v>45857</v>
      </c>
      <c r="K112" s="11">
        <v>45859</v>
      </c>
      <c r="L112" s="1" t="s">
        <v>71</v>
      </c>
      <c r="M112" s="35">
        <v>256779415771</v>
      </c>
      <c r="N112" s="1" t="s">
        <v>72</v>
      </c>
      <c r="O112" s="1" t="s">
        <v>73</v>
      </c>
      <c r="P112" s="1" t="s">
        <v>74</v>
      </c>
      <c r="Q112" s="1" t="s">
        <v>83</v>
      </c>
      <c r="R112" s="1" t="s">
        <v>76</v>
      </c>
      <c r="S112" s="12">
        <v>30.76</v>
      </c>
      <c r="T112" s="1" t="s">
        <v>77</v>
      </c>
      <c r="U112" s="12">
        <v>2645.38</v>
      </c>
      <c r="V112" s="1" t="s">
        <v>78</v>
      </c>
      <c r="W112" s="1" t="s">
        <v>79</v>
      </c>
      <c r="X112" s="1" t="s">
        <v>74</v>
      </c>
      <c r="Y112" s="1" t="s">
        <v>71</v>
      </c>
      <c r="Z112" s="1" t="s">
        <v>80</v>
      </c>
      <c r="AA112" s="1" t="s">
        <v>223</v>
      </c>
      <c r="AB112" s="1" t="s">
        <v>74</v>
      </c>
      <c r="AC112" s="1" t="s">
        <v>74</v>
      </c>
      <c r="AD112" s="1" t="s">
        <v>74</v>
      </c>
      <c r="AE112" s="11">
        <v>45857</v>
      </c>
      <c r="AF112" s="11"/>
      <c r="AG112" s="1" t="s">
        <v>74</v>
      </c>
      <c r="AJ112" cm="1">
        <f t="array" ref="AJ112:AK112">_xlfn.XLOOKUP(M112,'Customer Data Vlookup'!$L:$L,'Customer Data Vlookup'!$M:$N,,0)</f>
        <v>0</v>
      </c>
      <c r="AK112" s="47">
        <v>2559.3798999999999</v>
      </c>
      <c r="AL112" s="47">
        <f t="shared" ref="AL112:AL118" si="14">AK112-AJ112</f>
        <v>2559.3798999999999</v>
      </c>
      <c r="AM112" s="58">
        <f t="shared" ref="AM112:AM118" si="15">U112-AL112</f>
        <v>86.000100000000202</v>
      </c>
    </row>
    <row r="113" spans="1:39" x14ac:dyDescent="0.35">
      <c r="A113" s="1" t="s">
        <v>124</v>
      </c>
      <c r="B113" s="1" t="s">
        <v>67</v>
      </c>
      <c r="C113" s="1" t="s">
        <v>68</v>
      </c>
      <c r="D113" s="1" t="s">
        <v>69</v>
      </c>
      <c r="E113" s="1" t="s">
        <v>17</v>
      </c>
      <c r="F113" s="1" t="s">
        <v>125</v>
      </c>
      <c r="G113" s="11">
        <v>45787</v>
      </c>
      <c r="H113" s="25">
        <v>1800008243</v>
      </c>
      <c r="I113" s="1" t="s">
        <v>9</v>
      </c>
      <c r="J113" s="11">
        <v>45787</v>
      </c>
      <c r="K113" s="11">
        <v>45791</v>
      </c>
      <c r="L113" s="1" t="s">
        <v>71</v>
      </c>
      <c r="M113" s="35">
        <v>256779413127</v>
      </c>
      <c r="N113" s="1" t="s">
        <v>72</v>
      </c>
      <c r="O113" s="1" t="s">
        <v>73</v>
      </c>
      <c r="P113" s="1" t="s">
        <v>74</v>
      </c>
      <c r="Q113" s="1" t="s">
        <v>83</v>
      </c>
      <c r="R113" s="1" t="s">
        <v>76</v>
      </c>
      <c r="S113" s="12">
        <v>456.75</v>
      </c>
      <c r="T113" s="1" t="s">
        <v>77</v>
      </c>
      <c r="U113" s="12">
        <v>39273.050000000003</v>
      </c>
      <c r="V113" s="1" t="s">
        <v>78</v>
      </c>
      <c r="W113" s="1" t="s">
        <v>79</v>
      </c>
      <c r="X113" s="1" t="s">
        <v>74</v>
      </c>
      <c r="Y113" s="1" t="s">
        <v>71</v>
      </c>
      <c r="Z113" s="1" t="s">
        <v>80</v>
      </c>
      <c r="AA113" s="1" t="s">
        <v>224</v>
      </c>
      <c r="AB113" s="1" t="s">
        <v>74</v>
      </c>
      <c r="AC113" s="1" t="s">
        <v>74</v>
      </c>
      <c r="AD113" s="1" t="s">
        <v>74</v>
      </c>
      <c r="AE113" s="11">
        <v>45787</v>
      </c>
      <c r="AF113" s="11"/>
      <c r="AG113" s="1" t="s">
        <v>74</v>
      </c>
      <c r="AJ113" cm="1">
        <f t="array" ref="AJ113:AK113">_xlfn.XLOOKUP(M113,'Customer Data Vlookup'!$L:$L,'Customer Data Vlookup'!$M:$N,,0)</f>
        <v>0</v>
      </c>
      <c r="AK113" s="47">
        <v>35097</v>
      </c>
      <c r="AL113" s="47">
        <f t="shared" si="14"/>
        <v>35097</v>
      </c>
      <c r="AM113" s="58">
        <f t="shared" si="15"/>
        <v>4176.0500000000029</v>
      </c>
    </row>
    <row r="114" spans="1:39" x14ac:dyDescent="0.35">
      <c r="A114" s="1" t="s">
        <v>124</v>
      </c>
      <c r="B114" s="1" t="s">
        <v>67</v>
      </c>
      <c r="C114" s="1" t="s">
        <v>68</v>
      </c>
      <c r="D114" s="1" t="s">
        <v>69</v>
      </c>
      <c r="E114" s="1" t="s">
        <v>17</v>
      </c>
      <c r="F114" s="1" t="s">
        <v>125</v>
      </c>
      <c r="G114" s="11">
        <v>45787</v>
      </c>
      <c r="H114" s="25">
        <v>1800008280</v>
      </c>
      <c r="I114" s="1" t="s">
        <v>9</v>
      </c>
      <c r="J114" s="11">
        <v>45787</v>
      </c>
      <c r="K114" s="11">
        <v>45792</v>
      </c>
      <c r="L114" s="1" t="s">
        <v>71</v>
      </c>
      <c r="M114" s="35">
        <v>256779413163</v>
      </c>
      <c r="N114" s="1" t="s">
        <v>72</v>
      </c>
      <c r="O114" s="1" t="s">
        <v>73</v>
      </c>
      <c r="P114" s="1" t="s">
        <v>74</v>
      </c>
      <c r="Q114" s="1" t="s">
        <v>83</v>
      </c>
      <c r="R114" s="1" t="s">
        <v>76</v>
      </c>
      <c r="S114" s="12">
        <v>190.35</v>
      </c>
      <c r="T114" s="1" t="s">
        <v>77</v>
      </c>
      <c r="U114" s="12">
        <v>16367</v>
      </c>
      <c r="V114" s="1" t="s">
        <v>78</v>
      </c>
      <c r="W114" s="1" t="s">
        <v>79</v>
      </c>
      <c r="X114" s="1" t="s">
        <v>74</v>
      </c>
      <c r="Y114" s="1" t="s">
        <v>71</v>
      </c>
      <c r="Z114" s="1" t="s">
        <v>80</v>
      </c>
      <c r="AA114" s="1" t="s">
        <v>225</v>
      </c>
      <c r="AB114" s="1" t="s">
        <v>74</v>
      </c>
      <c r="AC114" s="1" t="s">
        <v>74</v>
      </c>
      <c r="AD114" s="1" t="s">
        <v>74</v>
      </c>
      <c r="AE114" s="11">
        <v>45787</v>
      </c>
      <c r="AF114" s="11"/>
      <c r="AG114" s="1" t="s">
        <v>74</v>
      </c>
      <c r="AJ114" cm="1">
        <f t="array" ref="AJ114:AK114">_xlfn.XLOOKUP(M114,'Customer Data Vlookup'!$L:$L,'Customer Data Vlookup'!$M:$N,,0)</f>
        <v>0</v>
      </c>
      <c r="AK114" s="47">
        <v>15927</v>
      </c>
      <c r="AL114" s="47">
        <f t="shared" si="14"/>
        <v>15927</v>
      </c>
      <c r="AM114" s="58">
        <f t="shared" si="15"/>
        <v>440</v>
      </c>
    </row>
    <row r="115" spans="1:39" x14ac:dyDescent="0.35">
      <c r="A115" s="1" t="s">
        <v>124</v>
      </c>
      <c r="B115" s="1" t="s">
        <v>67</v>
      </c>
      <c r="C115" s="1" t="s">
        <v>68</v>
      </c>
      <c r="D115" s="1" t="s">
        <v>69</v>
      </c>
      <c r="E115" s="1" t="s">
        <v>17</v>
      </c>
      <c r="F115" s="1" t="s">
        <v>125</v>
      </c>
      <c r="G115" s="11">
        <v>45787</v>
      </c>
      <c r="H115" s="25">
        <v>1800008289</v>
      </c>
      <c r="I115" s="1" t="s">
        <v>9</v>
      </c>
      <c r="J115" s="11">
        <v>45787</v>
      </c>
      <c r="K115" s="11">
        <v>45792</v>
      </c>
      <c r="L115" s="1" t="s">
        <v>71</v>
      </c>
      <c r="M115" s="35">
        <v>256779413172</v>
      </c>
      <c r="N115" s="1" t="s">
        <v>72</v>
      </c>
      <c r="O115" s="1" t="s">
        <v>73</v>
      </c>
      <c r="P115" s="1" t="s">
        <v>74</v>
      </c>
      <c r="Q115" s="1" t="s">
        <v>83</v>
      </c>
      <c r="R115" s="1" t="s">
        <v>76</v>
      </c>
      <c r="S115" s="12">
        <v>138.65</v>
      </c>
      <c r="T115" s="1" t="s">
        <v>77</v>
      </c>
      <c r="U115" s="12">
        <v>11921.64</v>
      </c>
      <c r="V115" s="1" t="s">
        <v>78</v>
      </c>
      <c r="W115" s="1" t="s">
        <v>79</v>
      </c>
      <c r="X115" s="1" t="s">
        <v>74</v>
      </c>
      <c r="Y115" s="1" t="s">
        <v>71</v>
      </c>
      <c r="Z115" s="1" t="s">
        <v>80</v>
      </c>
      <c r="AA115" s="1" t="s">
        <v>226</v>
      </c>
      <c r="AB115" s="1" t="s">
        <v>74</v>
      </c>
      <c r="AC115" s="1" t="s">
        <v>74</v>
      </c>
      <c r="AD115" s="1" t="s">
        <v>74</v>
      </c>
      <c r="AE115" s="11">
        <v>45787</v>
      </c>
      <c r="AF115" s="11"/>
      <c r="AG115" s="1" t="s">
        <v>74</v>
      </c>
      <c r="AJ115" cm="1">
        <f t="array" ref="AJ115:AK115">_xlfn.XLOOKUP(M115,'Customer Data Vlookup'!$L:$L,'Customer Data Vlookup'!$M:$N,,0)</f>
        <v>0</v>
      </c>
      <c r="AK115" s="47">
        <v>11810</v>
      </c>
      <c r="AL115" s="47">
        <f t="shared" si="14"/>
        <v>11810</v>
      </c>
      <c r="AM115" s="58">
        <f t="shared" si="15"/>
        <v>111.63999999999942</v>
      </c>
    </row>
    <row r="116" spans="1:39" x14ac:dyDescent="0.35">
      <c r="A116" s="1" t="s">
        <v>124</v>
      </c>
      <c r="B116" s="1" t="s">
        <v>67</v>
      </c>
      <c r="C116" s="1" t="s">
        <v>68</v>
      </c>
      <c r="D116" s="1" t="s">
        <v>69</v>
      </c>
      <c r="E116" s="1" t="s">
        <v>17</v>
      </c>
      <c r="F116" s="1" t="s">
        <v>125</v>
      </c>
      <c r="G116" s="11">
        <v>45787</v>
      </c>
      <c r="H116" s="25">
        <v>1800008301</v>
      </c>
      <c r="I116" s="1" t="s">
        <v>9</v>
      </c>
      <c r="J116" s="11">
        <v>45787</v>
      </c>
      <c r="K116" s="11">
        <v>45792</v>
      </c>
      <c r="L116" s="1" t="s">
        <v>71</v>
      </c>
      <c r="M116" s="35">
        <v>256779413184</v>
      </c>
      <c r="N116" s="1" t="s">
        <v>72</v>
      </c>
      <c r="O116" s="1" t="s">
        <v>73</v>
      </c>
      <c r="P116" s="1" t="s">
        <v>74</v>
      </c>
      <c r="Q116" s="1" t="s">
        <v>83</v>
      </c>
      <c r="R116" s="1" t="s">
        <v>76</v>
      </c>
      <c r="S116" s="12">
        <v>151.34</v>
      </c>
      <c r="T116" s="1" t="s">
        <v>77</v>
      </c>
      <c r="U116" s="12">
        <v>13012.77</v>
      </c>
      <c r="V116" s="1" t="s">
        <v>78</v>
      </c>
      <c r="W116" s="1" t="s">
        <v>79</v>
      </c>
      <c r="X116" s="1" t="s">
        <v>74</v>
      </c>
      <c r="Y116" s="1" t="s">
        <v>71</v>
      </c>
      <c r="Z116" s="1" t="s">
        <v>80</v>
      </c>
      <c r="AA116" s="1" t="s">
        <v>227</v>
      </c>
      <c r="AB116" s="1" t="s">
        <v>74</v>
      </c>
      <c r="AC116" s="1" t="s">
        <v>74</v>
      </c>
      <c r="AD116" s="1" t="s">
        <v>74</v>
      </c>
      <c r="AE116" s="11">
        <v>45787</v>
      </c>
      <c r="AF116" s="11"/>
      <c r="AG116" s="1" t="s">
        <v>74</v>
      </c>
      <c r="AJ116" cm="1">
        <f t="array" ref="AJ116:AK116">_xlfn.XLOOKUP(M116,'Customer Data Vlookup'!$L:$L,'Customer Data Vlookup'!$M:$N,,0)</f>
        <v>0</v>
      </c>
      <c r="AK116" s="47">
        <v>11723.0177</v>
      </c>
      <c r="AL116" s="47">
        <f t="shared" si="14"/>
        <v>11723.0177</v>
      </c>
      <c r="AM116" s="58">
        <f t="shared" si="15"/>
        <v>1289.7523000000001</v>
      </c>
    </row>
    <row r="117" spans="1:39" x14ac:dyDescent="0.35">
      <c r="A117" s="1" t="s">
        <v>124</v>
      </c>
      <c r="B117" s="1" t="s">
        <v>67</v>
      </c>
      <c r="C117" s="1" t="s">
        <v>68</v>
      </c>
      <c r="D117" s="1" t="s">
        <v>69</v>
      </c>
      <c r="E117" s="1" t="s">
        <v>17</v>
      </c>
      <c r="F117" s="1" t="s">
        <v>125</v>
      </c>
      <c r="G117" s="11">
        <v>45787</v>
      </c>
      <c r="H117" s="25">
        <v>1800008360</v>
      </c>
      <c r="I117" s="1" t="s">
        <v>9</v>
      </c>
      <c r="J117" s="11">
        <v>45787</v>
      </c>
      <c r="K117" s="11">
        <v>45792</v>
      </c>
      <c r="L117" s="1" t="s">
        <v>71</v>
      </c>
      <c r="M117" s="35">
        <v>256779413243</v>
      </c>
      <c r="N117" s="1" t="s">
        <v>72</v>
      </c>
      <c r="O117" s="1" t="s">
        <v>73</v>
      </c>
      <c r="P117" s="1" t="s">
        <v>74</v>
      </c>
      <c r="Q117" s="1" t="s">
        <v>83</v>
      </c>
      <c r="R117" s="1" t="s">
        <v>76</v>
      </c>
      <c r="S117" s="12">
        <v>42.53</v>
      </c>
      <c r="T117" s="1" t="s">
        <v>77</v>
      </c>
      <c r="U117" s="12">
        <v>3656.89</v>
      </c>
      <c r="V117" s="1" t="s">
        <v>78</v>
      </c>
      <c r="W117" s="1" t="s">
        <v>79</v>
      </c>
      <c r="X117" s="1" t="s">
        <v>74</v>
      </c>
      <c r="Y117" s="1" t="s">
        <v>71</v>
      </c>
      <c r="Z117" s="1" t="s">
        <v>80</v>
      </c>
      <c r="AA117" s="1" t="s">
        <v>228</v>
      </c>
      <c r="AB117" s="1" t="s">
        <v>74</v>
      </c>
      <c r="AC117" s="1" t="s">
        <v>74</v>
      </c>
      <c r="AD117" s="1" t="s">
        <v>74</v>
      </c>
      <c r="AE117" s="11">
        <v>45787</v>
      </c>
      <c r="AF117" s="11"/>
      <c r="AG117" s="1" t="s">
        <v>74</v>
      </c>
      <c r="AJ117" cm="1">
        <f t="array" ref="AJ117:AK117">_xlfn.XLOOKUP(M117,'Customer Data Vlookup'!$L:$L,'Customer Data Vlookup'!$M:$N,,0)</f>
        <v>0</v>
      </c>
      <c r="AK117" s="47">
        <v>3623</v>
      </c>
      <c r="AL117" s="47">
        <f t="shared" si="14"/>
        <v>3623</v>
      </c>
      <c r="AM117" s="58">
        <f t="shared" si="15"/>
        <v>33.889999999999873</v>
      </c>
    </row>
    <row r="118" spans="1:39" x14ac:dyDescent="0.35">
      <c r="A118" s="1" t="s">
        <v>124</v>
      </c>
      <c r="B118" s="1" t="s">
        <v>67</v>
      </c>
      <c r="C118" s="1" t="s">
        <v>68</v>
      </c>
      <c r="D118" s="1" t="s">
        <v>69</v>
      </c>
      <c r="E118" s="1" t="s">
        <v>17</v>
      </c>
      <c r="F118" s="1" t="s">
        <v>203</v>
      </c>
      <c r="G118" s="11">
        <v>45997</v>
      </c>
      <c r="H118" s="25">
        <v>1800015437</v>
      </c>
      <c r="I118" s="1" t="s">
        <v>9</v>
      </c>
      <c r="J118" s="11">
        <v>45997</v>
      </c>
      <c r="K118" s="11">
        <v>46000</v>
      </c>
      <c r="L118" s="1" t="s">
        <v>71</v>
      </c>
      <c r="M118" s="35">
        <v>256779419933</v>
      </c>
      <c r="N118" s="1" t="s">
        <v>72</v>
      </c>
      <c r="O118" s="1" t="s">
        <v>73</v>
      </c>
      <c r="P118" s="1" t="s">
        <v>74</v>
      </c>
      <c r="Q118" s="1" t="s">
        <v>83</v>
      </c>
      <c r="R118" s="1" t="s">
        <v>76</v>
      </c>
      <c r="S118" s="12">
        <v>131.26</v>
      </c>
      <c r="T118" s="1" t="s">
        <v>77</v>
      </c>
      <c r="U118" s="12">
        <v>11642.78</v>
      </c>
      <c r="V118" s="1" t="s">
        <v>78</v>
      </c>
      <c r="W118" s="1" t="s">
        <v>79</v>
      </c>
      <c r="X118" s="1" t="s">
        <v>74</v>
      </c>
      <c r="Y118" s="1" t="s">
        <v>229</v>
      </c>
      <c r="Z118" s="1" t="s">
        <v>80</v>
      </c>
      <c r="AA118" s="1" t="s">
        <v>230</v>
      </c>
      <c r="AB118" s="1" t="s">
        <v>74</v>
      </c>
      <c r="AC118" s="1" t="s">
        <v>74</v>
      </c>
      <c r="AD118" s="1" t="s">
        <v>74</v>
      </c>
      <c r="AE118" s="11">
        <v>45997</v>
      </c>
      <c r="AF118" s="11"/>
      <c r="AG118" s="1" t="s">
        <v>74</v>
      </c>
      <c r="AJ118" cm="1">
        <f t="array" ref="AJ118:AK118">_xlfn.XLOOKUP(M118,'Customer Data Vlookup'!$L:$L,'Customer Data Vlookup'!$M:$N,,0)</f>
        <v>0</v>
      </c>
      <c r="AK118" s="47">
        <v>10489.678599999999</v>
      </c>
      <c r="AL118" s="47">
        <f t="shared" si="14"/>
        <v>10489.678599999999</v>
      </c>
      <c r="AM118" s="58">
        <f t="shared" si="15"/>
        <v>1153.1014000000014</v>
      </c>
    </row>
    <row r="119" spans="1:39" hidden="1" x14ac:dyDescent="0.35">
      <c r="A119" s="1" t="s">
        <v>124</v>
      </c>
      <c r="B119" s="1" t="s">
        <v>67</v>
      </c>
      <c r="C119" s="1" t="s">
        <v>68</v>
      </c>
      <c r="D119" s="1" t="s">
        <v>69</v>
      </c>
      <c r="E119" s="1" t="s">
        <v>17</v>
      </c>
      <c r="F119" s="1" t="s">
        <v>203</v>
      </c>
      <c r="G119" s="11">
        <v>45997</v>
      </c>
      <c r="H119" s="25">
        <v>1800015473</v>
      </c>
      <c r="I119" s="1" t="s">
        <v>9</v>
      </c>
      <c r="J119" s="11">
        <v>45997</v>
      </c>
      <c r="K119" s="11">
        <v>46000</v>
      </c>
      <c r="L119" s="1" t="s">
        <v>71</v>
      </c>
      <c r="M119" s="35">
        <v>256779419990</v>
      </c>
      <c r="N119" s="1" t="s">
        <v>72</v>
      </c>
      <c r="O119" s="1" t="s">
        <v>73</v>
      </c>
      <c r="P119" s="1" t="s">
        <v>74</v>
      </c>
      <c r="Q119" s="1" t="s">
        <v>83</v>
      </c>
      <c r="R119" s="1" t="s">
        <v>76</v>
      </c>
      <c r="S119" s="12">
        <v>429.75</v>
      </c>
      <c r="T119" s="1" t="s">
        <v>77</v>
      </c>
      <c r="U119" s="12">
        <v>38118.89</v>
      </c>
      <c r="V119" s="1" t="s">
        <v>78</v>
      </c>
      <c r="W119" s="1" t="s">
        <v>79</v>
      </c>
      <c r="X119" s="1" t="s">
        <v>74</v>
      </c>
      <c r="Y119" s="1" t="s">
        <v>231</v>
      </c>
      <c r="Z119" s="1" t="s">
        <v>80</v>
      </c>
      <c r="AA119" s="1" t="s">
        <v>232</v>
      </c>
      <c r="AB119" s="1" t="s">
        <v>74</v>
      </c>
      <c r="AC119" s="1" t="s">
        <v>74</v>
      </c>
      <c r="AD119" s="1" t="s">
        <v>74</v>
      </c>
      <c r="AE119" s="11">
        <v>45997</v>
      </c>
      <c r="AF119" s="11"/>
      <c r="AG119" s="1" t="s">
        <v>74</v>
      </c>
      <c r="AJ119" t="e" cm="1">
        <f t="array" ref="AJ119">_xlfn.XLOOKUP(M119,'Customer Data Vlookup'!$L:$L,'Customer Data Vlookup'!$M:$N,,0)</f>
        <v>#N/A</v>
      </c>
    </row>
    <row r="120" spans="1:39" x14ac:dyDescent="0.35">
      <c r="A120" s="1" t="s">
        <v>124</v>
      </c>
      <c r="B120" s="1" t="s">
        <v>67</v>
      </c>
      <c r="C120" s="1" t="s">
        <v>68</v>
      </c>
      <c r="D120" s="1" t="s">
        <v>69</v>
      </c>
      <c r="E120" s="1" t="s">
        <v>17</v>
      </c>
      <c r="F120" s="1" t="s">
        <v>141</v>
      </c>
      <c r="G120" s="11">
        <v>45948</v>
      </c>
      <c r="H120" s="25">
        <v>1800014004</v>
      </c>
      <c r="I120" s="1" t="s">
        <v>9</v>
      </c>
      <c r="J120" s="11">
        <v>45948</v>
      </c>
      <c r="K120" s="11">
        <v>45951</v>
      </c>
      <c r="L120" s="1" t="s">
        <v>71</v>
      </c>
      <c r="M120" s="35">
        <v>256779418428</v>
      </c>
      <c r="N120" s="1" t="s">
        <v>72</v>
      </c>
      <c r="O120" s="1" t="s">
        <v>73</v>
      </c>
      <c r="P120" s="1" t="s">
        <v>74</v>
      </c>
      <c r="Q120" s="1" t="s">
        <v>83</v>
      </c>
      <c r="R120" s="1" t="s">
        <v>76</v>
      </c>
      <c r="S120" s="12">
        <v>32.9</v>
      </c>
      <c r="T120" s="1" t="s">
        <v>77</v>
      </c>
      <c r="U120" s="12">
        <v>2901.48</v>
      </c>
      <c r="V120" s="1" t="s">
        <v>78</v>
      </c>
      <c r="W120" s="1" t="s">
        <v>79</v>
      </c>
      <c r="X120" s="1" t="s">
        <v>74</v>
      </c>
      <c r="Y120" s="1" t="s">
        <v>233</v>
      </c>
      <c r="Z120" s="1" t="s">
        <v>80</v>
      </c>
      <c r="AA120" s="1" t="s">
        <v>234</v>
      </c>
      <c r="AB120" s="1" t="s">
        <v>74</v>
      </c>
      <c r="AC120" s="1" t="s">
        <v>74</v>
      </c>
      <c r="AD120" s="1" t="s">
        <v>74</v>
      </c>
      <c r="AE120" s="11">
        <v>45948</v>
      </c>
      <c r="AF120" s="11"/>
      <c r="AG120" s="1" t="s">
        <v>74</v>
      </c>
      <c r="AJ120" cm="1">
        <f t="array" ref="AJ120:AK120">_xlfn.XLOOKUP(M120,'Customer Data Vlookup'!$L:$L,'Customer Data Vlookup'!$M:$N,,0)</f>
        <v>88</v>
      </c>
      <c r="AK120" s="47">
        <v>2901.2856000000002</v>
      </c>
      <c r="AL120" s="47">
        <f t="shared" ref="AL120:AL127" si="16">AK120-AJ120</f>
        <v>2813.2856000000002</v>
      </c>
      <c r="AM120" s="58">
        <f t="shared" ref="AM120:AM127" si="17">U120-AL120</f>
        <v>88.19439999999986</v>
      </c>
    </row>
    <row r="121" spans="1:39" x14ac:dyDescent="0.35">
      <c r="A121" s="1" t="s">
        <v>124</v>
      </c>
      <c r="B121" s="1" t="s">
        <v>67</v>
      </c>
      <c r="C121" s="1" t="s">
        <v>68</v>
      </c>
      <c r="D121" s="1" t="s">
        <v>69</v>
      </c>
      <c r="E121" s="1" t="s">
        <v>17</v>
      </c>
      <c r="F121" s="1" t="s">
        <v>141</v>
      </c>
      <c r="G121" s="11">
        <v>45948</v>
      </c>
      <c r="H121" s="25">
        <v>1800014145</v>
      </c>
      <c r="I121" s="1" t="s">
        <v>9</v>
      </c>
      <c r="J121" s="11">
        <v>45948</v>
      </c>
      <c r="K121" s="11">
        <v>45951</v>
      </c>
      <c r="L121" s="1" t="s">
        <v>71</v>
      </c>
      <c r="M121" s="35">
        <v>256779418437</v>
      </c>
      <c r="N121" s="1" t="s">
        <v>72</v>
      </c>
      <c r="O121" s="1" t="s">
        <v>73</v>
      </c>
      <c r="P121" s="1" t="s">
        <v>74</v>
      </c>
      <c r="Q121" s="1" t="s">
        <v>83</v>
      </c>
      <c r="R121" s="1" t="s">
        <v>76</v>
      </c>
      <c r="S121" s="12">
        <v>79.900000000000006</v>
      </c>
      <c r="T121" s="1" t="s">
        <v>77</v>
      </c>
      <c r="U121" s="12">
        <v>7046.44</v>
      </c>
      <c r="V121" s="1" t="s">
        <v>78</v>
      </c>
      <c r="W121" s="1" t="s">
        <v>79</v>
      </c>
      <c r="X121" s="1" t="s">
        <v>74</v>
      </c>
      <c r="Y121" s="1" t="s">
        <v>235</v>
      </c>
      <c r="Z121" s="1" t="s">
        <v>80</v>
      </c>
      <c r="AA121" s="1" t="s">
        <v>236</v>
      </c>
      <c r="AB121" s="1" t="s">
        <v>74</v>
      </c>
      <c r="AC121" s="1" t="s">
        <v>74</v>
      </c>
      <c r="AD121" s="1" t="s">
        <v>74</v>
      </c>
      <c r="AE121" s="11">
        <v>45948</v>
      </c>
      <c r="AF121" s="11"/>
      <c r="AG121" s="1" t="s">
        <v>74</v>
      </c>
      <c r="AJ121" cm="1">
        <f t="array" ref="AJ121:AK121">_xlfn.XLOOKUP(M121,'Customer Data Vlookup'!$L:$L,'Customer Data Vlookup'!$M:$N,,0)</f>
        <v>176</v>
      </c>
      <c r="AK121" s="47">
        <v>7046.0609999999997</v>
      </c>
      <c r="AL121" s="47">
        <f t="shared" si="16"/>
        <v>6870.0609999999997</v>
      </c>
      <c r="AM121" s="58">
        <f t="shared" si="17"/>
        <v>176.37899999999991</v>
      </c>
    </row>
    <row r="122" spans="1:39" x14ac:dyDescent="0.35">
      <c r="A122" s="1" t="s">
        <v>124</v>
      </c>
      <c r="B122" s="1" t="s">
        <v>67</v>
      </c>
      <c r="C122" s="1" t="s">
        <v>68</v>
      </c>
      <c r="D122" s="1" t="s">
        <v>69</v>
      </c>
      <c r="E122" s="1" t="s">
        <v>17</v>
      </c>
      <c r="F122" s="1" t="s">
        <v>162</v>
      </c>
      <c r="G122" s="11">
        <v>45815</v>
      </c>
      <c r="H122" s="25">
        <v>1800009478</v>
      </c>
      <c r="I122" s="1" t="s">
        <v>9</v>
      </c>
      <c r="J122" s="11">
        <v>45815</v>
      </c>
      <c r="K122" s="11">
        <v>45817</v>
      </c>
      <c r="L122" s="1" t="s">
        <v>71</v>
      </c>
      <c r="M122" s="35">
        <v>256779414242</v>
      </c>
      <c r="N122" s="1" t="s">
        <v>72</v>
      </c>
      <c r="O122" s="1" t="s">
        <v>73</v>
      </c>
      <c r="P122" s="1" t="s">
        <v>74</v>
      </c>
      <c r="Q122" s="1" t="s">
        <v>83</v>
      </c>
      <c r="R122" s="1" t="s">
        <v>76</v>
      </c>
      <c r="S122" s="12">
        <v>4585.18</v>
      </c>
      <c r="T122" s="1" t="s">
        <v>77</v>
      </c>
      <c r="U122" s="12">
        <v>391990.61</v>
      </c>
      <c r="V122" s="1" t="s">
        <v>78</v>
      </c>
      <c r="W122" s="1" t="s">
        <v>79</v>
      </c>
      <c r="X122" s="1" t="s">
        <v>74</v>
      </c>
      <c r="Y122" s="1" t="s">
        <v>71</v>
      </c>
      <c r="Z122" s="1" t="s">
        <v>80</v>
      </c>
      <c r="AA122" s="1" t="s">
        <v>237</v>
      </c>
      <c r="AB122" s="1" t="s">
        <v>74</v>
      </c>
      <c r="AC122" s="1" t="s">
        <v>74</v>
      </c>
      <c r="AD122" s="1" t="s">
        <v>74</v>
      </c>
      <c r="AE122" s="11">
        <v>45815</v>
      </c>
      <c r="AF122" s="11"/>
      <c r="AG122" s="1" t="s">
        <v>74</v>
      </c>
      <c r="AJ122" cm="1">
        <f t="array" ref="AJ122:AK122">_xlfn.XLOOKUP(M122,'Customer Data Vlookup'!$L:$L,'Customer Data Vlookup'!$M:$N,,0)</f>
        <v>0</v>
      </c>
      <c r="AK122" s="47">
        <v>352792</v>
      </c>
      <c r="AL122" s="47">
        <f t="shared" si="16"/>
        <v>352792</v>
      </c>
      <c r="AM122" s="58">
        <f t="shared" si="17"/>
        <v>39198.609999999986</v>
      </c>
    </row>
    <row r="123" spans="1:39" x14ac:dyDescent="0.35">
      <c r="A123" s="1" t="s">
        <v>124</v>
      </c>
      <c r="B123" s="1" t="s">
        <v>67</v>
      </c>
      <c r="C123" s="1" t="s">
        <v>68</v>
      </c>
      <c r="D123" s="1" t="s">
        <v>69</v>
      </c>
      <c r="E123" s="1" t="s">
        <v>17</v>
      </c>
      <c r="F123" s="1" t="s">
        <v>141</v>
      </c>
      <c r="G123" s="11">
        <v>45936</v>
      </c>
      <c r="H123" s="25">
        <v>1800013274</v>
      </c>
      <c r="I123" s="1" t="s">
        <v>9</v>
      </c>
      <c r="J123" s="11">
        <v>45936</v>
      </c>
      <c r="K123" s="11">
        <v>45937</v>
      </c>
      <c r="L123" s="1" t="s">
        <v>71</v>
      </c>
      <c r="M123" s="35">
        <v>256779418010</v>
      </c>
      <c r="N123" s="1" t="s">
        <v>72</v>
      </c>
      <c r="O123" s="1" t="s">
        <v>73</v>
      </c>
      <c r="P123" s="1" t="s">
        <v>74</v>
      </c>
      <c r="Q123" s="1" t="s">
        <v>83</v>
      </c>
      <c r="R123" s="1" t="s">
        <v>76</v>
      </c>
      <c r="S123" s="12">
        <v>8566.5</v>
      </c>
      <c r="T123" s="1" t="s">
        <v>77</v>
      </c>
      <c r="U123" s="12">
        <v>755486.23</v>
      </c>
      <c r="V123" s="1" t="s">
        <v>78</v>
      </c>
      <c r="W123" s="1" t="s">
        <v>79</v>
      </c>
      <c r="X123" s="1" t="s">
        <v>74</v>
      </c>
      <c r="Y123" s="1" t="s">
        <v>238</v>
      </c>
      <c r="Z123" s="1" t="s">
        <v>80</v>
      </c>
      <c r="AA123" s="1" t="s">
        <v>239</v>
      </c>
      <c r="AB123" s="1" t="s">
        <v>74</v>
      </c>
      <c r="AC123" s="1" t="s">
        <v>74</v>
      </c>
      <c r="AD123" s="1" t="s">
        <v>74</v>
      </c>
      <c r="AE123" s="11">
        <v>45936</v>
      </c>
      <c r="AF123" s="11"/>
      <c r="AG123" s="1" t="s">
        <v>74</v>
      </c>
      <c r="AJ123" cm="1">
        <f t="array" ref="AJ123:AK123">_xlfn.XLOOKUP(M123,'Customer Data Vlookup'!$L:$L,'Customer Data Vlookup'!$M:$N,,0)</f>
        <v>0</v>
      </c>
      <c r="AK123" s="47">
        <v>679906.74129999999</v>
      </c>
      <c r="AL123" s="47">
        <f t="shared" si="16"/>
        <v>679906.74129999999</v>
      </c>
      <c r="AM123" s="58">
        <f t="shared" si="17"/>
        <v>75579.488699999987</v>
      </c>
    </row>
    <row r="124" spans="1:39" x14ac:dyDescent="0.35">
      <c r="A124" s="1" t="s">
        <v>124</v>
      </c>
      <c r="B124" s="1" t="s">
        <v>67</v>
      </c>
      <c r="C124" s="1" t="s">
        <v>68</v>
      </c>
      <c r="D124" s="1" t="s">
        <v>69</v>
      </c>
      <c r="E124" s="1" t="s">
        <v>17</v>
      </c>
      <c r="F124" s="1" t="s">
        <v>141</v>
      </c>
      <c r="G124" s="11">
        <v>45935</v>
      </c>
      <c r="H124" s="25">
        <v>1800013343</v>
      </c>
      <c r="I124" s="1" t="s">
        <v>9</v>
      </c>
      <c r="J124" s="11">
        <v>45935</v>
      </c>
      <c r="K124" s="11">
        <v>45937</v>
      </c>
      <c r="L124" s="1" t="s">
        <v>71</v>
      </c>
      <c r="M124" s="35">
        <v>256779417939</v>
      </c>
      <c r="N124" s="1" t="s">
        <v>72</v>
      </c>
      <c r="O124" s="1" t="s">
        <v>73</v>
      </c>
      <c r="P124" s="1" t="s">
        <v>74</v>
      </c>
      <c r="Q124" s="1" t="s">
        <v>83</v>
      </c>
      <c r="R124" s="1" t="s">
        <v>76</v>
      </c>
      <c r="S124" s="12">
        <v>445.35</v>
      </c>
      <c r="T124" s="1" t="s">
        <v>77</v>
      </c>
      <c r="U124" s="12">
        <v>39275.760000000002</v>
      </c>
      <c r="V124" s="1" t="s">
        <v>78</v>
      </c>
      <c r="W124" s="1" t="s">
        <v>79</v>
      </c>
      <c r="X124" s="1" t="s">
        <v>74</v>
      </c>
      <c r="Y124" s="1" t="s">
        <v>71</v>
      </c>
      <c r="Z124" s="1" t="s">
        <v>80</v>
      </c>
      <c r="AA124" s="1" t="s">
        <v>240</v>
      </c>
      <c r="AB124" s="1" t="s">
        <v>74</v>
      </c>
      <c r="AC124" s="1" t="s">
        <v>74</v>
      </c>
      <c r="AD124" s="1" t="s">
        <v>74</v>
      </c>
      <c r="AE124" s="11">
        <v>45935</v>
      </c>
      <c r="AF124" s="11"/>
      <c r="AG124" s="1" t="s">
        <v>74</v>
      </c>
      <c r="AJ124" cm="1">
        <f t="array" ref="AJ124:AK124">_xlfn.XLOOKUP(M124,'Customer Data Vlookup'!$L:$L,'Customer Data Vlookup'!$M:$N,,0)</f>
        <v>0</v>
      </c>
      <c r="AK124" s="47">
        <v>38482.042500000003</v>
      </c>
      <c r="AL124" s="47">
        <f t="shared" si="16"/>
        <v>38482.042500000003</v>
      </c>
      <c r="AM124" s="58">
        <f t="shared" si="17"/>
        <v>793.71749999999884</v>
      </c>
    </row>
    <row r="125" spans="1:39" x14ac:dyDescent="0.35">
      <c r="A125" s="1" t="s">
        <v>124</v>
      </c>
      <c r="B125" s="1" t="s">
        <v>67</v>
      </c>
      <c r="C125" s="1" t="s">
        <v>68</v>
      </c>
      <c r="D125" s="1" t="s">
        <v>69</v>
      </c>
      <c r="E125" s="1" t="s">
        <v>17</v>
      </c>
      <c r="F125" s="1" t="s">
        <v>141</v>
      </c>
      <c r="G125" s="11">
        <v>45935</v>
      </c>
      <c r="H125" s="25">
        <v>1800013382</v>
      </c>
      <c r="I125" s="1" t="s">
        <v>9</v>
      </c>
      <c r="J125" s="11">
        <v>45935</v>
      </c>
      <c r="K125" s="11">
        <v>45937</v>
      </c>
      <c r="L125" s="1" t="s">
        <v>71</v>
      </c>
      <c r="M125" s="35">
        <v>256779417978</v>
      </c>
      <c r="N125" s="1" t="s">
        <v>72</v>
      </c>
      <c r="O125" s="1" t="s">
        <v>73</v>
      </c>
      <c r="P125" s="1" t="s">
        <v>74</v>
      </c>
      <c r="Q125" s="1" t="s">
        <v>83</v>
      </c>
      <c r="R125" s="1" t="s">
        <v>76</v>
      </c>
      <c r="S125" s="12">
        <v>582.79999999999995</v>
      </c>
      <c r="T125" s="1" t="s">
        <v>77</v>
      </c>
      <c r="U125" s="12">
        <v>51397.58</v>
      </c>
      <c r="V125" s="1" t="s">
        <v>78</v>
      </c>
      <c r="W125" s="1" t="s">
        <v>79</v>
      </c>
      <c r="X125" s="1" t="s">
        <v>74</v>
      </c>
      <c r="Y125" s="1" t="s">
        <v>241</v>
      </c>
      <c r="Z125" s="1" t="s">
        <v>80</v>
      </c>
      <c r="AA125" s="1" t="s">
        <v>242</v>
      </c>
      <c r="AB125" s="1" t="s">
        <v>74</v>
      </c>
      <c r="AC125" s="1" t="s">
        <v>74</v>
      </c>
      <c r="AD125" s="1" t="s">
        <v>74</v>
      </c>
      <c r="AE125" s="11">
        <v>45935</v>
      </c>
      <c r="AF125" s="11"/>
      <c r="AG125" s="1" t="s">
        <v>74</v>
      </c>
      <c r="AJ125" cm="1">
        <f t="array" ref="AJ125:AK125">_xlfn.XLOOKUP(M125,'Customer Data Vlookup'!$L:$L,'Customer Data Vlookup'!$M:$N,,0)</f>
        <v>1058</v>
      </c>
      <c r="AK125" s="47">
        <v>51397.291499999999</v>
      </c>
      <c r="AL125" s="47">
        <f t="shared" si="16"/>
        <v>50339.291499999999</v>
      </c>
      <c r="AM125" s="58">
        <f t="shared" si="17"/>
        <v>1058.2885000000024</v>
      </c>
    </row>
    <row r="126" spans="1:39" x14ac:dyDescent="0.35">
      <c r="A126" s="1" t="s">
        <v>124</v>
      </c>
      <c r="B126" s="1" t="s">
        <v>67</v>
      </c>
      <c r="C126" s="1" t="s">
        <v>68</v>
      </c>
      <c r="D126" s="1" t="s">
        <v>69</v>
      </c>
      <c r="E126" s="1" t="s">
        <v>17</v>
      </c>
      <c r="F126" s="1" t="s">
        <v>141</v>
      </c>
      <c r="G126" s="11">
        <v>45935</v>
      </c>
      <c r="H126" s="25">
        <v>1800013460</v>
      </c>
      <c r="I126" s="1" t="s">
        <v>9</v>
      </c>
      <c r="J126" s="11">
        <v>45935</v>
      </c>
      <c r="K126" s="11">
        <v>45937</v>
      </c>
      <c r="L126" s="1" t="s">
        <v>71</v>
      </c>
      <c r="M126" s="35">
        <v>256779418036</v>
      </c>
      <c r="N126" s="1" t="s">
        <v>72</v>
      </c>
      <c r="O126" s="1" t="s">
        <v>73</v>
      </c>
      <c r="P126" s="1" t="s">
        <v>74</v>
      </c>
      <c r="Q126" s="1" t="s">
        <v>83</v>
      </c>
      <c r="R126" s="1" t="s">
        <v>76</v>
      </c>
      <c r="S126" s="12">
        <v>456.75</v>
      </c>
      <c r="T126" s="1" t="s">
        <v>77</v>
      </c>
      <c r="U126" s="12">
        <v>40281.129999999997</v>
      </c>
      <c r="V126" s="1" t="s">
        <v>78</v>
      </c>
      <c r="W126" s="1" t="s">
        <v>79</v>
      </c>
      <c r="X126" s="1" t="s">
        <v>74</v>
      </c>
      <c r="Y126" s="1" t="s">
        <v>243</v>
      </c>
      <c r="Z126" s="1" t="s">
        <v>80</v>
      </c>
      <c r="AA126" s="1" t="s">
        <v>244</v>
      </c>
      <c r="AB126" s="1" t="s">
        <v>74</v>
      </c>
      <c r="AC126" s="1" t="s">
        <v>74</v>
      </c>
      <c r="AD126" s="1" t="s">
        <v>74</v>
      </c>
      <c r="AE126" s="11">
        <v>45935</v>
      </c>
      <c r="AF126" s="11"/>
      <c r="AG126" s="1" t="s">
        <v>74</v>
      </c>
      <c r="AJ126" cm="1">
        <f t="array" ref="AJ126:AK126">_xlfn.XLOOKUP(M126,'Customer Data Vlookup'!$L:$L,'Customer Data Vlookup'!$M:$N,,0)</f>
        <v>0</v>
      </c>
      <c r="AK126" s="47">
        <v>36224.358800000002</v>
      </c>
      <c r="AL126" s="47">
        <f t="shared" si="16"/>
        <v>36224.358800000002</v>
      </c>
      <c r="AM126" s="58">
        <f t="shared" si="17"/>
        <v>4056.7711999999956</v>
      </c>
    </row>
    <row r="127" spans="1:39" x14ac:dyDescent="0.35">
      <c r="A127" s="1" t="s">
        <v>124</v>
      </c>
      <c r="B127" s="1" t="s">
        <v>67</v>
      </c>
      <c r="C127" s="1" t="s">
        <v>68</v>
      </c>
      <c r="D127" s="1" t="s">
        <v>69</v>
      </c>
      <c r="E127" s="1" t="s">
        <v>17</v>
      </c>
      <c r="F127" s="1" t="s">
        <v>141</v>
      </c>
      <c r="G127" s="11">
        <v>45935</v>
      </c>
      <c r="H127" s="25">
        <v>1800013478</v>
      </c>
      <c r="I127" s="1" t="s">
        <v>9</v>
      </c>
      <c r="J127" s="11">
        <v>45935</v>
      </c>
      <c r="K127" s="11">
        <v>45937</v>
      </c>
      <c r="L127" s="1" t="s">
        <v>71</v>
      </c>
      <c r="M127" s="35">
        <v>256779418094</v>
      </c>
      <c r="N127" s="1" t="s">
        <v>72</v>
      </c>
      <c r="O127" s="1" t="s">
        <v>73</v>
      </c>
      <c r="P127" s="1" t="s">
        <v>74</v>
      </c>
      <c r="Q127" s="1" t="s">
        <v>83</v>
      </c>
      <c r="R127" s="1" t="s">
        <v>76</v>
      </c>
      <c r="S127" s="12">
        <v>771.74</v>
      </c>
      <c r="T127" s="1" t="s">
        <v>77</v>
      </c>
      <c r="U127" s="12">
        <v>68060.34</v>
      </c>
      <c r="V127" s="1" t="s">
        <v>78</v>
      </c>
      <c r="W127" s="1" t="s">
        <v>79</v>
      </c>
      <c r="X127" s="1" t="s">
        <v>74</v>
      </c>
      <c r="Y127" s="1" t="s">
        <v>245</v>
      </c>
      <c r="Z127" s="1" t="s">
        <v>80</v>
      </c>
      <c r="AA127" s="1" t="s">
        <v>246</v>
      </c>
      <c r="AB127" s="1" t="s">
        <v>74</v>
      </c>
      <c r="AC127" s="1" t="s">
        <v>74</v>
      </c>
      <c r="AD127" s="1" t="s">
        <v>74</v>
      </c>
      <c r="AE127" s="11">
        <v>45935</v>
      </c>
      <c r="AF127" s="11"/>
      <c r="AG127" s="1" t="s">
        <v>74</v>
      </c>
      <c r="AJ127" cm="1">
        <f t="array" ref="AJ127:AK127">_xlfn.XLOOKUP(M127,'Customer Data Vlookup'!$L:$L,'Customer Data Vlookup'!$M:$N,,0)</f>
        <v>6791</v>
      </c>
      <c r="AK127" s="47">
        <v>68060.655499999993</v>
      </c>
      <c r="AL127" s="47">
        <f t="shared" si="16"/>
        <v>61269.655499999993</v>
      </c>
      <c r="AM127" s="58">
        <f t="shared" si="17"/>
        <v>6790.684500000003</v>
      </c>
    </row>
    <row r="128" spans="1:39" hidden="1" x14ac:dyDescent="0.35">
      <c r="A128" s="1" t="s">
        <v>124</v>
      </c>
      <c r="B128" s="1" t="s">
        <v>67</v>
      </c>
      <c r="C128" s="1" t="s">
        <v>68</v>
      </c>
      <c r="D128" s="1" t="s">
        <v>69</v>
      </c>
      <c r="E128" s="1" t="s">
        <v>17</v>
      </c>
      <c r="F128" s="1" t="s">
        <v>141</v>
      </c>
      <c r="G128" s="11">
        <v>45935</v>
      </c>
      <c r="H128" s="25">
        <v>1800013509</v>
      </c>
      <c r="I128" s="1" t="s">
        <v>9</v>
      </c>
      <c r="J128" s="11">
        <v>45935</v>
      </c>
      <c r="K128" s="11">
        <v>45940</v>
      </c>
      <c r="L128" s="1" t="s">
        <v>71</v>
      </c>
      <c r="M128" s="35">
        <v>256779418399</v>
      </c>
      <c r="N128" s="1" t="s">
        <v>72</v>
      </c>
      <c r="O128" s="1" t="s">
        <v>73</v>
      </c>
      <c r="P128" s="1" t="s">
        <v>74</v>
      </c>
      <c r="Q128" s="1" t="s">
        <v>83</v>
      </c>
      <c r="R128" s="1" t="s">
        <v>76</v>
      </c>
      <c r="S128" s="12">
        <v>1432.98</v>
      </c>
      <c r="T128" s="1" t="s">
        <v>77</v>
      </c>
      <c r="U128" s="12">
        <v>126375.61</v>
      </c>
      <c r="V128" s="1" t="s">
        <v>78</v>
      </c>
      <c r="W128" s="1" t="s">
        <v>79</v>
      </c>
      <c r="X128" s="1" t="s">
        <v>74</v>
      </c>
      <c r="Y128" s="1" t="s">
        <v>247</v>
      </c>
      <c r="Z128" s="1" t="s">
        <v>80</v>
      </c>
      <c r="AA128" s="1" t="s">
        <v>248</v>
      </c>
      <c r="AB128" s="1" t="s">
        <v>74</v>
      </c>
      <c r="AC128" s="1" t="s">
        <v>74</v>
      </c>
      <c r="AD128" s="1" t="s">
        <v>74</v>
      </c>
      <c r="AE128" s="11">
        <v>45935</v>
      </c>
      <c r="AF128" s="11"/>
      <c r="AG128" s="1" t="s">
        <v>74</v>
      </c>
      <c r="AJ128" t="e" cm="1">
        <f t="array" ref="AJ128">_xlfn.XLOOKUP(M128,'Customer Data Vlookup'!$L:$L,'Customer Data Vlookup'!$M:$N,,0)</f>
        <v>#N/A</v>
      </c>
    </row>
    <row r="129" spans="1:39" hidden="1" x14ac:dyDescent="0.35">
      <c r="A129" s="1" t="s">
        <v>66</v>
      </c>
      <c r="B129" s="1" t="s">
        <v>67</v>
      </c>
      <c r="C129" s="1" t="s">
        <v>68</v>
      </c>
      <c r="D129" s="1" t="s">
        <v>69</v>
      </c>
      <c r="E129" s="1" t="s">
        <v>17</v>
      </c>
      <c r="F129" s="1" t="s">
        <v>141</v>
      </c>
      <c r="G129" s="11">
        <v>45935</v>
      </c>
      <c r="H129" s="25">
        <v>1800013428</v>
      </c>
      <c r="I129" s="1" t="s">
        <v>9</v>
      </c>
      <c r="J129" s="11">
        <v>45935</v>
      </c>
      <c r="K129" s="11">
        <v>45937</v>
      </c>
      <c r="L129" s="1" t="s">
        <v>71</v>
      </c>
      <c r="M129" s="35">
        <v>256779418075</v>
      </c>
      <c r="N129" s="1" t="s">
        <v>72</v>
      </c>
      <c r="O129" s="1" t="s">
        <v>73</v>
      </c>
      <c r="P129" s="1" t="s">
        <v>74</v>
      </c>
      <c r="Q129" s="1" t="s">
        <v>83</v>
      </c>
      <c r="R129" s="1" t="s">
        <v>76</v>
      </c>
      <c r="S129" s="12">
        <v>582.79999999999995</v>
      </c>
      <c r="T129" s="1" t="s">
        <v>77</v>
      </c>
      <c r="U129" s="12">
        <v>51397.58</v>
      </c>
      <c r="V129" s="1" t="s">
        <v>78</v>
      </c>
      <c r="W129" s="1" t="s">
        <v>79</v>
      </c>
      <c r="X129" s="1" t="s">
        <v>74</v>
      </c>
      <c r="Y129" s="1" t="s">
        <v>249</v>
      </c>
      <c r="Z129" s="1" t="s">
        <v>80</v>
      </c>
      <c r="AA129" s="1" t="s">
        <v>242</v>
      </c>
      <c r="AB129" s="1" t="s">
        <v>74</v>
      </c>
      <c r="AC129" s="1" t="s">
        <v>74</v>
      </c>
      <c r="AD129" s="1" t="s">
        <v>74</v>
      </c>
      <c r="AE129" s="11">
        <v>45935</v>
      </c>
      <c r="AF129" s="11">
        <v>45976</v>
      </c>
      <c r="AG129" s="1" t="s">
        <v>101</v>
      </c>
      <c r="AJ129" t="e" cm="1">
        <f t="array" ref="AJ129">_xlfn.XLOOKUP(M129,'Customer Data Vlookup'!$L:$L,'Customer Data Vlookup'!$M:$N,,0)</f>
        <v>#N/A</v>
      </c>
    </row>
    <row r="130" spans="1:39" x14ac:dyDescent="0.35">
      <c r="A130" s="1" t="s">
        <v>124</v>
      </c>
      <c r="B130" s="1" t="s">
        <v>67</v>
      </c>
      <c r="C130" s="1" t="s">
        <v>68</v>
      </c>
      <c r="D130" s="1" t="s">
        <v>69</v>
      </c>
      <c r="E130" s="1" t="s">
        <v>17</v>
      </c>
      <c r="F130" s="1" t="s">
        <v>192</v>
      </c>
      <c r="G130" s="11">
        <v>45906</v>
      </c>
      <c r="H130" s="25">
        <v>1800012476</v>
      </c>
      <c r="I130" s="1" t="s">
        <v>9</v>
      </c>
      <c r="J130" s="11">
        <v>45906</v>
      </c>
      <c r="K130" s="11">
        <v>45909</v>
      </c>
      <c r="L130" s="1" t="s">
        <v>71</v>
      </c>
      <c r="M130" s="35">
        <v>256779417084</v>
      </c>
      <c r="N130" s="1" t="s">
        <v>72</v>
      </c>
      <c r="O130" s="1" t="s">
        <v>73</v>
      </c>
      <c r="P130" s="1" t="s">
        <v>74</v>
      </c>
      <c r="Q130" s="1" t="s">
        <v>83</v>
      </c>
      <c r="R130" s="1" t="s">
        <v>76</v>
      </c>
      <c r="S130" s="12">
        <v>8832.14</v>
      </c>
      <c r="T130" s="1" t="s">
        <v>77</v>
      </c>
      <c r="U130" s="12">
        <v>772938.81</v>
      </c>
      <c r="V130" s="1" t="s">
        <v>78</v>
      </c>
      <c r="W130" s="1" t="s">
        <v>79</v>
      </c>
      <c r="X130" s="1" t="s">
        <v>74</v>
      </c>
      <c r="Y130" s="1" t="s">
        <v>71</v>
      </c>
      <c r="Z130" s="1" t="s">
        <v>80</v>
      </c>
      <c r="AA130" s="1" t="s">
        <v>250</v>
      </c>
      <c r="AB130" s="1" t="s">
        <v>74</v>
      </c>
      <c r="AC130" s="1" t="s">
        <v>74</v>
      </c>
      <c r="AD130" s="1" t="s">
        <v>74</v>
      </c>
      <c r="AE130" s="11">
        <v>45906</v>
      </c>
      <c r="AF130" s="11"/>
      <c r="AG130" s="1" t="s">
        <v>74</v>
      </c>
      <c r="AJ130" cm="1">
        <f t="array" ref="AJ130:AK130">_xlfn.XLOOKUP(M130,'Customer Data Vlookup'!$L:$L,'Customer Data Vlookup'!$M:$N,,0)</f>
        <v>0</v>
      </c>
      <c r="AK130" s="47">
        <v>695663.66119999997</v>
      </c>
      <c r="AL130" s="47">
        <f>AK130-AJ130</f>
        <v>695663.66119999997</v>
      </c>
      <c r="AM130" s="58">
        <f>U130-AL130</f>
        <v>77275.148800000083</v>
      </c>
    </row>
    <row r="131" spans="1:39" hidden="1" x14ac:dyDescent="0.35">
      <c r="A131" s="1" t="s">
        <v>66</v>
      </c>
      <c r="B131" s="1" t="s">
        <v>67</v>
      </c>
      <c r="C131" s="1" t="s">
        <v>68</v>
      </c>
      <c r="D131" s="1" t="s">
        <v>69</v>
      </c>
      <c r="E131" s="1" t="s">
        <v>17</v>
      </c>
      <c r="F131" s="1" t="s">
        <v>125</v>
      </c>
      <c r="G131" s="11">
        <v>45795</v>
      </c>
      <c r="H131" s="25">
        <v>1800009097</v>
      </c>
      <c r="I131" s="1" t="s">
        <v>9</v>
      </c>
      <c r="J131" s="11">
        <v>45795</v>
      </c>
      <c r="K131" s="11">
        <v>45805</v>
      </c>
      <c r="L131" s="1" t="s">
        <v>71</v>
      </c>
      <c r="M131" s="35">
        <v>256779413861</v>
      </c>
      <c r="N131" s="1" t="s">
        <v>72</v>
      </c>
      <c r="O131" s="1" t="s">
        <v>73</v>
      </c>
      <c r="P131" s="1" t="s">
        <v>74</v>
      </c>
      <c r="Q131" s="1" t="s">
        <v>83</v>
      </c>
      <c r="R131" s="1" t="s">
        <v>76</v>
      </c>
      <c r="S131" s="12">
        <v>140</v>
      </c>
      <c r="T131" s="1" t="s">
        <v>77</v>
      </c>
      <c r="U131" s="12">
        <v>12037.72</v>
      </c>
      <c r="V131" s="1" t="s">
        <v>78</v>
      </c>
      <c r="W131" s="1" t="s">
        <v>79</v>
      </c>
      <c r="X131" s="1" t="s">
        <v>74</v>
      </c>
      <c r="Y131" s="1" t="s">
        <v>71</v>
      </c>
      <c r="Z131" s="1" t="s">
        <v>80</v>
      </c>
      <c r="AA131" s="1" t="s">
        <v>152</v>
      </c>
      <c r="AB131" s="1" t="s">
        <v>74</v>
      </c>
      <c r="AC131" s="1" t="s">
        <v>74</v>
      </c>
      <c r="AD131" s="1" t="s">
        <v>74</v>
      </c>
      <c r="AE131" s="11">
        <v>45795</v>
      </c>
      <c r="AF131" s="11">
        <v>45976</v>
      </c>
      <c r="AG131" s="1" t="s">
        <v>101</v>
      </c>
      <c r="AJ131" t="e" cm="1">
        <f t="array" ref="AJ131">_xlfn.XLOOKUP(M131,'Customer Data Vlookup'!$L:$L,'Customer Data Vlookup'!$M:$N,,0)</f>
        <v>#N/A</v>
      </c>
    </row>
    <row r="132" spans="1:39" hidden="1" x14ac:dyDescent="0.35">
      <c r="A132" s="1" t="s">
        <v>124</v>
      </c>
      <c r="B132" s="1" t="s">
        <v>67</v>
      </c>
      <c r="C132" s="1" t="s">
        <v>68</v>
      </c>
      <c r="D132" s="1" t="s">
        <v>69</v>
      </c>
      <c r="E132" s="1" t="s">
        <v>33</v>
      </c>
      <c r="F132" s="1" t="s">
        <v>80</v>
      </c>
      <c r="G132" s="11">
        <v>46024</v>
      </c>
      <c r="H132" s="25">
        <v>1800015671</v>
      </c>
      <c r="I132" s="1" t="s">
        <v>9</v>
      </c>
      <c r="J132" s="11">
        <v>46024</v>
      </c>
      <c r="K132" s="11">
        <v>46024</v>
      </c>
      <c r="L132" s="1" t="s">
        <v>71</v>
      </c>
      <c r="M132" s="35">
        <v>256779440004</v>
      </c>
      <c r="N132" s="1" t="s">
        <v>72</v>
      </c>
      <c r="O132" s="1" t="s">
        <v>73</v>
      </c>
      <c r="P132" s="1" t="s">
        <v>74</v>
      </c>
      <c r="Q132" s="1" t="s">
        <v>83</v>
      </c>
      <c r="R132" s="1" t="s">
        <v>76</v>
      </c>
      <c r="S132" s="12">
        <v>7039.11</v>
      </c>
      <c r="T132" s="1" t="s">
        <v>77</v>
      </c>
      <c r="U132" s="12">
        <v>638750.93999999994</v>
      </c>
      <c r="V132" s="1" t="s">
        <v>78</v>
      </c>
      <c r="W132" s="1" t="s">
        <v>79</v>
      </c>
      <c r="X132" s="1" t="s">
        <v>74</v>
      </c>
      <c r="Y132" s="1" t="s">
        <v>251</v>
      </c>
      <c r="Z132" s="1" t="s">
        <v>80</v>
      </c>
      <c r="AA132" s="1" t="s">
        <v>252</v>
      </c>
      <c r="AB132" s="1" t="s">
        <v>74</v>
      </c>
      <c r="AC132" s="1" t="s">
        <v>74</v>
      </c>
      <c r="AD132" s="1" t="s">
        <v>74</v>
      </c>
      <c r="AE132" s="11">
        <v>46024</v>
      </c>
      <c r="AF132" s="11"/>
      <c r="AG132" s="1" t="s">
        <v>74</v>
      </c>
      <c r="AJ132" t="e" cm="1">
        <f t="array" ref="AJ132">_xlfn.XLOOKUP(M132,'Customer Data Vlookup'!$L:$L,'Customer Data Vlookup'!$M:$N,,0)</f>
        <v>#N/A</v>
      </c>
    </row>
    <row r="133" spans="1:39" x14ac:dyDescent="0.35">
      <c r="A133" s="1" t="s">
        <v>124</v>
      </c>
      <c r="B133" s="1" t="s">
        <v>67</v>
      </c>
      <c r="C133" s="1" t="s">
        <v>68</v>
      </c>
      <c r="D133" s="1" t="s">
        <v>69</v>
      </c>
      <c r="E133" s="1" t="s">
        <v>33</v>
      </c>
      <c r="F133" s="1" t="s">
        <v>80</v>
      </c>
      <c r="G133" s="11">
        <v>46024</v>
      </c>
      <c r="H133" s="25">
        <v>1800015708</v>
      </c>
      <c r="I133" s="1" t="s">
        <v>9</v>
      </c>
      <c r="J133" s="11">
        <v>46024</v>
      </c>
      <c r="K133" s="11">
        <v>46024</v>
      </c>
      <c r="L133" s="1" t="s">
        <v>71</v>
      </c>
      <c r="M133" s="35">
        <v>256779440041</v>
      </c>
      <c r="N133" s="1" t="s">
        <v>72</v>
      </c>
      <c r="O133" s="1" t="s">
        <v>73</v>
      </c>
      <c r="P133" s="1" t="s">
        <v>74</v>
      </c>
      <c r="Q133" s="1" t="s">
        <v>83</v>
      </c>
      <c r="R133" s="1" t="s">
        <v>76</v>
      </c>
      <c r="S133" s="12">
        <v>456.75</v>
      </c>
      <c r="T133" s="1" t="s">
        <v>77</v>
      </c>
      <c r="U133" s="12">
        <v>41446.93</v>
      </c>
      <c r="V133" s="1" t="s">
        <v>78</v>
      </c>
      <c r="W133" s="1" t="s">
        <v>79</v>
      </c>
      <c r="X133" s="1" t="s">
        <v>74</v>
      </c>
      <c r="Y133" s="1" t="s">
        <v>253</v>
      </c>
      <c r="Z133" s="1" t="s">
        <v>80</v>
      </c>
      <c r="AA133" s="1" t="s">
        <v>254</v>
      </c>
      <c r="AB133" s="1" t="s">
        <v>74</v>
      </c>
      <c r="AC133" s="1" t="s">
        <v>74</v>
      </c>
      <c r="AD133" s="1" t="s">
        <v>74</v>
      </c>
      <c r="AE133" s="11">
        <v>46024</v>
      </c>
      <c r="AF133" s="11"/>
      <c r="AG133" s="1" t="s">
        <v>74</v>
      </c>
      <c r="AJ133" cm="1">
        <f t="array" ref="AJ133:AK133">_xlfn.XLOOKUP(M133,'Customer Data Vlookup'!$L:$L,'Customer Data Vlookup'!$M:$N,,0)</f>
        <v>4174</v>
      </c>
      <c r="AK133" s="47">
        <v>41446.745000000003</v>
      </c>
      <c r="AL133" s="47">
        <f>AK133-AJ133</f>
        <v>37272.745000000003</v>
      </c>
      <c r="AM133" s="58">
        <f>U133-AL133</f>
        <v>4174.1849999999977</v>
      </c>
    </row>
    <row r="134" spans="1:39" hidden="1" x14ac:dyDescent="0.35">
      <c r="A134" s="1" t="s">
        <v>124</v>
      </c>
      <c r="B134" s="1" t="s">
        <v>67</v>
      </c>
      <c r="C134" s="1" t="s">
        <v>68</v>
      </c>
      <c r="D134" s="1" t="s">
        <v>69</v>
      </c>
      <c r="E134" s="1" t="s">
        <v>33</v>
      </c>
      <c r="F134" s="1" t="s">
        <v>80</v>
      </c>
      <c r="G134" s="11">
        <v>46027</v>
      </c>
      <c r="H134" s="25">
        <v>1800015801</v>
      </c>
      <c r="I134" s="1" t="s">
        <v>9</v>
      </c>
      <c r="J134" s="11">
        <v>46027</v>
      </c>
      <c r="K134" s="11">
        <v>46027</v>
      </c>
      <c r="L134" s="1" t="s">
        <v>71</v>
      </c>
      <c r="M134" s="35">
        <v>256779440051</v>
      </c>
      <c r="N134" s="1" t="s">
        <v>72</v>
      </c>
      <c r="O134" s="1" t="s">
        <v>73</v>
      </c>
      <c r="P134" s="1" t="s">
        <v>74</v>
      </c>
      <c r="Q134" s="1" t="s">
        <v>83</v>
      </c>
      <c r="R134" s="1" t="s">
        <v>76</v>
      </c>
      <c r="S134" s="12">
        <v>358.14</v>
      </c>
      <c r="T134" s="1" t="s">
        <v>77</v>
      </c>
      <c r="U134" s="12">
        <v>32498.75</v>
      </c>
      <c r="V134" s="1" t="s">
        <v>78</v>
      </c>
      <c r="W134" s="1" t="s">
        <v>79</v>
      </c>
      <c r="X134" s="1" t="s">
        <v>74</v>
      </c>
      <c r="Y134" s="1" t="s">
        <v>255</v>
      </c>
      <c r="Z134" s="1" t="s">
        <v>80</v>
      </c>
      <c r="AA134" s="1" t="s">
        <v>256</v>
      </c>
      <c r="AB134" s="1" t="s">
        <v>74</v>
      </c>
      <c r="AC134" s="1" t="s">
        <v>74</v>
      </c>
      <c r="AD134" s="1" t="s">
        <v>74</v>
      </c>
      <c r="AE134" s="11">
        <v>46027</v>
      </c>
      <c r="AF134" s="11"/>
      <c r="AG134" s="1" t="s">
        <v>74</v>
      </c>
      <c r="AJ134" t="e" cm="1">
        <f t="array" ref="AJ134">_xlfn.XLOOKUP(M134,'Customer Data Vlookup'!$L:$L,'Customer Data Vlookup'!$M:$N,,0)</f>
        <v>#N/A</v>
      </c>
    </row>
    <row r="135" spans="1:39" hidden="1" x14ac:dyDescent="0.35">
      <c r="A135" s="1" t="s">
        <v>124</v>
      </c>
      <c r="B135" s="1" t="s">
        <v>67</v>
      </c>
      <c r="C135" s="1" t="s">
        <v>68</v>
      </c>
      <c r="D135" s="1" t="s">
        <v>69</v>
      </c>
      <c r="E135" s="1" t="s">
        <v>33</v>
      </c>
      <c r="F135" s="1" t="s">
        <v>80</v>
      </c>
      <c r="G135" s="11">
        <v>46027</v>
      </c>
      <c r="H135" s="25">
        <v>1600002697</v>
      </c>
      <c r="I135" s="1" t="s">
        <v>8</v>
      </c>
      <c r="J135" s="11">
        <v>46027</v>
      </c>
      <c r="K135" s="11">
        <v>46027</v>
      </c>
      <c r="L135" s="1" t="s">
        <v>71</v>
      </c>
      <c r="M135" s="35">
        <v>256779422167</v>
      </c>
      <c r="N135" s="1" t="s">
        <v>72</v>
      </c>
      <c r="O135" s="1" t="s">
        <v>73</v>
      </c>
      <c r="P135" s="1" t="s">
        <v>74</v>
      </c>
      <c r="Q135" s="1" t="s">
        <v>75</v>
      </c>
      <c r="R135" s="1" t="s">
        <v>76</v>
      </c>
      <c r="S135" s="12">
        <v>-3.4</v>
      </c>
      <c r="T135" s="1" t="s">
        <v>77</v>
      </c>
      <c r="U135" s="12">
        <v>-308.52999999999997</v>
      </c>
      <c r="V135" s="1" t="s">
        <v>78</v>
      </c>
      <c r="W135" s="1" t="s">
        <v>79</v>
      </c>
      <c r="X135" s="1" t="s">
        <v>74</v>
      </c>
      <c r="Y135" s="1" t="s">
        <v>257</v>
      </c>
      <c r="Z135" s="1" t="s">
        <v>80</v>
      </c>
      <c r="AA135" s="1" t="s">
        <v>258</v>
      </c>
      <c r="AB135" s="1" t="s">
        <v>74</v>
      </c>
      <c r="AC135" s="1" t="s">
        <v>74</v>
      </c>
      <c r="AD135" s="1" t="s">
        <v>74</v>
      </c>
      <c r="AE135" s="11">
        <v>46027</v>
      </c>
      <c r="AF135" s="11"/>
      <c r="AG135" s="1" t="s">
        <v>74</v>
      </c>
      <c r="AJ135" s="5" t="e" cm="1">
        <f t="array" ref="AJ135">_xlfn.XLOOKUP(M135,'Customer Data Vlookup'!$L:$L,'Customer Data Vlookup'!$M:$N,,0)</f>
        <v>#N/A</v>
      </c>
    </row>
    <row r="136" spans="1:39" x14ac:dyDescent="0.35">
      <c r="A136" s="1" t="s">
        <v>124</v>
      </c>
      <c r="B136" s="1" t="s">
        <v>67</v>
      </c>
      <c r="C136" s="1" t="s">
        <v>68</v>
      </c>
      <c r="D136" s="1" t="s">
        <v>69</v>
      </c>
      <c r="E136" s="1" t="s">
        <v>33</v>
      </c>
      <c r="F136" s="1" t="s">
        <v>80</v>
      </c>
      <c r="G136" s="11">
        <v>46027</v>
      </c>
      <c r="H136" s="25">
        <v>1800015985</v>
      </c>
      <c r="I136" s="1" t="s">
        <v>9</v>
      </c>
      <c r="J136" s="11">
        <v>46027</v>
      </c>
      <c r="K136" s="11">
        <v>46027</v>
      </c>
      <c r="L136" s="1" t="s">
        <v>71</v>
      </c>
      <c r="M136" s="35">
        <v>256779440069</v>
      </c>
      <c r="N136" s="1" t="s">
        <v>72</v>
      </c>
      <c r="O136" s="1" t="s">
        <v>73</v>
      </c>
      <c r="P136" s="1" t="s">
        <v>74</v>
      </c>
      <c r="Q136" s="1" t="s">
        <v>83</v>
      </c>
      <c r="R136" s="1" t="s">
        <v>76</v>
      </c>
      <c r="S136" s="12">
        <v>11.75</v>
      </c>
      <c r="T136" s="1" t="s">
        <v>77</v>
      </c>
      <c r="U136" s="12">
        <v>1066.23</v>
      </c>
      <c r="V136" s="1" t="s">
        <v>78</v>
      </c>
      <c r="W136" s="1" t="s">
        <v>79</v>
      </c>
      <c r="X136" s="1" t="s">
        <v>74</v>
      </c>
      <c r="Y136" s="1" t="s">
        <v>259</v>
      </c>
      <c r="Z136" s="1" t="s">
        <v>80</v>
      </c>
      <c r="AA136" s="1" t="s">
        <v>260</v>
      </c>
      <c r="AB136" s="1" t="s">
        <v>74</v>
      </c>
      <c r="AC136" s="1" t="s">
        <v>74</v>
      </c>
      <c r="AD136" s="1" t="s">
        <v>74</v>
      </c>
      <c r="AE136" s="11">
        <v>46027</v>
      </c>
      <c r="AF136" s="11"/>
      <c r="AG136" s="1" t="s">
        <v>74</v>
      </c>
      <c r="AJ136" cm="1">
        <f t="array" ref="AJ136:AK136">_xlfn.XLOOKUP(M136,'Customer Data Vlookup'!$L:$L,'Customer Data Vlookup'!$M:$N,,0)</f>
        <v>0</v>
      </c>
      <c r="AK136" s="47">
        <v>1066.231</v>
      </c>
      <c r="AL136" s="47">
        <f>AK136-AJ136</f>
        <v>1066.231</v>
      </c>
      <c r="AM136" s="58">
        <f>U136-AL136</f>
        <v>-9.9999999997635314E-4</v>
      </c>
    </row>
    <row r="137" spans="1:39" hidden="1" x14ac:dyDescent="0.35">
      <c r="A137" s="1" t="s">
        <v>124</v>
      </c>
      <c r="B137" s="1" t="s">
        <v>67</v>
      </c>
      <c r="C137" s="1" t="s">
        <v>68</v>
      </c>
      <c r="D137" s="1" t="s">
        <v>69</v>
      </c>
      <c r="E137" s="1" t="s">
        <v>33</v>
      </c>
      <c r="F137" s="1" t="s">
        <v>80</v>
      </c>
      <c r="G137" s="11">
        <v>46027</v>
      </c>
      <c r="H137" s="25">
        <v>1800015963</v>
      </c>
      <c r="I137" s="1" t="s">
        <v>9</v>
      </c>
      <c r="J137" s="11">
        <v>46027</v>
      </c>
      <c r="K137" s="11">
        <v>46027</v>
      </c>
      <c r="L137" s="1" t="s">
        <v>261</v>
      </c>
      <c r="M137" s="35">
        <v>256779440080</v>
      </c>
      <c r="N137" s="1" t="s">
        <v>72</v>
      </c>
      <c r="O137" s="1" t="s">
        <v>73</v>
      </c>
      <c r="P137" s="1" t="s">
        <v>74</v>
      </c>
      <c r="Q137" s="1" t="s">
        <v>83</v>
      </c>
      <c r="R137" s="1" t="s">
        <v>76</v>
      </c>
      <c r="S137" s="12">
        <v>41.46</v>
      </c>
      <c r="T137" s="1" t="s">
        <v>77</v>
      </c>
      <c r="U137" s="12">
        <v>3762.21</v>
      </c>
      <c r="V137" s="1" t="s">
        <v>78</v>
      </c>
      <c r="W137" s="1" t="s">
        <v>79</v>
      </c>
      <c r="X137" s="1" t="s">
        <v>74</v>
      </c>
      <c r="Y137" s="1" t="s">
        <v>71</v>
      </c>
      <c r="Z137" s="1" t="s">
        <v>80</v>
      </c>
      <c r="AA137" s="1" t="s">
        <v>262</v>
      </c>
      <c r="AB137" s="1" t="s">
        <v>74</v>
      </c>
      <c r="AC137" s="1" t="s">
        <v>74</v>
      </c>
      <c r="AD137" s="1" t="s">
        <v>74</v>
      </c>
      <c r="AE137" s="11">
        <v>46027</v>
      </c>
      <c r="AF137" s="11"/>
      <c r="AG137" s="1" t="s">
        <v>74</v>
      </c>
      <c r="AJ137" t="e" cm="1">
        <f t="array" ref="AJ137">_xlfn.XLOOKUP(M137,'Customer Data Vlookup'!$L:$L,'Customer Data Vlookup'!$M:$N,,0)</f>
        <v>#N/A</v>
      </c>
    </row>
    <row r="138" spans="1:39" x14ac:dyDescent="0.35">
      <c r="A138" s="1" t="s">
        <v>124</v>
      </c>
      <c r="B138" s="1" t="s">
        <v>67</v>
      </c>
      <c r="C138" s="1" t="s">
        <v>68</v>
      </c>
      <c r="D138" s="1" t="s">
        <v>69</v>
      </c>
      <c r="E138" s="1" t="s">
        <v>33</v>
      </c>
      <c r="F138" s="1" t="s">
        <v>80</v>
      </c>
      <c r="G138" s="11">
        <v>46027</v>
      </c>
      <c r="H138" s="25">
        <v>1800016087</v>
      </c>
      <c r="I138" s="1" t="s">
        <v>9</v>
      </c>
      <c r="J138" s="11">
        <v>46027</v>
      </c>
      <c r="K138" s="11">
        <v>46027</v>
      </c>
      <c r="L138" s="1" t="s">
        <v>263</v>
      </c>
      <c r="M138" s="35">
        <v>256779440118</v>
      </c>
      <c r="N138" s="1" t="s">
        <v>72</v>
      </c>
      <c r="O138" s="1" t="s">
        <v>73</v>
      </c>
      <c r="P138" s="1" t="s">
        <v>74</v>
      </c>
      <c r="Q138" s="1" t="s">
        <v>83</v>
      </c>
      <c r="R138" s="1" t="s">
        <v>76</v>
      </c>
      <c r="S138" s="12">
        <v>99</v>
      </c>
      <c r="T138" s="1" t="s">
        <v>77</v>
      </c>
      <c r="U138" s="12">
        <v>8983.57</v>
      </c>
      <c r="V138" s="1" t="s">
        <v>78</v>
      </c>
      <c r="W138" s="1" t="s">
        <v>79</v>
      </c>
      <c r="X138" s="1" t="s">
        <v>74</v>
      </c>
      <c r="Y138" s="1" t="s">
        <v>71</v>
      </c>
      <c r="Z138" s="1" t="s">
        <v>80</v>
      </c>
      <c r="AA138" s="1" t="s">
        <v>264</v>
      </c>
      <c r="AB138" s="1" t="s">
        <v>74</v>
      </c>
      <c r="AC138" s="1" t="s">
        <v>74</v>
      </c>
      <c r="AD138" s="1" t="s">
        <v>74</v>
      </c>
      <c r="AE138" s="11">
        <v>46027</v>
      </c>
      <c r="AF138" s="11"/>
      <c r="AG138" s="1" t="s">
        <v>74</v>
      </c>
      <c r="AJ138" cm="1">
        <f t="array" ref="AJ138:AK138">_xlfn.XLOOKUP(M138,'Customer Data Vlookup'!$L:$L,'Customer Data Vlookup'!$M:$N,,0)</f>
        <v>181</v>
      </c>
      <c r="AK138" s="47">
        <v>8983.0849999999991</v>
      </c>
      <c r="AL138" s="47">
        <f t="shared" ref="AL138:AL139" si="18">AK138-AJ138</f>
        <v>8802.0849999999991</v>
      </c>
      <c r="AM138" s="58">
        <f t="shared" ref="AM138:AM139" si="19">U138-AL138</f>
        <v>181.48500000000058</v>
      </c>
    </row>
    <row r="139" spans="1:39" x14ac:dyDescent="0.35">
      <c r="A139" s="1" t="s">
        <v>124</v>
      </c>
      <c r="B139" s="1" t="s">
        <v>67</v>
      </c>
      <c r="C139" s="1" t="s">
        <v>68</v>
      </c>
      <c r="D139" s="1" t="s">
        <v>69</v>
      </c>
      <c r="E139" s="1" t="s">
        <v>33</v>
      </c>
      <c r="F139" s="1" t="s">
        <v>80</v>
      </c>
      <c r="G139" s="11">
        <v>46027</v>
      </c>
      <c r="H139" s="25">
        <v>1800016101</v>
      </c>
      <c r="I139" s="1" t="s">
        <v>9</v>
      </c>
      <c r="J139" s="11">
        <v>46027</v>
      </c>
      <c r="K139" s="11">
        <v>46027</v>
      </c>
      <c r="L139" s="1" t="s">
        <v>71</v>
      </c>
      <c r="M139" s="35">
        <v>256779440122</v>
      </c>
      <c r="N139" s="1" t="s">
        <v>72</v>
      </c>
      <c r="O139" s="1" t="s">
        <v>73</v>
      </c>
      <c r="P139" s="1" t="s">
        <v>74</v>
      </c>
      <c r="Q139" s="1" t="s">
        <v>83</v>
      </c>
      <c r="R139" s="1" t="s">
        <v>76</v>
      </c>
      <c r="S139" s="12">
        <v>123.27</v>
      </c>
      <c r="T139" s="1" t="s">
        <v>77</v>
      </c>
      <c r="U139" s="12">
        <v>11185.91</v>
      </c>
      <c r="V139" s="1" t="s">
        <v>78</v>
      </c>
      <c r="W139" s="1" t="s">
        <v>79</v>
      </c>
      <c r="X139" s="1" t="s">
        <v>74</v>
      </c>
      <c r="Y139" s="1" t="s">
        <v>265</v>
      </c>
      <c r="Z139" s="1" t="s">
        <v>80</v>
      </c>
      <c r="AA139" s="1" t="s">
        <v>266</v>
      </c>
      <c r="AB139" s="1" t="s">
        <v>74</v>
      </c>
      <c r="AC139" s="1" t="s">
        <v>74</v>
      </c>
      <c r="AD139" s="1" t="s">
        <v>74</v>
      </c>
      <c r="AE139" s="11">
        <v>46027</v>
      </c>
      <c r="AF139" s="11"/>
      <c r="AG139" s="1" t="s">
        <v>74</v>
      </c>
      <c r="AJ139" cm="1">
        <f t="array" ref="AJ139:AK139">_xlfn.XLOOKUP(M139,'Customer Data Vlookup'!$L:$L,'Customer Data Vlookup'!$M:$N,,0)</f>
        <v>181</v>
      </c>
      <c r="AK139" s="47">
        <v>11185.420599999999</v>
      </c>
      <c r="AL139" s="47">
        <f t="shared" si="18"/>
        <v>11004.420599999999</v>
      </c>
      <c r="AM139" s="58">
        <f t="shared" si="19"/>
        <v>181.48940000000039</v>
      </c>
    </row>
    <row r="140" spans="1:39" hidden="1" x14ac:dyDescent="0.35">
      <c r="A140" s="1" t="s">
        <v>124</v>
      </c>
      <c r="B140" s="1" t="s">
        <v>67</v>
      </c>
      <c r="C140" s="1" t="s">
        <v>68</v>
      </c>
      <c r="D140" s="1" t="s">
        <v>69</v>
      </c>
      <c r="E140" s="1" t="s">
        <v>33</v>
      </c>
      <c r="F140" s="1" t="s">
        <v>80</v>
      </c>
      <c r="G140" s="11">
        <v>46030</v>
      </c>
      <c r="H140" s="25">
        <v>1400002411</v>
      </c>
      <c r="I140" s="1" t="s">
        <v>11</v>
      </c>
      <c r="J140" s="11">
        <v>46030</v>
      </c>
      <c r="K140" s="11">
        <v>46030</v>
      </c>
      <c r="L140" s="1" t="s">
        <v>267</v>
      </c>
      <c r="M140" s="35" t="s">
        <v>74</v>
      </c>
      <c r="N140" s="1" t="s">
        <v>72</v>
      </c>
      <c r="O140" s="1" t="s">
        <v>73</v>
      </c>
      <c r="P140" s="1" t="s">
        <v>74</v>
      </c>
      <c r="Q140" s="1" t="s">
        <v>268</v>
      </c>
      <c r="R140" s="1" t="s">
        <v>77</v>
      </c>
      <c r="S140" s="12">
        <v>-500000</v>
      </c>
      <c r="T140" s="1" t="s">
        <v>77</v>
      </c>
      <c r="U140" s="12">
        <v>-500000</v>
      </c>
      <c r="V140" s="1" t="s">
        <v>74</v>
      </c>
      <c r="W140" s="1" t="s">
        <v>269</v>
      </c>
      <c r="X140" s="1" t="s">
        <v>74</v>
      </c>
      <c r="Y140" s="1" t="s">
        <v>74</v>
      </c>
      <c r="Z140" s="1" t="s">
        <v>213</v>
      </c>
      <c r="AA140" s="1" t="s">
        <v>74</v>
      </c>
      <c r="AB140" s="1" t="s">
        <v>74</v>
      </c>
      <c r="AC140" s="1" t="s">
        <v>74</v>
      </c>
      <c r="AD140" s="1" t="s">
        <v>74</v>
      </c>
      <c r="AE140" s="11">
        <v>46030</v>
      </c>
      <c r="AF140" s="11"/>
      <c r="AG140" s="1" t="s">
        <v>74</v>
      </c>
      <c r="AJ140" t="e" cm="1">
        <f t="array" ref="AJ140">_xlfn.XLOOKUP(M140,'Customer Data Vlookup'!$L:$L,'Customer Data Vlookup'!$M:$N,,0)</f>
        <v>#N/A</v>
      </c>
    </row>
    <row r="141" spans="1:39" hidden="1" x14ac:dyDescent="0.35">
      <c r="A141" s="1" t="s">
        <v>124</v>
      </c>
      <c r="B141" s="1" t="s">
        <v>67</v>
      </c>
      <c r="C141" s="1" t="s">
        <v>68</v>
      </c>
      <c r="D141" s="1" t="s">
        <v>69</v>
      </c>
      <c r="E141" s="1" t="s">
        <v>33</v>
      </c>
      <c r="F141" s="1" t="s">
        <v>80</v>
      </c>
      <c r="G141" s="11">
        <v>46031</v>
      </c>
      <c r="H141" s="25">
        <v>1800016160</v>
      </c>
      <c r="I141" s="1" t="s">
        <v>9</v>
      </c>
      <c r="J141" s="11">
        <v>46031</v>
      </c>
      <c r="K141" s="11">
        <v>46031</v>
      </c>
      <c r="L141" s="1" t="s">
        <v>71</v>
      </c>
      <c r="M141" s="35">
        <v>256779440130</v>
      </c>
      <c r="N141" s="1" t="s">
        <v>72</v>
      </c>
      <c r="O141" s="1" t="s">
        <v>73</v>
      </c>
      <c r="P141" s="1" t="s">
        <v>74</v>
      </c>
      <c r="Q141" s="1" t="s">
        <v>83</v>
      </c>
      <c r="R141" s="1" t="s">
        <v>76</v>
      </c>
      <c r="S141" s="12">
        <v>16.45</v>
      </c>
      <c r="T141" s="1" t="s">
        <v>77</v>
      </c>
      <c r="U141" s="12">
        <v>1492.72</v>
      </c>
      <c r="V141" s="1" t="s">
        <v>78</v>
      </c>
      <c r="W141" s="1" t="s">
        <v>79</v>
      </c>
      <c r="X141" s="1" t="s">
        <v>74</v>
      </c>
      <c r="Y141" s="1" t="s">
        <v>71</v>
      </c>
      <c r="Z141" s="1" t="s">
        <v>80</v>
      </c>
      <c r="AA141" s="1" t="s">
        <v>183</v>
      </c>
      <c r="AB141" s="1" t="s">
        <v>74</v>
      </c>
      <c r="AC141" s="1" t="s">
        <v>74</v>
      </c>
      <c r="AD141" s="1" t="s">
        <v>74</v>
      </c>
      <c r="AE141" s="11">
        <v>46031</v>
      </c>
      <c r="AF141" s="11"/>
      <c r="AG141" s="1" t="s">
        <v>74</v>
      </c>
      <c r="AJ141" t="e" cm="1">
        <f t="array" ref="AJ141">_xlfn.XLOOKUP(M141,'Customer Data Vlookup'!$L:$L,'Customer Data Vlookup'!$M:$N,,0)</f>
        <v>#N/A</v>
      </c>
    </row>
    <row r="142" spans="1:39" hidden="1" x14ac:dyDescent="0.35">
      <c r="A142" s="1" t="s">
        <v>124</v>
      </c>
      <c r="B142" s="1" t="s">
        <v>67</v>
      </c>
      <c r="C142" s="1" t="s">
        <v>68</v>
      </c>
      <c r="D142" s="1" t="s">
        <v>69</v>
      </c>
      <c r="E142" s="1" t="s">
        <v>33</v>
      </c>
      <c r="F142" s="1" t="s">
        <v>80</v>
      </c>
      <c r="G142" s="11">
        <v>46028</v>
      </c>
      <c r="H142" s="25">
        <v>1800016202</v>
      </c>
      <c r="I142" s="1" t="s">
        <v>9</v>
      </c>
      <c r="J142" s="11">
        <v>46028</v>
      </c>
      <c r="K142" s="11">
        <v>46031</v>
      </c>
      <c r="L142" s="1" t="s">
        <v>270</v>
      </c>
      <c r="M142" s="35">
        <v>256779440143</v>
      </c>
      <c r="N142" s="1" t="s">
        <v>72</v>
      </c>
      <c r="O142" s="1" t="s">
        <v>73</v>
      </c>
      <c r="P142" s="1" t="s">
        <v>74</v>
      </c>
      <c r="Q142" s="1" t="s">
        <v>83</v>
      </c>
      <c r="R142" s="1" t="s">
        <v>76</v>
      </c>
      <c r="S142" s="12">
        <v>360.75</v>
      </c>
      <c r="T142" s="1" t="s">
        <v>77</v>
      </c>
      <c r="U142" s="12">
        <v>32735.59</v>
      </c>
      <c r="V142" s="1" t="s">
        <v>78</v>
      </c>
      <c r="W142" s="1" t="s">
        <v>79</v>
      </c>
      <c r="X142" s="1" t="s">
        <v>74</v>
      </c>
      <c r="Y142" s="1" t="s">
        <v>71</v>
      </c>
      <c r="Z142" s="1" t="s">
        <v>80</v>
      </c>
      <c r="AA142" s="1" t="s">
        <v>271</v>
      </c>
      <c r="AB142" s="1" t="s">
        <v>74</v>
      </c>
      <c r="AC142" s="1" t="s">
        <v>74</v>
      </c>
      <c r="AD142" s="1" t="s">
        <v>74</v>
      </c>
      <c r="AE142" s="11">
        <v>46028</v>
      </c>
      <c r="AF142" s="11"/>
      <c r="AG142" s="1" t="s">
        <v>74</v>
      </c>
      <c r="AJ142" t="e" cm="1">
        <f t="array" ref="AJ142">_xlfn.XLOOKUP(M142,'Customer Data Vlookup'!$L:$L,'Customer Data Vlookup'!$M:$N,,0)</f>
        <v>#N/A</v>
      </c>
    </row>
    <row r="143" spans="1:39" hidden="1" x14ac:dyDescent="0.35">
      <c r="A143" s="1" t="s">
        <v>124</v>
      </c>
      <c r="B143" s="1" t="s">
        <v>67</v>
      </c>
      <c r="C143" s="1" t="s">
        <v>68</v>
      </c>
      <c r="D143" s="1" t="s">
        <v>69</v>
      </c>
      <c r="E143" s="1" t="s">
        <v>33</v>
      </c>
      <c r="F143" s="1" t="s">
        <v>80</v>
      </c>
      <c r="G143" s="11">
        <v>46028</v>
      </c>
      <c r="H143" s="25">
        <v>1800016282</v>
      </c>
      <c r="I143" s="1" t="s">
        <v>9</v>
      </c>
      <c r="J143" s="11">
        <v>46028</v>
      </c>
      <c r="K143" s="11">
        <v>46031</v>
      </c>
      <c r="L143" s="1" t="s">
        <v>272</v>
      </c>
      <c r="M143" s="35">
        <v>256779440162</v>
      </c>
      <c r="N143" s="1" t="s">
        <v>72</v>
      </c>
      <c r="O143" s="1" t="s">
        <v>73</v>
      </c>
      <c r="P143" s="1" t="s">
        <v>74</v>
      </c>
      <c r="Q143" s="1" t="s">
        <v>83</v>
      </c>
      <c r="R143" s="1" t="s">
        <v>76</v>
      </c>
      <c r="S143" s="12">
        <v>505.46</v>
      </c>
      <c r="T143" s="1" t="s">
        <v>77</v>
      </c>
      <c r="U143" s="12">
        <v>45867.03</v>
      </c>
      <c r="V143" s="1" t="s">
        <v>78</v>
      </c>
      <c r="W143" s="1" t="s">
        <v>79</v>
      </c>
      <c r="X143" s="1" t="s">
        <v>74</v>
      </c>
      <c r="Y143" s="1" t="s">
        <v>71</v>
      </c>
      <c r="Z143" s="1" t="s">
        <v>80</v>
      </c>
      <c r="AA143" s="1" t="s">
        <v>273</v>
      </c>
      <c r="AB143" s="1" t="s">
        <v>74</v>
      </c>
      <c r="AC143" s="1" t="s">
        <v>74</v>
      </c>
      <c r="AD143" s="1" t="s">
        <v>74</v>
      </c>
      <c r="AE143" s="11">
        <v>46028</v>
      </c>
      <c r="AF143" s="11"/>
      <c r="AG143" s="1" t="s">
        <v>74</v>
      </c>
      <c r="AJ143" t="e" cm="1">
        <f t="array" ref="AJ143">_xlfn.XLOOKUP(M143,'Customer Data Vlookup'!$L:$L,'Customer Data Vlookup'!$M:$N,,0)</f>
        <v>#N/A</v>
      </c>
    </row>
    <row r="144" spans="1:39" hidden="1" x14ac:dyDescent="0.35">
      <c r="A144" s="1" t="s">
        <v>124</v>
      </c>
      <c r="B144" s="1" t="s">
        <v>67</v>
      </c>
      <c r="C144" s="1" t="s">
        <v>68</v>
      </c>
      <c r="D144" s="1" t="s">
        <v>69</v>
      </c>
      <c r="E144" s="1" t="s">
        <v>33</v>
      </c>
      <c r="F144" s="1" t="s">
        <v>80</v>
      </c>
      <c r="G144" s="11">
        <v>46034</v>
      </c>
      <c r="H144" s="25">
        <v>1800016314</v>
      </c>
      <c r="I144" s="1" t="s">
        <v>9</v>
      </c>
      <c r="J144" s="11">
        <v>46034</v>
      </c>
      <c r="K144" s="11">
        <v>46034</v>
      </c>
      <c r="L144" s="1" t="s">
        <v>274</v>
      </c>
      <c r="M144" s="35">
        <v>256779440167</v>
      </c>
      <c r="N144" s="1" t="s">
        <v>72</v>
      </c>
      <c r="O144" s="1" t="s">
        <v>73</v>
      </c>
      <c r="P144" s="1" t="s">
        <v>74</v>
      </c>
      <c r="Q144" s="1" t="s">
        <v>83</v>
      </c>
      <c r="R144" s="1" t="s">
        <v>76</v>
      </c>
      <c r="S144" s="12">
        <v>188</v>
      </c>
      <c r="T144" s="1" t="s">
        <v>77</v>
      </c>
      <c r="U144" s="12">
        <v>17059.71</v>
      </c>
      <c r="V144" s="1" t="s">
        <v>78</v>
      </c>
      <c r="W144" s="1" t="s">
        <v>79</v>
      </c>
      <c r="X144" s="1" t="s">
        <v>74</v>
      </c>
      <c r="Y144" s="1" t="s">
        <v>71</v>
      </c>
      <c r="Z144" s="1" t="s">
        <v>80</v>
      </c>
      <c r="AA144" s="1" t="s">
        <v>275</v>
      </c>
      <c r="AB144" s="1" t="s">
        <v>74</v>
      </c>
      <c r="AC144" s="1" t="s">
        <v>74</v>
      </c>
      <c r="AD144" s="1" t="s">
        <v>74</v>
      </c>
      <c r="AE144" s="11">
        <v>46034</v>
      </c>
      <c r="AF144" s="11"/>
      <c r="AG144" s="1" t="s">
        <v>74</v>
      </c>
      <c r="AJ144" t="e" cm="1">
        <f t="array" ref="AJ144">_xlfn.XLOOKUP(M144,'Customer Data Vlookup'!$L:$L,'Customer Data Vlookup'!$M:$N,,0)</f>
        <v>#N/A</v>
      </c>
    </row>
    <row r="145" spans="1:39" hidden="1" x14ac:dyDescent="0.35">
      <c r="A145" s="1" t="s">
        <v>124</v>
      </c>
      <c r="B145" s="1" t="s">
        <v>67</v>
      </c>
      <c r="C145" s="1" t="s">
        <v>68</v>
      </c>
      <c r="D145" s="1" t="s">
        <v>69</v>
      </c>
      <c r="E145" s="1" t="s">
        <v>33</v>
      </c>
      <c r="F145" s="1" t="s">
        <v>80</v>
      </c>
      <c r="G145" s="11">
        <v>46034</v>
      </c>
      <c r="H145" s="25">
        <v>1800016321</v>
      </c>
      <c r="I145" s="1" t="s">
        <v>9</v>
      </c>
      <c r="J145" s="11">
        <v>46034</v>
      </c>
      <c r="K145" s="11">
        <v>46034</v>
      </c>
      <c r="L145" s="1" t="s">
        <v>276</v>
      </c>
      <c r="M145" s="35">
        <v>256779440174</v>
      </c>
      <c r="N145" s="1" t="s">
        <v>72</v>
      </c>
      <c r="O145" s="1" t="s">
        <v>73</v>
      </c>
      <c r="P145" s="1" t="s">
        <v>74</v>
      </c>
      <c r="Q145" s="1" t="s">
        <v>83</v>
      </c>
      <c r="R145" s="1" t="s">
        <v>76</v>
      </c>
      <c r="S145" s="12">
        <v>48.8</v>
      </c>
      <c r="T145" s="1" t="s">
        <v>77</v>
      </c>
      <c r="U145" s="12">
        <v>4428.2700000000004</v>
      </c>
      <c r="V145" s="1" t="s">
        <v>78</v>
      </c>
      <c r="W145" s="1" t="s">
        <v>79</v>
      </c>
      <c r="X145" s="1" t="s">
        <v>74</v>
      </c>
      <c r="Y145" s="1" t="s">
        <v>71</v>
      </c>
      <c r="Z145" s="1" t="s">
        <v>80</v>
      </c>
      <c r="AA145" s="1" t="s">
        <v>277</v>
      </c>
      <c r="AB145" s="1" t="s">
        <v>74</v>
      </c>
      <c r="AC145" s="1" t="s">
        <v>74</v>
      </c>
      <c r="AD145" s="1" t="s">
        <v>74</v>
      </c>
      <c r="AE145" s="11">
        <v>46034</v>
      </c>
      <c r="AF145" s="11"/>
      <c r="AG145" s="1" t="s">
        <v>74</v>
      </c>
      <c r="AJ145" t="e" cm="1">
        <f t="array" ref="AJ145">_xlfn.XLOOKUP(M145,'Customer Data Vlookup'!$L:$L,'Customer Data Vlookup'!$M:$N,,0)</f>
        <v>#N/A</v>
      </c>
    </row>
    <row r="146" spans="1:39" x14ac:dyDescent="0.35">
      <c r="A146" s="1" t="s">
        <v>124</v>
      </c>
      <c r="B146" s="1" t="s">
        <v>67</v>
      </c>
      <c r="C146" s="1" t="s">
        <v>68</v>
      </c>
      <c r="D146" s="1" t="s">
        <v>69</v>
      </c>
      <c r="E146" s="1" t="s">
        <v>33</v>
      </c>
      <c r="F146" s="1" t="s">
        <v>80</v>
      </c>
      <c r="G146" s="11">
        <v>46028</v>
      </c>
      <c r="H146" s="25">
        <v>1800016502</v>
      </c>
      <c r="I146" s="1" t="s">
        <v>9</v>
      </c>
      <c r="J146" s="11">
        <v>46028</v>
      </c>
      <c r="K146" s="11">
        <v>46034</v>
      </c>
      <c r="L146" s="1" t="s">
        <v>278</v>
      </c>
      <c r="M146" s="35">
        <v>256779440210</v>
      </c>
      <c r="N146" s="1" t="s">
        <v>72</v>
      </c>
      <c r="O146" s="1" t="s">
        <v>73</v>
      </c>
      <c r="P146" s="1" t="s">
        <v>74</v>
      </c>
      <c r="Q146" s="1" t="s">
        <v>83</v>
      </c>
      <c r="R146" s="1" t="s">
        <v>76</v>
      </c>
      <c r="S146" s="12">
        <v>77.849999999999994</v>
      </c>
      <c r="T146" s="1" t="s">
        <v>77</v>
      </c>
      <c r="U146" s="12">
        <v>7064.35</v>
      </c>
      <c r="V146" s="1" t="s">
        <v>78</v>
      </c>
      <c r="W146" s="1" t="s">
        <v>79</v>
      </c>
      <c r="X146" s="1" t="s">
        <v>74</v>
      </c>
      <c r="Y146" s="1" t="s">
        <v>71</v>
      </c>
      <c r="Z146" s="1" t="s">
        <v>80</v>
      </c>
      <c r="AA146" s="1" t="s">
        <v>264</v>
      </c>
      <c r="AB146" s="1" t="s">
        <v>74</v>
      </c>
      <c r="AC146" s="1" t="s">
        <v>74</v>
      </c>
      <c r="AD146" s="1" t="s">
        <v>74</v>
      </c>
      <c r="AE146" s="11">
        <v>46028</v>
      </c>
      <c r="AF146" s="11"/>
      <c r="AG146" s="1" t="s">
        <v>74</v>
      </c>
      <c r="AJ146" cm="1">
        <f t="array" ref="AJ146:AK146">_xlfn.XLOOKUP(M146,'Customer Data Vlookup'!$L:$L,'Customer Data Vlookup'!$M:$N,,0)</f>
        <v>181</v>
      </c>
      <c r="AK146" s="47">
        <v>7063.8671999999997</v>
      </c>
      <c r="AL146" s="47">
        <f>AK146-AJ146</f>
        <v>6882.8671999999997</v>
      </c>
      <c r="AM146" s="58">
        <f>U146-AL146</f>
        <v>181.48280000000068</v>
      </c>
    </row>
    <row r="147" spans="1:39" hidden="1" x14ac:dyDescent="0.35">
      <c r="A147" s="1" t="s">
        <v>124</v>
      </c>
      <c r="B147" s="1" t="s">
        <v>67</v>
      </c>
      <c r="C147" s="1" t="s">
        <v>68</v>
      </c>
      <c r="D147" s="1" t="s">
        <v>69</v>
      </c>
      <c r="E147" s="1" t="s">
        <v>33</v>
      </c>
      <c r="F147" s="1" t="s">
        <v>80</v>
      </c>
      <c r="G147" s="11">
        <v>46034</v>
      </c>
      <c r="H147" s="25">
        <v>1800016416</v>
      </c>
      <c r="I147" s="1" t="s">
        <v>9</v>
      </c>
      <c r="J147" s="11">
        <v>46034</v>
      </c>
      <c r="K147" s="11">
        <v>46034</v>
      </c>
      <c r="L147" s="1" t="s">
        <v>279</v>
      </c>
      <c r="M147" s="35">
        <v>256779440229</v>
      </c>
      <c r="N147" s="1" t="s">
        <v>72</v>
      </c>
      <c r="O147" s="1" t="s">
        <v>73</v>
      </c>
      <c r="P147" s="1" t="s">
        <v>74</v>
      </c>
      <c r="Q147" s="1" t="s">
        <v>83</v>
      </c>
      <c r="R147" s="1" t="s">
        <v>76</v>
      </c>
      <c r="S147" s="12">
        <v>308.79000000000002</v>
      </c>
      <c r="T147" s="1" t="s">
        <v>77</v>
      </c>
      <c r="U147" s="12">
        <v>28020.57</v>
      </c>
      <c r="V147" s="1" t="s">
        <v>78</v>
      </c>
      <c r="W147" s="1" t="s">
        <v>79</v>
      </c>
      <c r="X147" s="1" t="s">
        <v>74</v>
      </c>
      <c r="Y147" s="1" t="s">
        <v>71</v>
      </c>
      <c r="Z147" s="1" t="s">
        <v>80</v>
      </c>
      <c r="AA147" s="1" t="s">
        <v>280</v>
      </c>
      <c r="AB147" s="1" t="s">
        <v>74</v>
      </c>
      <c r="AC147" s="1" t="s">
        <v>74</v>
      </c>
      <c r="AD147" s="1" t="s">
        <v>74</v>
      </c>
      <c r="AE147" s="11">
        <v>46034</v>
      </c>
      <c r="AF147" s="11"/>
      <c r="AG147" s="1" t="s">
        <v>74</v>
      </c>
      <c r="AJ147" t="e" cm="1">
        <f t="array" ref="AJ147">_xlfn.XLOOKUP(M147,'Customer Data Vlookup'!$L:$L,'Customer Data Vlookup'!$M:$N,,0)</f>
        <v>#N/A</v>
      </c>
    </row>
    <row r="148" spans="1:39" hidden="1" x14ac:dyDescent="0.35">
      <c r="A148" s="1" t="s">
        <v>124</v>
      </c>
      <c r="B148" s="1" t="s">
        <v>67</v>
      </c>
      <c r="C148" s="1" t="s">
        <v>68</v>
      </c>
      <c r="D148" s="1" t="s">
        <v>69</v>
      </c>
      <c r="E148" s="1" t="s">
        <v>33</v>
      </c>
      <c r="F148" s="1" t="s">
        <v>80</v>
      </c>
      <c r="G148" s="11">
        <v>46028</v>
      </c>
      <c r="H148" s="25">
        <v>1800016345</v>
      </c>
      <c r="I148" s="1" t="s">
        <v>9</v>
      </c>
      <c r="J148" s="11">
        <v>46028</v>
      </c>
      <c r="K148" s="11">
        <v>46034</v>
      </c>
      <c r="L148" s="1" t="s">
        <v>281</v>
      </c>
      <c r="M148" s="35">
        <v>256779440235</v>
      </c>
      <c r="N148" s="1" t="s">
        <v>72</v>
      </c>
      <c r="O148" s="1" t="s">
        <v>73</v>
      </c>
      <c r="P148" s="1" t="s">
        <v>74</v>
      </c>
      <c r="Q148" s="1" t="s">
        <v>83</v>
      </c>
      <c r="R148" s="1" t="s">
        <v>76</v>
      </c>
      <c r="S148" s="12">
        <v>7267.85</v>
      </c>
      <c r="T148" s="1" t="s">
        <v>77</v>
      </c>
      <c r="U148" s="12">
        <v>659507.53</v>
      </c>
      <c r="V148" s="1" t="s">
        <v>78</v>
      </c>
      <c r="W148" s="1" t="s">
        <v>79</v>
      </c>
      <c r="X148" s="1" t="s">
        <v>74</v>
      </c>
      <c r="Y148" s="1" t="s">
        <v>71</v>
      </c>
      <c r="Z148" s="1" t="s">
        <v>80</v>
      </c>
      <c r="AA148" s="1" t="s">
        <v>282</v>
      </c>
      <c r="AB148" s="1" t="s">
        <v>74</v>
      </c>
      <c r="AC148" s="1" t="s">
        <v>74</v>
      </c>
      <c r="AD148" s="1" t="s">
        <v>74</v>
      </c>
      <c r="AE148" s="11">
        <v>46028</v>
      </c>
      <c r="AF148" s="11"/>
      <c r="AG148" s="1" t="s">
        <v>74</v>
      </c>
      <c r="AJ148" t="e" cm="1">
        <f t="array" ref="AJ148">_xlfn.XLOOKUP(M148,'Customer Data Vlookup'!$L:$L,'Customer Data Vlookup'!$M:$N,,0)</f>
        <v>#N/A</v>
      </c>
    </row>
    <row r="149" spans="1:39" hidden="1" x14ac:dyDescent="0.35">
      <c r="A149" s="1" t="s">
        <v>124</v>
      </c>
      <c r="B149" s="1" t="s">
        <v>67</v>
      </c>
      <c r="C149" s="1" t="s">
        <v>68</v>
      </c>
      <c r="D149" s="1" t="s">
        <v>69</v>
      </c>
      <c r="E149" s="1" t="s">
        <v>33</v>
      </c>
      <c r="F149" s="1" t="s">
        <v>80</v>
      </c>
      <c r="G149" s="11">
        <v>46028</v>
      </c>
      <c r="H149" s="25">
        <v>1800016637</v>
      </c>
      <c r="I149" s="1" t="s">
        <v>9</v>
      </c>
      <c r="J149" s="11">
        <v>46028</v>
      </c>
      <c r="K149" s="11">
        <v>46035</v>
      </c>
      <c r="L149" s="1" t="s">
        <v>283</v>
      </c>
      <c r="M149" s="35">
        <v>256779440257</v>
      </c>
      <c r="N149" s="1" t="s">
        <v>72</v>
      </c>
      <c r="O149" s="1" t="s">
        <v>73</v>
      </c>
      <c r="P149" s="1" t="s">
        <v>74</v>
      </c>
      <c r="Q149" s="1" t="s">
        <v>83</v>
      </c>
      <c r="R149" s="1" t="s">
        <v>76</v>
      </c>
      <c r="S149" s="12">
        <v>4.7</v>
      </c>
      <c r="T149" s="1" t="s">
        <v>77</v>
      </c>
      <c r="U149" s="12">
        <v>426.49</v>
      </c>
      <c r="V149" s="1" t="s">
        <v>78</v>
      </c>
      <c r="W149" s="1" t="s">
        <v>79</v>
      </c>
      <c r="X149" s="1" t="s">
        <v>74</v>
      </c>
      <c r="Y149" s="1" t="s">
        <v>71</v>
      </c>
      <c r="Z149" s="1" t="s">
        <v>80</v>
      </c>
      <c r="AA149" s="1" t="s">
        <v>284</v>
      </c>
      <c r="AB149" s="1" t="s">
        <v>74</v>
      </c>
      <c r="AC149" s="1" t="s">
        <v>74</v>
      </c>
      <c r="AD149" s="1" t="s">
        <v>74</v>
      </c>
      <c r="AE149" s="11">
        <v>46028</v>
      </c>
      <c r="AF149" s="11"/>
      <c r="AG149" s="1" t="s">
        <v>74</v>
      </c>
      <c r="AJ149" t="e" cm="1">
        <f t="array" ref="AJ149">_xlfn.XLOOKUP(M149,'Customer Data Vlookup'!$L:$L,'Customer Data Vlookup'!$M:$N,,0)</f>
        <v>#N/A</v>
      </c>
    </row>
    <row r="150" spans="1:39" hidden="1" x14ac:dyDescent="0.35">
      <c r="A150" s="1" t="s">
        <v>124</v>
      </c>
      <c r="B150" s="1" t="s">
        <v>67</v>
      </c>
      <c r="C150" s="1" t="s">
        <v>68</v>
      </c>
      <c r="D150" s="1" t="s">
        <v>69</v>
      </c>
      <c r="E150" s="1" t="s">
        <v>33</v>
      </c>
      <c r="F150" s="1" t="s">
        <v>80</v>
      </c>
      <c r="G150" s="11">
        <v>46034</v>
      </c>
      <c r="H150" s="25">
        <v>1800016693</v>
      </c>
      <c r="I150" s="1" t="s">
        <v>9</v>
      </c>
      <c r="J150" s="11">
        <v>46034</v>
      </c>
      <c r="K150" s="11">
        <v>46035</v>
      </c>
      <c r="L150" s="1" t="s">
        <v>285</v>
      </c>
      <c r="M150" s="35">
        <v>256779440282</v>
      </c>
      <c r="N150" s="1" t="s">
        <v>72</v>
      </c>
      <c r="O150" s="1" t="s">
        <v>73</v>
      </c>
      <c r="P150" s="1" t="s">
        <v>74</v>
      </c>
      <c r="Q150" s="1" t="s">
        <v>83</v>
      </c>
      <c r="R150" s="1" t="s">
        <v>76</v>
      </c>
      <c r="S150" s="12">
        <v>498.5</v>
      </c>
      <c r="T150" s="1" t="s">
        <v>77</v>
      </c>
      <c r="U150" s="12">
        <v>45235.46</v>
      </c>
      <c r="V150" s="1" t="s">
        <v>78</v>
      </c>
      <c r="W150" s="1" t="s">
        <v>79</v>
      </c>
      <c r="X150" s="1" t="s">
        <v>74</v>
      </c>
      <c r="Y150" s="1" t="s">
        <v>71</v>
      </c>
      <c r="Z150" s="1" t="s">
        <v>80</v>
      </c>
      <c r="AA150" s="1" t="s">
        <v>286</v>
      </c>
      <c r="AB150" s="1" t="s">
        <v>74</v>
      </c>
      <c r="AC150" s="1" t="s">
        <v>74</v>
      </c>
      <c r="AD150" s="1" t="s">
        <v>74</v>
      </c>
      <c r="AE150" s="11">
        <v>46034</v>
      </c>
      <c r="AF150" s="11"/>
      <c r="AG150" s="1" t="s">
        <v>74</v>
      </c>
      <c r="AJ150" t="e" cm="1">
        <f t="array" ref="AJ150">_xlfn.XLOOKUP(M150,'Customer Data Vlookup'!$L:$L,'Customer Data Vlookup'!$M:$N,,0)</f>
        <v>#N/A</v>
      </c>
    </row>
    <row r="151" spans="1:39" hidden="1" x14ac:dyDescent="0.35">
      <c r="A151" s="1" t="s">
        <v>124</v>
      </c>
      <c r="B151" s="1" t="s">
        <v>67</v>
      </c>
      <c r="C151" s="1" t="s">
        <v>68</v>
      </c>
      <c r="D151" s="1" t="s">
        <v>69</v>
      </c>
      <c r="E151" s="1" t="s">
        <v>33</v>
      </c>
      <c r="F151" s="1" t="s">
        <v>80</v>
      </c>
      <c r="G151" s="11">
        <v>46028</v>
      </c>
      <c r="H151" s="25">
        <v>1800016623</v>
      </c>
      <c r="I151" s="1" t="s">
        <v>9</v>
      </c>
      <c r="J151" s="11">
        <v>46028</v>
      </c>
      <c r="K151" s="11">
        <v>46035</v>
      </c>
      <c r="L151" s="1" t="s">
        <v>71</v>
      </c>
      <c r="M151" s="35">
        <v>256779440332</v>
      </c>
      <c r="N151" s="1" t="s">
        <v>72</v>
      </c>
      <c r="O151" s="1" t="s">
        <v>73</v>
      </c>
      <c r="P151" s="1" t="s">
        <v>74</v>
      </c>
      <c r="Q151" s="1" t="s">
        <v>83</v>
      </c>
      <c r="R151" s="1" t="s">
        <v>76</v>
      </c>
      <c r="S151" s="12">
        <v>456.75</v>
      </c>
      <c r="T151" s="1" t="s">
        <v>77</v>
      </c>
      <c r="U151" s="12">
        <v>41446.93</v>
      </c>
      <c r="V151" s="1" t="s">
        <v>78</v>
      </c>
      <c r="W151" s="1" t="s">
        <v>79</v>
      </c>
      <c r="X151" s="1" t="s">
        <v>74</v>
      </c>
      <c r="Y151" s="1" t="s">
        <v>287</v>
      </c>
      <c r="Z151" s="1" t="s">
        <v>80</v>
      </c>
      <c r="AA151" s="1" t="s">
        <v>288</v>
      </c>
      <c r="AB151" s="1" t="s">
        <v>74</v>
      </c>
      <c r="AC151" s="1" t="s">
        <v>74</v>
      </c>
      <c r="AD151" s="1" t="s">
        <v>74</v>
      </c>
      <c r="AE151" s="11">
        <v>46028</v>
      </c>
      <c r="AF151" s="11"/>
      <c r="AG151" s="1" t="s">
        <v>74</v>
      </c>
      <c r="AJ151" t="e" cm="1">
        <f t="array" ref="AJ151">_xlfn.XLOOKUP(M151,'Customer Data Vlookup'!$L:$L,'Customer Data Vlookup'!$M:$N,,0)</f>
        <v>#N/A</v>
      </c>
    </row>
    <row r="152" spans="1:39" hidden="1" x14ac:dyDescent="0.35">
      <c r="A152" s="1" t="s">
        <v>124</v>
      </c>
      <c r="B152" s="1" t="s">
        <v>67</v>
      </c>
      <c r="C152" s="1" t="s">
        <v>68</v>
      </c>
      <c r="D152" s="1" t="s">
        <v>69</v>
      </c>
      <c r="E152" s="1" t="s">
        <v>33</v>
      </c>
      <c r="F152" s="1" t="s">
        <v>80</v>
      </c>
      <c r="G152" s="11">
        <v>46035</v>
      </c>
      <c r="H152" s="25">
        <v>1800016770</v>
      </c>
      <c r="I152" s="1" t="s">
        <v>9</v>
      </c>
      <c r="J152" s="11">
        <v>46035</v>
      </c>
      <c r="K152" s="11">
        <v>46035</v>
      </c>
      <c r="L152" s="1" t="s">
        <v>71</v>
      </c>
      <c r="M152" s="35">
        <v>256779440357</v>
      </c>
      <c r="N152" s="1" t="s">
        <v>72</v>
      </c>
      <c r="O152" s="1" t="s">
        <v>73</v>
      </c>
      <c r="P152" s="1" t="s">
        <v>74</v>
      </c>
      <c r="Q152" s="1" t="s">
        <v>83</v>
      </c>
      <c r="R152" s="1" t="s">
        <v>76</v>
      </c>
      <c r="S152" s="12">
        <v>70</v>
      </c>
      <c r="T152" s="1" t="s">
        <v>77</v>
      </c>
      <c r="U152" s="12">
        <v>6352.02</v>
      </c>
      <c r="V152" s="1" t="s">
        <v>78</v>
      </c>
      <c r="W152" s="1" t="s">
        <v>79</v>
      </c>
      <c r="X152" s="1" t="s">
        <v>74</v>
      </c>
      <c r="Y152" s="1" t="s">
        <v>289</v>
      </c>
      <c r="Z152" s="1" t="s">
        <v>80</v>
      </c>
      <c r="AA152" s="1" t="s">
        <v>290</v>
      </c>
      <c r="AB152" s="1" t="s">
        <v>74</v>
      </c>
      <c r="AC152" s="1" t="s">
        <v>74</v>
      </c>
      <c r="AD152" s="1" t="s">
        <v>74</v>
      </c>
      <c r="AE152" s="11">
        <v>46035</v>
      </c>
      <c r="AF152" s="11"/>
      <c r="AG152" s="1" t="s">
        <v>74</v>
      </c>
      <c r="AJ152" t="e" cm="1">
        <f t="array" ref="AJ152">_xlfn.XLOOKUP(M152,'Customer Data Vlookup'!$L:$L,'Customer Data Vlookup'!$M:$N,,0)</f>
        <v>#N/A</v>
      </c>
    </row>
    <row r="153" spans="1:39" x14ac:dyDescent="0.35">
      <c r="A153" s="1" t="s">
        <v>124</v>
      </c>
      <c r="B153" s="1" t="s">
        <v>67</v>
      </c>
      <c r="C153" s="1" t="s">
        <v>68</v>
      </c>
      <c r="D153" s="1" t="s">
        <v>69</v>
      </c>
      <c r="E153" s="1" t="s">
        <v>33</v>
      </c>
      <c r="F153" s="1" t="s">
        <v>80</v>
      </c>
      <c r="G153" s="11">
        <v>46043</v>
      </c>
      <c r="H153" s="25">
        <v>1800016935</v>
      </c>
      <c r="I153" s="1" t="s">
        <v>9</v>
      </c>
      <c r="J153" s="11">
        <v>46043</v>
      </c>
      <c r="K153" s="11">
        <v>46045</v>
      </c>
      <c r="L153" s="1" t="s">
        <v>291</v>
      </c>
      <c r="M153" s="35">
        <v>256779440383</v>
      </c>
      <c r="N153" s="1" t="s">
        <v>72</v>
      </c>
      <c r="O153" s="1" t="s">
        <v>73</v>
      </c>
      <c r="P153" s="1" t="s">
        <v>74</v>
      </c>
      <c r="Q153" s="1" t="s">
        <v>83</v>
      </c>
      <c r="R153" s="1" t="s">
        <v>76</v>
      </c>
      <c r="S153" s="12">
        <v>54.41</v>
      </c>
      <c r="T153" s="1" t="s">
        <v>77</v>
      </c>
      <c r="U153" s="12">
        <v>4937.33</v>
      </c>
      <c r="V153" s="1" t="s">
        <v>78</v>
      </c>
      <c r="W153" s="1" t="s">
        <v>79</v>
      </c>
      <c r="X153" s="1" t="s">
        <v>74</v>
      </c>
      <c r="Y153" s="1" t="s">
        <v>71</v>
      </c>
      <c r="Z153" s="1" t="s">
        <v>80</v>
      </c>
      <c r="AA153" s="1" t="s">
        <v>292</v>
      </c>
      <c r="AB153" s="1" t="s">
        <v>74</v>
      </c>
      <c r="AC153" s="1" t="s">
        <v>74</v>
      </c>
      <c r="AD153" s="1" t="s">
        <v>74</v>
      </c>
      <c r="AE153" s="11">
        <v>46043</v>
      </c>
      <c r="AF153" s="11"/>
      <c r="AG153" s="1" t="s">
        <v>74</v>
      </c>
      <c r="AJ153" cm="1">
        <f t="array" ref="AJ153:AK153">_xlfn.XLOOKUP(M153,'Customer Data Vlookup'!$L:$L,'Customer Data Vlookup'!$M:$N,,0)</f>
        <v>90</v>
      </c>
      <c r="AK153" s="47">
        <v>4904.3774000000003</v>
      </c>
      <c r="AL153" s="47">
        <f t="shared" ref="AL153:AL157" si="20">AK153-AJ153</f>
        <v>4814.3774000000003</v>
      </c>
      <c r="AM153" s="58">
        <f t="shared" ref="AM153:AM157" si="21">U153-AL153</f>
        <v>122.95259999999962</v>
      </c>
    </row>
    <row r="154" spans="1:39" x14ac:dyDescent="0.35">
      <c r="A154" s="1" t="s">
        <v>124</v>
      </c>
      <c r="B154" s="1" t="s">
        <v>67</v>
      </c>
      <c r="C154" s="1" t="s">
        <v>68</v>
      </c>
      <c r="D154" s="1" t="s">
        <v>69</v>
      </c>
      <c r="E154" s="1" t="s">
        <v>33</v>
      </c>
      <c r="F154" s="1" t="s">
        <v>80</v>
      </c>
      <c r="G154" s="11">
        <v>46044</v>
      </c>
      <c r="H154" s="25">
        <v>1800016986</v>
      </c>
      <c r="I154" s="1" t="s">
        <v>9</v>
      </c>
      <c r="J154" s="11">
        <v>46044</v>
      </c>
      <c r="K154" s="11">
        <v>46045</v>
      </c>
      <c r="L154" s="1" t="s">
        <v>71</v>
      </c>
      <c r="M154" s="35">
        <v>256779440392</v>
      </c>
      <c r="N154" s="1" t="s">
        <v>72</v>
      </c>
      <c r="O154" s="1" t="s">
        <v>73</v>
      </c>
      <c r="P154" s="1" t="s">
        <v>74</v>
      </c>
      <c r="Q154" s="1" t="s">
        <v>83</v>
      </c>
      <c r="R154" s="1" t="s">
        <v>76</v>
      </c>
      <c r="S154" s="12">
        <v>124.68</v>
      </c>
      <c r="T154" s="1" t="s">
        <v>77</v>
      </c>
      <c r="U154" s="12">
        <v>11313.85</v>
      </c>
      <c r="V154" s="1" t="s">
        <v>78</v>
      </c>
      <c r="W154" s="1" t="s">
        <v>79</v>
      </c>
      <c r="X154" s="1" t="s">
        <v>74</v>
      </c>
      <c r="Y154" s="1" t="s">
        <v>293</v>
      </c>
      <c r="Z154" s="1" t="s">
        <v>80</v>
      </c>
      <c r="AA154" s="1" t="s">
        <v>294</v>
      </c>
      <c r="AB154" s="1" t="s">
        <v>74</v>
      </c>
      <c r="AC154" s="1" t="s">
        <v>74</v>
      </c>
      <c r="AD154" s="1" t="s">
        <v>74</v>
      </c>
      <c r="AE154" s="11">
        <v>46044</v>
      </c>
      <c r="AF154" s="11"/>
      <c r="AG154" s="1" t="s">
        <v>74</v>
      </c>
      <c r="AJ154" cm="1">
        <f t="array" ref="AJ154:AK154">_xlfn.XLOOKUP(M154,'Customer Data Vlookup'!$L:$L,'Customer Data Vlookup'!$M:$N,,0)</f>
        <v>1089</v>
      </c>
      <c r="AK154" s="47">
        <v>11313.937</v>
      </c>
      <c r="AL154" s="47">
        <f t="shared" si="20"/>
        <v>10224.937</v>
      </c>
      <c r="AM154" s="58">
        <f t="shared" si="21"/>
        <v>1088.9130000000005</v>
      </c>
    </row>
    <row r="155" spans="1:39" x14ac:dyDescent="0.35">
      <c r="A155" s="1" t="s">
        <v>124</v>
      </c>
      <c r="B155" s="1" t="s">
        <v>67</v>
      </c>
      <c r="C155" s="1" t="s">
        <v>68</v>
      </c>
      <c r="D155" s="1" t="s">
        <v>69</v>
      </c>
      <c r="E155" s="1" t="s">
        <v>33</v>
      </c>
      <c r="F155" s="1" t="s">
        <v>80</v>
      </c>
      <c r="G155" s="11">
        <v>46044</v>
      </c>
      <c r="H155" s="25">
        <v>1800017004</v>
      </c>
      <c r="I155" s="1" t="s">
        <v>9</v>
      </c>
      <c r="J155" s="11">
        <v>46044</v>
      </c>
      <c r="K155" s="11">
        <v>46049</v>
      </c>
      <c r="L155" s="1" t="s">
        <v>295</v>
      </c>
      <c r="M155" s="35">
        <v>256779440394</v>
      </c>
      <c r="N155" s="1" t="s">
        <v>72</v>
      </c>
      <c r="O155" s="1" t="s">
        <v>73</v>
      </c>
      <c r="P155" s="1" t="s">
        <v>74</v>
      </c>
      <c r="Q155" s="1" t="s">
        <v>83</v>
      </c>
      <c r="R155" s="1" t="s">
        <v>76</v>
      </c>
      <c r="S155" s="12">
        <v>200.69</v>
      </c>
      <c r="T155" s="1" t="s">
        <v>77</v>
      </c>
      <c r="U155" s="12">
        <v>18211.240000000002</v>
      </c>
      <c r="V155" s="1" t="s">
        <v>78</v>
      </c>
      <c r="W155" s="1" t="s">
        <v>79</v>
      </c>
      <c r="X155" s="1" t="s">
        <v>74</v>
      </c>
      <c r="Y155" s="1" t="s">
        <v>71</v>
      </c>
      <c r="Z155" s="1" t="s">
        <v>80</v>
      </c>
      <c r="AA155" s="1" t="s">
        <v>296</v>
      </c>
      <c r="AB155" s="1" t="s">
        <v>74</v>
      </c>
      <c r="AC155" s="1" t="s">
        <v>74</v>
      </c>
      <c r="AD155" s="1" t="s">
        <v>74</v>
      </c>
      <c r="AE155" s="11">
        <v>46044</v>
      </c>
      <c r="AF155" s="11"/>
      <c r="AG155" s="1" t="s">
        <v>74</v>
      </c>
      <c r="AJ155" cm="1">
        <f t="array" ref="AJ155:AK155">_xlfn.XLOOKUP(M155,'Customer Data Vlookup'!$L:$L,'Customer Data Vlookup'!$M:$N,,0)</f>
        <v>1815</v>
      </c>
      <c r="AK155" s="47">
        <v>18211.378000000001</v>
      </c>
      <c r="AL155" s="47">
        <f t="shared" si="20"/>
        <v>16396.378000000001</v>
      </c>
      <c r="AM155" s="58">
        <f t="shared" si="21"/>
        <v>1814.862000000001</v>
      </c>
    </row>
    <row r="156" spans="1:39" x14ac:dyDescent="0.35">
      <c r="A156" s="1" t="s">
        <v>124</v>
      </c>
      <c r="B156" s="1" t="s">
        <v>67</v>
      </c>
      <c r="C156" s="1" t="s">
        <v>68</v>
      </c>
      <c r="D156" s="1" t="s">
        <v>69</v>
      </c>
      <c r="E156" s="1" t="s">
        <v>33</v>
      </c>
      <c r="F156" s="1" t="s">
        <v>80</v>
      </c>
      <c r="G156" s="11">
        <v>46045</v>
      </c>
      <c r="H156" s="25">
        <v>1800017063</v>
      </c>
      <c r="I156" s="1" t="s">
        <v>9</v>
      </c>
      <c r="J156" s="11">
        <v>46045</v>
      </c>
      <c r="K156" s="11">
        <v>46049</v>
      </c>
      <c r="L156" s="1" t="s">
        <v>297</v>
      </c>
      <c r="M156" s="35">
        <v>256779440413</v>
      </c>
      <c r="N156" s="1" t="s">
        <v>72</v>
      </c>
      <c r="O156" s="1" t="s">
        <v>73</v>
      </c>
      <c r="P156" s="1" t="s">
        <v>74</v>
      </c>
      <c r="Q156" s="1" t="s">
        <v>83</v>
      </c>
      <c r="R156" s="1" t="s">
        <v>76</v>
      </c>
      <c r="S156" s="12">
        <v>99</v>
      </c>
      <c r="T156" s="1" t="s">
        <v>77</v>
      </c>
      <c r="U156" s="12">
        <v>8983.57</v>
      </c>
      <c r="V156" s="1" t="s">
        <v>78</v>
      </c>
      <c r="W156" s="1" t="s">
        <v>79</v>
      </c>
      <c r="X156" s="1" t="s">
        <v>74</v>
      </c>
      <c r="Y156" s="1" t="s">
        <v>71</v>
      </c>
      <c r="Z156" s="1" t="s">
        <v>80</v>
      </c>
      <c r="AA156" s="1" t="s">
        <v>298</v>
      </c>
      <c r="AB156" s="1" t="s">
        <v>74</v>
      </c>
      <c r="AC156" s="1" t="s">
        <v>74</v>
      </c>
      <c r="AD156" s="1" t="s">
        <v>74</v>
      </c>
      <c r="AE156" s="11">
        <v>46045</v>
      </c>
      <c r="AF156" s="11"/>
      <c r="AG156" s="1" t="s">
        <v>74</v>
      </c>
      <c r="AJ156" cm="1">
        <f t="array" ref="AJ156:AK156">_xlfn.XLOOKUP(M156,'Customer Data Vlookup'!$L:$L,'Customer Data Vlookup'!$M:$N,,0)</f>
        <v>181</v>
      </c>
      <c r="AK156" s="47">
        <v>8983.0846000000001</v>
      </c>
      <c r="AL156" s="47">
        <f t="shared" si="20"/>
        <v>8802.0846000000001</v>
      </c>
      <c r="AM156" s="58">
        <f t="shared" si="21"/>
        <v>181.48539999999957</v>
      </c>
    </row>
    <row r="157" spans="1:39" x14ac:dyDescent="0.35">
      <c r="A157" s="1" t="s">
        <v>124</v>
      </c>
      <c r="B157" s="1" t="s">
        <v>67</v>
      </c>
      <c r="C157" s="1" t="s">
        <v>68</v>
      </c>
      <c r="D157" s="1" t="s">
        <v>69</v>
      </c>
      <c r="E157" s="1" t="s">
        <v>33</v>
      </c>
      <c r="F157" s="1" t="s">
        <v>80</v>
      </c>
      <c r="G157" s="11">
        <v>46045</v>
      </c>
      <c r="H157" s="25">
        <v>1800017108</v>
      </c>
      <c r="I157" s="1" t="s">
        <v>9</v>
      </c>
      <c r="J157" s="11">
        <v>46045</v>
      </c>
      <c r="K157" s="11">
        <v>46049</v>
      </c>
      <c r="L157" s="1" t="s">
        <v>299</v>
      </c>
      <c r="M157" s="35">
        <v>256779440429</v>
      </c>
      <c r="N157" s="1" t="s">
        <v>72</v>
      </c>
      <c r="O157" s="1" t="s">
        <v>73</v>
      </c>
      <c r="P157" s="1" t="s">
        <v>74</v>
      </c>
      <c r="Q157" s="1" t="s">
        <v>83</v>
      </c>
      <c r="R157" s="1" t="s">
        <v>76</v>
      </c>
      <c r="S157" s="12">
        <v>67.680000000000007</v>
      </c>
      <c r="T157" s="1" t="s">
        <v>77</v>
      </c>
      <c r="U157" s="12">
        <v>6141.5</v>
      </c>
      <c r="V157" s="1" t="s">
        <v>78</v>
      </c>
      <c r="W157" s="1" t="s">
        <v>79</v>
      </c>
      <c r="X157" s="1" t="s">
        <v>74</v>
      </c>
      <c r="Y157" s="1" t="s">
        <v>71</v>
      </c>
      <c r="Z157" s="1" t="s">
        <v>80</v>
      </c>
      <c r="AA157" s="1" t="s">
        <v>300</v>
      </c>
      <c r="AB157" s="1" t="s">
        <v>74</v>
      </c>
      <c r="AC157" s="1" t="s">
        <v>74</v>
      </c>
      <c r="AD157" s="1" t="s">
        <v>74</v>
      </c>
      <c r="AE157" s="11">
        <v>46045</v>
      </c>
      <c r="AF157" s="11"/>
      <c r="AG157" s="1" t="s">
        <v>74</v>
      </c>
      <c r="AJ157" cm="1">
        <f t="array" ref="AJ157:AK157">_xlfn.XLOOKUP(M157,'Customer Data Vlookup'!$L:$L,'Customer Data Vlookup'!$M:$N,,0)</f>
        <v>91</v>
      </c>
      <c r="AK157" s="47">
        <v>6141.7525999999998</v>
      </c>
      <c r="AL157" s="47">
        <f t="shared" si="20"/>
        <v>6050.7525999999998</v>
      </c>
      <c r="AM157" s="58">
        <f t="shared" si="21"/>
        <v>90.747400000000198</v>
      </c>
    </row>
    <row r="158" spans="1:39" hidden="1" x14ac:dyDescent="0.35">
      <c r="A158" s="1" t="s">
        <v>124</v>
      </c>
      <c r="B158" s="1" t="s">
        <v>67</v>
      </c>
      <c r="C158" s="1" t="s">
        <v>68</v>
      </c>
      <c r="D158" s="1" t="s">
        <v>69</v>
      </c>
      <c r="E158" s="1" t="s">
        <v>33</v>
      </c>
      <c r="F158" s="1" t="s">
        <v>80</v>
      </c>
      <c r="G158" s="11">
        <v>46049</v>
      </c>
      <c r="H158" s="25">
        <v>1800017152</v>
      </c>
      <c r="I158" s="1" t="s">
        <v>9</v>
      </c>
      <c r="J158" s="11">
        <v>46049</v>
      </c>
      <c r="K158" s="11">
        <v>46049</v>
      </c>
      <c r="L158" s="1" t="s">
        <v>301</v>
      </c>
      <c r="M158" s="35">
        <v>256779440445</v>
      </c>
      <c r="N158" s="1" t="s">
        <v>72</v>
      </c>
      <c r="O158" s="1" t="s">
        <v>73</v>
      </c>
      <c r="P158" s="1" t="s">
        <v>74</v>
      </c>
      <c r="Q158" s="1" t="s">
        <v>83</v>
      </c>
      <c r="R158" s="1" t="s">
        <v>76</v>
      </c>
      <c r="S158" s="12">
        <v>137.13999999999999</v>
      </c>
      <c r="T158" s="1" t="s">
        <v>77</v>
      </c>
      <c r="U158" s="12">
        <v>12444.51</v>
      </c>
      <c r="V158" s="1" t="s">
        <v>78</v>
      </c>
      <c r="W158" s="1" t="s">
        <v>79</v>
      </c>
      <c r="X158" s="1" t="s">
        <v>74</v>
      </c>
      <c r="Y158" s="1" t="s">
        <v>71</v>
      </c>
      <c r="Z158" s="1" t="s">
        <v>80</v>
      </c>
      <c r="AA158" s="1" t="s">
        <v>302</v>
      </c>
      <c r="AB158" s="1" t="s">
        <v>74</v>
      </c>
      <c r="AC158" s="1" t="s">
        <v>74</v>
      </c>
      <c r="AD158" s="1" t="s">
        <v>74</v>
      </c>
      <c r="AE158" s="11">
        <v>46049</v>
      </c>
      <c r="AF158" s="11"/>
      <c r="AG158" s="1" t="s">
        <v>74</v>
      </c>
      <c r="AJ158" t="e" cm="1">
        <f t="array" ref="AJ158">_xlfn.XLOOKUP(M158,'Customer Data Vlookup'!$L:$L,'Customer Data Vlookup'!$M:$N,,0)</f>
        <v>#N/A</v>
      </c>
    </row>
    <row r="159" spans="1:39" hidden="1" x14ac:dyDescent="0.35">
      <c r="A159" s="1" t="s">
        <v>124</v>
      </c>
      <c r="B159" s="1" t="s">
        <v>67</v>
      </c>
      <c r="C159" s="1" t="s">
        <v>68</v>
      </c>
      <c r="D159" s="1" t="s">
        <v>69</v>
      </c>
      <c r="E159" s="1" t="s">
        <v>33</v>
      </c>
      <c r="F159" s="1" t="s">
        <v>213</v>
      </c>
      <c r="G159" s="11">
        <v>46055</v>
      </c>
      <c r="H159" s="25">
        <v>1400002583</v>
      </c>
      <c r="I159" s="1" t="s">
        <v>11</v>
      </c>
      <c r="J159" s="11">
        <v>46055</v>
      </c>
      <c r="K159" s="11">
        <v>46052</v>
      </c>
      <c r="L159" s="1" t="s">
        <v>303</v>
      </c>
      <c r="M159" s="35" t="s">
        <v>303</v>
      </c>
      <c r="N159" s="1" t="s">
        <v>72</v>
      </c>
      <c r="O159" s="1" t="s">
        <v>73</v>
      </c>
      <c r="P159" s="1" t="s">
        <v>74</v>
      </c>
      <c r="Q159" s="1" t="s">
        <v>268</v>
      </c>
      <c r="R159" s="1" t="s">
        <v>77</v>
      </c>
      <c r="S159" s="12">
        <v>-674751</v>
      </c>
      <c r="T159" s="1" t="s">
        <v>77</v>
      </c>
      <c r="U159" s="12">
        <v>-674751</v>
      </c>
      <c r="V159" s="1" t="s">
        <v>74</v>
      </c>
      <c r="W159" s="1" t="s">
        <v>269</v>
      </c>
      <c r="X159" s="1" t="s">
        <v>74</v>
      </c>
      <c r="Y159" s="1" t="s">
        <v>74</v>
      </c>
      <c r="Z159" s="1" t="s">
        <v>213</v>
      </c>
      <c r="AA159" s="1" t="s">
        <v>74</v>
      </c>
      <c r="AB159" s="1" t="s">
        <v>74</v>
      </c>
      <c r="AC159" s="1" t="s">
        <v>74</v>
      </c>
      <c r="AD159" s="1" t="s">
        <v>74</v>
      </c>
      <c r="AE159" s="11">
        <v>46055</v>
      </c>
      <c r="AF159" s="11"/>
      <c r="AG159" s="1" t="s">
        <v>74</v>
      </c>
      <c r="AJ159" t="e" cm="1">
        <f t="array" ref="AJ159">_xlfn.XLOOKUP(M159,'Customer Data Vlookup'!$L:$L,'Customer Data Vlookup'!$M:$N,,0)</f>
        <v>#N/A</v>
      </c>
    </row>
    <row r="160" spans="1:39" x14ac:dyDescent="0.35">
      <c r="A160" s="1" t="s">
        <v>124</v>
      </c>
      <c r="B160" s="1" t="s">
        <v>67</v>
      </c>
      <c r="C160" s="1" t="s">
        <v>68</v>
      </c>
      <c r="D160" s="1" t="s">
        <v>69</v>
      </c>
      <c r="E160" s="1" t="s">
        <v>17</v>
      </c>
      <c r="F160" s="1" t="s">
        <v>166</v>
      </c>
      <c r="G160" s="11">
        <v>45733</v>
      </c>
      <c r="H160" s="25">
        <v>1800001954</v>
      </c>
      <c r="I160" s="1" t="s">
        <v>9</v>
      </c>
      <c r="J160" s="11">
        <v>45733</v>
      </c>
      <c r="K160" s="11">
        <v>45733</v>
      </c>
      <c r="L160" s="1" t="s">
        <v>71</v>
      </c>
      <c r="M160" s="35">
        <v>246779411619</v>
      </c>
      <c r="N160" s="1" t="s">
        <v>72</v>
      </c>
      <c r="O160" s="1" t="s">
        <v>73</v>
      </c>
      <c r="P160" s="1" t="s">
        <v>74</v>
      </c>
      <c r="Q160" s="1" t="s">
        <v>83</v>
      </c>
      <c r="R160" s="1" t="s">
        <v>76</v>
      </c>
      <c r="S160" s="12">
        <v>1765.65</v>
      </c>
      <c r="T160" s="1" t="s">
        <v>77</v>
      </c>
      <c r="U160" s="12">
        <v>153066.42000000001</v>
      </c>
      <c r="V160" s="1" t="s">
        <v>78</v>
      </c>
      <c r="W160" s="1" t="s">
        <v>79</v>
      </c>
      <c r="X160" s="1" t="s">
        <v>74</v>
      </c>
      <c r="Y160" s="1" t="s">
        <v>71</v>
      </c>
      <c r="Z160" s="1" t="s">
        <v>80</v>
      </c>
      <c r="AA160" s="1" t="s">
        <v>304</v>
      </c>
      <c r="AB160" s="1" t="s">
        <v>74</v>
      </c>
      <c r="AC160" s="1" t="s">
        <v>74</v>
      </c>
      <c r="AD160" s="1" t="s">
        <v>74</v>
      </c>
      <c r="AE160" s="11">
        <v>45733</v>
      </c>
      <c r="AF160" s="11"/>
      <c r="AG160" s="1" t="s">
        <v>74</v>
      </c>
      <c r="AJ160" cm="1">
        <f t="array" ref="AJ160:AK160">_xlfn.XLOOKUP(M160,'Customer Data Vlookup'!$L:$L,'Customer Data Vlookup'!$M:$N,,0)</f>
        <v>0</v>
      </c>
      <c r="AK160" s="47">
        <v>143412</v>
      </c>
      <c r="AL160" s="47">
        <f t="shared" ref="AL160:AL182" si="22">AK160-AJ160</f>
        <v>143412</v>
      </c>
      <c r="AM160" s="58">
        <f t="shared" ref="AM160:AM182" si="23">U160-AL160</f>
        <v>9654.4200000000128</v>
      </c>
    </row>
    <row r="161" spans="1:39" x14ac:dyDescent="0.35">
      <c r="A161" s="1" t="s">
        <v>124</v>
      </c>
      <c r="B161" s="1" t="s">
        <v>67</v>
      </c>
      <c r="C161" s="1" t="s">
        <v>68</v>
      </c>
      <c r="D161" s="1" t="s">
        <v>69</v>
      </c>
      <c r="E161" s="1" t="s">
        <v>17</v>
      </c>
      <c r="F161" s="1" t="s">
        <v>166</v>
      </c>
      <c r="G161" s="11">
        <v>45733</v>
      </c>
      <c r="H161" s="25">
        <v>1800001955</v>
      </c>
      <c r="I161" s="1" t="s">
        <v>9</v>
      </c>
      <c r="J161" s="11">
        <v>45733</v>
      </c>
      <c r="K161" s="11">
        <v>45733</v>
      </c>
      <c r="L161" s="1" t="s">
        <v>71</v>
      </c>
      <c r="M161" s="35">
        <v>246779411620</v>
      </c>
      <c r="N161" s="1" t="s">
        <v>72</v>
      </c>
      <c r="O161" s="1" t="s">
        <v>73</v>
      </c>
      <c r="P161" s="1" t="s">
        <v>74</v>
      </c>
      <c r="Q161" s="1" t="s">
        <v>83</v>
      </c>
      <c r="R161" s="1" t="s">
        <v>76</v>
      </c>
      <c r="S161" s="12">
        <v>71.61</v>
      </c>
      <c r="T161" s="1" t="s">
        <v>77</v>
      </c>
      <c r="U161" s="12">
        <v>6207.96</v>
      </c>
      <c r="V161" s="1" t="s">
        <v>78</v>
      </c>
      <c r="W161" s="1" t="s">
        <v>79</v>
      </c>
      <c r="X161" s="1" t="s">
        <v>74</v>
      </c>
      <c r="Y161" s="1" t="s">
        <v>71</v>
      </c>
      <c r="Z161" s="1" t="s">
        <v>80</v>
      </c>
      <c r="AA161" s="1" t="s">
        <v>304</v>
      </c>
      <c r="AB161" s="1" t="s">
        <v>74</v>
      </c>
      <c r="AC161" s="1" t="s">
        <v>74</v>
      </c>
      <c r="AD161" s="1" t="s">
        <v>74</v>
      </c>
      <c r="AE161" s="11">
        <v>45733</v>
      </c>
      <c r="AF161" s="11"/>
      <c r="AG161" s="1" t="s">
        <v>74</v>
      </c>
      <c r="AJ161" cm="1">
        <f t="array" ref="AJ161:AK161">_xlfn.XLOOKUP(M161,'Customer Data Vlookup'!$L:$L,'Customer Data Vlookup'!$M:$N,,0)</f>
        <v>0</v>
      </c>
      <c r="AK161" s="47">
        <v>5816</v>
      </c>
      <c r="AL161" s="47">
        <f t="shared" si="22"/>
        <v>5816</v>
      </c>
      <c r="AM161" s="58">
        <f t="shared" si="23"/>
        <v>391.96000000000004</v>
      </c>
    </row>
    <row r="162" spans="1:39" x14ac:dyDescent="0.35">
      <c r="A162" s="1" t="s">
        <v>124</v>
      </c>
      <c r="B162" s="1" t="s">
        <v>67</v>
      </c>
      <c r="C162" s="1" t="s">
        <v>68</v>
      </c>
      <c r="D162" s="1" t="s">
        <v>69</v>
      </c>
      <c r="E162" s="1" t="s">
        <v>17</v>
      </c>
      <c r="F162" s="1" t="s">
        <v>166</v>
      </c>
      <c r="G162" s="11">
        <v>45733</v>
      </c>
      <c r="H162" s="25">
        <v>1800002090</v>
      </c>
      <c r="I162" s="1" t="s">
        <v>9</v>
      </c>
      <c r="J162" s="11">
        <v>45733</v>
      </c>
      <c r="K162" s="11">
        <v>45734</v>
      </c>
      <c r="L162" s="1" t="s">
        <v>71</v>
      </c>
      <c r="M162" s="35">
        <v>246779411755</v>
      </c>
      <c r="N162" s="1" t="s">
        <v>72</v>
      </c>
      <c r="O162" s="1" t="s">
        <v>73</v>
      </c>
      <c r="P162" s="1" t="s">
        <v>74</v>
      </c>
      <c r="Q162" s="1" t="s">
        <v>83</v>
      </c>
      <c r="R162" s="1" t="s">
        <v>76</v>
      </c>
      <c r="S162" s="12">
        <v>3.57</v>
      </c>
      <c r="T162" s="1" t="s">
        <v>77</v>
      </c>
      <c r="U162" s="12">
        <v>309.49</v>
      </c>
      <c r="V162" s="1" t="s">
        <v>78</v>
      </c>
      <c r="W162" s="1" t="s">
        <v>79</v>
      </c>
      <c r="X162" s="1" t="s">
        <v>74</v>
      </c>
      <c r="Y162" s="1" t="s">
        <v>71</v>
      </c>
      <c r="Z162" s="1" t="s">
        <v>80</v>
      </c>
      <c r="AA162" s="1" t="s">
        <v>305</v>
      </c>
      <c r="AB162" s="1" t="s">
        <v>74</v>
      </c>
      <c r="AC162" s="1" t="s">
        <v>74</v>
      </c>
      <c r="AD162" s="1" t="s">
        <v>74</v>
      </c>
      <c r="AE162" s="11">
        <v>45733</v>
      </c>
      <c r="AF162" s="11"/>
      <c r="AG162" s="1" t="s">
        <v>74</v>
      </c>
      <c r="AJ162" cm="1">
        <f t="array" ref="AJ162:AK162">_xlfn.XLOOKUP(M162,'Customer Data Vlookup'!$L:$L,'Customer Data Vlookup'!$M:$N,,0)</f>
        <v>0</v>
      </c>
      <c r="AK162" s="47">
        <v>5816</v>
      </c>
      <c r="AL162" s="47">
        <f t="shared" si="22"/>
        <v>5816</v>
      </c>
      <c r="AM162" s="58">
        <f t="shared" si="23"/>
        <v>-5506.51</v>
      </c>
    </row>
    <row r="163" spans="1:39" x14ac:dyDescent="0.35">
      <c r="A163" s="1" t="s">
        <v>124</v>
      </c>
      <c r="B163" s="1" t="s">
        <v>67</v>
      </c>
      <c r="C163" s="1" t="s">
        <v>68</v>
      </c>
      <c r="D163" s="1" t="s">
        <v>69</v>
      </c>
      <c r="E163" s="1" t="s">
        <v>17</v>
      </c>
      <c r="F163" s="1" t="s">
        <v>166</v>
      </c>
      <c r="G163" s="11">
        <v>45733</v>
      </c>
      <c r="H163" s="25">
        <v>1800002091</v>
      </c>
      <c r="I163" s="1" t="s">
        <v>9</v>
      </c>
      <c r="J163" s="11">
        <v>45733</v>
      </c>
      <c r="K163" s="11">
        <v>45734</v>
      </c>
      <c r="L163" s="1" t="s">
        <v>71</v>
      </c>
      <c r="M163" s="35">
        <v>246779411756</v>
      </c>
      <c r="N163" s="1" t="s">
        <v>72</v>
      </c>
      <c r="O163" s="1" t="s">
        <v>73</v>
      </c>
      <c r="P163" s="1" t="s">
        <v>74</v>
      </c>
      <c r="Q163" s="1" t="s">
        <v>83</v>
      </c>
      <c r="R163" s="1" t="s">
        <v>76</v>
      </c>
      <c r="S163" s="12">
        <v>59.46</v>
      </c>
      <c r="T163" s="1" t="s">
        <v>77</v>
      </c>
      <c r="U163" s="12">
        <v>5154.66</v>
      </c>
      <c r="V163" s="1" t="s">
        <v>78</v>
      </c>
      <c r="W163" s="1" t="s">
        <v>79</v>
      </c>
      <c r="X163" s="1" t="s">
        <v>74</v>
      </c>
      <c r="Y163" s="1" t="s">
        <v>71</v>
      </c>
      <c r="Z163" s="1" t="s">
        <v>80</v>
      </c>
      <c r="AA163" s="1" t="s">
        <v>305</v>
      </c>
      <c r="AB163" s="1" t="s">
        <v>74</v>
      </c>
      <c r="AC163" s="1" t="s">
        <v>74</v>
      </c>
      <c r="AD163" s="1" t="s">
        <v>74</v>
      </c>
      <c r="AE163" s="11">
        <v>45733</v>
      </c>
      <c r="AF163" s="11"/>
      <c r="AG163" s="1" t="s">
        <v>74</v>
      </c>
      <c r="AJ163" cm="1">
        <f t="array" ref="AJ163:AK163">_xlfn.XLOOKUP(M163,'Customer Data Vlookup'!$L:$L,'Customer Data Vlookup'!$M:$N,,0)</f>
        <v>0</v>
      </c>
      <c r="AK163" s="47">
        <v>4339</v>
      </c>
      <c r="AL163" s="47">
        <f t="shared" si="22"/>
        <v>4339</v>
      </c>
      <c r="AM163" s="58">
        <f t="shared" si="23"/>
        <v>815.65999999999985</v>
      </c>
    </row>
    <row r="164" spans="1:39" x14ac:dyDescent="0.35">
      <c r="A164" s="1" t="s">
        <v>124</v>
      </c>
      <c r="B164" s="1" t="s">
        <v>67</v>
      </c>
      <c r="C164" s="1" t="s">
        <v>68</v>
      </c>
      <c r="D164" s="1" t="s">
        <v>69</v>
      </c>
      <c r="E164" s="1" t="s">
        <v>17</v>
      </c>
      <c r="F164" s="1" t="s">
        <v>166</v>
      </c>
      <c r="G164" s="11">
        <v>45733</v>
      </c>
      <c r="H164" s="25">
        <v>1800002092</v>
      </c>
      <c r="I164" s="1" t="s">
        <v>9</v>
      </c>
      <c r="J164" s="11">
        <v>45733</v>
      </c>
      <c r="K164" s="11">
        <v>45734</v>
      </c>
      <c r="L164" s="1" t="s">
        <v>71</v>
      </c>
      <c r="M164" s="35">
        <v>246779411757</v>
      </c>
      <c r="N164" s="1" t="s">
        <v>72</v>
      </c>
      <c r="O164" s="1" t="s">
        <v>73</v>
      </c>
      <c r="P164" s="1" t="s">
        <v>74</v>
      </c>
      <c r="Q164" s="1" t="s">
        <v>83</v>
      </c>
      <c r="R164" s="1" t="s">
        <v>76</v>
      </c>
      <c r="S164" s="12">
        <v>38.29</v>
      </c>
      <c r="T164" s="1" t="s">
        <v>77</v>
      </c>
      <c r="U164" s="12">
        <v>3319.41</v>
      </c>
      <c r="V164" s="1" t="s">
        <v>78</v>
      </c>
      <c r="W164" s="1" t="s">
        <v>79</v>
      </c>
      <c r="X164" s="1" t="s">
        <v>74</v>
      </c>
      <c r="Y164" s="1" t="s">
        <v>71</v>
      </c>
      <c r="Z164" s="1" t="s">
        <v>80</v>
      </c>
      <c r="AA164" s="1" t="s">
        <v>305</v>
      </c>
      <c r="AB164" s="1" t="s">
        <v>74</v>
      </c>
      <c r="AC164" s="1" t="s">
        <v>74</v>
      </c>
      <c r="AD164" s="1" t="s">
        <v>74</v>
      </c>
      <c r="AE164" s="11">
        <v>45733</v>
      </c>
      <c r="AF164" s="11"/>
      <c r="AG164" s="1" t="s">
        <v>74</v>
      </c>
      <c r="AJ164" cm="1">
        <f t="array" ref="AJ164:AK164">_xlfn.XLOOKUP(M164,'Customer Data Vlookup'!$L:$L,'Customer Data Vlookup'!$M:$N,,0)</f>
        <v>0</v>
      </c>
      <c r="AK164" s="47">
        <v>3110</v>
      </c>
      <c r="AL164" s="47">
        <f t="shared" si="22"/>
        <v>3110</v>
      </c>
      <c r="AM164" s="58">
        <f t="shared" si="23"/>
        <v>209.40999999999985</v>
      </c>
    </row>
    <row r="165" spans="1:39" x14ac:dyDescent="0.35">
      <c r="A165" s="1" t="s">
        <v>124</v>
      </c>
      <c r="B165" s="1" t="s">
        <v>67</v>
      </c>
      <c r="C165" s="1" t="s">
        <v>68</v>
      </c>
      <c r="D165" s="1" t="s">
        <v>69</v>
      </c>
      <c r="E165" s="1" t="s">
        <v>17</v>
      </c>
      <c r="F165" s="1" t="s">
        <v>166</v>
      </c>
      <c r="G165" s="11">
        <v>45733</v>
      </c>
      <c r="H165" s="25">
        <v>1800002093</v>
      </c>
      <c r="I165" s="1" t="s">
        <v>9</v>
      </c>
      <c r="J165" s="11">
        <v>45733</v>
      </c>
      <c r="K165" s="11">
        <v>45734</v>
      </c>
      <c r="L165" s="1" t="s">
        <v>71</v>
      </c>
      <c r="M165" s="35">
        <v>246779411758</v>
      </c>
      <c r="N165" s="1" t="s">
        <v>72</v>
      </c>
      <c r="O165" s="1" t="s">
        <v>73</v>
      </c>
      <c r="P165" s="1" t="s">
        <v>74</v>
      </c>
      <c r="Q165" s="1" t="s">
        <v>83</v>
      </c>
      <c r="R165" s="1" t="s">
        <v>76</v>
      </c>
      <c r="S165" s="12">
        <v>22.69</v>
      </c>
      <c r="T165" s="1" t="s">
        <v>77</v>
      </c>
      <c r="U165" s="12">
        <v>1967.02</v>
      </c>
      <c r="V165" s="1" t="s">
        <v>78</v>
      </c>
      <c r="W165" s="1" t="s">
        <v>79</v>
      </c>
      <c r="X165" s="1" t="s">
        <v>74</v>
      </c>
      <c r="Y165" s="1" t="s">
        <v>71</v>
      </c>
      <c r="Z165" s="1" t="s">
        <v>80</v>
      </c>
      <c r="AA165" s="1" t="s">
        <v>305</v>
      </c>
      <c r="AB165" s="1" t="s">
        <v>74</v>
      </c>
      <c r="AC165" s="1" t="s">
        <v>74</v>
      </c>
      <c r="AD165" s="1" t="s">
        <v>74</v>
      </c>
      <c r="AE165" s="11">
        <v>45733</v>
      </c>
      <c r="AF165" s="11"/>
      <c r="AG165" s="1" t="s">
        <v>74</v>
      </c>
      <c r="AJ165" cm="1">
        <f t="array" ref="AJ165:AK165">_xlfn.XLOOKUP(M165,'Customer Data Vlookup'!$L:$L,'Customer Data Vlookup'!$M:$N,,0)</f>
        <v>0</v>
      </c>
      <c r="AK165" s="47">
        <v>1842</v>
      </c>
      <c r="AL165" s="47">
        <f t="shared" si="22"/>
        <v>1842</v>
      </c>
      <c r="AM165" s="58">
        <f t="shared" si="23"/>
        <v>125.01999999999998</v>
      </c>
    </row>
    <row r="166" spans="1:39" x14ac:dyDescent="0.35">
      <c r="A166" s="1" t="s">
        <v>124</v>
      </c>
      <c r="B166" s="1" t="s">
        <v>67</v>
      </c>
      <c r="C166" s="1" t="s">
        <v>68</v>
      </c>
      <c r="D166" s="1" t="s">
        <v>69</v>
      </c>
      <c r="E166" s="1" t="s">
        <v>17</v>
      </c>
      <c r="F166" s="1" t="s">
        <v>166</v>
      </c>
      <c r="G166" s="11">
        <v>45733</v>
      </c>
      <c r="H166" s="25">
        <v>1800002094</v>
      </c>
      <c r="I166" s="1" t="s">
        <v>9</v>
      </c>
      <c r="J166" s="11">
        <v>45733</v>
      </c>
      <c r="K166" s="11">
        <v>45734</v>
      </c>
      <c r="L166" s="1" t="s">
        <v>71</v>
      </c>
      <c r="M166" s="35">
        <v>246779411759</v>
      </c>
      <c r="N166" s="1" t="s">
        <v>72</v>
      </c>
      <c r="O166" s="1" t="s">
        <v>73</v>
      </c>
      <c r="P166" s="1" t="s">
        <v>74</v>
      </c>
      <c r="Q166" s="1" t="s">
        <v>83</v>
      </c>
      <c r="R166" s="1" t="s">
        <v>76</v>
      </c>
      <c r="S166" s="12">
        <v>83.24</v>
      </c>
      <c r="T166" s="1" t="s">
        <v>77</v>
      </c>
      <c r="U166" s="12">
        <v>7216.18</v>
      </c>
      <c r="V166" s="1" t="s">
        <v>78</v>
      </c>
      <c r="W166" s="1" t="s">
        <v>79</v>
      </c>
      <c r="X166" s="1" t="s">
        <v>74</v>
      </c>
      <c r="Y166" s="1" t="s">
        <v>71</v>
      </c>
      <c r="Z166" s="1" t="s">
        <v>80</v>
      </c>
      <c r="AA166" s="1" t="s">
        <v>305</v>
      </c>
      <c r="AB166" s="1" t="s">
        <v>74</v>
      </c>
      <c r="AC166" s="1" t="s">
        <v>74</v>
      </c>
      <c r="AD166" s="1" t="s">
        <v>74</v>
      </c>
      <c r="AE166" s="11">
        <v>45733</v>
      </c>
      <c r="AF166" s="11"/>
      <c r="AG166" s="1" t="s">
        <v>74</v>
      </c>
      <c r="AJ166" cm="1">
        <f t="array" ref="AJ166:AK166">_xlfn.XLOOKUP(M166,'Customer Data Vlookup'!$L:$L,'Customer Data Vlookup'!$M:$N,,0)</f>
        <v>0</v>
      </c>
      <c r="AK166" s="47">
        <v>6761</v>
      </c>
      <c r="AL166" s="47">
        <f t="shared" si="22"/>
        <v>6761</v>
      </c>
      <c r="AM166" s="58">
        <f t="shared" si="23"/>
        <v>455.18000000000029</v>
      </c>
    </row>
    <row r="167" spans="1:39" x14ac:dyDescent="0.35">
      <c r="A167" s="1" t="s">
        <v>124</v>
      </c>
      <c r="B167" s="1" t="s">
        <v>67</v>
      </c>
      <c r="C167" s="1" t="s">
        <v>68</v>
      </c>
      <c r="D167" s="1" t="s">
        <v>69</v>
      </c>
      <c r="E167" s="1" t="s">
        <v>17</v>
      </c>
      <c r="F167" s="1" t="s">
        <v>166</v>
      </c>
      <c r="G167" s="11">
        <v>45733</v>
      </c>
      <c r="H167" s="25">
        <v>1800002268</v>
      </c>
      <c r="I167" s="1" t="s">
        <v>9</v>
      </c>
      <c r="J167" s="11">
        <v>45733</v>
      </c>
      <c r="K167" s="11">
        <v>45734</v>
      </c>
      <c r="L167" s="1" t="s">
        <v>71</v>
      </c>
      <c r="M167" s="35">
        <v>246779411933</v>
      </c>
      <c r="N167" s="1" t="s">
        <v>72</v>
      </c>
      <c r="O167" s="1" t="s">
        <v>73</v>
      </c>
      <c r="P167" s="1" t="s">
        <v>74</v>
      </c>
      <c r="Q167" s="1" t="s">
        <v>83</v>
      </c>
      <c r="R167" s="1" t="s">
        <v>76</v>
      </c>
      <c r="S167" s="12">
        <v>7.1</v>
      </c>
      <c r="T167" s="1" t="s">
        <v>77</v>
      </c>
      <c r="U167" s="12">
        <v>615.51</v>
      </c>
      <c r="V167" s="1" t="s">
        <v>78</v>
      </c>
      <c r="W167" s="1" t="s">
        <v>79</v>
      </c>
      <c r="X167" s="1" t="s">
        <v>74</v>
      </c>
      <c r="Y167" s="1" t="s">
        <v>71</v>
      </c>
      <c r="Z167" s="1" t="s">
        <v>80</v>
      </c>
      <c r="AA167" s="1" t="s">
        <v>306</v>
      </c>
      <c r="AB167" s="1" t="s">
        <v>74</v>
      </c>
      <c r="AC167" s="1" t="s">
        <v>74</v>
      </c>
      <c r="AD167" s="1" t="s">
        <v>74</v>
      </c>
      <c r="AE167" s="11">
        <v>45733</v>
      </c>
      <c r="AF167" s="11"/>
      <c r="AG167" s="1" t="s">
        <v>74</v>
      </c>
      <c r="AJ167" cm="1">
        <f t="array" ref="AJ167:AK167">_xlfn.XLOOKUP(M167,'Customer Data Vlookup'!$L:$L,'Customer Data Vlookup'!$M:$N,,0)</f>
        <v>0</v>
      </c>
      <c r="AK167" s="47">
        <v>576</v>
      </c>
      <c r="AL167" s="47">
        <f t="shared" si="22"/>
        <v>576</v>
      </c>
      <c r="AM167" s="58">
        <f t="shared" si="23"/>
        <v>39.509999999999991</v>
      </c>
    </row>
    <row r="168" spans="1:39" x14ac:dyDescent="0.35">
      <c r="A168" s="1" t="s">
        <v>124</v>
      </c>
      <c r="B168" s="1" t="s">
        <v>67</v>
      </c>
      <c r="C168" s="1" t="s">
        <v>68</v>
      </c>
      <c r="D168" s="1" t="s">
        <v>69</v>
      </c>
      <c r="E168" s="1" t="s">
        <v>17</v>
      </c>
      <c r="F168" s="1" t="s">
        <v>166</v>
      </c>
      <c r="G168" s="11">
        <v>45733</v>
      </c>
      <c r="H168" s="25">
        <v>1800002269</v>
      </c>
      <c r="I168" s="1" t="s">
        <v>9</v>
      </c>
      <c r="J168" s="11">
        <v>45733</v>
      </c>
      <c r="K168" s="11">
        <v>45734</v>
      </c>
      <c r="L168" s="1" t="s">
        <v>71</v>
      </c>
      <c r="M168" s="35">
        <v>246779411934</v>
      </c>
      <c r="N168" s="1" t="s">
        <v>72</v>
      </c>
      <c r="O168" s="1" t="s">
        <v>73</v>
      </c>
      <c r="P168" s="1" t="s">
        <v>74</v>
      </c>
      <c r="Q168" s="1" t="s">
        <v>83</v>
      </c>
      <c r="R168" s="1" t="s">
        <v>76</v>
      </c>
      <c r="S168" s="12">
        <v>4.1399999999999997</v>
      </c>
      <c r="T168" s="1" t="s">
        <v>77</v>
      </c>
      <c r="U168" s="12">
        <v>358.9</v>
      </c>
      <c r="V168" s="1" t="s">
        <v>78</v>
      </c>
      <c r="W168" s="1" t="s">
        <v>79</v>
      </c>
      <c r="X168" s="1" t="s">
        <v>74</v>
      </c>
      <c r="Y168" s="1" t="s">
        <v>71</v>
      </c>
      <c r="Z168" s="1" t="s">
        <v>80</v>
      </c>
      <c r="AA168" s="1" t="s">
        <v>306</v>
      </c>
      <c r="AB168" s="1" t="s">
        <v>74</v>
      </c>
      <c r="AC168" s="1" t="s">
        <v>74</v>
      </c>
      <c r="AD168" s="1" t="s">
        <v>74</v>
      </c>
      <c r="AE168" s="11">
        <v>45733</v>
      </c>
      <c r="AF168" s="11"/>
      <c r="AG168" s="1" t="s">
        <v>74</v>
      </c>
      <c r="AJ168" cm="1">
        <f t="array" ref="AJ168:AK168">_xlfn.XLOOKUP(M168,'Customer Data Vlookup'!$L:$L,'Customer Data Vlookup'!$M:$N,,0)</f>
        <v>0</v>
      </c>
      <c r="AK168" s="47">
        <v>336</v>
      </c>
      <c r="AL168" s="47">
        <f t="shared" si="22"/>
        <v>336</v>
      </c>
      <c r="AM168" s="58">
        <f t="shared" si="23"/>
        <v>22.899999999999977</v>
      </c>
    </row>
    <row r="169" spans="1:39" x14ac:dyDescent="0.35">
      <c r="A169" s="1" t="s">
        <v>124</v>
      </c>
      <c r="B169" s="1" t="s">
        <v>67</v>
      </c>
      <c r="C169" s="1" t="s">
        <v>68</v>
      </c>
      <c r="D169" s="1" t="s">
        <v>69</v>
      </c>
      <c r="E169" s="1" t="s">
        <v>17</v>
      </c>
      <c r="F169" s="1" t="s">
        <v>166</v>
      </c>
      <c r="G169" s="11">
        <v>45733</v>
      </c>
      <c r="H169" s="25">
        <v>1800002270</v>
      </c>
      <c r="I169" s="1" t="s">
        <v>9</v>
      </c>
      <c r="J169" s="11">
        <v>45733</v>
      </c>
      <c r="K169" s="11">
        <v>45734</v>
      </c>
      <c r="L169" s="1" t="s">
        <v>71</v>
      </c>
      <c r="M169" s="35">
        <v>246779411935</v>
      </c>
      <c r="N169" s="1" t="s">
        <v>72</v>
      </c>
      <c r="O169" s="1" t="s">
        <v>73</v>
      </c>
      <c r="P169" s="1" t="s">
        <v>74</v>
      </c>
      <c r="Q169" s="1" t="s">
        <v>83</v>
      </c>
      <c r="R169" s="1" t="s">
        <v>76</v>
      </c>
      <c r="S169" s="12">
        <v>7.1</v>
      </c>
      <c r="T169" s="1" t="s">
        <v>77</v>
      </c>
      <c r="U169" s="12">
        <v>615.51</v>
      </c>
      <c r="V169" s="1" t="s">
        <v>78</v>
      </c>
      <c r="W169" s="1" t="s">
        <v>79</v>
      </c>
      <c r="X169" s="1" t="s">
        <v>74</v>
      </c>
      <c r="Y169" s="1" t="s">
        <v>71</v>
      </c>
      <c r="Z169" s="1" t="s">
        <v>80</v>
      </c>
      <c r="AA169" s="1" t="s">
        <v>306</v>
      </c>
      <c r="AB169" s="1" t="s">
        <v>74</v>
      </c>
      <c r="AC169" s="1" t="s">
        <v>74</v>
      </c>
      <c r="AD169" s="1" t="s">
        <v>74</v>
      </c>
      <c r="AE169" s="11">
        <v>45733</v>
      </c>
      <c r="AF169" s="11"/>
      <c r="AG169" s="1" t="s">
        <v>74</v>
      </c>
      <c r="AJ169" cm="1">
        <f t="array" ref="AJ169:AK169">_xlfn.XLOOKUP(M169,'Customer Data Vlookup'!$L:$L,'Customer Data Vlookup'!$M:$N,,0)</f>
        <v>0</v>
      </c>
      <c r="AK169" s="47">
        <v>576</v>
      </c>
      <c r="AL169" s="47">
        <f t="shared" si="22"/>
        <v>576</v>
      </c>
      <c r="AM169" s="58">
        <f t="shared" si="23"/>
        <v>39.509999999999991</v>
      </c>
    </row>
    <row r="170" spans="1:39" x14ac:dyDescent="0.35">
      <c r="A170" s="1" t="s">
        <v>124</v>
      </c>
      <c r="B170" s="1" t="s">
        <v>67</v>
      </c>
      <c r="C170" s="1" t="s">
        <v>68</v>
      </c>
      <c r="D170" s="1" t="s">
        <v>69</v>
      </c>
      <c r="E170" s="1" t="s">
        <v>17</v>
      </c>
      <c r="F170" s="1" t="s">
        <v>166</v>
      </c>
      <c r="G170" s="11">
        <v>45733</v>
      </c>
      <c r="H170" s="25">
        <v>1800002271</v>
      </c>
      <c r="I170" s="1" t="s">
        <v>9</v>
      </c>
      <c r="J170" s="11">
        <v>45733</v>
      </c>
      <c r="K170" s="11">
        <v>45734</v>
      </c>
      <c r="L170" s="1" t="s">
        <v>71</v>
      </c>
      <c r="M170" s="35">
        <v>246779411936</v>
      </c>
      <c r="N170" s="1" t="s">
        <v>72</v>
      </c>
      <c r="O170" s="1" t="s">
        <v>73</v>
      </c>
      <c r="P170" s="1" t="s">
        <v>74</v>
      </c>
      <c r="Q170" s="1" t="s">
        <v>83</v>
      </c>
      <c r="R170" s="1" t="s">
        <v>76</v>
      </c>
      <c r="S170" s="12">
        <v>5.92</v>
      </c>
      <c r="T170" s="1" t="s">
        <v>77</v>
      </c>
      <c r="U170" s="12">
        <v>513.21</v>
      </c>
      <c r="V170" s="1" t="s">
        <v>78</v>
      </c>
      <c r="W170" s="1" t="s">
        <v>79</v>
      </c>
      <c r="X170" s="1" t="s">
        <v>74</v>
      </c>
      <c r="Y170" s="1" t="s">
        <v>71</v>
      </c>
      <c r="Z170" s="1" t="s">
        <v>80</v>
      </c>
      <c r="AA170" s="1" t="s">
        <v>306</v>
      </c>
      <c r="AB170" s="1" t="s">
        <v>74</v>
      </c>
      <c r="AC170" s="1" t="s">
        <v>74</v>
      </c>
      <c r="AD170" s="1" t="s">
        <v>74</v>
      </c>
      <c r="AE170" s="11">
        <v>45733</v>
      </c>
      <c r="AF170" s="11"/>
      <c r="AG170" s="1" t="s">
        <v>74</v>
      </c>
      <c r="AJ170" cm="1">
        <f t="array" ref="AJ170:AK170">_xlfn.XLOOKUP(M170,'Customer Data Vlookup'!$L:$L,'Customer Data Vlookup'!$M:$N,,0)</f>
        <v>0</v>
      </c>
      <c r="AK170" s="47">
        <v>480</v>
      </c>
      <c r="AL170" s="47">
        <f t="shared" si="22"/>
        <v>480</v>
      </c>
      <c r="AM170" s="58">
        <f t="shared" si="23"/>
        <v>33.210000000000036</v>
      </c>
    </row>
    <row r="171" spans="1:39" x14ac:dyDescent="0.35">
      <c r="A171" s="1" t="s">
        <v>124</v>
      </c>
      <c r="B171" s="1" t="s">
        <v>67</v>
      </c>
      <c r="C171" s="1" t="s">
        <v>68</v>
      </c>
      <c r="D171" s="1" t="s">
        <v>69</v>
      </c>
      <c r="E171" s="1" t="s">
        <v>17</v>
      </c>
      <c r="F171" s="1" t="s">
        <v>162</v>
      </c>
      <c r="G171" s="11">
        <v>45818</v>
      </c>
      <c r="H171" s="25">
        <v>1800009622</v>
      </c>
      <c r="I171" s="1" t="s">
        <v>9</v>
      </c>
      <c r="J171" s="11">
        <v>45818</v>
      </c>
      <c r="K171" s="11">
        <v>45825</v>
      </c>
      <c r="L171" s="1" t="s">
        <v>71</v>
      </c>
      <c r="M171" s="35">
        <v>256779414386</v>
      </c>
      <c r="N171" s="1" t="s">
        <v>72</v>
      </c>
      <c r="O171" s="1" t="s">
        <v>73</v>
      </c>
      <c r="P171" s="1" t="s">
        <v>74</v>
      </c>
      <c r="Q171" s="1" t="s">
        <v>83</v>
      </c>
      <c r="R171" s="1" t="s">
        <v>76</v>
      </c>
      <c r="S171" s="12">
        <v>456.75</v>
      </c>
      <c r="T171" s="1" t="s">
        <v>77</v>
      </c>
      <c r="U171" s="12">
        <v>39047.910000000003</v>
      </c>
      <c r="V171" s="1" t="s">
        <v>78</v>
      </c>
      <c r="W171" s="1" t="s">
        <v>79</v>
      </c>
      <c r="X171" s="1" t="s">
        <v>74</v>
      </c>
      <c r="Y171" s="1" t="s">
        <v>71</v>
      </c>
      <c r="Z171" s="1" t="s">
        <v>80</v>
      </c>
      <c r="AA171" s="1" t="s">
        <v>307</v>
      </c>
      <c r="AB171" s="1" t="s">
        <v>74</v>
      </c>
      <c r="AC171" s="1" t="s">
        <v>74</v>
      </c>
      <c r="AD171" s="1" t="s">
        <v>74</v>
      </c>
      <c r="AE171" s="11">
        <v>45818</v>
      </c>
      <c r="AF171" s="11"/>
      <c r="AG171" s="1" t="s">
        <v>74</v>
      </c>
      <c r="AJ171" cm="1">
        <f t="array" ref="AJ171:AK171">_xlfn.XLOOKUP(M171,'Customer Data Vlookup'!$L:$L,'Customer Data Vlookup'!$M:$N,,0)</f>
        <v>0</v>
      </c>
      <c r="AK171" s="47">
        <v>35431</v>
      </c>
      <c r="AL171" s="47">
        <f t="shared" si="22"/>
        <v>35431</v>
      </c>
      <c r="AM171" s="58">
        <f t="shared" si="23"/>
        <v>3616.9100000000035</v>
      </c>
    </row>
    <row r="172" spans="1:39" x14ac:dyDescent="0.35">
      <c r="A172" s="1" t="s">
        <v>124</v>
      </c>
      <c r="B172" s="1" t="s">
        <v>67</v>
      </c>
      <c r="C172" s="1" t="s">
        <v>68</v>
      </c>
      <c r="D172" s="1" t="s">
        <v>69</v>
      </c>
      <c r="E172" s="1" t="s">
        <v>17</v>
      </c>
      <c r="F172" s="1" t="s">
        <v>192</v>
      </c>
      <c r="G172" s="11">
        <v>45917</v>
      </c>
      <c r="H172" s="25">
        <v>1800012788</v>
      </c>
      <c r="I172" s="1" t="s">
        <v>9</v>
      </c>
      <c r="J172" s="11">
        <v>45917</v>
      </c>
      <c r="K172" s="11">
        <v>45922</v>
      </c>
      <c r="L172" s="1" t="s">
        <v>71</v>
      </c>
      <c r="M172" s="35">
        <v>256779417442</v>
      </c>
      <c r="N172" s="1" t="s">
        <v>72</v>
      </c>
      <c r="O172" s="1" t="s">
        <v>73</v>
      </c>
      <c r="P172" s="1" t="s">
        <v>74</v>
      </c>
      <c r="Q172" s="1" t="s">
        <v>83</v>
      </c>
      <c r="R172" s="1" t="s">
        <v>76</v>
      </c>
      <c r="S172" s="12">
        <v>6.23</v>
      </c>
      <c r="T172" s="1" t="s">
        <v>77</v>
      </c>
      <c r="U172" s="12">
        <v>545.21</v>
      </c>
      <c r="V172" s="1" t="s">
        <v>78</v>
      </c>
      <c r="W172" s="1" t="s">
        <v>79</v>
      </c>
      <c r="X172" s="1" t="s">
        <v>74</v>
      </c>
      <c r="Y172" s="1" t="s">
        <v>308</v>
      </c>
      <c r="Z172" s="1" t="s">
        <v>80</v>
      </c>
      <c r="AA172" s="1" t="s">
        <v>309</v>
      </c>
      <c r="AB172" s="1" t="s">
        <v>74</v>
      </c>
      <c r="AC172" s="1" t="s">
        <v>74</v>
      </c>
      <c r="AD172" s="1" t="s">
        <v>74</v>
      </c>
      <c r="AE172" s="11">
        <v>45917</v>
      </c>
      <c r="AF172" s="11"/>
      <c r="AG172" s="1" t="s">
        <v>74</v>
      </c>
      <c r="AJ172" cm="1">
        <f t="array" ref="AJ172:AK172">_xlfn.XLOOKUP(M172,'Customer Data Vlookup'!$L:$L,'Customer Data Vlookup'!$M:$N,,0)</f>
        <v>0</v>
      </c>
      <c r="AK172" s="47">
        <v>545.21420000000001</v>
      </c>
      <c r="AL172" s="47">
        <f t="shared" si="22"/>
        <v>545.21420000000001</v>
      </c>
      <c r="AM172" s="58">
        <f t="shared" si="23"/>
        <v>-4.1999999999688953E-3</v>
      </c>
    </row>
    <row r="173" spans="1:39" x14ac:dyDescent="0.35">
      <c r="A173" s="1" t="s">
        <v>124</v>
      </c>
      <c r="B173" s="1" t="s">
        <v>67</v>
      </c>
      <c r="C173" s="1" t="s">
        <v>68</v>
      </c>
      <c r="D173" s="1" t="s">
        <v>69</v>
      </c>
      <c r="E173" s="1" t="s">
        <v>17</v>
      </c>
      <c r="F173" s="1" t="s">
        <v>75</v>
      </c>
      <c r="G173" s="11">
        <v>45980</v>
      </c>
      <c r="H173" s="25">
        <v>1800014859</v>
      </c>
      <c r="I173" s="1" t="s">
        <v>9</v>
      </c>
      <c r="J173" s="11">
        <v>45980</v>
      </c>
      <c r="K173" s="11">
        <v>45981</v>
      </c>
      <c r="L173" s="1" t="s">
        <v>71</v>
      </c>
      <c r="M173" s="35">
        <v>256779419364</v>
      </c>
      <c r="N173" s="1" t="s">
        <v>72</v>
      </c>
      <c r="O173" s="1" t="s">
        <v>73</v>
      </c>
      <c r="P173" s="1" t="s">
        <v>74</v>
      </c>
      <c r="Q173" s="1" t="s">
        <v>83</v>
      </c>
      <c r="R173" s="1" t="s">
        <v>76</v>
      </c>
      <c r="S173" s="12">
        <v>350.75</v>
      </c>
      <c r="T173" s="1" t="s">
        <v>77</v>
      </c>
      <c r="U173" s="12">
        <v>30867.19</v>
      </c>
      <c r="V173" s="1" t="s">
        <v>78</v>
      </c>
      <c r="W173" s="1" t="s">
        <v>79</v>
      </c>
      <c r="X173" s="1" t="s">
        <v>74</v>
      </c>
      <c r="Y173" s="1" t="s">
        <v>310</v>
      </c>
      <c r="Z173" s="1" t="s">
        <v>80</v>
      </c>
      <c r="AA173" s="1" t="s">
        <v>311</v>
      </c>
      <c r="AB173" s="1" t="s">
        <v>74</v>
      </c>
      <c r="AC173" s="1" t="s">
        <v>74</v>
      </c>
      <c r="AD173" s="1" t="s">
        <v>74</v>
      </c>
      <c r="AE173" s="11">
        <v>45980</v>
      </c>
      <c r="AF173" s="11"/>
      <c r="AG173" s="1" t="s">
        <v>74</v>
      </c>
      <c r="AJ173" cm="1">
        <f t="array" ref="AJ173:AK173">_xlfn.XLOOKUP(M173,'Customer Data Vlookup'!$L:$L,'Customer Data Vlookup'!$M:$N,,0)</f>
        <v>0</v>
      </c>
      <c r="AK173" s="47">
        <v>27787.070400000001</v>
      </c>
      <c r="AL173" s="47">
        <f t="shared" si="22"/>
        <v>27787.070400000001</v>
      </c>
      <c r="AM173" s="58">
        <f t="shared" si="23"/>
        <v>3080.1195999999982</v>
      </c>
    </row>
    <row r="174" spans="1:39" x14ac:dyDescent="0.35">
      <c r="A174" s="1" t="s">
        <v>124</v>
      </c>
      <c r="B174" s="1" t="s">
        <v>67</v>
      </c>
      <c r="C174" s="1" t="s">
        <v>68</v>
      </c>
      <c r="D174" s="1" t="s">
        <v>69</v>
      </c>
      <c r="E174" s="1" t="s">
        <v>17</v>
      </c>
      <c r="F174" s="1" t="s">
        <v>129</v>
      </c>
      <c r="G174" s="11">
        <v>45762</v>
      </c>
      <c r="H174" s="25">
        <v>1800006257</v>
      </c>
      <c r="I174" s="1" t="s">
        <v>9</v>
      </c>
      <c r="J174" s="11">
        <v>45762</v>
      </c>
      <c r="K174" s="11">
        <v>45763</v>
      </c>
      <c r="L174" s="1" t="s">
        <v>71</v>
      </c>
      <c r="M174" s="35">
        <v>256779411148</v>
      </c>
      <c r="N174" s="1" t="s">
        <v>72</v>
      </c>
      <c r="O174" s="1" t="s">
        <v>73</v>
      </c>
      <c r="P174" s="1" t="s">
        <v>74</v>
      </c>
      <c r="Q174" s="1" t="s">
        <v>83</v>
      </c>
      <c r="R174" s="1" t="s">
        <v>76</v>
      </c>
      <c r="S174" s="12">
        <v>304.01</v>
      </c>
      <c r="T174" s="1" t="s">
        <v>77</v>
      </c>
      <c r="U174" s="12">
        <v>26425.1</v>
      </c>
      <c r="V174" s="1" t="s">
        <v>78</v>
      </c>
      <c r="W174" s="1" t="s">
        <v>74</v>
      </c>
      <c r="X174" s="1" t="s">
        <v>74</v>
      </c>
      <c r="Y174" s="1" t="s">
        <v>71</v>
      </c>
      <c r="Z174" s="1" t="s">
        <v>80</v>
      </c>
      <c r="AA174" s="1" t="s">
        <v>312</v>
      </c>
      <c r="AB174" s="1" t="s">
        <v>74</v>
      </c>
      <c r="AC174" s="1" t="s">
        <v>74</v>
      </c>
      <c r="AD174" s="1" t="s">
        <v>74</v>
      </c>
      <c r="AE174" s="11">
        <v>45762</v>
      </c>
      <c r="AF174" s="11"/>
      <c r="AG174" s="1" t="s">
        <v>74</v>
      </c>
      <c r="AJ174" cm="1">
        <f t="array" ref="AJ174:AK174">_xlfn.XLOOKUP(M174,'Customer Data Vlookup'!$L:$L,'Customer Data Vlookup'!$M:$N,,0)</f>
        <v>0</v>
      </c>
      <c r="AK174" s="47">
        <v>25546</v>
      </c>
      <c r="AL174" s="47">
        <f t="shared" si="22"/>
        <v>25546</v>
      </c>
      <c r="AM174" s="58">
        <f t="shared" si="23"/>
        <v>879.09999999999854</v>
      </c>
    </row>
    <row r="175" spans="1:39" x14ac:dyDescent="0.35">
      <c r="A175" s="1" t="s">
        <v>124</v>
      </c>
      <c r="B175" s="1" t="s">
        <v>67</v>
      </c>
      <c r="C175" s="1" t="s">
        <v>68</v>
      </c>
      <c r="D175" s="1" t="s">
        <v>69</v>
      </c>
      <c r="E175" s="1" t="s">
        <v>17</v>
      </c>
      <c r="F175" s="1" t="s">
        <v>129</v>
      </c>
      <c r="G175" s="11">
        <v>45762</v>
      </c>
      <c r="H175" s="25">
        <v>1800006258</v>
      </c>
      <c r="I175" s="1" t="s">
        <v>9</v>
      </c>
      <c r="J175" s="11">
        <v>45762</v>
      </c>
      <c r="K175" s="11">
        <v>45763</v>
      </c>
      <c r="L175" s="1" t="s">
        <v>71</v>
      </c>
      <c r="M175" s="35">
        <v>256779411149</v>
      </c>
      <c r="N175" s="1" t="s">
        <v>72</v>
      </c>
      <c r="O175" s="1" t="s">
        <v>73</v>
      </c>
      <c r="P175" s="1" t="s">
        <v>74</v>
      </c>
      <c r="Q175" s="1" t="s">
        <v>83</v>
      </c>
      <c r="R175" s="1" t="s">
        <v>76</v>
      </c>
      <c r="S175" s="12">
        <v>31.72</v>
      </c>
      <c r="T175" s="1" t="s">
        <v>77</v>
      </c>
      <c r="U175" s="12">
        <v>2757.16</v>
      </c>
      <c r="V175" s="1" t="s">
        <v>78</v>
      </c>
      <c r="W175" s="1" t="s">
        <v>74</v>
      </c>
      <c r="X175" s="1" t="s">
        <v>74</v>
      </c>
      <c r="Y175" s="1" t="s">
        <v>71</v>
      </c>
      <c r="Z175" s="1" t="s">
        <v>80</v>
      </c>
      <c r="AA175" s="1" t="s">
        <v>313</v>
      </c>
      <c r="AB175" s="1" t="s">
        <v>74</v>
      </c>
      <c r="AC175" s="1" t="s">
        <v>74</v>
      </c>
      <c r="AD175" s="1" t="s">
        <v>74</v>
      </c>
      <c r="AE175" s="11">
        <v>45762</v>
      </c>
      <c r="AF175" s="11"/>
      <c r="AG175" s="1" t="s">
        <v>74</v>
      </c>
      <c r="AJ175" cm="1">
        <f t="array" ref="AJ175:AK175">_xlfn.XLOOKUP(M175,'Customer Data Vlookup'!$L:$L,'Customer Data Vlookup'!$M:$N,,0)</f>
        <v>0</v>
      </c>
      <c r="AK175" s="47">
        <v>2664</v>
      </c>
      <c r="AL175" s="47">
        <f t="shared" si="22"/>
        <v>2664</v>
      </c>
      <c r="AM175" s="58">
        <f t="shared" si="23"/>
        <v>93.159999999999854</v>
      </c>
    </row>
    <row r="176" spans="1:39" x14ac:dyDescent="0.35">
      <c r="A176" s="1" t="s">
        <v>124</v>
      </c>
      <c r="B176" s="1" t="s">
        <v>67</v>
      </c>
      <c r="C176" s="1" t="s">
        <v>68</v>
      </c>
      <c r="D176" s="1" t="s">
        <v>69</v>
      </c>
      <c r="E176" s="1" t="s">
        <v>17</v>
      </c>
      <c r="F176" s="1" t="s">
        <v>129</v>
      </c>
      <c r="G176" s="11">
        <v>45762</v>
      </c>
      <c r="H176" s="25">
        <v>1800006259</v>
      </c>
      <c r="I176" s="1" t="s">
        <v>9</v>
      </c>
      <c r="J176" s="11">
        <v>45762</v>
      </c>
      <c r="K176" s="11">
        <v>45763</v>
      </c>
      <c r="L176" s="1" t="s">
        <v>71</v>
      </c>
      <c r="M176" s="35">
        <v>256779411150</v>
      </c>
      <c r="N176" s="1" t="s">
        <v>72</v>
      </c>
      <c r="O176" s="1" t="s">
        <v>73</v>
      </c>
      <c r="P176" s="1" t="s">
        <v>74</v>
      </c>
      <c r="Q176" s="1" t="s">
        <v>83</v>
      </c>
      <c r="R176" s="1" t="s">
        <v>76</v>
      </c>
      <c r="S176" s="12">
        <v>158.6</v>
      </c>
      <c r="T176" s="1" t="s">
        <v>77</v>
      </c>
      <c r="U176" s="12">
        <v>13785.8</v>
      </c>
      <c r="V176" s="1" t="s">
        <v>78</v>
      </c>
      <c r="W176" s="1" t="s">
        <v>74</v>
      </c>
      <c r="X176" s="1" t="s">
        <v>74</v>
      </c>
      <c r="Y176" s="1" t="s">
        <v>71</v>
      </c>
      <c r="Z176" s="1" t="s">
        <v>80</v>
      </c>
      <c r="AA176" s="1" t="s">
        <v>313</v>
      </c>
      <c r="AB176" s="1" t="s">
        <v>74</v>
      </c>
      <c r="AC176" s="1" t="s">
        <v>74</v>
      </c>
      <c r="AD176" s="1" t="s">
        <v>74</v>
      </c>
      <c r="AE176" s="11">
        <v>45762</v>
      </c>
      <c r="AF176" s="11"/>
      <c r="AG176" s="1" t="s">
        <v>74</v>
      </c>
      <c r="AJ176" cm="1">
        <f t="array" ref="AJ176:AK176">_xlfn.XLOOKUP(M176,'Customer Data Vlookup'!$L:$L,'Customer Data Vlookup'!$M:$N,,0)</f>
        <v>0</v>
      </c>
      <c r="AK176" s="47">
        <v>13328</v>
      </c>
      <c r="AL176" s="47">
        <f t="shared" si="22"/>
        <v>13328</v>
      </c>
      <c r="AM176" s="58">
        <f t="shared" si="23"/>
        <v>457.79999999999927</v>
      </c>
    </row>
    <row r="177" spans="1:39" x14ac:dyDescent="0.35">
      <c r="A177" s="1" t="s">
        <v>124</v>
      </c>
      <c r="B177" s="1" t="s">
        <v>67</v>
      </c>
      <c r="C177" s="1" t="s">
        <v>68</v>
      </c>
      <c r="D177" s="1" t="s">
        <v>69</v>
      </c>
      <c r="E177" s="1" t="s">
        <v>17</v>
      </c>
      <c r="F177" s="1" t="s">
        <v>129</v>
      </c>
      <c r="G177" s="11">
        <v>45762</v>
      </c>
      <c r="H177" s="25">
        <v>1800006260</v>
      </c>
      <c r="I177" s="1" t="s">
        <v>9</v>
      </c>
      <c r="J177" s="11">
        <v>45762</v>
      </c>
      <c r="K177" s="11">
        <v>45763</v>
      </c>
      <c r="L177" s="1" t="s">
        <v>71</v>
      </c>
      <c r="M177" s="35">
        <v>256779411151</v>
      </c>
      <c r="N177" s="1" t="s">
        <v>72</v>
      </c>
      <c r="O177" s="1" t="s">
        <v>73</v>
      </c>
      <c r="P177" s="1" t="s">
        <v>74</v>
      </c>
      <c r="Q177" s="1" t="s">
        <v>83</v>
      </c>
      <c r="R177" s="1" t="s">
        <v>76</v>
      </c>
      <c r="S177" s="12">
        <v>160</v>
      </c>
      <c r="T177" s="1" t="s">
        <v>77</v>
      </c>
      <c r="U177" s="12">
        <v>13907.49</v>
      </c>
      <c r="V177" s="1" t="s">
        <v>78</v>
      </c>
      <c r="W177" s="1" t="s">
        <v>74</v>
      </c>
      <c r="X177" s="1" t="s">
        <v>74</v>
      </c>
      <c r="Y177" s="1" t="s">
        <v>71</v>
      </c>
      <c r="Z177" s="1" t="s">
        <v>80</v>
      </c>
      <c r="AA177" s="1" t="s">
        <v>314</v>
      </c>
      <c r="AB177" s="1" t="s">
        <v>74</v>
      </c>
      <c r="AC177" s="1" t="s">
        <v>74</v>
      </c>
      <c r="AD177" s="1" t="s">
        <v>74</v>
      </c>
      <c r="AE177" s="11">
        <v>45762</v>
      </c>
      <c r="AF177" s="11"/>
      <c r="AG177" s="1" t="s">
        <v>74</v>
      </c>
      <c r="AJ177" cm="1">
        <f t="array" ref="AJ177:AK177">_xlfn.XLOOKUP(M177,'Customer Data Vlookup'!$L:$L,'Customer Data Vlookup'!$M:$N,,0)</f>
        <v>0</v>
      </c>
      <c r="AK177" s="47">
        <v>13629</v>
      </c>
      <c r="AL177" s="47">
        <f t="shared" si="22"/>
        <v>13629</v>
      </c>
      <c r="AM177" s="58">
        <f t="shared" si="23"/>
        <v>278.48999999999978</v>
      </c>
    </row>
    <row r="178" spans="1:39" x14ac:dyDescent="0.35">
      <c r="A178" s="1" t="s">
        <v>124</v>
      </c>
      <c r="B178" s="1" t="s">
        <v>67</v>
      </c>
      <c r="C178" s="1" t="s">
        <v>68</v>
      </c>
      <c r="D178" s="1" t="s">
        <v>69</v>
      </c>
      <c r="E178" s="1" t="s">
        <v>17</v>
      </c>
      <c r="F178" s="1" t="s">
        <v>129</v>
      </c>
      <c r="G178" s="11">
        <v>45762</v>
      </c>
      <c r="H178" s="25">
        <v>1800006672</v>
      </c>
      <c r="I178" s="1" t="s">
        <v>9</v>
      </c>
      <c r="J178" s="11">
        <v>45762</v>
      </c>
      <c r="K178" s="11">
        <v>45763</v>
      </c>
      <c r="L178" s="1" t="s">
        <v>71</v>
      </c>
      <c r="M178" s="35">
        <v>256779411563</v>
      </c>
      <c r="N178" s="1" t="s">
        <v>72</v>
      </c>
      <c r="O178" s="1" t="s">
        <v>73</v>
      </c>
      <c r="P178" s="1" t="s">
        <v>74</v>
      </c>
      <c r="Q178" s="1" t="s">
        <v>83</v>
      </c>
      <c r="R178" s="1" t="s">
        <v>76</v>
      </c>
      <c r="S178" s="12">
        <v>2.35</v>
      </c>
      <c r="T178" s="1" t="s">
        <v>77</v>
      </c>
      <c r="U178" s="12">
        <v>204.27</v>
      </c>
      <c r="V178" s="1" t="s">
        <v>78</v>
      </c>
      <c r="W178" s="1" t="s">
        <v>74</v>
      </c>
      <c r="X178" s="1" t="s">
        <v>74</v>
      </c>
      <c r="Y178" s="1" t="s">
        <v>71</v>
      </c>
      <c r="Z178" s="1" t="s">
        <v>80</v>
      </c>
      <c r="AA178" s="1" t="s">
        <v>315</v>
      </c>
      <c r="AB178" s="1" t="s">
        <v>74</v>
      </c>
      <c r="AC178" s="1" t="s">
        <v>74</v>
      </c>
      <c r="AD178" s="1" t="s">
        <v>74</v>
      </c>
      <c r="AE178" s="11">
        <v>45762</v>
      </c>
      <c r="AF178" s="11"/>
      <c r="AG178" s="1" t="s">
        <v>74</v>
      </c>
      <c r="AJ178" cm="1">
        <f t="array" ref="AJ178:AK178">_xlfn.XLOOKUP(M178,'Customer Data Vlookup'!$L:$L,'Customer Data Vlookup'!$M:$N,,0)</f>
        <v>0</v>
      </c>
      <c r="AK178" s="47">
        <v>198</v>
      </c>
      <c r="AL178" s="47">
        <f t="shared" si="22"/>
        <v>198</v>
      </c>
      <c r="AM178" s="58">
        <f t="shared" si="23"/>
        <v>6.2700000000000102</v>
      </c>
    </row>
    <row r="179" spans="1:39" x14ac:dyDescent="0.35">
      <c r="A179" s="1" t="s">
        <v>124</v>
      </c>
      <c r="B179" s="1" t="s">
        <v>67</v>
      </c>
      <c r="C179" s="1" t="s">
        <v>68</v>
      </c>
      <c r="D179" s="1" t="s">
        <v>69</v>
      </c>
      <c r="E179" s="1" t="s">
        <v>17</v>
      </c>
      <c r="F179" s="1" t="s">
        <v>129</v>
      </c>
      <c r="G179" s="11">
        <v>45762</v>
      </c>
      <c r="H179" s="25">
        <v>1800006673</v>
      </c>
      <c r="I179" s="1" t="s">
        <v>9</v>
      </c>
      <c r="J179" s="11">
        <v>45762</v>
      </c>
      <c r="K179" s="11">
        <v>45763</v>
      </c>
      <c r="L179" s="1" t="s">
        <v>71</v>
      </c>
      <c r="M179" s="35">
        <v>256779411564</v>
      </c>
      <c r="N179" s="1" t="s">
        <v>72</v>
      </c>
      <c r="O179" s="1" t="s">
        <v>73</v>
      </c>
      <c r="P179" s="1" t="s">
        <v>74</v>
      </c>
      <c r="Q179" s="1" t="s">
        <v>83</v>
      </c>
      <c r="R179" s="1" t="s">
        <v>76</v>
      </c>
      <c r="S179" s="12">
        <v>9.4</v>
      </c>
      <c r="T179" s="1" t="s">
        <v>77</v>
      </c>
      <c r="U179" s="12">
        <v>817.07</v>
      </c>
      <c r="V179" s="1" t="s">
        <v>78</v>
      </c>
      <c r="W179" s="1" t="s">
        <v>74</v>
      </c>
      <c r="X179" s="1" t="s">
        <v>74</v>
      </c>
      <c r="Y179" s="1" t="s">
        <v>71</v>
      </c>
      <c r="Z179" s="1" t="s">
        <v>80</v>
      </c>
      <c r="AA179" s="1" t="s">
        <v>315</v>
      </c>
      <c r="AB179" s="1" t="s">
        <v>74</v>
      </c>
      <c r="AC179" s="1" t="s">
        <v>74</v>
      </c>
      <c r="AD179" s="1" t="s">
        <v>74</v>
      </c>
      <c r="AE179" s="11">
        <v>45762</v>
      </c>
      <c r="AF179" s="11"/>
      <c r="AG179" s="1" t="s">
        <v>74</v>
      </c>
      <c r="AJ179" cm="1">
        <f t="array" ref="AJ179:AK179">_xlfn.XLOOKUP(M179,'Customer Data Vlookup'!$L:$L,'Customer Data Vlookup'!$M:$N,,0)</f>
        <v>0</v>
      </c>
      <c r="AK179" s="47">
        <v>790</v>
      </c>
      <c r="AL179" s="47">
        <f t="shared" si="22"/>
        <v>790</v>
      </c>
      <c r="AM179" s="58">
        <f t="shared" si="23"/>
        <v>27.07000000000005</v>
      </c>
    </row>
    <row r="180" spans="1:39" x14ac:dyDescent="0.35">
      <c r="A180" s="1" t="s">
        <v>124</v>
      </c>
      <c r="B180" s="1" t="s">
        <v>67</v>
      </c>
      <c r="C180" s="1" t="s">
        <v>68</v>
      </c>
      <c r="D180" s="1" t="s">
        <v>69</v>
      </c>
      <c r="E180" s="1" t="s">
        <v>17</v>
      </c>
      <c r="F180" s="1" t="s">
        <v>316</v>
      </c>
      <c r="G180" s="11">
        <v>45880</v>
      </c>
      <c r="H180" s="25">
        <v>1800011901</v>
      </c>
      <c r="I180" s="1" t="s">
        <v>9</v>
      </c>
      <c r="J180" s="11">
        <v>45880</v>
      </c>
      <c r="K180" s="11">
        <v>45881</v>
      </c>
      <c r="L180" s="1" t="s">
        <v>71</v>
      </c>
      <c r="M180" s="35">
        <v>256779416544</v>
      </c>
      <c r="N180" s="1" t="s">
        <v>72</v>
      </c>
      <c r="O180" s="1" t="s">
        <v>73</v>
      </c>
      <c r="P180" s="1" t="s">
        <v>74</v>
      </c>
      <c r="Q180" s="1" t="s">
        <v>83</v>
      </c>
      <c r="R180" s="1" t="s">
        <v>76</v>
      </c>
      <c r="S180" s="12">
        <v>298.70999999999998</v>
      </c>
      <c r="T180" s="1" t="s">
        <v>77</v>
      </c>
      <c r="U180" s="12">
        <v>25698.06</v>
      </c>
      <c r="V180" s="1" t="s">
        <v>78</v>
      </c>
      <c r="W180" s="1" t="s">
        <v>79</v>
      </c>
      <c r="X180" s="1" t="s">
        <v>74</v>
      </c>
      <c r="Y180" s="1" t="s">
        <v>71</v>
      </c>
      <c r="Z180" s="1" t="s">
        <v>80</v>
      </c>
      <c r="AA180" s="1" t="s">
        <v>317</v>
      </c>
      <c r="AB180" s="1" t="s">
        <v>74</v>
      </c>
      <c r="AC180" s="1" t="s">
        <v>74</v>
      </c>
      <c r="AD180" s="1" t="s">
        <v>74</v>
      </c>
      <c r="AE180" s="11">
        <v>45880</v>
      </c>
      <c r="AF180" s="11"/>
      <c r="AG180" s="1" t="s">
        <v>74</v>
      </c>
      <c r="AJ180" cm="1">
        <f t="array" ref="AJ180:AK180">_xlfn.XLOOKUP(M180,'Customer Data Vlookup'!$L:$L,'Customer Data Vlookup'!$M:$N,,0)</f>
        <v>0</v>
      </c>
      <c r="AK180" s="47">
        <v>23117.1535</v>
      </c>
      <c r="AL180" s="47">
        <f t="shared" si="22"/>
        <v>23117.1535</v>
      </c>
      <c r="AM180" s="58">
        <f t="shared" si="23"/>
        <v>2580.906500000001</v>
      </c>
    </row>
    <row r="181" spans="1:39" x14ac:dyDescent="0.35">
      <c r="A181" s="1" t="s">
        <v>124</v>
      </c>
      <c r="B181" s="1" t="s">
        <v>67</v>
      </c>
      <c r="C181" s="1" t="s">
        <v>68</v>
      </c>
      <c r="D181" s="1" t="s">
        <v>69</v>
      </c>
      <c r="E181" s="1" t="s">
        <v>17</v>
      </c>
      <c r="F181" s="1" t="s">
        <v>316</v>
      </c>
      <c r="G181" s="11">
        <v>45880</v>
      </c>
      <c r="H181" s="25">
        <v>1800011903</v>
      </c>
      <c r="I181" s="1" t="s">
        <v>9</v>
      </c>
      <c r="J181" s="11">
        <v>45880</v>
      </c>
      <c r="K181" s="11">
        <v>45881</v>
      </c>
      <c r="L181" s="1" t="s">
        <v>71</v>
      </c>
      <c r="M181" s="35">
        <v>256779416546</v>
      </c>
      <c r="N181" s="1" t="s">
        <v>72</v>
      </c>
      <c r="O181" s="1" t="s">
        <v>73</v>
      </c>
      <c r="P181" s="1" t="s">
        <v>74</v>
      </c>
      <c r="Q181" s="1" t="s">
        <v>83</v>
      </c>
      <c r="R181" s="1" t="s">
        <v>76</v>
      </c>
      <c r="S181" s="12">
        <v>282.89999999999998</v>
      </c>
      <c r="T181" s="1" t="s">
        <v>77</v>
      </c>
      <c r="U181" s="12">
        <v>24337.919999999998</v>
      </c>
      <c r="V181" s="1" t="s">
        <v>78</v>
      </c>
      <c r="W181" s="1" t="s">
        <v>79</v>
      </c>
      <c r="X181" s="1" t="s">
        <v>74</v>
      </c>
      <c r="Y181" s="1" t="s">
        <v>71</v>
      </c>
      <c r="Z181" s="1" t="s">
        <v>80</v>
      </c>
      <c r="AA181" s="1" t="s">
        <v>318</v>
      </c>
      <c r="AB181" s="1" t="s">
        <v>74</v>
      </c>
      <c r="AC181" s="1" t="s">
        <v>74</v>
      </c>
      <c r="AD181" s="1" t="s">
        <v>74</v>
      </c>
      <c r="AE181" s="11">
        <v>45880</v>
      </c>
      <c r="AF181" s="11"/>
      <c r="AG181" s="1" t="s">
        <v>74</v>
      </c>
      <c r="AJ181" cm="1">
        <f t="array" ref="AJ181:AK181">_xlfn.XLOOKUP(M181,'Customer Data Vlookup'!$L:$L,'Customer Data Vlookup'!$M:$N,,0)</f>
        <v>0</v>
      </c>
      <c r="AK181" s="47">
        <v>21929.077600000001</v>
      </c>
      <c r="AL181" s="47">
        <f t="shared" si="22"/>
        <v>21929.077600000001</v>
      </c>
      <c r="AM181" s="58">
        <f t="shared" si="23"/>
        <v>2408.8423999999977</v>
      </c>
    </row>
    <row r="182" spans="1:39" x14ac:dyDescent="0.35">
      <c r="A182" s="1" t="s">
        <v>124</v>
      </c>
      <c r="B182" s="1" t="s">
        <v>67</v>
      </c>
      <c r="C182" s="1" t="s">
        <v>68</v>
      </c>
      <c r="D182" s="1" t="s">
        <v>69</v>
      </c>
      <c r="E182" s="1" t="s">
        <v>17</v>
      </c>
      <c r="F182" s="1" t="s">
        <v>70</v>
      </c>
      <c r="G182" s="11">
        <v>45845</v>
      </c>
      <c r="H182" s="25">
        <v>1800010208</v>
      </c>
      <c r="I182" s="1" t="s">
        <v>9</v>
      </c>
      <c r="J182" s="11">
        <v>45845</v>
      </c>
      <c r="K182" s="11">
        <v>45847</v>
      </c>
      <c r="L182" s="1" t="s">
        <v>71</v>
      </c>
      <c r="M182" s="35">
        <v>256779414968</v>
      </c>
      <c r="N182" s="1" t="s">
        <v>72</v>
      </c>
      <c r="O182" s="1" t="s">
        <v>73</v>
      </c>
      <c r="P182" s="1" t="s">
        <v>74</v>
      </c>
      <c r="Q182" s="1" t="s">
        <v>83</v>
      </c>
      <c r="R182" s="1" t="s">
        <v>76</v>
      </c>
      <c r="S182" s="12">
        <v>31.58</v>
      </c>
      <c r="T182" s="1" t="s">
        <v>77</v>
      </c>
      <c r="U182" s="12">
        <v>2715.9</v>
      </c>
      <c r="V182" s="1" t="s">
        <v>78</v>
      </c>
      <c r="W182" s="1" t="s">
        <v>79</v>
      </c>
      <c r="X182" s="1" t="s">
        <v>74</v>
      </c>
      <c r="Y182" s="1" t="s">
        <v>71</v>
      </c>
      <c r="Z182" s="1" t="s">
        <v>80</v>
      </c>
      <c r="AA182" s="1" t="s">
        <v>74</v>
      </c>
      <c r="AB182" s="1" t="s">
        <v>74</v>
      </c>
      <c r="AC182" s="1" t="s">
        <v>74</v>
      </c>
      <c r="AD182" s="1" t="s">
        <v>74</v>
      </c>
      <c r="AE182" s="11">
        <v>45845</v>
      </c>
      <c r="AF182" s="11"/>
      <c r="AG182" s="1" t="s">
        <v>74</v>
      </c>
      <c r="AJ182" cm="1">
        <f t="array" ref="AJ182:AK182">_xlfn.XLOOKUP(M182,'Customer Data Vlookup'!$L:$L,'Customer Data Vlookup'!$M:$N,,0)</f>
        <v>0</v>
      </c>
      <c r="AK182" s="47">
        <v>2629.9005000000002</v>
      </c>
      <c r="AL182" s="47">
        <f t="shared" si="22"/>
        <v>2629.9005000000002</v>
      </c>
      <c r="AM182" s="58">
        <f t="shared" si="23"/>
        <v>85.999499999999898</v>
      </c>
    </row>
    <row r="183" spans="1:39" hidden="1" x14ac:dyDescent="0.35">
      <c r="A183" s="1" t="s">
        <v>66</v>
      </c>
      <c r="B183" s="1" t="s">
        <v>67</v>
      </c>
      <c r="C183" s="1" t="s">
        <v>68</v>
      </c>
      <c r="D183" s="1" t="s">
        <v>69</v>
      </c>
      <c r="E183" s="1" t="s">
        <v>17</v>
      </c>
      <c r="F183" s="1" t="s">
        <v>141</v>
      </c>
      <c r="G183" s="11">
        <v>45947</v>
      </c>
      <c r="H183" s="25">
        <v>1600002471</v>
      </c>
      <c r="I183" s="1" t="s">
        <v>8</v>
      </c>
      <c r="J183" s="11">
        <v>45947</v>
      </c>
      <c r="K183" s="11">
        <v>45953</v>
      </c>
      <c r="L183" s="1" t="s">
        <v>71</v>
      </c>
      <c r="M183" s="35">
        <v>256779422013</v>
      </c>
      <c r="N183" s="1" t="s">
        <v>72</v>
      </c>
      <c r="O183" s="1" t="s">
        <v>73</v>
      </c>
      <c r="P183" s="1" t="s">
        <v>74</v>
      </c>
      <c r="Q183" s="1" t="s">
        <v>75</v>
      </c>
      <c r="R183" s="1" t="s">
        <v>76</v>
      </c>
      <c r="S183" s="12">
        <v>-582.79999999999995</v>
      </c>
      <c r="T183" s="1" t="s">
        <v>77</v>
      </c>
      <c r="U183" s="12">
        <v>-51397.58</v>
      </c>
      <c r="V183" s="1" t="s">
        <v>78</v>
      </c>
      <c r="W183" s="1" t="s">
        <v>79</v>
      </c>
      <c r="X183" s="1" t="s">
        <v>74</v>
      </c>
      <c r="Y183" s="1" t="s">
        <v>319</v>
      </c>
      <c r="Z183" s="1" t="s">
        <v>80</v>
      </c>
      <c r="AA183" s="1" t="s">
        <v>320</v>
      </c>
      <c r="AB183" s="1" t="s">
        <v>74</v>
      </c>
      <c r="AC183" s="1" t="s">
        <v>74</v>
      </c>
      <c r="AD183" s="1" t="s">
        <v>74</v>
      </c>
      <c r="AE183" s="11">
        <v>45947</v>
      </c>
      <c r="AF183" s="11">
        <v>45976</v>
      </c>
      <c r="AG183" s="1" t="s">
        <v>101</v>
      </c>
      <c r="AJ183" s="5" t="e" cm="1">
        <f t="array" ref="AJ183">_xlfn.XLOOKUP(M183,'Customer Data Vlookup'!$L:$L,'Customer Data Vlookup'!$M:$N,,0)</f>
        <v>#N/A</v>
      </c>
    </row>
    <row r="184" spans="1:39" x14ac:dyDescent="0.35">
      <c r="A184" s="1" t="s">
        <v>124</v>
      </c>
      <c r="B184" s="1" t="s">
        <v>67</v>
      </c>
      <c r="C184" s="1" t="s">
        <v>68</v>
      </c>
      <c r="D184" s="1" t="s">
        <v>69</v>
      </c>
      <c r="E184" s="1" t="s">
        <v>17</v>
      </c>
      <c r="F184" s="1" t="s">
        <v>129</v>
      </c>
      <c r="G184" s="11">
        <v>45763</v>
      </c>
      <c r="H184" s="25">
        <v>1800006916</v>
      </c>
      <c r="I184" s="1" t="s">
        <v>9</v>
      </c>
      <c r="J184" s="11">
        <v>45763</v>
      </c>
      <c r="K184" s="11">
        <v>45764</v>
      </c>
      <c r="L184" s="1" t="s">
        <v>71</v>
      </c>
      <c r="M184" s="35">
        <v>256779411807</v>
      </c>
      <c r="N184" s="1" t="s">
        <v>72</v>
      </c>
      <c r="O184" s="1" t="s">
        <v>73</v>
      </c>
      <c r="P184" s="1" t="s">
        <v>74</v>
      </c>
      <c r="Q184" s="1" t="s">
        <v>83</v>
      </c>
      <c r="R184" s="1" t="s">
        <v>76</v>
      </c>
      <c r="S184" s="12">
        <v>23.5</v>
      </c>
      <c r="T184" s="1" t="s">
        <v>77</v>
      </c>
      <c r="U184" s="12">
        <v>2042.66</v>
      </c>
      <c r="V184" s="1" t="s">
        <v>78</v>
      </c>
      <c r="W184" s="1" t="s">
        <v>79</v>
      </c>
      <c r="X184" s="1" t="s">
        <v>74</v>
      </c>
      <c r="Y184" s="1" t="s">
        <v>71</v>
      </c>
      <c r="Z184" s="1" t="s">
        <v>80</v>
      </c>
      <c r="AA184" s="1" t="s">
        <v>321</v>
      </c>
      <c r="AB184" s="1" t="s">
        <v>74</v>
      </c>
      <c r="AC184" s="1" t="s">
        <v>74</v>
      </c>
      <c r="AD184" s="1" t="s">
        <v>74</v>
      </c>
      <c r="AE184" s="11">
        <v>45763</v>
      </c>
      <c r="AF184" s="11"/>
      <c r="AG184" s="1" t="s">
        <v>74</v>
      </c>
      <c r="AJ184" cm="1">
        <f t="array" ref="AJ184:AK184">_xlfn.XLOOKUP(M184,'Customer Data Vlookup'!$L:$L,'Customer Data Vlookup'!$M:$N,,0)</f>
        <v>0</v>
      </c>
      <c r="AK184" s="47">
        <v>2053.9</v>
      </c>
      <c r="AL184" s="47">
        <f t="shared" ref="AL184:AL186" si="24">AK184-AJ184</f>
        <v>2053.9</v>
      </c>
      <c r="AM184" s="58">
        <f t="shared" ref="AM184:AM186" si="25">U184-AL184</f>
        <v>-11.240000000000009</v>
      </c>
    </row>
    <row r="185" spans="1:39" x14ac:dyDescent="0.35">
      <c r="A185" s="1" t="s">
        <v>124</v>
      </c>
      <c r="B185" s="1" t="s">
        <v>67</v>
      </c>
      <c r="C185" s="1" t="s">
        <v>68</v>
      </c>
      <c r="D185" s="1" t="s">
        <v>69</v>
      </c>
      <c r="E185" s="1" t="s">
        <v>17</v>
      </c>
      <c r="F185" s="1" t="s">
        <v>129</v>
      </c>
      <c r="G185" s="11">
        <v>45763</v>
      </c>
      <c r="H185" s="25">
        <v>1800006994</v>
      </c>
      <c r="I185" s="1" t="s">
        <v>9</v>
      </c>
      <c r="J185" s="11">
        <v>45763</v>
      </c>
      <c r="K185" s="11">
        <v>45764</v>
      </c>
      <c r="L185" s="1" t="s">
        <v>71</v>
      </c>
      <c r="M185" s="35">
        <v>256779411885</v>
      </c>
      <c r="N185" s="1" t="s">
        <v>72</v>
      </c>
      <c r="O185" s="1" t="s">
        <v>73</v>
      </c>
      <c r="P185" s="1" t="s">
        <v>74</v>
      </c>
      <c r="Q185" s="1" t="s">
        <v>83</v>
      </c>
      <c r="R185" s="1" t="s">
        <v>76</v>
      </c>
      <c r="S185" s="12">
        <v>15</v>
      </c>
      <c r="T185" s="1" t="s">
        <v>77</v>
      </c>
      <c r="U185" s="12">
        <v>1303.83</v>
      </c>
      <c r="V185" s="1" t="s">
        <v>78</v>
      </c>
      <c r="W185" s="1" t="s">
        <v>79</v>
      </c>
      <c r="X185" s="1" t="s">
        <v>74</v>
      </c>
      <c r="Y185" s="1" t="s">
        <v>71</v>
      </c>
      <c r="Z185" s="1" t="s">
        <v>80</v>
      </c>
      <c r="AA185" s="1" t="s">
        <v>322</v>
      </c>
      <c r="AB185" s="1" t="s">
        <v>74</v>
      </c>
      <c r="AC185" s="1" t="s">
        <v>74</v>
      </c>
      <c r="AD185" s="1" t="s">
        <v>74</v>
      </c>
      <c r="AE185" s="11">
        <v>45763</v>
      </c>
      <c r="AF185" s="11"/>
      <c r="AG185" s="1" t="s">
        <v>74</v>
      </c>
      <c r="AJ185" cm="1">
        <f t="array" ref="AJ185:AK185">_xlfn.XLOOKUP(M185,'Customer Data Vlookup'!$L:$L,'Customer Data Vlookup'!$M:$N,,0)</f>
        <v>0</v>
      </c>
      <c r="AK185" s="47">
        <v>1256</v>
      </c>
      <c r="AL185" s="47">
        <f t="shared" si="24"/>
        <v>1256</v>
      </c>
      <c r="AM185" s="58">
        <f t="shared" si="25"/>
        <v>47.829999999999927</v>
      </c>
    </row>
    <row r="186" spans="1:39" x14ac:dyDescent="0.35">
      <c r="A186" s="1" t="s">
        <v>124</v>
      </c>
      <c r="B186" s="1" t="s">
        <v>67</v>
      </c>
      <c r="C186" s="1" t="s">
        <v>68</v>
      </c>
      <c r="D186" s="1" t="s">
        <v>69</v>
      </c>
      <c r="E186" s="1" t="s">
        <v>17</v>
      </c>
      <c r="F186" s="1" t="s">
        <v>129</v>
      </c>
      <c r="G186" s="11">
        <v>45763</v>
      </c>
      <c r="H186" s="25">
        <v>1800006995</v>
      </c>
      <c r="I186" s="1" t="s">
        <v>9</v>
      </c>
      <c r="J186" s="11">
        <v>45763</v>
      </c>
      <c r="K186" s="11">
        <v>45764</v>
      </c>
      <c r="L186" s="1" t="s">
        <v>71</v>
      </c>
      <c r="M186" s="35">
        <v>256779411886</v>
      </c>
      <c r="N186" s="1" t="s">
        <v>72</v>
      </c>
      <c r="O186" s="1" t="s">
        <v>73</v>
      </c>
      <c r="P186" s="1" t="s">
        <v>74</v>
      </c>
      <c r="Q186" s="1" t="s">
        <v>83</v>
      </c>
      <c r="R186" s="1" t="s">
        <v>76</v>
      </c>
      <c r="S186" s="12">
        <v>5.25</v>
      </c>
      <c r="T186" s="1" t="s">
        <v>77</v>
      </c>
      <c r="U186" s="12">
        <v>456.34</v>
      </c>
      <c r="V186" s="1" t="s">
        <v>78</v>
      </c>
      <c r="W186" s="1" t="s">
        <v>79</v>
      </c>
      <c r="X186" s="1" t="s">
        <v>74</v>
      </c>
      <c r="Y186" s="1" t="s">
        <v>71</v>
      </c>
      <c r="Z186" s="1" t="s">
        <v>80</v>
      </c>
      <c r="AA186" s="1" t="s">
        <v>323</v>
      </c>
      <c r="AB186" s="1" t="s">
        <v>74</v>
      </c>
      <c r="AC186" s="1" t="s">
        <v>74</v>
      </c>
      <c r="AD186" s="1" t="s">
        <v>74</v>
      </c>
      <c r="AE186" s="11">
        <v>45763</v>
      </c>
      <c r="AF186" s="11"/>
      <c r="AG186" s="1" t="s">
        <v>74</v>
      </c>
      <c r="AJ186" cm="1">
        <f t="array" ref="AJ186:AK186">_xlfn.XLOOKUP(M186,'Customer Data Vlookup'!$L:$L,'Customer Data Vlookup'!$M:$N,,0)</f>
        <v>0</v>
      </c>
      <c r="AK186" s="47">
        <v>447</v>
      </c>
      <c r="AL186" s="47">
        <f t="shared" si="24"/>
        <v>447</v>
      </c>
      <c r="AM186" s="58">
        <f t="shared" si="25"/>
        <v>9.339999999999975</v>
      </c>
    </row>
    <row r="187" spans="1:39" hidden="1" x14ac:dyDescent="0.35">
      <c r="A187" s="1" t="s">
        <v>124</v>
      </c>
      <c r="B187" s="1" t="s">
        <v>67</v>
      </c>
      <c r="C187" s="1" t="s">
        <v>68</v>
      </c>
      <c r="D187" s="1" t="s">
        <v>69</v>
      </c>
      <c r="E187" s="1" t="s">
        <v>17</v>
      </c>
      <c r="F187" s="1" t="s">
        <v>129</v>
      </c>
      <c r="G187" s="11">
        <v>45763</v>
      </c>
      <c r="H187" s="25">
        <v>1800007087</v>
      </c>
      <c r="I187" s="1" t="s">
        <v>9</v>
      </c>
      <c r="J187" s="11">
        <v>45763</v>
      </c>
      <c r="K187" s="11">
        <v>45764</v>
      </c>
      <c r="L187" s="1" t="s">
        <v>71</v>
      </c>
      <c r="M187" s="35">
        <v>256779411978</v>
      </c>
      <c r="N187" s="1" t="s">
        <v>72</v>
      </c>
      <c r="O187" s="1" t="s">
        <v>73</v>
      </c>
      <c r="P187" s="1" t="s">
        <v>74</v>
      </c>
      <c r="Q187" s="1" t="s">
        <v>83</v>
      </c>
      <c r="R187" s="1" t="s">
        <v>76</v>
      </c>
      <c r="S187" s="12">
        <v>46.85</v>
      </c>
      <c r="T187" s="1" t="s">
        <v>77</v>
      </c>
      <c r="U187" s="12">
        <v>4072.29</v>
      </c>
      <c r="V187" s="1" t="s">
        <v>78</v>
      </c>
      <c r="W187" s="1" t="s">
        <v>79</v>
      </c>
      <c r="X187" s="1" t="s">
        <v>74</v>
      </c>
      <c r="Y187" s="1" t="s">
        <v>71</v>
      </c>
      <c r="Z187" s="1" t="s">
        <v>80</v>
      </c>
      <c r="AA187" s="1" t="s">
        <v>324</v>
      </c>
      <c r="AB187" s="1" t="s">
        <v>74</v>
      </c>
      <c r="AC187" s="1" t="s">
        <v>74</v>
      </c>
      <c r="AD187" s="1" t="s">
        <v>74</v>
      </c>
      <c r="AE187" s="11">
        <v>45763</v>
      </c>
      <c r="AF187" s="11"/>
      <c r="AG187" s="1" t="s">
        <v>74</v>
      </c>
      <c r="AJ187" t="e" cm="1">
        <f t="array" ref="AJ187">_xlfn.XLOOKUP(M187,'Customer Data Vlookup'!$L:$L,'Customer Data Vlookup'!$M:$N,,0)</f>
        <v>#N/A</v>
      </c>
    </row>
    <row r="188" spans="1:39" hidden="1" x14ac:dyDescent="0.35">
      <c r="A188" s="1" t="s">
        <v>124</v>
      </c>
      <c r="B188" s="1" t="s">
        <v>67</v>
      </c>
      <c r="C188" s="1" t="s">
        <v>68</v>
      </c>
      <c r="D188" s="1" t="s">
        <v>69</v>
      </c>
      <c r="E188" s="1" t="s">
        <v>17</v>
      </c>
      <c r="F188" s="1" t="s">
        <v>129</v>
      </c>
      <c r="G188" s="11">
        <v>45763</v>
      </c>
      <c r="H188" s="25">
        <v>1800007088</v>
      </c>
      <c r="I188" s="1" t="s">
        <v>9</v>
      </c>
      <c r="J188" s="11">
        <v>45763</v>
      </c>
      <c r="K188" s="11">
        <v>45764</v>
      </c>
      <c r="L188" s="1" t="s">
        <v>71</v>
      </c>
      <c r="M188" s="35">
        <v>256779411979</v>
      </c>
      <c r="N188" s="1" t="s">
        <v>72</v>
      </c>
      <c r="O188" s="1" t="s">
        <v>73</v>
      </c>
      <c r="P188" s="1" t="s">
        <v>74</v>
      </c>
      <c r="Q188" s="1" t="s">
        <v>83</v>
      </c>
      <c r="R188" s="1" t="s">
        <v>76</v>
      </c>
      <c r="S188" s="12">
        <v>37.56</v>
      </c>
      <c r="T188" s="1" t="s">
        <v>77</v>
      </c>
      <c r="U188" s="12">
        <v>3264.78</v>
      </c>
      <c r="V188" s="1" t="s">
        <v>78</v>
      </c>
      <c r="W188" s="1" t="s">
        <v>79</v>
      </c>
      <c r="X188" s="1" t="s">
        <v>74</v>
      </c>
      <c r="Y188" s="1" t="s">
        <v>71</v>
      </c>
      <c r="Z188" s="1" t="s">
        <v>80</v>
      </c>
      <c r="AA188" s="1" t="s">
        <v>325</v>
      </c>
      <c r="AB188" s="1" t="s">
        <v>74</v>
      </c>
      <c r="AC188" s="1" t="s">
        <v>74</v>
      </c>
      <c r="AD188" s="1" t="s">
        <v>74</v>
      </c>
      <c r="AE188" s="11">
        <v>45763</v>
      </c>
      <c r="AF188" s="11"/>
      <c r="AG188" s="1" t="s">
        <v>74</v>
      </c>
      <c r="AJ188" t="e" cm="1">
        <f t="array" ref="AJ188">_xlfn.XLOOKUP(M188,'Customer Data Vlookup'!$L:$L,'Customer Data Vlookup'!$M:$N,,0)</f>
        <v>#N/A</v>
      </c>
    </row>
    <row r="189" spans="1:39" hidden="1" x14ac:dyDescent="0.35">
      <c r="A189" s="1" t="s">
        <v>124</v>
      </c>
      <c r="B189" s="1" t="s">
        <v>67</v>
      </c>
      <c r="C189" s="1" t="s">
        <v>68</v>
      </c>
      <c r="D189" s="1" t="s">
        <v>69</v>
      </c>
      <c r="E189" s="1" t="s">
        <v>17</v>
      </c>
      <c r="F189" s="1" t="s">
        <v>129</v>
      </c>
      <c r="G189" s="11">
        <v>45763</v>
      </c>
      <c r="H189" s="25">
        <v>1800007089</v>
      </c>
      <c r="I189" s="1" t="s">
        <v>9</v>
      </c>
      <c r="J189" s="11">
        <v>45763</v>
      </c>
      <c r="K189" s="11">
        <v>45764</v>
      </c>
      <c r="L189" s="1" t="s">
        <v>71</v>
      </c>
      <c r="M189" s="35">
        <v>256779411980</v>
      </c>
      <c r="N189" s="1" t="s">
        <v>72</v>
      </c>
      <c r="O189" s="1" t="s">
        <v>73</v>
      </c>
      <c r="P189" s="1" t="s">
        <v>74</v>
      </c>
      <c r="Q189" s="1" t="s">
        <v>83</v>
      </c>
      <c r="R189" s="1" t="s">
        <v>76</v>
      </c>
      <c r="S189" s="12">
        <v>17.420000000000002</v>
      </c>
      <c r="T189" s="1" t="s">
        <v>77</v>
      </c>
      <c r="U189" s="12">
        <v>1514.18</v>
      </c>
      <c r="V189" s="1" t="s">
        <v>78</v>
      </c>
      <c r="W189" s="1" t="s">
        <v>79</v>
      </c>
      <c r="X189" s="1" t="s">
        <v>74</v>
      </c>
      <c r="Y189" s="1" t="s">
        <v>71</v>
      </c>
      <c r="Z189" s="1" t="s">
        <v>80</v>
      </c>
      <c r="AA189" s="1" t="s">
        <v>326</v>
      </c>
      <c r="AB189" s="1" t="s">
        <v>74</v>
      </c>
      <c r="AC189" s="1" t="s">
        <v>74</v>
      </c>
      <c r="AD189" s="1" t="s">
        <v>74</v>
      </c>
      <c r="AE189" s="11">
        <v>45763</v>
      </c>
      <c r="AF189" s="11"/>
      <c r="AG189" s="1" t="s">
        <v>74</v>
      </c>
      <c r="AJ189" t="e" cm="1">
        <f t="array" ref="AJ189">_xlfn.XLOOKUP(M189,'Customer Data Vlookup'!$L:$L,'Customer Data Vlookup'!$M:$N,,0)</f>
        <v>#N/A</v>
      </c>
    </row>
    <row r="190" spans="1:39" x14ac:dyDescent="0.35">
      <c r="A190" s="1" t="s">
        <v>124</v>
      </c>
      <c r="B190" s="1" t="s">
        <v>67</v>
      </c>
      <c r="C190" s="1" t="s">
        <v>68</v>
      </c>
      <c r="D190" s="1" t="s">
        <v>69</v>
      </c>
      <c r="E190" s="1" t="s">
        <v>17</v>
      </c>
      <c r="F190" s="1" t="s">
        <v>129</v>
      </c>
      <c r="G190" s="11">
        <v>45763</v>
      </c>
      <c r="H190" s="25">
        <v>1800007174</v>
      </c>
      <c r="I190" s="1" t="s">
        <v>9</v>
      </c>
      <c r="J190" s="11">
        <v>45763</v>
      </c>
      <c r="K190" s="11">
        <v>45764</v>
      </c>
      <c r="L190" s="1" t="s">
        <v>71</v>
      </c>
      <c r="M190" s="35">
        <v>256779412065</v>
      </c>
      <c r="N190" s="1" t="s">
        <v>72</v>
      </c>
      <c r="O190" s="1" t="s">
        <v>73</v>
      </c>
      <c r="P190" s="1" t="s">
        <v>74</v>
      </c>
      <c r="Q190" s="1" t="s">
        <v>83</v>
      </c>
      <c r="R190" s="1" t="s">
        <v>76</v>
      </c>
      <c r="S190" s="12">
        <v>18.88</v>
      </c>
      <c r="T190" s="1" t="s">
        <v>77</v>
      </c>
      <c r="U190" s="12">
        <v>1641.08</v>
      </c>
      <c r="V190" s="1" t="s">
        <v>78</v>
      </c>
      <c r="W190" s="1" t="s">
        <v>79</v>
      </c>
      <c r="X190" s="1" t="s">
        <v>74</v>
      </c>
      <c r="Y190" s="1" t="s">
        <v>71</v>
      </c>
      <c r="Z190" s="1" t="s">
        <v>80</v>
      </c>
      <c r="AA190" s="1" t="s">
        <v>327</v>
      </c>
      <c r="AB190" s="1" t="s">
        <v>74</v>
      </c>
      <c r="AC190" s="1" t="s">
        <v>74</v>
      </c>
      <c r="AD190" s="1" t="s">
        <v>74</v>
      </c>
      <c r="AE190" s="11">
        <v>45763</v>
      </c>
      <c r="AF190" s="11"/>
      <c r="AG190" s="1" t="s">
        <v>74</v>
      </c>
      <c r="AJ190" cm="1">
        <f t="array" ref="AJ190:AK190">_xlfn.XLOOKUP(M190,'Customer Data Vlookup'!$L:$L,'Customer Data Vlookup'!$M:$N,,0)</f>
        <v>0</v>
      </c>
      <c r="AK190" s="47">
        <v>1584</v>
      </c>
      <c r="AL190" s="47">
        <f t="shared" ref="AL190:AL197" si="26">AK190-AJ190</f>
        <v>1584</v>
      </c>
      <c r="AM190" s="58">
        <f t="shared" ref="AM190:AM197" si="27">U190-AL190</f>
        <v>57.079999999999927</v>
      </c>
    </row>
    <row r="191" spans="1:39" x14ac:dyDescent="0.35">
      <c r="A191" s="1" t="s">
        <v>124</v>
      </c>
      <c r="B191" s="1" t="s">
        <v>67</v>
      </c>
      <c r="C191" s="1" t="s">
        <v>68</v>
      </c>
      <c r="D191" s="1" t="s">
        <v>69</v>
      </c>
      <c r="E191" s="1" t="s">
        <v>17</v>
      </c>
      <c r="F191" s="1" t="s">
        <v>129</v>
      </c>
      <c r="G191" s="11">
        <v>45763</v>
      </c>
      <c r="H191" s="25">
        <v>1800007209</v>
      </c>
      <c r="I191" s="1" t="s">
        <v>9</v>
      </c>
      <c r="J191" s="11">
        <v>45763</v>
      </c>
      <c r="K191" s="11">
        <v>45764</v>
      </c>
      <c r="L191" s="1" t="s">
        <v>71</v>
      </c>
      <c r="M191" s="35">
        <v>256779412100</v>
      </c>
      <c r="N191" s="1" t="s">
        <v>72</v>
      </c>
      <c r="O191" s="1" t="s">
        <v>73</v>
      </c>
      <c r="P191" s="1" t="s">
        <v>74</v>
      </c>
      <c r="Q191" s="1" t="s">
        <v>83</v>
      </c>
      <c r="R191" s="1" t="s">
        <v>76</v>
      </c>
      <c r="S191" s="12">
        <v>252.98</v>
      </c>
      <c r="T191" s="1" t="s">
        <v>77</v>
      </c>
      <c r="U191" s="12">
        <v>21989.48</v>
      </c>
      <c r="V191" s="1" t="s">
        <v>78</v>
      </c>
      <c r="W191" s="1" t="s">
        <v>79</v>
      </c>
      <c r="X191" s="1" t="s">
        <v>74</v>
      </c>
      <c r="Y191" s="1" t="s">
        <v>71</v>
      </c>
      <c r="Z191" s="1" t="s">
        <v>80</v>
      </c>
      <c r="AA191" s="1" t="s">
        <v>328</v>
      </c>
      <c r="AB191" s="1" t="s">
        <v>74</v>
      </c>
      <c r="AC191" s="1" t="s">
        <v>74</v>
      </c>
      <c r="AD191" s="1" t="s">
        <v>74</v>
      </c>
      <c r="AE191" s="11">
        <v>45763</v>
      </c>
      <c r="AF191" s="11"/>
      <c r="AG191" s="1" t="s">
        <v>74</v>
      </c>
      <c r="AJ191" cm="1">
        <f t="array" ref="AJ191:AK191">_xlfn.XLOOKUP(M191,'Customer Data Vlookup'!$L:$L,'Customer Data Vlookup'!$M:$N,,0)</f>
        <v>0</v>
      </c>
      <c r="AK191" s="47">
        <v>21549</v>
      </c>
      <c r="AL191" s="47">
        <f t="shared" si="26"/>
        <v>21549</v>
      </c>
      <c r="AM191" s="58">
        <f t="shared" si="27"/>
        <v>440.47999999999956</v>
      </c>
    </row>
    <row r="192" spans="1:39" x14ac:dyDescent="0.35">
      <c r="A192" s="1" t="s">
        <v>124</v>
      </c>
      <c r="B192" s="1" t="s">
        <v>67</v>
      </c>
      <c r="C192" s="1" t="s">
        <v>68</v>
      </c>
      <c r="D192" s="1" t="s">
        <v>69</v>
      </c>
      <c r="E192" s="1" t="s">
        <v>17</v>
      </c>
      <c r="F192" s="1" t="s">
        <v>129</v>
      </c>
      <c r="G192" s="11">
        <v>45763</v>
      </c>
      <c r="H192" s="25">
        <v>1800007226</v>
      </c>
      <c r="I192" s="1" t="s">
        <v>9</v>
      </c>
      <c r="J192" s="11">
        <v>45763</v>
      </c>
      <c r="K192" s="11">
        <v>45764</v>
      </c>
      <c r="L192" s="1" t="s">
        <v>71</v>
      </c>
      <c r="M192" s="35">
        <v>256779412117</v>
      </c>
      <c r="N192" s="1" t="s">
        <v>72</v>
      </c>
      <c r="O192" s="1" t="s">
        <v>73</v>
      </c>
      <c r="P192" s="1" t="s">
        <v>74</v>
      </c>
      <c r="Q192" s="1" t="s">
        <v>83</v>
      </c>
      <c r="R192" s="1" t="s">
        <v>76</v>
      </c>
      <c r="S192" s="12">
        <v>5415.85</v>
      </c>
      <c r="T192" s="1" t="s">
        <v>77</v>
      </c>
      <c r="U192" s="12">
        <v>470755.54</v>
      </c>
      <c r="V192" s="1" t="s">
        <v>78</v>
      </c>
      <c r="W192" s="1" t="s">
        <v>79</v>
      </c>
      <c r="X192" s="1" t="s">
        <v>74</v>
      </c>
      <c r="Y192" s="1" t="s">
        <v>71</v>
      </c>
      <c r="Z192" s="1" t="s">
        <v>80</v>
      </c>
      <c r="AA192" s="1" t="s">
        <v>329</v>
      </c>
      <c r="AB192" s="1" t="s">
        <v>74</v>
      </c>
      <c r="AC192" s="1" t="s">
        <v>74</v>
      </c>
      <c r="AD192" s="1" t="s">
        <v>74</v>
      </c>
      <c r="AE192" s="11">
        <v>45763</v>
      </c>
      <c r="AF192" s="11"/>
      <c r="AG192" s="1" t="s">
        <v>74</v>
      </c>
      <c r="AJ192" cm="1">
        <f t="array" ref="AJ192:AK192">_xlfn.XLOOKUP(M192,'Customer Data Vlookup'!$L:$L,'Customer Data Vlookup'!$M:$N,,0)</f>
        <v>0</v>
      </c>
      <c r="AK192" s="47">
        <v>417286</v>
      </c>
      <c r="AL192" s="47">
        <f t="shared" si="26"/>
        <v>417286</v>
      </c>
      <c r="AM192" s="58">
        <f t="shared" si="27"/>
        <v>53469.539999999979</v>
      </c>
    </row>
    <row r="193" spans="1:39" x14ac:dyDescent="0.35">
      <c r="A193" s="1" t="s">
        <v>66</v>
      </c>
      <c r="B193" s="1" t="s">
        <v>67</v>
      </c>
      <c r="C193" s="1" t="s">
        <v>68</v>
      </c>
      <c r="D193" s="1" t="s">
        <v>69</v>
      </c>
      <c r="E193" s="1" t="s">
        <v>17</v>
      </c>
      <c r="F193" s="1" t="s">
        <v>129</v>
      </c>
      <c r="G193" s="11">
        <v>45763</v>
      </c>
      <c r="H193" s="25">
        <v>1800007026</v>
      </c>
      <c r="I193" s="1" t="s">
        <v>9</v>
      </c>
      <c r="J193" s="11">
        <v>45763</v>
      </c>
      <c r="K193" s="11">
        <v>45764</v>
      </c>
      <c r="L193" s="1" t="s">
        <v>71</v>
      </c>
      <c r="M193" s="35">
        <v>256779411917</v>
      </c>
      <c r="N193" s="1" t="s">
        <v>72</v>
      </c>
      <c r="O193" s="1" t="s">
        <v>73</v>
      </c>
      <c r="P193" s="1" t="s">
        <v>74</v>
      </c>
      <c r="Q193" s="1" t="s">
        <v>83</v>
      </c>
      <c r="R193" s="1" t="s">
        <v>76</v>
      </c>
      <c r="S193" s="12">
        <v>140</v>
      </c>
      <c r="T193" s="1" t="s">
        <v>77</v>
      </c>
      <c r="U193" s="12">
        <v>12169.05</v>
      </c>
      <c r="V193" s="1" t="s">
        <v>78</v>
      </c>
      <c r="W193" s="1" t="s">
        <v>79</v>
      </c>
      <c r="X193" s="1" t="s">
        <v>74</v>
      </c>
      <c r="Y193" s="1" t="s">
        <v>71</v>
      </c>
      <c r="Z193" s="1" t="s">
        <v>80</v>
      </c>
      <c r="AA193" s="1" t="s">
        <v>330</v>
      </c>
      <c r="AB193" s="1" t="s">
        <v>74</v>
      </c>
      <c r="AC193" s="1" t="s">
        <v>74</v>
      </c>
      <c r="AD193" s="1" t="s">
        <v>74</v>
      </c>
      <c r="AE193" s="11">
        <v>45763</v>
      </c>
      <c r="AF193" s="11">
        <v>45976</v>
      </c>
      <c r="AG193" s="1" t="s">
        <v>101</v>
      </c>
      <c r="AJ193" cm="1">
        <f t="array" ref="AJ193:AK193">_xlfn.XLOOKUP(M193,'Customer Data Vlookup'!$L:$L,'Customer Data Vlookup'!$M:$N,,0)</f>
        <v>0</v>
      </c>
      <c r="AK193" s="47">
        <v>12169</v>
      </c>
      <c r="AL193" s="47">
        <f t="shared" si="26"/>
        <v>12169</v>
      </c>
      <c r="AM193" s="58">
        <f t="shared" si="27"/>
        <v>4.9999999999272404E-2</v>
      </c>
    </row>
    <row r="194" spans="1:39" hidden="1" x14ac:dyDescent="0.35">
      <c r="A194" s="1" t="s">
        <v>124</v>
      </c>
      <c r="B194" s="1" t="s">
        <v>67</v>
      </c>
      <c r="C194" s="1" t="s">
        <v>68</v>
      </c>
      <c r="D194" s="1" t="s">
        <v>69</v>
      </c>
      <c r="E194" s="1" t="s">
        <v>17</v>
      </c>
      <c r="F194" s="1" t="s">
        <v>70</v>
      </c>
      <c r="G194" s="11">
        <v>45863</v>
      </c>
      <c r="H194" s="25">
        <v>1800011235</v>
      </c>
      <c r="I194" s="1" t="s">
        <v>9</v>
      </c>
      <c r="J194" s="11">
        <v>45863</v>
      </c>
      <c r="K194" s="11">
        <v>45863</v>
      </c>
      <c r="L194" s="1" t="s">
        <v>71</v>
      </c>
      <c r="M194" s="35">
        <v>256779415967</v>
      </c>
      <c r="N194" s="1" t="s">
        <v>72</v>
      </c>
      <c r="O194" s="1" t="s">
        <v>73</v>
      </c>
      <c r="P194" s="1" t="s">
        <v>74</v>
      </c>
      <c r="Q194" s="1" t="s">
        <v>83</v>
      </c>
      <c r="R194" s="1" t="s">
        <v>76</v>
      </c>
      <c r="S194" s="12">
        <v>379.76</v>
      </c>
      <c r="T194" s="1" t="s">
        <v>77</v>
      </c>
      <c r="U194" s="12">
        <v>32659.61</v>
      </c>
      <c r="V194" s="1" t="s">
        <v>78</v>
      </c>
      <c r="W194" s="1" t="s">
        <v>79</v>
      </c>
      <c r="X194" s="1" t="s">
        <v>74</v>
      </c>
      <c r="Y194" s="1" t="s">
        <v>71</v>
      </c>
      <c r="Z194" s="1" t="s">
        <v>80</v>
      </c>
      <c r="AA194" s="1" t="s">
        <v>331</v>
      </c>
      <c r="AB194" s="1" t="s">
        <v>74</v>
      </c>
      <c r="AC194" s="1" t="s">
        <v>74</v>
      </c>
      <c r="AD194" s="1" t="s">
        <v>74</v>
      </c>
      <c r="AE194" s="11">
        <v>45863</v>
      </c>
      <c r="AF194" s="11"/>
      <c r="AG194" s="1" t="s">
        <v>74</v>
      </c>
      <c r="AJ194" t="e" cm="1">
        <f t="array" ref="AJ194">_xlfn.XLOOKUP(M194,'Customer Data Vlookup'!$L:$L,'Customer Data Vlookup'!$M:$N,,0)</f>
        <v>#N/A</v>
      </c>
      <c r="AK194" s="47"/>
      <c r="AL194" s="47" t="e">
        <f t="shared" si="26"/>
        <v>#N/A</v>
      </c>
      <c r="AM194" s="58" t="e">
        <f t="shared" si="27"/>
        <v>#N/A</v>
      </c>
    </row>
    <row r="195" spans="1:39" hidden="1" x14ac:dyDescent="0.35">
      <c r="A195" s="1" t="s">
        <v>124</v>
      </c>
      <c r="B195" s="1" t="s">
        <v>67</v>
      </c>
      <c r="C195" s="1" t="s">
        <v>68</v>
      </c>
      <c r="D195" s="1" t="s">
        <v>69</v>
      </c>
      <c r="E195" s="1" t="s">
        <v>17</v>
      </c>
      <c r="F195" s="1" t="s">
        <v>70</v>
      </c>
      <c r="G195" s="11">
        <v>45863</v>
      </c>
      <c r="H195" s="25">
        <v>1800011238</v>
      </c>
      <c r="I195" s="1" t="s">
        <v>9</v>
      </c>
      <c r="J195" s="11">
        <v>45863</v>
      </c>
      <c r="K195" s="11">
        <v>45863</v>
      </c>
      <c r="L195" s="1" t="s">
        <v>71</v>
      </c>
      <c r="M195" s="35">
        <v>256779415970</v>
      </c>
      <c r="N195" s="1" t="s">
        <v>72</v>
      </c>
      <c r="O195" s="1" t="s">
        <v>73</v>
      </c>
      <c r="P195" s="1" t="s">
        <v>74</v>
      </c>
      <c r="Q195" s="1" t="s">
        <v>83</v>
      </c>
      <c r="R195" s="1" t="s">
        <v>76</v>
      </c>
      <c r="S195" s="12">
        <v>110.92</v>
      </c>
      <c r="T195" s="1" t="s">
        <v>77</v>
      </c>
      <c r="U195" s="12">
        <v>9539.19</v>
      </c>
      <c r="V195" s="1" t="s">
        <v>78</v>
      </c>
      <c r="W195" s="1" t="s">
        <v>79</v>
      </c>
      <c r="X195" s="1" t="s">
        <v>74</v>
      </c>
      <c r="Y195" s="1" t="s">
        <v>71</v>
      </c>
      <c r="Z195" s="1" t="s">
        <v>80</v>
      </c>
      <c r="AA195" s="1" t="s">
        <v>332</v>
      </c>
      <c r="AB195" s="1" t="s">
        <v>74</v>
      </c>
      <c r="AC195" s="1" t="s">
        <v>74</v>
      </c>
      <c r="AD195" s="1" t="s">
        <v>74</v>
      </c>
      <c r="AE195" s="11">
        <v>45863</v>
      </c>
      <c r="AF195" s="11"/>
      <c r="AG195" s="1" t="s">
        <v>74</v>
      </c>
      <c r="AJ195" t="e" cm="1">
        <f t="array" ref="AJ195">_xlfn.XLOOKUP(M195,'Customer Data Vlookup'!$L:$L,'Customer Data Vlookup'!$M:$N,,0)</f>
        <v>#N/A</v>
      </c>
      <c r="AK195" s="47"/>
      <c r="AL195" s="47" t="e">
        <f t="shared" si="26"/>
        <v>#N/A</v>
      </c>
      <c r="AM195" s="58" t="e">
        <f t="shared" si="27"/>
        <v>#N/A</v>
      </c>
    </row>
    <row r="196" spans="1:39" hidden="1" x14ac:dyDescent="0.35">
      <c r="A196" s="1" t="s">
        <v>124</v>
      </c>
      <c r="B196" s="1" t="s">
        <v>67</v>
      </c>
      <c r="C196" s="1" t="s">
        <v>68</v>
      </c>
      <c r="D196" s="1" t="s">
        <v>69</v>
      </c>
      <c r="E196" s="1" t="s">
        <v>17</v>
      </c>
      <c r="F196" s="1" t="s">
        <v>70</v>
      </c>
      <c r="G196" s="11">
        <v>45863</v>
      </c>
      <c r="H196" s="25">
        <v>1800011263</v>
      </c>
      <c r="I196" s="1" t="s">
        <v>9</v>
      </c>
      <c r="J196" s="11">
        <v>45863</v>
      </c>
      <c r="K196" s="11">
        <v>45863</v>
      </c>
      <c r="L196" s="1" t="s">
        <v>71</v>
      </c>
      <c r="M196" s="35">
        <v>256779415995</v>
      </c>
      <c r="N196" s="1" t="s">
        <v>72</v>
      </c>
      <c r="O196" s="1" t="s">
        <v>73</v>
      </c>
      <c r="P196" s="1" t="s">
        <v>74</v>
      </c>
      <c r="Q196" s="1" t="s">
        <v>83</v>
      </c>
      <c r="R196" s="1" t="s">
        <v>76</v>
      </c>
      <c r="S196" s="12">
        <v>2.34</v>
      </c>
      <c r="T196" s="1" t="s">
        <v>77</v>
      </c>
      <c r="U196" s="12">
        <v>201.24</v>
      </c>
      <c r="V196" s="1" t="s">
        <v>78</v>
      </c>
      <c r="W196" s="1" t="s">
        <v>79</v>
      </c>
      <c r="X196" s="1" t="s">
        <v>74</v>
      </c>
      <c r="Y196" s="1" t="s">
        <v>71</v>
      </c>
      <c r="Z196" s="1" t="s">
        <v>80</v>
      </c>
      <c r="AA196" s="1" t="s">
        <v>333</v>
      </c>
      <c r="AB196" s="1" t="s">
        <v>74</v>
      </c>
      <c r="AC196" s="1" t="s">
        <v>74</v>
      </c>
      <c r="AD196" s="1" t="s">
        <v>74</v>
      </c>
      <c r="AE196" s="11">
        <v>45863</v>
      </c>
      <c r="AF196" s="11"/>
      <c r="AG196" s="1" t="s">
        <v>74</v>
      </c>
      <c r="AJ196" t="e" cm="1">
        <f t="array" ref="AJ196">_xlfn.XLOOKUP(M196,'Customer Data Vlookup'!$L:$L,'Customer Data Vlookup'!$M:$N,,0)</f>
        <v>#N/A</v>
      </c>
      <c r="AK196" s="47"/>
      <c r="AL196" s="47" t="e">
        <f t="shared" si="26"/>
        <v>#N/A</v>
      </c>
      <c r="AM196" s="58" t="e">
        <f t="shared" si="27"/>
        <v>#N/A</v>
      </c>
    </row>
    <row r="197" spans="1:39" x14ac:dyDescent="0.35">
      <c r="A197" s="1" t="s">
        <v>124</v>
      </c>
      <c r="B197" s="1" t="s">
        <v>67</v>
      </c>
      <c r="C197" s="1" t="s">
        <v>68</v>
      </c>
      <c r="D197" s="1" t="s">
        <v>69</v>
      </c>
      <c r="E197" s="1" t="s">
        <v>17</v>
      </c>
      <c r="F197" s="1" t="s">
        <v>166</v>
      </c>
      <c r="G197" s="11">
        <v>45730</v>
      </c>
      <c r="H197" s="25">
        <v>1800001783</v>
      </c>
      <c r="I197" s="1" t="s">
        <v>9</v>
      </c>
      <c r="J197" s="11">
        <v>45730</v>
      </c>
      <c r="K197" s="11">
        <v>45733</v>
      </c>
      <c r="L197" s="1" t="s">
        <v>71</v>
      </c>
      <c r="M197" s="35">
        <v>246779411448</v>
      </c>
      <c r="N197" s="1" t="s">
        <v>72</v>
      </c>
      <c r="O197" s="1" t="s">
        <v>73</v>
      </c>
      <c r="P197" s="1" t="s">
        <v>74</v>
      </c>
      <c r="Q197" s="1" t="s">
        <v>83</v>
      </c>
      <c r="R197" s="1" t="s">
        <v>76</v>
      </c>
      <c r="S197" s="12">
        <v>14.31</v>
      </c>
      <c r="T197" s="1" t="s">
        <v>77</v>
      </c>
      <c r="U197" s="12">
        <v>1240.55</v>
      </c>
      <c r="V197" s="1" t="s">
        <v>78</v>
      </c>
      <c r="W197" s="1" t="s">
        <v>79</v>
      </c>
      <c r="X197" s="1" t="s">
        <v>74</v>
      </c>
      <c r="Y197" s="1" t="s">
        <v>71</v>
      </c>
      <c r="Z197" s="1" t="s">
        <v>80</v>
      </c>
      <c r="AA197" s="1" t="s">
        <v>334</v>
      </c>
      <c r="AB197" s="1" t="s">
        <v>74</v>
      </c>
      <c r="AC197" s="1" t="s">
        <v>74</v>
      </c>
      <c r="AD197" s="1" t="s">
        <v>74</v>
      </c>
      <c r="AE197" s="11">
        <v>45730</v>
      </c>
      <c r="AF197" s="11"/>
      <c r="AG197" s="1" t="s">
        <v>74</v>
      </c>
      <c r="AJ197" cm="1">
        <f t="array" ref="AJ197:AK197">_xlfn.XLOOKUP(M197,'Customer Data Vlookup'!$L:$L,'Customer Data Vlookup'!$M:$N,,0)</f>
        <v>0</v>
      </c>
      <c r="AK197" s="47">
        <v>1161</v>
      </c>
      <c r="AL197" s="47">
        <f t="shared" si="26"/>
        <v>1161</v>
      </c>
      <c r="AM197" s="58">
        <f t="shared" si="27"/>
        <v>79.549999999999955</v>
      </c>
    </row>
    <row r="198" spans="1:39" hidden="1" x14ac:dyDescent="0.35">
      <c r="A198" s="1" t="s">
        <v>66</v>
      </c>
      <c r="B198" s="1" t="s">
        <v>67</v>
      </c>
      <c r="C198" s="1" t="s">
        <v>68</v>
      </c>
      <c r="D198" s="1" t="s">
        <v>69</v>
      </c>
      <c r="E198" s="1" t="s">
        <v>17</v>
      </c>
      <c r="F198" s="1" t="s">
        <v>166</v>
      </c>
      <c r="G198" s="11">
        <v>45730</v>
      </c>
      <c r="H198" s="25">
        <v>1800001580</v>
      </c>
      <c r="I198" s="1" t="s">
        <v>9</v>
      </c>
      <c r="J198" s="11">
        <v>45730</v>
      </c>
      <c r="K198" s="11">
        <v>45735</v>
      </c>
      <c r="L198" s="1" t="s">
        <v>71</v>
      </c>
      <c r="M198" s="35">
        <v>246779412237</v>
      </c>
      <c r="N198" s="1" t="s">
        <v>72</v>
      </c>
      <c r="O198" s="1" t="s">
        <v>73</v>
      </c>
      <c r="P198" s="1" t="s">
        <v>74</v>
      </c>
      <c r="Q198" s="1" t="s">
        <v>83</v>
      </c>
      <c r="R198" s="1" t="s">
        <v>76</v>
      </c>
      <c r="S198" s="12">
        <v>14.31</v>
      </c>
      <c r="T198" s="1" t="s">
        <v>77</v>
      </c>
      <c r="U198" s="12">
        <v>1240.55</v>
      </c>
      <c r="V198" s="1" t="s">
        <v>78</v>
      </c>
      <c r="W198" s="1" t="s">
        <v>79</v>
      </c>
      <c r="X198" s="1" t="s">
        <v>74</v>
      </c>
      <c r="Y198" s="1" t="s">
        <v>71</v>
      </c>
      <c r="Z198" s="1" t="s">
        <v>80</v>
      </c>
      <c r="AA198" s="1" t="s">
        <v>334</v>
      </c>
      <c r="AB198" s="1" t="s">
        <v>74</v>
      </c>
      <c r="AC198" s="1" t="s">
        <v>74</v>
      </c>
      <c r="AD198" s="1" t="s">
        <v>74</v>
      </c>
      <c r="AE198" s="11">
        <v>45730</v>
      </c>
      <c r="AF198" s="11">
        <v>45842</v>
      </c>
      <c r="AG198" s="1" t="s">
        <v>335</v>
      </c>
      <c r="AJ198" t="e" cm="1">
        <f t="array" ref="AJ198">_xlfn.XLOOKUP(M198,'Customer Data Vlookup'!$L:$L,'Customer Data Vlookup'!$M:$N,,0)</f>
        <v>#N/A</v>
      </c>
    </row>
    <row r="199" spans="1:39" x14ac:dyDescent="0.35">
      <c r="A199" s="1" t="s">
        <v>124</v>
      </c>
      <c r="B199" s="1" t="s">
        <v>67</v>
      </c>
      <c r="C199" s="1" t="s">
        <v>68</v>
      </c>
      <c r="D199" s="1" t="s">
        <v>69</v>
      </c>
      <c r="E199" s="1" t="s">
        <v>17</v>
      </c>
      <c r="F199" s="1" t="s">
        <v>192</v>
      </c>
      <c r="G199" s="11">
        <v>45904</v>
      </c>
      <c r="H199" s="25">
        <v>1800012275</v>
      </c>
      <c r="I199" s="1" t="s">
        <v>9</v>
      </c>
      <c r="J199" s="11">
        <v>45904</v>
      </c>
      <c r="K199" s="11">
        <v>45908</v>
      </c>
      <c r="L199" s="1" t="s">
        <v>71</v>
      </c>
      <c r="M199" s="35">
        <v>256779416911</v>
      </c>
      <c r="N199" s="1" t="s">
        <v>72</v>
      </c>
      <c r="O199" s="1" t="s">
        <v>73</v>
      </c>
      <c r="P199" s="1" t="s">
        <v>74</v>
      </c>
      <c r="Q199" s="1" t="s">
        <v>83</v>
      </c>
      <c r="R199" s="1" t="s">
        <v>76</v>
      </c>
      <c r="S199" s="12">
        <v>40.85</v>
      </c>
      <c r="T199" s="1" t="s">
        <v>77</v>
      </c>
      <c r="U199" s="12">
        <v>3574.96</v>
      </c>
      <c r="V199" s="1" t="s">
        <v>78</v>
      </c>
      <c r="W199" s="1" t="s">
        <v>79</v>
      </c>
      <c r="X199" s="1" t="s">
        <v>74</v>
      </c>
      <c r="Y199" s="1" t="s">
        <v>71</v>
      </c>
      <c r="Z199" s="1" t="s">
        <v>80</v>
      </c>
      <c r="AA199" s="1" t="s">
        <v>336</v>
      </c>
      <c r="AB199" s="1" t="s">
        <v>74</v>
      </c>
      <c r="AC199" s="1" t="s">
        <v>74</v>
      </c>
      <c r="AD199" s="1" t="s">
        <v>74</v>
      </c>
      <c r="AE199" s="11">
        <v>45904</v>
      </c>
      <c r="AF199" s="11"/>
      <c r="AG199" s="1" t="s">
        <v>74</v>
      </c>
      <c r="AJ199" cm="1">
        <f t="array" ref="AJ199:AK199">_xlfn.XLOOKUP(M199,'Customer Data Vlookup'!$L:$L,'Customer Data Vlookup'!$M:$N,,0)</f>
        <v>0</v>
      </c>
      <c r="AK199" s="47">
        <v>3487.4461000000001</v>
      </c>
      <c r="AL199" s="47">
        <f t="shared" ref="AL199:AL203" si="28">AK199-AJ199</f>
        <v>3487.4461000000001</v>
      </c>
      <c r="AM199" s="58">
        <f t="shared" ref="AM199:AM203" si="29">U199-AL199</f>
        <v>87.513899999999921</v>
      </c>
    </row>
    <row r="200" spans="1:39" x14ac:dyDescent="0.35">
      <c r="A200" s="1" t="s">
        <v>124</v>
      </c>
      <c r="B200" s="1" t="s">
        <v>67</v>
      </c>
      <c r="C200" s="1" t="s">
        <v>68</v>
      </c>
      <c r="D200" s="1" t="s">
        <v>69</v>
      </c>
      <c r="E200" s="1" t="s">
        <v>17</v>
      </c>
      <c r="F200" s="1" t="s">
        <v>192</v>
      </c>
      <c r="G200" s="11">
        <v>45904</v>
      </c>
      <c r="H200" s="25">
        <v>1800012286</v>
      </c>
      <c r="I200" s="1" t="s">
        <v>9</v>
      </c>
      <c r="J200" s="11">
        <v>45904</v>
      </c>
      <c r="K200" s="11">
        <v>45908</v>
      </c>
      <c r="L200" s="1" t="s">
        <v>71</v>
      </c>
      <c r="M200" s="35">
        <v>256779416948</v>
      </c>
      <c r="N200" s="1" t="s">
        <v>72</v>
      </c>
      <c r="O200" s="1" t="s">
        <v>73</v>
      </c>
      <c r="P200" s="1" t="s">
        <v>74</v>
      </c>
      <c r="Q200" s="1" t="s">
        <v>83</v>
      </c>
      <c r="R200" s="1" t="s">
        <v>76</v>
      </c>
      <c r="S200" s="12">
        <v>14.1</v>
      </c>
      <c r="T200" s="1" t="s">
        <v>77</v>
      </c>
      <c r="U200" s="12">
        <v>1233.95</v>
      </c>
      <c r="V200" s="1" t="s">
        <v>78</v>
      </c>
      <c r="W200" s="1" t="s">
        <v>79</v>
      </c>
      <c r="X200" s="1" t="s">
        <v>74</v>
      </c>
      <c r="Y200" s="1" t="s">
        <v>71</v>
      </c>
      <c r="Z200" s="1" t="s">
        <v>80</v>
      </c>
      <c r="AA200" s="1" t="s">
        <v>337</v>
      </c>
      <c r="AB200" s="1" t="s">
        <v>74</v>
      </c>
      <c r="AC200" s="1" t="s">
        <v>74</v>
      </c>
      <c r="AD200" s="1" t="s">
        <v>74</v>
      </c>
      <c r="AE200" s="11">
        <v>45904</v>
      </c>
      <c r="AF200" s="11"/>
      <c r="AG200" s="1" t="s">
        <v>74</v>
      </c>
      <c r="AJ200" cm="1">
        <f t="array" ref="AJ200:AK200">_xlfn.XLOOKUP(M200,'Customer Data Vlookup'!$L:$L,'Customer Data Vlookup'!$M:$N,,0)</f>
        <v>0</v>
      </c>
      <c r="AK200" s="47">
        <v>1233.9521</v>
      </c>
      <c r="AL200" s="47">
        <f t="shared" si="28"/>
        <v>1233.9521</v>
      </c>
      <c r="AM200" s="58">
        <f t="shared" si="29"/>
        <v>-2.0999999999276042E-3</v>
      </c>
    </row>
    <row r="201" spans="1:39" x14ac:dyDescent="0.35">
      <c r="A201" s="1" t="s">
        <v>124</v>
      </c>
      <c r="B201" s="1" t="s">
        <v>67</v>
      </c>
      <c r="C201" s="1" t="s">
        <v>68</v>
      </c>
      <c r="D201" s="1" t="s">
        <v>69</v>
      </c>
      <c r="E201" s="1" t="s">
        <v>17</v>
      </c>
      <c r="F201" s="1" t="s">
        <v>192</v>
      </c>
      <c r="G201" s="11">
        <v>45904</v>
      </c>
      <c r="H201" s="25">
        <v>1800012460</v>
      </c>
      <c r="I201" s="1" t="s">
        <v>9</v>
      </c>
      <c r="J201" s="11">
        <v>45904</v>
      </c>
      <c r="K201" s="11">
        <v>45909</v>
      </c>
      <c r="L201" s="1" t="s">
        <v>71</v>
      </c>
      <c r="M201" s="35">
        <v>256779417160</v>
      </c>
      <c r="N201" s="1" t="s">
        <v>72</v>
      </c>
      <c r="O201" s="1" t="s">
        <v>73</v>
      </c>
      <c r="P201" s="1" t="s">
        <v>74</v>
      </c>
      <c r="Q201" s="1" t="s">
        <v>83</v>
      </c>
      <c r="R201" s="1" t="s">
        <v>76</v>
      </c>
      <c r="S201" s="12">
        <v>14.25</v>
      </c>
      <c r="T201" s="1" t="s">
        <v>77</v>
      </c>
      <c r="U201" s="12">
        <v>1247.08</v>
      </c>
      <c r="V201" s="1" t="s">
        <v>78</v>
      </c>
      <c r="W201" s="1" t="s">
        <v>79</v>
      </c>
      <c r="X201" s="1" t="s">
        <v>74</v>
      </c>
      <c r="Y201" s="1" t="s">
        <v>71</v>
      </c>
      <c r="Z201" s="1" t="s">
        <v>80</v>
      </c>
      <c r="AA201" s="1" t="s">
        <v>338</v>
      </c>
      <c r="AB201" s="1" t="s">
        <v>74</v>
      </c>
      <c r="AC201" s="1" t="s">
        <v>74</v>
      </c>
      <c r="AD201" s="1" t="s">
        <v>74</v>
      </c>
      <c r="AE201" s="11">
        <v>45904</v>
      </c>
      <c r="AF201" s="11"/>
      <c r="AG201" s="1" t="s">
        <v>74</v>
      </c>
      <c r="AJ201" cm="1">
        <f t="array" ref="AJ201:AK201">_xlfn.XLOOKUP(M201,'Customer Data Vlookup'!$L:$L,'Customer Data Vlookup'!$M:$N,,0)</f>
        <v>0</v>
      </c>
      <c r="AK201" s="47">
        <v>1247.0791999999999</v>
      </c>
      <c r="AL201" s="47">
        <f t="shared" si="28"/>
        <v>1247.0791999999999</v>
      </c>
      <c r="AM201" s="58">
        <f t="shared" si="29"/>
        <v>8.0000000002655725E-4</v>
      </c>
    </row>
    <row r="202" spans="1:39" x14ac:dyDescent="0.35">
      <c r="A202" s="1" t="s">
        <v>124</v>
      </c>
      <c r="B202" s="1" t="s">
        <v>67</v>
      </c>
      <c r="C202" s="1" t="s">
        <v>68</v>
      </c>
      <c r="D202" s="1" t="s">
        <v>69</v>
      </c>
      <c r="E202" s="1" t="s">
        <v>17</v>
      </c>
      <c r="F202" s="1" t="s">
        <v>192</v>
      </c>
      <c r="G202" s="11">
        <v>45904</v>
      </c>
      <c r="H202" s="25">
        <v>1800012493</v>
      </c>
      <c r="I202" s="1" t="s">
        <v>9</v>
      </c>
      <c r="J202" s="11">
        <v>45904</v>
      </c>
      <c r="K202" s="11">
        <v>45909</v>
      </c>
      <c r="L202" s="1" t="s">
        <v>71</v>
      </c>
      <c r="M202" s="35">
        <v>256779417166</v>
      </c>
      <c r="N202" s="1" t="s">
        <v>72</v>
      </c>
      <c r="O202" s="1" t="s">
        <v>73</v>
      </c>
      <c r="P202" s="1" t="s">
        <v>74</v>
      </c>
      <c r="Q202" s="1" t="s">
        <v>83</v>
      </c>
      <c r="R202" s="1" t="s">
        <v>76</v>
      </c>
      <c r="S202" s="12">
        <v>760.25</v>
      </c>
      <c r="T202" s="1" t="s">
        <v>77</v>
      </c>
      <c r="U202" s="12">
        <v>66532.77</v>
      </c>
      <c r="V202" s="1" t="s">
        <v>78</v>
      </c>
      <c r="W202" s="1" t="s">
        <v>79</v>
      </c>
      <c r="X202" s="1" t="s">
        <v>74</v>
      </c>
      <c r="Y202" s="1" t="s">
        <v>71</v>
      </c>
      <c r="Z202" s="1" t="s">
        <v>80</v>
      </c>
      <c r="AA202" s="1" t="s">
        <v>339</v>
      </c>
      <c r="AB202" s="1" t="s">
        <v>74</v>
      </c>
      <c r="AC202" s="1" t="s">
        <v>74</v>
      </c>
      <c r="AD202" s="1" t="s">
        <v>74</v>
      </c>
      <c r="AE202" s="11">
        <v>45904</v>
      </c>
      <c r="AF202" s="11"/>
      <c r="AG202" s="1" t="s">
        <v>74</v>
      </c>
      <c r="AJ202" cm="1">
        <f t="array" ref="AJ202:AK202">_xlfn.XLOOKUP(M202,'Customer Data Vlookup'!$L:$L,'Customer Data Vlookup'!$M:$N,,0)</f>
        <v>0</v>
      </c>
      <c r="AK202" s="47">
        <v>59881.6803</v>
      </c>
      <c r="AL202" s="47">
        <f t="shared" si="28"/>
        <v>59881.6803</v>
      </c>
      <c r="AM202" s="58">
        <f t="shared" si="29"/>
        <v>6651.0897000000041</v>
      </c>
    </row>
    <row r="203" spans="1:39" x14ac:dyDescent="0.35">
      <c r="A203" s="1" t="s">
        <v>124</v>
      </c>
      <c r="B203" s="1" t="s">
        <v>67</v>
      </c>
      <c r="C203" s="1" t="s">
        <v>68</v>
      </c>
      <c r="D203" s="1" t="s">
        <v>69</v>
      </c>
      <c r="E203" s="1" t="s">
        <v>17</v>
      </c>
      <c r="F203" s="1" t="s">
        <v>192</v>
      </c>
      <c r="G203" s="11">
        <v>45904</v>
      </c>
      <c r="H203" s="25">
        <v>1800012554</v>
      </c>
      <c r="I203" s="1" t="s">
        <v>9</v>
      </c>
      <c r="J203" s="11">
        <v>45904</v>
      </c>
      <c r="K203" s="11">
        <v>45909</v>
      </c>
      <c r="L203" s="1" t="s">
        <v>71</v>
      </c>
      <c r="M203" s="35">
        <v>256779417173</v>
      </c>
      <c r="N203" s="1" t="s">
        <v>72</v>
      </c>
      <c r="O203" s="1" t="s">
        <v>73</v>
      </c>
      <c r="P203" s="1" t="s">
        <v>74</v>
      </c>
      <c r="Q203" s="1" t="s">
        <v>83</v>
      </c>
      <c r="R203" s="1" t="s">
        <v>76</v>
      </c>
      <c r="S203" s="12">
        <v>743.54</v>
      </c>
      <c r="T203" s="1" t="s">
        <v>77</v>
      </c>
      <c r="U203" s="12">
        <v>65070.400000000001</v>
      </c>
      <c r="V203" s="1" t="s">
        <v>78</v>
      </c>
      <c r="W203" s="1" t="s">
        <v>79</v>
      </c>
      <c r="X203" s="1" t="s">
        <v>74</v>
      </c>
      <c r="Y203" s="1" t="s">
        <v>71</v>
      </c>
      <c r="Z203" s="1" t="s">
        <v>80</v>
      </c>
      <c r="AA203" s="1" t="s">
        <v>340</v>
      </c>
      <c r="AB203" s="1" t="s">
        <v>74</v>
      </c>
      <c r="AC203" s="1" t="s">
        <v>74</v>
      </c>
      <c r="AD203" s="1" t="s">
        <v>74</v>
      </c>
      <c r="AE203" s="11">
        <v>45904</v>
      </c>
      <c r="AF203" s="11"/>
      <c r="AG203" s="1" t="s">
        <v>74</v>
      </c>
      <c r="AJ203" cm="1">
        <f t="array" ref="AJ203:AK203">_xlfn.XLOOKUP(M203,'Customer Data Vlookup'!$L:$L,'Customer Data Vlookup'!$M:$N,,0)</f>
        <v>0</v>
      </c>
      <c r="AK203" s="47">
        <v>58594.344499999999</v>
      </c>
      <c r="AL203" s="47">
        <f t="shared" si="28"/>
        <v>58594.344499999999</v>
      </c>
      <c r="AM203" s="58">
        <f t="shared" si="29"/>
        <v>6476.0555000000022</v>
      </c>
    </row>
    <row r="204" spans="1:39" hidden="1" x14ac:dyDescent="0.35">
      <c r="A204" s="1" t="s">
        <v>124</v>
      </c>
      <c r="B204" s="1" t="s">
        <v>67</v>
      </c>
      <c r="C204" s="1" t="s">
        <v>68</v>
      </c>
      <c r="D204" s="1" t="s">
        <v>69</v>
      </c>
      <c r="E204" s="1" t="s">
        <v>17</v>
      </c>
      <c r="F204" s="1" t="s">
        <v>192</v>
      </c>
      <c r="G204" s="11">
        <v>45904</v>
      </c>
      <c r="H204" s="25">
        <v>1800012586</v>
      </c>
      <c r="I204" s="1" t="s">
        <v>9</v>
      </c>
      <c r="J204" s="11">
        <v>45904</v>
      </c>
      <c r="K204" s="11">
        <v>45909</v>
      </c>
      <c r="L204" s="1" t="s">
        <v>71</v>
      </c>
      <c r="M204" s="35">
        <v>256779417244</v>
      </c>
      <c r="N204" s="1" t="s">
        <v>72</v>
      </c>
      <c r="O204" s="1" t="s">
        <v>73</v>
      </c>
      <c r="P204" s="1" t="s">
        <v>74</v>
      </c>
      <c r="Q204" s="1" t="s">
        <v>83</v>
      </c>
      <c r="R204" s="1" t="s">
        <v>76</v>
      </c>
      <c r="S204" s="12">
        <v>685.41</v>
      </c>
      <c r="T204" s="1" t="s">
        <v>77</v>
      </c>
      <c r="U204" s="12">
        <v>59983.199999999997</v>
      </c>
      <c r="V204" s="1" t="s">
        <v>78</v>
      </c>
      <c r="W204" s="1" t="s">
        <v>79</v>
      </c>
      <c r="X204" s="1" t="s">
        <v>74</v>
      </c>
      <c r="Y204" s="1" t="s">
        <v>71</v>
      </c>
      <c r="Z204" s="1" t="s">
        <v>80</v>
      </c>
      <c r="AA204" s="1" t="s">
        <v>341</v>
      </c>
      <c r="AB204" s="1" t="s">
        <v>74</v>
      </c>
      <c r="AC204" s="1" t="s">
        <v>74</v>
      </c>
      <c r="AD204" s="1" t="s">
        <v>74</v>
      </c>
      <c r="AE204" s="11">
        <v>45904</v>
      </c>
      <c r="AF204" s="11"/>
      <c r="AG204" s="1" t="s">
        <v>74</v>
      </c>
      <c r="AJ204" t="e" cm="1">
        <f t="array" ref="AJ204">_xlfn.XLOOKUP(M204,'Customer Data Vlookup'!$L:$L,'Customer Data Vlookup'!$M:$N,,0)</f>
        <v>#N/A</v>
      </c>
    </row>
    <row r="205" spans="1:39" x14ac:dyDescent="0.35">
      <c r="A205" s="1" t="s">
        <v>124</v>
      </c>
      <c r="B205" s="1" t="s">
        <v>67</v>
      </c>
      <c r="C205" s="1" t="s">
        <v>68</v>
      </c>
      <c r="D205" s="1" t="s">
        <v>69</v>
      </c>
      <c r="E205" s="1" t="s">
        <v>17</v>
      </c>
      <c r="F205" s="1" t="s">
        <v>192</v>
      </c>
      <c r="G205" s="11">
        <v>45904</v>
      </c>
      <c r="H205" s="25">
        <v>1800012603</v>
      </c>
      <c r="I205" s="1" t="s">
        <v>9</v>
      </c>
      <c r="J205" s="11">
        <v>45904</v>
      </c>
      <c r="K205" s="11">
        <v>45909</v>
      </c>
      <c r="L205" s="1" t="s">
        <v>71</v>
      </c>
      <c r="M205" s="35">
        <v>256779417261</v>
      </c>
      <c r="N205" s="1" t="s">
        <v>72</v>
      </c>
      <c r="O205" s="1" t="s">
        <v>73</v>
      </c>
      <c r="P205" s="1" t="s">
        <v>74</v>
      </c>
      <c r="Q205" s="1" t="s">
        <v>83</v>
      </c>
      <c r="R205" s="1" t="s">
        <v>76</v>
      </c>
      <c r="S205" s="12">
        <v>22.77</v>
      </c>
      <c r="T205" s="1" t="s">
        <v>77</v>
      </c>
      <c r="U205" s="12">
        <v>1992.7</v>
      </c>
      <c r="V205" s="1" t="s">
        <v>78</v>
      </c>
      <c r="W205" s="1" t="s">
        <v>79</v>
      </c>
      <c r="X205" s="1" t="s">
        <v>74</v>
      </c>
      <c r="Y205" s="1" t="s">
        <v>71</v>
      </c>
      <c r="Z205" s="1" t="s">
        <v>80</v>
      </c>
      <c r="AA205" s="1" t="s">
        <v>342</v>
      </c>
      <c r="AB205" s="1" t="s">
        <v>74</v>
      </c>
      <c r="AC205" s="1" t="s">
        <v>74</v>
      </c>
      <c r="AD205" s="1" t="s">
        <v>74</v>
      </c>
      <c r="AE205" s="11">
        <v>45904</v>
      </c>
      <c r="AF205" s="11"/>
      <c r="AG205" s="1" t="s">
        <v>74</v>
      </c>
      <c r="AJ205" cm="1">
        <f t="array" ref="AJ205:AK205">_xlfn.XLOOKUP(M205,'Customer Data Vlookup'!$L:$L,'Customer Data Vlookup'!$M:$N,,0)</f>
        <v>0</v>
      </c>
      <c r="AK205" s="47">
        <v>1992.7012</v>
      </c>
      <c r="AL205" s="47">
        <f t="shared" ref="AL205:AL214" si="30">AK205-AJ205</f>
        <v>1992.7012</v>
      </c>
      <c r="AM205" s="58">
        <f t="shared" ref="AM205:AM214" si="31">U205-AL205</f>
        <v>-1.199999999926149E-3</v>
      </c>
    </row>
    <row r="206" spans="1:39" x14ac:dyDescent="0.35">
      <c r="A206" s="1" t="s">
        <v>124</v>
      </c>
      <c r="B206" s="1" t="s">
        <v>67</v>
      </c>
      <c r="C206" s="1" t="s">
        <v>68</v>
      </c>
      <c r="D206" s="1" t="s">
        <v>69</v>
      </c>
      <c r="E206" s="1" t="s">
        <v>17</v>
      </c>
      <c r="F206" s="1" t="s">
        <v>192</v>
      </c>
      <c r="G206" s="11">
        <v>45904</v>
      </c>
      <c r="H206" s="25">
        <v>1800012646</v>
      </c>
      <c r="I206" s="1" t="s">
        <v>9</v>
      </c>
      <c r="J206" s="11">
        <v>45904</v>
      </c>
      <c r="K206" s="11">
        <v>45909</v>
      </c>
      <c r="L206" s="1" t="s">
        <v>71</v>
      </c>
      <c r="M206" s="35">
        <v>256779417286</v>
      </c>
      <c r="N206" s="1" t="s">
        <v>72</v>
      </c>
      <c r="O206" s="1" t="s">
        <v>73</v>
      </c>
      <c r="P206" s="1" t="s">
        <v>74</v>
      </c>
      <c r="Q206" s="1" t="s">
        <v>83</v>
      </c>
      <c r="R206" s="1" t="s">
        <v>76</v>
      </c>
      <c r="S206" s="12">
        <v>1050.9000000000001</v>
      </c>
      <c r="T206" s="1" t="s">
        <v>77</v>
      </c>
      <c r="U206" s="12">
        <v>91968.81</v>
      </c>
      <c r="V206" s="1" t="s">
        <v>78</v>
      </c>
      <c r="W206" s="1" t="s">
        <v>79</v>
      </c>
      <c r="X206" s="1" t="s">
        <v>74</v>
      </c>
      <c r="Y206" s="1" t="s">
        <v>71</v>
      </c>
      <c r="Z206" s="1" t="s">
        <v>80</v>
      </c>
      <c r="AA206" s="1" t="s">
        <v>343</v>
      </c>
      <c r="AB206" s="1" t="s">
        <v>74</v>
      </c>
      <c r="AC206" s="1" t="s">
        <v>74</v>
      </c>
      <c r="AD206" s="1" t="s">
        <v>74</v>
      </c>
      <c r="AE206" s="11">
        <v>45904</v>
      </c>
      <c r="AF206" s="11"/>
      <c r="AG206" s="1" t="s">
        <v>74</v>
      </c>
      <c r="AJ206" cm="1">
        <f t="array" ref="AJ206:AK206">_xlfn.XLOOKUP(M206,'Customer Data Vlookup'!$L:$L,'Customer Data Vlookup'!$M:$N,,0)</f>
        <v>0</v>
      </c>
      <c r="AK206" s="47">
        <v>90131.008499999996</v>
      </c>
      <c r="AL206" s="47">
        <f t="shared" si="30"/>
        <v>90131.008499999996</v>
      </c>
      <c r="AM206" s="58">
        <f t="shared" si="31"/>
        <v>1837.8015000000014</v>
      </c>
    </row>
    <row r="207" spans="1:39" x14ac:dyDescent="0.35">
      <c r="A207" s="1" t="s">
        <v>124</v>
      </c>
      <c r="B207" s="1" t="s">
        <v>67</v>
      </c>
      <c r="C207" s="1" t="s">
        <v>68</v>
      </c>
      <c r="D207" s="1" t="s">
        <v>69</v>
      </c>
      <c r="E207" s="1" t="s">
        <v>17</v>
      </c>
      <c r="F207" s="1" t="s">
        <v>192</v>
      </c>
      <c r="G207" s="11">
        <v>45904</v>
      </c>
      <c r="H207" s="25">
        <v>1800012684</v>
      </c>
      <c r="I207" s="1" t="s">
        <v>9</v>
      </c>
      <c r="J207" s="11">
        <v>45904</v>
      </c>
      <c r="K207" s="11">
        <v>45909</v>
      </c>
      <c r="L207" s="1" t="s">
        <v>71</v>
      </c>
      <c r="M207" s="35">
        <v>256779417324</v>
      </c>
      <c r="N207" s="1" t="s">
        <v>72</v>
      </c>
      <c r="O207" s="1" t="s">
        <v>73</v>
      </c>
      <c r="P207" s="1" t="s">
        <v>74</v>
      </c>
      <c r="Q207" s="1" t="s">
        <v>83</v>
      </c>
      <c r="R207" s="1" t="s">
        <v>76</v>
      </c>
      <c r="S207" s="12">
        <v>49.35</v>
      </c>
      <c r="T207" s="1" t="s">
        <v>77</v>
      </c>
      <c r="U207" s="12">
        <v>4318.83</v>
      </c>
      <c r="V207" s="1" t="s">
        <v>78</v>
      </c>
      <c r="W207" s="1" t="s">
        <v>79</v>
      </c>
      <c r="X207" s="1" t="s">
        <v>74</v>
      </c>
      <c r="Y207" s="1" t="s">
        <v>344</v>
      </c>
      <c r="Z207" s="1" t="s">
        <v>80</v>
      </c>
      <c r="AA207" s="1" t="s">
        <v>345</v>
      </c>
      <c r="AB207" s="1" t="s">
        <v>74</v>
      </c>
      <c r="AC207" s="1" t="s">
        <v>74</v>
      </c>
      <c r="AD207" s="1" t="s">
        <v>74</v>
      </c>
      <c r="AE207" s="11">
        <v>45904</v>
      </c>
      <c r="AF207" s="11"/>
      <c r="AG207" s="1" t="s">
        <v>74</v>
      </c>
      <c r="AJ207" cm="1">
        <f t="array" ref="AJ207:AK207">_xlfn.XLOOKUP(M207,'Customer Data Vlookup'!$L:$L,'Customer Data Vlookup'!$M:$N,,0)</f>
        <v>0</v>
      </c>
      <c r="AK207" s="47">
        <v>4231.3179</v>
      </c>
      <c r="AL207" s="47">
        <f t="shared" si="30"/>
        <v>4231.3179</v>
      </c>
      <c r="AM207" s="58">
        <f t="shared" si="31"/>
        <v>87.512099999999919</v>
      </c>
    </row>
    <row r="208" spans="1:39" x14ac:dyDescent="0.35">
      <c r="A208" s="1" t="s">
        <v>124</v>
      </c>
      <c r="B208" s="1" t="s">
        <v>67</v>
      </c>
      <c r="C208" s="1" t="s">
        <v>68</v>
      </c>
      <c r="D208" s="1" t="s">
        <v>69</v>
      </c>
      <c r="E208" s="1" t="s">
        <v>17</v>
      </c>
      <c r="F208" s="1" t="s">
        <v>192</v>
      </c>
      <c r="G208" s="11">
        <v>45904</v>
      </c>
      <c r="H208" s="25">
        <v>1800012739</v>
      </c>
      <c r="I208" s="1" t="s">
        <v>9</v>
      </c>
      <c r="J208" s="11">
        <v>45904</v>
      </c>
      <c r="K208" s="11">
        <v>45909</v>
      </c>
      <c r="L208" s="1" t="s">
        <v>71</v>
      </c>
      <c r="M208" s="35">
        <v>256779417373</v>
      </c>
      <c r="N208" s="1" t="s">
        <v>72</v>
      </c>
      <c r="O208" s="1" t="s">
        <v>73</v>
      </c>
      <c r="P208" s="1" t="s">
        <v>74</v>
      </c>
      <c r="Q208" s="1" t="s">
        <v>83</v>
      </c>
      <c r="R208" s="1" t="s">
        <v>76</v>
      </c>
      <c r="S208" s="12">
        <v>456.75</v>
      </c>
      <c r="T208" s="1" t="s">
        <v>77</v>
      </c>
      <c r="U208" s="12">
        <v>39972.17</v>
      </c>
      <c r="V208" s="1" t="s">
        <v>78</v>
      </c>
      <c r="W208" s="1" t="s">
        <v>79</v>
      </c>
      <c r="X208" s="1" t="s">
        <v>74</v>
      </c>
      <c r="Y208" s="1" t="s">
        <v>71</v>
      </c>
      <c r="Z208" s="1" t="s">
        <v>80</v>
      </c>
      <c r="AA208" s="1" t="s">
        <v>346</v>
      </c>
      <c r="AB208" s="1" t="s">
        <v>74</v>
      </c>
      <c r="AC208" s="1" t="s">
        <v>74</v>
      </c>
      <c r="AD208" s="1" t="s">
        <v>74</v>
      </c>
      <c r="AE208" s="11">
        <v>45904</v>
      </c>
      <c r="AF208" s="11"/>
      <c r="AG208" s="1" t="s">
        <v>74</v>
      </c>
      <c r="AJ208" cm="1">
        <f t="array" ref="AJ208:AK208">_xlfn.XLOOKUP(M208,'Customer Data Vlookup'!$L:$L,'Customer Data Vlookup'!$M:$N,,0)</f>
        <v>0</v>
      </c>
      <c r="AK208" s="47">
        <v>33482.010999999999</v>
      </c>
      <c r="AL208" s="47">
        <f t="shared" si="30"/>
        <v>33482.010999999999</v>
      </c>
      <c r="AM208" s="58">
        <f t="shared" si="31"/>
        <v>6490.1589999999997</v>
      </c>
    </row>
    <row r="209" spans="1:39" x14ac:dyDescent="0.35">
      <c r="A209" s="1" t="s">
        <v>124</v>
      </c>
      <c r="B209" s="1" t="s">
        <v>67</v>
      </c>
      <c r="C209" s="1" t="s">
        <v>68</v>
      </c>
      <c r="D209" s="1" t="s">
        <v>69</v>
      </c>
      <c r="E209" s="1" t="s">
        <v>17</v>
      </c>
      <c r="F209" s="1" t="s">
        <v>70</v>
      </c>
      <c r="G209" s="11">
        <v>45842</v>
      </c>
      <c r="H209" s="25">
        <v>1800010004</v>
      </c>
      <c r="I209" s="1" t="s">
        <v>9</v>
      </c>
      <c r="J209" s="11">
        <v>45842</v>
      </c>
      <c r="K209" s="11">
        <v>45845</v>
      </c>
      <c r="L209" s="1" t="s">
        <v>71</v>
      </c>
      <c r="M209" s="35">
        <v>256779414768</v>
      </c>
      <c r="N209" s="1" t="s">
        <v>72</v>
      </c>
      <c r="O209" s="1" t="s">
        <v>73</v>
      </c>
      <c r="P209" s="1" t="s">
        <v>74</v>
      </c>
      <c r="Q209" s="1" t="s">
        <v>83</v>
      </c>
      <c r="R209" s="1" t="s">
        <v>76</v>
      </c>
      <c r="S209" s="12">
        <v>17.350000000000001</v>
      </c>
      <c r="T209" s="1" t="s">
        <v>77</v>
      </c>
      <c r="U209" s="12">
        <v>1492.11</v>
      </c>
      <c r="V209" s="1" t="s">
        <v>78</v>
      </c>
      <c r="W209" s="1" t="s">
        <v>79</v>
      </c>
      <c r="X209" s="1" t="s">
        <v>74</v>
      </c>
      <c r="Y209" s="1" t="s">
        <v>71</v>
      </c>
      <c r="Z209" s="1" t="s">
        <v>80</v>
      </c>
      <c r="AA209" s="1" t="s">
        <v>347</v>
      </c>
      <c r="AB209" s="1" t="s">
        <v>74</v>
      </c>
      <c r="AC209" s="1" t="s">
        <v>74</v>
      </c>
      <c r="AD209" s="1" t="s">
        <v>74</v>
      </c>
      <c r="AE209" s="11">
        <v>45842</v>
      </c>
      <c r="AF209" s="11"/>
      <c r="AG209" s="1" t="s">
        <v>74</v>
      </c>
      <c r="AJ209" cm="1">
        <f t="array" ref="AJ209:AK209">_xlfn.XLOOKUP(M209,'Customer Data Vlookup'!$L:$L,'Customer Data Vlookup'!$M:$N,,0)</f>
        <v>0</v>
      </c>
      <c r="AK209" s="47">
        <v>1492.1116</v>
      </c>
      <c r="AL209" s="47">
        <f t="shared" si="30"/>
        <v>1492.1116</v>
      </c>
      <c r="AM209" s="58">
        <f t="shared" si="31"/>
        <v>-1.6000000000531145E-3</v>
      </c>
    </row>
    <row r="210" spans="1:39" x14ac:dyDescent="0.35">
      <c r="A210" s="1" t="s">
        <v>124</v>
      </c>
      <c r="B210" s="1" t="s">
        <v>67</v>
      </c>
      <c r="C210" s="1" t="s">
        <v>68</v>
      </c>
      <c r="D210" s="1" t="s">
        <v>69</v>
      </c>
      <c r="E210" s="1" t="s">
        <v>17</v>
      </c>
      <c r="F210" s="1" t="s">
        <v>70</v>
      </c>
      <c r="G210" s="11">
        <v>45842</v>
      </c>
      <c r="H210" s="25">
        <v>1800010065</v>
      </c>
      <c r="I210" s="1" t="s">
        <v>9</v>
      </c>
      <c r="J210" s="11">
        <v>45842</v>
      </c>
      <c r="K210" s="11">
        <v>45845</v>
      </c>
      <c r="L210" s="1" t="s">
        <v>71</v>
      </c>
      <c r="M210" s="35">
        <v>256779414829</v>
      </c>
      <c r="N210" s="1" t="s">
        <v>72</v>
      </c>
      <c r="O210" s="1" t="s">
        <v>73</v>
      </c>
      <c r="P210" s="1" t="s">
        <v>74</v>
      </c>
      <c r="Q210" s="1" t="s">
        <v>83</v>
      </c>
      <c r="R210" s="1" t="s">
        <v>76</v>
      </c>
      <c r="S210" s="12">
        <v>101.95</v>
      </c>
      <c r="T210" s="1" t="s">
        <v>77</v>
      </c>
      <c r="U210" s="12">
        <v>8767.77</v>
      </c>
      <c r="V210" s="1" t="s">
        <v>78</v>
      </c>
      <c r="W210" s="1" t="s">
        <v>79</v>
      </c>
      <c r="X210" s="1" t="s">
        <v>74</v>
      </c>
      <c r="Y210" s="1" t="s">
        <v>71</v>
      </c>
      <c r="Z210" s="1" t="s">
        <v>80</v>
      </c>
      <c r="AA210" s="1" t="s">
        <v>348</v>
      </c>
      <c r="AB210" s="1" t="s">
        <v>74</v>
      </c>
      <c r="AC210" s="1" t="s">
        <v>74</v>
      </c>
      <c r="AD210" s="1" t="s">
        <v>74</v>
      </c>
      <c r="AE210" s="11">
        <v>45842</v>
      </c>
      <c r="AF210" s="11"/>
      <c r="AG210" s="1" t="s">
        <v>74</v>
      </c>
      <c r="AJ210" cm="1">
        <f t="array" ref="AJ210:AK210">_xlfn.XLOOKUP(M210,'Customer Data Vlookup'!$L:$L,'Customer Data Vlookup'!$M:$N,,0)</f>
        <v>0</v>
      </c>
      <c r="AK210" s="47">
        <v>8595.7669999999998</v>
      </c>
      <c r="AL210" s="47">
        <f t="shared" si="30"/>
        <v>8595.7669999999998</v>
      </c>
      <c r="AM210" s="58">
        <f t="shared" si="31"/>
        <v>172.00300000000061</v>
      </c>
    </row>
    <row r="211" spans="1:39" x14ac:dyDescent="0.35">
      <c r="A211" s="1" t="s">
        <v>124</v>
      </c>
      <c r="B211" s="1" t="s">
        <v>67</v>
      </c>
      <c r="C211" s="1" t="s">
        <v>68</v>
      </c>
      <c r="D211" s="1" t="s">
        <v>69</v>
      </c>
      <c r="E211" s="1" t="s">
        <v>17</v>
      </c>
      <c r="F211" s="1" t="s">
        <v>70</v>
      </c>
      <c r="G211" s="11">
        <v>45842</v>
      </c>
      <c r="H211" s="25">
        <v>1800010118</v>
      </c>
      <c r="I211" s="1" t="s">
        <v>9</v>
      </c>
      <c r="J211" s="11">
        <v>45842</v>
      </c>
      <c r="K211" s="11">
        <v>45847</v>
      </c>
      <c r="L211" s="1" t="s">
        <v>71</v>
      </c>
      <c r="M211" s="35">
        <v>256779414878</v>
      </c>
      <c r="N211" s="1" t="s">
        <v>72</v>
      </c>
      <c r="O211" s="1" t="s">
        <v>73</v>
      </c>
      <c r="P211" s="1" t="s">
        <v>74</v>
      </c>
      <c r="Q211" s="1" t="s">
        <v>83</v>
      </c>
      <c r="R211" s="1" t="s">
        <v>76</v>
      </c>
      <c r="S211" s="12">
        <v>31.73</v>
      </c>
      <c r="T211" s="1" t="s">
        <v>77</v>
      </c>
      <c r="U211" s="12">
        <v>2728.8</v>
      </c>
      <c r="V211" s="1" t="s">
        <v>78</v>
      </c>
      <c r="W211" s="1" t="s">
        <v>79</v>
      </c>
      <c r="X211" s="1" t="s">
        <v>74</v>
      </c>
      <c r="Y211" s="1" t="s">
        <v>71</v>
      </c>
      <c r="Z211" s="1" t="s">
        <v>80</v>
      </c>
      <c r="AA211" s="1" t="s">
        <v>349</v>
      </c>
      <c r="AB211" s="1" t="s">
        <v>74</v>
      </c>
      <c r="AC211" s="1" t="s">
        <v>74</v>
      </c>
      <c r="AD211" s="1" t="s">
        <v>74</v>
      </c>
      <c r="AE211" s="11">
        <v>45842</v>
      </c>
      <c r="AF211" s="11"/>
      <c r="AG211" s="1" t="s">
        <v>74</v>
      </c>
      <c r="AJ211" cm="1">
        <f t="array" ref="AJ211:AK211">_xlfn.XLOOKUP(M211,'Customer Data Vlookup'!$L:$L,'Customer Data Vlookup'!$M:$N,,0)</f>
        <v>0</v>
      </c>
      <c r="AK211" s="47">
        <v>2642.8006</v>
      </c>
      <c r="AL211" s="47">
        <f t="shared" si="30"/>
        <v>2642.8006</v>
      </c>
      <c r="AM211" s="58">
        <f t="shared" si="31"/>
        <v>85.999400000000151</v>
      </c>
    </row>
    <row r="212" spans="1:39" x14ac:dyDescent="0.35">
      <c r="A212" s="1" t="s">
        <v>124</v>
      </c>
      <c r="B212" s="1" t="s">
        <v>67</v>
      </c>
      <c r="C212" s="1" t="s">
        <v>68</v>
      </c>
      <c r="D212" s="1" t="s">
        <v>69</v>
      </c>
      <c r="E212" s="1" t="s">
        <v>17</v>
      </c>
      <c r="F212" s="1" t="s">
        <v>70</v>
      </c>
      <c r="G212" s="11">
        <v>45842</v>
      </c>
      <c r="H212" s="25">
        <v>1800010130</v>
      </c>
      <c r="I212" s="1" t="s">
        <v>9</v>
      </c>
      <c r="J212" s="11">
        <v>45842</v>
      </c>
      <c r="K212" s="11">
        <v>45847</v>
      </c>
      <c r="L212" s="1" t="s">
        <v>71</v>
      </c>
      <c r="M212" s="35">
        <v>256779414890</v>
      </c>
      <c r="N212" s="1" t="s">
        <v>72</v>
      </c>
      <c r="O212" s="1" t="s">
        <v>73</v>
      </c>
      <c r="P212" s="1" t="s">
        <v>74</v>
      </c>
      <c r="Q212" s="1" t="s">
        <v>83</v>
      </c>
      <c r="R212" s="1" t="s">
        <v>76</v>
      </c>
      <c r="S212" s="12">
        <v>1180.8</v>
      </c>
      <c r="T212" s="1" t="s">
        <v>77</v>
      </c>
      <c r="U212" s="12">
        <v>101549.59</v>
      </c>
      <c r="V212" s="1" t="s">
        <v>78</v>
      </c>
      <c r="W212" s="1" t="s">
        <v>79</v>
      </c>
      <c r="X212" s="1" t="s">
        <v>74</v>
      </c>
      <c r="Y212" s="1" t="s">
        <v>71</v>
      </c>
      <c r="Z212" s="1" t="s">
        <v>80</v>
      </c>
      <c r="AA212" s="1" t="s">
        <v>350</v>
      </c>
      <c r="AB212" s="1" t="s">
        <v>74</v>
      </c>
      <c r="AC212" s="1" t="s">
        <v>74</v>
      </c>
      <c r="AD212" s="1" t="s">
        <v>74</v>
      </c>
      <c r="AE212" s="11">
        <v>45842</v>
      </c>
      <c r="AF212" s="11"/>
      <c r="AG212" s="1" t="s">
        <v>74</v>
      </c>
      <c r="AJ212" cm="1">
        <f t="array" ref="AJ212:AK212">_xlfn.XLOOKUP(M212,'Customer Data Vlookup'!$L:$L,'Customer Data Vlookup'!$M:$N,,0)</f>
        <v>0</v>
      </c>
      <c r="AK212" s="47">
        <v>91401.512100000007</v>
      </c>
      <c r="AL212" s="47">
        <f t="shared" si="30"/>
        <v>91401.512100000007</v>
      </c>
      <c r="AM212" s="58">
        <f t="shared" si="31"/>
        <v>10148.077899999989</v>
      </c>
    </row>
    <row r="213" spans="1:39" x14ac:dyDescent="0.35">
      <c r="A213" s="1" t="s">
        <v>124</v>
      </c>
      <c r="B213" s="1" t="s">
        <v>67</v>
      </c>
      <c r="C213" s="1" t="s">
        <v>68</v>
      </c>
      <c r="D213" s="1" t="s">
        <v>69</v>
      </c>
      <c r="E213" s="1" t="s">
        <v>17</v>
      </c>
      <c r="F213" s="1" t="s">
        <v>70</v>
      </c>
      <c r="G213" s="11">
        <v>45842</v>
      </c>
      <c r="H213" s="25">
        <v>1800010184</v>
      </c>
      <c r="I213" s="1" t="s">
        <v>9</v>
      </c>
      <c r="J213" s="11">
        <v>45842</v>
      </c>
      <c r="K213" s="11">
        <v>45847</v>
      </c>
      <c r="L213" s="1" t="s">
        <v>71</v>
      </c>
      <c r="M213" s="35">
        <v>256779414944</v>
      </c>
      <c r="N213" s="1" t="s">
        <v>72</v>
      </c>
      <c r="O213" s="1" t="s">
        <v>73</v>
      </c>
      <c r="P213" s="1" t="s">
        <v>74</v>
      </c>
      <c r="Q213" s="1" t="s">
        <v>83</v>
      </c>
      <c r="R213" s="1" t="s">
        <v>76</v>
      </c>
      <c r="S213" s="12">
        <v>456.75</v>
      </c>
      <c r="T213" s="1" t="s">
        <v>77</v>
      </c>
      <c r="U213" s="12">
        <v>39280.81</v>
      </c>
      <c r="V213" s="1" t="s">
        <v>78</v>
      </c>
      <c r="W213" s="1" t="s">
        <v>79</v>
      </c>
      <c r="X213" s="1" t="s">
        <v>74</v>
      </c>
      <c r="Y213" s="1" t="s">
        <v>71</v>
      </c>
      <c r="Z213" s="1" t="s">
        <v>80</v>
      </c>
      <c r="AA213" s="1" t="s">
        <v>351</v>
      </c>
      <c r="AB213" s="1" t="s">
        <v>74</v>
      </c>
      <c r="AC213" s="1" t="s">
        <v>74</v>
      </c>
      <c r="AD213" s="1" t="s">
        <v>74</v>
      </c>
      <c r="AE213" s="11">
        <v>45842</v>
      </c>
      <c r="AF213" s="11"/>
      <c r="AG213" s="1" t="s">
        <v>74</v>
      </c>
      <c r="AJ213" cm="1">
        <f t="array" ref="AJ213:AK213">_xlfn.XLOOKUP(M213,'Customer Data Vlookup'!$L:$L,'Customer Data Vlookup'!$M:$N,,0)</f>
        <v>0</v>
      </c>
      <c r="AK213" s="47">
        <v>35324.775199999996</v>
      </c>
      <c r="AL213" s="47">
        <f t="shared" si="30"/>
        <v>35324.775199999996</v>
      </c>
      <c r="AM213" s="58">
        <f t="shared" si="31"/>
        <v>3956.0348000000013</v>
      </c>
    </row>
    <row r="214" spans="1:39" x14ac:dyDescent="0.35">
      <c r="A214" s="1" t="s">
        <v>124</v>
      </c>
      <c r="B214" s="1" t="s">
        <v>67</v>
      </c>
      <c r="C214" s="1" t="s">
        <v>68</v>
      </c>
      <c r="D214" s="1" t="s">
        <v>69</v>
      </c>
      <c r="E214" s="1" t="s">
        <v>17</v>
      </c>
      <c r="F214" s="1" t="s">
        <v>70</v>
      </c>
      <c r="G214" s="11">
        <v>45842</v>
      </c>
      <c r="H214" s="25">
        <v>1800010215</v>
      </c>
      <c r="I214" s="1" t="s">
        <v>9</v>
      </c>
      <c r="J214" s="11">
        <v>45842</v>
      </c>
      <c r="K214" s="11">
        <v>45847</v>
      </c>
      <c r="L214" s="1" t="s">
        <v>71</v>
      </c>
      <c r="M214" s="35">
        <v>256779414975</v>
      </c>
      <c r="N214" s="1" t="s">
        <v>72</v>
      </c>
      <c r="O214" s="1" t="s">
        <v>73</v>
      </c>
      <c r="P214" s="1" t="s">
        <v>74</v>
      </c>
      <c r="Q214" s="1" t="s">
        <v>83</v>
      </c>
      <c r="R214" s="1" t="s">
        <v>76</v>
      </c>
      <c r="S214" s="12">
        <v>54.05</v>
      </c>
      <c r="T214" s="1" t="s">
        <v>77</v>
      </c>
      <c r="U214" s="12">
        <v>4648.34</v>
      </c>
      <c r="V214" s="1" t="s">
        <v>78</v>
      </c>
      <c r="W214" s="1" t="s">
        <v>79</v>
      </c>
      <c r="X214" s="1" t="s">
        <v>74</v>
      </c>
      <c r="Y214" s="1" t="s">
        <v>71</v>
      </c>
      <c r="Z214" s="1" t="s">
        <v>80</v>
      </c>
      <c r="AA214" s="1" t="s">
        <v>74</v>
      </c>
      <c r="AB214" s="1" t="s">
        <v>74</v>
      </c>
      <c r="AC214" s="1" t="s">
        <v>74</v>
      </c>
      <c r="AD214" s="1" t="s">
        <v>74</v>
      </c>
      <c r="AE214" s="11">
        <v>45842</v>
      </c>
      <c r="AF214" s="11"/>
      <c r="AG214" s="1" t="s">
        <v>74</v>
      </c>
      <c r="AJ214" cm="1">
        <f t="array" ref="AJ214:AK214">_xlfn.XLOOKUP(M214,'Customer Data Vlookup'!$L:$L,'Customer Data Vlookup'!$M:$N,,0)</f>
        <v>0</v>
      </c>
      <c r="AK214" s="47">
        <v>4562.3355000000001</v>
      </c>
      <c r="AL214" s="47">
        <f t="shared" si="30"/>
        <v>4562.3355000000001</v>
      </c>
      <c r="AM214" s="58">
        <f t="shared" si="31"/>
        <v>86.004500000000007</v>
      </c>
    </row>
    <row r="215" spans="1:39" hidden="1" x14ac:dyDescent="0.35">
      <c r="A215" s="1" t="s">
        <v>124</v>
      </c>
      <c r="B215" s="1" t="s">
        <v>67</v>
      </c>
      <c r="C215" s="1" t="s">
        <v>68</v>
      </c>
      <c r="D215" s="1" t="s">
        <v>69</v>
      </c>
      <c r="E215" s="1" t="s">
        <v>17</v>
      </c>
      <c r="F215" s="1" t="s">
        <v>70</v>
      </c>
      <c r="G215" s="11">
        <v>45842</v>
      </c>
      <c r="H215" s="25">
        <v>1800010281</v>
      </c>
      <c r="I215" s="1" t="s">
        <v>9</v>
      </c>
      <c r="J215" s="11">
        <v>45842</v>
      </c>
      <c r="K215" s="11">
        <v>45847</v>
      </c>
      <c r="L215" s="1" t="s">
        <v>71</v>
      </c>
      <c r="M215" s="35">
        <v>256779415041</v>
      </c>
      <c r="N215" s="1" t="s">
        <v>72</v>
      </c>
      <c r="O215" s="1" t="s">
        <v>73</v>
      </c>
      <c r="P215" s="1" t="s">
        <v>74</v>
      </c>
      <c r="Q215" s="1" t="s">
        <v>83</v>
      </c>
      <c r="R215" s="1" t="s">
        <v>76</v>
      </c>
      <c r="S215" s="12">
        <v>155.09</v>
      </c>
      <c r="T215" s="1" t="s">
        <v>77</v>
      </c>
      <c r="U215" s="12">
        <v>13337.84</v>
      </c>
      <c r="V215" s="1" t="s">
        <v>78</v>
      </c>
      <c r="W215" s="1" t="s">
        <v>79</v>
      </c>
      <c r="X215" s="1" t="s">
        <v>74</v>
      </c>
      <c r="Y215" s="1" t="s">
        <v>71</v>
      </c>
      <c r="Z215" s="1" t="s">
        <v>80</v>
      </c>
      <c r="AA215" s="1" t="s">
        <v>352</v>
      </c>
      <c r="AB215" s="1" t="s">
        <v>74</v>
      </c>
      <c r="AC215" s="1" t="s">
        <v>74</v>
      </c>
      <c r="AD215" s="1" t="s">
        <v>74</v>
      </c>
      <c r="AE215" s="11">
        <v>45842</v>
      </c>
      <c r="AF215" s="11"/>
      <c r="AG215" s="1" t="s">
        <v>74</v>
      </c>
      <c r="AJ215" t="e" cm="1">
        <f t="array" ref="AJ215">_xlfn.XLOOKUP(M215,'Customer Data Vlookup'!$L:$L,'Customer Data Vlookup'!$M:$N,,0)</f>
        <v>#N/A</v>
      </c>
    </row>
    <row r="216" spans="1:39" x14ac:dyDescent="0.35">
      <c r="A216" s="1" t="s">
        <v>124</v>
      </c>
      <c r="B216" s="1" t="s">
        <v>67</v>
      </c>
      <c r="C216" s="1" t="s">
        <v>68</v>
      </c>
      <c r="D216" s="1" t="s">
        <v>69</v>
      </c>
      <c r="E216" s="1" t="s">
        <v>17</v>
      </c>
      <c r="F216" s="1" t="s">
        <v>70</v>
      </c>
      <c r="G216" s="11">
        <v>45842</v>
      </c>
      <c r="H216" s="25">
        <v>1800010288</v>
      </c>
      <c r="I216" s="1" t="s">
        <v>9</v>
      </c>
      <c r="J216" s="11">
        <v>45842</v>
      </c>
      <c r="K216" s="11">
        <v>45847</v>
      </c>
      <c r="L216" s="1" t="s">
        <v>71</v>
      </c>
      <c r="M216" s="35">
        <v>256779415048</v>
      </c>
      <c r="N216" s="1" t="s">
        <v>72</v>
      </c>
      <c r="O216" s="1" t="s">
        <v>73</v>
      </c>
      <c r="P216" s="1" t="s">
        <v>74</v>
      </c>
      <c r="Q216" s="1" t="s">
        <v>83</v>
      </c>
      <c r="R216" s="1" t="s">
        <v>76</v>
      </c>
      <c r="S216" s="12">
        <v>6.43</v>
      </c>
      <c r="T216" s="1" t="s">
        <v>77</v>
      </c>
      <c r="U216" s="12">
        <v>552.98</v>
      </c>
      <c r="V216" s="1" t="s">
        <v>78</v>
      </c>
      <c r="W216" s="1" t="s">
        <v>79</v>
      </c>
      <c r="X216" s="1" t="s">
        <v>74</v>
      </c>
      <c r="Y216" s="1" t="s">
        <v>71</v>
      </c>
      <c r="Z216" s="1" t="s">
        <v>80</v>
      </c>
      <c r="AA216" s="1" t="s">
        <v>353</v>
      </c>
      <c r="AB216" s="1" t="s">
        <v>74</v>
      </c>
      <c r="AC216" s="1" t="s">
        <v>74</v>
      </c>
      <c r="AD216" s="1" t="s">
        <v>74</v>
      </c>
      <c r="AE216" s="11">
        <v>45842</v>
      </c>
      <c r="AF216" s="11"/>
      <c r="AG216" s="1" t="s">
        <v>74</v>
      </c>
      <c r="AJ216" cm="1">
        <f t="array" ref="AJ216:AK216">_xlfn.XLOOKUP(M216,'Customer Data Vlookup'!$L:$L,'Customer Data Vlookup'!$M:$N,,0)</f>
        <v>0</v>
      </c>
      <c r="AK216" s="47">
        <v>552.98429999999996</v>
      </c>
      <c r="AL216" s="47">
        <f t="shared" ref="AL216:AL226" si="32">AK216-AJ216</f>
        <v>552.98429999999996</v>
      </c>
      <c r="AM216" s="58">
        <f t="shared" ref="AM216:AM226" si="33">U216-AL216</f>
        <v>-4.2999999999437932E-3</v>
      </c>
    </row>
    <row r="217" spans="1:39" x14ac:dyDescent="0.35">
      <c r="A217" s="1" t="s">
        <v>124</v>
      </c>
      <c r="B217" s="1" t="s">
        <v>67</v>
      </c>
      <c r="C217" s="1" t="s">
        <v>68</v>
      </c>
      <c r="D217" s="1" t="s">
        <v>69</v>
      </c>
      <c r="E217" s="1" t="s">
        <v>17</v>
      </c>
      <c r="F217" s="1" t="s">
        <v>70</v>
      </c>
      <c r="G217" s="11">
        <v>45842</v>
      </c>
      <c r="H217" s="25">
        <v>1800010438</v>
      </c>
      <c r="I217" s="1" t="s">
        <v>9</v>
      </c>
      <c r="J217" s="11">
        <v>45842</v>
      </c>
      <c r="K217" s="11">
        <v>45847</v>
      </c>
      <c r="L217" s="1" t="s">
        <v>71</v>
      </c>
      <c r="M217" s="35">
        <v>256779415198</v>
      </c>
      <c r="N217" s="1" t="s">
        <v>72</v>
      </c>
      <c r="O217" s="1" t="s">
        <v>73</v>
      </c>
      <c r="P217" s="1" t="s">
        <v>74</v>
      </c>
      <c r="Q217" s="1" t="s">
        <v>83</v>
      </c>
      <c r="R217" s="1" t="s">
        <v>76</v>
      </c>
      <c r="S217" s="12">
        <v>3330.8</v>
      </c>
      <c r="T217" s="1" t="s">
        <v>77</v>
      </c>
      <c r="U217" s="12">
        <v>286451.03000000003</v>
      </c>
      <c r="V217" s="1" t="s">
        <v>78</v>
      </c>
      <c r="W217" s="1" t="s">
        <v>79</v>
      </c>
      <c r="X217" s="1" t="s">
        <v>74</v>
      </c>
      <c r="Y217" s="1" t="s">
        <v>71</v>
      </c>
      <c r="Z217" s="1" t="s">
        <v>80</v>
      </c>
      <c r="AA217" s="1" t="s">
        <v>354</v>
      </c>
      <c r="AB217" s="1" t="s">
        <v>74</v>
      </c>
      <c r="AC217" s="1" t="s">
        <v>74</v>
      </c>
      <c r="AD217" s="1" t="s">
        <v>74</v>
      </c>
      <c r="AE217" s="11">
        <v>45842</v>
      </c>
      <c r="AF217" s="11"/>
      <c r="AG217" s="1" t="s">
        <v>74</v>
      </c>
      <c r="AJ217" cm="1">
        <f t="array" ref="AJ217:AK217">_xlfn.XLOOKUP(M217,'Customer Data Vlookup'!$L:$L,'Customer Data Vlookup'!$M:$N,,0)</f>
        <v>0</v>
      </c>
      <c r="AK217" s="47">
        <v>257812.80850000001</v>
      </c>
      <c r="AL217" s="47">
        <f t="shared" si="32"/>
        <v>257812.80850000001</v>
      </c>
      <c r="AM217" s="58">
        <f t="shared" si="33"/>
        <v>28638.221500000014</v>
      </c>
    </row>
    <row r="218" spans="1:39" x14ac:dyDescent="0.35">
      <c r="A218" s="1" t="s">
        <v>124</v>
      </c>
      <c r="B218" s="1" t="s">
        <v>67</v>
      </c>
      <c r="C218" s="1" t="s">
        <v>68</v>
      </c>
      <c r="D218" s="1" t="s">
        <v>69</v>
      </c>
      <c r="E218" s="1" t="s">
        <v>17</v>
      </c>
      <c r="F218" s="1" t="s">
        <v>70</v>
      </c>
      <c r="G218" s="11">
        <v>45842</v>
      </c>
      <c r="H218" s="25">
        <v>1800010503</v>
      </c>
      <c r="I218" s="1" t="s">
        <v>9</v>
      </c>
      <c r="J218" s="11">
        <v>45842</v>
      </c>
      <c r="K218" s="11">
        <v>45847</v>
      </c>
      <c r="L218" s="1" t="s">
        <v>71</v>
      </c>
      <c r="M218" s="35">
        <v>256779415263</v>
      </c>
      <c r="N218" s="1" t="s">
        <v>72</v>
      </c>
      <c r="O218" s="1" t="s">
        <v>73</v>
      </c>
      <c r="P218" s="1" t="s">
        <v>74</v>
      </c>
      <c r="Q218" s="1" t="s">
        <v>83</v>
      </c>
      <c r="R218" s="1" t="s">
        <v>76</v>
      </c>
      <c r="S218" s="12">
        <v>2.34</v>
      </c>
      <c r="T218" s="1" t="s">
        <v>77</v>
      </c>
      <c r="U218" s="12">
        <v>201.24</v>
      </c>
      <c r="V218" s="1" t="s">
        <v>78</v>
      </c>
      <c r="W218" s="1" t="s">
        <v>79</v>
      </c>
      <c r="X218" s="1" t="s">
        <v>74</v>
      </c>
      <c r="Y218" s="1" t="s">
        <v>74</v>
      </c>
      <c r="Z218" s="1" t="s">
        <v>80</v>
      </c>
      <c r="AA218" s="1" t="s">
        <v>355</v>
      </c>
      <c r="AB218" s="1" t="s">
        <v>74</v>
      </c>
      <c r="AC218" s="1" t="s">
        <v>74</v>
      </c>
      <c r="AD218" s="1" t="s">
        <v>74</v>
      </c>
      <c r="AE218" s="11">
        <v>45842</v>
      </c>
      <c r="AF218" s="11"/>
      <c r="AG218" s="1" t="s">
        <v>74</v>
      </c>
      <c r="AJ218" cm="1">
        <f t="array" ref="AJ218:AK218">_xlfn.XLOOKUP(M218,'Customer Data Vlookup'!$L:$L,'Customer Data Vlookup'!$M:$N,,0)</f>
        <v>0</v>
      </c>
      <c r="AK218" s="47">
        <v>201.24160000000001</v>
      </c>
      <c r="AL218" s="47">
        <f t="shared" si="32"/>
        <v>201.24160000000001</v>
      </c>
      <c r="AM218" s="58">
        <f t="shared" si="33"/>
        <v>-1.5999999999962711E-3</v>
      </c>
    </row>
    <row r="219" spans="1:39" x14ac:dyDescent="0.35">
      <c r="A219" s="1" t="s">
        <v>124</v>
      </c>
      <c r="B219" s="1" t="s">
        <v>67</v>
      </c>
      <c r="C219" s="1" t="s">
        <v>68</v>
      </c>
      <c r="D219" s="1" t="s">
        <v>69</v>
      </c>
      <c r="E219" s="1" t="s">
        <v>17</v>
      </c>
      <c r="F219" s="1" t="s">
        <v>75</v>
      </c>
      <c r="G219" s="11">
        <v>45966</v>
      </c>
      <c r="H219" s="25">
        <v>1800014263</v>
      </c>
      <c r="I219" s="1" t="s">
        <v>9</v>
      </c>
      <c r="J219" s="11">
        <v>45966</v>
      </c>
      <c r="K219" s="11">
        <v>45966</v>
      </c>
      <c r="L219" s="1" t="s">
        <v>71</v>
      </c>
      <c r="M219" s="35">
        <v>256779418802</v>
      </c>
      <c r="N219" s="1" t="s">
        <v>72</v>
      </c>
      <c r="O219" s="1" t="s">
        <v>73</v>
      </c>
      <c r="P219" s="1" t="s">
        <v>74</v>
      </c>
      <c r="Q219" s="1" t="s">
        <v>83</v>
      </c>
      <c r="R219" s="1" t="s">
        <v>76</v>
      </c>
      <c r="S219" s="12">
        <v>456.75</v>
      </c>
      <c r="T219" s="1" t="s">
        <v>77</v>
      </c>
      <c r="U219" s="12">
        <v>40195.550000000003</v>
      </c>
      <c r="V219" s="1" t="s">
        <v>78</v>
      </c>
      <c r="W219" s="1" t="s">
        <v>79</v>
      </c>
      <c r="X219" s="1" t="s">
        <v>74</v>
      </c>
      <c r="Y219" s="1" t="s">
        <v>356</v>
      </c>
      <c r="Z219" s="1" t="s">
        <v>80</v>
      </c>
      <c r="AA219" s="1" t="s">
        <v>357</v>
      </c>
      <c r="AB219" s="1" t="s">
        <v>74</v>
      </c>
      <c r="AC219" s="1" t="s">
        <v>74</v>
      </c>
      <c r="AD219" s="1" t="s">
        <v>74</v>
      </c>
      <c r="AE219" s="11">
        <v>45966</v>
      </c>
      <c r="AF219" s="11"/>
      <c r="AG219" s="1" t="s">
        <v>74</v>
      </c>
      <c r="AJ219" cm="1">
        <f t="array" ref="AJ219:AK219">_xlfn.XLOOKUP(M219,'Customer Data Vlookup'!$L:$L,'Customer Data Vlookup'!$M:$N,,0)</f>
        <v>4048</v>
      </c>
      <c r="AK219" s="47">
        <v>40195.392399999997</v>
      </c>
      <c r="AL219" s="47">
        <f t="shared" si="32"/>
        <v>36147.392399999997</v>
      </c>
      <c r="AM219" s="58">
        <f t="shared" si="33"/>
        <v>4048.1576000000059</v>
      </c>
    </row>
    <row r="220" spans="1:39" x14ac:dyDescent="0.35">
      <c r="A220" s="1" t="s">
        <v>124</v>
      </c>
      <c r="B220" s="1" t="s">
        <v>67</v>
      </c>
      <c r="C220" s="1" t="s">
        <v>68</v>
      </c>
      <c r="D220" s="1" t="s">
        <v>69</v>
      </c>
      <c r="E220" s="1" t="s">
        <v>17</v>
      </c>
      <c r="F220" s="1" t="s">
        <v>75</v>
      </c>
      <c r="G220" s="11">
        <v>45966</v>
      </c>
      <c r="H220" s="25">
        <v>1800014282</v>
      </c>
      <c r="I220" s="1" t="s">
        <v>9</v>
      </c>
      <c r="J220" s="11">
        <v>45966</v>
      </c>
      <c r="K220" s="11">
        <v>45967</v>
      </c>
      <c r="L220" s="1" t="s">
        <v>71</v>
      </c>
      <c r="M220" s="35">
        <v>256779418819</v>
      </c>
      <c r="N220" s="1" t="s">
        <v>72</v>
      </c>
      <c r="O220" s="1" t="s">
        <v>73</v>
      </c>
      <c r="P220" s="1" t="s">
        <v>74</v>
      </c>
      <c r="Q220" s="1" t="s">
        <v>83</v>
      </c>
      <c r="R220" s="1" t="s">
        <v>76</v>
      </c>
      <c r="S220" s="12">
        <v>32.74</v>
      </c>
      <c r="T220" s="1" t="s">
        <v>77</v>
      </c>
      <c r="U220" s="12">
        <v>2881.23</v>
      </c>
      <c r="V220" s="1" t="s">
        <v>78</v>
      </c>
      <c r="W220" s="1" t="s">
        <v>79</v>
      </c>
      <c r="X220" s="1" t="s">
        <v>74</v>
      </c>
      <c r="Y220" s="1" t="s">
        <v>358</v>
      </c>
      <c r="Z220" s="1" t="s">
        <v>80</v>
      </c>
      <c r="AA220" s="1" t="s">
        <v>359</v>
      </c>
      <c r="AB220" s="1" t="s">
        <v>74</v>
      </c>
      <c r="AC220" s="1" t="s">
        <v>74</v>
      </c>
      <c r="AD220" s="1" t="s">
        <v>74</v>
      </c>
      <c r="AE220" s="11">
        <v>45966</v>
      </c>
      <c r="AF220" s="11"/>
      <c r="AG220" s="1" t="s">
        <v>74</v>
      </c>
      <c r="AJ220" cm="1">
        <f t="array" ref="AJ220:AK220">_xlfn.XLOOKUP(M220,'Customer Data Vlookup'!$L:$L,'Customer Data Vlookup'!$M:$N,,0)</f>
        <v>0</v>
      </c>
      <c r="AK220" s="47">
        <v>2793.2276000000002</v>
      </c>
      <c r="AL220" s="47">
        <f t="shared" si="32"/>
        <v>2793.2276000000002</v>
      </c>
      <c r="AM220" s="58">
        <f t="shared" si="33"/>
        <v>88.002399999999852</v>
      </c>
    </row>
    <row r="221" spans="1:39" x14ac:dyDescent="0.35">
      <c r="A221" s="1" t="s">
        <v>124</v>
      </c>
      <c r="B221" s="1" t="s">
        <v>67</v>
      </c>
      <c r="C221" s="1" t="s">
        <v>68</v>
      </c>
      <c r="D221" s="1" t="s">
        <v>69</v>
      </c>
      <c r="E221" s="1" t="s">
        <v>17</v>
      </c>
      <c r="F221" s="1" t="s">
        <v>75</v>
      </c>
      <c r="G221" s="11">
        <v>45966</v>
      </c>
      <c r="H221" s="25">
        <v>1800014537</v>
      </c>
      <c r="I221" s="1" t="s">
        <v>9</v>
      </c>
      <c r="J221" s="11">
        <v>45966</v>
      </c>
      <c r="K221" s="11">
        <v>45967</v>
      </c>
      <c r="L221" s="1" t="s">
        <v>71</v>
      </c>
      <c r="M221" s="35">
        <v>256779418869</v>
      </c>
      <c r="N221" s="1" t="s">
        <v>72</v>
      </c>
      <c r="O221" s="1" t="s">
        <v>73</v>
      </c>
      <c r="P221" s="1" t="s">
        <v>74</v>
      </c>
      <c r="Q221" s="1" t="s">
        <v>83</v>
      </c>
      <c r="R221" s="1" t="s">
        <v>76</v>
      </c>
      <c r="S221" s="12">
        <v>6685.47</v>
      </c>
      <c r="T221" s="1" t="s">
        <v>77</v>
      </c>
      <c r="U221" s="12">
        <v>588344.02</v>
      </c>
      <c r="V221" s="1" t="s">
        <v>78</v>
      </c>
      <c r="W221" s="1" t="s">
        <v>79</v>
      </c>
      <c r="X221" s="1" t="s">
        <v>74</v>
      </c>
      <c r="Y221" s="1" t="s">
        <v>360</v>
      </c>
      <c r="Z221" s="1" t="s">
        <v>80</v>
      </c>
      <c r="AA221" s="1" t="s">
        <v>361</v>
      </c>
      <c r="AB221" s="1" t="s">
        <v>74</v>
      </c>
      <c r="AC221" s="1" t="s">
        <v>74</v>
      </c>
      <c r="AD221" s="1" t="s">
        <v>74</v>
      </c>
      <c r="AE221" s="11">
        <v>45966</v>
      </c>
      <c r="AF221" s="11"/>
      <c r="AG221" s="1" t="s">
        <v>74</v>
      </c>
      <c r="AJ221" cm="1">
        <f t="array" ref="AJ221:AK221">_xlfn.XLOOKUP(M221,'Customer Data Vlookup'!$L:$L,'Customer Data Vlookup'!$M:$N,,0)</f>
        <v>0</v>
      </c>
      <c r="AK221" s="47">
        <v>529469.75580000004</v>
      </c>
      <c r="AL221" s="47">
        <f t="shared" si="32"/>
        <v>529469.75580000004</v>
      </c>
      <c r="AM221" s="58">
        <f t="shared" si="33"/>
        <v>58874.264199999976</v>
      </c>
    </row>
    <row r="222" spans="1:39" x14ac:dyDescent="0.35">
      <c r="A222" s="1" t="s">
        <v>124</v>
      </c>
      <c r="B222" s="1" t="s">
        <v>67</v>
      </c>
      <c r="C222" s="1" t="s">
        <v>68</v>
      </c>
      <c r="D222" s="1" t="s">
        <v>69</v>
      </c>
      <c r="E222" s="1" t="s">
        <v>17</v>
      </c>
      <c r="F222" s="1" t="s">
        <v>75</v>
      </c>
      <c r="G222" s="11">
        <v>45966</v>
      </c>
      <c r="H222" s="25">
        <v>1800014590</v>
      </c>
      <c r="I222" s="1" t="s">
        <v>9</v>
      </c>
      <c r="J222" s="11">
        <v>45966</v>
      </c>
      <c r="K222" s="11">
        <v>45967</v>
      </c>
      <c r="L222" s="1" t="s">
        <v>71</v>
      </c>
      <c r="M222" s="35">
        <v>256779418897</v>
      </c>
      <c r="N222" s="1" t="s">
        <v>72</v>
      </c>
      <c r="O222" s="1" t="s">
        <v>73</v>
      </c>
      <c r="P222" s="1" t="s">
        <v>74</v>
      </c>
      <c r="Q222" s="1" t="s">
        <v>83</v>
      </c>
      <c r="R222" s="1" t="s">
        <v>76</v>
      </c>
      <c r="S222" s="12">
        <v>108.45</v>
      </c>
      <c r="T222" s="1" t="s">
        <v>77</v>
      </c>
      <c r="U222" s="12">
        <v>9543.9699999999993</v>
      </c>
      <c r="V222" s="1" t="s">
        <v>78</v>
      </c>
      <c r="W222" s="1" t="s">
        <v>79</v>
      </c>
      <c r="X222" s="1" t="s">
        <v>74</v>
      </c>
      <c r="Y222" s="1" t="s">
        <v>362</v>
      </c>
      <c r="Z222" s="1" t="s">
        <v>80</v>
      </c>
      <c r="AA222" s="1" t="s">
        <v>363</v>
      </c>
      <c r="AB222" s="1" t="s">
        <v>74</v>
      </c>
      <c r="AC222" s="1" t="s">
        <v>74</v>
      </c>
      <c r="AD222" s="1" t="s">
        <v>74</v>
      </c>
      <c r="AE222" s="11">
        <v>45966</v>
      </c>
      <c r="AF222" s="11"/>
      <c r="AG222" s="1" t="s">
        <v>74</v>
      </c>
      <c r="AJ222" cm="1">
        <f t="array" ref="AJ222:AK222">_xlfn.XLOOKUP(M222,'Customer Data Vlookup'!$L:$L,'Customer Data Vlookup'!$M:$N,,0)</f>
        <v>0</v>
      </c>
      <c r="AK222" s="47">
        <v>9367.9609</v>
      </c>
      <c r="AL222" s="47">
        <f t="shared" si="32"/>
        <v>9367.9609</v>
      </c>
      <c r="AM222" s="58">
        <f t="shared" si="33"/>
        <v>176.00909999999931</v>
      </c>
    </row>
    <row r="223" spans="1:39" x14ac:dyDescent="0.35">
      <c r="A223" s="1" t="s">
        <v>124</v>
      </c>
      <c r="B223" s="1" t="s">
        <v>67</v>
      </c>
      <c r="C223" s="1" t="s">
        <v>68</v>
      </c>
      <c r="D223" s="1" t="s">
        <v>69</v>
      </c>
      <c r="E223" s="1" t="s">
        <v>17</v>
      </c>
      <c r="F223" s="1" t="s">
        <v>75</v>
      </c>
      <c r="G223" s="11">
        <v>45966</v>
      </c>
      <c r="H223" s="25">
        <v>1800014641</v>
      </c>
      <c r="I223" s="1" t="s">
        <v>9</v>
      </c>
      <c r="J223" s="11">
        <v>45966</v>
      </c>
      <c r="K223" s="11">
        <v>45967</v>
      </c>
      <c r="L223" s="1" t="s">
        <v>71</v>
      </c>
      <c r="M223" s="35">
        <v>256779418906</v>
      </c>
      <c r="N223" s="1" t="s">
        <v>72</v>
      </c>
      <c r="O223" s="1" t="s">
        <v>73</v>
      </c>
      <c r="P223" s="1" t="s">
        <v>74</v>
      </c>
      <c r="Q223" s="1" t="s">
        <v>83</v>
      </c>
      <c r="R223" s="1" t="s">
        <v>76</v>
      </c>
      <c r="S223" s="12">
        <v>35.25</v>
      </c>
      <c r="T223" s="1" t="s">
        <v>77</v>
      </c>
      <c r="U223" s="12">
        <v>3102.12</v>
      </c>
      <c r="V223" s="1" t="s">
        <v>78</v>
      </c>
      <c r="W223" s="1" t="s">
        <v>79</v>
      </c>
      <c r="X223" s="1" t="s">
        <v>74</v>
      </c>
      <c r="Y223" s="1" t="s">
        <v>364</v>
      </c>
      <c r="Z223" s="1" t="s">
        <v>80</v>
      </c>
      <c r="AA223" s="1" t="s">
        <v>365</v>
      </c>
      <c r="AB223" s="1" t="s">
        <v>74</v>
      </c>
      <c r="AC223" s="1" t="s">
        <v>74</v>
      </c>
      <c r="AD223" s="1" t="s">
        <v>74</v>
      </c>
      <c r="AE223" s="11">
        <v>45966</v>
      </c>
      <c r="AF223" s="11"/>
      <c r="AG223" s="1" t="s">
        <v>74</v>
      </c>
      <c r="AJ223" cm="1">
        <f t="array" ref="AJ223:AK223">_xlfn.XLOOKUP(M223,'Customer Data Vlookup'!$L:$L,'Customer Data Vlookup'!$M:$N,,0)</f>
        <v>0</v>
      </c>
      <c r="AK223" s="47">
        <v>3014.1161000000002</v>
      </c>
      <c r="AL223" s="47">
        <f t="shared" si="32"/>
        <v>3014.1161000000002</v>
      </c>
      <c r="AM223" s="58">
        <f t="shared" si="33"/>
        <v>88.003899999999703</v>
      </c>
    </row>
    <row r="224" spans="1:39" x14ac:dyDescent="0.35">
      <c r="A224" s="1" t="s">
        <v>124</v>
      </c>
      <c r="B224" s="1" t="s">
        <v>67</v>
      </c>
      <c r="C224" s="1" t="s">
        <v>68</v>
      </c>
      <c r="D224" s="1" t="s">
        <v>69</v>
      </c>
      <c r="E224" s="1" t="s">
        <v>17</v>
      </c>
      <c r="F224" s="1" t="s">
        <v>75</v>
      </c>
      <c r="G224" s="11">
        <v>45966</v>
      </c>
      <c r="H224" s="25">
        <v>1800014455</v>
      </c>
      <c r="I224" s="1" t="s">
        <v>9</v>
      </c>
      <c r="J224" s="11">
        <v>45966</v>
      </c>
      <c r="K224" s="11">
        <v>45967</v>
      </c>
      <c r="L224" s="1" t="s">
        <v>71</v>
      </c>
      <c r="M224" s="35">
        <v>256779419069</v>
      </c>
      <c r="N224" s="1" t="s">
        <v>72</v>
      </c>
      <c r="O224" s="1" t="s">
        <v>73</v>
      </c>
      <c r="P224" s="1" t="s">
        <v>74</v>
      </c>
      <c r="Q224" s="1" t="s">
        <v>83</v>
      </c>
      <c r="R224" s="1" t="s">
        <v>76</v>
      </c>
      <c r="S224" s="12">
        <v>337.59</v>
      </c>
      <c r="T224" s="1" t="s">
        <v>77</v>
      </c>
      <c r="U224" s="12">
        <v>29709.06</v>
      </c>
      <c r="V224" s="1" t="s">
        <v>78</v>
      </c>
      <c r="W224" s="1" t="s">
        <v>79</v>
      </c>
      <c r="X224" s="1" t="s">
        <v>74</v>
      </c>
      <c r="Y224" s="1" t="s">
        <v>366</v>
      </c>
      <c r="Z224" s="1" t="s">
        <v>80</v>
      </c>
      <c r="AA224" s="1" t="s">
        <v>367</v>
      </c>
      <c r="AB224" s="1" t="s">
        <v>74</v>
      </c>
      <c r="AC224" s="1" t="s">
        <v>74</v>
      </c>
      <c r="AD224" s="1" t="s">
        <v>74</v>
      </c>
      <c r="AE224" s="11">
        <v>45966</v>
      </c>
      <c r="AF224" s="11"/>
      <c r="AG224" s="1" t="s">
        <v>74</v>
      </c>
      <c r="AJ224" cm="1">
        <f t="array" ref="AJ224:AK224">_xlfn.XLOOKUP(M224,'Customer Data Vlookup'!$L:$L,'Customer Data Vlookup'!$M:$N,,0)</f>
        <v>0</v>
      </c>
      <c r="AK224" s="47">
        <v>26716.949199999999</v>
      </c>
      <c r="AL224" s="47">
        <f t="shared" si="32"/>
        <v>26716.949199999999</v>
      </c>
      <c r="AM224" s="58">
        <f t="shared" si="33"/>
        <v>2992.1108000000022</v>
      </c>
    </row>
    <row r="225" spans="1:39" x14ac:dyDescent="0.35">
      <c r="A225" s="1" t="s">
        <v>124</v>
      </c>
      <c r="B225" s="1" t="s">
        <v>67</v>
      </c>
      <c r="C225" s="1" t="s">
        <v>68</v>
      </c>
      <c r="D225" s="1" t="s">
        <v>69</v>
      </c>
      <c r="E225" s="1" t="s">
        <v>17</v>
      </c>
      <c r="F225" s="1" t="s">
        <v>75</v>
      </c>
      <c r="G225" s="11">
        <v>45966</v>
      </c>
      <c r="H225" s="25">
        <v>1800014633</v>
      </c>
      <c r="I225" s="1" t="s">
        <v>9</v>
      </c>
      <c r="J225" s="11">
        <v>45966</v>
      </c>
      <c r="K225" s="11">
        <v>45967</v>
      </c>
      <c r="L225" s="1" t="s">
        <v>71</v>
      </c>
      <c r="M225" s="35">
        <v>256779419076</v>
      </c>
      <c r="N225" s="1" t="s">
        <v>72</v>
      </c>
      <c r="O225" s="1" t="s">
        <v>73</v>
      </c>
      <c r="P225" s="1" t="s">
        <v>74</v>
      </c>
      <c r="Q225" s="1" t="s">
        <v>83</v>
      </c>
      <c r="R225" s="1" t="s">
        <v>76</v>
      </c>
      <c r="S225" s="12">
        <v>799</v>
      </c>
      <c r="T225" s="1" t="s">
        <v>77</v>
      </c>
      <c r="U225" s="12">
        <v>70314.710000000006</v>
      </c>
      <c r="V225" s="1" t="s">
        <v>78</v>
      </c>
      <c r="W225" s="1" t="s">
        <v>79</v>
      </c>
      <c r="X225" s="1" t="s">
        <v>74</v>
      </c>
      <c r="Y225" s="1" t="s">
        <v>368</v>
      </c>
      <c r="Z225" s="1" t="s">
        <v>80</v>
      </c>
      <c r="AA225" s="1" t="s">
        <v>369</v>
      </c>
      <c r="AB225" s="1" t="s">
        <v>74</v>
      </c>
      <c r="AC225" s="1" t="s">
        <v>74</v>
      </c>
      <c r="AD225" s="1" t="s">
        <v>74</v>
      </c>
      <c r="AE225" s="11">
        <v>45966</v>
      </c>
      <c r="AF225" s="11"/>
      <c r="AG225" s="1" t="s">
        <v>74</v>
      </c>
      <c r="AJ225" cm="1">
        <f t="array" ref="AJ225:AK225">_xlfn.XLOOKUP(M225,'Customer Data Vlookup'!$L:$L,'Customer Data Vlookup'!$M:$N,,0)</f>
        <v>0</v>
      </c>
      <c r="AK225" s="47">
        <v>63274.437400000003</v>
      </c>
      <c r="AL225" s="47">
        <f t="shared" si="32"/>
        <v>63274.437400000003</v>
      </c>
      <c r="AM225" s="58">
        <f t="shared" si="33"/>
        <v>7040.2726000000039</v>
      </c>
    </row>
    <row r="226" spans="1:39" x14ac:dyDescent="0.35">
      <c r="A226" s="1" t="s">
        <v>124</v>
      </c>
      <c r="B226" s="1" t="s">
        <v>67</v>
      </c>
      <c r="C226" s="1" t="s">
        <v>68</v>
      </c>
      <c r="D226" s="1" t="s">
        <v>69</v>
      </c>
      <c r="E226" s="1" t="s">
        <v>17</v>
      </c>
      <c r="F226" s="1" t="s">
        <v>75</v>
      </c>
      <c r="G226" s="11">
        <v>45966</v>
      </c>
      <c r="H226" s="25">
        <v>1800014523</v>
      </c>
      <c r="I226" s="1" t="s">
        <v>9</v>
      </c>
      <c r="J226" s="11">
        <v>45966</v>
      </c>
      <c r="K226" s="11">
        <v>45967</v>
      </c>
      <c r="L226" s="1" t="s">
        <v>71</v>
      </c>
      <c r="M226" s="35">
        <v>256779419172</v>
      </c>
      <c r="N226" s="1" t="s">
        <v>72</v>
      </c>
      <c r="O226" s="1" t="s">
        <v>73</v>
      </c>
      <c r="P226" s="1" t="s">
        <v>74</v>
      </c>
      <c r="Q226" s="1" t="s">
        <v>83</v>
      </c>
      <c r="R226" s="1" t="s">
        <v>76</v>
      </c>
      <c r="S226" s="12">
        <v>68.150000000000006</v>
      </c>
      <c r="T226" s="1" t="s">
        <v>77</v>
      </c>
      <c r="U226" s="12">
        <v>5997.43</v>
      </c>
      <c r="V226" s="1" t="s">
        <v>78</v>
      </c>
      <c r="W226" s="1" t="s">
        <v>79</v>
      </c>
      <c r="X226" s="1" t="s">
        <v>74</v>
      </c>
      <c r="Y226" s="1" t="s">
        <v>370</v>
      </c>
      <c r="Z226" s="1" t="s">
        <v>80</v>
      </c>
      <c r="AA226" s="1" t="s">
        <v>371</v>
      </c>
      <c r="AB226" s="1" t="s">
        <v>74</v>
      </c>
      <c r="AC226" s="1" t="s">
        <v>74</v>
      </c>
      <c r="AD226" s="1" t="s">
        <v>74</v>
      </c>
      <c r="AE226" s="11">
        <v>45966</v>
      </c>
      <c r="AF226" s="11"/>
      <c r="AG226" s="1" t="s">
        <v>74</v>
      </c>
      <c r="AJ226" cm="1">
        <f t="array" ref="AJ226:AK226">_xlfn.XLOOKUP(M226,'Customer Data Vlookup'!$L:$L,'Customer Data Vlookup'!$M:$N,,0)</f>
        <v>0</v>
      </c>
      <c r="AK226" s="47">
        <v>5909.4276</v>
      </c>
      <c r="AL226" s="47">
        <f t="shared" si="32"/>
        <v>5909.4276</v>
      </c>
      <c r="AM226" s="58">
        <f t="shared" si="33"/>
        <v>88.002400000000307</v>
      </c>
    </row>
    <row r="227" spans="1:39" hidden="1" x14ac:dyDescent="0.35">
      <c r="A227" s="1" t="s">
        <v>124</v>
      </c>
      <c r="B227" s="1" t="s">
        <v>67</v>
      </c>
      <c r="C227" s="1" t="s">
        <v>68</v>
      </c>
      <c r="D227" s="1" t="s">
        <v>69</v>
      </c>
      <c r="E227" s="1" t="s">
        <v>17</v>
      </c>
      <c r="F227" s="1" t="s">
        <v>75</v>
      </c>
      <c r="G227" s="11">
        <v>45966</v>
      </c>
      <c r="H227" s="25">
        <v>1800014729</v>
      </c>
      <c r="I227" s="1" t="s">
        <v>9</v>
      </c>
      <c r="J227" s="11">
        <v>45966</v>
      </c>
      <c r="K227" s="11">
        <v>45968</v>
      </c>
      <c r="L227" s="1" t="s">
        <v>372</v>
      </c>
      <c r="M227" s="35">
        <v>256779419230</v>
      </c>
      <c r="N227" s="1" t="s">
        <v>72</v>
      </c>
      <c r="O227" s="1" t="s">
        <v>73</v>
      </c>
      <c r="P227" s="1" t="s">
        <v>74</v>
      </c>
      <c r="Q227" s="1" t="s">
        <v>83</v>
      </c>
      <c r="R227" s="1" t="s">
        <v>76</v>
      </c>
      <c r="S227" s="12">
        <v>179.58</v>
      </c>
      <c r="T227" s="1" t="s">
        <v>77</v>
      </c>
      <c r="U227" s="12">
        <v>15803.65</v>
      </c>
      <c r="V227" s="1" t="s">
        <v>78</v>
      </c>
      <c r="W227" s="1" t="s">
        <v>79</v>
      </c>
      <c r="X227" s="1" t="s">
        <v>74</v>
      </c>
      <c r="Y227" s="1" t="s">
        <v>71</v>
      </c>
      <c r="Z227" s="1" t="s">
        <v>80</v>
      </c>
      <c r="AA227" s="1" t="s">
        <v>373</v>
      </c>
      <c r="AB227" s="1" t="s">
        <v>74</v>
      </c>
      <c r="AC227" s="1" t="s">
        <v>74</v>
      </c>
      <c r="AD227" s="1" t="s">
        <v>74</v>
      </c>
      <c r="AE227" s="11">
        <v>45966</v>
      </c>
      <c r="AF227" s="11"/>
      <c r="AG227" s="1" t="s">
        <v>74</v>
      </c>
      <c r="AJ227" t="e" cm="1">
        <f t="array" ref="AJ227">_xlfn.XLOOKUP(M227,'Customer Data Vlookup'!$L:$L,'Customer Data Vlookup'!$M:$N,,0)</f>
        <v>#N/A</v>
      </c>
    </row>
    <row r="228" spans="1:39" x14ac:dyDescent="0.35">
      <c r="A228" s="1" t="s">
        <v>124</v>
      </c>
      <c r="B228" s="1" t="s">
        <v>67</v>
      </c>
      <c r="C228" s="1" t="s">
        <v>68</v>
      </c>
      <c r="D228" s="1" t="s">
        <v>69</v>
      </c>
      <c r="E228" s="1" t="s">
        <v>17</v>
      </c>
      <c r="F228" s="1" t="s">
        <v>75</v>
      </c>
      <c r="G228" s="11">
        <v>45966</v>
      </c>
      <c r="H228" s="25">
        <v>1800014745</v>
      </c>
      <c r="I228" s="1" t="s">
        <v>9</v>
      </c>
      <c r="J228" s="11">
        <v>45966</v>
      </c>
      <c r="K228" s="11">
        <v>45968</v>
      </c>
      <c r="L228" s="1" t="s">
        <v>71</v>
      </c>
      <c r="M228" s="35">
        <v>256779419248</v>
      </c>
      <c r="N228" s="1" t="s">
        <v>72</v>
      </c>
      <c r="O228" s="1" t="s">
        <v>73</v>
      </c>
      <c r="P228" s="1" t="s">
        <v>74</v>
      </c>
      <c r="Q228" s="1" t="s">
        <v>83</v>
      </c>
      <c r="R228" s="1" t="s">
        <v>76</v>
      </c>
      <c r="S228" s="12">
        <v>11.27</v>
      </c>
      <c r="T228" s="1" t="s">
        <v>77</v>
      </c>
      <c r="U228" s="12">
        <v>991.8</v>
      </c>
      <c r="V228" s="1" t="s">
        <v>78</v>
      </c>
      <c r="W228" s="1" t="s">
        <v>79</v>
      </c>
      <c r="X228" s="1" t="s">
        <v>74</v>
      </c>
      <c r="Y228" s="1" t="s">
        <v>374</v>
      </c>
      <c r="Z228" s="1" t="s">
        <v>80</v>
      </c>
      <c r="AA228" s="1" t="s">
        <v>375</v>
      </c>
      <c r="AB228" s="1" t="s">
        <v>74</v>
      </c>
      <c r="AC228" s="1" t="s">
        <v>74</v>
      </c>
      <c r="AD228" s="1" t="s">
        <v>74</v>
      </c>
      <c r="AE228" s="11">
        <v>45966</v>
      </c>
      <c r="AF228" s="11"/>
      <c r="AG228" s="1" t="s">
        <v>74</v>
      </c>
      <c r="AJ228" cm="1">
        <f t="array" ref="AJ228:AK228">_xlfn.XLOOKUP(M228,'Customer Data Vlookup'!$L:$L,'Customer Data Vlookup'!$M:$N,,0)</f>
        <v>0</v>
      </c>
      <c r="AK228" s="47">
        <v>991.79819999999995</v>
      </c>
      <c r="AL228" s="47">
        <f t="shared" ref="AL228:AL233" si="34">AK228-AJ228</f>
        <v>991.79819999999995</v>
      </c>
      <c r="AM228" s="58">
        <f t="shared" ref="AM228:AM233" si="35">U228-AL228</f>
        <v>1.8000000000029104E-3</v>
      </c>
    </row>
    <row r="229" spans="1:39" x14ac:dyDescent="0.35">
      <c r="A229" s="1" t="s">
        <v>124</v>
      </c>
      <c r="B229" s="1" t="s">
        <v>67</v>
      </c>
      <c r="C229" s="1" t="s">
        <v>68</v>
      </c>
      <c r="D229" s="1" t="s">
        <v>69</v>
      </c>
      <c r="E229" s="1" t="s">
        <v>17</v>
      </c>
      <c r="F229" s="1" t="s">
        <v>316</v>
      </c>
      <c r="G229" s="11">
        <v>45877</v>
      </c>
      <c r="H229" s="25">
        <v>1800011658</v>
      </c>
      <c r="I229" s="1" t="s">
        <v>9</v>
      </c>
      <c r="J229" s="11">
        <v>45877</v>
      </c>
      <c r="K229" s="11">
        <v>45877</v>
      </c>
      <c r="L229" s="1" t="s">
        <v>71</v>
      </c>
      <c r="M229" s="35">
        <v>256779416088</v>
      </c>
      <c r="N229" s="1" t="s">
        <v>72</v>
      </c>
      <c r="O229" s="1" t="s">
        <v>73</v>
      </c>
      <c r="P229" s="1" t="s">
        <v>74</v>
      </c>
      <c r="Q229" s="1" t="s">
        <v>83</v>
      </c>
      <c r="R229" s="1" t="s">
        <v>76</v>
      </c>
      <c r="S229" s="12">
        <v>5977.6</v>
      </c>
      <c r="T229" s="1" t="s">
        <v>77</v>
      </c>
      <c r="U229" s="12">
        <v>514253.65</v>
      </c>
      <c r="V229" s="1" t="s">
        <v>78</v>
      </c>
      <c r="W229" s="1" t="s">
        <v>79</v>
      </c>
      <c r="X229" s="1" t="s">
        <v>74</v>
      </c>
      <c r="Y229" s="1" t="s">
        <v>71</v>
      </c>
      <c r="Z229" s="1" t="s">
        <v>80</v>
      </c>
      <c r="AA229" s="1" t="s">
        <v>376</v>
      </c>
      <c r="AB229" s="1" t="s">
        <v>74</v>
      </c>
      <c r="AC229" s="1" t="s">
        <v>74</v>
      </c>
      <c r="AD229" s="1" t="s">
        <v>74</v>
      </c>
      <c r="AE229" s="11">
        <v>45877</v>
      </c>
      <c r="AF229" s="11"/>
      <c r="AG229" s="1" t="s">
        <v>74</v>
      </c>
      <c r="AJ229" cm="1">
        <f t="array" ref="AJ229:AK229">_xlfn.XLOOKUP(M229,'Customer Data Vlookup'!$L:$L,'Customer Data Vlookup'!$M:$N,,0)</f>
        <v>0</v>
      </c>
      <c r="AK229" s="47">
        <v>462828</v>
      </c>
      <c r="AL229" s="47">
        <f t="shared" si="34"/>
        <v>462828</v>
      </c>
      <c r="AM229" s="58">
        <f t="shared" si="35"/>
        <v>51425.650000000023</v>
      </c>
    </row>
    <row r="230" spans="1:39" x14ac:dyDescent="0.35">
      <c r="A230" s="1" t="s">
        <v>124</v>
      </c>
      <c r="B230" s="1" t="s">
        <v>67</v>
      </c>
      <c r="C230" s="1" t="s">
        <v>68</v>
      </c>
      <c r="D230" s="1" t="s">
        <v>69</v>
      </c>
      <c r="E230" s="1" t="s">
        <v>17</v>
      </c>
      <c r="F230" s="1" t="s">
        <v>316</v>
      </c>
      <c r="G230" s="11">
        <v>45877</v>
      </c>
      <c r="H230" s="25">
        <v>1800011787</v>
      </c>
      <c r="I230" s="1" t="s">
        <v>9</v>
      </c>
      <c r="J230" s="11">
        <v>45877</v>
      </c>
      <c r="K230" s="11">
        <v>45877</v>
      </c>
      <c r="L230" s="1" t="s">
        <v>71</v>
      </c>
      <c r="M230" s="35">
        <v>256779416178</v>
      </c>
      <c r="N230" s="1" t="s">
        <v>72</v>
      </c>
      <c r="O230" s="1" t="s">
        <v>73</v>
      </c>
      <c r="P230" s="1" t="s">
        <v>74</v>
      </c>
      <c r="Q230" s="1" t="s">
        <v>83</v>
      </c>
      <c r="R230" s="1" t="s">
        <v>76</v>
      </c>
      <c r="S230" s="12">
        <v>782.3</v>
      </c>
      <c r="T230" s="1" t="s">
        <v>77</v>
      </c>
      <c r="U230" s="12">
        <v>67301.36</v>
      </c>
      <c r="V230" s="1" t="s">
        <v>78</v>
      </c>
      <c r="W230" s="1" t="s">
        <v>79</v>
      </c>
      <c r="X230" s="1" t="s">
        <v>74</v>
      </c>
      <c r="Y230" s="1" t="s">
        <v>71</v>
      </c>
      <c r="Z230" s="1" t="s">
        <v>80</v>
      </c>
      <c r="AA230" s="1" t="s">
        <v>377</v>
      </c>
      <c r="AB230" s="1" t="s">
        <v>74</v>
      </c>
      <c r="AC230" s="1" t="s">
        <v>74</v>
      </c>
      <c r="AD230" s="1" t="s">
        <v>74</v>
      </c>
      <c r="AE230" s="11">
        <v>45877</v>
      </c>
      <c r="AF230" s="11"/>
      <c r="AG230" s="1" t="s">
        <v>74</v>
      </c>
      <c r="AJ230" cm="1">
        <f t="array" ref="AJ230:AK230">_xlfn.XLOOKUP(M230,'Customer Data Vlookup'!$L:$L,'Customer Data Vlookup'!$M:$N,,0)</f>
        <v>1351</v>
      </c>
      <c r="AK230" s="47">
        <v>67557</v>
      </c>
      <c r="AL230" s="47">
        <f t="shared" si="34"/>
        <v>66206</v>
      </c>
      <c r="AM230" s="58">
        <f t="shared" si="35"/>
        <v>1095.3600000000006</v>
      </c>
    </row>
    <row r="231" spans="1:39" x14ac:dyDescent="0.35">
      <c r="A231" s="1" t="s">
        <v>124</v>
      </c>
      <c r="B231" s="1" t="s">
        <v>67</v>
      </c>
      <c r="C231" s="1" t="s">
        <v>68</v>
      </c>
      <c r="D231" s="1" t="s">
        <v>69</v>
      </c>
      <c r="E231" s="1" t="s">
        <v>17</v>
      </c>
      <c r="F231" s="1" t="s">
        <v>316</v>
      </c>
      <c r="G231" s="11">
        <v>45877</v>
      </c>
      <c r="H231" s="25">
        <v>1800011705</v>
      </c>
      <c r="I231" s="1" t="s">
        <v>9</v>
      </c>
      <c r="J231" s="11">
        <v>45877</v>
      </c>
      <c r="K231" s="11">
        <v>45877</v>
      </c>
      <c r="L231" s="1" t="s">
        <v>71</v>
      </c>
      <c r="M231" s="35">
        <v>256779416223</v>
      </c>
      <c r="N231" s="1" t="s">
        <v>72</v>
      </c>
      <c r="O231" s="1" t="s">
        <v>73</v>
      </c>
      <c r="P231" s="1" t="s">
        <v>74</v>
      </c>
      <c r="Q231" s="1" t="s">
        <v>83</v>
      </c>
      <c r="R231" s="1" t="s">
        <v>76</v>
      </c>
      <c r="S231" s="12">
        <v>108.22</v>
      </c>
      <c r="T231" s="1" t="s">
        <v>77</v>
      </c>
      <c r="U231" s="12">
        <v>9310.18</v>
      </c>
      <c r="V231" s="1" t="s">
        <v>78</v>
      </c>
      <c r="W231" s="1" t="s">
        <v>79</v>
      </c>
      <c r="X231" s="1" t="s">
        <v>74</v>
      </c>
      <c r="Y231" s="1" t="s">
        <v>71</v>
      </c>
      <c r="Z231" s="1" t="s">
        <v>80</v>
      </c>
      <c r="AA231" s="1" t="s">
        <v>378</v>
      </c>
      <c r="AB231" s="1" t="s">
        <v>74</v>
      </c>
      <c r="AC231" s="1" t="s">
        <v>74</v>
      </c>
      <c r="AD231" s="1" t="s">
        <v>74</v>
      </c>
      <c r="AE231" s="11">
        <v>45877</v>
      </c>
      <c r="AF231" s="11"/>
      <c r="AG231" s="1" t="s">
        <v>74</v>
      </c>
      <c r="AJ231" cm="1">
        <f t="array" ref="AJ231:AK231">_xlfn.XLOOKUP(M231,'Customer Data Vlookup'!$L:$L,'Customer Data Vlookup'!$M:$N,,0)</f>
        <v>0</v>
      </c>
      <c r="AK231" s="47">
        <v>9124</v>
      </c>
      <c r="AL231" s="47">
        <f t="shared" si="34"/>
        <v>9124</v>
      </c>
      <c r="AM231" s="58">
        <f t="shared" si="35"/>
        <v>186.18000000000029</v>
      </c>
    </row>
    <row r="232" spans="1:39" x14ac:dyDescent="0.35">
      <c r="A232" s="1" t="s">
        <v>124</v>
      </c>
      <c r="B232" s="1" t="s">
        <v>67</v>
      </c>
      <c r="C232" s="1" t="s">
        <v>68</v>
      </c>
      <c r="D232" s="1" t="s">
        <v>69</v>
      </c>
      <c r="E232" s="1" t="s">
        <v>17</v>
      </c>
      <c r="F232" s="1" t="s">
        <v>316</v>
      </c>
      <c r="G232" s="11">
        <v>45877</v>
      </c>
      <c r="H232" s="25">
        <v>1800011406</v>
      </c>
      <c r="I232" s="1" t="s">
        <v>9</v>
      </c>
      <c r="J232" s="11">
        <v>45877</v>
      </c>
      <c r="K232" s="11">
        <v>45877</v>
      </c>
      <c r="L232" s="1" t="s">
        <v>71</v>
      </c>
      <c r="M232" s="35">
        <v>256779416256</v>
      </c>
      <c r="N232" s="1" t="s">
        <v>72</v>
      </c>
      <c r="O232" s="1" t="s">
        <v>73</v>
      </c>
      <c r="P232" s="1" t="s">
        <v>74</v>
      </c>
      <c r="Q232" s="1" t="s">
        <v>83</v>
      </c>
      <c r="R232" s="1" t="s">
        <v>76</v>
      </c>
      <c r="S232" s="12">
        <v>56.4</v>
      </c>
      <c r="T232" s="1" t="s">
        <v>77</v>
      </c>
      <c r="U232" s="12">
        <v>4852.1000000000004</v>
      </c>
      <c r="V232" s="1" t="s">
        <v>78</v>
      </c>
      <c r="W232" s="1" t="s">
        <v>79</v>
      </c>
      <c r="X232" s="1" t="s">
        <v>74</v>
      </c>
      <c r="Y232" s="1" t="s">
        <v>71</v>
      </c>
      <c r="Z232" s="1" t="s">
        <v>80</v>
      </c>
      <c r="AA232" s="1" t="s">
        <v>379</v>
      </c>
      <c r="AB232" s="1" t="s">
        <v>74</v>
      </c>
      <c r="AC232" s="1" t="s">
        <v>74</v>
      </c>
      <c r="AD232" s="1" t="s">
        <v>74</v>
      </c>
      <c r="AE232" s="11">
        <v>45877</v>
      </c>
      <c r="AF232" s="11"/>
      <c r="AG232" s="1" t="s">
        <v>74</v>
      </c>
      <c r="AJ232" cm="1">
        <f t="array" ref="AJ232:AK232">_xlfn.XLOOKUP(M232,'Customer Data Vlookup'!$L:$L,'Customer Data Vlookup'!$M:$N,,0)</f>
        <v>0</v>
      </c>
      <c r="AK232" s="47">
        <v>4755</v>
      </c>
      <c r="AL232" s="47">
        <f t="shared" si="34"/>
        <v>4755</v>
      </c>
      <c r="AM232" s="58">
        <f t="shared" si="35"/>
        <v>97.100000000000364</v>
      </c>
    </row>
    <row r="233" spans="1:39" x14ac:dyDescent="0.35">
      <c r="A233" s="1" t="s">
        <v>124</v>
      </c>
      <c r="B233" s="1" t="s">
        <v>67</v>
      </c>
      <c r="C233" s="1" t="s">
        <v>68</v>
      </c>
      <c r="D233" s="1" t="s">
        <v>69</v>
      </c>
      <c r="E233" s="1" t="s">
        <v>17</v>
      </c>
      <c r="F233" s="1" t="s">
        <v>316</v>
      </c>
      <c r="G233" s="11">
        <v>45877</v>
      </c>
      <c r="H233" s="25">
        <v>1800011594</v>
      </c>
      <c r="I233" s="1" t="s">
        <v>9</v>
      </c>
      <c r="J233" s="11">
        <v>45877</v>
      </c>
      <c r="K233" s="11">
        <v>45877</v>
      </c>
      <c r="L233" s="1" t="s">
        <v>71</v>
      </c>
      <c r="M233" s="35">
        <v>256779416444</v>
      </c>
      <c r="N233" s="1" t="s">
        <v>72</v>
      </c>
      <c r="O233" s="1" t="s">
        <v>73</v>
      </c>
      <c r="P233" s="1" t="s">
        <v>74</v>
      </c>
      <c r="Q233" s="1" t="s">
        <v>83</v>
      </c>
      <c r="R233" s="1" t="s">
        <v>76</v>
      </c>
      <c r="S233" s="12">
        <v>109.64</v>
      </c>
      <c r="T233" s="1" t="s">
        <v>77</v>
      </c>
      <c r="U233" s="12">
        <v>9432.34</v>
      </c>
      <c r="V233" s="1" t="s">
        <v>78</v>
      </c>
      <c r="W233" s="1" t="s">
        <v>79</v>
      </c>
      <c r="X233" s="1" t="s">
        <v>74</v>
      </c>
      <c r="Y233" s="1" t="s">
        <v>71</v>
      </c>
      <c r="Z233" s="1" t="s">
        <v>80</v>
      </c>
      <c r="AA233" s="1" t="s">
        <v>380</v>
      </c>
      <c r="AB233" s="1" t="s">
        <v>74</v>
      </c>
      <c r="AC233" s="1" t="s">
        <v>74</v>
      </c>
      <c r="AD233" s="1" t="s">
        <v>74</v>
      </c>
      <c r="AE233" s="11">
        <v>45877</v>
      </c>
      <c r="AF233" s="11"/>
      <c r="AG233" s="1" t="s">
        <v>74</v>
      </c>
      <c r="AJ233" cm="1">
        <f t="array" ref="AJ233:AK233">_xlfn.XLOOKUP(M233,'Customer Data Vlookup'!$L:$L,'Customer Data Vlookup'!$M:$N,,0)</f>
        <v>0</v>
      </c>
      <c r="AK233" s="47">
        <v>9260.2821000000004</v>
      </c>
      <c r="AL233" s="47">
        <f t="shared" si="34"/>
        <v>9260.2821000000004</v>
      </c>
      <c r="AM233" s="58">
        <f t="shared" si="35"/>
        <v>172.05789999999979</v>
      </c>
    </row>
    <row r="234" spans="1:39" hidden="1" x14ac:dyDescent="0.35">
      <c r="A234" s="1" t="s">
        <v>124</v>
      </c>
      <c r="B234" s="1" t="s">
        <v>67</v>
      </c>
      <c r="C234" s="1" t="s">
        <v>68</v>
      </c>
      <c r="D234" s="1" t="s">
        <v>69</v>
      </c>
      <c r="E234" s="1" t="s">
        <v>17</v>
      </c>
      <c r="F234" s="1" t="s">
        <v>316</v>
      </c>
      <c r="G234" s="11">
        <v>45877</v>
      </c>
      <c r="H234" s="25">
        <v>1800011863</v>
      </c>
      <c r="I234" s="1" t="s">
        <v>9</v>
      </c>
      <c r="J234" s="11">
        <v>45877</v>
      </c>
      <c r="K234" s="11">
        <v>45877</v>
      </c>
      <c r="L234" s="1" t="s">
        <v>71</v>
      </c>
      <c r="M234" s="35">
        <v>256779416514</v>
      </c>
      <c r="N234" s="1" t="s">
        <v>72</v>
      </c>
      <c r="O234" s="1" t="s">
        <v>73</v>
      </c>
      <c r="P234" s="1" t="s">
        <v>74</v>
      </c>
      <c r="Q234" s="1" t="s">
        <v>83</v>
      </c>
      <c r="R234" s="1" t="s">
        <v>76</v>
      </c>
      <c r="S234" s="12">
        <v>1804.03</v>
      </c>
      <c r="T234" s="1" t="s">
        <v>77</v>
      </c>
      <c r="U234" s="12">
        <v>155200.92000000001</v>
      </c>
      <c r="V234" s="1" t="s">
        <v>78</v>
      </c>
      <c r="W234" s="1" t="s">
        <v>79</v>
      </c>
      <c r="X234" s="1" t="s">
        <v>74</v>
      </c>
      <c r="Y234" s="1" t="s">
        <v>71</v>
      </c>
      <c r="Z234" s="1" t="s">
        <v>80</v>
      </c>
      <c r="AA234" s="1" t="s">
        <v>381</v>
      </c>
      <c r="AB234" s="1" t="s">
        <v>74</v>
      </c>
      <c r="AC234" s="1" t="s">
        <v>74</v>
      </c>
      <c r="AD234" s="1" t="s">
        <v>74</v>
      </c>
      <c r="AE234" s="11">
        <v>45877</v>
      </c>
      <c r="AF234" s="11"/>
      <c r="AG234" s="1" t="s">
        <v>74</v>
      </c>
      <c r="AJ234" t="e" cm="1">
        <f t="array" ref="AJ234">_xlfn.XLOOKUP(M234,'Customer Data Vlookup'!$L:$L,'Customer Data Vlookup'!$M:$N,,0)</f>
        <v>#N/A</v>
      </c>
    </row>
    <row r="235" spans="1:39" x14ac:dyDescent="0.35">
      <c r="A235" s="1" t="s">
        <v>124</v>
      </c>
      <c r="B235" s="1" t="s">
        <v>67</v>
      </c>
      <c r="C235" s="1" t="s">
        <v>68</v>
      </c>
      <c r="D235" s="1" t="s">
        <v>69</v>
      </c>
      <c r="E235" s="1" t="s">
        <v>17</v>
      </c>
      <c r="F235" s="1" t="s">
        <v>316</v>
      </c>
      <c r="G235" s="11">
        <v>45877</v>
      </c>
      <c r="H235" s="25">
        <v>1800011887</v>
      </c>
      <c r="I235" s="1" t="s">
        <v>9</v>
      </c>
      <c r="J235" s="11">
        <v>45877</v>
      </c>
      <c r="K235" s="11">
        <v>45877</v>
      </c>
      <c r="L235" s="1" t="s">
        <v>71</v>
      </c>
      <c r="M235" s="35">
        <v>256779416538</v>
      </c>
      <c r="N235" s="1" t="s">
        <v>72</v>
      </c>
      <c r="O235" s="1" t="s">
        <v>73</v>
      </c>
      <c r="P235" s="1" t="s">
        <v>74</v>
      </c>
      <c r="Q235" s="1" t="s">
        <v>83</v>
      </c>
      <c r="R235" s="1" t="s">
        <v>76</v>
      </c>
      <c r="S235" s="12">
        <v>353.44</v>
      </c>
      <c r="T235" s="1" t="s">
        <v>77</v>
      </c>
      <c r="U235" s="12">
        <v>30406.49</v>
      </c>
      <c r="V235" s="1" t="s">
        <v>78</v>
      </c>
      <c r="W235" s="1" t="s">
        <v>79</v>
      </c>
      <c r="X235" s="1" t="s">
        <v>74</v>
      </c>
      <c r="Y235" s="1" t="s">
        <v>71</v>
      </c>
      <c r="Z235" s="1" t="s">
        <v>80</v>
      </c>
      <c r="AA235" s="1" t="s">
        <v>382</v>
      </c>
      <c r="AB235" s="1" t="s">
        <v>74</v>
      </c>
      <c r="AC235" s="1" t="s">
        <v>74</v>
      </c>
      <c r="AD235" s="1" t="s">
        <v>74</v>
      </c>
      <c r="AE235" s="11">
        <v>45877</v>
      </c>
      <c r="AF235" s="11"/>
      <c r="AG235" s="1" t="s">
        <v>74</v>
      </c>
      <c r="AJ235" cm="1">
        <f t="array" ref="AJ235:AK235">_xlfn.XLOOKUP(M235,'Customer Data Vlookup'!$L:$L,'Customer Data Vlookup'!$M:$N,,0)</f>
        <v>0</v>
      </c>
      <c r="AK235" s="47">
        <v>27395.431400000001</v>
      </c>
      <c r="AL235" s="47">
        <f t="shared" ref="AL235:AL237" si="36">AK235-AJ235</f>
        <v>27395.431400000001</v>
      </c>
      <c r="AM235" s="58">
        <f t="shared" ref="AM235:AM237" si="37">U235-AL235</f>
        <v>3011.0586000000003</v>
      </c>
    </row>
    <row r="236" spans="1:39" x14ac:dyDescent="0.35">
      <c r="A236" s="1" t="s">
        <v>124</v>
      </c>
      <c r="B236" s="1" t="s">
        <v>67</v>
      </c>
      <c r="C236" s="1" t="s">
        <v>68</v>
      </c>
      <c r="D236" s="1" t="s">
        <v>69</v>
      </c>
      <c r="E236" s="1" t="s">
        <v>17</v>
      </c>
      <c r="F236" s="1" t="s">
        <v>162</v>
      </c>
      <c r="G236" s="11">
        <v>45812</v>
      </c>
      <c r="H236" s="25">
        <v>1800009394</v>
      </c>
      <c r="I236" s="1" t="s">
        <v>9</v>
      </c>
      <c r="J236" s="11">
        <v>45812</v>
      </c>
      <c r="K236" s="11">
        <v>45817</v>
      </c>
      <c r="L236" s="1" t="s">
        <v>71</v>
      </c>
      <c r="M236" s="35">
        <v>256779414158</v>
      </c>
      <c r="N236" s="1" t="s">
        <v>72</v>
      </c>
      <c r="O236" s="1" t="s">
        <v>73</v>
      </c>
      <c r="P236" s="1" t="s">
        <v>74</v>
      </c>
      <c r="Q236" s="1" t="s">
        <v>83</v>
      </c>
      <c r="R236" s="1" t="s">
        <v>76</v>
      </c>
      <c r="S236" s="12">
        <v>498.55</v>
      </c>
      <c r="T236" s="1" t="s">
        <v>77</v>
      </c>
      <c r="U236" s="12">
        <v>42621.43</v>
      </c>
      <c r="V236" s="1" t="s">
        <v>78</v>
      </c>
      <c r="W236" s="1" t="s">
        <v>79</v>
      </c>
      <c r="X236" s="1" t="s">
        <v>74</v>
      </c>
      <c r="Y236" s="1" t="s">
        <v>71</v>
      </c>
      <c r="Z236" s="1" t="s">
        <v>80</v>
      </c>
      <c r="AA236" s="1" t="s">
        <v>383</v>
      </c>
      <c r="AB236" s="1" t="s">
        <v>74</v>
      </c>
      <c r="AC236" s="1" t="s">
        <v>74</v>
      </c>
      <c r="AD236" s="1" t="s">
        <v>74</v>
      </c>
      <c r="AE236" s="11">
        <v>45812</v>
      </c>
      <c r="AF236" s="11"/>
      <c r="AG236" s="1" t="s">
        <v>74</v>
      </c>
      <c r="AJ236" cm="1">
        <f t="array" ref="AJ236:AK236">_xlfn.XLOOKUP(M236,'Customer Data Vlookup'!$L:$L,'Customer Data Vlookup'!$M:$N,,0)</f>
        <v>0</v>
      </c>
      <c r="AK236" s="47">
        <v>41769</v>
      </c>
      <c r="AL236" s="47">
        <f t="shared" si="36"/>
        <v>41769</v>
      </c>
      <c r="AM236" s="58">
        <f t="shared" si="37"/>
        <v>852.43000000000029</v>
      </c>
    </row>
    <row r="237" spans="1:39" x14ac:dyDescent="0.35">
      <c r="A237" s="1" t="s">
        <v>124</v>
      </c>
      <c r="B237" s="1" t="s">
        <v>67</v>
      </c>
      <c r="C237" s="1" t="s">
        <v>68</v>
      </c>
      <c r="D237" s="1" t="s">
        <v>69</v>
      </c>
      <c r="E237" s="1" t="s">
        <v>17</v>
      </c>
      <c r="F237" s="1" t="s">
        <v>162</v>
      </c>
      <c r="G237" s="11">
        <v>45812</v>
      </c>
      <c r="H237" s="25">
        <v>1800009401</v>
      </c>
      <c r="I237" s="1" t="s">
        <v>9</v>
      </c>
      <c r="J237" s="11">
        <v>45812</v>
      </c>
      <c r="K237" s="11">
        <v>45817</v>
      </c>
      <c r="L237" s="1" t="s">
        <v>71</v>
      </c>
      <c r="M237" s="35">
        <v>256779414165</v>
      </c>
      <c r="N237" s="1" t="s">
        <v>72</v>
      </c>
      <c r="O237" s="1" t="s">
        <v>73</v>
      </c>
      <c r="P237" s="1" t="s">
        <v>74</v>
      </c>
      <c r="Q237" s="1" t="s">
        <v>83</v>
      </c>
      <c r="R237" s="1" t="s">
        <v>76</v>
      </c>
      <c r="S237" s="12">
        <v>117.5</v>
      </c>
      <c r="T237" s="1" t="s">
        <v>77</v>
      </c>
      <c r="U237" s="12">
        <v>10045.17</v>
      </c>
      <c r="V237" s="1" t="s">
        <v>78</v>
      </c>
      <c r="W237" s="1" t="s">
        <v>79</v>
      </c>
      <c r="X237" s="1" t="s">
        <v>74</v>
      </c>
      <c r="Y237" s="1" t="s">
        <v>71</v>
      </c>
      <c r="Z237" s="1" t="s">
        <v>80</v>
      </c>
      <c r="AA237" s="1" t="s">
        <v>384</v>
      </c>
      <c r="AB237" s="1" t="s">
        <v>74</v>
      </c>
      <c r="AC237" s="1" t="s">
        <v>74</v>
      </c>
      <c r="AD237" s="1" t="s">
        <v>74</v>
      </c>
      <c r="AE237" s="11">
        <v>45812</v>
      </c>
      <c r="AF237" s="11"/>
      <c r="AG237" s="1" t="s">
        <v>74</v>
      </c>
      <c r="AJ237" cm="1">
        <f t="array" ref="AJ237:AK237">_xlfn.XLOOKUP(M237,'Customer Data Vlookup'!$L:$L,'Customer Data Vlookup'!$M:$N,,0)</f>
        <v>0</v>
      </c>
      <c r="AK237" s="47">
        <v>9844</v>
      </c>
      <c r="AL237" s="47">
        <f t="shared" si="36"/>
        <v>9844</v>
      </c>
      <c r="AM237" s="58">
        <f t="shared" si="37"/>
        <v>201.17000000000007</v>
      </c>
    </row>
    <row r="238" spans="1:39" hidden="1" x14ac:dyDescent="0.35">
      <c r="A238" s="1" t="s">
        <v>124</v>
      </c>
      <c r="B238" s="1" t="s">
        <v>67</v>
      </c>
      <c r="C238" s="1" t="s">
        <v>68</v>
      </c>
      <c r="D238" s="1" t="s">
        <v>69</v>
      </c>
      <c r="E238" s="1" t="s">
        <v>17</v>
      </c>
      <c r="F238" s="1" t="s">
        <v>162</v>
      </c>
      <c r="G238" s="11">
        <v>45812</v>
      </c>
      <c r="H238" s="25">
        <v>1800009411</v>
      </c>
      <c r="I238" s="1" t="s">
        <v>9</v>
      </c>
      <c r="J238" s="11">
        <v>45812</v>
      </c>
      <c r="K238" s="11">
        <v>45817</v>
      </c>
      <c r="L238" s="1" t="s">
        <v>71</v>
      </c>
      <c r="M238" s="35">
        <v>256779414175</v>
      </c>
      <c r="N238" s="1" t="s">
        <v>72</v>
      </c>
      <c r="O238" s="1" t="s">
        <v>73</v>
      </c>
      <c r="P238" s="1" t="s">
        <v>74</v>
      </c>
      <c r="Q238" s="1" t="s">
        <v>83</v>
      </c>
      <c r="R238" s="1" t="s">
        <v>76</v>
      </c>
      <c r="S238" s="12">
        <v>472.4</v>
      </c>
      <c r="T238" s="1" t="s">
        <v>77</v>
      </c>
      <c r="U238" s="12">
        <v>40385.839999999997</v>
      </c>
      <c r="V238" s="1" t="s">
        <v>78</v>
      </c>
      <c r="W238" s="1" t="s">
        <v>79</v>
      </c>
      <c r="X238" s="1" t="s">
        <v>74</v>
      </c>
      <c r="Y238" s="1" t="s">
        <v>71</v>
      </c>
      <c r="Z238" s="1" t="s">
        <v>80</v>
      </c>
      <c r="AA238" s="1" t="s">
        <v>385</v>
      </c>
      <c r="AB238" s="1" t="s">
        <v>74</v>
      </c>
      <c r="AC238" s="1" t="s">
        <v>74</v>
      </c>
      <c r="AD238" s="1" t="s">
        <v>74</v>
      </c>
      <c r="AE238" s="11">
        <v>45812</v>
      </c>
      <c r="AF238" s="11"/>
      <c r="AG238" s="1" t="s">
        <v>74</v>
      </c>
      <c r="AJ238" t="e" cm="1">
        <f t="array" ref="AJ238">_xlfn.XLOOKUP(M238,'Customer Data Vlookup'!$L:$L,'Customer Data Vlookup'!$M:$N,,0)</f>
        <v>#N/A</v>
      </c>
    </row>
    <row r="239" spans="1:39" x14ac:dyDescent="0.35">
      <c r="A239" s="1" t="s">
        <v>124</v>
      </c>
      <c r="B239" s="1" t="s">
        <v>67</v>
      </c>
      <c r="C239" s="1" t="s">
        <v>68</v>
      </c>
      <c r="D239" s="1" t="s">
        <v>69</v>
      </c>
      <c r="E239" s="1" t="s">
        <v>17</v>
      </c>
      <c r="F239" s="1" t="s">
        <v>162</v>
      </c>
      <c r="G239" s="11">
        <v>45812</v>
      </c>
      <c r="H239" s="25">
        <v>1800009452</v>
      </c>
      <c r="I239" s="1" t="s">
        <v>9</v>
      </c>
      <c r="J239" s="11">
        <v>45812</v>
      </c>
      <c r="K239" s="11">
        <v>45817</v>
      </c>
      <c r="L239" s="1" t="s">
        <v>71</v>
      </c>
      <c r="M239" s="35">
        <v>256779414216</v>
      </c>
      <c r="N239" s="1" t="s">
        <v>72</v>
      </c>
      <c r="O239" s="1" t="s">
        <v>73</v>
      </c>
      <c r="P239" s="1" t="s">
        <v>74</v>
      </c>
      <c r="Q239" s="1" t="s">
        <v>83</v>
      </c>
      <c r="R239" s="1" t="s">
        <v>76</v>
      </c>
      <c r="S239" s="12">
        <v>100.35</v>
      </c>
      <c r="T239" s="1" t="s">
        <v>77</v>
      </c>
      <c r="U239" s="12">
        <v>8579</v>
      </c>
      <c r="V239" s="1" t="s">
        <v>78</v>
      </c>
      <c r="W239" s="1" t="s">
        <v>79</v>
      </c>
      <c r="X239" s="1" t="s">
        <v>74</v>
      </c>
      <c r="Y239" s="1" t="s">
        <v>71</v>
      </c>
      <c r="Z239" s="1" t="s">
        <v>80</v>
      </c>
      <c r="AA239" s="1" t="s">
        <v>386</v>
      </c>
      <c r="AB239" s="1" t="s">
        <v>74</v>
      </c>
      <c r="AC239" s="1" t="s">
        <v>74</v>
      </c>
      <c r="AD239" s="1" t="s">
        <v>74</v>
      </c>
      <c r="AE239" s="11">
        <v>45812</v>
      </c>
      <c r="AF239" s="11"/>
      <c r="AG239" s="1" t="s">
        <v>74</v>
      </c>
      <c r="AJ239" cm="1">
        <f t="array" ref="AJ239:AK239">_xlfn.XLOOKUP(M239,'Customer Data Vlookup'!$L:$L,'Customer Data Vlookup'!$M:$N,,0)</f>
        <v>0</v>
      </c>
      <c r="AK239" s="47">
        <v>8407</v>
      </c>
      <c r="AL239" s="47">
        <f t="shared" ref="AL239:AL240" si="38">AK239-AJ239</f>
        <v>8407</v>
      </c>
      <c r="AM239" s="58">
        <f t="shared" ref="AM239:AM240" si="39">U239-AL239</f>
        <v>172</v>
      </c>
    </row>
    <row r="240" spans="1:39" x14ac:dyDescent="0.35">
      <c r="A240" s="1" t="s">
        <v>66</v>
      </c>
      <c r="B240" s="1" t="s">
        <v>67</v>
      </c>
      <c r="C240" s="1" t="s">
        <v>68</v>
      </c>
      <c r="D240" s="1" t="s">
        <v>69</v>
      </c>
      <c r="E240" s="1" t="s">
        <v>17</v>
      </c>
      <c r="F240" s="1" t="s">
        <v>162</v>
      </c>
      <c r="G240" s="11">
        <v>45812</v>
      </c>
      <c r="H240" s="25">
        <v>1800009524</v>
      </c>
      <c r="I240" s="1" t="s">
        <v>9</v>
      </c>
      <c r="J240" s="11">
        <v>45812</v>
      </c>
      <c r="K240" s="11">
        <v>45817</v>
      </c>
      <c r="L240" s="1" t="s">
        <v>71</v>
      </c>
      <c r="M240" s="35">
        <v>256779414288</v>
      </c>
      <c r="N240" s="1" t="s">
        <v>72</v>
      </c>
      <c r="O240" s="1" t="s">
        <v>73</v>
      </c>
      <c r="P240" s="1" t="s">
        <v>74</v>
      </c>
      <c r="Q240" s="1" t="s">
        <v>83</v>
      </c>
      <c r="R240" s="1" t="s">
        <v>76</v>
      </c>
      <c r="S240" s="12">
        <v>190</v>
      </c>
      <c r="T240" s="1" t="s">
        <v>77</v>
      </c>
      <c r="U240" s="12">
        <v>16243.25</v>
      </c>
      <c r="V240" s="1" t="s">
        <v>78</v>
      </c>
      <c r="W240" s="1" t="s">
        <v>79</v>
      </c>
      <c r="X240" s="1" t="s">
        <v>74</v>
      </c>
      <c r="Y240" s="1" t="s">
        <v>71</v>
      </c>
      <c r="Z240" s="1" t="s">
        <v>80</v>
      </c>
      <c r="AA240" s="1" t="s">
        <v>387</v>
      </c>
      <c r="AB240" s="1" t="s">
        <v>74</v>
      </c>
      <c r="AC240" s="1" t="s">
        <v>74</v>
      </c>
      <c r="AD240" s="1" t="s">
        <v>74</v>
      </c>
      <c r="AE240" s="11">
        <v>45812</v>
      </c>
      <c r="AF240" s="11">
        <v>45976</v>
      </c>
      <c r="AG240" s="1" t="s">
        <v>101</v>
      </c>
      <c r="AJ240" cm="1">
        <f t="array" ref="AJ240:AK240">_xlfn.XLOOKUP(M240,'Customer Data Vlookup'!$L:$L,'Customer Data Vlookup'!$M:$N,,0)</f>
        <v>0</v>
      </c>
      <c r="AK240" s="47">
        <v>17313</v>
      </c>
      <c r="AL240" s="47">
        <f t="shared" si="38"/>
        <v>17313</v>
      </c>
      <c r="AM240" s="58">
        <f t="shared" si="39"/>
        <v>-1069.75</v>
      </c>
    </row>
    <row r="241" spans="1:39" hidden="1" x14ac:dyDescent="0.35">
      <c r="A241" s="1" t="s">
        <v>66</v>
      </c>
      <c r="B241" s="1" t="s">
        <v>67</v>
      </c>
      <c r="C241" s="1" t="s">
        <v>68</v>
      </c>
      <c r="D241" s="1" t="s">
        <v>69</v>
      </c>
      <c r="E241" s="1" t="s">
        <v>17</v>
      </c>
      <c r="F241" s="1" t="s">
        <v>125</v>
      </c>
      <c r="G241" s="11">
        <v>45791</v>
      </c>
      <c r="H241" s="25">
        <v>1600000595</v>
      </c>
      <c r="I241" s="1" t="s">
        <v>8</v>
      </c>
      <c r="J241" s="11">
        <v>45791</v>
      </c>
      <c r="K241" s="11">
        <v>45793</v>
      </c>
      <c r="L241" s="1" t="s">
        <v>71</v>
      </c>
      <c r="M241" s="35">
        <v>256779420304</v>
      </c>
      <c r="N241" s="1" t="s">
        <v>72</v>
      </c>
      <c r="O241" s="1" t="s">
        <v>73</v>
      </c>
      <c r="P241" s="1" t="s">
        <v>74</v>
      </c>
      <c r="Q241" s="1" t="s">
        <v>75</v>
      </c>
      <c r="R241" s="1" t="s">
        <v>76</v>
      </c>
      <c r="S241" s="12">
        <v>-14.31</v>
      </c>
      <c r="T241" s="1" t="s">
        <v>77</v>
      </c>
      <c r="U241" s="12">
        <v>-1240.55</v>
      </c>
      <c r="V241" s="1" t="s">
        <v>78</v>
      </c>
      <c r="W241" s="1" t="s">
        <v>79</v>
      </c>
      <c r="X241" s="1" t="s">
        <v>74</v>
      </c>
      <c r="Y241" s="1" t="s">
        <v>71</v>
      </c>
      <c r="Z241" s="1" t="s">
        <v>80</v>
      </c>
      <c r="AA241" s="1" t="s">
        <v>388</v>
      </c>
      <c r="AB241" s="1" t="s">
        <v>74</v>
      </c>
      <c r="AC241" s="1" t="s">
        <v>74</v>
      </c>
      <c r="AD241" s="1" t="s">
        <v>74</v>
      </c>
      <c r="AE241" s="11">
        <v>45791</v>
      </c>
      <c r="AF241" s="11">
        <v>45842</v>
      </c>
      <c r="AG241" s="1" t="s">
        <v>335</v>
      </c>
      <c r="AJ241" s="5" t="e" cm="1">
        <f t="array" ref="AJ241">_xlfn.XLOOKUP(M241,'Customer Data Vlookup'!$L:$L,'Customer Data Vlookup'!$M:$N,,0)</f>
        <v>#N/A</v>
      </c>
    </row>
    <row r="242" spans="1:39" hidden="1" x14ac:dyDescent="0.35">
      <c r="A242" s="1" t="s">
        <v>66</v>
      </c>
      <c r="B242" s="1" t="s">
        <v>67</v>
      </c>
      <c r="C242" s="1" t="s">
        <v>68</v>
      </c>
      <c r="D242" s="1" t="s">
        <v>69</v>
      </c>
      <c r="E242" s="1" t="s">
        <v>17</v>
      </c>
      <c r="F242" s="1" t="s">
        <v>125</v>
      </c>
      <c r="G242" s="11">
        <v>45791</v>
      </c>
      <c r="H242" s="25">
        <v>1600000715</v>
      </c>
      <c r="I242" s="1" t="s">
        <v>8</v>
      </c>
      <c r="J242" s="11">
        <v>45791</v>
      </c>
      <c r="K242" s="11">
        <v>45793</v>
      </c>
      <c r="L242" s="1" t="s">
        <v>71</v>
      </c>
      <c r="M242" s="35">
        <v>256779420424</v>
      </c>
      <c r="N242" s="1" t="s">
        <v>72</v>
      </c>
      <c r="O242" s="1" t="s">
        <v>73</v>
      </c>
      <c r="P242" s="1" t="s">
        <v>74</v>
      </c>
      <c r="Q242" s="1" t="s">
        <v>75</v>
      </c>
      <c r="R242" s="1" t="s">
        <v>76</v>
      </c>
      <c r="S242" s="12">
        <v>-456.75</v>
      </c>
      <c r="T242" s="1" t="s">
        <v>77</v>
      </c>
      <c r="U242" s="12">
        <v>-39701.54</v>
      </c>
      <c r="V242" s="1" t="s">
        <v>78</v>
      </c>
      <c r="W242" s="1" t="s">
        <v>79</v>
      </c>
      <c r="X242" s="1" t="s">
        <v>74</v>
      </c>
      <c r="Y242" s="1" t="s">
        <v>71</v>
      </c>
      <c r="Z242" s="1" t="s">
        <v>80</v>
      </c>
      <c r="AA242" s="1" t="s">
        <v>389</v>
      </c>
      <c r="AB242" s="1" t="s">
        <v>74</v>
      </c>
      <c r="AC242" s="1" t="s">
        <v>74</v>
      </c>
      <c r="AD242" s="1" t="s">
        <v>74</v>
      </c>
      <c r="AE242" s="11">
        <v>45791</v>
      </c>
      <c r="AF242" s="11">
        <v>45842</v>
      </c>
      <c r="AG242" s="1" t="s">
        <v>137</v>
      </c>
      <c r="AJ242" s="5" t="e" cm="1">
        <f t="array" ref="AJ242">_xlfn.XLOOKUP(M242,'Customer Data Vlookup'!$L:$L,'Customer Data Vlookup'!$M:$N,,0)</f>
        <v>#N/A</v>
      </c>
    </row>
    <row r="243" spans="1:39" hidden="1" x14ac:dyDescent="0.35">
      <c r="A243" s="1" t="s">
        <v>66</v>
      </c>
      <c r="B243" s="1" t="s">
        <v>67</v>
      </c>
      <c r="C243" s="1" t="s">
        <v>68</v>
      </c>
      <c r="D243" s="1" t="s">
        <v>69</v>
      </c>
      <c r="E243" s="1" t="s">
        <v>17</v>
      </c>
      <c r="F243" s="1" t="s">
        <v>125</v>
      </c>
      <c r="G243" s="11">
        <v>45791</v>
      </c>
      <c r="H243" s="25">
        <v>1600000802</v>
      </c>
      <c r="I243" s="1" t="s">
        <v>8</v>
      </c>
      <c r="J243" s="11">
        <v>45791</v>
      </c>
      <c r="K243" s="11">
        <v>45793</v>
      </c>
      <c r="L243" s="1" t="s">
        <v>71</v>
      </c>
      <c r="M243" s="35">
        <v>256779420511</v>
      </c>
      <c r="N243" s="1" t="s">
        <v>72</v>
      </c>
      <c r="O243" s="1" t="s">
        <v>73</v>
      </c>
      <c r="P243" s="1" t="s">
        <v>74</v>
      </c>
      <c r="Q243" s="1" t="s">
        <v>75</v>
      </c>
      <c r="R243" s="1" t="s">
        <v>76</v>
      </c>
      <c r="S243" s="12">
        <v>-456.75</v>
      </c>
      <c r="T243" s="1" t="s">
        <v>77</v>
      </c>
      <c r="U243" s="12">
        <v>-39701.54</v>
      </c>
      <c r="V243" s="1" t="s">
        <v>78</v>
      </c>
      <c r="W243" s="1" t="s">
        <v>79</v>
      </c>
      <c r="X243" s="1" t="s">
        <v>74</v>
      </c>
      <c r="Y243" s="1" t="s">
        <v>71</v>
      </c>
      <c r="Z243" s="1" t="s">
        <v>80</v>
      </c>
      <c r="AA243" s="1" t="s">
        <v>390</v>
      </c>
      <c r="AB243" s="1" t="s">
        <v>74</v>
      </c>
      <c r="AC243" s="1" t="s">
        <v>74</v>
      </c>
      <c r="AD243" s="1" t="s">
        <v>74</v>
      </c>
      <c r="AE243" s="11">
        <v>45791</v>
      </c>
      <c r="AF243" s="11">
        <v>45842</v>
      </c>
      <c r="AG243" s="1" t="s">
        <v>139</v>
      </c>
      <c r="AJ243" s="5" t="e" cm="1">
        <f t="array" ref="AJ243">_xlfn.XLOOKUP(M243,'Customer Data Vlookup'!$L:$L,'Customer Data Vlookup'!$M:$N,,0)</f>
        <v>#N/A</v>
      </c>
    </row>
    <row r="244" spans="1:39" x14ac:dyDescent="0.35">
      <c r="A244" s="1" t="s">
        <v>124</v>
      </c>
      <c r="B244" s="1" t="s">
        <v>67</v>
      </c>
      <c r="C244" s="1" t="s">
        <v>68</v>
      </c>
      <c r="D244" s="1" t="s">
        <v>69</v>
      </c>
      <c r="E244" s="1" t="s">
        <v>17</v>
      </c>
      <c r="F244" s="1" t="s">
        <v>125</v>
      </c>
      <c r="G244" s="11">
        <v>45793</v>
      </c>
      <c r="H244" s="25">
        <v>1800008593</v>
      </c>
      <c r="I244" s="1" t="s">
        <v>9</v>
      </c>
      <c r="J244" s="11">
        <v>45793</v>
      </c>
      <c r="K244" s="11">
        <v>45800</v>
      </c>
      <c r="L244" s="1" t="s">
        <v>71</v>
      </c>
      <c r="M244" s="35">
        <v>256779413357</v>
      </c>
      <c r="N244" s="1" t="s">
        <v>72</v>
      </c>
      <c r="O244" s="1" t="s">
        <v>73</v>
      </c>
      <c r="P244" s="1" t="s">
        <v>74</v>
      </c>
      <c r="Q244" s="1" t="s">
        <v>83</v>
      </c>
      <c r="R244" s="1" t="s">
        <v>76</v>
      </c>
      <c r="S244" s="12">
        <v>15</v>
      </c>
      <c r="T244" s="1" t="s">
        <v>77</v>
      </c>
      <c r="U244" s="12">
        <v>1289.76</v>
      </c>
      <c r="V244" s="1" t="s">
        <v>78</v>
      </c>
      <c r="W244" s="1" t="s">
        <v>79</v>
      </c>
      <c r="X244" s="1" t="s">
        <v>74</v>
      </c>
      <c r="Y244" s="1" t="s">
        <v>71</v>
      </c>
      <c r="Z244" s="1" t="s">
        <v>80</v>
      </c>
      <c r="AA244" s="1" t="s">
        <v>391</v>
      </c>
      <c r="AB244" s="1" t="s">
        <v>74</v>
      </c>
      <c r="AC244" s="1" t="s">
        <v>74</v>
      </c>
      <c r="AD244" s="1" t="s">
        <v>74</v>
      </c>
      <c r="AE244" s="11">
        <v>45793</v>
      </c>
      <c r="AF244" s="11"/>
      <c r="AG244" s="1" t="s">
        <v>74</v>
      </c>
      <c r="AJ244" cm="1">
        <f t="array" ref="AJ244:AK244">_xlfn.XLOOKUP(M244,'Customer Data Vlookup'!$L:$L,'Customer Data Vlookup'!$M:$N,,0)</f>
        <v>0</v>
      </c>
      <c r="AK244" s="47">
        <v>1264</v>
      </c>
      <c r="AL244" s="47">
        <f t="shared" ref="AL244:AL246" si="40">AK244-AJ244</f>
        <v>1264</v>
      </c>
      <c r="AM244" s="58">
        <f t="shared" ref="AM244:AM246" si="41">U244-AL244</f>
        <v>25.759999999999991</v>
      </c>
    </row>
    <row r="245" spans="1:39" x14ac:dyDescent="0.35">
      <c r="A245" s="1" t="s">
        <v>66</v>
      </c>
      <c r="B245" s="1" t="s">
        <v>67</v>
      </c>
      <c r="C245" s="1" t="s">
        <v>68</v>
      </c>
      <c r="D245" s="1" t="s">
        <v>69</v>
      </c>
      <c r="E245" s="1" t="s">
        <v>17</v>
      </c>
      <c r="F245" s="1" t="s">
        <v>125</v>
      </c>
      <c r="G245" s="11">
        <v>45793</v>
      </c>
      <c r="H245" s="25">
        <v>1800008519</v>
      </c>
      <c r="I245" s="1" t="s">
        <v>9</v>
      </c>
      <c r="J245" s="11">
        <v>45793</v>
      </c>
      <c r="K245" s="11">
        <v>45800</v>
      </c>
      <c r="L245" s="1" t="s">
        <v>71</v>
      </c>
      <c r="M245" s="35">
        <v>256779413283</v>
      </c>
      <c r="N245" s="1" t="s">
        <v>72</v>
      </c>
      <c r="O245" s="1" t="s">
        <v>73</v>
      </c>
      <c r="P245" s="1" t="s">
        <v>74</v>
      </c>
      <c r="Q245" s="1" t="s">
        <v>83</v>
      </c>
      <c r="R245" s="1" t="s">
        <v>76</v>
      </c>
      <c r="S245" s="12">
        <v>140</v>
      </c>
      <c r="T245" s="1" t="s">
        <v>77</v>
      </c>
      <c r="U245" s="12">
        <v>12037.72</v>
      </c>
      <c r="V245" s="1" t="s">
        <v>78</v>
      </c>
      <c r="W245" s="1" t="s">
        <v>79</v>
      </c>
      <c r="X245" s="1" t="s">
        <v>74</v>
      </c>
      <c r="Y245" s="1" t="s">
        <v>71</v>
      </c>
      <c r="Z245" s="1" t="s">
        <v>80</v>
      </c>
      <c r="AA245" s="1" t="s">
        <v>392</v>
      </c>
      <c r="AB245" s="1" t="s">
        <v>74</v>
      </c>
      <c r="AC245" s="1" t="s">
        <v>74</v>
      </c>
      <c r="AD245" s="1" t="s">
        <v>74</v>
      </c>
      <c r="AE245" s="11">
        <v>45793</v>
      </c>
      <c r="AF245" s="11">
        <v>45976</v>
      </c>
      <c r="AG245" s="1" t="s">
        <v>101</v>
      </c>
      <c r="AJ245" cm="1">
        <f t="array" ref="AJ245:AK245">_xlfn.XLOOKUP(M245,'Customer Data Vlookup'!$L:$L,'Customer Data Vlookup'!$M:$N,,0)</f>
        <v>0</v>
      </c>
      <c r="AK245" s="47">
        <v>11797</v>
      </c>
      <c r="AL245" s="47">
        <f>AK245-AJ245</f>
        <v>11797</v>
      </c>
      <c r="AM245" s="58">
        <f t="shared" si="41"/>
        <v>240.71999999999935</v>
      </c>
    </row>
    <row r="246" spans="1:39" x14ac:dyDescent="0.35">
      <c r="A246" s="1" t="s">
        <v>124</v>
      </c>
      <c r="B246" s="1" t="s">
        <v>67</v>
      </c>
      <c r="C246" s="1" t="s">
        <v>68</v>
      </c>
      <c r="D246" s="1" t="s">
        <v>69</v>
      </c>
      <c r="E246" s="1" t="s">
        <v>17</v>
      </c>
      <c r="F246" s="1" t="s">
        <v>125</v>
      </c>
      <c r="G246" s="11">
        <v>45805</v>
      </c>
      <c r="H246" s="25">
        <v>1800009135</v>
      </c>
      <c r="I246" s="1" t="s">
        <v>9</v>
      </c>
      <c r="J246" s="11">
        <v>45805</v>
      </c>
      <c r="K246" s="11">
        <v>45805</v>
      </c>
      <c r="L246" s="1" t="s">
        <v>71</v>
      </c>
      <c r="M246" s="35">
        <v>256779413899</v>
      </c>
      <c r="N246" s="1" t="s">
        <v>72</v>
      </c>
      <c r="O246" s="1" t="s">
        <v>73</v>
      </c>
      <c r="P246" s="1" t="s">
        <v>74</v>
      </c>
      <c r="Q246" s="1" t="s">
        <v>83</v>
      </c>
      <c r="R246" s="1" t="s">
        <v>76</v>
      </c>
      <c r="S246" s="12">
        <v>4312.12</v>
      </c>
      <c r="T246" s="1" t="s">
        <v>77</v>
      </c>
      <c r="U246" s="12">
        <v>370772.03</v>
      </c>
      <c r="V246" s="1" t="s">
        <v>78</v>
      </c>
      <c r="W246" s="1" t="s">
        <v>79</v>
      </c>
      <c r="X246" s="1" t="s">
        <v>74</v>
      </c>
      <c r="Y246" s="1" t="s">
        <v>71</v>
      </c>
      <c r="Z246" s="1" t="s">
        <v>80</v>
      </c>
      <c r="AA246" s="1" t="s">
        <v>393</v>
      </c>
      <c r="AB246" s="1" t="s">
        <v>74</v>
      </c>
      <c r="AC246" s="1" t="s">
        <v>74</v>
      </c>
      <c r="AD246" s="1" t="s">
        <v>74</v>
      </c>
      <c r="AE246" s="11">
        <v>45805</v>
      </c>
      <c r="AF246" s="11"/>
      <c r="AG246" s="1" t="s">
        <v>74</v>
      </c>
      <c r="AJ246" cm="1">
        <f t="array" ref="AJ246:AK246">_xlfn.XLOOKUP(M246,'Customer Data Vlookup'!$L:$L,'Customer Data Vlookup'!$M:$N,,0)</f>
        <v>0</v>
      </c>
      <c r="AK246" s="47">
        <v>333696</v>
      </c>
      <c r="AL246" s="47">
        <f t="shared" si="40"/>
        <v>333696</v>
      </c>
      <c r="AM246" s="58">
        <f t="shared" si="41"/>
        <v>37076.030000000028</v>
      </c>
    </row>
    <row r="247" spans="1:39" hidden="1" x14ac:dyDescent="0.35">
      <c r="A247" s="1" t="s">
        <v>124</v>
      </c>
      <c r="B247" s="1" t="s">
        <v>67</v>
      </c>
      <c r="C247" s="1" t="s">
        <v>68</v>
      </c>
      <c r="D247" s="1" t="s">
        <v>69</v>
      </c>
      <c r="E247" s="1" t="s">
        <v>17</v>
      </c>
      <c r="F247" s="1" t="s">
        <v>70</v>
      </c>
      <c r="G247" s="11">
        <v>45856</v>
      </c>
      <c r="H247" s="25">
        <v>1800010769</v>
      </c>
      <c r="I247" s="1" t="s">
        <v>9</v>
      </c>
      <c r="J247" s="11">
        <v>45856</v>
      </c>
      <c r="K247" s="11">
        <v>45859</v>
      </c>
      <c r="L247" s="1" t="s">
        <v>71</v>
      </c>
      <c r="M247" s="35">
        <v>256779415431</v>
      </c>
      <c r="N247" s="1" t="s">
        <v>72</v>
      </c>
      <c r="O247" s="1" t="s">
        <v>73</v>
      </c>
      <c r="P247" s="1" t="s">
        <v>74</v>
      </c>
      <c r="Q247" s="1" t="s">
        <v>83</v>
      </c>
      <c r="R247" s="1" t="s">
        <v>76</v>
      </c>
      <c r="S247" s="12">
        <v>358.33</v>
      </c>
      <c r="T247" s="1" t="s">
        <v>77</v>
      </c>
      <c r="U247" s="12">
        <v>30816.62</v>
      </c>
      <c r="V247" s="1" t="s">
        <v>78</v>
      </c>
      <c r="W247" s="1" t="s">
        <v>79</v>
      </c>
      <c r="X247" s="1" t="s">
        <v>74</v>
      </c>
      <c r="Y247" s="1" t="s">
        <v>71</v>
      </c>
      <c r="Z247" s="1" t="s">
        <v>80</v>
      </c>
      <c r="AA247" s="1" t="s">
        <v>394</v>
      </c>
      <c r="AB247" s="1" t="s">
        <v>74</v>
      </c>
      <c r="AC247" s="1" t="s">
        <v>74</v>
      </c>
      <c r="AD247" s="1" t="s">
        <v>74</v>
      </c>
      <c r="AE247" s="11">
        <v>45856</v>
      </c>
      <c r="AF247" s="11"/>
      <c r="AG247" s="1" t="s">
        <v>74</v>
      </c>
      <c r="AJ247" t="e" cm="1">
        <f t="array" ref="AJ247">_xlfn.XLOOKUP(M247,'Customer Data Vlookup'!$L:$L,'Customer Data Vlookup'!$M:$N,,0)</f>
        <v>#N/A</v>
      </c>
    </row>
    <row r="248" spans="1:39" x14ac:dyDescent="0.35">
      <c r="A248" s="1" t="s">
        <v>124</v>
      </c>
      <c r="B248" s="1" t="s">
        <v>67</v>
      </c>
      <c r="C248" s="1" t="s">
        <v>68</v>
      </c>
      <c r="D248" s="1" t="s">
        <v>69</v>
      </c>
      <c r="E248" s="1" t="s">
        <v>17</v>
      </c>
      <c r="F248" s="1" t="s">
        <v>70</v>
      </c>
      <c r="G248" s="11">
        <v>45856</v>
      </c>
      <c r="H248" s="25">
        <v>1800010660</v>
      </c>
      <c r="I248" s="1" t="s">
        <v>9</v>
      </c>
      <c r="J248" s="11">
        <v>45856</v>
      </c>
      <c r="K248" s="11">
        <v>45859</v>
      </c>
      <c r="L248" s="1" t="s">
        <v>71</v>
      </c>
      <c r="M248" s="35">
        <v>256779415444</v>
      </c>
      <c r="N248" s="1" t="s">
        <v>72</v>
      </c>
      <c r="O248" s="1" t="s">
        <v>73</v>
      </c>
      <c r="P248" s="1" t="s">
        <v>74</v>
      </c>
      <c r="Q248" s="1" t="s">
        <v>83</v>
      </c>
      <c r="R248" s="1" t="s">
        <v>76</v>
      </c>
      <c r="S248" s="12">
        <v>99</v>
      </c>
      <c r="T248" s="1" t="s">
        <v>77</v>
      </c>
      <c r="U248" s="12">
        <v>8514.07</v>
      </c>
      <c r="V248" s="1" t="s">
        <v>78</v>
      </c>
      <c r="W248" s="1" t="s">
        <v>79</v>
      </c>
      <c r="X248" s="1" t="s">
        <v>74</v>
      </c>
      <c r="Y248" s="1" t="s">
        <v>71</v>
      </c>
      <c r="Z248" s="1" t="s">
        <v>80</v>
      </c>
      <c r="AA248" s="1" t="s">
        <v>395</v>
      </c>
      <c r="AB248" s="1" t="s">
        <v>74</v>
      </c>
      <c r="AC248" s="1" t="s">
        <v>74</v>
      </c>
      <c r="AD248" s="1" t="s">
        <v>74</v>
      </c>
      <c r="AE248" s="11">
        <v>45856</v>
      </c>
      <c r="AF248" s="11"/>
      <c r="AG248" s="1" t="s">
        <v>74</v>
      </c>
      <c r="AJ248" cm="1">
        <f t="array" ref="AJ248:AK248">_xlfn.XLOOKUP(M248,'Customer Data Vlookup'!$L:$L,'Customer Data Vlookup'!$M:$N,,0)</f>
        <v>0</v>
      </c>
      <c r="AK248" s="47">
        <v>8342.0650000000005</v>
      </c>
      <c r="AL248" s="47">
        <f t="shared" ref="AL248:AL311" si="42">AK248-AJ248</f>
        <v>8342.0650000000005</v>
      </c>
      <c r="AM248" s="58">
        <f t="shared" ref="AM248:AM311" si="43">U248-AL248</f>
        <v>172.0049999999992</v>
      </c>
    </row>
    <row r="249" spans="1:39" x14ac:dyDescent="0.35">
      <c r="A249" s="1" t="s">
        <v>124</v>
      </c>
      <c r="B249" s="1" t="s">
        <v>67</v>
      </c>
      <c r="C249" s="1" t="s">
        <v>68</v>
      </c>
      <c r="D249" s="1" t="s">
        <v>69</v>
      </c>
      <c r="E249" s="1" t="s">
        <v>17</v>
      </c>
      <c r="F249" s="1" t="s">
        <v>70</v>
      </c>
      <c r="G249" s="11">
        <v>45856</v>
      </c>
      <c r="H249" s="25">
        <v>1800010672</v>
      </c>
      <c r="I249" s="1" t="s">
        <v>9</v>
      </c>
      <c r="J249" s="11">
        <v>45856</v>
      </c>
      <c r="K249" s="11">
        <v>45859</v>
      </c>
      <c r="L249" s="1" t="s">
        <v>71</v>
      </c>
      <c r="M249" s="35">
        <v>256779415456</v>
      </c>
      <c r="N249" s="1" t="s">
        <v>72</v>
      </c>
      <c r="O249" s="1" t="s">
        <v>73</v>
      </c>
      <c r="P249" s="1" t="s">
        <v>74</v>
      </c>
      <c r="Q249" s="1" t="s">
        <v>83</v>
      </c>
      <c r="R249" s="1" t="s">
        <v>76</v>
      </c>
      <c r="S249" s="12">
        <v>160.24</v>
      </c>
      <c r="T249" s="1" t="s">
        <v>77</v>
      </c>
      <c r="U249" s="12">
        <v>13780.75</v>
      </c>
      <c r="V249" s="1" t="s">
        <v>78</v>
      </c>
      <c r="W249" s="1" t="s">
        <v>79</v>
      </c>
      <c r="X249" s="1" t="s">
        <v>74</v>
      </c>
      <c r="Y249" s="1" t="s">
        <v>71</v>
      </c>
      <c r="Z249" s="1" t="s">
        <v>80</v>
      </c>
      <c r="AA249" s="1" t="s">
        <v>396</v>
      </c>
      <c r="AB249" s="1" t="s">
        <v>74</v>
      </c>
      <c r="AC249" s="1" t="s">
        <v>74</v>
      </c>
      <c r="AD249" s="1" t="s">
        <v>74</v>
      </c>
      <c r="AE249" s="11">
        <v>45856</v>
      </c>
      <c r="AF249" s="11"/>
      <c r="AG249" s="1" t="s">
        <v>74</v>
      </c>
      <c r="AJ249" cm="1">
        <f t="array" ref="AJ249:AK249">_xlfn.XLOOKUP(M249,'Customer Data Vlookup'!$L:$L,'Customer Data Vlookup'!$M:$N,,0)</f>
        <v>0</v>
      </c>
      <c r="AK249" s="47">
        <v>13522.7454</v>
      </c>
      <c r="AL249" s="47">
        <f t="shared" si="42"/>
        <v>13522.7454</v>
      </c>
      <c r="AM249" s="58">
        <f t="shared" si="43"/>
        <v>258.00460000000021</v>
      </c>
    </row>
    <row r="250" spans="1:39" x14ac:dyDescent="0.35">
      <c r="A250" s="1" t="s">
        <v>124</v>
      </c>
      <c r="B250" s="1" t="s">
        <v>67</v>
      </c>
      <c r="C250" s="1" t="s">
        <v>68</v>
      </c>
      <c r="D250" s="1" t="s">
        <v>69</v>
      </c>
      <c r="E250" s="1" t="s">
        <v>17</v>
      </c>
      <c r="F250" s="1" t="s">
        <v>70</v>
      </c>
      <c r="G250" s="11">
        <v>45856</v>
      </c>
      <c r="H250" s="25">
        <v>1800011041</v>
      </c>
      <c r="I250" s="1" t="s">
        <v>9</v>
      </c>
      <c r="J250" s="11">
        <v>45856</v>
      </c>
      <c r="K250" s="11">
        <v>45859</v>
      </c>
      <c r="L250" s="1" t="s">
        <v>71</v>
      </c>
      <c r="M250" s="35">
        <v>256779415801</v>
      </c>
      <c r="N250" s="1" t="s">
        <v>72</v>
      </c>
      <c r="O250" s="1" t="s">
        <v>73</v>
      </c>
      <c r="P250" s="1" t="s">
        <v>74</v>
      </c>
      <c r="Q250" s="1" t="s">
        <v>83</v>
      </c>
      <c r="R250" s="1" t="s">
        <v>76</v>
      </c>
      <c r="S250" s="12">
        <v>1762.2</v>
      </c>
      <c r="T250" s="1" t="s">
        <v>77</v>
      </c>
      <c r="U250" s="12">
        <v>151550.38</v>
      </c>
      <c r="V250" s="1" t="s">
        <v>78</v>
      </c>
      <c r="W250" s="1" t="s">
        <v>79</v>
      </c>
      <c r="X250" s="1" t="s">
        <v>74</v>
      </c>
      <c r="Y250" s="1" t="s">
        <v>71</v>
      </c>
      <c r="Z250" s="1" t="s">
        <v>80</v>
      </c>
      <c r="AA250" s="1" t="s">
        <v>397</v>
      </c>
      <c r="AB250" s="1" t="s">
        <v>74</v>
      </c>
      <c r="AC250" s="1" t="s">
        <v>74</v>
      </c>
      <c r="AD250" s="1" t="s">
        <v>74</v>
      </c>
      <c r="AE250" s="11">
        <v>45856</v>
      </c>
      <c r="AF250" s="11"/>
      <c r="AG250" s="1" t="s">
        <v>74</v>
      </c>
      <c r="AJ250" cm="1">
        <f t="array" ref="AJ250:AK250">_xlfn.XLOOKUP(M250,'Customer Data Vlookup'!$L:$L,'Customer Data Vlookup'!$M:$N,,0)</f>
        <v>0</v>
      </c>
      <c r="AK250" s="47">
        <v>148540.3572</v>
      </c>
      <c r="AL250" s="47">
        <f t="shared" si="42"/>
        <v>148540.3572</v>
      </c>
      <c r="AM250" s="58">
        <f t="shared" si="43"/>
        <v>3010.0228000000061</v>
      </c>
    </row>
    <row r="251" spans="1:39" x14ac:dyDescent="0.35">
      <c r="A251" s="1" t="s">
        <v>124</v>
      </c>
      <c r="B251" s="1" t="s">
        <v>67</v>
      </c>
      <c r="C251" s="1" t="s">
        <v>68</v>
      </c>
      <c r="D251" s="1" t="s">
        <v>69</v>
      </c>
      <c r="E251" s="1" t="s">
        <v>17</v>
      </c>
      <c r="F251" s="1" t="s">
        <v>166</v>
      </c>
      <c r="G251" s="11">
        <v>45729</v>
      </c>
      <c r="H251" s="25">
        <v>1800001410</v>
      </c>
      <c r="I251" s="1" t="s">
        <v>9</v>
      </c>
      <c r="J251" s="11">
        <v>45729</v>
      </c>
      <c r="K251" s="11">
        <v>45731</v>
      </c>
      <c r="L251" s="1" t="s">
        <v>71</v>
      </c>
      <c r="M251" s="35">
        <v>246779411278</v>
      </c>
      <c r="N251" s="1" t="s">
        <v>72</v>
      </c>
      <c r="O251" s="1" t="s">
        <v>73</v>
      </c>
      <c r="P251" s="1" t="s">
        <v>74</v>
      </c>
      <c r="Q251" s="1" t="s">
        <v>83</v>
      </c>
      <c r="R251" s="1" t="s">
        <v>76</v>
      </c>
      <c r="S251" s="12">
        <v>525</v>
      </c>
      <c r="T251" s="1" t="s">
        <v>77</v>
      </c>
      <c r="U251" s="12">
        <v>45512.91</v>
      </c>
      <c r="V251" s="1" t="s">
        <v>78</v>
      </c>
      <c r="W251" s="1" t="s">
        <v>79</v>
      </c>
      <c r="X251" s="1" t="s">
        <v>74</v>
      </c>
      <c r="Y251" s="1" t="s">
        <v>71</v>
      </c>
      <c r="Z251" s="1" t="s">
        <v>80</v>
      </c>
      <c r="AA251" s="1" t="s">
        <v>398</v>
      </c>
      <c r="AB251" s="1" t="s">
        <v>74</v>
      </c>
      <c r="AC251" s="1" t="s">
        <v>74</v>
      </c>
      <c r="AD251" s="1" t="s">
        <v>74</v>
      </c>
      <c r="AE251" s="11">
        <v>45729</v>
      </c>
      <c r="AF251" s="11"/>
      <c r="AG251" s="1" t="s">
        <v>74</v>
      </c>
      <c r="AJ251" cm="1">
        <f t="array" ref="AJ251:AK251">_xlfn.XLOOKUP(M251,'Customer Data Vlookup'!$L:$L,'Customer Data Vlookup'!$M:$N,,0)</f>
        <v>0</v>
      </c>
      <c r="AK251" s="47">
        <v>0</v>
      </c>
      <c r="AL251" s="47">
        <f t="shared" si="42"/>
        <v>0</v>
      </c>
      <c r="AM251" s="58">
        <f t="shared" si="43"/>
        <v>45512.91</v>
      </c>
    </row>
    <row r="252" spans="1:39" x14ac:dyDescent="0.35">
      <c r="A252" s="1" t="s">
        <v>66</v>
      </c>
      <c r="B252" s="1" t="s">
        <v>67</v>
      </c>
      <c r="C252" s="1" t="s">
        <v>68</v>
      </c>
      <c r="D252" s="1" t="s">
        <v>69</v>
      </c>
      <c r="E252" s="1" t="s">
        <v>17</v>
      </c>
      <c r="F252" s="1" t="s">
        <v>166</v>
      </c>
      <c r="G252" s="11">
        <v>45729</v>
      </c>
      <c r="H252" s="25">
        <v>1800001426</v>
      </c>
      <c r="I252" s="1" t="s">
        <v>9</v>
      </c>
      <c r="J252" s="11">
        <v>45729</v>
      </c>
      <c r="K252" s="11">
        <v>45733</v>
      </c>
      <c r="L252" s="1" t="s">
        <v>71</v>
      </c>
      <c r="M252" s="35">
        <v>246779411339</v>
      </c>
      <c r="N252" s="1" t="s">
        <v>72</v>
      </c>
      <c r="O252" s="1" t="s">
        <v>73</v>
      </c>
      <c r="P252" s="1" t="s">
        <v>74</v>
      </c>
      <c r="Q252" s="1" t="s">
        <v>83</v>
      </c>
      <c r="R252" s="1" t="s">
        <v>76</v>
      </c>
      <c r="S252" s="12">
        <v>220</v>
      </c>
      <c r="T252" s="1" t="s">
        <v>77</v>
      </c>
      <c r="U252" s="12">
        <v>19072.080000000002</v>
      </c>
      <c r="V252" s="1" t="s">
        <v>78</v>
      </c>
      <c r="W252" s="1" t="s">
        <v>79</v>
      </c>
      <c r="X252" s="1" t="s">
        <v>74</v>
      </c>
      <c r="Y252" s="1" t="s">
        <v>71</v>
      </c>
      <c r="Z252" s="1" t="s">
        <v>80</v>
      </c>
      <c r="AA252" s="1" t="s">
        <v>399</v>
      </c>
      <c r="AB252" s="1" t="s">
        <v>74</v>
      </c>
      <c r="AC252" s="1" t="s">
        <v>74</v>
      </c>
      <c r="AD252" s="1" t="s">
        <v>74</v>
      </c>
      <c r="AE252" s="11">
        <v>45729</v>
      </c>
      <c r="AF252" s="11">
        <v>45976</v>
      </c>
      <c r="AG252" s="1" t="s">
        <v>101</v>
      </c>
      <c r="AJ252" cm="1">
        <f t="array" ref="AJ252:AK252">_xlfn.XLOOKUP(M252,'Customer Data Vlookup'!$L:$L,'Customer Data Vlookup'!$M:$N,,0)</f>
        <v>0</v>
      </c>
      <c r="AK252" s="47">
        <v>17857</v>
      </c>
      <c r="AL252" s="47">
        <f t="shared" si="42"/>
        <v>17857</v>
      </c>
      <c r="AM252" s="58">
        <f t="shared" si="43"/>
        <v>1215.0800000000017</v>
      </c>
    </row>
    <row r="253" spans="1:39" x14ac:dyDescent="0.35">
      <c r="A253" s="1" t="s">
        <v>66</v>
      </c>
      <c r="B253" s="1" t="s">
        <v>67</v>
      </c>
      <c r="C253" s="1" t="s">
        <v>68</v>
      </c>
      <c r="D253" s="1" t="s">
        <v>69</v>
      </c>
      <c r="E253" s="1" t="s">
        <v>17</v>
      </c>
      <c r="F253" s="1" t="s">
        <v>166</v>
      </c>
      <c r="G253" s="11">
        <v>45729</v>
      </c>
      <c r="H253" s="25">
        <v>1800001437</v>
      </c>
      <c r="I253" s="1" t="s">
        <v>9</v>
      </c>
      <c r="J253" s="11">
        <v>45729</v>
      </c>
      <c r="K253" s="11">
        <v>45733</v>
      </c>
      <c r="L253" s="1" t="s">
        <v>71</v>
      </c>
      <c r="M253" s="35">
        <v>246779411326</v>
      </c>
      <c r="N253" s="1" t="s">
        <v>72</v>
      </c>
      <c r="O253" s="1" t="s">
        <v>73</v>
      </c>
      <c r="P253" s="1" t="s">
        <v>74</v>
      </c>
      <c r="Q253" s="1" t="s">
        <v>83</v>
      </c>
      <c r="R253" s="1" t="s">
        <v>76</v>
      </c>
      <c r="S253" s="12">
        <v>245</v>
      </c>
      <c r="T253" s="1" t="s">
        <v>77</v>
      </c>
      <c r="U253" s="12">
        <v>21239.360000000001</v>
      </c>
      <c r="V253" s="1" t="s">
        <v>78</v>
      </c>
      <c r="W253" s="1" t="s">
        <v>79</v>
      </c>
      <c r="X253" s="1" t="s">
        <v>74</v>
      </c>
      <c r="Y253" s="1" t="s">
        <v>71</v>
      </c>
      <c r="Z253" s="1" t="s">
        <v>80</v>
      </c>
      <c r="AA253" s="1" t="s">
        <v>400</v>
      </c>
      <c r="AB253" s="1" t="s">
        <v>74</v>
      </c>
      <c r="AC253" s="1" t="s">
        <v>74</v>
      </c>
      <c r="AD253" s="1" t="s">
        <v>74</v>
      </c>
      <c r="AE253" s="11">
        <v>45729</v>
      </c>
      <c r="AF253" s="11">
        <v>45976</v>
      </c>
      <c r="AG253" s="1" t="s">
        <v>101</v>
      </c>
      <c r="AJ253" cm="1">
        <f t="array" ref="AJ253:AK253">_xlfn.XLOOKUP(M253,'Customer Data Vlookup'!$L:$L,'Customer Data Vlookup'!$M:$N,,0)</f>
        <v>0</v>
      </c>
      <c r="AK253" s="47">
        <v>20874</v>
      </c>
      <c r="AL253" s="47">
        <f t="shared" si="42"/>
        <v>20874</v>
      </c>
      <c r="AM253" s="58">
        <f t="shared" si="43"/>
        <v>365.36000000000058</v>
      </c>
    </row>
    <row r="254" spans="1:39" x14ac:dyDescent="0.35">
      <c r="A254" s="1" t="s">
        <v>66</v>
      </c>
      <c r="B254" s="1" t="s">
        <v>67</v>
      </c>
      <c r="C254" s="1" t="s">
        <v>68</v>
      </c>
      <c r="D254" s="1" t="s">
        <v>69</v>
      </c>
      <c r="E254" s="1" t="s">
        <v>17</v>
      </c>
      <c r="F254" s="1" t="s">
        <v>166</v>
      </c>
      <c r="G254" s="11">
        <v>45729</v>
      </c>
      <c r="H254" s="25">
        <v>1800001450</v>
      </c>
      <c r="I254" s="1" t="s">
        <v>9</v>
      </c>
      <c r="J254" s="11">
        <v>45729</v>
      </c>
      <c r="K254" s="11">
        <v>45733</v>
      </c>
      <c r="L254" s="1" t="s">
        <v>71</v>
      </c>
      <c r="M254" s="35">
        <v>246779411314</v>
      </c>
      <c r="N254" s="1" t="s">
        <v>72</v>
      </c>
      <c r="O254" s="1" t="s">
        <v>73</v>
      </c>
      <c r="P254" s="1" t="s">
        <v>74</v>
      </c>
      <c r="Q254" s="1" t="s">
        <v>83</v>
      </c>
      <c r="R254" s="1" t="s">
        <v>76</v>
      </c>
      <c r="S254" s="12">
        <v>105</v>
      </c>
      <c r="T254" s="1" t="s">
        <v>77</v>
      </c>
      <c r="U254" s="12">
        <v>9102.58</v>
      </c>
      <c r="V254" s="1" t="s">
        <v>78</v>
      </c>
      <c r="W254" s="1" t="s">
        <v>79</v>
      </c>
      <c r="X254" s="1" t="s">
        <v>74</v>
      </c>
      <c r="Y254" s="1" t="s">
        <v>71</v>
      </c>
      <c r="Z254" s="1" t="s">
        <v>80</v>
      </c>
      <c r="AA254" s="1" t="s">
        <v>401</v>
      </c>
      <c r="AB254" s="1" t="s">
        <v>74</v>
      </c>
      <c r="AC254" s="1" t="s">
        <v>74</v>
      </c>
      <c r="AD254" s="1" t="s">
        <v>74</v>
      </c>
      <c r="AE254" s="11">
        <v>45729</v>
      </c>
      <c r="AF254" s="11">
        <v>45976</v>
      </c>
      <c r="AG254" s="1" t="s">
        <v>101</v>
      </c>
      <c r="AJ254" cm="1">
        <f t="array" ref="AJ254:AK254">_xlfn.XLOOKUP(M254,'Customer Data Vlookup'!$L:$L,'Customer Data Vlookup'!$M:$N,,0)</f>
        <v>0</v>
      </c>
      <c r="AK254" s="47">
        <v>8522</v>
      </c>
      <c r="AL254" s="47">
        <f t="shared" si="42"/>
        <v>8522</v>
      </c>
      <c r="AM254" s="58">
        <f t="shared" si="43"/>
        <v>580.57999999999993</v>
      </c>
    </row>
    <row r="255" spans="1:39" x14ac:dyDescent="0.35">
      <c r="A255" s="1" t="s">
        <v>66</v>
      </c>
      <c r="B255" s="1" t="s">
        <v>67</v>
      </c>
      <c r="C255" s="1" t="s">
        <v>68</v>
      </c>
      <c r="D255" s="1" t="s">
        <v>69</v>
      </c>
      <c r="E255" s="1" t="s">
        <v>17</v>
      </c>
      <c r="F255" s="1" t="s">
        <v>166</v>
      </c>
      <c r="G255" s="11">
        <v>45729</v>
      </c>
      <c r="H255" s="25">
        <v>1800001468</v>
      </c>
      <c r="I255" s="1" t="s">
        <v>9</v>
      </c>
      <c r="J255" s="11">
        <v>45729</v>
      </c>
      <c r="K255" s="11">
        <v>45733</v>
      </c>
      <c r="L255" s="1" t="s">
        <v>71</v>
      </c>
      <c r="M255" s="35">
        <v>246779411300</v>
      </c>
      <c r="N255" s="1" t="s">
        <v>72</v>
      </c>
      <c r="O255" s="1" t="s">
        <v>73</v>
      </c>
      <c r="P255" s="1" t="s">
        <v>74</v>
      </c>
      <c r="Q255" s="1" t="s">
        <v>83</v>
      </c>
      <c r="R255" s="1" t="s">
        <v>76</v>
      </c>
      <c r="S255" s="12">
        <v>385</v>
      </c>
      <c r="T255" s="1" t="s">
        <v>77</v>
      </c>
      <c r="U255" s="12">
        <v>33376.14</v>
      </c>
      <c r="V255" s="1" t="s">
        <v>78</v>
      </c>
      <c r="W255" s="1" t="s">
        <v>79</v>
      </c>
      <c r="X255" s="1" t="s">
        <v>74</v>
      </c>
      <c r="Y255" s="1" t="s">
        <v>71</v>
      </c>
      <c r="Z255" s="1" t="s">
        <v>80</v>
      </c>
      <c r="AA255" s="1" t="s">
        <v>402</v>
      </c>
      <c r="AB255" s="1" t="s">
        <v>74</v>
      </c>
      <c r="AC255" s="1" t="s">
        <v>74</v>
      </c>
      <c r="AD255" s="1" t="s">
        <v>74</v>
      </c>
      <c r="AE255" s="11">
        <v>45729</v>
      </c>
      <c r="AF255" s="11">
        <v>45976</v>
      </c>
      <c r="AG255" s="1" t="s">
        <v>101</v>
      </c>
      <c r="AJ255" cm="1">
        <f t="array" ref="AJ255:AK255">_xlfn.XLOOKUP(M255,'Customer Data Vlookup'!$L:$L,'Customer Data Vlookup'!$M:$N,,0)</f>
        <v>0</v>
      </c>
      <c r="AK255" s="47">
        <v>33376</v>
      </c>
      <c r="AL255" s="47">
        <f t="shared" si="42"/>
        <v>33376</v>
      </c>
      <c r="AM255" s="58">
        <f t="shared" si="43"/>
        <v>0.13999999999941792</v>
      </c>
    </row>
    <row r="256" spans="1:39" x14ac:dyDescent="0.35">
      <c r="A256" s="1" t="s">
        <v>124</v>
      </c>
      <c r="B256" s="1" t="s">
        <v>67</v>
      </c>
      <c r="C256" s="1" t="s">
        <v>68</v>
      </c>
      <c r="D256" s="1" t="s">
        <v>69</v>
      </c>
      <c r="E256" s="1" t="s">
        <v>17</v>
      </c>
      <c r="F256" s="1" t="s">
        <v>166</v>
      </c>
      <c r="G256" s="11">
        <v>45736</v>
      </c>
      <c r="H256" s="25">
        <v>1800003755</v>
      </c>
      <c r="I256" s="1" t="s">
        <v>9</v>
      </c>
      <c r="J256" s="11">
        <v>45736</v>
      </c>
      <c r="K256" s="11">
        <v>45736</v>
      </c>
      <c r="L256" s="1" t="s">
        <v>71</v>
      </c>
      <c r="M256" s="35">
        <v>246779413622</v>
      </c>
      <c r="N256" s="1" t="s">
        <v>72</v>
      </c>
      <c r="O256" s="1" t="s">
        <v>73</v>
      </c>
      <c r="P256" s="1" t="s">
        <v>74</v>
      </c>
      <c r="Q256" s="1" t="s">
        <v>83</v>
      </c>
      <c r="R256" s="1" t="s">
        <v>76</v>
      </c>
      <c r="S256" s="12">
        <v>18.8</v>
      </c>
      <c r="T256" s="1" t="s">
        <v>77</v>
      </c>
      <c r="U256" s="12">
        <v>1629.8</v>
      </c>
      <c r="V256" s="1" t="s">
        <v>78</v>
      </c>
      <c r="W256" s="1" t="s">
        <v>79</v>
      </c>
      <c r="X256" s="1" t="s">
        <v>74</v>
      </c>
      <c r="Y256" s="1" t="s">
        <v>71</v>
      </c>
      <c r="Z256" s="1" t="s">
        <v>80</v>
      </c>
      <c r="AA256" s="1" t="s">
        <v>403</v>
      </c>
      <c r="AB256" s="1" t="s">
        <v>74</v>
      </c>
      <c r="AC256" s="1" t="s">
        <v>74</v>
      </c>
      <c r="AD256" s="1" t="s">
        <v>74</v>
      </c>
      <c r="AE256" s="11">
        <v>45736</v>
      </c>
      <c r="AF256" s="11"/>
      <c r="AG256" s="1" t="s">
        <v>74</v>
      </c>
      <c r="AJ256" cm="1">
        <f t="array" ref="AJ256:AK256">_xlfn.XLOOKUP(M256,'Customer Data Vlookup'!$L:$L,'Customer Data Vlookup'!$M:$N,,0)</f>
        <v>0</v>
      </c>
      <c r="AK256" s="47">
        <v>1590</v>
      </c>
      <c r="AL256" s="47">
        <f t="shared" si="42"/>
        <v>1590</v>
      </c>
      <c r="AM256" s="58">
        <f t="shared" si="43"/>
        <v>39.799999999999955</v>
      </c>
    </row>
    <row r="257" spans="1:39" x14ac:dyDescent="0.35">
      <c r="A257" s="1" t="s">
        <v>124</v>
      </c>
      <c r="B257" s="1" t="s">
        <v>67</v>
      </c>
      <c r="C257" s="1" t="s">
        <v>68</v>
      </c>
      <c r="D257" s="1" t="s">
        <v>69</v>
      </c>
      <c r="E257" s="1" t="s">
        <v>17</v>
      </c>
      <c r="F257" s="1" t="s">
        <v>166</v>
      </c>
      <c r="G257" s="11">
        <v>45736</v>
      </c>
      <c r="H257" s="25">
        <v>1800003756</v>
      </c>
      <c r="I257" s="1" t="s">
        <v>9</v>
      </c>
      <c r="J257" s="11">
        <v>45736</v>
      </c>
      <c r="K257" s="11">
        <v>45736</v>
      </c>
      <c r="L257" s="1" t="s">
        <v>71</v>
      </c>
      <c r="M257" s="35">
        <v>246779413623</v>
      </c>
      <c r="N257" s="1" t="s">
        <v>72</v>
      </c>
      <c r="O257" s="1" t="s">
        <v>73</v>
      </c>
      <c r="P257" s="1" t="s">
        <v>74</v>
      </c>
      <c r="Q257" s="1" t="s">
        <v>83</v>
      </c>
      <c r="R257" s="1" t="s">
        <v>76</v>
      </c>
      <c r="S257" s="12">
        <v>2.35</v>
      </c>
      <c r="T257" s="1" t="s">
        <v>77</v>
      </c>
      <c r="U257" s="12">
        <v>203.72</v>
      </c>
      <c r="V257" s="1" t="s">
        <v>78</v>
      </c>
      <c r="W257" s="1" t="s">
        <v>79</v>
      </c>
      <c r="X257" s="1" t="s">
        <v>74</v>
      </c>
      <c r="Y257" s="1" t="s">
        <v>71</v>
      </c>
      <c r="Z257" s="1" t="s">
        <v>80</v>
      </c>
      <c r="AA257" s="1" t="s">
        <v>403</v>
      </c>
      <c r="AB257" s="1" t="s">
        <v>74</v>
      </c>
      <c r="AC257" s="1" t="s">
        <v>74</v>
      </c>
      <c r="AD257" s="1" t="s">
        <v>74</v>
      </c>
      <c r="AE257" s="11">
        <v>45736</v>
      </c>
      <c r="AF257" s="11"/>
      <c r="AG257" s="1" t="s">
        <v>74</v>
      </c>
      <c r="AJ257" cm="1">
        <f t="array" ref="AJ257:AK257">_xlfn.XLOOKUP(M257,'Customer Data Vlookup'!$L:$L,'Customer Data Vlookup'!$M:$N,,0)</f>
        <v>0</v>
      </c>
      <c r="AK257" s="47">
        <v>198</v>
      </c>
      <c r="AL257" s="47">
        <f t="shared" si="42"/>
        <v>198</v>
      </c>
      <c r="AM257" s="58">
        <f t="shared" si="43"/>
        <v>5.7199999999999989</v>
      </c>
    </row>
    <row r="258" spans="1:39" x14ac:dyDescent="0.35">
      <c r="A258" s="1" t="s">
        <v>124</v>
      </c>
      <c r="B258" s="1" t="s">
        <v>67</v>
      </c>
      <c r="C258" s="1" t="s">
        <v>68</v>
      </c>
      <c r="D258" s="1" t="s">
        <v>69</v>
      </c>
      <c r="E258" s="1" t="s">
        <v>17</v>
      </c>
      <c r="F258" s="1" t="s">
        <v>166</v>
      </c>
      <c r="G258" s="11">
        <v>45736</v>
      </c>
      <c r="H258" s="25">
        <v>1800003757</v>
      </c>
      <c r="I258" s="1" t="s">
        <v>9</v>
      </c>
      <c r="J258" s="11">
        <v>45736</v>
      </c>
      <c r="K258" s="11">
        <v>45736</v>
      </c>
      <c r="L258" s="1" t="s">
        <v>71</v>
      </c>
      <c r="M258" s="35">
        <v>246779413624</v>
      </c>
      <c r="N258" s="1" t="s">
        <v>72</v>
      </c>
      <c r="O258" s="1" t="s">
        <v>73</v>
      </c>
      <c r="P258" s="1" t="s">
        <v>74</v>
      </c>
      <c r="Q258" s="1" t="s">
        <v>83</v>
      </c>
      <c r="R258" s="1" t="s">
        <v>76</v>
      </c>
      <c r="S258" s="12">
        <v>7.05</v>
      </c>
      <c r="T258" s="1" t="s">
        <v>77</v>
      </c>
      <c r="U258" s="12">
        <v>611.16999999999996</v>
      </c>
      <c r="V258" s="1" t="s">
        <v>78</v>
      </c>
      <c r="W258" s="1" t="s">
        <v>79</v>
      </c>
      <c r="X258" s="1" t="s">
        <v>74</v>
      </c>
      <c r="Y258" s="1" t="s">
        <v>71</v>
      </c>
      <c r="Z258" s="1" t="s">
        <v>80</v>
      </c>
      <c r="AA258" s="1" t="s">
        <v>403</v>
      </c>
      <c r="AB258" s="1" t="s">
        <v>74</v>
      </c>
      <c r="AC258" s="1" t="s">
        <v>74</v>
      </c>
      <c r="AD258" s="1" t="s">
        <v>74</v>
      </c>
      <c r="AE258" s="11">
        <v>45736</v>
      </c>
      <c r="AF258" s="11"/>
      <c r="AG258" s="1" t="s">
        <v>74</v>
      </c>
      <c r="AJ258" cm="1">
        <f t="array" ref="AJ258:AK258">_xlfn.XLOOKUP(M258,'Customer Data Vlookup'!$L:$L,'Customer Data Vlookup'!$M:$N,,0)</f>
        <v>0</v>
      </c>
      <c r="AK258" s="47">
        <v>596</v>
      </c>
      <c r="AL258" s="47">
        <f t="shared" si="42"/>
        <v>596</v>
      </c>
      <c r="AM258" s="58">
        <f t="shared" si="43"/>
        <v>15.169999999999959</v>
      </c>
    </row>
    <row r="259" spans="1:39" x14ac:dyDescent="0.35">
      <c r="A259" s="1" t="s">
        <v>124</v>
      </c>
      <c r="B259" s="1" t="s">
        <v>67</v>
      </c>
      <c r="C259" s="1" t="s">
        <v>68</v>
      </c>
      <c r="D259" s="1" t="s">
        <v>69</v>
      </c>
      <c r="E259" s="1" t="s">
        <v>17</v>
      </c>
      <c r="F259" s="1" t="s">
        <v>166</v>
      </c>
      <c r="G259" s="11">
        <v>45736</v>
      </c>
      <c r="H259" s="25">
        <v>1800003758</v>
      </c>
      <c r="I259" s="1" t="s">
        <v>9</v>
      </c>
      <c r="J259" s="11">
        <v>45736</v>
      </c>
      <c r="K259" s="11">
        <v>45736</v>
      </c>
      <c r="L259" s="1" t="s">
        <v>71</v>
      </c>
      <c r="M259" s="35">
        <v>246779413625</v>
      </c>
      <c r="N259" s="1" t="s">
        <v>72</v>
      </c>
      <c r="O259" s="1" t="s">
        <v>73</v>
      </c>
      <c r="P259" s="1" t="s">
        <v>74</v>
      </c>
      <c r="Q259" s="1" t="s">
        <v>83</v>
      </c>
      <c r="R259" s="1" t="s">
        <v>76</v>
      </c>
      <c r="S259" s="12">
        <v>2.35</v>
      </c>
      <c r="T259" s="1" t="s">
        <v>77</v>
      </c>
      <c r="U259" s="12">
        <v>203.72</v>
      </c>
      <c r="V259" s="1" t="s">
        <v>78</v>
      </c>
      <c r="W259" s="1" t="s">
        <v>79</v>
      </c>
      <c r="X259" s="1" t="s">
        <v>74</v>
      </c>
      <c r="Y259" s="1" t="s">
        <v>71</v>
      </c>
      <c r="Z259" s="1" t="s">
        <v>80</v>
      </c>
      <c r="AA259" s="1" t="s">
        <v>403</v>
      </c>
      <c r="AB259" s="1" t="s">
        <v>74</v>
      </c>
      <c r="AC259" s="1" t="s">
        <v>74</v>
      </c>
      <c r="AD259" s="1" t="s">
        <v>74</v>
      </c>
      <c r="AE259" s="11">
        <v>45736</v>
      </c>
      <c r="AF259" s="11"/>
      <c r="AG259" s="1" t="s">
        <v>74</v>
      </c>
      <c r="AJ259" cm="1">
        <f t="array" ref="AJ259:AK259">_xlfn.XLOOKUP(M259,'Customer Data Vlookup'!$L:$L,'Customer Data Vlookup'!$M:$N,,0)</f>
        <v>0</v>
      </c>
      <c r="AK259" s="47">
        <v>198</v>
      </c>
      <c r="AL259" s="47">
        <f t="shared" si="42"/>
        <v>198</v>
      </c>
      <c r="AM259" s="58">
        <f t="shared" si="43"/>
        <v>5.7199999999999989</v>
      </c>
    </row>
    <row r="260" spans="1:39" x14ac:dyDescent="0.35">
      <c r="A260" s="1" t="s">
        <v>124</v>
      </c>
      <c r="B260" s="1" t="s">
        <v>67</v>
      </c>
      <c r="C260" s="1" t="s">
        <v>68</v>
      </c>
      <c r="D260" s="1" t="s">
        <v>69</v>
      </c>
      <c r="E260" s="1" t="s">
        <v>17</v>
      </c>
      <c r="F260" s="1" t="s">
        <v>166</v>
      </c>
      <c r="G260" s="11">
        <v>45736</v>
      </c>
      <c r="H260" s="25">
        <v>1800003759</v>
      </c>
      <c r="I260" s="1" t="s">
        <v>9</v>
      </c>
      <c r="J260" s="11">
        <v>45736</v>
      </c>
      <c r="K260" s="11">
        <v>45736</v>
      </c>
      <c r="L260" s="1" t="s">
        <v>71</v>
      </c>
      <c r="M260" s="35">
        <v>246779413626</v>
      </c>
      <c r="N260" s="1" t="s">
        <v>72</v>
      </c>
      <c r="O260" s="1" t="s">
        <v>73</v>
      </c>
      <c r="P260" s="1" t="s">
        <v>74</v>
      </c>
      <c r="Q260" s="1" t="s">
        <v>83</v>
      </c>
      <c r="R260" s="1" t="s">
        <v>76</v>
      </c>
      <c r="S260" s="12">
        <v>84.6</v>
      </c>
      <c r="T260" s="1" t="s">
        <v>77</v>
      </c>
      <c r="U260" s="12">
        <v>7334.08</v>
      </c>
      <c r="V260" s="1" t="s">
        <v>78</v>
      </c>
      <c r="W260" s="1" t="s">
        <v>79</v>
      </c>
      <c r="X260" s="1" t="s">
        <v>74</v>
      </c>
      <c r="Y260" s="1" t="s">
        <v>71</v>
      </c>
      <c r="Z260" s="1" t="s">
        <v>80</v>
      </c>
      <c r="AA260" s="1" t="s">
        <v>403</v>
      </c>
      <c r="AB260" s="1" t="s">
        <v>74</v>
      </c>
      <c r="AC260" s="1" t="s">
        <v>74</v>
      </c>
      <c r="AD260" s="1" t="s">
        <v>74</v>
      </c>
      <c r="AE260" s="11">
        <v>45736</v>
      </c>
      <c r="AF260" s="11"/>
      <c r="AG260" s="1" t="s">
        <v>74</v>
      </c>
      <c r="AJ260" cm="1">
        <f t="array" ref="AJ260:AK260">_xlfn.XLOOKUP(M260,'Customer Data Vlookup'!$L:$L,'Customer Data Vlookup'!$M:$N,,0)</f>
        <v>0</v>
      </c>
      <c r="AK260" s="47">
        <v>7156</v>
      </c>
      <c r="AL260" s="47">
        <f t="shared" si="42"/>
        <v>7156</v>
      </c>
      <c r="AM260" s="58">
        <f t="shared" si="43"/>
        <v>178.07999999999993</v>
      </c>
    </row>
    <row r="261" spans="1:39" x14ac:dyDescent="0.35">
      <c r="A261" s="1" t="s">
        <v>124</v>
      </c>
      <c r="B261" s="1" t="s">
        <v>67</v>
      </c>
      <c r="C261" s="1" t="s">
        <v>68</v>
      </c>
      <c r="D261" s="1" t="s">
        <v>69</v>
      </c>
      <c r="E261" s="1" t="s">
        <v>17</v>
      </c>
      <c r="F261" s="1" t="s">
        <v>166</v>
      </c>
      <c r="G261" s="11">
        <v>45736</v>
      </c>
      <c r="H261" s="25">
        <v>1800003760</v>
      </c>
      <c r="I261" s="1" t="s">
        <v>9</v>
      </c>
      <c r="J261" s="11">
        <v>45736</v>
      </c>
      <c r="K261" s="11">
        <v>45736</v>
      </c>
      <c r="L261" s="1" t="s">
        <v>71</v>
      </c>
      <c r="M261" s="35">
        <v>246779413627</v>
      </c>
      <c r="N261" s="1" t="s">
        <v>72</v>
      </c>
      <c r="O261" s="1" t="s">
        <v>73</v>
      </c>
      <c r="P261" s="1" t="s">
        <v>74</v>
      </c>
      <c r="Q261" s="1" t="s">
        <v>83</v>
      </c>
      <c r="R261" s="1" t="s">
        <v>76</v>
      </c>
      <c r="S261" s="12">
        <v>42.3</v>
      </c>
      <c r="T261" s="1" t="s">
        <v>77</v>
      </c>
      <c r="U261" s="12">
        <v>3667.04</v>
      </c>
      <c r="V261" s="1" t="s">
        <v>78</v>
      </c>
      <c r="W261" s="1" t="s">
        <v>79</v>
      </c>
      <c r="X261" s="1" t="s">
        <v>74</v>
      </c>
      <c r="Y261" s="1" t="s">
        <v>71</v>
      </c>
      <c r="Z261" s="1" t="s">
        <v>80</v>
      </c>
      <c r="AA261" s="1" t="s">
        <v>403</v>
      </c>
      <c r="AB261" s="1" t="s">
        <v>74</v>
      </c>
      <c r="AC261" s="1" t="s">
        <v>74</v>
      </c>
      <c r="AD261" s="1" t="s">
        <v>74</v>
      </c>
      <c r="AE261" s="11">
        <v>45736</v>
      </c>
      <c r="AF261" s="11"/>
      <c r="AG261" s="1" t="s">
        <v>74</v>
      </c>
      <c r="AJ261" cm="1">
        <f t="array" ref="AJ261:AK261">_xlfn.XLOOKUP(M261,'Customer Data Vlookup'!$L:$L,'Customer Data Vlookup'!$M:$N,,0)</f>
        <v>0</v>
      </c>
      <c r="AK261" s="47">
        <v>3578</v>
      </c>
      <c r="AL261" s="47">
        <f t="shared" si="42"/>
        <v>3578</v>
      </c>
      <c r="AM261" s="58">
        <f t="shared" si="43"/>
        <v>89.039999999999964</v>
      </c>
    </row>
    <row r="262" spans="1:39" x14ac:dyDescent="0.35">
      <c r="A262" s="1" t="s">
        <v>124</v>
      </c>
      <c r="B262" s="1" t="s">
        <v>67</v>
      </c>
      <c r="C262" s="1" t="s">
        <v>68</v>
      </c>
      <c r="D262" s="1" t="s">
        <v>69</v>
      </c>
      <c r="E262" s="1" t="s">
        <v>17</v>
      </c>
      <c r="F262" s="1" t="s">
        <v>166</v>
      </c>
      <c r="G262" s="11">
        <v>45736</v>
      </c>
      <c r="H262" s="25">
        <v>1800003761</v>
      </c>
      <c r="I262" s="1" t="s">
        <v>9</v>
      </c>
      <c r="J262" s="11">
        <v>45736</v>
      </c>
      <c r="K262" s="11">
        <v>45736</v>
      </c>
      <c r="L262" s="1" t="s">
        <v>71</v>
      </c>
      <c r="M262" s="35">
        <v>246779413628</v>
      </c>
      <c r="N262" s="1" t="s">
        <v>72</v>
      </c>
      <c r="O262" s="1" t="s">
        <v>73</v>
      </c>
      <c r="P262" s="1" t="s">
        <v>74</v>
      </c>
      <c r="Q262" s="1" t="s">
        <v>83</v>
      </c>
      <c r="R262" s="1" t="s">
        <v>76</v>
      </c>
      <c r="S262" s="12">
        <v>2.35</v>
      </c>
      <c r="T262" s="1" t="s">
        <v>77</v>
      </c>
      <c r="U262" s="12">
        <v>203.72</v>
      </c>
      <c r="V262" s="1" t="s">
        <v>78</v>
      </c>
      <c r="W262" s="1" t="s">
        <v>79</v>
      </c>
      <c r="X262" s="1" t="s">
        <v>74</v>
      </c>
      <c r="Y262" s="1" t="s">
        <v>71</v>
      </c>
      <c r="Z262" s="1" t="s">
        <v>80</v>
      </c>
      <c r="AA262" s="1" t="s">
        <v>403</v>
      </c>
      <c r="AB262" s="1" t="s">
        <v>74</v>
      </c>
      <c r="AC262" s="1" t="s">
        <v>74</v>
      </c>
      <c r="AD262" s="1" t="s">
        <v>74</v>
      </c>
      <c r="AE262" s="11">
        <v>45736</v>
      </c>
      <c r="AF262" s="11"/>
      <c r="AG262" s="1" t="s">
        <v>74</v>
      </c>
      <c r="AJ262" cm="1">
        <f t="array" ref="AJ262:AK262">_xlfn.XLOOKUP(M262,'Customer Data Vlookup'!$L:$L,'Customer Data Vlookup'!$M:$N,,0)</f>
        <v>0</v>
      </c>
      <c r="AK262" s="47">
        <v>198</v>
      </c>
      <c r="AL262" s="47">
        <f t="shared" si="42"/>
        <v>198</v>
      </c>
      <c r="AM262" s="58">
        <f t="shared" si="43"/>
        <v>5.7199999999999989</v>
      </c>
    </row>
    <row r="263" spans="1:39" x14ac:dyDescent="0.35">
      <c r="A263" s="1" t="s">
        <v>124</v>
      </c>
      <c r="B263" s="1" t="s">
        <v>67</v>
      </c>
      <c r="C263" s="1" t="s">
        <v>68</v>
      </c>
      <c r="D263" s="1" t="s">
        <v>69</v>
      </c>
      <c r="E263" s="1" t="s">
        <v>17</v>
      </c>
      <c r="F263" s="1" t="s">
        <v>166</v>
      </c>
      <c r="G263" s="11">
        <v>45736</v>
      </c>
      <c r="H263" s="25">
        <v>1800003762</v>
      </c>
      <c r="I263" s="1" t="s">
        <v>9</v>
      </c>
      <c r="J263" s="11">
        <v>45736</v>
      </c>
      <c r="K263" s="11">
        <v>45736</v>
      </c>
      <c r="L263" s="1" t="s">
        <v>71</v>
      </c>
      <c r="M263" s="35">
        <v>246779413629</v>
      </c>
      <c r="N263" s="1" t="s">
        <v>72</v>
      </c>
      <c r="O263" s="1" t="s">
        <v>73</v>
      </c>
      <c r="P263" s="1" t="s">
        <v>74</v>
      </c>
      <c r="Q263" s="1" t="s">
        <v>83</v>
      </c>
      <c r="R263" s="1" t="s">
        <v>76</v>
      </c>
      <c r="S263" s="12">
        <v>4.7</v>
      </c>
      <c r="T263" s="1" t="s">
        <v>77</v>
      </c>
      <c r="U263" s="12">
        <v>407.45</v>
      </c>
      <c r="V263" s="1" t="s">
        <v>78</v>
      </c>
      <c r="W263" s="1" t="s">
        <v>79</v>
      </c>
      <c r="X263" s="1" t="s">
        <v>74</v>
      </c>
      <c r="Y263" s="1" t="s">
        <v>71</v>
      </c>
      <c r="Z263" s="1" t="s">
        <v>80</v>
      </c>
      <c r="AA263" s="1" t="s">
        <v>403</v>
      </c>
      <c r="AB263" s="1" t="s">
        <v>74</v>
      </c>
      <c r="AC263" s="1" t="s">
        <v>74</v>
      </c>
      <c r="AD263" s="1" t="s">
        <v>74</v>
      </c>
      <c r="AE263" s="11">
        <v>45736</v>
      </c>
      <c r="AF263" s="11"/>
      <c r="AG263" s="1" t="s">
        <v>74</v>
      </c>
      <c r="AJ263" cm="1">
        <f t="array" ref="AJ263:AK263">_xlfn.XLOOKUP(M263,'Customer Data Vlookup'!$L:$L,'Customer Data Vlookup'!$M:$N,,0)</f>
        <v>0</v>
      </c>
      <c r="AK263" s="47">
        <v>397</v>
      </c>
      <c r="AL263" s="47">
        <f t="shared" si="42"/>
        <v>397</v>
      </c>
      <c r="AM263" s="58">
        <f t="shared" si="43"/>
        <v>10.449999999999989</v>
      </c>
    </row>
    <row r="264" spans="1:39" x14ac:dyDescent="0.35">
      <c r="A264" s="1" t="s">
        <v>124</v>
      </c>
      <c r="B264" s="1" t="s">
        <v>67</v>
      </c>
      <c r="C264" s="1" t="s">
        <v>68</v>
      </c>
      <c r="D264" s="1" t="s">
        <v>69</v>
      </c>
      <c r="E264" s="1" t="s">
        <v>17</v>
      </c>
      <c r="F264" s="1" t="s">
        <v>166</v>
      </c>
      <c r="G264" s="11">
        <v>45736</v>
      </c>
      <c r="H264" s="25">
        <v>1800003827</v>
      </c>
      <c r="I264" s="1" t="s">
        <v>9</v>
      </c>
      <c r="J264" s="11">
        <v>45736</v>
      </c>
      <c r="K264" s="11">
        <v>45736</v>
      </c>
      <c r="L264" s="1" t="s">
        <v>71</v>
      </c>
      <c r="M264" s="35">
        <v>246779413689</v>
      </c>
      <c r="N264" s="1" t="s">
        <v>72</v>
      </c>
      <c r="O264" s="1" t="s">
        <v>73</v>
      </c>
      <c r="P264" s="1" t="s">
        <v>74</v>
      </c>
      <c r="Q264" s="1" t="s">
        <v>83</v>
      </c>
      <c r="R264" s="1" t="s">
        <v>76</v>
      </c>
      <c r="S264" s="12">
        <v>18.8</v>
      </c>
      <c r="T264" s="1" t="s">
        <v>77</v>
      </c>
      <c r="U264" s="12">
        <v>1629.8</v>
      </c>
      <c r="V264" s="1" t="s">
        <v>78</v>
      </c>
      <c r="W264" s="1" t="s">
        <v>79</v>
      </c>
      <c r="X264" s="1" t="s">
        <v>74</v>
      </c>
      <c r="Y264" s="1" t="s">
        <v>71</v>
      </c>
      <c r="Z264" s="1" t="s">
        <v>80</v>
      </c>
      <c r="AA264" s="1" t="s">
        <v>403</v>
      </c>
      <c r="AB264" s="1" t="s">
        <v>74</v>
      </c>
      <c r="AC264" s="1" t="s">
        <v>74</v>
      </c>
      <c r="AD264" s="1" t="s">
        <v>74</v>
      </c>
      <c r="AE264" s="11">
        <v>45736</v>
      </c>
      <c r="AF264" s="11"/>
      <c r="AG264" s="1" t="s">
        <v>74</v>
      </c>
      <c r="AJ264" cm="1">
        <f t="array" ref="AJ264:AK264">_xlfn.XLOOKUP(M264,'Customer Data Vlookup'!$L:$L,'Customer Data Vlookup'!$M:$N,,0)</f>
        <v>0</v>
      </c>
      <c r="AK264" s="47">
        <v>1591</v>
      </c>
      <c r="AL264" s="47">
        <f t="shared" si="42"/>
        <v>1591</v>
      </c>
      <c r="AM264" s="58">
        <f t="shared" si="43"/>
        <v>38.799999999999955</v>
      </c>
    </row>
    <row r="265" spans="1:39" x14ac:dyDescent="0.35">
      <c r="A265" s="1" t="s">
        <v>124</v>
      </c>
      <c r="B265" s="1" t="s">
        <v>67</v>
      </c>
      <c r="C265" s="1" t="s">
        <v>68</v>
      </c>
      <c r="D265" s="1" t="s">
        <v>69</v>
      </c>
      <c r="E265" s="1" t="s">
        <v>17</v>
      </c>
      <c r="F265" s="1" t="s">
        <v>166</v>
      </c>
      <c r="G265" s="11">
        <v>45736</v>
      </c>
      <c r="H265" s="25">
        <v>1800003828</v>
      </c>
      <c r="I265" s="1" t="s">
        <v>9</v>
      </c>
      <c r="J265" s="11">
        <v>45736</v>
      </c>
      <c r="K265" s="11">
        <v>45736</v>
      </c>
      <c r="L265" s="1" t="s">
        <v>71</v>
      </c>
      <c r="M265" s="35">
        <v>246779413690</v>
      </c>
      <c r="N265" s="1" t="s">
        <v>72</v>
      </c>
      <c r="O265" s="1" t="s">
        <v>73</v>
      </c>
      <c r="P265" s="1" t="s">
        <v>74</v>
      </c>
      <c r="Q265" s="1" t="s">
        <v>83</v>
      </c>
      <c r="R265" s="1" t="s">
        <v>76</v>
      </c>
      <c r="S265" s="12">
        <v>2.35</v>
      </c>
      <c r="T265" s="1" t="s">
        <v>77</v>
      </c>
      <c r="U265" s="12">
        <v>203.72</v>
      </c>
      <c r="V265" s="1" t="s">
        <v>78</v>
      </c>
      <c r="W265" s="1" t="s">
        <v>79</v>
      </c>
      <c r="X265" s="1" t="s">
        <v>74</v>
      </c>
      <c r="Y265" s="1" t="s">
        <v>71</v>
      </c>
      <c r="Z265" s="1" t="s">
        <v>80</v>
      </c>
      <c r="AA265" s="1" t="s">
        <v>403</v>
      </c>
      <c r="AB265" s="1" t="s">
        <v>74</v>
      </c>
      <c r="AC265" s="1" t="s">
        <v>74</v>
      </c>
      <c r="AD265" s="1" t="s">
        <v>74</v>
      </c>
      <c r="AE265" s="11">
        <v>45736</v>
      </c>
      <c r="AF265" s="11"/>
      <c r="AG265" s="1" t="s">
        <v>74</v>
      </c>
      <c r="AJ265" cm="1">
        <f t="array" ref="AJ265:AK265">_xlfn.XLOOKUP(M265,'Customer Data Vlookup'!$L:$L,'Customer Data Vlookup'!$M:$N,,0)</f>
        <v>0</v>
      </c>
      <c r="AK265" s="47">
        <v>198</v>
      </c>
      <c r="AL265" s="47">
        <f t="shared" si="42"/>
        <v>198</v>
      </c>
      <c r="AM265" s="58">
        <f t="shared" si="43"/>
        <v>5.7199999999999989</v>
      </c>
    </row>
    <row r="266" spans="1:39" x14ac:dyDescent="0.35">
      <c r="A266" s="1" t="s">
        <v>124</v>
      </c>
      <c r="B266" s="1" t="s">
        <v>67</v>
      </c>
      <c r="C266" s="1" t="s">
        <v>68</v>
      </c>
      <c r="D266" s="1" t="s">
        <v>69</v>
      </c>
      <c r="E266" s="1" t="s">
        <v>17</v>
      </c>
      <c r="F266" s="1" t="s">
        <v>166</v>
      </c>
      <c r="G266" s="11">
        <v>45736</v>
      </c>
      <c r="H266" s="25">
        <v>1800003829</v>
      </c>
      <c r="I266" s="1" t="s">
        <v>9</v>
      </c>
      <c r="J266" s="11">
        <v>45736</v>
      </c>
      <c r="K266" s="11">
        <v>45736</v>
      </c>
      <c r="L266" s="1" t="s">
        <v>71</v>
      </c>
      <c r="M266" s="35">
        <v>246779413691</v>
      </c>
      <c r="N266" s="1" t="s">
        <v>72</v>
      </c>
      <c r="O266" s="1" t="s">
        <v>73</v>
      </c>
      <c r="P266" s="1" t="s">
        <v>74</v>
      </c>
      <c r="Q266" s="1" t="s">
        <v>83</v>
      </c>
      <c r="R266" s="1" t="s">
        <v>76</v>
      </c>
      <c r="S266" s="12">
        <v>7.05</v>
      </c>
      <c r="T266" s="1" t="s">
        <v>77</v>
      </c>
      <c r="U266" s="12">
        <v>611.16999999999996</v>
      </c>
      <c r="V266" s="1" t="s">
        <v>78</v>
      </c>
      <c r="W266" s="1" t="s">
        <v>79</v>
      </c>
      <c r="X266" s="1" t="s">
        <v>74</v>
      </c>
      <c r="Y266" s="1" t="s">
        <v>71</v>
      </c>
      <c r="Z266" s="1" t="s">
        <v>80</v>
      </c>
      <c r="AA266" s="1" t="s">
        <v>403</v>
      </c>
      <c r="AB266" s="1" t="s">
        <v>74</v>
      </c>
      <c r="AC266" s="1" t="s">
        <v>74</v>
      </c>
      <c r="AD266" s="1" t="s">
        <v>74</v>
      </c>
      <c r="AE266" s="11">
        <v>45736</v>
      </c>
      <c r="AF266" s="11"/>
      <c r="AG266" s="1" t="s">
        <v>74</v>
      </c>
      <c r="AJ266" cm="1">
        <f t="array" ref="AJ266:AK266">_xlfn.XLOOKUP(M266,'Customer Data Vlookup'!$L:$L,'Customer Data Vlookup'!$M:$N,,0)</f>
        <v>0</v>
      </c>
      <c r="AK266" s="47">
        <v>596</v>
      </c>
      <c r="AL266" s="47">
        <f t="shared" si="42"/>
        <v>596</v>
      </c>
      <c r="AM266" s="58">
        <f t="shared" si="43"/>
        <v>15.169999999999959</v>
      </c>
    </row>
    <row r="267" spans="1:39" x14ac:dyDescent="0.35">
      <c r="A267" s="1" t="s">
        <v>124</v>
      </c>
      <c r="B267" s="1" t="s">
        <v>67</v>
      </c>
      <c r="C267" s="1" t="s">
        <v>68</v>
      </c>
      <c r="D267" s="1" t="s">
        <v>69</v>
      </c>
      <c r="E267" s="1" t="s">
        <v>17</v>
      </c>
      <c r="F267" s="1" t="s">
        <v>166</v>
      </c>
      <c r="G267" s="11">
        <v>45736</v>
      </c>
      <c r="H267" s="25">
        <v>1800003830</v>
      </c>
      <c r="I267" s="1" t="s">
        <v>9</v>
      </c>
      <c r="J267" s="11">
        <v>45736</v>
      </c>
      <c r="K267" s="11">
        <v>45736</v>
      </c>
      <c r="L267" s="1" t="s">
        <v>71</v>
      </c>
      <c r="M267" s="35">
        <v>246779413692</v>
      </c>
      <c r="N267" s="1" t="s">
        <v>72</v>
      </c>
      <c r="O267" s="1" t="s">
        <v>73</v>
      </c>
      <c r="P267" s="1" t="s">
        <v>74</v>
      </c>
      <c r="Q267" s="1" t="s">
        <v>83</v>
      </c>
      <c r="R267" s="1" t="s">
        <v>76</v>
      </c>
      <c r="S267" s="12">
        <v>2.35</v>
      </c>
      <c r="T267" s="1" t="s">
        <v>77</v>
      </c>
      <c r="U267" s="12">
        <v>203.72</v>
      </c>
      <c r="V267" s="1" t="s">
        <v>78</v>
      </c>
      <c r="W267" s="1" t="s">
        <v>79</v>
      </c>
      <c r="X267" s="1" t="s">
        <v>74</v>
      </c>
      <c r="Y267" s="1" t="s">
        <v>71</v>
      </c>
      <c r="Z267" s="1" t="s">
        <v>80</v>
      </c>
      <c r="AA267" s="1" t="s">
        <v>403</v>
      </c>
      <c r="AB267" s="1" t="s">
        <v>74</v>
      </c>
      <c r="AC267" s="1" t="s">
        <v>74</v>
      </c>
      <c r="AD267" s="1" t="s">
        <v>74</v>
      </c>
      <c r="AE267" s="11">
        <v>45736</v>
      </c>
      <c r="AF267" s="11"/>
      <c r="AG267" s="1" t="s">
        <v>74</v>
      </c>
      <c r="AJ267" cm="1">
        <f t="array" ref="AJ267:AK267">_xlfn.XLOOKUP(M267,'Customer Data Vlookup'!$L:$L,'Customer Data Vlookup'!$M:$N,,0)</f>
        <v>0</v>
      </c>
      <c r="AK267" s="47">
        <v>191</v>
      </c>
      <c r="AL267" s="47">
        <f t="shared" si="42"/>
        <v>191</v>
      </c>
      <c r="AM267" s="58">
        <f t="shared" si="43"/>
        <v>12.719999999999999</v>
      </c>
    </row>
    <row r="268" spans="1:39" x14ac:dyDescent="0.35">
      <c r="A268" s="1" t="s">
        <v>124</v>
      </c>
      <c r="B268" s="1" t="s">
        <v>67</v>
      </c>
      <c r="C268" s="1" t="s">
        <v>68</v>
      </c>
      <c r="D268" s="1" t="s">
        <v>69</v>
      </c>
      <c r="E268" s="1" t="s">
        <v>17</v>
      </c>
      <c r="F268" s="1" t="s">
        <v>166</v>
      </c>
      <c r="G268" s="11">
        <v>45736</v>
      </c>
      <c r="H268" s="25">
        <v>1800003831</v>
      </c>
      <c r="I268" s="1" t="s">
        <v>9</v>
      </c>
      <c r="J268" s="11">
        <v>45736</v>
      </c>
      <c r="K268" s="11">
        <v>45736</v>
      </c>
      <c r="L268" s="1" t="s">
        <v>71</v>
      </c>
      <c r="M268" s="35">
        <v>246779413693</v>
      </c>
      <c r="N268" s="1" t="s">
        <v>72</v>
      </c>
      <c r="O268" s="1" t="s">
        <v>73</v>
      </c>
      <c r="P268" s="1" t="s">
        <v>74</v>
      </c>
      <c r="Q268" s="1" t="s">
        <v>83</v>
      </c>
      <c r="R268" s="1" t="s">
        <v>76</v>
      </c>
      <c r="S268" s="12">
        <v>84.6</v>
      </c>
      <c r="T268" s="1" t="s">
        <v>77</v>
      </c>
      <c r="U268" s="12">
        <v>7334.08</v>
      </c>
      <c r="V268" s="1" t="s">
        <v>78</v>
      </c>
      <c r="W268" s="1" t="s">
        <v>79</v>
      </c>
      <c r="X268" s="1" t="s">
        <v>74</v>
      </c>
      <c r="Y268" s="1" t="s">
        <v>71</v>
      </c>
      <c r="Z268" s="1" t="s">
        <v>80</v>
      </c>
      <c r="AA268" s="1" t="s">
        <v>403</v>
      </c>
      <c r="AB268" s="1" t="s">
        <v>74</v>
      </c>
      <c r="AC268" s="1" t="s">
        <v>74</v>
      </c>
      <c r="AD268" s="1" t="s">
        <v>74</v>
      </c>
      <c r="AE268" s="11">
        <v>45736</v>
      </c>
      <c r="AF268" s="11"/>
      <c r="AG268" s="1" t="s">
        <v>74</v>
      </c>
      <c r="AJ268" cm="1">
        <f t="array" ref="AJ268:AK268">_xlfn.XLOOKUP(M268,'Customer Data Vlookup'!$L:$L,'Customer Data Vlookup'!$M:$N,,0)</f>
        <v>0</v>
      </c>
      <c r="AK268" s="47">
        <v>6896</v>
      </c>
      <c r="AL268" s="47">
        <f t="shared" si="42"/>
        <v>6896</v>
      </c>
      <c r="AM268" s="58">
        <f t="shared" si="43"/>
        <v>438.07999999999993</v>
      </c>
    </row>
    <row r="269" spans="1:39" x14ac:dyDescent="0.35">
      <c r="A269" s="1" t="s">
        <v>124</v>
      </c>
      <c r="B269" s="1" t="s">
        <v>67</v>
      </c>
      <c r="C269" s="1" t="s">
        <v>68</v>
      </c>
      <c r="D269" s="1" t="s">
        <v>69</v>
      </c>
      <c r="E269" s="1" t="s">
        <v>17</v>
      </c>
      <c r="F269" s="1" t="s">
        <v>166</v>
      </c>
      <c r="G269" s="11">
        <v>45736</v>
      </c>
      <c r="H269" s="25">
        <v>1800003832</v>
      </c>
      <c r="I269" s="1" t="s">
        <v>9</v>
      </c>
      <c r="J269" s="11">
        <v>45736</v>
      </c>
      <c r="K269" s="11">
        <v>45736</v>
      </c>
      <c r="L269" s="1" t="s">
        <v>71</v>
      </c>
      <c r="M269" s="35">
        <v>246779413694</v>
      </c>
      <c r="N269" s="1" t="s">
        <v>72</v>
      </c>
      <c r="O269" s="1" t="s">
        <v>73</v>
      </c>
      <c r="P269" s="1" t="s">
        <v>74</v>
      </c>
      <c r="Q269" s="1" t="s">
        <v>83</v>
      </c>
      <c r="R269" s="1" t="s">
        <v>76</v>
      </c>
      <c r="S269" s="12">
        <v>42.3</v>
      </c>
      <c r="T269" s="1" t="s">
        <v>77</v>
      </c>
      <c r="U269" s="12">
        <v>3667.04</v>
      </c>
      <c r="V269" s="1" t="s">
        <v>78</v>
      </c>
      <c r="W269" s="1" t="s">
        <v>79</v>
      </c>
      <c r="X269" s="1" t="s">
        <v>74</v>
      </c>
      <c r="Y269" s="1" t="s">
        <v>71</v>
      </c>
      <c r="Z269" s="1" t="s">
        <v>80</v>
      </c>
      <c r="AA269" s="1" t="s">
        <v>403</v>
      </c>
      <c r="AB269" s="1" t="s">
        <v>74</v>
      </c>
      <c r="AC269" s="1" t="s">
        <v>74</v>
      </c>
      <c r="AD269" s="1" t="s">
        <v>74</v>
      </c>
      <c r="AE269" s="11">
        <v>45736</v>
      </c>
      <c r="AF269" s="11"/>
      <c r="AG269" s="1" t="s">
        <v>74</v>
      </c>
      <c r="AJ269" cm="1">
        <f t="array" ref="AJ269:AK269">_xlfn.XLOOKUP(M269,'Customer Data Vlookup'!$L:$L,'Customer Data Vlookup'!$M:$N,,0)</f>
        <v>0</v>
      </c>
      <c r="AK269" s="47">
        <v>3448</v>
      </c>
      <c r="AL269" s="47">
        <f t="shared" si="42"/>
        <v>3448</v>
      </c>
      <c r="AM269" s="58">
        <f t="shared" si="43"/>
        <v>219.03999999999996</v>
      </c>
    </row>
    <row r="270" spans="1:39" x14ac:dyDescent="0.35">
      <c r="A270" s="1" t="s">
        <v>124</v>
      </c>
      <c r="B270" s="1" t="s">
        <v>67</v>
      </c>
      <c r="C270" s="1" t="s">
        <v>68</v>
      </c>
      <c r="D270" s="1" t="s">
        <v>69</v>
      </c>
      <c r="E270" s="1" t="s">
        <v>17</v>
      </c>
      <c r="F270" s="1" t="s">
        <v>166</v>
      </c>
      <c r="G270" s="11">
        <v>45736</v>
      </c>
      <c r="H270" s="25">
        <v>1800003833</v>
      </c>
      <c r="I270" s="1" t="s">
        <v>9</v>
      </c>
      <c r="J270" s="11">
        <v>45736</v>
      </c>
      <c r="K270" s="11">
        <v>45736</v>
      </c>
      <c r="L270" s="1" t="s">
        <v>71</v>
      </c>
      <c r="M270" s="35">
        <v>246779413695</v>
      </c>
      <c r="N270" s="1" t="s">
        <v>72</v>
      </c>
      <c r="O270" s="1" t="s">
        <v>73</v>
      </c>
      <c r="P270" s="1" t="s">
        <v>74</v>
      </c>
      <c r="Q270" s="1" t="s">
        <v>83</v>
      </c>
      <c r="R270" s="1" t="s">
        <v>76</v>
      </c>
      <c r="S270" s="12">
        <v>2.35</v>
      </c>
      <c r="T270" s="1" t="s">
        <v>77</v>
      </c>
      <c r="U270" s="12">
        <v>203.72</v>
      </c>
      <c r="V270" s="1" t="s">
        <v>78</v>
      </c>
      <c r="W270" s="1" t="s">
        <v>79</v>
      </c>
      <c r="X270" s="1" t="s">
        <v>74</v>
      </c>
      <c r="Y270" s="1" t="s">
        <v>71</v>
      </c>
      <c r="Z270" s="1" t="s">
        <v>80</v>
      </c>
      <c r="AA270" s="1" t="s">
        <v>403</v>
      </c>
      <c r="AB270" s="1" t="s">
        <v>74</v>
      </c>
      <c r="AC270" s="1" t="s">
        <v>74</v>
      </c>
      <c r="AD270" s="1" t="s">
        <v>74</v>
      </c>
      <c r="AE270" s="11">
        <v>45736</v>
      </c>
      <c r="AF270" s="11"/>
      <c r="AG270" s="1" t="s">
        <v>74</v>
      </c>
      <c r="AJ270" cm="1">
        <f t="array" ref="AJ270:AK270">_xlfn.XLOOKUP(M270,'Customer Data Vlookup'!$L:$L,'Customer Data Vlookup'!$M:$N,,0)</f>
        <v>0</v>
      </c>
      <c r="AK270" s="47">
        <v>191</v>
      </c>
      <c r="AL270" s="47">
        <f t="shared" si="42"/>
        <v>191</v>
      </c>
      <c r="AM270" s="58">
        <f t="shared" si="43"/>
        <v>12.719999999999999</v>
      </c>
    </row>
    <row r="271" spans="1:39" x14ac:dyDescent="0.35">
      <c r="A271" s="1" t="s">
        <v>124</v>
      </c>
      <c r="B271" s="1" t="s">
        <v>67</v>
      </c>
      <c r="C271" s="1" t="s">
        <v>68</v>
      </c>
      <c r="D271" s="1" t="s">
        <v>69</v>
      </c>
      <c r="E271" s="1" t="s">
        <v>17</v>
      </c>
      <c r="F271" s="1" t="s">
        <v>166</v>
      </c>
      <c r="G271" s="11">
        <v>45736</v>
      </c>
      <c r="H271" s="25">
        <v>1800003834</v>
      </c>
      <c r="I271" s="1" t="s">
        <v>9</v>
      </c>
      <c r="J271" s="11">
        <v>45736</v>
      </c>
      <c r="K271" s="11">
        <v>45736</v>
      </c>
      <c r="L271" s="1" t="s">
        <v>71</v>
      </c>
      <c r="M271" s="35">
        <v>246779413696</v>
      </c>
      <c r="N271" s="1" t="s">
        <v>72</v>
      </c>
      <c r="O271" s="1" t="s">
        <v>73</v>
      </c>
      <c r="P271" s="1" t="s">
        <v>74</v>
      </c>
      <c r="Q271" s="1" t="s">
        <v>83</v>
      </c>
      <c r="R271" s="1" t="s">
        <v>76</v>
      </c>
      <c r="S271" s="12">
        <v>4.7</v>
      </c>
      <c r="T271" s="1" t="s">
        <v>77</v>
      </c>
      <c r="U271" s="12">
        <v>407.45</v>
      </c>
      <c r="V271" s="1" t="s">
        <v>78</v>
      </c>
      <c r="W271" s="1" t="s">
        <v>79</v>
      </c>
      <c r="X271" s="1" t="s">
        <v>74</v>
      </c>
      <c r="Y271" s="1" t="s">
        <v>71</v>
      </c>
      <c r="Z271" s="1" t="s">
        <v>80</v>
      </c>
      <c r="AA271" s="1" t="s">
        <v>403</v>
      </c>
      <c r="AB271" s="1" t="s">
        <v>74</v>
      </c>
      <c r="AC271" s="1" t="s">
        <v>74</v>
      </c>
      <c r="AD271" s="1" t="s">
        <v>74</v>
      </c>
      <c r="AE271" s="11">
        <v>45736</v>
      </c>
      <c r="AF271" s="11"/>
      <c r="AG271" s="1" t="s">
        <v>74</v>
      </c>
      <c r="AJ271" cm="1">
        <f t="array" ref="AJ271:AK271">_xlfn.XLOOKUP(M271,'Customer Data Vlookup'!$L:$L,'Customer Data Vlookup'!$M:$N,,0)</f>
        <v>0</v>
      </c>
      <c r="AK271" s="47">
        <v>382</v>
      </c>
      <c r="AL271" s="47">
        <f t="shared" si="42"/>
        <v>382</v>
      </c>
      <c r="AM271" s="58">
        <f t="shared" si="43"/>
        <v>25.449999999999989</v>
      </c>
    </row>
    <row r="272" spans="1:39" x14ac:dyDescent="0.35">
      <c r="A272" s="1" t="s">
        <v>124</v>
      </c>
      <c r="B272" s="1" t="s">
        <v>67</v>
      </c>
      <c r="C272" s="1" t="s">
        <v>68</v>
      </c>
      <c r="D272" s="1" t="s">
        <v>69</v>
      </c>
      <c r="E272" s="1" t="s">
        <v>17</v>
      </c>
      <c r="F272" s="1" t="s">
        <v>166</v>
      </c>
      <c r="G272" s="11">
        <v>45736</v>
      </c>
      <c r="H272" s="25">
        <v>1800003779</v>
      </c>
      <c r="I272" s="1" t="s">
        <v>9</v>
      </c>
      <c r="J272" s="11">
        <v>45736</v>
      </c>
      <c r="K272" s="11">
        <v>45736</v>
      </c>
      <c r="L272" s="1" t="s">
        <v>71</v>
      </c>
      <c r="M272" s="35">
        <v>246779413701</v>
      </c>
      <c r="N272" s="1" t="s">
        <v>72</v>
      </c>
      <c r="O272" s="1" t="s">
        <v>73</v>
      </c>
      <c r="P272" s="1" t="s">
        <v>74</v>
      </c>
      <c r="Q272" s="1" t="s">
        <v>83</v>
      </c>
      <c r="R272" s="1" t="s">
        <v>76</v>
      </c>
      <c r="S272" s="12">
        <v>216.2</v>
      </c>
      <c r="T272" s="1" t="s">
        <v>77</v>
      </c>
      <c r="U272" s="12">
        <v>18742.650000000001</v>
      </c>
      <c r="V272" s="1" t="s">
        <v>78</v>
      </c>
      <c r="W272" s="1" t="s">
        <v>79</v>
      </c>
      <c r="X272" s="1" t="s">
        <v>74</v>
      </c>
      <c r="Y272" s="1" t="s">
        <v>71</v>
      </c>
      <c r="Z272" s="1" t="s">
        <v>80</v>
      </c>
      <c r="AA272" s="1" t="s">
        <v>404</v>
      </c>
      <c r="AB272" s="1" t="s">
        <v>74</v>
      </c>
      <c r="AC272" s="1" t="s">
        <v>74</v>
      </c>
      <c r="AD272" s="1" t="s">
        <v>74</v>
      </c>
      <c r="AE272" s="11">
        <v>45736</v>
      </c>
      <c r="AF272" s="11"/>
      <c r="AG272" s="1" t="s">
        <v>74</v>
      </c>
      <c r="AJ272" cm="1">
        <f t="array" ref="AJ272:AK272">_xlfn.XLOOKUP(M272,'Customer Data Vlookup'!$L:$L,'Customer Data Vlookup'!$M:$N,,0)</f>
        <v>0</v>
      </c>
      <c r="AK272" s="47">
        <v>18367</v>
      </c>
      <c r="AL272" s="47">
        <f t="shared" si="42"/>
        <v>18367</v>
      </c>
      <c r="AM272" s="58">
        <f t="shared" si="43"/>
        <v>375.65000000000146</v>
      </c>
    </row>
    <row r="273" spans="1:39" x14ac:dyDescent="0.35">
      <c r="A273" s="1" t="s">
        <v>124</v>
      </c>
      <c r="B273" s="1" t="s">
        <v>67</v>
      </c>
      <c r="C273" s="1" t="s">
        <v>68</v>
      </c>
      <c r="D273" s="1" t="s">
        <v>69</v>
      </c>
      <c r="E273" s="1" t="s">
        <v>17</v>
      </c>
      <c r="F273" s="1" t="s">
        <v>166</v>
      </c>
      <c r="G273" s="11">
        <v>45736</v>
      </c>
      <c r="H273" s="25">
        <v>1800003782</v>
      </c>
      <c r="I273" s="1" t="s">
        <v>9</v>
      </c>
      <c r="J273" s="11">
        <v>45736</v>
      </c>
      <c r="K273" s="11">
        <v>45736</v>
      </c>
      <c r="L273" s="1" t="s">
        <v>71</v>
      </c>
      <c r="M273" s="35">
        <v>246779413704</v>
      </c>
      <c r="N273" s="1" t="s">
        <v>72</v>
      </c>
      <c r="O273" s="1" t="s">
        <v>73</v>
      </c>
      <c r="P273" s="1" t="s">
        <v>74</v>
      </c>
      <c r="Q273" s="1" t="s">
        <v>83</v>
      </c>
      <c r="R273" s="1" t="s">
        <v>76</v>
      </c>
      <c r="S273" s="12">
        <v>152.75</v>
      </c>
      <c r="T273" s="1" t="s">
        <v>77</v>
      </c>
      <c r="U273" s="12">
        <v>13242.09</v>
      </c>
      <c r="V273" s="1" t="s">
        <v>78</v>
      </c>
      <c r="W273" s="1" t="s">
        <v>79</v>
      </c>
      <c r="X273" s="1" t="s">
        <v>74</v>
      </c>
      <c r="Y273" s="1" t="s">
        <v>71</v>
      </c>
      <c r="Z273" s="1" t="s">
        <v>80</v>
      </c>
      <c r="AA273" s="1" t="s">
        <v>405</v>
      </c>
      <c r="AB273" s="1" t="s">
        <v>74</v>
      </c>
      <c r="AC273" s="1" t="s">
        <v>74</v>
      </c>
      <c r="AD273" s="1" t="s">
        <v>74</v>
      </c>
      <c r="AE273" s="11">
        <v>45736</v>
      </c>
      <c r="AF273" s="11"/>
      <c r="AG273" s="1" t="s">
        <v>74</v>
      </c>
      <c r="AJ273" cm="1">
        <f t="array" ref="AJ273:AK273">_xlfn.XLOOKUP(M273,'Customer Data Vlookup'!$L:$L,'Customer Data Vlookup'!$M:$N,,0)</f>
        <v>0</v>
      </c>
      <c r="AK273" s="47">
        <v>13011</v>
      </c>
      <c r="AL273" s="47">
        <f t="shared" si="42"/>
        <v>13011</v>
      </c>
      <c r="AM273" s="58">
        <f t="shared" si="43"/>
        <v>231.09000000000015</v>
      </c>
    </row>
    <row r="274" spans="1:39" x14ac:dyDescent="0.35">
      <c r="A274" s="1" t="s">
        <v>124</v>
      </c>
      <c r="B274" s="1" t="s">
        <v>67</v>
      </c>
      <c r="C274" s="1" t="s">
        <v>68</v>
      </c>
      <c r="D274" s="1" t="s">
        <v>69</v>
      </c>
      <c r="E274" s="1" t="s">
        <v>17</v>
      </c>
      <c r="F274" s="1" t="s">
        <v>166</v>
      </c>
      <c r="G274" s="11">
        <v>45736</v>
      </c>
      <c r="H274" s="25">
        <v>1800003865</v>
      </c>
      <c r="I274" s="1" t="s">
        <v>9</v>
      </c>
      <c r="J274" s="11">
        <v>45736</v>
      </c>
      <c r="K274" s="11">
        <v>45736</v>
      </c>
      <c r="L274" s="1" t="s">
        <v>71</v>
      </c>
      <c r="M274" s="35">
        <v>246779413733</v>
      </c>
      <c r="N274" s="1" t="s">
        <v>72</v>
      </c>
      <c r="O274" s="1" t="s">
        <v>73</v>
      </c>
      <c r="P274" s="1" t="s">
        <v>74</v>
      </c>
      <c r="Q274" s="1" t="s">
        <v>83</v>
      </c>
      <c r="R274" s="1" t="s">
        <v>76</v>
      </c>
      <c r="S274" s="12">
        <v>2.35</v>
      </c>
      <c r="T274" s="1" t="s">
        <v>77</v>
      </c>
      <c r="U274" s="12">
        <v>203.72</v>
      </c>
      <c r="V274" s="1" t="s">
        <v>78</v>
      </c>
      <c r="W274" s="1" t="s">
        <v>79</v>
      </c>
      <c r="X274" s="1" t="s">
        <v>74</v>
      </c>
      <c r="Y274" s="1" t="s">
        <v>71</v>
      </c>
      <c r="Z274" s="1" t="s">
        <v>80</v>
      </c>
      <c r="AA274" s="1" t="s">
        <v>403</v>
      </c>
      <c r="AB274" s="1" t="s">
        <v>74</v>
      </c>
      <c r="AC274" s="1" t="s">
        <v>74</v>
      </c>
      <c r="AD274" s="1" t="s">
        <v>74</v>
      </c>
      <c r="AE274" s="11">
        <v>45736</v>
      </c>
      <c r="AF274" s="11"/>
      <c r="AG274" s="1" t="s">
        <v>74</v>
      </c>
      <c r="AJ274" cm="1">
        <f t="array" ref="AJ274:AK274">_xlfn.XLOOKUP(M274,'Customer Data Vlookup'!$L:$L,'Customer Data Vlookup'!$M:$N,,0)</f>
        <v>0</v>
      </c>
      <c r="AK274" s="47">
        <v>191</v>
      </c>
      <c r="AL274" s="47">
        <f t="shared" si="42"/>
        <v>191</v>
      </c>
      <c r="AM274" s="58">
        <f t="shared" si="43"/>
        <v>12.719999999999999</v>
      </c>
    </row>
    <row r="275" spans="1:39" x14ac:dyDescent="0.35">
      <c r="A275" s="1" t="s">
        <v>124</v>
      </c>
      <c r="B275" s="1" t="s">
        <v>67</v>
      </c>
      <c r="C275" s="1" t="s">
        <v>68</v>
      </c>
      <c r="D275" s="1" t="s">
        <v>69</v>
      </c>
      <c r="E275" s="1" t="s">
        <v>17</v>
      </c>
      <c r="F275" s="1" t="s">
        <v>166</v>
      </c>
      <c r="G275" s="11">
        <v>45736</v>
      </c>
      <c r="H275" s="25">
        <v>1800003866</v>
      </c>
      <c r="I275" s="1" t="s">
        <v>9</v>
      </c>
      <c r="J275" s="11">
        <v>45736</v>
      </c>
      <c r="K275" s="11">
        <v>45736</v>
      </c>
      <c r="L275" s="1" t="s">
        <v>71</v>
      </c>
      <c r="M275" s="35">
        <v>246779413734</v>
      </c>
      <c r="N275" s="1" t="s">
        <v>72</v>
      </c>
      <c r="O275" s="1" t="s">
        <v>73</v>
      </c>
      <c r="P275" s="1" t="s">
        <v>74</v>
      </c>
      <c r="Q275" s="1" t="s">
        <v>83</v>
      </c>
      <c r="R275" s="1" t="s">
        <v>76</v>
      </c>
      <c r="S275" s="12">
        <v>42.3</v>
      </c>
      <c r="T275" s="1" t="s">
        <v>77</v>
      </c>
      <c r="U275" s="12">
        <v>3667.04</v>
      </c>
      <c r="V275" s="1" t="s">
        <v>78</v>
      </c>
      <c r="W275" s="1" t="s">
        <v>79</v>
      </c>
      <c r="X275" s="1" t="s">
        <v>74</v>
      </c>
      <c r="Y275" s="1" t="s">
        <v>71</v>
      </c>
      <c r="Z275" s="1" t="s">
        <v>80</v>
      </c>
      <c r="AA275" s="1" t="s">
        <v>403</v>
      </c>
      <c r="AB275" s="1" t="s">
        <v>74</v>
      </c>
      <c r="AC275" s="1" t="s">
        <v>74</v>
      </c>
      <c r="AD275" s="1" t="s">
        <v>74</v>
      </c>
      <c r="AE275" s="11">
        <v>45736</v>
      </c>
      <c r="AF275" s="11"/>
      <c r="AG275" s="1" t="s">
        <v>74</v>
      </c>
      <c r="AJ275" cm="1">
        <f t="array" ref="AJ275:AK275">_xlfn.XLOOKUP(M275,'Customer Data Vlookup'!$L:$L,'Customer Data Vlookup'!$M:$N,,0)</f>
        <v>0</v>
      </c>
      <c r="AK275" s="47">
        <v>3448</v>
      </c>
      <c r="AL275" s="47">
        <f t="shared" si="42"/>
        <v>3448</v>
      </c>
      <c r="AM275" s="58">
        <f t="shared" si="43"/>
        <v>219.03999999999996</v>
      </c>
    </row>
    <row r="276" spans="1:39" x14ac:dyDescent="0.35">
      <c r="A276" s="1" t="s">
        <v>124</v>
      </c>
      <c r="B276" s="1" t="s">
        <v>67</v>
      </c>
      <c r="C276" s="1" t="s">
        <v>68</v>
      </c>
      <c r="D276" s="1" t="s">
        <v>69</v>
      </c>
      <c r="E276" s="1" t="s">
        <v>17</v>
      </c>
      <c r="F276" s="1" t="s">
        <v>166</v>
      </c>
      <c r="G276" s="11">
        <v>45736</v>
      </c>
      <c r="H276" s="25">
        <v>1800003867</v>
      </c>
      <c r="I276" s="1" t="s">
        <v>9</v>
      </c>
      <c r="J276" s="11">
        <v>45736</v>
      </c>
      <c r="K276" s="11">
        <v>45736</v>
      </c>
      <c r="L276" s="1" t="s">
        <v>71</v>
      </c>
      <c r="M276" s="35">
        <v>246779413735</v>
      </c>
      <c r="N276" s="1" t="s">
        <v>72</v>
      </c>
      <c r="O276" s="1" t="s">
        <v>73</v>
      </c>
      <c r="P276" s="1" t="s">
        <v>74</v>
      </c>
      <c r="Q276" s="1" t="s">
        <v>83</v>
      </c>
      <c r="R276" s="1" t="s">
        <v>76</v>
      </c>
      <c r="S276" s="12">
        <v>84.6</v>
      </c>
      <c r="T276" s="1" t="s">
        <v>77</v>
      </c>
      <c r="U276" s="12">
        <v>7334.08</v>
      </c>
      <c r="V276" s="1" t="s">
        <v>78</v>
      </c>
      <c r="W276" s="1" t="s">
        <v>79</v>
      </c>
      <c r="X276" s="1" t="s">
        <v>74</v>
      </c>
      <c r="Y276" s="1" t="s">
        <v>71</v>
      </c>
      <c r="Z276" s="1" t="s">
        <v>80</v>
      </c>
      <c r="AA276" s="1" t="s">
        <v>403</v>
      </c>
      <c r="AB276" s="1" t="s">
        <v>74</v>
      </c>
      <c r="AC276" s="1" t="s">
        <v>74</v>
      </c>
      <c r="AD276" s="1" t="s">
        <v>74</v>
      </c>
      <c r="AE276" s="11">
        <v>45736</v>
      </c>
      <c r="AF276" s="11"/>
      <c r="AG276" s="1" t="s">
        <v>74</v>
      </c>
      <c r="AJ276" cm="1">
        <f t="array" ref="AJ276:AK276">_xlfn.XLOOKUP(M276,'Customer Data Vlookup'!$L:$L,'Customer Data Vlookup'!$M:$N,,0)</f>
        <v>0</v>
      </c>
      <c r="AK276" s="47">
        <v>6896</v>
      </c>
      <c r="AL276" s="47">
        <f t="shared" si="42"/>
        <v>6896</v>
      </c>
      <c r="AM276" s="58">
        <f t="shared" si="43"/>
        <v>438.07999999999993</v>
      </c>
    </row>
    <row r="277" spans="1:39" x14ac:dyDescent="0.35">
      <c r="A277" s="1" t="s">
        <v>124</v>
      </c>
      <c r="B277" s="1" t="s">
        <v>67</v>
      </c>
      <c r="C277" s="1" t="s">
        <v>68</v>
      </c>
      <c r="D277" s="1" t="s">
        <v>69</v>
      </c>
      <c r="E277" s="1" t="s">
        <v>17</v>
      </c>
      <c r="F277" s="1" t="s">
        <v>166</v>
      </c>
      <c r="G277" s="11">
        <v>45736</v>
      </c>
      <c r="H277" s="25">
        <v>1800003868</v>
      </c>
      <c r="I277" s="1" t="s">
        <v>9</v>
      </c>
      <c r="J277" s="11">
        <v>45736</v>
      </c>
      <c r="K277" s="11">
        <v>45736</v>
      </c>
      <c r="L277" s="1" t="s">
        <v>71</v>
      </c>
      <c r="M277" s="35">
        <v>246779413736</v>
      </c>
      <c r="N277" s="1" t="s">
        <v>72</v>
      </c>
      <c r="O277" s="1" t="s">
        <v>73</v>
      </c>
      <c r="P277" s="1" t="s">
        <v>74</v>
      </c>
      <c r="Q277" s="1" t="s">
        <v>83</v>
      </c>
      <c r="R277" s="1" t="s">
        <v>76</v>
      </c>
      <c r="S277" s="12">
        <v>79.900000000000006</v>
      </c>
      <c r="T277" s="1" t="s">
        <v>77</v>
      </c>
      <c r="U277" s="12">
        <v>6926.63</v>
      </c>
      <c r="V277" s="1" t="s">
        <v>78</v>
      </c>
      <c r="W277" s="1" t="s">
        <v>79</v>
      </c>
      <c r="X277" s="1" t="s">
        <v>74</v>
      </c>
      <c r="Y277" s="1" t="s">
        <v>71</v>
      </c>
      <c r="Z277" s="1" t="s">
        <v>80</v>
      </c>
      <c r="AA277" s="1" t="s">
        <v>403</v>
      </c>
      <c r="AB277" s="1" t="s">
        <v>74</v>
      </c>
      <c r="AC277" s="1" t="s">
        <v>74</v>
      </c>
      <c r="AD277" s="1" t="s">
        <v>74</v>
      </c>
      <c r="AE277" s="11">
        <v>45736</v>
      </c>
      <c r="AF277" s="11"/>
      <c r="AG277" s="1" t="s">
        <v>74</v>
      </c>
      <c r="AJ277" cm="1">
        <f t="array" ref="AJ277:AK277">_xlfn.XLOOKUP(M277,'Customer Data Vlookup'!$L:$L,'Customer Data Vlookup'!$M:$N,,0)</f>
        <v>0</v>
      </c>
      <c r="AK277" s="47">
        <v>6513</v>
      </c>
      <c r="AL277" s="47">
        <f t="shared" si="42"/>
        <v>6513</v>
      </c>
      <c r="AM277" s="58">
        <f t="shared" si="43"/>
        <v>413.63000000000011</v>
      </c>
    </row>
    <row r="278" spans="1:39" x14ac:dyDescent="0.35">
      <c r="A278" s="1" t="s">
        <v>124</v>
      </c>
      <c r="B278" s="1" t="s">
        <v>67</v>
      </c>
      <c r="C278" s="1" t="s">
        <v>68</v>
      </c>
      <c r="D278" s="1" t="s">
        <v>69</v>
      </c>
      <c r="E278" s="1" t="s">
        <v>17</v>
      </c>
      <c r="F278" s="1" t="s">
        <v>166</v>
      </c>
      <c r="G278" s="11">
        <v>45736</v>
      </c>
      <c r="H278" s="25">
        <v>1800003869</v>
      </c>
      <c r="I278" s="1" t="s">
        <v>9</v>
      </c>
      <c r="J278" s="11">
        <v>45736</v>
      </c>
      <c r="K278" s="11">
        <v>45736</v>
      </c>
      <c r="L278" s="1" t="s">
        <v>71</v>
      </c>
      <c r="M278" s="35">
        <v>246779413737</v>
      </c>
      <c r="N278" s="1" t="s">
        <v>72</v>
      </c>
      <c r="O278" s="1" t="s">
        <v>73</v>
      </c>
      <c r="P278" s="1" t="s">
        <v>74</v>
      </c>
      <c r="Q278" s="1" t="s">
        <v>83</v>
      </c>
      <c r="R278" s="1" t="s">
        <v>76</v>
      </c>
      <c r="S278" s="12">
        <v>2.35</v>
      </c>
      <c r="T278" s="1" t="s">
        <v>77</v>
      </c>
      <c r="U278" s="12">
        <v>203.72</v>
      </c>
      <c r="V278" s="1" t="s">
        <v>78</v>
      </c>
      <c r="W278" s="1" t="s">
        <v>79</v>
      </c>
      <c r="X278" s="1" t="s">
        <v>74</v>
      </c>
      <c r="Y278" s="1" t="s">
        <v>71</v>
      </c>
      <c r="Z278" s="1" t="s">
        <v>80</v>
      </c>
      <c r="AA278" s="1" t="s">
        <v>403</v>
      </c>
      <c r="AB278" s="1" t="s">
        <v>74</v>
      </c>
      <c r="AC278" s="1" t="s">
        <v>74</v>
      </c>
      <c r="AD278" s="1" t="s">
        <v>74</v>
      </c>
      <c r="AE278" s="11">
        <v>45736</v>
      </c>
      <c r="AF278" s="11"/>
      <c r="AG278" s="1" t="s">
        <v>74</v>
      </c>
      <c r="AJ278" cm="1">
        <f t="array" ref="AJ278:AK278">_xlfn.XLOOKUP(M278,'Customer Data Vlookup'!$L:$L,'Customer Data Vlookup'!$M:$N,,0)</f>
        <v>0</v>
      </c>
      <c r="AK278" s="47">
        <v>574</v>
      </c>
      <c r="AL278" s="47">
        <f t="shared" si="42"/>
        <v>574</v>
      </c>
      <c r="AM278" s="58">
        <f t="shared" si="43"/>
        <v>-370.28</v>
      </c>
    </row>
    <row r="279" spans="1:39" x14ac:dyDescent="0.35">
      <c r="A279" s="1" t="s">
        <v>124</v>
      </c>
      <c r="B279" s="1" t="s">
        <v>67</v>
      </c>
      <c r="C279" s="1" t="s">
        <v>68</v>
      </c>
      <c r="D279" s="1" t="s">
        <v>69</v>
      </c>
      <c r="E279" s="1" t="s">
        <v>17</v>
      </c>
      <c r="F279" s="1" t="s">
        <v>166</v>
      </c>
      <c r="G279" s="11">
        <v>45736</v>
      </c>
      <c r="H279" s="25">
        <v>1800003870</v>
      </c>
      <c r="I279" s="1" t="s">
        <v>9</v>
      </c>
      <c r="J279" s="11">
        <v>45736</v>
      </c>
      <c r="K279" s="11">
        <v>45736</v>
      </c>
      <c r="L279" s="1" t="s">
        <v>71</v>
      </c>
      <c r="M279" s="35">
        <v>246779413738</v>
      </c>
      <c r="N279" s="1" t="s">
        <v>72</v>
      </c>
      <c r="O279" s="1" t="s">
        <v>73</v>
      </c>
      <c r="P279" s="1" t="s">
        <v>74</v>
      </c>
      <c r="Q279" s="1" t="s">
        <v>83</v>
      </c>
      <c r="R279" s="1" t="s">
        <v>76</v>
      </c>
      <c r="S279" s="12">
        <v>42.3</v>
      </c>
      <c r="T279" s="1" t="s">
        <v>77</v>
      </c>
      <c r="U279" s="12">
        <v>3667.04</v>
      </c>
      <c r="V279" s="1" t="s">
        <v>78</v>
      </c>
      <c r="W279" s="1" t="s">
        <v>79</v>
      </c>
      <c r="X279" s="1" t="s">
        <v>74</v>
      </c>
      <c r="Y279" s="1" t="s">
        <v>71</v>
      </c>
      <c r="Z279" s="1" t="s">
        <v>80</v>
      </c>
      <c r="AA279" s="1" t="s">
        <v>403</v>
      </c>
      <c r="AB279" s="1" t="s">
        <v>74</v>
      </c>
      <c r="AC279" s="1" t="s">
        <v>74</v>
      </c>
      <c r="AD279" s="1" t="s">
        <v>74</v>
      </c>
      <c r="AE279" s="11">
        <v>45736</v>
      </c>
      <c r="AF279" s="11"/>
      <c r="AG279" s="1" t="s">
        <v>74</v>
      </c>
      <c r="AJ279" cm="1">
        <f t="array" ref="AJ279:AK279">_xlfn.XLOOKUP(M279,'Customer Data Vlookup'!$L:$L,'Customer Data Vlookup'!$M:$N,,0)</f>
        <v>0</v>
      </c>
      <c r="AK279" s="47">
        <v>3603</v>
      </c>
      <c r="AL279" s="47">
        <f t="shared" si="42"/>
        <v>3603</v>
      </c>
      <c r="AM279" s="58">
        <f t="shared" si="43"/>
        <v>64.039999999999964</v>
      </c>
    </row>
    <row r="280" spans="1:39" x14ac:dyDescent="0.35">
      <c r="A280" s="1" t="s">
        <v>124</v>
      </c>
      <c r="B280" s="1" t="s">
        <v>67</v>
      </c>
      <c r="C280" s="1" t="s">
        <v>68</v>
      </c>
      <c r="D280" s="1" t="s">
        <v>69</v>
      </c>
      <c r="E280" s="1" t="s">
        <v>17</v>
      </c>
      <c r="F280" s="1" t="s">
        <v>166</v>
      </c>
      <c r="G280" s="11">
        <v>45736</v>
      </c>
      <c r="H280" s="25">
        <v>1800003871</v>
      </c>
      <c r="I280" s="1" t="s">
        <v>9</v>
      </c>
      <c r="J280" s="11">
        <v>45736</v>
      </c>
      <c r="K280" s="11">
        <v>45736</v>
      </c>
      <c r="L280" s="1" t="s">
        <v>71</v>
      </c>
      <c r="M280" s="35">
        <v>246779413739</v>
      </c>
      <c r="N280" s="1" t="s">
        <v>72</v>
      </c>
      <c r="O280" s="1" t="s">
        <v>73</v>
      </c>
      <c r="P280" s="1" t="s">
        <v>74</v>
      </c>
      <c r="Q280" s="1" t="s">
        <v>83</v>
      </c>
      <c r="R280" s="1" t="s">
        <v>76</v>
      </c>
      <c r="S280" s="12">
        <v>21.15</v>
      </c>
      <c r="T280" s="1" t="s">
        <v>77</v>
      </c>
      <c r="U280" s="12">
        <v>1833.52</v>
      </c>
      <c r="V280" s="1" t="s">
        <v>78</v>
      </c>
      <c r="W280" s="1" t="s">
        <v>79</v>
      </c>
      <c r="X280" s="1" t="s">
        <v>74</v>
      </c>
      <c r="Y280" s="1" t="s">
        <v>71</v>
      </c>
      <c r="Z280" s="1" t="s">
        <v>80</v>
      </c>
      <c r="AA280" s="1" t="s">
        <v>403</v>
      </c>
      <c r="AB280" s="1" t="s">
        <v>74</v>
      </c>
      <c r="AC280" s="1" t="s">
        <v>74</v>
      </c>
      <c r="AD280" s="1" t="s">
        <v>74</v>
      </c>
      <c r="AE280" s="11">
        <v>45736</v>
      </c>
      <c r="AF280" s="11"/>
      <c r="AG280" s="1" t="s">
        <v>74</v>
      </c>
      <c r="AJ280" cm="1">
        <f t="array" ref="AJ280:AK280">_xlfn.XLOOKUP(M280,'Customer Data Vlookup'!$L:$L,'Customer Data Vlookup'!$M:$N,,0)</f>
        <v>0</v>
      </c>
      <c r="AK280" s="47">
        <v>1724</v>
      </c>
      <c r="AL280" s="47">
        <f t="shared" si="42"/>
        <v>1724</v>
      </c>
      <c r="AM280" s="58">
        <f t="shared" si="43"/>
        <v>109.51999999999998</v>
      </c>
    </row>
    <row r="281" spans="1:39" x14ac:dyDescent="0.35">
      <c r="A281" s="1" t="s">
        <v>124</v>
      </c>
      <c r="B281" s="1" t="s">
        <v>67</v>
      </c>
      <c r="C281" s="1" t="s">
        <v>68</v>
      </c>
      <c r="D281" s="1" t="s">
        <v>69</v>
      </c>
      <c r="E281" s="1" t="s">
        <v>17</v>
      </c>
      <c r="F281" s="1" t="s">
        <v>166</v>
      </c>
      <c r="G281" s="11">
        <v>45736</v>
      </c>
      <c r="H281" s="25">
        <v>1800003872</v>
      </c>
      <c r="I281" s="1" t="s">
        <v>9</v>
      </c>
      <c r="J281" s="11">
        <v>45736</v>
      </c>
      <c r="K281" s="11">
        <v>45736</v>
      </c>
      <c r="L281" s="1" t="s">
        <v>71</v>
      </c>
      <c r="M281" s="35">
        <v>246779413740</v>
      </c>
      <c r="N281" s="1" t="s">
        <v>72</v>
      </c>
      <c r="O281" s="1" t="s">
        <v>73</v>
      </c>
      <c r="P281" s="1" t="s">
        <v>74</v>
      </c>
      <c r="Q281" s="1" t="s">
        <v>83</v>
      </c>
      <c r="R281" s="1" t="s">
        <v>76</v>
      </c>
      <c r="S281" s="12">
        <v>7.05</v>
      </c>
      <c r="T281" s="1" t="s">
        <v>77</v>
      </c>
      <c r="U281" s="12">
        <v>611.16999999999996</v>
      </c>
      <c r="V281" s="1" t="s">
        <v>78</v>
      </c>
      <c r="W281" s="1" t="s">
        <v>79</v>
      </c>
      <c r="X281" s="1" t="s">
        <v>74</v>
      </c>
      <c r="Y281" s="1" t="s">
        <v>71</v>
      </c>
      <c r="Z281" s="1" t="s">
        <v>80</v>
      </c>
      <c r="AA281" s="1" t="s">
        <v>403</v>
      </c>
      <c r="AB281" s="1" t="s">
        <v>74</v>
      </c>
      <c r="AC281" s="1" t="s">
        <v>74</v>
      </c>
      <c r="AD281" s="1" t="s">
        <v>74</v>
      </c>
      <c r="AE281" s="11">
        <v>45736</v>
      </c>
      <c r="AF281" s="11"/>
      <c r="AG281" s="1" t="s">
        <v>74</v>
      </c>
      <c r="AJ281" cm="1">
        <f t="array" ref="AJ281:AK281">_xlfn.XLOOKUP(M281,'Customer Data Vlookup'!$L:$L,'Customer Data Vlookup'!$M:$N,,0)</f>
        <v>0</v>
      </c>
      <c r="AK281" s="47">
        <v>574</v>
      </c>
      <c r="AL281" s="47">
        <f t="shared" si="42"/>
        <v>574</v>
      </c>
      <c r="AM281" s="58">
        <f t="shared" si="43"/>
        <v>37.169999999999959</v>
      </c>
    </row>
    <row r="282" spans="1:39" x14ac:dyDescent="0.35">
      <c r="A282" s="1" t="s">
        <v>124</v>
      </c>
      <c r="B282" s="1" t="s">
        <v>67</v>
      </c>
      <c r="C282" s="1" t="s">
        <v>68</v>
      </c>
      <c r="D282" s="1" t="s">
        <v>69</v>
      </c>
      <c r="E282" s="1" t="s">
        <v>17</v>
      </c>
      <c r="F282" s="1" t="s">
        <v>166</v>
      </c>
      <c r="G282" s="11">
        <v>45736</v>
      </c>
      <c r="H282" s="25">
        <v>1800003873</v>
      </c>
      <c r="I282" s="1" t="s">
        <v>9</v>
      </c>
      <c r="J282" s="11">
        <v>45736</v>
      </c>
      <c r="K282" s="11">
        <v>45736</v>
      </c>
      <c r="L282" s="1" t="s">
        <v>71</v>
      </c>
      <c r="M282" s="35">
        <v>246779413741</v>
      </c>
      <c r="N282" s="1" t="s">
        <v>72</v>
      </c>
      <c r="O282" s="1" t="s">
        <v>73</v>
      </c>
      <c r="P282" s="1" t="s">
        <v>74</v>
      </c>
      <c r="Q282" s="1" t="s">
        <v>83</v>
      </c>
      <c r="R282" s="1" t="s">
        <v>76</v>
      </c>
      <c r="S282" s="12">
        <v>84.6</v>
      </c>
      <c r="T282" s="1" t="s">
        <v>77</v>
      </c>
      <c r="U282" s="12">
        <v>7334.08</v>
      </c>
      <c r="V282" s="1" t="s">
        <v>78</v>
      </c>
      <c r="W282" s="1" t="s">
        <v>79</v>
      </c>
      <c r="X282" s="1" t="s">
        <v>74</v>
      </c>
      <c r="Y282" s="1" t="s">
        <v>71</v>
      </c>
      <c r="Z282" s="1" t="s">
        <v>80</v>
      </c>
      <c r="AA282" s="1" t="s">
        <v>403</v>
      </c>
      <c r="AB282" s="1" t="s">
        <v>74</v>
      </c>
      <c r="AC282" s="1" t="s">
        <v>74</v>
      </c>
      <c r="AD282" s="1" t="s">
        <v>74</v>
      </c>
      <c r="AE282" s="11">
        <v>45736</v>
      </c>
      <c r="AF282" s="11"/>
      <c r="AG282" s="1" t="s">
        <v>74</v>
      </c>
      <c r="AJ282" cm="1">
        <f t="array" ref="AJ282:AK282">_xlfn.XLOOKUP(M282,'Customer Data Vlookup'!$L:$L,'Customer Data Vlookup'!$M:$N,,0)</f>
        <v>0</v>
      </c>
      <c r="AK282" s="47">
        <v>6895</v>
      </c>
      <c r="AL282" s="47">
        <f t="shared" si="42"/>
        <v>6895</v>
      </c>
      <c r="AM282" s="58">
        <f t="shared" si="43"/>
        <v>439.07999999999993</v>
      </c>
    </row>
    <row r="283" spans="1:39" x14ac:dyDescent="0.35">
      <c r="A283" s="1" t="s">
        <v>124</v>
      </c>
      <c r="B283" s="1" t="s">
        <v>67</v>
      </c>
      <c r="C283" s="1" t="s">
        <v>68</v>
      </c>
      <c r="D283" s="1" t="s">
        <v>69</v>
      </c>
      <c r="E283" s="1" t="s">
        <v>17</v>
      </c>
      <c r="F283" s="1" t="s">
        <v>166</v>
      </c>
      <c r="G283" s="11">
        <v>45736</v>
      </c>
      <c r="H283" s="25">
        <v>1800003876</v>
      </c>
      <c r="I283" s="1" t="s">
        <v>9</v>
      </c>
      <c r="J283" s="11">
        <v>45736</v>
      </c>
      <c r="K283" s="11">
        <v>45736</v>
      </c>
      <c r="L283" s="1" t="s">
        <v>71</v>
      </c>
      <c r="M283" s="35">
        <v>246779413744</v>
      </c>
      <c r="N283" s="1" t="s">
        <v>72</v>
      </c>
      <c r="O283" s="1" t="s">
        <v>73</v>
      </c>
      <c r="P283" s="1" t="s">
        <v>74</v>
      </c>
      <c r="Q283" s="1" t="s">
        <v>83</v>
      </c>
      <c r="R283" s="1" t="s">
        <v>76</v>
      </c>
      <c r="S283" s="12">
        <v>2.35</v>
      </c>
      <c r="T283" s="1" t="s">
        <v>77</v>
      </c>
      <c r="U283" s="12">
        <v>203.72</v>
      </c>
      <c r="V283" s="1" t="s">
        <v>78</v>
      </c>
      <c r="W283" s="1" t="s">
        <v>79</v>
      </c>
      <c r="X283" s="1" t="s">
        <v>74</v>
      </c>
      <c r="Y283" s="1" t="s">
        <v>71</v>
      </c>
      <c r="Z283" s="1" t="s">
        <v>80</v>
      </c>
      <c r="AA283" s="1" t="s">
        <v>403</v>
      </c>
      <c r="AB283" s="1" t="s">
        <v>74</v>
      </c>
      <c r="AC283" s="1" t="s">
        <v>74</v>
      </c>
      <c r="AD283" s="1" t="s">
        <v>74</v>
      </c>
      <c r="AE283" s="11">
        <v>45736</v>
      </c>
      <c r="AF283" s="11"/>
      <c r="AG283" s="1" t="s">
        <v>74</v>
      </c>
      <c r="AJ283" cm="1">
        <f t="array" ref="AJ283:AK283">_xlfn.XLOOKUP(M283,'Customer Data Vlookup'!$L:$L,'Customer Data Vlookup'!$M:$N,,0)</f>
        <v>0</v>
      </c>
      <c r="AK283" s="47">
        <v>191</v>
      </c>
      <c r="AL283" s="47">
        <f t="shared" si="42"/>
        <v>191</v>
      </c>
      <c r="AM283" s="58">
        <f t="shared" si="43"/>
        <v>12.719999999999999</v>
      </c>
    </row>
    <row r="284" spans="1:39" x14ac:dyDescent="0.35">
      <c r="A284" s="1" t="s">
        <v>124</v>
      </c>
      <c r="B284" s="1" t="s">
        <v>67</v>
      </c>
      <c r="C284" s="1" t="s">
        <v>68</v>
      </c>
      <c r="D284" s="1" t="s">
        <v>69</v>
      </c>
      <c r="E284" s="1" t="s">
        <v>17</v>
      </c>
      <c r="F284" s="1" t="s">
        <v>166</v>
      </c>
      <c r="G284" s="11">
        <v>45736</v>
      </c>
      <c r="H284" s="25">
        <v>1800003877</v>
      </c>
      <c r="I284" s="1" t="s">
        <v>9</v>
      </c>
      <c r="J284" s="11">
        <v>45736</v>
      </c>
      <c r="K284" s="11">
        <v>45736</v>
      </c>
      <c r="L284" s="1" t="s">
        <v>71</v>
      </c>
      <c r="M284" s="35">
        <v>246779413745</v>
      </c>
      <c r="N284" s="1" t="s">
        <v>72</v>
      </c>
      <c r="O284" s="1" t="s">
        <v>73</v>
      </c>
      <c r="P284" s="1" t="s">
        <v>74</v>
      </c>
      <c r="Q284" s="1" t="s">
        <v>83</v>
      </c>
      <c r="R284" s="1" t="s">
        <v>76</v>
      </c>
      <c r="S284" s="12">
        <v>37.6</v>
      </c>
      <c r="T284" s="1" t="s">
        <v>77</v>
      </c>
      <c r="U284" s="12">
        <v>3259.59</v>
      </c>
      <c r="V284" s="1" t="s">
        <v>78</v>
      </c>
      <c r="W284" s="1" t="s">
        <v>79</v>
      </c>
      <c r="X284" s="1" t="s">
        <v>74</v>
      </c>
      <c r="Y284" s="1" t="s">
        <v>71</v>
      </c>
      <c r="Z284" s="1" t="s">
        <v>80</v>
      </c>
      <c r="AA284" s="1" t="s">
        <v>403</v>
      </c>
      <c r="AB284" s="1" t="s">
        <v>74</v>
      </c>
      <c r="AC284" s="1" t="s">
        <v>74</v>
      </c>
      <c r="AD284" s="1" t="s">
        <v>74</v>
      </c>
      <c r="AE284" s="11">
        <v>45736</v>
      </c>
      <c r="AF284" s="11"/>
      <c r="AG284" s="1" t="s">
        <v>74</v>
      </c>
      <c r="AJ284" cm="1">
        <f t="array" ref="AJ284:AK284">_xlfn.XLOOKUP(M284,'Customer Data Vlookup'!$L:$L,'Customer Data Vlookup'!$M:$N,,0)</f>
        <v>0</v>
      </c>
      <c r="AK284" s="47">
        <v>3064</v>
      </c>
      <c r="AL284" s="47">
        <f t="shared" si="42"/>
        <v>3064</v>
      </c>
      <c r="AM284" s="58">
        <f t="shared" si="43"/>
        <v>195.59000000000015</v>
      </c>
    </row>
    <row r="285" spans="1:39" x14ac:dyDescent="0.35">
      <c r="A285" s="1" t="s">
        <v>124</v>
      </c>
      <c r="B285" s="1" t="s">
        <v>67</v>
      </c>
      <c r="C285" s="1" t="s">
        <v>68</v>
      </c>
      <c r="D285" s="1" t="s">
        <v>69</v>
      </c>
      <c r="E285" s="1" t="s">
        <v>17</v>
      </c>
      <c r="F285" s="1" t="s">
        <v>166</v>
      </c>
      <c r="G285" s="11">
        <v>45736</v>
      </c>
      <c r="H285" s="25">
        <v>1800003894</v>
      </c>
      <c r="I285" s="1" t="s">
        <v>9</v>
      </c>
      <c r="J285" s="11">
        <v>45736</v>
      </c>
      <c r="K285" s="11">
        <v>45736</v>
      </c>
      <c r="L285" s="1" t="s">
        <v>71</v>
      </c>
      <c r="M285" s="35">
        <v>246779413762</v>
      </c>
      <c r="N285" s="1" t="s">
        <v>72</v>
      </c>
      <c r="O285" s="1" t="s">
        <v>73</v>
      </c>
      <c r="P285" s="1" t="s">
        <v>74</v>
      </c>
      <c r="Q285" s="1" t="s">
        <v>83</v>
      </c>
      <c r="R285" s="1" t="s">
        <v>76</v>
      </c>
      <c r="S285" s="12">
        <v>2.35</v>
      </c>
      <c r="T285" s="1" t="s">
        <v>77</v>
      </c>
      <c r="U285" s="12">
        <v>203.72</v>
      </c>
      <c r="V285" s="1" t="s">
        <v>78</v>
      </c>
      <c r="W285" s="1" t="s">
        <v>79</v>
      </c>
      <c r="X285" s="1" t="s">
        <v>74</v>
      </c>
      <c r="Y285" s="1" t="s">
        <v>71</v>
      </c>
      <c r="Z285" s="1" t="s">
        <v>80</v>
      </c>
      <c r="AA285" s="1" t="s">
        <v>134</v>
      </c>
      <c r="AB285" s="1" t="s">
        <v>74</v>
      </c>
      <c r="AC285" s="1" t="s">
        <v>74</v>
      </c>
      <c r="AD285" s="1" t="s">
        <v>74</v>
      </c>
      <c r="AE285" s="11">
        <v>45736</v>
      </c>
      <c r="AF285" s="11"/>
      <c r="AG285" s="1" t="s">
        <v>74</v>
      </c>
      <c r="AJ285" cm="1">
        <f t="array" ref="AJ285:AK285">_xlfn.XLOOKUP(M285,'Customer Data Vlookup'!$L:$L,'Customer Data Vlookup'!$M:$N,,0)</f>
        <v>0</v>
      </c>
      <c r="AK285" s="47">
        <v>191</v>
      </c>
      <c r="AL285" s="47">
        <f t="shared" si="42"/>
        <v>191</v>
      </c>
      <c r="AM285" s="58">
        <f t="shared" si="43"/>
        <v>12.719999999999999</v>
      </c>
    </row>
    <row r="286" spans="1:39" x14ac:dyDescent="0.35">
      <c r="A286" s="1" t="s">
        <v>124</v>
      </c>
      <c r="B286" s="1" t="s">
        <v>67</v>
      </c>
      <c r="C286" s="1" t="s">
        <v>68</v>
      </c>
      <c r="D286" s="1" t="s">
        <v>69</v>
      </c>
      <c r="E286" s="1" t="s">
        <v>17</v>
      </c>
      <c r="F286" s="1" t="s">
        <v>166</v>
      </c>
      <c r="G286" s="11">
        <v>45736</v>
      </c>
      <c r="H286" s="25">
        <v>1800003914</v>
      </c>
      <c r="I286" s="1" t="s">
        <v>9</v>
      </c>
      <c r="J286" s="11">
        <v>45736</v>
      </c>
      <c r="K286" s="11">
        <v>45736</v>
      </c>
      <c r="L286" s="1" t="s">
        <v>71</v>
      </c>
      <c r="M286" s="35">
        <v>246779413782</v>
      </c>
      <c r="N286" s="1" t="s">
        <v>72</v>
      </c>
      <c r="O286" s="1" t="s">
        <v>73</v>
      </c>
      <c r="P286" s="1" t="s">
        <v>74</v>
      </c>
      <c r="Q286" s="1" t="s">
        <v>83</v>
      </c>
      <c r="R286" s="1" t="s">
        <v>76</v>
      </c>
      <c r="S286" s="12">
        <v>7.05</v>
      </c>
      <c r="T286" s="1" t="s">
        <v>77</v>
      </c>
      <c r="U286" s="12">
        <v>611.16999999999996</v>
      </c>
      <c r="V286" s="1" t="s">
        <v>78</v>
      </c>
      <c r="W286" s="1" t="s">
        <v>79</v>
      </c>
      <c r="X286" s="1" t="s">
        <v>74</v>
      </c>
      <c r="Y286" s="1" t="s">
        <v>71</v>
      </c>
      <c r="Z286" s="1" t="s">
        <v>80</v>
      </c>
      <c r="AA286" s="1" t="s">
        <v>134</v>
      </c>
      <c r="AB286" s="1" t="s">
        <v>74</v>
      </c>
      <c r="AC286" s="1" t="s">
        <v>74</v>
      </c>
      <c r="AD286" s="1" t="s">
        <v>74</v>
      </c>
      <c r="AE286" s="11">
        <v>45736</v>
      </c>
      <c r="AF286" s="11"/>
      <c r="AG286" s="1" t="s">
        <v>74</v>
      </c>
      <c r="AJ286" cm="1">
        <f t="array" ref="AJ286:AK286">_xlfn.XLOOKUP(M286,'Customer Data Vlookup'!$L:$L,'Customer Data Vlookup'!$M:$N,,0)</f>
        <v>0</v>
      </c>
      <c r="AK286" s="47">
        <v>596</v>
      </c>
      <c r="AL286" s="47">
        <f t="shared" si="42"/>
        <v>596</v>
      </c>
      <c r="AM286" s="58">
        <f t="shared" si="43"/>
        <v>15.169999999999959</v>
      </c>
    </row>
    <row r="287" spans="1:39" x14ac:dyDescent="0.35">
      <c r="A287" s="1" t="s">
        <v>124</v>
      </c>
      <c r="B287" s="1" t="s">
        <v>67</v>
      </c>
      <c r="C287" s="1" t="s">
        <v>68</v>
      </c>
      <c r="D287" s="1" t="s">
        <v>69</v>
      </c>
      <c r="E287" s="1" t="s">
        <v>17</v>
      </c>
      <c r="F287" s="1" t="s">
        <v>166</v>
      </c>
      <c r="G287" s="11">
        <v>45736</v>
      </c>
      <c r="H287" s="25">
        <v>1800003928</v>
      </c>
      <c r="I287" s="1" t="s">
        <v>9</v>
      </c>
      <c r="J287" s="11">
        <v>45736</v>
      </c>
      <c r="K287" s="11">
        <v>45736</v>
      </c>
      <c r="L287" s="1" t="s">
        <v>71</v>
      </c>
      <c r="M287" s="35">
        <v>246779413796</v>
      </c>
      <c r="N287" s="1" t="s">
        <v>72</v>
      </c>
      <c r="O287" s="1" t="s">
        <v>73</v>
      </c>
      <c r="P287" s="1" t="s">
        <v>74</v>
      </c>
      <c r="Q287" s="1" t="s">
        <v>83</v>
      </c>
      <c r="R287" s="1" t="s">
        <v>76</v>
      </c>
      <c r="S287" s="12">
        <v>1926.06</v>
      </c>
      <c r="T287" s="1" t="s">
        <v>77</v>
      </c>
      <c r="U287" s="12">
        <v>166972.57</v>
      </c>
      <c r="V287" s="1" t="s">
        <v>78</v>
      </c>
      <c r="W287" s="1" t="s">
        <v>79</v>
      </c>
      <c r="X287" s="1" t="s">
        <v>74</v>
      </c>
      <c r="Y287" s="1" t="s">
        <v>71</v>
      </c>
      <c r="Z287" s="1" t="s">
        <v>80</v>
      </c>
      <c r="AA287" s="1" t="s">
        <v>406</v>
      </c>
      <c r="AB287" s="1" t="s">
        <v>74</v>
      </c>
      <c r="AC287" s="1" t="s">
        <v>74</v>
      </c>
      <c r="AD287" s="1" t="s">
        <v>74</v>
      </c>
      <c r="AE287" s="11">
        <v>45736</v>
      </c>
      <c r="AF287" s="11"/>
      <c r="AG287" s="1" t="s">
        <v>74</v>
      </c>
      <c r="AJ287" cm="1">
        <f t="array" ref="AJ287:AK287">_xlfn.XLOOKUP(M287,'Customer Data Vlookup'!$L:$L,'Customer Data Vlookup'!$M:$N,,0)</f>
        <v>0</v>
      </c>
      <c r="AK287" s="47">
        <v>0</v>
      </c>
      <c r="AL287" s="47">
        <f t="shared" si="42"/>
        <v>0</v>
      </c>
      <c r="AM287" s="58">
        <f t="shared" si="43"/>
        <v>166972.57</v>
      </c>
    </row>
    <row r="288" spans="1:39" x14ac:dyDescent="0.35">
      <c r="A288" s="1" t="s">
        <v>124</v>
      </c>
      <c r="B288" s="1" t="s">
        <v>67</v>
      </c>
      <c r="C288" s="1" t="s">
        <v>68</v>
      </c>
      <c r="D288" s="1" t="s">
        <v>69</v>
      </c>
      <c r="E288" s="1" t="s">
        <v>17</v>
      </c>
      <c r="F288" s="1" t="s">
        <v>166</v>
      </c>
      <c r="G288" s="11">
        <v>45736</v>
      </c>
      <c r="H288" s="25">
        <v>1800003989</v>
      </c>
      <c r="I288" s="1" t="s">
        <v>9</v>
      </c>
      <c r="J288" s="11">
        <v>45736</v>
      </c>
      <c r="K288" s="11">
        <v>45737</v>
      </c>
      <c r="L288" s="1" t="s">
        <v>71</v>
      </c>
      <c r="M288" s="35">
        <v>246779413845</v>
      </c>
      <c r="N288" s="1" t="s">
        <v>72</v>
      </c>
      <c r="O288" s="1" t="s">
        <v>73</v>
      </c>
      <c r="P288" s="1" t="s">
        <v>74</v>
      </c>
      <c r="Q288" s="1" t="s">
        <v>83</v>
      </c>
      <c r="R288" s="1" t="s">
        <v>76</v>
      </c>
      <c r="S288" s="12">
        <v>531.9</v>
      </c>
      <c r="T288" s="1" t="s">
        <v>77</v>
      </c>
      <c r="U288" s="12">
        <v>46111.08</v>
      </c>
      <c r="V288" s="1" t="s">
        <v>78</v>
      </c>
      <c r="W288" s="1" t="s">
        <v>79</v>
      </c>
      <c r="X288" s="1" t="s">
        <v>74</v>
      </c>
      <c r="Y288" s="1" t="s">
        <v>71</v>
      </c>
      <c r="Z288" s="1" t="s">
        <v>80</v>
      </c>
      <c r="AA288" s="1" t="s">
        <v>407</v>
      </c>
      <c r="AB288" s="1" t="s">
        <v>74</v>
      </c>
      <c r="AC288" s="1" t="s">
        <v>74</v>
      </c>
      <c r="AD288" s="1" t="s">
        <v>74</v>
      </c>
      <c r="AE288" s="11">
        <v>45736</v>
      </c>
      <c r="AF288" s="11"/>
      <c r="AG288" s="1" t="s">
        <v>74</v>
      </c>
      <c r="AJ288" cm="1">
        <f t="array" ref="AJ288:AK288">_xlfn.XLOOKUP(M288,'Customer Data Vlookup'!$L:$L,'Customer Data Vlookup'!$M:$N,,0)</f>
        <v>0</v>
      </c>
      <c r="AK288" s="47">
        <v>45188</v>
      </c>
      <c r="AL288" s="47">
        <f t="shared" si="42"/>
        <v>45188</v>
      </c>
      <c r="AM288" s="58">
        <f t="shared" si="43"/>
        <v>923.08000000000175</v>
      </c>
    </row>
    <row r="289" spans="1:39" x14ac:dyDescent="0.35">
      <c r="A289" s="1" t="s">
        <v>124</v>
      </c>
      <c r="B289" s="1" t="s">
        <v>67</v>
      </c>
      <c r="C289" s="1" t="s">
        <v>68</v>
      </c>
      <c r="D289" s="1" t="s">
        <v>69</v>
      </c>
      <c r="E289" s="1" t="s">
        <v>17</v>
      </c>
      <c r="F289" s="1" t="s">
        <v>166</v>
      </c>
      <c r="G289" s="11">
        <v>45736</v>
      </c>
      <c r="H289" s="25">
        <v>1800004077</v>
      </c>
      <c r="I289" s="1" t="s">
        <v>9</v>
      </c>
      <c r="J289" s="11">
        <v>45736</v>
      </c>
      <c r="K289" s="11">
        <v>45737</v>
      </c>
      <c r="L289" s="1" t="s">
        <v>71</v>
      </c>
      <c r="M289" s="35">
        <v>246779413933</v>
      </c>
      <c r="N289" s="1" t="s">
        <v>72</v>
      </c>
      <c r="O289" s="1" t="s">
        <v>73</v>
      </c>
      <c r="P289" s="1" t="s">
        <v>74</v>
      </c>
      <c r="Q289" s="1" t="s">
        <v>83</v>
      </c>
      <c r="R289" s="1" t="s">
        <v>76</v>
      </c>
      <c r="S289" s="12">
        <v>10</v>
      </c>
      <c r="T289" s="1" t="s">
        <v>77</v>
      </c>
      <c r="U289" s="12">
        <v>866.91</v>
      </c>
      <c r="V289" s="1" t="s">
        <v>78</v>
      </c>
      <c r="W289" s="1" t="s">
        <v>79</v>
      </c>
      <c r="X289" s="1" t="s">
        <v>74</v>
      </c>
      <c r="Y289" s="1" t="s">
        <v>71</v>
      </c>
      <c r="Z289" s="1" t="s">
        <v>80</v>
      </c>
      <c r="AA289" s="1" t="s">
        <v>134</v>
      </c>
      <c r="AB289" s="1" t="s">
        <v>74</v>
      </c>
      <c r="AC289" s="1" t="s">
        <v>74</v>
      </c>
      <c r="AD289" s="1" t="s">
        <v>74</v>
      </c>
      <c r="AE289" s="11">
        <v>45736</v>
      </c>
      <c r="AF289" s="11"/>
      <c r="AG289" s="1" t="s">
        <v>74</v>
      </c>
      <c r="AJ289" cm="1">
        <f t="array" ref="AJ289:AK289">_xlfn.XLOOKUP(M289,'Customer Data Vlookup'!$L:$L,'Customer Data Vlookup'!$M:$N,,0)</f>
        <v>0</v>
      </c>
      <c r="AK289" s="47">
        <v>846</v>
      </c>
      <c r="AL289" s="47">
        <f t="shared" si="42"/>
        <v>846</v>
      </c>
      <c r="AM289" s="58">
        <f t="shared" si="43"/>
        <v>20.909999999999968</v>
      </c>
    </row>
    <row r="290" spans="1:39" x14ac:dyDescent="0.35">
      <c r="A290" s="1" t="s">
        <v>124</v>
      </c>
      <c r="B290" s="1" t="s">
        <v>67</v>
      </c>
      <c r="C290" s="1" t="s">
        <v>68</v>
      </c>
      <c r="D290" s="1" t="s">
        <v>69</v>
      </c>
      <c r="E290" s="1" t="s">
        <v>17</v>
      </c>
      <c r="F290" s="1" t="s">
        <v>166</v>
      </c>
      <c r="G290" s="11">
        <v>45736</v>
      </c>
      <c r="H290" s="25">
        <v>1800004273</v>
      </c>
      <c r="I290" s="1" t="s">
        <v>9</v>
      </c>
      <c r="J290" s="11">
        <v>45736</v>
      </c>
      <c r="K290" s="11">
        <v>45737</v>
      </c>
      <c r="L290" s="1" t="s">
        <v>71</v>
      </c>
      <c r="M290" s="35">
        <v>246779414141</v>
      </c>
      <c r="N290" s="1" t="s">
        <v>72</v>
      </c>
      <c r="O290" s="1" t="s">
        <v>73</v>
      </c>
      <c r="P290" s="1" t="s">
        <v>74</v>
      </c>
      <c r="Q290" s="1" t="s">
        <v>83</v>
      </c>
      <c r="R290" s="1" t="s">
        <v>76</v>
      </c>
      <c r="S290" s="12">
        <v>55</v>
      </c>
      <c r="T290" s="1" t="s">
        <v>77</v>
      </c>
      <c r="U290" s="12">
        <v>4768.0200000000004</v>
      </c>
      <c r="V290" s="1" t="s">
        <v>78</v>
      </c>
      <c r="W290" s="1" t="s">
        <v>79</v>
      </c>
      <c r="X290" s="1" t="s">
        <v>74</v>
      </c>
      <c r="Y290" s="1" t="s">
        <v>71</v>
      </c>
      <c r="Z290" s="1" t="s">
        <v>80</v>
      </c>
      <c r="AA290" s="1" t="s">
        <v>408</v>
      </c>
      <c r="AB290" s="1" t="s">
        <v>74</v>
      </c>
      <c r="AC290" s="1" t="s">
        <v>74</v>
      </c>
      <c r="AD290" s="1" t="s">
        <v>74</v>
      </c>
      <c r="AE290" s="11">
        <v>45736</v>
      </c>
      <c r="AF290" s="11"/>
      <c r="AG290" s="1" t="s">
        <v>74</v>
      </c>
      <c r="AJ290" cm="1">
        <f t="array" ref="AJ290:AK290">_xlfn.XLOOKUP(M290,'Customer Data Vlookup'!$L:$L,'Customer Data Vlookup'!$M:$N,,0)</f>
        <v>0</v>
      </c>
      <c r="AK290" s="47">
        <v>4652</v>
      </c>
      <c r="AL290" s="47">
        <f t="shared" si="42"/>
        <v>4652</v>
      </c>
      <c r="AM290" s="58">
        <f t="shared" si="43"/>
        <v>116.02000000000044</v>
      </c>
    </row>
    <row r="291" spans="1:39" x14ac:dyDescent="0.35">
      <c r="A291" s="1" t="s">
        <v>124</v>
      </c>
      <c r="B291" s="1" t="s">
        <v>67</v>
      </c>
      <c r="C291" s="1" t="s">
        <v>68</v>
      </c>
      <c r="D291" s="1" t="s">
        <v>69</v>
      </c>
      <c r="E291" s="1" t="s">
        <v>17</v>
      </c>
      <c r="F291" s="1" t="s">
        <v>166</v>
      </c>
      <c r="G291" s="11">
        <v>45736</v>
      </c>
      <c r="H291" s="25">
        <v>1800004274</v>
      </c>
      <c r="I291" s="1" t="s">
        <v>9</v>
      </c>
      <c r="J291" s="11">
        <v>45736</v>
      </c>
      <c r="K291" s="11">
        <v>45737</v>
      </c>
      <c r="L291" s="1" t="s">
        <v>71</v>
      </c>
      <c r="M291" s="35">
        <v>246779414142</v>
      </c>
      <c r="N291" s="1" t="s">
        <v>72</v>
      </c>
      <c r="O291" s="1" t="s">
        <v>73</v>
      </c>
      <c r="P291" s="1" t="s">
        <v>74</v>
      </c>
      <c r="Q291" s="1" t="s">
        <v>83</v>
      </c>
      <c r="R291" s="1" t="s">
        <v>76</v>
      </c>
      <c r="S291" s="12">
        <v>15</v>
      </c>
      <c r="T291" s="1" t="s">
        <v>77</v>
      </c>
      <c r="U291" s="12">
        <v>1300.3699999999999</v>
      </c>
      <c r="V291" s="1" t="s">
        <v>78</v>
      </c>
      <c r="W291" s="1" t="s">
        <v>79</v>
      </c>
      <c r="X291" s="1" t="s">
        <v>74</v>
      </c>
      <c r="Y291" s="1" t="s">
        <v>71</v>
      </c>
      <c r="Z291" s="1" t="s">
        <v>80</v>
      </c>
      <c r="AA291" s="1" t="s">
        <v>409</v>
      </c>
      <c r="AB291" s="1" t="s">
        <v>74</v>
      </c>
      <c r="AC291" s="1" t="s">
        <v>74</v>
      </c>
      <c r="AD291" s="1" t="s">
        <v>74</v>
      </c>
      <c r="AE291" s="11">
        <v>45736</v>
      </c>
      <c r="AF291" s="11"/>
      <c r="AG291" s="1" t="s">
        <v>74</v>
      </c>
      <c r="AJ291" cm="1">
        <f t="array" ref="AJ291:AK291">_xlfn.XLOOKUP(M291,'Customer Data Vlookup'!$L:$L,'Customer Data Vlookup'!$M:$N,,0)</f>
        <v>0</v>
      </c>
      <c r="AK291" s="47">
        <v>1268</v>
      </c>
      <c r="AL291" s="47">
        <f t="shared" si="42"/>
        <v>1268</v>
      </c>
      <c r="AM291" s="58">
        <f t="shared" si="43"/>
        <v>32.369999999999891</v>
      </c>
    </row>
    <row r="292" spans="1:39" x14ac:dyDescent="0.35">
      <c r="A292" s="1" t="s">
        <v>124</v>
      </c>
      <c r="B292" s="1" t="s">
        <v>67</v>
      </c>
      <c r="C292" s="1" t="s">
        <v>68</v>
      </c>
      <c r="D292" s="1" t="s">
        <v>69</v>
      </c>
      <c r="E292" s="1" t="s">
        <v>17</v>
      </c>
      <c r="F292" s="1" t="s">
        <v>166</v>
      </c>
      <c r="G292" s="11">
        <v>45736</v>
      </c>
      <c r="H292" s="25">
        <v>1800004353</v>
      </c>
      <c r="I292" s="1" t="s">
        <v>9</v>
      </c>
      <c r="J292" s="11">
        <v>45736</v>
      </c>
      <c r="K292" s="11">
        <v>45737</v>
      </c>
      <c r="L292" s="1" t="s">
        <v>71</v>
      </c>
      <c r="M292" s="35">
        <v>246779414221</v>
      </c>
      <c r="N292" s="1" t="s">
        <v>72</v>
      </c>
      <c r="O292" s="1" t="s">
        <v>73</v>
      </c>
      <c r="P292" s="1" t="s">
        <v>74</v>
      </c>
      <c r="Q292" s="1" t="s">
        <v>83</v>
      </c>
      <c r="R292" s="1" t="s">
        <v>76</v>
      </c>
      <c r="S292" s="12">
        <v>209.25</v>
      </c>
      <c r="T292" s="1" t="s">
        <v>77</v>
      </c>
      <c r="U292" s="12">
        <v>18140.150000000001</v>
      </c>
      <c r="V292" s="1" t="s">
        <v>78</v>
      </c>
      <c r="W292" s="1" t="s">
        <v>79</v>
      </c>
      <c r="X292" s="1" t="s">
        <v>74</v>
      </c>
      <c r="Y292" s="1" t="s">
        <v>71</v>
      </c>
      <c r="Z292" s="1" t="s">
        <v>80</v>
      </c>
      <c r="AA292" s="1" t="s">
        <v>410</v>
      </c>
      <c r="AB292" s="1" t="s">
        <v>74</v>
      </c>
      <c r="AC292" s="1" t="s">
        <v>74</v>
      </c>
      <c r="AD292" s="1" t="s">
        <v>74</v>
      </c>
      <c r="AE292" s="11">
        <v>45736</v>
      </c>
      <c r="AF292" s="11"/>
      <c r="AG292" s="1" t="s">
        <v>74</v>
      </c>
      <c r="AJ292" cm="1">
        <f t="array" ref="AJ292:AK292">_xlfn.XLOOKUP(M292,'Customer Data Vlookup'!$L:$L,'Customer Data Vlookup'!$M:$N,,0)</f>
        <v>0</v>
      </c>
      <c r="AK292" s="47">
        <v>17701</v>
      </c>
      <c r="AL292" s="47">
        <f t="shared" si="42"/>
        <v>17701</v>
      </c>
      <c r="AM292" s="58">
        <f t="shared" si="43"/>
        <v>439.15000000000146</v>
      </c>
    </row>
    <row r="293" spans="1:39" x14ac:dyDescent="0.35">
      <c r="A293" s="1" t="s">
        <v>124</v>
      </c>
      <c r="B293" s="1" t="s">
        <v>67</v>
      </c>
      <c r="C293" s="1" t="s">
        <v>68</v>
      </c>
      <c r="D293" s="1" t="s">
        <v>69</v>
      </c>
      <c r="E293" s="1" t="s">
        <v>17</v>
      </c>
      <c r="F293" s="1" t="s">
        <v>166</v>
      </c>
      <c r="G293" s="11">
        <v>45736</v>
      </c>
      <c r="H293" s="25">
        <v>1800004599</v>
      </c>
      <c r="I293" s="1" t="s">
        <v>9</v>
      </c>
      <c r="J293" s="11">
        <v>45736</v>
      </c>
      <c r="K293" s="11">
        <v>45737</v>
      </c>
      <c r="L293" s="1" t="s">
        <v>71</v>
      </c>
      <c r="M293" s="35">
        <v>246779414467</v>
      </c>
      <c r="N293" s="1" t="s">
        <v>72</v>
      </c>
      <c r="O293" s="1" t="s">
        <v>73</v>
      </c>
      <c r="P293" s="1" t="s">
        <v>74</v>
      </c>
      <c r="Q293" s="1" t="s">
        <v>83</v>
      </c>
      <c r="R293" s="1" t="s">
        <v>76</v>
      </c>
      <c r="S293" s="12">
        <v>31.73</v>
      </c>
      <c r="T293" s="1" t="s">
        <v>77</v>
      </c>
      <c r="U293" s="12">
        <v>2750.71</v>
      </c>
      <c r="V293" s="1" t="s">
        <v>78</v>
      </c>
      <c r="W293" s="1" t="s">
        <v>79</v>
      </c>
      <c r="X293" s="1" t="s">
        <v>74</v>
      </c>
      <c r="Y293" s="1" t="s">
        <v>71</v>
      </c>
      <c r="Z293" s="1" t="s">
        <v>80</v>
      </c>
      <c r="AA293" s="1" t="s">
        <v>411</v>
      </c>
      <c r="AB293" s="1" t="s">
        <v>74</v>
      </c>
      <c r="AC293" s="1" t="s">
        <v>74</v>
      </c>
      <c r="AD293" s="1" t="s">
        <v>74</v>
      </c>
      <c r="AE293" s="11">
        <v>45736</v>
      </c>
      <c r="AF293" s="11"/>
      <c r="AG293" s="1" t="s">
        <v>74</v>
      </c>
      <c r="AJ293" cm="1">
        <f t="array" ref="AJ293:AK293">_xlfn.XLOOKUP(M293,'Customer Data Vlookup'!$L:$L,'Customer Data Vlookup'!$M:$N,,0)</f>
        <v>0</v>
      </c>
      <c r="AK293" s="47">
        <v>2674</v>
      </c>
      <c r="AL293" s="47">
        <f t="shared" si="42"/>
        <v>2674</v>
      </c>
      <c r="AM293" s="58">
        <f t="shared" si="43"/>
        <v>76.710000000000036</v>
      </c>
    </row>
    <row r="294" spans="1:39" x14ac:dyDescent="0.35">
      <c r="A294" s="1" t="s">
        <v>124</v>
      </c>
      <c r="B294" s="1" t="s">
        <v>67</v>
      </c>
      <c r="C294" s="1" t="s">
        <v>68</v>
      </c>
      <c r="D294" s="1" t="s">
        <v>69</v>
      </c>
      <c r="E294" s="1" t="s">
        <v>17</v>
      </c>
      <c r="F294" s="1" t="s">
        <v>166</v>
      </c>
      <c r="G294" s="11">
        <v>45736</v>
      </c>
      <c r="H294" s="25">
        <v>1800004813</v>
      </c>
      <c r="I294" s="1" t="s">
        <v>9</v>
      </c>
      <c r="J294" s="11">
        <v>45736</v>
      </c>
      <c r="K294" s="11">
        <v>45737</v>
      </c>
      <c r="L294" s="1" t="s">
        <v>71</v>
      </c>
      <c r="M294" s="35">
        <v>246779414681</v>
      </c>
      <c r="N294" s="1" t="s">
        <v>72</v>
      </c>
      <c r="O294" s="1" t="s">
        <v>73</v>
      </c>
      <c r="P294" s="1" t="s">
        <v>74</v>
      </c>
      <c r="Q294" s="1" t="s">
        <v>83</v>
      </c>
      <c r="R294" s="1" t="s">
        <v>76</v>
      </c>
      <c r="S294" s="12">
        <v>15</v>
      </c>
      <c r="T294" s="1" t="s">
        <v>77</v>
      </c>
      <c r="U294" s="12">
        <v>1300.3699999999999</v>
      </c>
      <c r="V294" s="1" t="s">
        <v>78</v>
      </c>
      <c r="W294" s="1" t="s">
        <v>79</v>
      </c>
      <c r="X294" s="1" t="s">
        <v>74</v>
      </c>
      <c r="Y294" s="1" t="s">
        <v>71</v>
      </c>
      <c r="Z294" s="1" t="s">
        <v>80</v>
      </c>
      <c r="AA294" s="1" t="s">
        <v>412</v>
      </c>
      <c r="AB294" s="1" t="s">
        <v>74</v>
      </c>
      <c r="AC294" s="1" t="s">
        <v>74</v>
      </c>
      <c r="AD294" s="1" t="s">
        <v>74</v>
      </c>
      <c r="AE294" s="11">
        <v>45736</v>
      </c>
      <c r="AF294" s="11"/>
      <c r="AG294" s="1" t="s">
        <v>74</v>
      </c>
      <c r="AJ294" cm="1">
        <f t="array" ref="AJ294:AK294">_xlfn.XLOOKUP(M294,'Customer Data Vlookup'!$L:$L,'Customer Data Vlookup'!$M:$N,,0)</f>
        <v>0</v>
      </c>
      <c r="AK294" s="47">
        <v>1268</v>
      </c>
      <c r="AL294" s="47">
        <f t="shared" si="42"/>
        <v>1268</v>
      </c>
      <c r="AM294" s="58">
        <f t="shared" si="43"/>
        <v>32.369999999999891</v>
      </c>
    </row>
    <row r="295" spans="1:39" x14ac:dyDescent="0.35">
      <c r="A295" s="1" t="s">
        <v>124</v>
      </c>
      <c r="B295" s="1" t="s">
        <v>67</v>
      </c>
      <c r="C295" s="1" t="s">
        <v>68</v>
      </c>
      <c r="D295" s="1" t="s">
        <v>69</v>
      </c>
      <c r="E295" s="1" t="s">
        <v>17</v>
      </c>
      <c r="F295" s="1" t="s">
        <v>166</v>
      </c>
      <c r="G295" s="11">
        <v>45736</v>
      </c>
      <c r="H295" s="25">
        <v>1800004866</v>
      </c>
      <c r="I295" s="1" t="s">
        <v>9</v>
      </c>
      <c r="J295" s="11">
        <v>45736</v>
      </c>
      <c r="K295" s="11">
        <v>45737</v>
      </c>
      <c r="L295" s="1" t="s">
        <v>71</v>
      </c>
      <c r="M295" s="35">
        <v>246779414734</v>
      </c>
      <c r="N295" s="1" t="s">
        <v>72</v>
      </c>
      <c r="O295" s="1" t="s">
        <v>73</v>
      </c>
      <c r="P295" s="1" t="s">
        <v>74</v>
      </c>
      <c r="Q295" s="1" t="s">
        <v>83</v>
      </c>
      <c r="R295" s="1" t="s">
        <v>76</v>
      </c>
      <c r="S295" s="12">
        <v>2.5</v>
      </c>
      <c r="T295" s="1" t="s">
        <v>77</v>
      </c>
      <c r="U295" s="12">
        <v>216.73</v>
      </c>
      <c r="V295" s="1" t="s">
        <v>78</v>
      </c>
      <c r="W295" s="1" t="s">
        <v>79</v>
      </c>
      <c r="X295" s="1" t="s">
        <v>74</v>
      </c>
      <c r="Y295" s="1" t="s">
        <v>71</v>
      </c>
      <c r="Z295" s="1" t="s">
        <v>80</v>
      </c>
      <c r="AA295" s="1" t="s">
        <v>403</v>
      </c>
      <c r="AB295" s="1" t="s">
        <v>74</v>
      </c>
      <c r="AC295" s="1" t="s">
        <v>74</v>
      </c>
      <c r="AD295" s="1" t="s">
        <v>74</v>
      </c>
      <c r="AE295" s="11">
        <v>45736</v>
      </c>
      <c r="AF295" s="11"/>
      <c r="AG295" s="1" t="s">
        <v>74</v>
      </c>
      <c r="AJ295" cm="1">
        <f t="array" ref="AJ295:AK295">_xlfn.XLOOKUP(M295,'Customer Data Vlookup'!$L:$L,'Customer Data Vlookup'!$M:$N,,0)</f>
        <v>0</v>
      </c>
      <c r="AK295" s="47">
        <v>211</v>
      </c>
      <c r="AL295" s="47">
        <f t="shared" si="42"/>
        <v>211</v>
      </c>
      <c r="AM295" s="58">
        <f t="shared" si="43"/>
        <v>5.7299999999999898</v>
      </c>
    </row>
    <row r="296" spans="1:39" x14ac:dyDescent="0.35">
      <c r="A296" s="1" t="s">
        <v>124</v>
      </c>
      <c r="B296" s="1" t="s">
        <v>67</v>
      </c>
      <c r="C296" s="1" t="s">
        <v>68</v>
      </c>
      <c r="D296" s="1" t="s">
        <v>69</v>
      </c>
      <c r="E296" s="1" t="s">
        <v>17</v>
      </c>
      <c r="F296" s="1" t="s">
        <v>166</v>
      </c>
      <c r="G296" s="11">
        <v>45736</v>
      </c>
      <c r="H296" s="25">
        <v>1800005017</v>
      </c>
      <c r="I296" s="1" t="s">
        <v>9</v>
      </c>
      <c r="J296" s="11">
        <v>45736</v>
      </c>
      <c r="K296" s="11">
        <v>45737</v>
      </c>
      <c r="L296" s="1" t="s">
        <v>71</v>
      </c>
      <c r="M296" s="35">
        <v>246779414885</v>
      </c>
      <c r="N296" s="1" t="s">
        <v>72</v>
      </c>
      <c r="O296" s="1" t="s">
        <v>73</v>
      </c>
      <c r="P296" s="1" t="s">
        <v>74</v>
      </c>
      <c r="Q296" s="1" t="s">
        <v>83</v>
      </c>
      <c r="R296" s="1" t="s">
        <v>76</v>
      </c>
      <c r="S296" s="12">
        <v>2.5</v>
      </c>
      <c r="T296" s="1" t="s">
        <v>77</v>
      </c>
      <c r="U296" s="12">
        <v>216.73</v>
      </c>
      <c r="V296" s="1" t="s">
        <v>78</v>
      </c>
      <c r="W296" s="1" t="s">
        <v>79</v>
      </c>
      <c r="X296" s="1" t="s">
        <v>74</v>
      </c>
      <c r="Y296" s="1" t="s">
        <v>71</v>
      </c>
      <c r="Z296" s="1" t="s">
        <v>80</v>
      </c>
      <c r="AA296" s="1" t="s">
        <v>403</v>
      </c>
      <c r="AB296" s="1" t="s">
        <v>74</v>
      </c>
      <c r="AC296" s="1" t="s">
        <v>74</v>
      </c>
      <c r="AD296" s="1" t="s">
        <v>74</v>
      </c>
      <c r="AE296" s="11">
        <v>45736</v>
      </c>
      <c r="AF296" s="11"/>
      <c r="AG296" s="1" t="s">
        <v>74</v>
      </c>
      <c r="AJ296" cm="1">
        <f t="array" ref="AJ296:AK296">_xlfn.XLOOKUP(M296,'Customer Data Vlookup'!$L:$L,'Customer Data Vlookup'!$M:$N,,0)</f>
        <v>0</v>
      </c>
      <c r="AK296" s="47">
        <v>211</v>
      </c>
      <c r="AL296" s="47">
        <f t="shared" si="42"/>
        <v>211</v>
      </c>
      <c r="AM296" s="58">
        <f t="shared" si="43"/>
        <v>5.7299999999999898</v>
      </c>
    </row>
    <row r="297" spans="1:39" x14ac:dyDescent="0.35">
      <c r="A297" s="1" t="s">
        <v>66</v>
      </c>
      <c r="B297" s="1" t="s">
        <v>67</v>
      </c>
      <c r="C297" s="1" t="s">
        <v>68</v>
      </c>
      <c r="D297" s="1" t="s">
        <v>69</v>
      </c>
      <c r="E297" s="1" t="s">
        <v>17</v>
      </c>
      <c r="F297" s="1" t="s">
        <v>166</v>
      </c>
      <c r="G297" s="11">
        <v>45736</v>
      </c>
      <c r="H297" s="25">
        <v>1800003780</v>
      </c>
      <c r="I297" s="1" t="s">
        <v>9</v>
      </c>
      <c r="J297" s="11">
        <v>45736</v>
      </c>
      <c r="K297" s="11">
        <v>45736</v>
      </c>
      <c r="L297" s="1" t="s">
        <v>71</v>
      </c>
      <c r="M297" s="35">
        <v>246779413702</v>
      </c>
      <c r="N297" s="1" t="s">
        <v>72</v>
      </c>
      <c r="O297" s="1" t="s">
        <v>73</v>
      </c>
      <c r="P297" s="1" t="s">
        <v>74</v>
      </c>
      <c r="Q297" s="1" t="s">
        <v>83</v>
      </c>
      <c r="R297" s="1" t="s">
        <v>76</v>
      </c>
      <c r="S297" s="12">
        <v>364.25</v>
      </c>
      <c r="T297" s="1" t="s">
        <v>77</v>
      </c>
      <c r="U297" s="12">
        <v>31577.29</v>
      </c>
      <c r="V297" s="1" t="s">
        <v>78</v>
      </c>
      <c r="W297" s="1" t="s">
        <v>79</v>
      </c>
      <c r="X297" s="1" t="s">
        <v>74</v>
      </c>
      <c r="Y297" s="1" t="s">
        <v>71</v>
      </c>
      <c r="Z297" s="1" t="s">
        <v>80</v>
      </c>
      <c r="AA297" s="1" t="s">
        <v>413</v>
      </c>
      <c r="AB297" s="1" t="s">
        <v>74</v>
      </c>
      <c r="AC297" s="1" t="s">
        <v>74</v>
      </c>
      <c r="AD297" s="1" t="s">
        <v>74</v>
      </c>
      <c r="AE297" s="11">
        <v>45736</v>
      </c>
      <c r="AF297" s="11">
        <v>45976</v>
      </c>
      <c r="AG297" s="1" t="s">
        <v>101</v>
      </c>
      <c r="AJ297" cm="1">
        <f t="array" ref="AJ297:AK297">_xlfn.XLOOKUP(M297,'Customer Data Vlookup'!$L:$L,'Customer Data Vlookup'!$M:$N,,0)</f>
        <v>0</v>
      </c>
      <c r="AK297" s="47">
        <v>0</v>
      </c>
      <c r="AL297" s="47">
        <f t="shared" si="42"/>
        <v>0</v>
      </c>
      <c r="AM297" s="58">
        <f t="shared" si="43"/>
        <v>31577.29</v>
      </c>
    </row>
    <row r="298" spans="1:39" x14ac:dyDescent="0.35">
      <c r="A298" s="1" t="s">
        <v>66</v>
      </c>
      <c r="B298" s="1" t="s">
        <v>67</v>
      </c>
      <c r="C298" s="1" t="s">
        <v>68</v>
      </c>
      <c r="D298" s="1" t="s">
        <v>69</v>
      </c>
      <c r="E298" s="1" t="s">
        <v>17</v>
      </c>
      <c r="F298" s="1" t="s">
        <v>166</v>
      </c>
      <c r="G298" s="11">
        <v>45736</v>
      </c>
      <c r="H298" s="25">
        <v>1800003783</v>
      </c>
      <c r="I298" s="1" t="s">
        <v>9</v>
      </c>
      <c r="J298" s="11">
        <v>45736</v>
      </c>
      <c r="K298" s="11">
        <v>45736</v>
      </c>
      <c r="L298" s="1" t="s">
        <v>71</v>
      </c>
      <c r="M298" s="35">
        <v>246779413705</v>
      </c>
      <c r="N298" s="1" t="s">
        <v>72</v>
      </c>
      <c r="O298" s="1" t="s">
        <v>73</v>
      </c>
      <c r="P298" s="1" t="s">
        <v>74</v>
      </c>
      <c r="Q298" s="1" t="s">
        <v>83</v>
      </c>
      <c r="R298" s="1" t="s">
        <v>76</v>
      </c>
      <c r="S298" s="12">
        <v>237.35</v>
      </c>
      <c r="T298" s="1" t="s">
        <v>77</v>
      </c>
      <c r="U298" s="12">
        <v>20576.169999999998</v>
      </c>
      <c r="V298" s="1" t="s">
        <v>78</v>
      </c>
      <c r="W298" s="1" t="s">
        <v>79</v>
      </c>
      <c r="X298" s="1" t="s">
        <v>74</v>
      </c>
      <c r="Y298" s="1" t="s">
        <v>71</v>
      </c>
      <c r="Z298" s="1" t="s">
        <v>80</v>
      </c>
      <c r="AA298" s="1" t="s">
        <v>414</v>
      </c>
      <c r="AB298" s="1" t="s">
        <v>74</v>
      </c>
      <c r="AC298" s="1" t="s">
        <v>74</v>
      </c>
      <c r="AD298" s="1" t="s">
        <v>74</v>
      </c>
      <c r="AE298" s="11">
        <v>45736</v>
      </c>
      <c r="AF298" s="11">
        <v>45976</v>
      </c>
      <c r="AG298" s="1" t="s">
        <v>101</v>
      </c>
      <c r="AJ298" cm="1">
        <f t="array" ref="AJ298:AK298">_xlfn.XLOOKUP(M298,'Customer Data Vlookup'!$L:$L,'Customer Data Vlookup'!$M:$N,,0)</f>
        <v>0</v>
      </c>
      <c r="AK298" s="47">
        <v>19429</v>
      </c>
      <c r="AL298" s="47">
        <f t="shared" si="42"/>
        <v>19429</v>
      </c>
      <c r="AM298" s="58">
        <f t="shared" si="43"/>
        <v>1147.1699999999983</v>
      </c>
    </row>
    <row r="299" spans="1:39" x14ac:dyDescent="0.35">
      <c r="A299" s="1" t="s">
        <v>66</v>
      </c>
      <c r="B299" s="1" t="s">
        <v>67</v>
      </c>
      <c r="C299" s="1" t="s">
        <v>68</v>
      </c>
      <c r="D299" s="1" t="s">
        <v>69</v>
      </c>
      <c r="E299" s="1" t="s">
        <v>17</v>
      </c>
      <c r="F299" s="1" t="s">
        <v>166</v>
      </c>
      <c r="G299" s="11">
        <v>45736</v>
      </c>
      <c r="H299" s="25">
        <v>1800003960</v>
      </c>
      <c r="I299" s="1" t="s">
        <v>9</v>
      </c>
      <c r="J299" s="11">
        <v>45736</v>
      </c>
      <c r="K299" s="11">
        <v>45737</v>
      </c>
      <c r="L299" s="1" t="s">
        <v>71</v>
      </c>
      <c r="M299" s="35">
        <v>246779413816</v>
      </c>
      <c r="N299" s="1" t="s">
        <v>72</v>
      </c>
      <c r="O299" s="1" t="s">
        <v>73</v>
      </c>
      <c r="P299" s="1" t="s">
        <v>74</v>
      </c>
      <c r="Q299" s="1" t="s">
        <v>83</v>
      </c>
      <c r="R299" s="1" t="s">
        <v>76</v>
      </c>
      <c r="S299" s="12">
        <v>220</v>
      </c>
      <c r="T299" s="1" t="s">
        <v>77</v>
      </c>
      <c r="U299" s="12">
        <v>19072.080000000002</v>
      </c>
      <c r="V299" s="1" t="s">
        <v>78</v>
      </c>
      <c r="W299" s="1" t="s">
        <v>79</v>
      </c>
      <c r="X299" s="1" t="s">
        <v>74</v>
      </c>
      <c r="Y299" s="1" t="s">
        <v>71</v>
      </c>
      <c r="Z299" s="1" t="s">
        <v>80</v>
      </c>
      <c r="AA299" s="1" t="s">
        <v>415</v>
      </c>
      <c r="AB299" s="1" t="s">
        <v>74</v>
      </c>
      <c r="AC299" s="1" t="s">
        <v>74</v>
      </c>
      <c r="AD299" s="1" t="s">
        <v>74</v>
      </c>
      <c r="AE299" s="11">
        <v>45736</v>
      </c>
      <c r="AF299" s="11">
        <v>45976</v>
      </c>
      <c r="AG299" s="1" t="s">
        <v>101</v>
      </c>
      <c r="AJ299" cm="1">
        <f t="array" ref="AJ299:AK299">_xlfn.XLOOKUP(M299,'Customer Data Vlookup'!$L:$L,'Customer Data Vlookup'!$M:$N,,0)</f>
        <v>0</v>
      </c>
      <c r="AK299" s="47">
        <v>18610</v>
      </c>
      <c r="AL299" s="47">
        <f t="shared" si="42"/>
        <v>18610</v>
      </c>
      <c r="AM299" s="58">
        <f t="shared" si="43"/>
        <v>462.08000000000175</v>
      </c>
    </row>
    <row r="300" spans="1:39" x14ac:dyDescent="0.35">
      <c r="A300" s="1" t="s">
        <v>66</v>
      </c>
      <c r="B300" s="1" t="s">
        <v>67</v>
      </c>
      <c r="C300" s="1" t="s">
        <v>68</v>
      </c>
      <c r="D300" s="1" t="s">
        <v>69</v>
      </c>
      <c r="E300" s="1" t="s">
        <v>17</v>
      </c>
      <c r="F300" s="1" t="s">
        <v>166</v>
      </c>
      <c r="G300" s="11">
        <v>45736</v>
      </c>
      <c r="H300" s="25">
        <v>1800003971</v>
      </c>
      <c r="I300" s="1" t="s">
        <v>9</v>
      </c>
      <c r="J300" s="11">
        <v>45736</v>
      </c>
      <c r="K300" s="11">
        <v>45737</v>
      </c>
      <c r="L300" s="1" t="s">
        <v>71</v>
      </c>
      <c r="M300" s="35">
        <v>246779413827</v>
      </c>
      <c r="N300" s="1" t="s">
        <v>72</v>
      </c>
      <c r="O300" s="1" t="s">
        <v>73</v>
      </c>
      <c r="P300" s="1" t="s">
        <v>74</v>
      </c>
      <c r="Q300" s="1" t="s">
        <v>83</v>
      </c>
      <c r="R300" s="1" t="s">
        <v>76</v>
      </c>
      <c r="S300" s="12">
        <v>375</v>
      </c>
      <c r="T300" s="1" t="s">
        <v>77</v>
      </c>
      <c r="U300" s="12">
        <v>32509.22</v>
      </c>
      <c r="V300" s="1" t="s">
        <v>78</v>
      </c>
      <c r="W300" s="1" t="s">
        <v>79</v>
      </c>
      <c r="X300" s="1" t="s">
        <v>74</v>
      </c>
      <c r="Y300" s="1" t="s">
        <v>71</v>
      </c>
      <c r="Z300" s="1" t="s">
        <v>80</v>
      </c>
      <c r="AA300" s="1" t="s">
        <v>416</v>
      </c>
      <c r="AB300" s="1" t="s">
        <v>74</v>
      </c>
      <c r="AC300" s="1" t="s">
        <v>74</v>
      </c>
      <c r="AD300" s="1" t="s">
        <v>74</v>
      </c>
      <c r="AE300" s="11">
        <v>45736</v>
      </c>
      <c r="AF300" s="11">
        <v>45976</v>
      </c>
      <c r="AG300" s="1" t="s">
        <v>101</v>
      </c>
      <c r="AJ300" cm="1">
        <f t="array" ref="AJ300:AK300">_xlfn.XLOOKUP(M300,'Customer Data Vlookup'!$L:$L,'Customer Data Vlookup'!$M:$N,,0)</f>
        <v>0</v>
      </c>
      <c r="AK300" s="47">
        <v>31723</v>
      </c>
      <c r="AL300" s="47">
        <f t="shared" si="42"/>
        <v>31723</v>
      </c>
      <c r="AM300" s="58">
        <f t="shared" si="43"/>
        <v>786.22000000000116</v>
      </c>
    </row>
    <row r="301" spans="1:39" x14ac:dyDescent="0.35">
      <c r="A301" s="1" t="s">
        <v>124</v>
      </c>
      <c r="B301" s="1" t="s">
        <v>67</v>
      </c>
      <c r="C301" s="1" t="s">
        <v>68</v>
      </c>
      <c r="D301" s="1" t="s">
        <v>69</v>
      </c>
      <c r="E301" s="1" t="s">
        <v>17</v>
      </c>
      <c r="F301" s="1" t="s">
        <v>166</v>
      </c>
      <c r="G301" s="11">
        <v>45736</v>
      </c>
      <c r="H301" s="25">
        <v>1800003874</v>
      </c>
      <c r="I301" s="1" t="s">
        <v>9</v>
      </c>
      <c r="J301" s="11">
        <v>45736</v>
      </c>
      <c r="K301" s="11">
        <v>45736</v>
      </c>
      <c r="L301" s="1" t="s">
        <v>71</v>
      </c>
      <c r="M301" s="35">
        <v>246779413742</v>
      </c>
      <c r="N301" s="1" t="s">
        <v>72</v>
      </c>
      <c r="O301" s="1" t="s">
        <v>73</v>
      </c>
      <c r="P301" s="1" t="s">
        <v>74</v>
      </c>
      <c r="Q301" s="1" t="s">
        <v>83</v>
      </c>
      <c r="R301" s="1" t="s">
        <v>76</v>
      </c>
      <c r="S301" s="12">
        <v>14.1</v>
      </c>
      <c r="T301" s="1" t="s">
        <v>77</v>
      </c>
      <c r="U301" s="12">
        <v>1222.3499999999999</v>
      </c>
      <c r="V301" s="1" t="s">
        <v>78</v>
      </c>
      <c r="W301" s="1" t="s">
        <v>79</v>
      </c>
      <c r="X301" s="1" t="s">
        <v>74</v>
      </c>
      <c r="Y301" s="1" t="s">
        <v>71</v>
      </c>
      <c r="Z301" s="1" t="s">
        <v>80</v>
      </c>
      <c r="AA301" s="1" t="s">
        <v>403</v>
      </c>
      <c r="AB301" s="1" t="s">
        <v>74</v>
      </c>
      <c r="AC301" s="1" t="s">
        <v>74</v>
      </c>
      <c r="AD301" s="1" t="s">
        <v>74</v>
      </c>
      <c r="AE301" s="11">
        <v>45736</v>
      </c>
      <c r="AF301" s="11"/>
      <c r="AG301" s="1" t="s">
        <v>74</v>
      </c>
      <c r="AJ301" cm="1">
        <f t="array" ref="AJ301:AK301">_xlfn.XLOOKUP(M301,'Customer Data Vlookup'!$L:$L,'Customer Data Vlookup'!$M:$N,,0)</f>
        <v>0</v>
      </c>
      <c r="AK301" s="47">
        <v>1149</v>
      </c>
      <c r="AL301" s="47">
        <f t="shared" si="42"/>
        <v>1149</v>
      </c>
      <c r="AM301" s="58">
        <f t="shared" si="43"/>
        <v>73.349999999999909</v>
      </c>
    </row>
    <row r="302" spans="1:39" x14ac:dyDescent="0.35">
      <c r="A302" s="1" t="s">
        <v>124</v>
      </c>
      <c r="B302" s="1" t="s">
        <v>67</v>
      </c>
      <c r="C302" s="1" t="s">
        <v>68</v>
      </c>
      <c r="D302" s="1" t="s">
        <v>69</v>
      </c>
      <c r="E302" s="1" t="s">
        <v>17</v>
      </c>
      <c r="F302" s="1" t="s">
        <v>166</v>
      </c>
      <c r="G302" s="11">
        <v>45736</v>
      </c>
      <c r="H302" s="25">
        <v>1800003875</v>
      </c>
      <c r="I302" s="1" t="s">
        <v>9</v>
      </c>
      <c r="J302" s="11">
        <v>45736</v>
      </c>
      <c r="K302" s="11">
        <v>45736</v>
      </c>
      <c r="L302" s="1" t="s">
        <v>71</v>
      </c>
      <c r="M302" s="35">
        <v>246779413743</v>
      </c>
      <c r="N302" s="1" t="s">
        <v>72</v>
      </c>
      <c r="O302" s="1" t="s">
        <v>73</v>
      </c>
      <c r="P302" s="1" t="s">
        <v>74</v>
      </c>
      <c r="Q302" s="1" t="s">
        <v>83</v>
      </c>
      <c r="R302" s="1" t="s">
        <v>76</v>
      </c>
      <c r="S302" s="12">
        <v>4.7</v>
      </c>
      <c r="T302" s="1" t="s">
        <v>77</v>
      </c>
      <c r="U302" s="12">
        <v>407.45</v>
      </c>
      <c r="V302" s="1" t="s">
        <v>78</v>
      </c>
      <c r="W302" s="1" t="s">
        <v>79</v>
      </c>
      <c r="X302" s="1" t="s">
        <v>74</v>
      </c>
      <c r="Y302" s="1" t="s">
        <v>71</v>
      </c>
      <c r="Z302" s="1" t="s">
        <v>80</v>
      </c>
      <c r="AA302" s="1" t="s">
        <v>403</v>
      </c>
      <c r="AB302" s="1" t="s">
        <v>74</v>
      </c>
      <c r="AC302" s="1" t="s">
        <v>74</v>
      </c>
      <c r="AD302" s="1" t="s">
        <v>74</v>
      </c>
      <c r="AE302" s="11">
        <v>45736</v>
      </c>
      <c r="AF302" s="11"/>
      <c r="AG302" s="1" t="s">
        <v>74</v>
      </c>
      <c r="AJ302" cm="1">
        <f t="array" ref="AJ302:AK302">_xlfn.XLOOKUP(M302,'Customer Data Vlookup'!$L:$L,'Customer Data Vlookup'!$M:$N,,0)</f>
        <v>0</v>
      </c>
      <c r="AK302" s="47">
        <v>383</v>
      </c>
      <c r="AL302" s="47">
        <f t="shared" si="42"/>
        <v>383</v>
      </c>
      <c r="AM302" s="58">
        <f t="shared" si="43"/>
        <v>24.449999999999989</v>
      </c>
    </row>
    <row r="303" spans="1:39" x14ac:dyDescent="0.35">
      <c r="A303" s="1" t="s">
        <v>124</v>
      </c>
      <c r="B303" s="1" t="s">
        <v>67</v>
      </c>
      <c r="C303" s="1" t="s">
        <v>68</v>
      </c>
      <c r="D303" s="1" t="s">
        <v>69</v>
      </c>
      <c r="E303" s="1" t="s">
        <v>17</v>
      </c>
      <c r="F303" s="1" t="s">
        <v>166</v>
      </c>
      <c r="G303" s="11">
        <v>45736</v>
      </c>
      <c r="H303" s="25">
        <v>1800003885</v>
      </c>
      <c r="I303" s="1" t="s">
        <v>9</v>
      </c>
      <c r="J303" s="11">
        <v>45736</v>
      </c>
      <c r="K303" s="11">
        <v>45736</v>
      </c>
      <c r="L303" s="1" t="s">
        <v>71</v>
      </c>
      <c r="M303" s="35">
        <v>246779413753</v>
      </c>
      <c r="N303" s="1" t="s">
        <v>72</v>
      </c>
      <c r="O303" s="1" t="s">
        <v>73</v>
      </c>
      <c r="P303" s="1" t="s">
        <v>74</v>
      </c>
      <c r="Q303" s="1" t="s">
        <v>83</v>
      </c>
      <c r="R303" s="1" t="s">
        <v>76</v>
      </c>
      <c r="S303" s="12">
        <v>2.35</v>
      </c>
      <c r="T303" s="1" t="s">
        <v>77</v>
      </c>
      <c r="U303" s="12">
        <v>203.72</v>
      </c>
      <c r="V303" s="1" t="s">
        <v>78</v>
      </c>
      <c r="W303" s="1" t="s">
        <v>79</v>
      </c>
      <c r="X303" s="1" t="s">
        <v>74</v>
      </c>
      <c r="Y303" s="1" t="s">
        <v>71</v>
      </c>
      <c r="Z303" s="1" t="s">
        <v>80</v>
      </c>
      <c r="AA303" s="1" t="s">
        <v>134</v>
      </c>
      <c r="AB303" s="1" t="s">
        <v>74</v>
      </c>
      <c r="AC303" s="1" t="s">
        <v>74</v>
      </c>
      <c r="AD303" s="1" t="s">
        <v>74</v>
      </c>
      <c r="AE303" s="11">
        <v>45736</v>
      </c>
      <c r="AF303" s="11"/>
      <c r="AG303" s="1" t="s">
        <v>74</v>
      </c>
      <c r="AJ303" cm="1">
        <f t="array" ref="AJ303:AK303">_xlfn.XLOOKUP(M303,'Customer Data Vlookup'!$L:$L,'Customer Data Vlookup'!$M:$N,,0)</f>
        <v>0</v>
      </c>
      <c r="AK303" s="47">
        <v>31723</v>
      </c>
      <c r="AL303" s="47">
        <f t="shared" si="42"/>
        <v>31723</v>
      </c>
      <c r="AM303" s="58">
        <f t="shared" si="43"/>
        <v>-31519.279999999999</v>
      </c>
    </row>
    <row r="304" spans="1:39" x14ac:dyDescent="0.35">
      <c r="A304" s="1" t="s">
        <v>124</v>
      </c>
      <c r="B304" s="1" t="s">
        <v>67</v>
      </c>
      <c r="C304" s="1" t="s">
        <v>68</v>
      </c>
      <c r="D304" s="1" t="s">
        <v>69</v>
      </c>
      <c r="E304" s="1" t="s">
        <v>17</v>
      </c>
      <c r="F304" s="1" t="s">
        <v>166</v>
      </c>
      <c r="G304" s="11">
        <v>45736</v>
      </c>
      <c r="H304" s="25">
        <v>1800004735</v>
      </c>
      <c r="I304" s="1" t="s">
        <v>9</v>
      </c>
      <c r="J304" s="11">
        <v>45736</v>
      </c>
      <c r="K304" s="11">
        <v>45737</v>
      </c>
      <c r="L304" s="1" t="s">
        <v>71</v>
      </c>
      <c r="M304" s="35">
        <v>246779414603</v>
      </c>
      <c r="N304" s="1" t="s">
        <v>72</v>
      </c>
      <c r="O304" s="1" t="s">
        <v>73</v>
      </c>
      <c r="P304" s="1" t="s">
        <v>74</v>
      </c>
      <c r="Q304" s="1" t="s">
        <v>83</v>
      </c>
      <c r="R304" s="1" t="s">
        <v>76</v>
      </c>
      <c r="S304" s="12">
        <v>412.38</v>
      </c>
      <c r="T304" s="1" t="s">
        <v>77</v>
      </c>
      <c r="U304" s="12">
        <v>35749.74</v>
      </c>
      <c r="V304" s="1" t="s">
        <v>78</v>
      </c>
      <c r="W304" s="1" t="s">
        <v>79</v>
      </c>
      <c r="X304" s="1" t="s">
        <v>74</v>
      </c>
      <c r="Y304" s="1" t="s">
        <v>71</v>
      </c>
      <c r="Z304" s="1" t="s">
        <v>80</v>
      </c>
      <c r="AA304" s="1" t="s">
        <v>417</v>
      </c>
      <c r="AB304" s="1" t="s">
        <v>74</v>
      </c>
      <c r="AC304" s="1" t="s">
        <v>74</v>
      </c>
      <c r="AD304" s="1" t="s">
        <v>74</v>
      </c>
      <c r="AE304" s="11">
        <v>45736</v>
      </c>
      <c r="AF304" s="11"/>
      <c r="AG304" s="1" t="s">
        <v>74</v>
      </c>
      <c r="AJ304" cm="1">
        <f t="array" ref="AJ304:AK304">_xlfn.XLOOKUP(M304,'Customer Data Vlookup'!$L:$L,'Customer Data Vlookup'!$M:$N,,0)</f>
        <v>0</v>
      </c>
      <c r="AK304" s="47">
        <v>34760</v>
      </c>
      <c r="AL304" s="47">
        <f t="shared" si="42"/>
        <v>34760</v>
      </c>
      <c r="AM304" s="58">
        <f t="shared" si="43"/>
        <v>989.73999999999796</v>
      </c>
    </row>
    <row r="305" spans="1:39" x14ac:dyDescent="0.35">
      <c r="A305" s="1" t="s">
        <v>124</v>
      </c>
      <c r="B305" s="1" t="s">
        <v>67</v>
      </c>
      <c r="C305" s="1" t="s">
        <v>68</v>
      </c>
      <c r="D305" s="1" t="s">
        <v>69</v>
      </c>
      <c r="E305" s="1" t="s">
        <v>17</v>
      </c>
      <c r="F305" s="1" t="s">
        <v>166</v>
      </c>
      <c r="G305" s="11">
        <v>45736</v>
      </c>
      <c r="H305" s="25">
        <v>1800004812</v>
      </c>
      <c r="I305" s="1" t="s">
        <v>9</v>
      </c>
      <c r="J305" s="11">
        <v>45736</v>
      </c>
      <c r="K305" s="11">
        <v>45737</v>
      </c>
      <c r="L305" s="1" t="s">
        <v>71</v>
      </c>
      <c r="M305" s="35">
        <v>246779414680</v>
      </c>
      <c r="N305" s="1" t="s">
        <v>72</v>
      </c>
      <c r="O305" s="1" t="s">
        <v>73</v>
      </c>
      <c r="P305" s="1" t="s">
        <v>74</v>
      </c>
      <c r="Q305" s="1" t="s">
        <v>83</v>
      </c>
      <c r="R305" s="1" t="s">
        <v>76</v>
      </c>
      <c r="S305" s="12">
        <v>2.5</v>
      </c>
      <c r="T305" s="1" t="s">
        <v>77</v>
      </c>
      <c r="U305" s="12">
        <v>216.73</v>
      </c>
      <c r="V305" s="1" t="s">
        <v>78</v>
      </c>
      <c r="W305" s="1" t="s">
        <v>79</v>
      </c>
      <c r="X305" s="1" t="s">
        <v>74</v>
      </c>
      <c r="Y305" s="1" t="s">
        <v>71</v>
      </c>
      <c r="Z305" s="1" t="s">
        <v>80</v>
      </c>
      <c r="AA305" s="1" t="s">
        <v>418</v>
      </c>
      <c r="AB305" s="1" t="s">
        <v>74</v>
      </c>
      <c r="AC305" s="1" t="s">
        <v>74</v>
      </c>
      <c r="AD305" s="1" t="s">
        <v>74</v>
      </c>
      <c r="AE305" s="11">
        <v>45736</v>
      </c>
      <c r="AF305" s="11"/>
      <c r="AG305" s="1" t="s">
        <v>74</v>
      </c>
      <c r="AJ305" cm="1">
        <f t="array" ref="AJ305:AK305">_xlfn.XLOOKUP(M305,'Customer Data Vlookup'!$L:$L,'Customer Data Vlookup'!$M:$N,,0)</f>
        <v>0</v>
      </c>
      <c r="AK305" s="47">
        <v>383</v>
      </c>
      <c r="AL305" s="47">
        <f t="shared" si="42"/>
        <v>383</v>
      </c>
      <c r="AM305" s="58">
        <f t="shared" si="43"/>
        <v>-166.27</v>
      </c>
    </row>
    <row r="306" spans="1:39" x14ac:dyDescent="0.35">
      <c r="A306" s="1" t="s">
        <v>124</v>
      </c>
      <c r="B306" s="1" t="s">
        <v>67</v>
      </c>
      <c r="C306" s="1" t="s">
        <v>68</v>
      </c>
      <c r="D306" s="1" t="s">
        <v>69</v>
      </c>
      <c r="E306" s="1" t="s">
        <v>17</v>
      </c>
      <c r="F306" s="1" t="s">
        <v>213</v>
      </c>
      <c r="G306" s="11">
        <v>45708</v>
      </c>
      <c r="H306" s="25">
        <v>1800000121</v>
      </c>
      <c r="I306" s="1" t="s">
        <v>9</v>
      </c>
      <c r="J306" s="11">
        <v>45708</v>
      </c>
      <c r="K306" s="11">
        <v>45708</v>
      </c>
      <c r="L306" s="1" t="s">
        <v>71</v>
      </c>
      <c r="M306" s="35">
        <v>246779410049</v>
      </c>
      <c r="N306" s="1" t="s">
        <v>72</v>
      </c>
      <c r="O306" s="1" t="s">
        <v>73</v>
      </c>
      <c r="P306" s="1" t="s">
        <v>74</v>
      </c>
      <c r="Q306" s="1" t="s">
        <v>83</v>
      </c>
      <c r="R306" s="1" t="s">
        <v>76</v>
      </c>
      <c r="S306" s="12">
        <v>456.75</v>
      </c>
      <c r="T306" s="1" t="s">
        <v>77</v>
      </c>
      <c r="U306" s="12">
        <v>39419.199999999997</v>
      </c>
      <c r="V306" s="1" t="s">
        <v>78</v>
      </c>
      <c r="W306" s="1" t="s">
        <v>79</v>
      </c>
      <c r="X306" s="1" t="s">
        <v>74</v>
      </c>
      <c r="Y306" s="1" t="s">
        <v>71</v>
      </c>
      <c r="Z306" s="1" t="s">
        <v>80</v>
      </c>
      <c r="AA306" s="1" t="s">
        <v>419</v>
      </c>
      <c r="AB306" s="1" t="s">
        <v>74</v>
      </c>
      <c r="AC306" s="1" t="s">
        <v>74</v>
      </c>
      <c r="AD306" s="1" t="s">
        <v>74</v>
      </c>
      <c r="AE306" s="11">
        <v>45708</v>
      </c>
      <c r="AF306" s="11"/>
      <c r="AG306" s="1" t="s">
        <v>74</v>
      </c>
      <c r="AJ306" cm="1">
        <f t="array" ref="AJ306:AK306">_xlfn.XLOOKUP(M306,'Customer Data Vlookup'!$L:$L,'Customer Data Vlookup'!$M:$N,,0)</f>
        <v>0</v>
      </c>
      <c r="AK306" s="47">
        <v>35554.519999999997</v>
      </c>
      <c r="AL306" s="47">
        <f t="shared" si="42"/>
        <v>35554.519999999997</v>
      </c>
      <c r="AM306" s="58">
        <f t="shared" si="43"/>
        <v>3864.6800000000003</v>
      </c>
    </row>
    <row r="307" spans="1:39" x14ac:dyDescent="0.35">
      <c r="A307" s="1" t="s">
        <v>124</v>
      </c>
      <c r="B307" s="1" t="s">
        <v>67</v>
      </c>
      <c r="C307" s="1" t="s">
        <v>68</v>
      </c>
      <c r="D307" s="1" t="s">
        <v>69</v>
      </c>
      <c r="E307" s="1" t="s">
        <v>17</v>
      </c>
      <c r="F307" s="1" t="s">
        <v>213</v>
      </c>
      <c r="G307" s="11">
        <v>45708</v>
      </c>
      <c r="H307" s="25">
        <v>1800000032</v>
      </c>
      <c r="I307" s="1" t="s">
        <v>9</v>
      </c>
      <c r="J307" s="11">
        <v>45708</v>
      </c>
      <c r="K307" s="11">
        <v>45708</v>
      </c>
      <c r="L307" s="1" t="s">
        <v>71</v>
      </c>
      <c r="M307" s="35">
        <v>246779410072</v>
      </c>
      <c r="N307" s="1" t="s">
        <v>72</v>
      </c>
      <c r="O307" s="1" t="s">
        <v>73</v>
      </c>
      <c r="P307" s="1" t="s">
        <v>74</v>
      </c>
      <c r="Q307" s="1" t="s">
        <v>83</v>
      </c>
      <c r="R307" s="1" t="s">
        <v>76</v>
      </c>
      <c r="S307" s="12">
        <v>456.75</v>
      </c>
      <c r="T307" s="1" t="s">
        <v>77</v>
      </c>
      <c r="U307" s="12">
        <v>39419.199999999997</v>
      </c>
      <c r="V307" s="1" t="s">
        <v>78</v>
      </c>
      <c r="W307" s="1" t="s">
        <v>79</v>
      </c>
      <c r="X307" s="1" t="s">
        <v>74</v>
      </c>
      <c r="Y307" s="1" t="s">
        <v>71</v>
      </c>
      <c r="Z307" s="1" t="s">
        <v>80</v>
      </c>
      <c r="AA307" s="1" t="s">
        <v>420</v>
      </c>
      <c r="AB307" s="1" t="s">
        <v>74</v>
      </c>
      <c r="AC307" s="1" t="s">
        <v>74</v>
      </c>
      <c r="AD307" s="1" t="s">
        <v>74</v>
      </c>
      <c r="AE307" s="11">
        <v>45708</v>
      </c>
      <c r="AF307" s="11"/>
      <c r="AG307" s="1" t="s">
        <v>74</v>
      </c>
      <c r="AJ307" cm="1">
        <f t="array" ref="AJ307:AK307">_xlfn.XLOOKUP(M307,'Customer Data Vlookup'!$L:$L,'Customer Data Vlookup'!$M:$N,,0)</f>
        <v>0</v>
      </c>
      <c r="AK307" s="47">
        <v>35477</v>
      </c>
      <c r="AL307" s="47">
        <f t="shared" si="42"/>
        <v>35477</v>
      </c>
      <c r="AM307" s="58">
        <f t="shared" si="43"/>
        <v>3942.1999999999971</v>
      </c>
    </row>
    <row r="308" spans="1:39" x14ac:dyDescent="0.35">
      <c r="A308" s="1" t="s">
        <v>124</v>
      </c>
      <c r="B308" s="1" t="s">
        <v>67</v>
      </c>
      <c r="C308" s="1" t="s">
        <v>68</v>
      </c>
      <c r="D308" s="1" t="s">
        <v>69</v>
      </c>
      <c r="E308" s="1" t="s">
        <v>17</v>
      </c>
      <c r="F308" s="1" t="s">
        <v>213</v>
      </c>
      <c r="G308" s="11">
        <v>45708</v>
      </c>
      <c r="H308" s="25">
        <v>1800000190</v>
      </c>
      <c r="I308" s="1" t="s">
        <v>9</v>
      </c>
      <c r="J308" s="11">
        <v>45708</v>
      </c>
      <c r="K308" s="11">
        <v>45708</v>
      </c>
      <c r="L308" s="1" t="s">
        <v>71</v>
      </c>
      <c r="M308" s="35">
        <v>246779410117</v>
      </c>
      <c r="N308" s="1" t="s">
        <v>72</v>
      </c>
      <c r="O308" s="1" t="s">
        <v>73</v>
      </c>
      <c r="P308" s="1" t="s">
        <v>74</v>
      </c>
      <c r="Q308" s="1" t="s">
        <v>83</v>
      </c>
      <c r="R308" s="1" t="s">
        <v>76</v>
      </c>
      <c r="S308" s="12">
        <v>456.75</v>
      </c>
      <c r="T308" s="1" t="s">
        <v>77</v>
      </c>
      <c r="U308" s="12">
        <v>39419.199999999997</v>
      </c>
      <c r="V308" s="1" t="s">
        <v>78</v>
      </c>
      <c r="W308" s="1" t="s">
        <v>79</v>
      </c>
      <c r="X308" s="1" t="s">
        <v>74</v>
      </c>
      <c r="Y308" s="1" t="s">
        <v>71</v>
      </c>
      <c r="Z308" s="1" t="s">
        <v>80</v>
      </c>
      <c r="AA308" s="1" t="s">
        <v>421</v>
      </c>
      <c r="AB308" s="1" t="s">
        <v>74</v>
      </c>
      <c r="AC308" s="1" t="s">
        <v>74</v>
      </c>
      <c r="AD308" s="1" t="s">
        <v>74</v>
      </c>
      <c r="AE308" s="11">
        <v>45708</v>
      </c>
      <c r="AF308" s="11"/>
      <c r="AG308" s="1" t="s">
        <v>74</v>
      </c>
      <c r="AJ308" cm="1">
        <f t="array" ref="AJ308:AK308">_xlfn.XLOOKUP(M308,'Customer Data Vlookup'!$L:$L,'Customer Data Vlookup'!$M:$N,,0)</f>
        <v>0</v>
      </c>
      <c r="AK308" s="47">
        <v>35554.519999999997</v>
      </c>
      <c r="AL308" s="47">
        <f t="shared" si="42"/>
        <v>35554.519999999997</v>
      </c>
      <c r="AM308" s="58">
        <f t="shared" si="43"/>
        <v>3864.6800000000003</v>
      </c>
    </row>
    <row r="309" spans="1:39" x14ac:dyDescent="0.35">
      <c r="A309" s="1" t="s">
        <v>124</v>
      </c>
      <c r="B309" s="1" t="s">
        <v>67</v>
      </c>
      <c r="C309" s="1" t="s">
        <v>68</v>
      </c>
      <c r="D309" s="1" t="s">
        <v>69</v>
      </c>
      <c r="E309" s="1" t="s">
        <v>17</v>
      </c>
      <c r="F309" s="1" t="s">
        <v>213</v>
      </c>
      <c r="G309" s="11">
        <v>45708</v>
      </c>
      <c r="H309" s="25">
        <v>1800000233</v>
      </c>
      <c r="I309" s="1" t="s">
        <v>9</v>
      </c>
      <c r="J309" s="11">
        <v>45708</v>
      </c>
      <c r="K309" s="11">
        <v>45708</v>
      </c>
      <c r="L309" s="1" t="s">
        <v>71</v>
      </c>
      <c r="M309" s="35">
        <v>246779410160</v>
      </c>
      <c r="N309" s="1" t="s">
        <v>72</v>
      </c>
      <c r="O309" s="1" t="s">
        <v>73</v>
      </c>
      <c r="P309" s="1" t="s">
        <v>74</v>
      </c>
      <c r="Q309" s="1" t="s">
        <v>83</v>
      </c>
      <c r="R309" s="1" t="s">
        <v>76</v>
      </c>
      <c r="S309" s="12">
        <v>456.75</v>
      </c>
      <c r="T309" s="1" t="s">
        <v>77</v>
      </c>
      <c r="U309" s="12">
        <v>39419.199999999997</v>
      </c>
      <c r="V309" s="1" t="s">
        <v>78</v>
      </c>
      <c r="W309" s="1" t="s">
        <v>79</v>
      </c>
      <c r="X309" s="1" t="s">
        <v>74</v>
      </c>
      <c r="Y309" s="1" t="s">
        <v>71</v>
      </c>
      <c r="Z309" s="1" t="s">
        <v>80</v>
      </c>
      <c r="AA309" s="1" t="s">
        <v>422</v>
      </c>
      <c r="AB309" s="1" t="s">
        <v>74</v>
      </c>
      <c r="AC309" s="1" t="s">
        <v>74</v>
      </c>
      <c r="AD309" s="1" t="s">
        <v>74</v>
      </c>
      <c r="AE309" s="11">
        <v>45708</v>
      </c>
      <c r="AF309" s="11"/>
      <c r="AG309" s="1" t="s">
        <v>74</v>
      </c>
      <c r="AJ309" cm="1">
        <f t="array" ref="AJ309:AK309">_xlfn.XLOOKUP(M309,'Customer Data Vlookup'!$L:$L,'Customer Data Vlookup'!$M:$N,,0)</f>
        <v>0</v>
      </c>
      <c r="AK309" s="47">
        <v>35554.519999999997</v>
      </c>
      <c r="AL309" s="47">
        <f t="shared" si="42"/>
        <v>35554.519999999997</v>
      </c>
      <c r="AM309" s="58">
        <f t="shared" si="43"/>
        <v>3864.6800000000003</v>
      </c>
    </row>
    <row r="310" spans="1:39" x14ac:dyDescent="0.35">
      <c r="A310" s="1" t="s">
        <v>124</v>
      </c>
      <c r="B310" s="1" t="s">
        <v>67</v>
      </c>
      <c r="C310" s="1" t="s">
        <v>68</v>
      </c>
      <c r="D310" s="1" t="s">
        <v>69</v>
      </c>
      <c r="E310" s="1" t="s">
        <v>17</v>
      </c>
      <c r="F310" s="1" t="s">
        <v>213</v>
      </c>
      <c r="G310" s="11">
        <v>45708</v>
      </c>
      <c r="H310" s="25">
        <v>1800000276</v>
      </c>
      <c r="I310" s="1" t="s">
        <v>9</v>
      </c>
      <c r="J310" s="11">
        <v>45708</v>
      </c>
      <c r="K310" s="11">
        <v>45708</v>
      </c>
      <c r="L310" s="1" t="s">
        <v>71</v>
      </c>
      <c r="M310" s="35">
        <v>246779410203</v>
      </c>
      <c r="N310" s="1" t="s">
        <v>72</v>
      </c>
      <c r="O310" s="1" t="s">
        <v>73</v>
      </c>
      <c r="P310" s="1" t="s">
        <v>74</v>
      </c>
      <c r="Q310" s="1" t="s">
        <v>83</v>
      </c>
      <c r="R310" s="1" t="s">
        <v>76</v>
      </c>
      <c r="S310" s="12">
        <v>456.75</v>
      </c>
      <c r="T310" s="1" t="s">
        <v>77</v>
      </c>
      <c r="U310" s="12">
        <v>39419.199999999997</v>
      </c>
      <c r="V310" s="1" t="s">
        <v>78</v>
      </c>
      <c r="W310" s="1" t="s">
        <v>79</v>
      </c>
      <c r="X310" s="1" t="s">
        <v>74</v>
      </c>
      <c r="Y310" s="1" t="s">
        <v>71</v>
      </c>
      <c r="Z310" s="1" t="s">
        <v>80</v>
      </c>
      <c r="AA310" s="1" t="s">
        <v>138</v>
      </c>
      <c r="AB310" s="1" t="s">
        <v>74</v>
      </c>
      <c r="AC310" s="1" t="s">
        <v>74</v>
      </c>
      <c r="AD310" s="1" t="s">
        <v>74</v>
      </c>
      <c r="AE310" s="11">
        <v>45708</v>
      </c>
      <c r="AF310" s="11"/>
      <c r="AG310" s="1" t="s">
        <v>74</v>
      </c>
      <c r="AJ310" cm="1">
        <f t="array" ref="AJ310:AK310">_xlfn.XLOOKUP(M310,'Customer Data Vlookup'!$L:$L,'Customer Data Vlookup'!$M:$N,,0)</f>
        <v>0</v>
      </c>
      <c r="AK310" s="47">
        <v>35554.519999999997</v>
      </c>
      <c r="AL310" s="47">
        <f t="shared" si="42"/>
        <v>35554.519999999997</v>
      </c>
      <c r="AM310" s="58">
        <f t="shared" si="43"/>
        <v>3864.6800000000003</v>
      </c>
    </row>
    <row r="311" spans="1:39" x14ac:dyDescent="0.35">
      <c r="A311" s="1" t="s">
        <v>124</v>
      </c>
      <c r="B311" s="1" t="s">
        <v>67</v>
      </c>
      <c r="C311" s="1" t="s">
        <v>68</v>
      </c>
      <c r="D311" s="1" t="s">
        <v>69</v>
      </c>
      <c r="E311" s="1" t="s">
        <v>17</v>
      </c>
      <c r="F311" s="1" t="s">
        <v>213</v>
      </c>
      <c r="G311" s="11">
        <v>45708</v>
      </c>
      <c r="H311" s="25">
        <v>1800000319</v>
      </c>
      <c r="I311" s="1" t="s">
        <v>9</v>
      </c>
      <c r="J311" s="11">
        <v>45708</v>
      </c>
      <c r="K311" s="11">
        <v>45708</v>
      </c>
      <c r="L311" s="1" t="s">
        <v>71</v>
      </c>
      <c r="M311" s="35">
        <v>246779410246</v>
      </c>
      <c r="N311" s="1" t="s">
        <v>72</v>
      </c>
      <c r="O311" s="1" t="s">
        <v>73</v>
      </c>
      <c r="P311" s="1" t="s">
        <v>74</v>
      </c>
      <c r="Q311" s="1" t="s">
        <v>83</v>
      </c>
      <c r="R311" s="1" t="s">
        <v>76</v>
      </c>
      <c r="S311" s="12">
        <v>456.75</v>
      </c>
      <c r="T311" s="1" t="s">
        <v>77</v>
      </c>
      <c r="U311" s="12">
        <v>39419.199999999997</v>
      </c>
      <c r="V311" s="1" t="s">
        <v>78</v>
      </c>
      <c r="W311" s="1" t="s">
        <v>79</v>
      </c>
      <c r="X311" s="1" t="s">
        <v>74</v>
      </c>
      <c r="Y311" s="1" t="s">
        <v>71</v>
      </c>
      <c r="Z311" s="1" t="s">
        <v>80</v>
      </c>
      <c r="AA311" s="1" t="s">
        <v>136</v>
      </c>
      <c r="AB311" s="1" t="s">
        <v>74</v>
      </c>
      <c r="AC311" s="1" t="s">
        <v>74</v>
      </c>
      <c r="AD311" s="1" t="s">
        <v>74</v>
      </c>
      <c r="AE311" s="11">
        <v>45708</v>
      </c>
      <c r="AF311" s="11"/>
      <c r="AG311" s="1" t="s">
        <v>74</v>
      </c>
      <c r="AJ311" cm="1">
        <f t="array" ref="AJ311:AK311">_xlfn.XLOOKUP(M311,'Customer Data Vlookup'!$L:$L,'Customer Data Vlookup'!$M:$N,,0)</f>
        <v>0</v>
      </c>
      <c r="AK311" s="47">
        <v>35554.519999999997</v>
      </c>
      <c r="AL311" s="47">
        <f t="shared" si="42"/>
        <v>35554.519999999997</v>
      </c>
      <c r="AM311" s="58">
        <f t="shared" si="43"/>
        <v>3864.6800000000003</v>
      </c>
    </row>
    <row r="312" spans="1:39" x14ac:dyDescent="0.35">
      <c r="A312" s="1" t="s">
        <v>124</v>
      </c>
      <c r="B312" s="1" t="s">
        <v>67</v>
      </c>
      <c r="C312" s="1" t="s">
        <v>68</v>
      </c>
      <c r="D312" s="1" t="s">
        <v>69</v>
      </c>
      <c r="E312" s="1" t="s">
        <v>17</v>
      </c>
      <c r="F312" s="1" t="s">
        <v>213</v>
      </c>
      <c r="G312" s="11">
        <v>45708</v>
      </c>
      <c r="H312" s="25">
        <v>1800000150</v>
      </c>
      <c r="I312" s="1" t="s">
        <v>9</v>
      </c>
      <c r="J312" s="11">
        <v>45708</v>
      </c>
      <c r="K312" s="11">
        <v>45709</v>
      </c>
      <c r="L312" s="1" t="s">
        <v>71</v>
      </c>
      <c r="M312" s="35">
        <v>246779410303</v>
      </c>
      <c r="N312" s="1" t="s">
        <v>72</v>
      </c>
      <c r="O312" s="1" t="s">
        <v>73</v>
      </c>
      <c r="P312" s="1" t="s">
        <v>74</v>
      </c>
      <c r="Q312" s="1" t="s">
        <v>83</v>
      </c>
      <c r="R312" s="1" t="s">
        <v>76</v>
      </c>
      <c r="S312" s="12">
        <v>456.75</v>
      </c>
      <c r="T312" s="1" t="s">
        <v>77</v>
      </c>
      <c r="U312" s="12">
        <v>39419.199999999997</v>
      </c>
      <c r="V312" s="1" t="s">
        <v>78</v>
      </c>
      <c r="W312" s="1" t="s">
        <v>79</v>
      </c>
      <c r="X312" s="1" t="s">
        <v>74</v>
      </c>
      <c r="Y312" s="1" t="s">
        <v>71</v>
      </c>
      <c r="Z312" s="1" t="s">
        <v>80</v>
      </c>
      <c r="AA312" s="1" t="s">
        <v>423</v>
      </c>
      <c r="AB312" s="1" t="s">
        <v>74</v>
      </c>
      <c r="AC312" s="1" t="s">
        <v>74</v>
      </c>
      <c r="AD312" s="1" t="s">
        <v>74</v>
      </c>
      <c r="AE312" s="11">
        <v>45708</v>
      </c>
      <c r="AF312" s="11"/>
      <c r="AG312" s="1" t="s">
        <v>74</v>
      </c>
      <c r="AJ312" cm="1">
        <f t="array" ref="AJ312:AK312">_xlfn.XLOOKUP(M312,'Customer Data Vlookup'!$L:$L,'Customer Data Vlookup'!$M:$N,,0)</f>
        <v>0</v>
      </c>
      <c r="AK312" s="47">
        <v>35554.519999999997</v>
      </c>
      <c r="AL312" s="47">
        <f t="shared" ref="AL312:AL319" si="44">AK312-AJ312</f>
        <v>35554.519999999997</v>
      </c>
      <c r="AM312" s="58">
        <f t="shared" ref="AM312:AM319" si="45">U312-AL312</f>
        <v>3864.6800000000003</v>
      </c>
    </row>
    <row r="313" spans="1:39" x14ac:dyDescent="0.35">
      <c r="A313" s="1" t="s">
        <v>124</v>
      </c>
      <c r="B313" s="1" t="s">
        <v>67</v>
      </c>
      <c r="C313" s="1" t="s">
        <v>68</v>
      </c>
      <c r="D313" s="1" t="s">
        <v>69</v>
      </c>
      <c r="E313" s="1" t="s">
        <v>17</v>
      </c>
      <c r="F313" s="1" t="s">
        <v>316</v>
      </c>
      <c r="G313" s="11">
        <v>45889</v>
      </c>
      <c r="H313" s="25">
        <v>1800012068</v>
      </c>
      <c r="I313" s="1" t="s">
        <v>9</v>
      </c>
      <c r="J313" s="11">
        <v>45889</v>
      </c>
      <c r="K313" s="11">
        <v>45891</v>
      </c>
      <c r="L313" s="1" t="s">
        <v>71</v>
      </c>
      <c r="M313" s="35">
        <v>256779416603</v>
      </c>
      <c r="N313" s="1" t="s">
        <v>72</v>
      </c>
      <c r="O313" s="1" t="s">
        <v>73</v>
      </c>
      <c r="P313" s="1" t="s">
        <v>74</v>
      </c>
      <c r="Q313" s="1" t="s">
        <v>83</v>
      </c>
      <c r="R313" s="1" t="s">
        <v>76</v>
      </c>
      <c r="S313" s="12">
        <v>17.350000000000001</v>
      </c>
      <c r="T313" s="1" t="s">
        <v>77</v>
      </c>
      <c r="U313" s="12">
        <v>1492.62</v>
      </c>
      <c r="V313" s="1" t="s">
        <v>78</v>
      </c>
      <c r="W313" s="1" t="s">
        <v>79</v>
      </c>
      <c r="X313" s="1" t="s">
        <v>74</v>
      </c>
      <c r="Y313" s="1" t="s">
        <v>71</v>
      </c>
      <c r="Z313" s="1" t="s">
        <v>80</v>
      </c>
      <c r="AA313" s="1" t="s">
        <v>424</v>
      </c>
      <c r="AB313" s="1" t="s">
        <v>74</v>
      </c>
      <c r="AC313" s="1" t="s">
        <v>74</v>
      </c>
      <c r="AD313" s="1" t="s">
        <v>74</v>
      </c>
      <c r="AE313" s="11">
        <v>45889</v>
      </c>
      <c r="AF313" s="11"/>
      <c r="AG313" s="1" t="s">
        <v>74</v>
      </c>
      <c r="AJ313" cm="1">
        <f t="array" ref="AJ313:AK313">_xlfn.XLOOKUP(M313,'Customer Data Vlookup'!$L:$L,'Customer Data Vlookup'!$M:$N,,0)</f>
        <v>0</v>
      </c>
      <c r="AK313" s="47">
        <v>1463</v>
      </c>
      <c r="AL313" s="47">
        <f t="shared" si="44"/>
        <v>1463</v>
      </c>
      <c r="AM313" s="58">
        <f t="shared" si="45"/>
        <v>29.619999999999891</v>
      </c>
    </row>
    <row r="314" spans="1:39" x14ac:dyDescent="0.35">
      <c r="A314" s="1" t="s">
        <v>124</v>
      </c>
      <c r="B314" s="1" t="s">
        <v>67</v>
      </c>
      <c r="C314" s="1" t="s">
        <v>68</v>
      </c>
      <c r="D314" s="1" t="s">
        <v>69</v>
      </c>
      <c r="E314" s="1" t="s">
        <v>17</v>
      </c>
      <c r="F314" s="1" t="s">
        <v>316</v>
      </c>
      <c r="G314" s="11">
        <v>45889</v>
      </c>
      <c r="H314" s="25">
        <v>1800012177</v>
      </c>
      <c r="I314" s="1" t="s">
        <v>9</v>
      </c>
      <c r="J314" s="11">
        <v>45889</v>
      </c>
      <c r="K314" s="11">
        <v>45891</v>
      </c>
      <c r="L314" s="1" t="s">
        <v>71</v>
      </c>
      <c r="M314" s="35">
        <v>256779416615</v>
      </c>
      <c r="N314" s="1" t="s">
        <v>72</v>
      </c>
      <c r="O314" s="1" t="s">
        <v>73</v>
      </c>
      <c r="P314" s="1" t="s">
        <v>74</v>
      </c>
      <c r="Q314" s="1" t="s">
        <v>83</v>
      </c>
      <c r="R314" s="1" t="s">
        <v>76</v>
      </c>
      <c r="S314" s="12">
        <v>56.82</v>
      </c>
      <c r="T314" s="1" t="s">
        <v>77</v>
      </c>
      <c r="U314" s="12">
        <v>4888.2299999999996</v>
      </c>
      <c r="V314" s="1" t="s">
        <v>78</v>
      </c>
      <c r="W314" s="1" t="s">
        <v>79</v>
      </c>
      <c r="X314" s="1" t="s">
        <v>74</v>
      </c>
      <c r="Y314" s="1" t="s">
        <v>71</v>
      </c>
      <c r="Z314" s="1" t="s">
        <v>80</v>
      </c>
      <c r="AA314" s="1" t="s">
        <v>425</v>
      </c>
      <c r="AB314" s="1" t="s">
        <v>74</v>
      </c>
      <c r="AC314" s="1" t="s">
        <v>74</v>
      </c>
      <c r="AD314" s="1" t="s">
        <v>74</v>
      </c>
      <c r="AE314" s="11">
        <v>45889</v>
      </c>
      <c r="AF314" s="11"/>
      <c r="AG314" s="1" t="s">
        <v>74</v>
      </c>
      <c r="AJ314" cm="1">
        <f t="array" ref="AJ314:AK314">_xlfn.XLOOKUP(M314,'Customer Data Vlookup'!$L:$L,'Customer Data Vlookup'!$M:$N,,0)</f>
        <v>0</v>
      </c>
      <c r="AK314" s="47">
        <v>4790</v>
      </c>
      <c r="AL314" s="47">
        <f t="shared" si="44"/>
        <v>4790</v>
      </c>
      <c r="AM314" s="58">
        <f t="shared" si="45"/>
        <v>98.229999999999563</v>
      </c>
    </row>
    <row r="315" spans="1:39" x14ac:dyDescent="0.35">
      <c r="A315" s="1" t="s">
        <v>124</v>
      </c>
      <c r="B315" s="1" t="s">
        <v>67</v>
      </c>
      <c r="C315" s="1" t="s">
        <v>68</v>
      </c>
      <c r="D315" s="1" t="s">
        <v>69</v>
      </c>
      <c r="E315" s="1" t="s">
        <v>17</v>
      </c>
      <c r="F315" s="1" t="s">
        <v>316</v>
      </c>
      <c r="G315" s="11">
        <v>45889</v>
      </c>
      <c r="H315" s="25">
        <v>1800012164</v>
      </c>
      <c r="I315" s="1" t="s">
        <v>9</v>
      </c>
      <c r="J315" s="11">
        <v>45889</v>
      </c>
      <c r="K315" s="11">
        <v>45891</v>
      </c>
      <c r="L315" s="1" t="s">
        <v>71</v>
      </c>
      <c r="M315" s="35">
        <v>256779416809</v>
      </c>
      <c r="N315" s="1" t="s">
        <v>72</v>
      </c>
      <c r="O315" s="1" t="s">
        <v>73</v>
      </c>
      <c r="P315" s="1" t="s">
        <v>74</v>
      </c>
      <c r="Q315" s="1" t="s">
        <v>83</v>
      </c>
      <c r="R315" s="1" t="s">
        <v>76</v>
      </c>
      <c r="S315" s="12">
        <v>82.8</v>
      </c>
      <c r="T315" s="1" t="s">
        <v>77</v>
      </c>
      <c r="U315" s="12">
        <v>7123.29</v>
      </c>
      <c r="V315" s="1" t="s">
        <v>78</v>
      </c>
      <c r="W315" s="1" t="s">
        <v>79</v>
      </c>
      <c r="X315" s="1" t="s">
        <v>74</v>
      </c>
      <c r="Y315" s="1" t="s">
        <v>71</v>
      </c>
      <c r="Z315" s="1" t="s">
        <v>80</v>
      </c>
      <c r="AA315" s="1" t="s">
        <v>426</v>
      </c>
      <c r="AB315" s="1" t="s">
        <v>74</v>
      </c>
      <c r="AC315" s="1" t="s">
        <v>74</v>
      </c>
      <c r="AD315" s="1" t="s">
        <v>74</v>
      </c>
      <c r="AE315" s="11">
        <v>45889</v>
      </c>
      <c r="AF315" s="11"/>
      <c r="AG315" s="1" t="s">
        <v>74</v>
      </c>
      <c r="AJ315" cm="1">
        <f t="array" ref="AJ315:AK315">_xlfn.XLOOKUP(M315,'Customer Data Vlookup'!$L:$L,'Customer Data Vlookup'!$M:$N,,0)</f>
        <v>0</v>
      </c>
      <c r="AK315" s="47">
        <v>6981</v>
      </c>
      <c r="AL315" s="47">
        <f t="shared" si="44"/>
        <v>6981</v>
      </c>
      <c r="AM315" s="58">
        <f t="shared" si="45"/>
        <v>142.28999999999996</v>
      </c>
    </row>
    <row r="316" spans="1:39" x14ac:dyDescent="0.35">
      <c r="A316" s="1" t="s">
        <v>124</v>
      </c>
      <c r="B316" s="1" t="s">
        <v>67</v>
      </c>
      <c r="C316" s="1" t="s">
        <v>68</v>
      </c>
      <c r="D316" s="1" t="s">
        <v>69</v>
      </c>
      <c r="E316" s="1" t="s">
        <v>17</v>
      </c>
      <c r="F316" s="1" t="s">
        <v>316</v>
      </c>
      <c r="G316" s="11">
        <v>45889</v>
      </c>
      <c r="H316" s="25">
        <v>1800012248</v>
      </c>
      <c r="I316" s="1" t="s">
        <v>9</v>
      </c>
      <c r="J316" s="11">
        <v>45889</v>
      </c>
      <c r="K316" s="11">
        <v>45891</v>
      </c>
      <c r="L316" s="1" t="s">
        <v>71</v>
      </c>
      <c r="M316" s="35">
        <v>256779416844</v>
      </c>
      <c r="N316" s="1" t="s">
        <v>72</v>
      </c>
      <c r="O316" s="1" t="s">
        <v>73</v>
      </c>
      <c r="P316" s="1" t="s">
        <v>74</v>
      </c>
      <c r="Q316" s="1" t="s">
        <v>83</v>
      </c>
      <c r="R316" s="1" t="s">
        <v>76</v>
      </c>
      <c r="S316" s="12">
        <v>141.4</v>
      </c>
      <c r="T316" s="1" t="s">
        <v>77</v>
      </c>
      <c r="U316" s="12">
        <v>12164.66</v>
      </c>
      <c r="V316" s="1" t="s">
        <v>78</v>
      </c>
      <c r="W316" s="1" t="s">
        <v>79</v>
      </c>
      <c r="X316" s="1" t="s">
        <v>74</v>
      </c>
      <c r="Y316" s="1" t="s">
        <v>71</v>
      </c>
      <c r="Z316" s="1" t="s">
        <v>80</v>
      </c>
      <c r="AA316" s="1" t="s">
        <v>427</v>
      </c>
      <c r="AB316" s="1" t="s">
        <v>74</v>
      </c>
      <c r="AC316" s="1" t="s">
        <v>74</v>
      </c>
      <c r="AD316" s="1" t="s">
        <v>74</v>
      </c>
      <c r="AE316" s="11">
        <v>45889</v>
      </c>
      <c r="AF316" s="11"/>
      <c r="AG316" s="1" t="s">
        <v>74</v>
      </c>
      <c r="AJ316" cm="1">
        <f t="array" ref="AJ316:AK316">_xlfn.XLOOKUP(M316,'Customer Data Vlookup'!$L:$L,'Customer Data Vlookup'!$M:$N,,0)</f>
        <v>0</v>
      </c>
      <c r="AK316" s="47">
        <v>11922</v>
      </c>
      <c r="AL316" s="47">
        <f t="shared" si="44"/>
        <v>11922</v>
      </c>
      <c r="AM316" s="58">
        <f t="shared" si="45"/>
        <v>242.65999999999985</v>
      </c>
    </row>
    <row r="317" spans="1:39" x14ac:dyDescent="0.35">
      <c r="A317" s="1" t="s">
        <v>124</v>
      </c>
      <c r="B317" s="1" t="s">
        <v>67</v>
      </c>
      <c r="C317" s="1" t="s">
        <v>68</v>
      </c>
      <c r="D317" s="1" t="s">
        <v>69</v>
      </c>
      <c r="E317" s="1" t="s">
        <v>17</v>
      </c>
      <c r="F317" s="1" t="s">
        <v>316</v>
      </c>
      <c r="G317" s="11">
        <v>45889</v>
      </c>
      <c r="H317" s="25">
        <v>1800012216</v>
      </c>
      <c r="I317" s="1" t="s">
        <v>9</v>
      </c>
      <c r="J317" s="11">
        <v>45889</v>
      </c>
      <c r="K317" s="11">
        <v>45891</v>
      </c>
      <c r="L317" s="1" t="s">
        <v>71</v>
      </c>
      <c r="M317" s="35">
        <v>256779416878</v>
      </c>
      <c r="N317" s="1" t="s">
        <v>72</v>
      </c>
      <c r="O317" s="1" t="s">
        <v>73</v>
      </c>
      <c r="P317" s="1" t="s">
        <v>74</v>
      </c>
      <c r="Q317" s="1" t="s">
        <v>83</v>
      </c>
      <c r="R317" s="1" t="s">
        <v>76</v>
      </c>
      <c r="S317" s="12">
        <v>11.52</v>
      </c>
      <c r="T317" s="1" t="s">
        <v>77</v>
      </c>
      <c r="U317" s="12">
        <v>991.07</v>
      </c>
      <c r="V317" s="1" t="s">
        <v>78</v>
      </c>
      <c r="W317" s="1" t="s">
        <v>79</v>
      </c>
      <c r="X317" s="1" t="s">
        <v>74</v>
      </c>
      <c r="Y317" s="1" t="s">
        <v>71</v>
      </c>
      <c r="Z317" s="1" t="s">
        <v>80</v>
      </c>
      <c r="AA317" s="1" t="s">
        <v>428</v>
      </c>
      <c r="AB317" s="1" t="s">
        <v>74</v>
      </c>
      <c r="AC317" s="1" t="s">
        <v>74</v>
      </c>
      <c r="AD317" s="1" t="s">
        <v>74</v>
      </c>
      <c r="AE317" s="11">
        <v>45889</v>
      </c>
      <c r="AF317" s="11"/>
      <c r="AG317" s="1" t="s">
        <v>74</v>
      </c>
      <c r="AJ317" cm="1">
        <f t="array" ref="AJ317:AK317">_xlfn.XLOOKUP(M317,'Customer Data Vlookup'!$L:$L,'Customer Data Vlookup'!$M:$N,,0)</f>
        <v>0</v>
      </c>
      <c r="AK317" s="47">
        <v>971</v>
      </c>
      <c r="AL317" s="47">
        <f t="shared" si="44"/>
        <v>971</v>
      </c>
      <c r="AM317" s="58">
        <f t="shared" si="45"/>
        <v>20.07000000000005</v>
      </c>
    </row>
    <row r="318" spans="1:39" x14ac:dyDescent="0.35">
      <c r="A318" s="1" t="s">
        <v>124</v>
      </c>
      <c r="B318" s="1" t="s">
        <v>67</v>
      </c>
      <c r="C318" s="1" t="s">
        <v>68</v>
      </c>
      <c r="D318" s="1" t="s">
        <v>69</v>
      </c>
      <c r="E318" s="1" t="s">
        <v>17</v>
      </c>
      <c r="F318" s="1" t="s">
        <v>203</v>
      </c>
      <c r="G318" s="11">
        <v>45999</v>
      </c>
      <c r="H318" s="25">
        <v>1800015418</v>
      </c>
      <c r="I318" s="1" t="s">
        <v>9</v>
      </c>
      <c r="J318" s="11">
        <v>45999</v>
      </c>
      <c r="K318" s="11">
        <v>46000</v>
      </c>
      <c r="L318" s="1" t="s">
        <v>71</v>
      </c>
      <c r="M318" s="35">
        <v>256779419867</v>
      </c>
      <c r="N318" s="1" t="s">
        <v>72</v>
      </c>
      <c r="O318" s="1" t="s">
        <v>73</v>
      </c>
      <c r="P318" s="1" t="s">
        <v>74</v>
      </c>
      <c r="Q318" s="1" t="s">
        <v>83</v>
      </c>
      <c r="R318" s="1" t="s">
        <v>76</v>
      </c>
      <c r="S318" s="12">
        <v>703.51</v>
      </c>
      <c r="T318" s="1" t="s">
        <v>77</v>
      </c>
      <c r="U318" s="12">
        <v>62401.440000000002</v>
      </c>
      <c r="V318" s="1" t="s">
        <v>78</v>
      </c>
      <c r="W318" s="1" t="s">
        <v>79</v>
      </c>
      <c r="X318" s="1" t="s">
        <v>74</v>
      </c>
      <c r="Y318" s="1" t="s">
        <v>429</v>
      </c>
      <c r="Z318" s="1" t="s">
        <v>80</v>
      </c>
      <c r="AA318" s="1" t="s">
        <v>264</v>
      </c>
      <c r="AB318" s="1" t="s">
        <v>74</v>
      </c>
      <c r="AC318" s="1" t="s">
        <v>74</v>
      </c>
      <c r="AD318" s="1" t="s">
        <v>74</v>
      </c>
      <c r="AE318" s="11">
        <v>45999</v>
      </c>
      <c r="AF318" s="11"/>
      <c r="AG318" s="1" t="s">
        <v>74</v>
      </c>
      <c r="AJ318" cm="1">
        <f t="array" ref="AJ318:AK318">_xlfn.XLOOKUP(M318,'Customer Data Vlookup'!$L:$L,'Customer Data Vlookup'!$M:$N,,0)</f>
        <v>0</v>
      </c>
      <c r="AK318" s="47">
        <v>61159.633500000004</v>
      </c>
      <c r="AL318" s="47">
        <f t="shared" si="44"/>
        <v>61159.633500000004</v>
      </c>
      <c r="AM318" s="58">
        <f t="shared" si="45"/>
        <v>1241.8064999999988</v>
      </c>
    </row>
    <row r="319" spans="1:39" x14ac:dyDescent="0.35">
      <c r="A319" s="1" t="s">
        <v>124</v>
      </c>
      <c r="B319" s="1" t="s">
        <v>67</v>
      </c>
      <c r="C319" s="1" t="s">
        <v>68</v>
      </c>
      <c r="D319" s="1" t="s">
        <v>69</v>
      </c>
      <c r="E319" s="1" t="s">
        <v>17</v>
      </c>
      <c r="F319" s="1" t="s">
        <v>162</v>
      </c>
      <c r="G319" s="11">
        <v>45821</v>
      </c>
      <c r="H319" s="25">
        <v>1800009576</v>
      </c>
      <c r="I319" s="1" t="s">
        <v>9</v>
      </c>
      <c r="J319" s="11">
        <v>45821</v>
      </c>
      <c r="K319" s="11">
        <v>45825</v>
      </c>
      <c r="L319" s="1" t="s">
        <v>71</v>
      </c>
      <c r="M319" s="35">
        <v>256779414340</v>
      </c>
      <c r="N319" s="1" t="s">
        <v>72</v>
      </c>
      <c r="O319" s="1" t="s">
        <v>73</v>
      </c>
      <c r="P319" s="1" t="s">
        <v>74</v>
      </c>
      <c r="Q319" s="1" t="s">
        <v>83</v>
      </c>
      <c r="R319" s="1" t="s">
        <v>76</v>
      </c>
      <c r="S319" s="12">
        <v>586.09</v>
      </c>
      <c r="T319" s="1" t="s">
        <v>77</v>
      </c>
      <c r="U319" s="12">
        <v>50105.29</v>
      </c>
      <c r="V319" s="1" t="s">
        <v>78</v>
      </c>
      <c r="W319" s="1" t="s">
        <v>79</v>
      </c>
      <c r="X319" s="1" t="s">
        <v>74</v>
      </c>
      <c r="Y319" s="1" t="s">
        <v>71</v>
      </c>
      <c r="Z319" s="1" t="s">
        <v>80</v>
      </c>
      <c r="AA319" s="1" t="s">
        <v>430</v>
      </c>
      <c r="AB319" s="1" t="s">
        <v>74</v>
      </c>
      <c r="AC319" s="1" t="s">
        <v>74</v>
      </c>
      <c r="AD319" s="1" t="s">
        <v>74</v>
      </c>
      <c r="AE319" s="11">
        <v>45821</v>
      </c>
      <c r="AF319" s="11"/>
      <c r="AG319" s="1" t="s">
        <v>74</v>
      </c>
      <c r="AJ319" cm="1">
        <f t="array" ref="AJ319:AK319">_xlfn.XLOOKUP(M319,'Customer Data Vlookup'!$L:$L,'Customer Data Vlookup'!$M:$N,,0)</f>
        <v>0</v>
      </c>
      <c r="AK319" s="47">
        <v>45061.335200000001</v>
      </c>
      <c r="AL319" s="47">
        <f t="shared" si="44"/>
        <v>45061.335200000001</v>
      </c>
      <c r="AM319" s="58">
        <f t="shared" si="45"/>
        <v>5043.9547999999995</v>
      </c>
    </row>
    <row r="320" spans="1:39" hidden="1" x14ac:dyDescent="0.35">
      <c r="A320" s="1" t="s">
        <v>66</v>
      </c>
      <c r="B320" s="1" t="s">
        <v>67</v>
      </c>
      <c r="C320" s="1" t="s">
        <v>68</v>
      </c>
      <c r="D320" s="1" t="s">
        <v>69</v>
      </c>
      <c r="E320" s="1" t="s">
        <v>17</v>
      </c>
      <c r="F320" s="1" t="s">
        <v>192</v>
      </c>
      <c r="G320" s="11">
        <v>45902</v>
      </c>
      <c r="H320" s="25">
        <v>1400001112</v>
      </c>
      <c r="I320" s="1" t="s">
        <v>10</v>
      </c>
      <c r="J320" s="11">
        <v>45902</v>
      </c>
      <c r="K320" s="11">
        <v>45902</v>
      </c>
      <c r="L320" s="1" t="s">
        <v>74</v>
      </c>
      <c r="M320" s="35" t="s">
        <v>74</v>
      </c>
      <c r="N320" s="1" t="s">
        <v>72</v>
      </c>
      <c r="O320" s="1" t="s">
        <v>73</v>
      </c>
      <c r="P320" s="1" t="s">
        <v>74</v>
      </c>
      <c r="Q320" s="1" t="s">
        <v>431</v>
      </c>
      <c r="R320" s="1" t="s">
        <v>77</v>
      </c>
      <c r="S320" s="12">
        <v>79944.34</v>
      </c>
      <c r="T320" s="1" t="s">
        <v>77</v>
      </c>
      <c r="U320" s="12">
        <v>78561.62</v>
      </c>
      <c r="V320" s="1" t="s">
        <v>74</v>
      </c>
      <c r="W320" s="1" t="s">
        <v>79</v>
      </c>
      <c r="X320" s="1" t="s">
        <v>74</v>
      </c>
      <c r="Y320" s="1" t="s">
        <v>74</v>
      </c>
      <c r="Z320" s="1" t="s">
        <v>80</v>
      </c>
      <c r="AA320" s="1" t="s">
        <v>74</v>
      </c>
      <c r="AB320" s="1" t="s">
        <v>74</v>
      </c>
      <c r="AC320" s="1" t="s">
        <v>74</v>
      </c>
      <c r="AD320" s="1" t="s">
        <v>74</v>
      </c>
      <c r="AE320" s="11">
        <v>45902</v>
      </c>
      <c r="AF320" s="11">
        <v>45902</v>
      </c>
      <c r="AG320" s="1" t="s">
        <v>154</v>
      </c>
      <c r="AJ320" t="e" cm="1">
        <f t="array" ref="AJ320">_xlfn.XLOOKUP(M320,'Customer Data Vlookup'!$L:$L,'Customer Data Vlookup'!$M:$N,,0)</f>
        <v>#N/A</v>
      </c>
    </row>
    <row r="321" spans="1:36" hidden="1" x14ac:dyDescent="0.35">
      <c r="A321" s="1" t="s">
        <v>66</v>
      </c>
      <c r="B321" s="1" t="s">
        <v>67</v>
      </c>
      <c r="C321" s="1" t="s">
        <v>68</v>
      </c>
      <c r="D321" s="1" t="s">
        <v>69</v>
      </c>
      <c r="E321" s="1" t="s">
        <v>17</v>
      </c>
      <c r="F321" s="1" t="s">
        <v>192</v>
      </c>
      <c r="G321" s="11">
        <v>45902</v>
      </c>
      <c r="H321" s="25">
        <v>1400001112</v>
      </c>
      <c r="I321" s="1" t="s">
        <v>10</v>
      </c>
      <c r="J321" s="11">
        <v>45902</v>
      </c>
      <c r="K321" s="11">
        <v>45902</v>
      </c>
      <c r="L321" s="1" t="s">
        <v>74</v>
      </c>
      <c r="M321" s="35" t="s">
        <v>74</v>
      </c>
      <c r="N321" s="1" t="s">
        <v>72</v>
      </c>
      <c r="O321" s="1" t="s">
        <v>73</v>
      </c>
      <c r="P321" s="1" t="s">
        <v>74</v>
      </c>
      <c r="Q321" s="1" t="s">
        <v>268</v>
      </c>
      <c r="R321" s="1" t="s">
        <v>77</v>
      </c>
      <c r="S321" s="12">
        <v>-79944.34</v>
      </c>
      <c r="T321" s="1" t="s">
        <v>77</v>
      </c>
      <c r="U321" s="12">
        <v>-78095.820000000007</v>
      </c>
      <c r="V321" s="1" t="s">
        <v>74</v>
      </c>
      <c r="W321" s="1" t="s">
        <v>79</v>
      </c>
      <c r="X321" s="1" t="s">
        <v>74</v>
      </c>
      <c r="Y321" s="1" t="s">
        <v>74</v>
      </c>
      <c r="Z321" s="1" t="s">
        <v>213</v>
      </c>
      <c r="AA321" s="1" t="s">
        <v>74</v>
      </c>
      <c r="AB321" s="1" t="s">
        <v>74</v>
      </c>
      <c r="AC321" s="1" t="s">
        <v>74</v>
      </c>
      <c r="AD321" s="1" t="s">
        <v>74</v>
      </c>
      <c r="AE321" s="11">
        <v>45902</v>
      </c>
      <c r="AF321" s="11">
        <v>45902</v>
      </c>
      <c r="AG321" s="1" t="s">
        <v>154</v>
      </c>
      <c r="AJ321" t="e" cm="1">
        <f t="array" ref="AJ321">_xlfn.XLOOKUP(M321,'Customer Data Vlookup'!$L:$L,'Customer Data Vlookup'!$M:$N,,0)</f>
        <v>#N/A</v>
      </c>
    </row>
    <row r="322" spans="1:36" hidden="1" x14ac:dyDescent="0.35">
      <c r="A322" s="1" t="s">
        <v>66</v>
      </c>
      <c r="B322" s="1" t="s">
        <v>67</v>
      </c>
      <c r="C322" s="1" t="s">
        <v>68</v>
      </c>
      <c r="D322" s="1" t="s">
        <v>69</v>
      </c>
      <c r="E322" s="1" t="s">
        <v>17</v>
      </c>
      <c r="F322" s="1" t="s">
        <v>70</v>
      </c>
      <c r="G322" s="11">
        <v>45854</v>
      </c>
      <c r="H322" s="25">
        <v>1400000285</v>
      </c>
      <c r="I322" s="1" t="s">
        <v>10</v>
      </c>
      <c r="J322" s="11">
        <v>45854</v>
      </c>
      <c r="K322" s="11">
        <v>45855</v>
      </c>
      <c r="L322" s="1" t="s">
        <v>71</v>
      </c>
      <c r="M322" s="35" t="s">
        <v>74</v>
      </c>
      <c r="N322" s="1" t="s">
        <v>72</v>
      </c>
      <c r="O322" s="1" t="s">
        <v>73</v>
      </c>
      <c r="P322" s="1" t="s">
        <v>74</v>
      </c>
      <c r="Q322" s="1" t="s">
        <v>431</v>
      </c>
      <c r="R322" s="1" t="s">
        <v>76</v>
      </c>
      <c r="S322" s="12">
        <v>1793.99</v>
      </c>
      <c r="T322" s="1" t="s">
        <v>77</v>
      </c>
      <c r="U322" s="12">
        <v>154827.9</v>
      </c>
      <c r="V322" s="1" t="s">
        <v>74</v>
      </c>
      <c r="W322" s="1" t="s">
        <v>79</v>
      </c>
      <c r="X322" s="1" t="s">
        <v>74</v>
      </c>
      <c r="Y322" s="1" t="s">
        <v>74</v>
      </c>
      <c r="Z322" s="1" t="s">
        <v>80</v>
      </c>
      <c r="AA322" s="1" t="s">
        <v>74</v>
      </c>
      <c r="AB322" s="1" t="s">
        <v>74</v>
      </c>
      <c r="AC322" s="1" t="s">
        <v>74</v>
      </c>
      <c r="AD322" s="1" t="s">
        <v>74</v>
      </c>
      <c r="AE322" s="11">
        <v>45854</v>
      </c>
      <c r="AF322" s="11">
        <v>45854</v>
      </c>
      <c r="AG322" s="1" t="s">
        <v>82</v>
      </c>
      <c r="AJ322" t="e" cm="1">
        <f t="array" ref="AJ322">_xlfn.XLOOKUP(M322,'Customer Data Vlookup'!$L:$L,'Customer Data Vlookup'!$M:$N,,0)</f>
        <v>#N/A</v>
      </c>
    </row>
    <row r="323" spans="1:36" hidden="1" x14ac:dyDescent="0.35">
      <c r="A323" s="1" t="s">
        <v>66</v>
      </c>
      <c r="B323" s="1" t="s">
        <v>67</v>
      </c>
      <c r="C323" s="1" t="s">
        <v>68</v>
      </c>
      <c r="D323" s="1" t="s">
        <v>69</v>
      </c>
      <c r="E323" s="1" t="s">
        <v>17</v>
      </c>
      <c r="F323" s="1" t="s">
        <v>70</v>
      </c>
      <c r="G323" s="11">
        <v>45854</v>
      </c>
      <c r="H323" s="25">
        <v>1400000285</v>
      </c>
      <c r="I323" s="1" t="s">
        <v>10</v>
      </c>
      <c r="J323" s="11">
        <v>45854</v>
      </c>
      <c r="K323" s="11">
        <v>45855</v>
      </c>
      <c r="L323" s="1" t="s">
        <v>71</v>
      </c>
      <c r="M323" s="35" t="s">
        <v>74</v>
      </c>
      <c r="N323" s="1" t="s">
        <v>72</v>
      </c>
      <c r="O323" s="1" t="s">
        <v>73</v>
      </c>
      <c r="P323" s="1" t="s">
        <v>74</v>
      </c>
      <c r="Q323" s="1" t="s">
        <v>268</v>
      </c>
      <c r="R323" s="1" t="s">
        <v>76</v>
      </c>
      <c r="S323" s="12">
        <v>-1793.99</v>
      </c>
      <c r="T323" s="1" t="s">
        <v>77</v>
      </c>
      <c r="U323" s="12">
        <v>-154827.9</v>
      </c>
      <c r="V323" s="1" t="s">
        <v>74</v>
      </c>
      <c r="W323" s="1" t="s">
        <v>79</v>
      </c>
      <c r="X323" s="1" t="s">
        <v>74</v>
      </c>
      <c r="Y323" s="1" t="s">
        <v>74</v>
      </c>
      <c r="Z323" s="1" t="s">
        <v>213</v>
      </c>
      <c r="AA323" s="1" t="s">
        <v>74</v>
      </c>
      <c r="AB323" s="1" t="s">
        <v>74</v>
      </c>
      <c r="AC323" s="1" t="s">
        <v>74</v>
      </c>
      <c r="AD323" s="1" t="s">
        <v>74</v>
      </c>
      <c r="AE323" s="11">
        <v>45854</v>
      </c>
      <c r="AF323" s="11">
        <v>45854</v>
      </c>
      <c r="AG323" s="1" t="s">
        <v>82</v>
      </c>
      <c r="AJ323" t="e" cm="1">
        <f t="array" ref="AJ323">_xlfn.XLOOKUP(M323,'Customer Data Vlookup'!$L:$L,'Customer Data Vlookup'!$M:$N,,0)</f>
        <v>#N/A</v>
      </c>
    </row>
    <row r="324" spans="1:36" hidden="1" x14ac:dyDescent="0.35">
      <c r="A324" s="1" t="s">
        <v>66</v>
      </c>
      <c r="B324" s="1" t="s">
        <v>67</v>
      </c>
      <c r="C324" s="1" t="s">
        <v>68</v>
      </c>
      <c r="D324" s="1" t="s">
        <v>69</v>
      </c>
      <c r="E324" s="1" t="s">
        <v>17</v>
      </c>
      <c r="F324" s="1" t="s">
        <v>70</v>
      </c>
      <c r="G324" s="11">
        <v>45854</v>
      </c>
      <c r="H324" s="25">
        <v>1400000286</v>
      </c>
      <c r="I324" s="1" t="s">
        <v>10</v>
      </c>
      <c r="J324" s="11">
        <v>45854</v>
      </c>
      <c r="K324" s="11">
        <v>45855</v>
      </c>
      <c r="L324" s="1" t="s">
        <v>71</v>
      </c>
      <c r="M324" s="35" t="s">
        <v>74</v>
      </c>
      <c r="N324" s="1" t="s">
        <v>72</v>
      </c>
      <c r="O324" s="1" t="s">
        <v>73</v>
      </c>
      <c r="P324" s="1" t="s">
        <v>74</v>
      </c>
      <c r="Q324" s="1" t="s">
        <v>431</v>
      </c>
      <c r="R324" s="1" t="s">
        <v>76</v>
      </c>
      <c r="S324" s="12">
        <v>705</v>
      </c>
      <c r="T324" s="1" t="s">
        <v>77</v>
      </c>
      <c r="U324" s="12">
        <v>60844.08</v>
      </c>
      <c r="V324" s="1" t="s">
        <v>74</v>
      </c>
      <c r="W324" s="1" t="s">
        <v>79</v>
      </c>
      <c r="X324" s="1" t="s">
        <v>74</v>
      </c>
      <c r="Y324" s="1" t="s">
        <v>74</v>
      </c>
      <c r="Z324" s="1" t="s">
        <v>80</v>
      </c>
      <c r="AA324" s="1" t="s">
        <v>74</v>
      </c>
      <c r="AB324" s="1" t="s">
        <v>74</v>
      </c>
      <c r="AC324" s="1" t="s">
        <v>74</v>
      </c>
      <c r="AD324" s="1" t="s">
        <v>74</v>
      </c>
      <c r="AE324" s="11">
        <v>45854</v>
      </c>
      <c r="AF324" s="11">
        <v>45854</v>
      </c>
      <c r="AG324" s="1" t="s">
        <v>86</v>
      </c>
      <c r="AJ324" t="e" cm="1">
        <f t="array" ref="AJ324">_xlfn.XLOOKUP(M324,'Customer Data Vlookup'!$L:$L,'Customer Data Vlookup'!$M:$N,,0)</f>
        <v>#N/A</v>
      </c>
    </row>
    <row r="325" spans="1:36" hidden="1" x14ac:dyDescent="0.35">
      <c r="A325" s="1" t="s">
        <v>66</v>
      </c>
      <c r="B325" s="1" t="s">
        <v>67</v>
      </c>
      <c r="C325" s="1" t="s">
        <v>68</v>
      </c>
      <c r="D325" s="1" t="s">
        <v>69</v>
      </c>
      <c r="E325" s="1" t="s">
        <v>17</v>
      </c>
      <c r="F325" s="1" t="s">
        <v>70</v>
      </c>
      <c r="G325" s="11">
        <v>45854</v>
      </c>
      <c r="H325" s="25">
        <v>1400000286</v>
      </c>
      <c r="I325" s="1" t="s">
        <v>10</v>
      </c>
      <c r="J325" s="11">
        <v>45854</v>
      </c>
      <c r="K325" s="11">
        <v>45855</v>
      </c>
      <c r="L325" s="1" t="s">
        <v>71</v>
      </c>
      <c r="M325" s="35" t="s">
        <v>74</v>
      </c>
      <c r="N325" s="1" t="s">
        <v>72</v>
      </c>
      <c r="O325" s="1" t="s">
        <v>73</v>
      </c>
      <c r="P325" s="1" t="s">
        <v>74</v>
      </c>
      <c r="Q325" s="1" t="s">
        <v>268</v>
      </c>
      <c r="R325" s="1" t="s">
        <v>76</v>
      </c>
      <c r="S325" s="12">
        <v>-705</v>
      </c>
      <c r="T325" s="1" t="s">
        <v>77</v>
      </c>
      <c r="U325" s="12">
        <v>-60844.08</v>
      </c>
      <c r="V325" s="1" t="s">
        <v>74</v>
      </c>
      <c r="W325" s="1" t="s">
        <v>79</v>
      </c>
      <c r="X325" s="1" t="s">
        <v>74</v>
      </c>
      <c r="Y325" s="1" t="s">
        <v>74</v>
      </c>
      <c r="Z325" s="1" t="s">
        <v>213</v>
      </c>
      <c r="AA325" s="1" t="s">
        <v>74</v>
      </c>
      <c r="AB325" s="1" t="s">
        <v>74</v>
      </c>
      <c r="AC325" s="1" t="s">
        <v>74</v>
      </c>
      <c r="AD325" s="1" t="s">
        <v>74</v>
      </c>
      <c r="AE325" s="11">
        <v>45854</v>
      </c>
      <c r="AF325" s="11">
        <v>45854</v>
      </c>
      <c r="AG325" s="1" t="s">
        <v>86</v>
      </c>
      <c r="AJ325" t="e" cm="1">
        <f t="array" ref="AJ325">_xlfn.XLOOKUP(M325,'Customer Data Vlookup'!$L:$L,'Customer Data Vlookup'!$M:$N,,0)</f>
        <v>#N/A</v>
      </c>
    </row>
    <row r="326" spans="1:36" hidden="1" x14ac:dyDescent="0.35">
      <c r="A326" s="1" t="s">
        <v>66</v>
      </c>
      <c r="B326" s="1" t="s">
        <v>67</v>
      </c>
      <c r="C326" s="1" t="s">
        <v>68</v>
      </c>
      <c r="D326" s="1" t="s">
        <v>69</v>
      </c>
      <c r="E326" s="1" t="s">
        <v>17</v>
      </c>
      <c r="F326" s="1" t="s">
        <v>70</v>
      </c>
      <c r="G326" s="11">
        <v>45854</v>
      </c>
      <c r="H326" s="25">
        <v>1400000287</v>
      </c>
      <c r="I326" s="1" t="s">
        <v>10</v>
      </c>
      <c r="J326" s="11">
        <v>45854</v>
      </c>
      <c r="K326" s="11">
        <v>45855</v>
      </c>
      <c r="L326" s="1" t="s">
        <v>71</v>
      </c>
      <c r="M326" s="35" t="s">
        <v>74</v>
      </c>
      <c r="N326" s="1" t="s">
        <v>72</v>
      </c>
      <c r="O326" s="1" t="s">
        <v>73</v>
      </c>
      <c r="P326" s="1" t="s">
        <v>74</v>
      </c>
      <c r="Q326" s="1" t="s">
        <v>431</v>
      </c>
      <c r="R326" s="1" t="s">
        <v>76</v>
      </c>
      <c r="S326" s="12">
        <v>216.2</v>
      </c>
      <c r="T326" s="1" t="s">
        <v>77</v>
      </c>
      <c r="U326" s="12">
        <v>18742.650000000001</v>
      </c>
      <c r="V326" s="1" t="s">
        <v>74</v>
      </c>
      <c r="W326" s="1" t="s">
        <v>79</v>
      </c>
      <c r="X326" s="1" t="s">
        <v>74</v>
      </c>
      <c r="Y326" s="1" t="s">
        <v>74</v>
      </c>
      <c r="Z326" s="1" t="s">
        <v>80</v>
      </c>
      <c r="AA326" s="1" t="s">
        <v>74</v>
      </c>
      <c r="AB326" s="1" t="s">
        <v>74</v>
      </c>
      <c r="AC326" s="1" t="s">
        <v>74</v>
      </c>
      <c r="AD326" s="1" t="s">
        <v>74</v>
      </c>
      <c r="AE326" s="11">
        <v>45854</v>
      </c>
      <c r="AF326" s="11">
        <v>45854</v>
      </c>
      <c r="AG326" s="1" t="s">
        <v>89</v>
      </c>
      <c r="AJ326" t="e" cm="1">
        <f t="array" ref="AJ326">_xlfn.XLOOKUP(M326,'Customer Data Vlookup'!$L:$L,'Customer Data Vlookup'!$M:$N,,0)</f>
        <v>#N/A</v>
      </c>
    </row>
    <row r="327" spans="1:36" hidden="1" x14ac:dyDescent="0.35">
      <c r="A327" s="1" t="s">
        <v>66</v>
      </c>
      <c r="B327" s="1" t="s">
        <v>67</v>
      </c>
      <c r="C327" s="1" t="s">
        <v>68</v>
      </c>
      <c r="D327" s="1" t="s">
        <v>69</v>
      </c>
      <c r="E327" s="1" t="s">
        <v>17</v>
      </c>
      <c r="F327" s="1" t="s">
        <v>70</v>
      </c>
      <c r="G327" s="11">
        <v>45854</v>
      </c>
      <c r="H327" s="25">
        <v>1400000287</v>
      </c>
      <c r="I327" s="1" t="s">
        <v>10</v>
      </c>
      <c r="J327" s="11">
        <v>45854</v>
      </c>
      <c r="K327" s="11">
        <v>45855</v>
      </c>
      <c r="L327" s="1" t="s">
        <v>71</v>
      </c>
      <c r="M327" s="35" t="s">
        <v>74</v>
      </c>
      <c r="N327" s="1" t="s">
        <v>72</v>
      </c>
      <c r="O327" s="1" t="s">
        <v>73</v>
      </c>
      <c r="P327" s="1" t="s">
        <v>74</v>
      </c>
      <c r="Q327" s="1" t="s">
        <v>268</v>
      </c>
      <c r="R327" s="1" t="s">
        <v>76</v>
      </c>
      <c r="S327" s="12">
        <v>-216.2</v>
      </c>
      <c r="T327" s="1" t="s">
        <v>77</v>
      </c>
      <c r="U327" s="12">
        <v>-18742.650000000001</v>
      </c>
      <c r="V327" s="1" t="s">
        <v>74</v>
      </c>
      <c r="W327" s="1" t="s">
        <v>79</v>
      </c>
      <c r="X327" s="1" t="s">
        <v>74</v>
      </c>
      <c r="Y327" s="1" t="s">
        <v>74</v>
      </c>
      <c r="Z327" s="1" t="s">
        <v>213</v>
      </c>
      <c r="AA327" s="1" t="s">
        <v>74</v>
      </c>
      <c r="AB327" s="1" t="s">
        <v>74</v>
      </c>
      <c r="AC327" s="1" t="s">
        <v>74</v>
      </c>
      <c r="AD327" s="1" t="s">
        <v>74</v>
      </c>
      <c r="AE327" s="11">
        <v>45854</v>
      </c>
      <c r="AF327" s="11">
        <v>45854</v>
      </c>
      <c r="AG327" s="1" t="s">
        <v>89</v>
      </c>
      <c r="AJ327" t="e" cm="1">
        <f t="array" ref="AJ327">_xlfn.XLOOKUP(M327,'Customer Data Vlookup'!$L:$L,'Customer Data Vlookup'!$M:$N,,0)</f>
        <v>#N/A</v>
      </c>
    </row>
    <row r="328" spans="1:36" hidden="1" x14ac:dyDescent="0.35">
      <c r="A328" s="1" t="s">
        <v>66</v>
      </c>
      <c r="B328" s="1" t="s">
        <v>67</v>
      </c>
      <c r="C328" s="1" t="s">
        <v>68</v>
      </c>
      <c r="D328" s="1" t="s">
        <v>69</v>
      </c>
      <c r="E328" s="1" t="s">
        <v>17</v>
      </c>
      <c r="F328" s="1" t="s">
        <v>70</v>
      </c>
      <c r="G328" s="11">
        <v>45854</v>
      </c>
      <c r="H328" s="25">
        <v>1400000288</v>
      </c>
      <c r="I328" s="1" t="s">
        <v>10</v>
      </c>
      <c r="J328" s="11">
        <v>45854</v>
      </c>
      <c r="K328" s="11">
        <v>45855</v>
      </c>
      <c r="L328" s="1" t="s">
        <v>71</v>
      </c>
      <c r="M328" s="35" t="s">
        <v>74</v>
      </c>
      <c r="N328" s="1" t="s">
        <v>72</v>
      </c>
      <c r="O328" s="1" t="s">
        <v>73</v>
      </c>
      <c r="P328" s="1" t="s">
        <v>74</v>
      </c>
      <c r="Q328" s="1" t="s">
        <v>431</v>
      </c>
      <c r="R328" s="1" t="s">
        <v>76</v>
      </c>
      <c r="S328" s="12">
        <v>1926.06</v>
      </c>
      <c r="T328" s="1" t="s">
        <v>77</v>
      </c>
      <c r="U328" s="12">
        <v>166972.57</v>
      </c>
      <c r="V328" s="1" t="s">
        <v>74</v>
      </c>
      <c r="W328" s="1" t="s">
        <v>79</v>
      </c>
      <c r="X328" s="1" t="s">
        <v>74</v>
      </c>
      <c r="Y328" s="1" t="s">
        <v>74</v>
      </c>
      <c r="Z328" s="1" t="s">
        <v>80</v>
      </c>
      <c r="AA328" s="1" t="s">
        <v>74</v>
      </c>
      <c r="AB328" s="1" t="s">
        <v>74</v>
      </c>
      <c r="AC328" s="1" t="s">
        <v>74</v>
      </c>
      <c r="AD328" s="1" t="s">
        <v>74</v>
      </c>
      <c r="AE328" s="11">
        <v>45854</v>
      </c>
      <c r="AF328" s="11">
        <v>45854</v>
      </c>
      <c r="AG328" s="1" t="s">
        <v>92</v>
      </c>
      <c r="AJ328" t="e" cm="1">
        <f t="array" ref="AJ328">_xlfn.XLOOKUP(M328,'Customer Data Vlookup'!$L:$L,'Customer Data Vlookup'!$M:$N,,0)</f>
        <v>#N/A</v>
      </c>
    </row>
    <row r="329" spans="1:36" hidden="1" x14ac:dyDescent="0.35">
      <c r="A329" s="1" t="s">
        <v>66</v>
      </c>
      <c r="B329" s="1" t="s">
        <v>67</v>
      </c>
      <c r="C329" s="1" t="s">
        <v>68</v>
      </c>
      <c r="D329" s="1" t="s">
        <v>69</v>
      </c>
      <c r="E329" s="1" t="s">
        <v>17</v>
      </c>
      <c r="F329" s="1" t="s">
        <v>70</v>
      </c>
      <c r="G329" s="11">
        <v>45854</v>
      </c>
      <c r="H329" s="25">
        <v>1400000288</v>
      </c>
      <c r="I329" s="1" t="s">
        <v>10</v>
      </c>
      <c r="J329" s="11">
        <v>45854</v>
      </c>
      <c r="K329" s="11">
        <v>45855</v>
      </c>
      <c r="L329" s="1" t="s">
        <v>71</v>
      </c>
      <c r="M329" s="35" t="s">
        <v>74</v>
      </c>
      <c r="N329" s="1" t="s">
        <v>72</v>
      </c>
      <c r="O329" s="1" t="s">
        <v>73</v>
      </c>
      <c r="P329" s="1" t="s">
        <v>74</v>
      </c>
      <c r="Q329" s="1" t="s">
        <v>268</v>
      </c>
      <c r="R329" s="1" t="s">
        <v>76</v>
      </c>
      <c r="S329" s="12">
        <v>-1926.06</v>
      </c>
      <c r="T329" s="1" t="s">
        <v>77</v>
      </c>
      <c r="U329" s="12">
        <v>-166972.57</v>
      </c>
      <c r="V329" s="1" t="s">
        <v>74</v>
      </c>
      <c r="W329" s="1" t="s">
        <v>79</v>
      </c>
      <c r="X329" s="1" t="s">
        <v>74</v>
      </c>
      <c r="Y329" s="1" t="s">
        <v>74</v>
      </c>
      <c r="Z329" s="1" t="s">
        <v>213</v>
      </c>
      <c r="AA329" s="1" t="s">
        <v>74</v>
      </c>
      <c r="AB329" s="1" t="s">
        <v>74</v>
      </c>
      <c r="AC329" s="1" t="s">
        <v>74</v>
      </c>
      <c r="AD329" s="1" t="s">
        <v>74</v>
      </c>
      <c r="AE329" s="11">
        <v>45854</v>
      </c>
      <c r="AF329" s="11">
        <v>45854</v>
      </c>
      <c r="AG329" s="1" t="s">
        <v>92</v>
      </c>
      <c r="AJ329" t="e" cm="1">
        <f t="array" ref="AJ329">_xlfn.XLOOKUP(M329,'Customer Data Vlookup'!$L:$L,'Customer Data Vlookup'!$M:$N,,0)</f>
        <v>#N/A</v>
      </c>
    </row>
    <row r="330" spans="1:36" hidden="1" x14ac:dyDescent="0.35">
      <c r="A330" s="1" t="s">
        <v>66</v>
      </c>
      <c r="B330" s="1" t="s">
        <v>67</v>
      </c>
      <c r="C330" s="1" t="s">
        <v>68</v>
      </c>
      <c r="D330" s="1" t="s">
        <v>69</v>
      </c>
      <c r="E330" s="1" t="s">
        <v>17</v>
      </c>
      <c r="F330" s="1" t="s">
        <v>70</v>
      </c>
      <c r="G330" s="11">
        <v>45854</v>
      </c>
      <c r="H330" s="25">
        <v>1400000289</v>
      </c>
      <c r="I330" s="1" t="s">
        <v>10</v>
      </c>
      <c r="J330" s="11">
        <v>45854</v>
      </c>
      <c r="K330" s="11">
        <v>45855</v>
      </c>
      <c r="L330" s="1" t="s">
        <v>71</v>
      </c>
      <c r="M330" s="35" t="s">
        <v>74</v>
      </c>
      <c r="N330" s="1" t="s">
        <v>72</v>
      </c>
      <c r="O330" s="1" t="s">
        <v>73</v>
      </c>
      <c r="P330" s="1" t="s">
        <v>74</v>
      </c>
      <c r="Q330" s="1" t="s">
        <v>431</v>
      </c>
      <c r="R330" s="1" t="s">
        <v>76</v>
      </c>
      <c r="S330" s="12">
        <v>531.9</v>
      </c>
      <c r="T330" s="1" t="s">
        <v>77</v>
      </c>
      <c r="U330" s="12">
        <v>46111.08</v>
      </c>
      <c r="V330" s="1" t="s">
        <v>74</v>
      </c>
      <c r="W330" s="1" t="s">
        <v>79</v>
      </c>
      <c r="X330" s="1" t="s">
        <v>74</v>
      </c>
      <c r="Y330" s="1" t="s">
        <v>74</v>
      </c>
      <c r="Z330" s="1" t="s">
        <v>80</v>
      </c>
      <c r="AA330" s="1" t="s">
        <v>74</v>
      </c>
      <c r="AB330" s="1" t="s">
        <v>74</v>
      </c>
      <c r="AC330" s="1" t="s">
        <v>74</v>
      </c>
      <c r="AD330" s="1" t="s">
        <v>74</v>
      </c>
      <c r="AE330" s="11">
        <v>45854</v>
      </c>
      <c r="AF330" s="11">
        <v>45854</v>
      </c>
      <c r="AG330" s="1" t="s">
        <v>95</v>
      </c>
      <c r="AJ330" t="e" cm="1">
        <f t="array" ref="AJ330">_xlfn.XLOOKUP(M330,'Customer Data Vlookup'!$L:$L,'Customer Data Vlookup'!$M:$N,,0)</f>
        <v>#N/A</v>
      </c>
    </row>
    <row r="331" spans="1:36" hidden="1" x14ac:dyDescent="0.35">
      <c r="A331" s="1" t="s">
        <v>66</v>
      </c>
      <c r="B331" s="1" t="s">
        <v>67</v>
      </c>
      <c r="C331" s="1" t="s">
        <v>68</v>
      </c>
      <c r="D331" s="1" t="s">
        <v>69</v>
      </c>
      <c r="E331" s="1" t="s">
        <v>17</v>
      </c>
      <c r="F331" s="1" t="s">
        <v>70</v>
      </c>
      <c r="G331" s="11">
        <v>45854</v>
      </c>
      <c r="H331" s="25">
        <v>1400000289</v>
      </c>
      <c r="I331" s="1" t="s">
        <v>10</v>
      </c>
      <c r="J331" s="11">
        <v>45854</v>
      </c>
      <c r="K331" s="11">
        <v>45855</v>
      </c>
      <c r="L331" s="1" t="s">
        <v>71</v>
      </c>
      <c r="M331" s="35" t="s">
        <v>74</v>
      </c>
      <c r="N331" s="1" t="s">
        <v>72</v>
      </c>
      <c r="O331" s="1" t="s">
        <v>73</v>
      </c>
      <c r="P331" s="1" t="s">
        <v>74</v>
      </c>
      <c r="Q331" s="1" t="s">
        <v>268</v>
      </c>
      <c r="R331" s="1" t="s">
        <v>76</v>
      </c>
      <c r="S331" s="12">
        <v>-531.9</v>
      </c>
      <c r="T331" s="1" t="s">
        <v>77</v>
      </c>
      <c r="U331" s="12">
        <v>-46111.08</v>
      </c>
      <c r="V331" s="1" t="s">
        <v>74</v>
      </c>
      <c r="W331" s="1" t="s">
        <v>79</v>
      </c>
      <c r="X331" s="1" t="s">
        <v>74</v>
      </c>
      <c r="Y331" s="1" t="s">
        <v>74</v>
      </c>
      <c r="Z331" s="1" t="s">
        <v>213</v>
      </c>
      <c r="AA331" s="1" t="s">
        <v>74</v>
      </c>
      <c r="AB331" s="1" t="s">
        <v>74</v>
      </c>
      <c r="AC331" s="1" t="s">
        <v>74</v>
      </c>
      <c r="AD331" s="1" t="s">
        <v>74</v>
      </c>
      <c r="AE331" s="11">
        <v>45854</v>
      </c>
      <c r="AF331" s="11">
        <v>45854</v>
      </c>
      <c r="AG331" s="1" t="s">
        <v>95</v>
      </c>
      <c r="AJ331" t="e" cm="1">
        <f t="array" ref="AJ331">_xlfn.XLOOKUP(M331,'Customer Data Vlookup'!$L:$L,'Customer Data Vlookup'!$M:$N,,0)</f>
        <v>#N/A</v>
      </c>
    </row>
    <row r="332" spans="1:36" hidden="1" x14ac:dyDescent="0.35">
      <c r="A332" s="1" t="s">
        <v>124</v>
      </c>
      <c r="B332" s="1" t="s">
        <v>67</v>
      </c>
      <c r="C332" s="1" t="s">
        <v>68</v>
      </c>
      <c r="D332" s="1" t="s">
        <v>69</v>
      </c>
      <c r="E332" s="1" t="s">
        <v>17</v>
      </c>
      <c r="F332" s="1" t="s">
        <v>141</v>
      </c>
      <c r="G332" s="11">
        <v>45946</v>
      </c>
      <c r="H332" s="25">
        <v>1400001437</v>
      </c>
      <c r="I332" s="1" t="s">
        <v>11</v>
      </c>
      <c r="J332" s="11">
        <v>45946</v>
      </c>
      <c r="K332" s="11">
        <v>45946</v>
      </c>
      <c r="L332" s="1" t="s">
        <v>432</v>
      </c>
      <c r="M332" s="35" t="s">
        <v>74</v>
      </c>
      <c r="N332" s="1" t="s">
        <v>72</v>
      </c>
      <c r="O332" s="1" t="s">
        <v>73</v>
      </c>
      <c r="P332" s="1" t="s">
        <v>74</v>
      </c>
      <c r="Q332" s="1" t="s">
        <v>268</v>
      </c>
      <c r="R332" s="1" t="s">
        <v>77</v>
      </c>
      <c r="S332" s="12">
        <v>-500000</v>
      </c>
      <c r="T332" s="1" t="s">
        <v>77</v>
      </c>
      <c r="U332" s="12">
        <v>-500000</v>
      </c>
      <c r="V332" s="1" t="s">
        <v>74</v>
      </c>
      <c r="W332" s="1" t="s">
        <v>269</v>
      </c>
      <c r="X332" s="1" t="s">
        <v>74</v>
      </c>
      <c r="Y332" s="1" t="s">
        <v>74</v>
      </c>
      <c r="Z332" s="1" t="s">
        <v>213</v>
      </c>
      <c r="AA332" s="1" t="s">
        <v>74</v>
      </c>
      <c r="AB332" s="1" t="s">
        <v>74</v>
      </c>
      <c r="AC332" s="1" t="s">
        <v>74</v>
      </c>
      <c r="AD332" s="1" t="s">
        <v>74</v>
      </c>
      <c r="AE332" s="11">
        <v>45946</v>
      </c>
      <c r="AF332" s="11"/>
      <c r="AG332" s="1" t="s">
        <v>74</v>
      </c>
      <c r="AJ332" t="e" cm="1">
        <f t="array" ref="AJ332">_xlfn.XLOOKUP(M332,'Customer Data Vlookup'!$L:$L,'Customer Data Vlookup'!$M:$N,,0)</f>
        <v>#N/A</v>
      </c>
    </row>
    <row r="333" spans="1:36" hidden="1" x14ac:dyDescent="0.35">
      <c r="A333" s="1" t="s">
        <v>124</v>
      </c>
      <c r="B333" s="1" t="s">
        <v>67</v>
      </c>
      <c r="C333" s="1" t="s">
        <v>68</v>
      </c>
      <c r="D333" s="1" t="s">
        <v>69</v>
      </c>
      <c r="E333" s="1" t="s">
        <v>17</v>
      </c>
      <c r="F333" s="1" t="s">
        <v>141</v>
      </c>
      <c r="G333" s="11">
        <v>45959</v>
      </c>
      <c r="H333" s="25">
        <v>1400001551</v>
      </c>
      <c r="I333" s="1" t="s">
        <v>11</v>
      </c>
      <c r="J333" s="11">
        <v>45959</v>
      </c>
      <c r="K333" s="11">
        <v>45959</v>
      </c>
      <c r="L333" s="1" t="s">
        <v>433</v>
      </c>
      <c r="M333" s="35" t="s">
        <v>74</v>
      </c>
      <c r="N333" s="1" t="s">
        <v>72</v>
      </c>
      <c r="O333" s="1" t="s">
        <v>73</v>
      </c>
      <c r="P333" s="1" t="s">
        <v>74</v>
      </c>
      <c r="Q333" s="1" t="s">
        <v>268</v>
      </c>
      <c r="R333" s="1" t="s">
        <v>77</v>
      </c>
      <c r="S333" s="12">
        <v>-500000</v>
      </c>
      <c r="T333" s="1" t="s">
        <v>77</v>
      </c>
      <c r="U333" s="12">
        <v>-500000</v>
      </c>
      <c r="V333" s="1" t="s">
        <v>74</v>
      </c>
      <c r="W333" s="1" t="s">
        <v>269</v>
      </c>
      <c r="X333" s="1" t="s">
        <v>74</v>
      </c>
      <c r="Y333" s="1" t="s">
        <v>74</v>
      </c>
      <c r="Z333" s="1" t="s">
        <v>213</v>
      </c>
      <c r="AA333" s="1" t="s">
        <v>74</v>
      </c>
      <c r="AB333" s="1" t="s">
        <v>74</v>
      </c>
      <c r="AC333" s="1" t="s">
        <v>74</v>
      </c>
      <c r="AD333" s="1" t="s">
        <v>74</v>
      </c>
      <c r="AE333" s="11">
        <v>45959</v>
      </c>
      <c r="AF333" s="11"/>
      <c r="AG333" s="1" t="s">
        <v>74</v>
      </c>
      <c r="AJ333" t="e" cm="1">
        <f t="array" ref="AJ333">_xlfn.XLOOKUP(M333,'Customer Data Vlookup'!$L:$L,'Customer Data Vlookup'!$M:$N,,0)</f>
        <v>#N/A</v>
      </c>
    </row>
    <row r="334" spans="1:36" hidden="1" x14ac:dyDescent="0.35">
      <c r="A334" s="1" t="s">
        <v>124</v>
      </c>
      <c r="B334" s="1" t="s">
        <v>67</v>
      </c>
      <c r="C334" s="1" t="s">
        <v>68</v>
      </c>
      <c r="D334" s="1" t="s">
        <v>69</v>
      </c>
      <c r="E334" s="1" t="s">
        <v>17</v>
      </c>
      <c r="F334" s="1" t="s">
        <v>75</v>
      </c>
      <c r="G334" s="11">
        <v>45972</v>
      </c>
      <c r="H334" s="25">
        <v>1400001616</v>
      </c>
      <c r="I334" s="1" t="s">
        <v>11</v>
      </c>
      <c r="J334" s="11">
        <v>45972</v>
      </c>
      <c r="K334" s="11">
        <v>45972</v>
      </c>
      <c r="L334" s="1" t="s">
        <v>434</v>
      </c>
      <c r="M334" s="35" t="s">
        <v>74</v>
      </c>
      <c r="N334" s="1" t="s">
        <v>72</v>
      </c>
      <c r="O334" s="1" t="s">
        <v>73</v>
      </c>
      <c r="P334" s="1" t="s">
        <v>74</v>
      </c>
      <c r="Q334" s="1" t="s">
        <v>268</v>
      </c>
      <c r="R334" s="1" t="s">
        <v>77</v>
      </c>
      <c r="S334" s="12">
        <v>-500000</v>
      </c>
      <c r="T334" s="1" t="s">
        <v>77</v>
      </c>
      <c r="U334" s="12">
        <v>-500000</v>
      </c>
      <c r="V334" s="1" t="s">
        <v>74</v>
      </c>
      <c r="W334" s="1" t="s">
        <v>269</v>
      </c>
      <c r="X334" s="1" t="s">
        <v>74</v>
      </c>
      <c r="Y334" s="1" t="s">
        <v>74</v>
      </c>
      <c r="Z334" s="1" t="s">
        <v>213</v>
      </c>
      <c r="AA334" s="1" t="s">
        <v>74</v>
      </c>
      <c r="AB334" s="1" t="s">
        <v>74</v>
      </c>
      <c r="AC334" s="1" t="s">
        <v>74</v>
      </c>
      <c r="AD334" s="1" t="s">
        <v>74</v>
      </c>
      <c r="AE334" s="11">
        <v>45972</v>
      </c>
      <c r="AF334" s="11"/>
      <c r="AG334" s="1" t="s">
        <v>74</v>
      </c>
      <c r="AJ334" t="e" cm="1">
        <f t="array" ref="AJ334">_xlfn.XLOOKUP(M334,'Customer Data Vlookup'!$L:$L,'Customer Data Vlookup'!$M:$N,,0)</f>
        <v>#N/A</v>
      </c>
    </row>
    <row r="335" spans="1:36" hidden="1" x14ac:dyDescent="0.35">
      <c r="A335" s="1" t="s">
        <v>66</v>
      </c>
      <c r="B335" s="1" t="s">
        <v>67</v>
      </c>
      <c r="C335" s="1" t="s">
        <v>68</v>
      </c>
      <c r="D335" s="1" t="s">
        <v>69</v>
      </c>
      <c r="E335" s="1" t="s">
        <v>17</v>
      </c>
      <c r="F335" s="1" t="s">
        <v>75</v>
      </c>
      <c r="G335" s="11">
        <v>45972</v>
      </c>
      <c r="H335" s="25">
        <v>1400001985</v>
      </c>
      <c r="I335" s="1" t="s">
        <v>11</v>
      </c>
      <c r="J335" s="11">
        <v>45972</v>
      </c>
      <c r="K335" s="11">
        <v>45985</v>
      </c>
      <c r="L335" s="1" t="s">
        <v>434</v>
      </c>
      <c r="M335" s="35" t="s">
        <v>74</v>
      </c>
      <c r="N335" s="1" t="s">
        <v>72</v>
      </c>
      <c r="O335" s="1" t="s">
        <v>73</v>
      </c>
      <c r="P335" s="1" t="s">
        <v>74</v>
      </c>
      <c r="Q335" s="1" t="s">
        <v>436</v>
      </c>
      <c r="R335" s="1" t="s">
        <v>77</v>
      </c>
      <c r="S335" s="12">
        <v>500000</v>
      </c>
      <c r="T335" s="1" t="s">
        <v>77</v>
      </c>
      <c r="U335" s="12">
        <v>500000</v>
      </c>
      <c r="V335" s="1" t="s">
        <v>74</v>
      </c>
      <c r="W335" s="1" t="s">
        <v>269</v>
      </c>
      <c r="X335" s="1" t="s">
        <v>74</v>
      </c>
      <c r="Y335" s="1" t="s">
        <v>74</v>
      </c>
      <c r="Z335" s="1" t="s">
        <v>213</v>
      </c>
      <c r="AA335" s="1" t="s">
        <v>74</v>
      </c>
      <c r="AB335" s="1" t="s">
        <v>74</v>
      </c>
      <c r="AC335" s="1" t="s">
        <v>74</v>
      </c>
      <c r="AD335" s="1" t="s">
        <v>74</v>
      </c>
      <c r="AE335" s="11">
        <v>45972</v>
      </c>
      <c r="AF335" s="11">
        <v>45972</v>
      </c>
      <c r="AG335" s="1" t="s">
        <v>435</v>
      </c>
      <c r="AJ335" t="e" cm="1">
        <f t="array" ref="AJ335">_xlfn.XLOOKUP(M335,'Customer Data Vlookup'!$L:$L,'Customer Data Vlookup'!$M:$N,,0)</f>
        <v>#N/A</v>
      </c>
    </row>
    <row r="336" spans="1:36" hidden="1" x14ac:dyDescent="0.35">
      <c r="A336" s="1" t="s">
        <v>66</v>
      </c>
      <c r="B336" s="1" t="s">
        <v>67</v>
      </c>
      <c r="C336" s="1" t="s">
        <v>68</v>
      </c>
      <c r="D336" s="1" t="s">
        <v>69</v>
      </c>
      <c r="E336" s="1" t="s">
        <v>17</v>
      </c>
      <c r="F336" s="1" t="s">
        <v>75</v>
      </c>
      <c r="G336" s="11">
        <v>45972</v>
      </c>
      <c r="H336" s="25">
        <v>1400001619</v>
      </c>
      <c r="I336" s="1" t="s">
        <v>11</v>
      </c>
      <c r="J336" s="11">
        <v>45972</v>
      </c>
      <c r="K336" s="11">
        <v>45972</v>
      </c>
      <c r="L336" s="1" t="s">
        <v>434</v>
      </c>
      <c r="M336" s="35" t="s">
        <v>74</v>
      </c>
      <c r="N336" s="1" t="s">
        <v>72</v>
      </c>
      <c r="O336" s="1" t="s">
        <v>73</v>
      </c>
      <c r="P336" s="1" t="s">
        <v>74</v>
      </c>
      <c r="Q336" s="1" t="s">
        <v>268</v>
      </c>
      <c r="R336" s="1" t="s">
        <v>77</v>
      </c>
      <c r="S336" s="12">
        <v>-500000</v>
      </c>
      <c r="T336" s="1" t="s">
        <v>77</v>
      </c>
      <c r="U336" s="12">
        <v>-500000</v>
      </c>
      <c r="V336" s="1" t="s">
        <v>74</v>
      </c>
      <c r="W336" s="1" t="s">
        <v>269</v>
      </c>
      <c r="X336" s="1" t="s">
        <v>74</v>
      </c>
      <c r="Y336" s="1" t="s">
        <v>74</v>
      </c>
      <c r="Z336" s="1" t="s">
        <v>213</v>
      </c>
      <c r="AA336" s="1" t="s">
        <v>74</v>
      </c>
      <c r="AB336" s="1" t="s">
        <v>74</v>
      </c>
      <c r="AC336" s="1" t="s">
        <v>74</v>
      </c>
      <c r="AD336" s="1" t="s">
        <v>74</v>
      </c>
      <c r="AE336" s="11">
        <v>45972</v>
      </c>
      <c r="AF336" s="11">
        <v>45972</v>
      </c>
      <c r="AG336" s="1" t="s">
        <v>435</v>
      </c>
      <c r="AJ336" t="e" cm="1">
        <f t="array" ref="AJ336">_xlfn.XLOOKUP(M336,'Customer Data Vlookup'!$L:$L,'Customer Data Vlookup'!$M:$N,,0)</f>
        <v>#N/A</v>
      </c>
    </row>
    <row r="337" spans="1:36" hidden="1" x14ac:dyDescent="0.35">
      <c r="A337" s="1" t="s">
        <v>124</v>
      </c>
      <c r="B337" s="1" t="s">
        <v>67</v>
      </c>
      <c r="C337" s="1" t="s">
        <v>68</v>
      </c>
      <c r="D337" s="1" t="s">
        <v>69</v>
      </c>
      <c r="E337" s="1" t="s">
        <v>17</v>
      </c>
      <c r="F337" s="1" t="s">
        <v>203</v>
      </c>
      <c r="G337" s="11">
        <v>46007</v>
      </c>
      <c r="H337" s="25">
        <v>1400002209</v>
      </c>
      <c r="I337" s="1" t="s">
        <v>11</v>
      </c>
      <c r="J337" s="11">
        <v>46007</v>
      </c>
      <c r="K337" s="11">
        <v>46007</v>
      </c>
      <c r="L337" s="1" t="s">
        <v>437</v>
      </c>
      <c r="M337" s="35" t="s">
        <v>74</v>
      </c>
      <c r="N337" s="1" t="s">
        <v>72</v>
      </c>
      <c r="O337" s="1" t="s">
        <v>73</v>
      </c>
      <c r="P337" s="1" t="s">
        <v>74</v>
      </c>
      <c r="Q337" s="1" t="s">
        <v>268</v>
      </c>
      <c r="R337" s="1" t="s">
        <v>77</v>
      </c>
      <c r="S337" s="12">
        <v>-500000</v>
      </c>
      <c r="T337" s="1" t="s">
        <v>77</v>
      </c>
      <c r="U337" s="12">
        <v>-500000</v>
      </c>
      <c r="V337" s="1" t="s">
        <v>74</v>
      </c>
      <c r="W337" s="1" t="s">
        <v>269</v>
      </c>
      <c r="X337" s="1" t="s">
        <v>74</v>
      </c>
      <c r="Y337" s="1" t="s">
        <v>74</v>
      </c>
      <c r="Z337" s="1" t="s">
        <v>213</v>
      </c>
      <c r="AA337" s="1" t="s">
        <v>74</v>
      </c>
      <c r="AB337" s="1" t="s">
        <v>74</v>
      </c>
      <c r="AC337" s="1" t="s">
        <v>74</v>
      </c>
      <c r="AD337" s="1" t="s">
        <v>74</v>
      </c>
      <c r="AE337" s="11">
        <v>46007</v>
      </c>
      <c r="AF337" s="11"/>
      <c r="AG337" s="1" t="s">
        <v>74</v>
      </c>
      <c r="AJ337" t="e" cm="1">
        <f t="array" ref="AJ337">_xlfn.XLOOKUP(M337,'Customer Data Vlookup'!$L:$L,'Customer Data Vlookup'!$M:$N,,0)</f>
        <v>#N/A</v>
      </c>
    </row>
    <row r="338" spans="1:36" hidden="1" x14ac:dyDescent="0.35">
      <c r="A338" s="1" t="s">
        <v>124</v>
      </c>
      <c r="B338" s="1" t="s">
        <v>67</v>
      </c>
      <c r="C338" s="1" t="s">
        <v>68</v>
      </c>
      <c r="D338" s="1" t="s">
        <v>69</v>
      </c>
      <c r="E338" s="1" t="s">
        <v>17</v>
      </c>
      <c r="F338" s="1" t="s">
        <v>316</v>
      </c>
      <c r="G338" s="11">
        <v>45890</v>
      </c>
      <c r="H338" s="25">
        <v>1400000896</v>
      </c>
      <c r="I338" s="1" t="s">
        <v>11</v>
      </c>
      <c r="J338" s="11">
        <v>45890</v>
      </c>
      <c r="K338" s="11">
        <v>45890</v>
      </c>
      <c r="L338" s="1" t="s">
        <v>438</v>
      </c>
      <c r="M338" s="35" t="s">
        <v>74</v>
      </c>
      <c r="N338" s="1" t="s">
        <v>72</v>
      </c>
      <c r="O338" s="1" t="s">
        <v>73</v>
      </c>
      <c r="P338" s="1" t="s">
        <v>74</v>
      </c>
      <c r="Q338" s="1" t="s">
        <v>268</v>
      </c>
      <c r="R338" s="1" t="s">
        <v>77</v>
      </c>
      <c r="S338" s="12">
        <v>-700000</v>
      </c>
      <c r="T338" s="1" t="s">
        <v>77</v>
      </c>
      <c r="U338" s="12">
        <v>-700000</v>
      </c>
      <c r="V338" s="1" t="s">
        <v>74</v>
      </c>
      <c r="W338" s="1" t="s">
        <v>269</v>
      </c>
      <c r="X338" s="1" t="s">
        <v>74</v>
      </c>
      <c r="Y338" s="1" t="s">
        <v>74</v>
      </c>
      <c r="Z338" s="1" t="s">
        <v>213</v>
      </c>
      <c r="AA338" s="1" t="s">
        <v>74</v>
      </c>
      <c r="AB338" s="1" t="s">
        <v>74</v>
      </c>
      <c r="AC338" s="1" t="s">
        <v>74</v>
      </c>
      <c r="AD338" s="1" t="s">
        <v>74</v>
      </c>
      <c r="AE338" s="11">
        <v>45890</v>
      </c>
      <c r="AF338" s="11"/>
      <c r="AG338" s="1" t="s">
        <v>74</v>
      </c>
      <c r="AJ338" t="e" cm="1">
        <f t="array" ref="AJ338">_xlfn.XLOOKUP(M338,'Customer Data Vlookup'!$L:$L,'Customer Data Vlookup'!$M:$N,,0)</f>
        <v>#N/A</v>
      </c>
    </row>
    <row r="339" spans="1:36" hidden="1" x14ac:dyDescent="0.35">
      <c r="A339" s="1" t="s">
        <v>124</v>
      </c>
      <c r="B339" s="1" t="s">
        <v>67</v>
      </c>
      <c r="C339" s="1" t="s">
        <v>68</v>
      </c>
      <c r="D339" s="1" t="s">
        <v>69</v>
      </c>
      <c r="E339" s="1" t="s">
        <v>17</v>
      </c>
      <c r="F339" s="1" t="s">
        <v>316</v>
      </c>
      <c r="G339" s="11">
        <v>45890</v>
      </c>
      <c r="H339" s="25">
        <v>1400000909</v>
      </c>
      <c r="I339" s="1" t="s">
        <v>11</v>
      </c>
      <c r="J339" s="11">
        <v>45890</v>
      </c>
      <c r="K339" s="11">
        <v>45890</v>
      </c>
      <c r="L339" s="1" t="s">
        <v>439</v>
      </c>
      <c r="M339" s="35" t="s">
        <v>74</v>
      </c>
      <c r="N339" s="1" t="s">
        <v>72</v>
      </c>
      <c r="O339" s="1" t="s">
        <v>73</v>
      </c>
      <c r="P339" s="1" t="s">
        <v>74</v>
      </c>
      <c r="Q339" s="1" t="s">
        <v>268</v>
      </c>
      <c r="R339" s="1" t="s">
        <v>77</v>
      </c>
      <c r="S339" s="12">
        <v>-700000</v>
      </c>
      <c r="T339" s="1" t="s">
        <v>77</v>
      </c>
      <c r="U339" s="12">
        <v>-700000</v>
      </c>
      <c r="V339" s="1" t="s">
        <v>74</v>
      </c>
      <c r="W339" s="1" t="s">
        <v>269</v>
      </c>
      <c r="X339" s="1" t="s">
        <v>74</v>
      </c>
      <c r="Y339" s="1" t="s">
        <v>74</v>
      </c>
      <c r="Z339" s="1" t="s">
        <v>213</v>
      </c>
      <c r="AA339" s="1" t="s">
        <v>74</v>
      </c>
      <c r="AB339" s="1" t="s">
        <v>74</v>
      </c>
      <c r="AC339" s="1" t="s">
        <v>74</v>
      </c>
      <c r="AD339" s="1" t="s">
        <v>74</v>
      </c>
      <c r="AE339" s="11">
        <v>45890</v>
      </c>
      <c r="AF339" s="11"/>
      <c r="AG339" s="1" t="s">
        <v>74</v>
      </c>
      <c r="AJ339" t="e" cm="1">
        <f t="array" ref="AJ339">_xlfn.XLOOKUP(M339,'Customer Data Vlookup'!$L:$L,'Customer Data Vlookup'!$M:$N,,0)</f>
        <v>#N/A</v>
      </c>
    </row>
    <row r="340" spans="1:36" hidden="1" x14ac:dyDescent="0.35">
      <c r="A340" s="1" t="s">
        <v>124</v>
      </c>
      <c r="B340" s="1" t="s">
        <v>67</v>
      </c>
      <c r="C340" s="1" t="s">
        <v>68</v>
      </c>
      <c r="D340" s="1" t="s">
        <v>69</v>
      </c>
      <c r="E340" s="1" t="s">
        <v>17</v>
      </c>
      <c r="F340" s="1" t="s">
        <v>316</v>
      </c>
      <c r="G340" s="11">
        <v>45890</v>
      </c>
      <c r="H340" s="25">
        <v>1400000924</v>
      </c>
      <c r="I340" s="1" t="s">
        <v>11</v>
      </c>
      <c r="J340" s="11">
        <v>45890</v>
      </c>
      <c r="K340" s="11">
        <v>45890</v>
      </c>
      <c r="L340" s="1" t="s">
        <v>440</v>
      </c>
      <c r="M340" s="35" t="s">
        <v>74</v>
      </c>
      <c r="N340" s="1" t="s">
        <v>72</v>
      </c>
      <c r="O340" s="1" t="s">
        <v>73</v>
      </c>
      <c r="P340" s="1" t="s">
        <v>74</v>
      </c>
      <c r="Q340" s="1" t="s">
        <v>268</v>
      </c>
      <c r="R340" s="1" t="s">
        <v>77</v>
      </c>
      <c r="S340" s="12">
        <v>-700000</v>
      </c>
      <c r="T340" s="1" t="s">
        <v>77</v>
      </c>
      <c r="U340" s="12">
        <v>-700000</v>
      </c>
      <c r="V340" s="1" t="s">
        <v>74</v>
      </c>
      <c r="W340" s="1" t="s">
        <v>269</v>
      </c>
      <c r="X340" s="1" t="s">
        <v>74</v>
      </c>
      <c r="Y340" s="1" t="s">
        <v>74</v>
      </c>
      <c r="Z340" s="1" t="s">
        <v>213</v>
      </c>
      <c r="AA340" s="1" t="s">
        <v>74</v>
      </c>
      <c r="AB340" s="1" t="s">
        <v>74</v>
      </c>
      <c r="AC340" s="1" t="s">
        <v>74</v>
      </c>
      <c r="AD340" s="1" t="s">
        <v>74</v>
      </c>
      <c r="AE340" s="11">
        <v>45890</v>
      </c>
      <c r="AF340" s="11"/>
      <c r="AG340" s="1" t="s">
        <v>74</v>
      </c>
      <c r="AJ340" t="e" cm="1">
        <f t="array" ref="AJ340">_xlfn.XLOOKUP(M340,'Customer Data Vlookup'!$L:$L,'Customer Data Vlookup'!$M:$N,,0)</f>
        <v>#N/A</v>
      </c>
    </row>
    <row r="341" spans="1:36" hidden="1" x14ac:dyDescent="0.35">
      <c r="A341" s="1" t="s">
        <v>124</v>
      </c>
      <c r="B341" s="1" t="s">
        <v>67</v>
      </c>
      <c r="C341" s="1" t="s">
        <v>68</v>
      </c>
      <c r="D341" s="1" t="s">
        <v>69</v>
      </c>
      <c r="E341" s="1" t="s">
        <v>17</v>
      </c>
      <c r="F341" s="1" t="s">
        <v>316</v>
      </c>
      <c r="G341" s="11">
        <v>45890</v>
      </c>
      <c r="H341" s="25">
        <v>1400000939</v>
      </c>
      <c r="I341" s="1" t="s">
        <v>11</v>
      </c>
      <c r="J341" s="11">
        <v>45890</v>
      </c>
      <c r="K341" s="11">
        <v>45890</v>
      </c>
      <c r="L341" s="1" t="s">
        <v>441</v>
      </c>
      <c r="M341" s="35" t="s">
        <v>74</v>
      </c>
      <c r="N341" s="1" t="s">
        <v>72</v>
      </c>
      <c r="O341" s="1" t="s">
        <v>73</v>
      </c>
      <c r="P341" s="1" t="s">
        <v>74</v>
      </c>
      <c r="Q341" s="1" t="s">
        <v>268</v>
      </c>
      <c r="R341" s="1" t="s">
        <v>77</v>
      </c>
      <c r="S341" s="12">
        <v>-700000</v>
      </c>
      <c r="T341" s="1" t="s">
        <v>77</v>
      </c>
      <c r="U341" s="12">
        <v>-700000</v>
      </c>
      <c r="V341" s="1" t="s">
        <v>74</v>
      </c>
      <c r="W341" s="1" t="s">
        <v>269</v>
      </c>
      <c r="X341" s="1" t="s">
        <v>74</v>
      </c>
      <c r="Y341" s="1" t="s">
        <v>74</v>
      </c>
      <c r="Z341" s="1" t="s">
        <v>213</v>
      </c>
      <c r="AA341" s="1" t="s">
        <v>74</v>
      </c>
      <c r="AB341" s="1" t="s">
        <v>74</v>
      </c>
      <c r="AC341" s="1" t="s">
        <v>74</v>
      </c>
      <c r="AD341" s="1" t="s">
        <v>74</v>
      </c>
      <c r="AE341" s="11">
        <v>45890</v>
      </c>
      <c r="AF341" s="11"/>
      <c r="AG341" s="1" t="s">
        <v>74</v>
      </c>
      <c r="AJ341" t="e" cm="1">
        <f t="array" ref="AJ341">_xlfn.XLOOKUP(M341,'Customer Data Vlookup'!$L:$L,'Customer Data Vlookup'!$M:$N,,0)</f>
        <v>#N/A</v>
      </c>
    </row>
    <row r="342" spans="1:36" hidden="1" x14ac:dyDescent="0.35">
      <c r="A342" s="1" t="s">
        <v>124</v>
      </c>
      <c r="B342" s="1" t="s">
        <v>67</v>
      </c>
      <c r="C342" s="1" t="s">
        <v>68</v>
      </c>
      <c r="D342" s="1" t="s">
        <v>69</v>
      </c>
      <c r="E342" s="1" t="s">
        <v>17</v>
      </c>
      <c r="F342" s="1" t="s">
        <v>316</v>
      </c>
      <c r="G342" s="11">
        <v>45890</v>
      </c>
      <c r="H342" s="25">
        <v>1400000954</v>
      </c>
      <c r="I342" s="1" t="s">
        <v>11</v>
      </c>
      <c r="J342" s="11">
        <v>45890</v>
      </c>
      <c r="K342" s="11">
        <v>45890</v>
      </c>
      <c r="L342" s="1" t="s">
        <v>442</v>
      </c>
      <c r="M342" s="35" t="s">
        <v>74</v>
      </c>
      <c r="N342" s="1" t="s">
        <v>72</v>
      </c>
      <c r="O342" s="1" t="s">
        <v>73</v>
      </c>
      <c r="P342" s="1" t="s">
        <v>74</v>
      </c>
      <c r="Q342" s="1" t="s">
        <v>268</v>
      </c>
      <c r="R342" s="1" t="s">
        <v>77</v>
      </c>
      <c r="S342" s="12">
        <v>-700000</v>
      </c>
      <c r="T342" s="1" t="s">
        <v>77</v>
      </c>
      <c r="U342" s="12">
        <v>-700000</v>
      </c>
      <c r="V342" s="1" t="s">
        <v>74</v>
      </c>
      <c r="W342" s="1" t="s">
        <v>269</v>
      </c>
      <c r="X342" s="1" t="s">
        <v>74</v>
      </c>
      <c r="Y342" s="1" t="s">
        <v>74</v>
      </c>
      <c r="Z342" s="1" t="s">
        <v>213</v>
      </c>
      <c r="AA342" s="1" t="s">
        <v>74</v>
      </c>
      <c r="AB342" s="1" t="s">
        <v>74</v>
      </c>
      <c r="AC342" s="1" t="s">
        <v>74</v>
      </c>
      <c r="AD342" s="1" t="s">
        <v>74</v>
      </c>
      <c r="AE342" s="11">
        <v>45890</v>
      </c>
      <c r="AF342" s="11"/>
      <c r="AG342" s="1" t="s">
        <v>74</v>
      </c>
      <c r="AJ342" t="e" cm="1">
        <f t="array" ref="AJ342">_xlfn.XLOOKUP(M342,'Customer Data Vlookup'!$L:$L,'Customer Data Vlookup'!$M:$N,,0)</f>
        <v>#N/A</v>
      </c>
    </row>
    <row r="343" spans="1:36" hidden="1" x14ac:dyDescent="0.35">
      <c r="A343" s="1" t="s">
        <v>124</v>
      </c>
      <c r="B343" s="1" t="s">
        <v>67</v>
      </c>
      <c r="C343" s="1" t="s">
        <v>68</v>
      </c>
      <c r="D343" s="1" t="s">
        <v>69</v>
      </c>
      <c r="E343" s="1" t="s">
        <v>17</v>
      </c>
      <c r="F343" s="1" t="s">
        <v>316</v>
      </c>
      <c r="G343" s="11">
        <v>45890</v>
      </c>
      <c r="H343" s="25">
        <v>1400000963</v>
      </c>
      <c r="I343" s="1" t="s">
        <v>11</v>
      </c>
      <c r="J343" s="11">
        <v>45890</v>
      </c>
      <c r="K343" s="11">
        <v>45890</v>
      </c>
      <c r="L343" s="1" t="s">
        <v>443</v>
      </c>
      <c r="M343" s="35" t="s">
        <v>74</v>
      </c>
      <c r="N343" s="1" t="s">
        <v>72</v>
      </c>
      <c r="O343" s="1" t="s">
        <v>73</v>
      </c>
      <c r="P343" s="1" t="s">
        <v>74</v>
      </c>
      <c r="Q343" s="1" t="s">
        <v>268</v>
      </c>
      <c r="R343" s="1" t="s">
        <v>77</v>
      </c>
      <c r="S343" s="12">
        <v>-350672</v>
      </c>
      <c r="T343" s="1" t="s">
        <v>77</v>
      </c>
      <c r="U343" s="12">
        <v>-350672</v>
      </c>
      <c r="V343" s="1" t="s">
        <v>74</v>
      </c>
      <c r="W343" s="1" t="s">
        <v>269</v>
      </c>
      <c r="X343" s="1" t="s">
        <v>74</v>
      </c>
      <c r="Y343" s="1" t="s">
        <v>74</v>
      </c>
      <c r="Z343" s="1" t="s">
        <v>213</v>
      </c>
      <c r="AA343" s="1" t="s">
        <v>74</v>
      </c>
      <c r="AB343" s="1" t="s">
        <v>74</v>
      </c>
      <c r="AC343" s="1" t="s">
        <v>74</v>
      </c>
      <c r="AD343" s="1" t="s">
        <v>74</v>
      </c>
      <c r="AE343" s="11">
        <v>45890</v>
      </c>
      <c r="AF343" s="11"/>
      <c r="AG343" s="1" t="s">
        <v>74</v>
      </c>
      <c r="AJ343" t="e" cm="1">
        <f t="array" ref="AJ343">_xlfn.XLOOKUP(M343,'Customer Data Vlookup'!$L:$L,'Customer Data Vlookup'!$M:$N,,0)</f>
        <v>#N/A</v>
      </c>
    </row>
    <row r="344" spans="1:36" hidden="1" x14ac:dyDescent="0.35">
      <c r="A344" s="1" t="s">
        <v>124</v>
      </c>
      <c r="B344" s="1" t="s">
        <v>67</v>
      </c>
      <c r="C344" s="1" t="s">
        <v>68</v>
      </c>
      <c r="D344" s="1" t="s">
        <v>69</v>
      </c>
      <c r="E344" s="1" t="s">
        <v>17</v>
      </c>
      <c r="F344" s="1" t="s">
        <v>141</v>
      </c>
      <c r="G344" s="11">
        <v>45946</v>
      </c>
      <c r="H344" s="25">
        <v>1400001439</v>
      </c>
      <c r="I344" s="1" t="s">
        <v>11</v>
      </c>
      <c r="J344" s="11">
        <v>45946</v>
      </c>
      <c r="K344" s="11">
        <v>45946</v>
      </c>
      <c r="L344" s="1" t="s">
        <v>444</v>
      </c>
      <c r="M344" s="35" t="s">
        <v>74</v>
      </c>
      <c r="N344" s="1" t="s">
        <v>72</v>
      </c>
      <c r="O344" s="1" t="s">
        <v>73</v>
      </c>
      <c r="P344" s="1" t="s">
        <v>74</v>
      </c>
      <c r="Q344" s="1" t="s">
        <v>268</v>
      </c>
      <c r="R344" s="1" t="s">
        <v>77</v>
      </c>
      <c r="S344" s="12">
        <v>-108564</v>
      </c>
      <c r="T344" s="1" t="s">
        <v>77</v>
      </c>
      <c r="U344" s="12">
        <v>-108564</v>
      </c>
      <c r="V344" s="1" t="s">
        <v>74</v>
      </c>
      <c r="W344" s="1" t="s">
        <v>269</v>
      </c>
      <c r="X344" s="1" t="s">
        <v>74</v>
      </c>
      <c r="Y344" s="1" t="s">
        <v>74</v>
      </c>
      <c r="Z344" s="1" t="s">
        <v>213</v>
      </c>
      <c r="AA344" s="1" t="s">
        <v>74</v>
      </c>
      <c r="AB344" s="1" t="s">
        <v>74</v>
      </c>
      <c r="AC344" s="1" t="s">
        <v>74</v>
      </c>
      <c r="AD344" s="1" t="s">
        <v>74</v>
      </c>
      <c r="AE344" s="11">
        <v>45946</v>
      </c>
      <c r="AF344" s="11"/>
      <c r="AG344" s="1" t="s">
        <v>74</v>
      </c>
      <c r="AJ344" t="e" cm="1">
        <f t="array" ref="AJ344">_xlfn.XLOOKUP(M344,'Customer Data Vlookup'!$L:$L,'Customer Data Vlookup'!$M:$N,,0)</f>
        <v>#N/A</v>
      </c>
    </row>
    <row r="345" spans="1:36" hidden="1" x14ac:dyDescent="0.35">
      <c r="A345" s="1" t="s">
        <v>124</v>
      </c>
      <c r="B345" s="1" t="s">
        <v>67</v>
      </c>
      <c r="C345" s="1" t="s">
        <v>68</v>
      </c>
      <c r="D345" s="1" t="s">
        <v>69</v>
      </c>
      <c r="E345" s="1" t="s">
        <v>17</v>
      </c>
      <c r="F345" s="1" t="s">
        <v>70</v>
      </c>
      <c r="G345" s="11">
        <v>45839</v>
      </c>
      <c r="H345" s="25">
        <v>1400000091</v>
      </c>
      <c r="I345" s="1" t="s">
        <v>11</v>
      </c>
      <c r="J345" s="11">
        <v>45832</v>
      </c>
      <c r="K345" s="11">
        <v>45832</v>
      </c>
      <c r="L345" s="1" t="s">
        <v>445</v>
      </c>
      <c r="M345" s="35" t="s">
        <v>74</v>
      </c>
      <c r="N345" s="1" t="s">
        <v>72</v>
      </c>
      <c r="O345" s="1" t="s">
        <v>73</v>
      </c>
      <c r="P345" s="1" t="s">
        <v>74</v>
      </c>
      <c r="Q345" s="1" t="s">
        <v>268</v>
      </c>
      <c r="R345" s="1" t="s">
        <v>77</v>
      </c>
      <c r="S345" s="12">
        <v>-177773</v>
      </c>
      <c r="T345" s="1" t="s">
        <v>77</v>
      </c>
      <c r="U345" s="12">
        <v>-177773</v>
      </c>
      <c r="V345" s="1" t="s">
        <v>74</v>
      </c>
      <c r="W345" s="1" t="s">
        <v>269</v>
      </c>
      <c r="X345" s="1" t="s">
        <v>74</v>
      </c>
      <c r="Y345" s="1" t="s">
        <v>74</v>
      </c>
      <c r="Z345" s="1" t="s">
        <v>213</v>
      </c>
      <c r="AA345" s="1" t="s">
        <v>74</v>
      </c>
      <c r="AB345" s="1" t="s">
        <v>74</v>
      </c>
      <c r="AC345" s="1" t="s">
        <v>74</v>
      </c>
      <c r="AD345" s="1" t="s">
        <v>74</v>
      </c>
      <c r="AE345" s="11">
        <v>45832</v>
      </c>
      <c r="AF345" s="11"/>
      <c r="AG345" s="1" t="s">
        <v>74</v>
      </c>
      <c r="AJ345" t="e" cm="1">
        <f t="array" ref="AJ345">_xlfn.XLOOKUP(M345,'Customer Data Vlookup'!$L:$L,'Customer Data Vlookup'!$M:$N,,0)</f>
        <v>#N/A</v>
      </c>
    </row>
    <row r="346" spans="1:36" hidden="1" x14ac:dyDescent="0.35">
      <c r="A346" s="1" t="s">
        <v>124</v>
      </c>
      <c r="B346" s="1" t="s">
        <v>67</v>
      </c>
      <c r="C346" s="1" t="s">
        <v>68</v>
      </c>
      <c r="D346" s="1" t="s">
        <v>69</v>
      </c>
      <c r="E346" s="1" t="s">
        <v>17</v>
      </c>
      <c r="F346" s="1" t="s">
        <v>70</v>
      </c>
      <c r="G346" s="11">
        <v>45839</v>
      </c>
      <c r="H346" s="25">
        <v>1400000095</v>
      </c>
      <c r="I346" s="1" t="s">
        <v>11</v>
      </c>
      <c r="J346" s="11">
        <v>45832</v>
      </c>
      <c r="K346" s="11">
        <v>45832</v>
      </c>
      <c r="L346" s="1" t="s">
        <v>446</v>
      </c>
      <c r="M346" s="35" t="s">
        <v>74</v>
      </c>
      <c r="N346" s="1" t="s">
        <v>72</v>
      </c>
      <c r="O346" s="1" t="s">
        <v>73</v>
      </c>
      <c r="P346" s="1" t="s">
        <v>74</v>
      </c>
      <c r="Q346" s="1" t="s">
        <v>268</v>
      </c>
      <c r="R346" s="1" t="s">
        <v>77</v>
      </c>
      <c r="S346" s="12">
        <v>-500947</v>
      </c>
      <c r="T346" s="1" t="s">
        <v>77</v>
      </c>
      <c r="U346" s="12">
        <v>-500947</v>
      </c>
      <c r="V346" s="1" t="s">
        <v>74</v>
      </c>
      <c r="W346" s="1" t="s">
        <v>269</v>
      </c>
      <c r="X346" s="1" t="s">
        <v>74</v>
      </c>
      <c r="Y346" s="1" t="s">
        <v>74</v>
      </c>
      <c r="Z346" s="1" t="s">
        <v>213</v>
      </c>
      <c r="AA346" s="1" t="s">
        <v>74</v>
      </c>
      <c r="AB346" s="1" t="s">
        <v>74</v>
      </c>
      <c r="AC346" s="1" t="s">
        <v>74</v>
      </c>
      <c r="AD346" s="1" t="s">
        <v>74</v>
      </c>
      <c r="AE346" s="11">
        <v>45832</v>
      </c>
      <c r="AF346" s="11"/>
      <c r="AG346" s="1" t="s">
        <v>74</v>
      </c>
      <c r="AJ346" t="e" cm="1">
        <f t="array" ref="AJ346">_xlfn.XLOOKUP(M346,'Customer Data Vlookup'!$L:$L,'Customer Data Vlookup'!$M:$N,,0)</f>
        <v>#N/A</v>
      </c>
    </row>
    <row r="347" spans="1:36" hidden="1" x14ac:dyDescent="0.35">
      <c r="A347" s="1" t="s">
        <v>124</v>
      </c>
      <c r="B347" s="1" t="s">
        <v>67</v>
      </c>
      <c r="C347" s="1" t="s">
        <v>68</v>
      </c>
      <c r="D347" s="1" t="s">
        <v>69</v>
      </c>
      <c r="E347" s="1" t="s">
        <v>17</v>
      </c>
      <c r="F347" s="1" t="s">
        <v>70</v>
      </c>
      <c r="G347" s="11">
        <v>45839</v>
      </c>
      <c r="H347" s="25">
        <v>1400000097</v>
      </c>
      <c r="I347" s="1" t="s">
        <v>11</v>
      </c>
      <c r="J347" s="11">
        <v>45832</v>
      </c>
      <c r="K347" s="11">
        <v>45832</v>
      </c>
      <c r="L347" s="1" t="s">
        <v>447</v>
      </c>
      <c r="M347" s="35" t="s">
        <v>74</v>
      </c>
      <c r="N347" s="1" t="s">
        <v>72</v>
      </c>
      <c r="O347" s="1" t="s">
        <v>73</v>
      </c>
      <c r="P347" s="1" t="s">
        <v>74</v>
      </c>
      <c r="Q347" s="1" t="s">
        <v>268</v>
      </c>
      <c r="R347" s="1" t="s">
        <v>77</v>
      </c>
      <c r="S347" s="12">
        <v>-700000</v>
      </c>
      <c r="T347" s="1" t="s">
        <v>77</v>
      </c>
      <c r="U347" s="12">
        <v>-700000</v>
      </c>
      <c r="V347" s="1" t="s">
        <v>74</v>
      </c>
      <c r="W347" s="1" t="s">
        <v>269</v>
      </c>
      <c r="X347" s="1" t="s">
        <v>74</v>
      </c>
      <c r="Y347" s="1" t="s">
        <v>74</v>
      </c>
      <c r="Z347" s="1" t="s">
        <v>213</v>
      </c>
      <c r="AA347" s="1" t="s">
        <v>74</v>
      </c>
      <c r="AB347" s="1" t="s">
        <v>74</v>
      </c>
      <c r="AC347" s="1" t="s">
        <v>74</v>
      </c>
      <c r="AD347" s="1" t="s">
        <v>74</v>
      </c>
      <c r="AE347" s="11">
        <v>45832</v>
      </c>
      <c r="AF347" s="11"/>
      <c r="AG347" s="1" t="s">
        <v>74</v>
      </c>
      <c r="AJ347" t="e" cm="1">
        <f t="array" ref="AJ347">_xlfn.XLOOKUP(M347,'Customer Data Vlookup'!$L:$L,'Customer Data Vlookup'!$M:$N,,0)</f>
        <v>#N/A</v>
      </c>
    </row>
    <row r="348" spans="1:36" hidden="1" x14ac:dyDescent="0.35">
      <c r="A348" s="1" t="s">
        <v>124</v>
      </c>
      <c r="B348" s="1" t="s">
        <v>67</v>
      </c>
      <c r="C348" s="1" t="s">
        <v>68</v>
      </c>
      <c r="D348" s="1" t="s">
        <v>69</v>
      </c>
      <c r="E348" s="1" t="s">
        <v>17</v>
      </c>
      <c r="F348" s="1" t="s">
        <v>75</v>
      </c>
      <c r="G348" s="11">
        <v>45964</v>
      </c>
      <c r="H348" s="25">
        <v>1400001594</v>
      </c>
      <c r="I348" s="1" t="s">
        <v>11</v>
      </c>
      <c r="J348" s="11">
        <v>45964</v>
      </c>
      <c r="K348" s="11">
        <v>45964</v>
      </c>
      <c r="L348" s="1" t="s">
        <v>448</v>
      </c>
      <c r="M348" s="35" t="s">
        <v>74</v>
      </c>
      <c r="N348" s="1" t="s">
        <v>72</v>
      </c>
      <c r="O348" s="1" t="s">
        <v>73</v>
      </c>
      <c r="P348" s="1" t="s">
        <v>74</v>
      </c>
      <c r="Q348" s="1" t="s">
        <v>268</v>
      </c>
      <c r="R348" s="1" t="s">
        <v>77</v>
      </c>
      <c r="S348" s="12">
        <v>-300000</v>
      </c>
      <c r="T348" s="1" t="s">
        <v>77</v>
      </c>
      <c r="U348" s="12">
        <v>-300000</v>
      </c>
      <c r="V348" s="1" t="s">
        <v>74</v>
      </c>
      <c r="W348" s="1" t="s">
        <v>269</v>
      </c>
      <c r="X348" s="1" t="s">
        <v>74</v>
      </c>
      <c r="Y348" s="1" t="s">
        <v>74</v>
      </c>
      <c r="Z348" s="1" t="s">
        <v>213</v>
      </c>
      <c r="AA348" s="1" t="s">
        <v>74</v>
      </c>
      <c r="AB348" s="1" t="s">
        <v>74</v>
      </c>
      <c r="AC348" s="1" t="s">
        <v>74</v>
      </c>
      <c r="AD348" s="1" t="s">
        <v>74</v>
      </c>
      <c r="AE348" s="11">
        <v>45964</v>
      </c>
      <c r="AF348" s="11"/>
      <c r="AG348" s="1" t="s">
        <v>74</v>
      </c>
      <c r="AJ348" t="e" cm="1">
        <f t="array" ref="AJ348">_xlfn.XLOOKUP(M348,'Customer Data Vlookup'!$L:$L,'Customer Data Vlookup'!$M:$N,,0)</f>
        <v>#N/A</v>
      </c>
    </row>
    <row r="349" spans="1:36" hidden="1" x14ac:dyDescent="0.35">
      <c r="A349" s="1" t="s">
        <v>66</v>
      </c>
      <c r="B349" s="1" t="s">
        <v>67</v>
      </c>
      <c r="C349" s="1" t="s">
        <v>68</v>
      </c>
      <c r="D349" s="1" t="s">
        <v>69</v>
      </c>
      <c r="E349" s="1" t="s">
        <v>17</v>
      </c>
      <c r="F349" s="1" t="s">
        <v>70</v>
      </c>
      <c r="G349" s="11">
        <v>45842</v>
      </c>
      <c r="H349" s="25">
        <v>1400000245</v>
      </c>
      <c r="I349" s="1" t="s">
        <v>10</v>
      </c>
      <c r="J349" s="11">
        <v>45842</v>
      </c>
      <c r="K349" s="11">
        <v>45842</v>
      </c>
      <c r="L349" s="1" t="s">
        <v>71</v>
      </c>
      <c r="M349" s="35" t="s">
        <v>449</v>
      </c>
      <c r="N349" s="1" t="s">
        <v>72</v>
      </c>
      <c r="O349" s="1" t="s">
        <v>73</v>
      </c>
      <c r="P349" s="1" t="s">
        <v>74</v>
      </c>
      <c r="Q349" s="1" t="s">
        <v>268</v>
      </c>
      <c r="R349" s="1" t="s">
        <v>76</v>
      </c>
      <c r="S349" s="12">
        <v>0</v>
      </c>
      <c r="T349" s="1" t="s">
        <v>77</v>
      </c>
      <c r="U349" s="12">
        <v>0</v>
      </c>
      <c r="V349" s="1" t="s">
        <v>74</v>
      </c>
      <c r="W349" s="1" t="s">
        <v>79</v>
      </c>
      <c r="X349" s="1" t="s">
        <v>74</v>
      </c>
      <c r="Y349" s="1" t="s">
        <v>74</v>
      </c>
      <c r="Z349" s="1" t="s">
        <v>80</v>
      </c>
      <c r="AA349" s="1" t="s">
        <v>74</v>
      </c>
      <c r="AB349" s="1" t="s">
        <v>74</v>
      </c>
      <c r="AC349" s="1" t="s">
        <v>74</v>
      </c>
      <c r="AD349" s="1" t="s">
        <v>74</v>
      </c>
      <c r="AE349" s="11">
        <v>45842</v>
      </c>
      <c r="AF349" s="11">
        <v>45842</v>
      </c>
      <c r="AG349" s="1" t="s">
        <v>335</v>
      </c>
      <c r="AJ349" t="e" cm="1">
        <f t="array" ref="AJ349">_xlfn.XLOOKUP(M349,'Customer Data Vlookup'!$L:$L,'Customer Data Vlookup'!$M:$N,,0)</f>
        <v>#N/A</v>
      </c>
    </row>
    <row r="350" spans="1:36" hidden="1" x14ac:dyDescent="0.35">
      <c r="A350" s="1" t="s">
        <v>66</v>
      </c>
      <c r="B350" s="1" t="s">
        <v>67</v>
      </c>
      <c r="C350" s="1" t="s">
        <v>68</v>
      </c>
      <c r="D350" s="1" t="s">
        <v>69</v>
      </c>
      <c r="E350" s="1" t="s">
        <v>17</v>
      </c>
      <c r="F350" s="1" t="s">
        <v>70</v>
      </c>
      <c r="G350" s="11">
        <v>45842</v>
      </c>
      <c r="H350" s="25">
        <v>1400000248</v>
      </c>
      <c r="I350" s="1" t="s">
        <v>10</v>
      </c>
      <c r="J350" s="11">
        <v>45842</v>
      </c>
      <c r="K350" s="11">
        <v>45842</v>
      </c>
      <c r="L350" s="1" t="s">
        <v>71</v>
      </c>
      <c r="M350" s="35" t="s">
        <v>449</v>
      </c>
      <c r="N350" s="1" t="s">
        <v>72</v>
      </c>
      <c r="O350" s="1" t="s">
        <v>73</v>
      </c>
      <c r="P350" s="1" t="s">
        <v>74</v>
      </c>
      <c r="Q350" s="1" t="s">
        <v>268</v>
      </c>
      <c r="R350" s="1" t="s">
        <v>76</v>
      </c>
      <c r="S350" s="12">
        <v>0</v>
      </c>
      <c r="T350" s="1" t="s">
        <v>77</v>
      </c>
      <c r="U350" s="12">
        <v>0</v>
      </c>
      <c r="V350" s="1" t="s">
        <v>74</v>
      </c>
      <c r="W350" s="1" t="s">
        <v>79</v>
      </c>
      <c r="X350" s="1" t="s">
        <v>74</v>
      </c>
      <c r="Y350" s="1" t="s">
        <v>74</v>
      </c>
      <c r="Z350" s="1" t="s">
        <v>80</v>
      </c>
      <c r="AA350" s="1" t="s">
        <v>74</v>
      </c>
      <c r="AB350" s="1" t="s">
        <v>74</v>
      </c>
      <c r="AC350" s="1" t="s">
        <v>74</v>
      </c>
      <c r="AD350" s="1" t="s">
        <v>74</v>
      </c>
      <c r="AE350" s="11">
        <v>45842</v>
      </c>
      <c r="AF350" s="11">
        <v>45842</v>
      </c>
      <c r="AG350" s="1" t="s">
        <v>209</v>
      </c>
      <c r="AJ350" t="e" cm="1">
        <f t="array" ref="AJ350">_xlfn.XLOOKUP(M350,'Customer Data Vlookup'!$L:$L,'Customer Data Vlookup'!$M:$N,,0)</f>
        <v>#N/A</v>
      </c>
    </row>
    <row r="351" spans="1:36" hidden="1" x14ac:dyDescent="0.35">
      <c r="A351" s="1" t="s">
        <v>66</v>
      </c>
      <c r="B351" s="1" t="s">
        <v>67</v>
      </c>
      <c r="C351" s="1" t="s">
        <v>68</v>
      </c>
      <c r="D351" s="1" t="s">
        <v>69</v>
      </c>
      <c r="E351" s="1" t="s">
        <v>17</v>
      </c>
      <c r="F351" s="1" t="s">
        <v>70</v>
      </c>
      <c r="G351" s="11">
        <v>45842</v>
      </c>
      <c r="H351" s="25">
        <v>1400000246</v>
      </c>
      <c r="I351" s="1" t="s">
        <v>10</v>
      </c>
      <c r="J351" s="11">
        <v>45842</v>
      </c>
      <c r="K351" s="11">
        <v>45842</v>
      </c>
      <c r="L351" s="1" t="s">
        <v>71</v>
      </c>
      <c r="M351" s="35" t="s">
        <v>449</v>
      </c>
      <c r="N351" s="1" t="s">
        <v>72</v>
      </c>
      <c r="O351" s="1" t="s">
        <v>73</v>
      </c>
      <c r="P351" s="1" t="s">
        <v>74</v>
      </c>
      <c r="Q351" s="1" t="s">
        <v>431</v>
      </c>
      <c r="R351" s="1" t="s">
        <v>76</v>
      </c>
      <c r="S351" s="12">
        <v>456.75</v>
      </c>
      <c r="T351" s="1" t="s">
        <v>77</v>
      </c>
      <c r="U351" s="12">
        <v>39701.54</v>
      </c>
      <c r="V351" s="1" t="s">
        <v>74</v>
      </c>
      <c r="W351" s="1" t="s">
        <v>79</v>
      </c>
      <c r="X351" s="1" t="s">
        <v>74</v>
      </c>
      <c r="Y351" s="1" t="s">
        <v>74</v>
      </c>
      <c r="Z351" s="1" t="s">
        <v>80</v>
      </c>
      <c r="AA351" s="1" t="s">
        <v>74</v>
      </c>
      <c r="AB351" s="1" t="s">
        <v>74</v>
      </c>
      <c r="AC351" s="1" t="s">
        <v>74</v>
      </c>
      <c r="AD351" s="1" t="s">
        <v>74</v>
      </c>
      <c r="AE351" s="11">
        <v>45842</v>
      </c>
      <c r="AF351" s="11">
        <v>45842</v>
      </c>
      <c r="AG351" s="1" t="s">
        <v>137</v>
      </c>
      <c r="AJ351" t="e" cm="1">
        <f t="array" ref="AJ351">_xlfn.XLOOKUP(M351,'Customer Data Vlookup'!$L:$L,'Customer Data Vlookup'!$M:$N,,0)</f>
        <v>#N/A</v>
      </c>
    </row>
    <row r="352" spans="1:36" hidden="1" x14ac:dyDescent="0.35">
      <c r="A352" s="1" t="s">
        <v>66</v>
      </c>
      <c r="B352" s="1" t="s">
        <v>67</v>
      </c>
      <c r="C352" s="1" t="s">
        <v>68</v>
      </c>
      <c r="D352" s="1" t="s">
        <v>69</v>
      </c>
      <c r="E352" s="1" t="s">
        <v>17</v>
      </c>
      <c r="F352" s="1" t="s">
        <v>70</v>
      </c>
      <c r="G352" s="11">
        <v>45842</v>
      </c>
      <c r="H352" s="25">
        <v>1400000246</v>
      </c>
      <c r="I352" s="1" t="s">
        <v>10</v>
      </c>
      <c r="J352" s="11">
        <v>45842</v>
      </c>
      <c r="K352" s="11">
        <v>45842</v>
      </c>
      <c r="L352" s="1" t="s">
        <v>71</v>
      </c>
      <c r="M352" s="35" t="s">
        <v>449</v>
      </c>
      <c r="N352" s="1" t="s">
        <v>72</v>
      </c>
      <c r="O352" s="1" t="s">
        <v>73</v>
      </c>
      <c r="P352" s="1" t="s">
        <v>74</v>
      </c>
      <c r="Q352" s="1" t="s">
        <v>268</v>
      </c>
      <c r="R352" s="1" t="s">
        <v>76</v>
      </c>
      <c r="S352" s="12">
        <v>-456.75</v>
      </c>
      <c r="T352" s="1" t="s">
        <v>77</v>
      </c>
      <c r="U352" s="12">
        <v>-39701.54</v>
      </c>
      <c r="V352" s="1" t="s">
        <v>74</v>
      </c>
      <c r="W352" s="1" t="s">
        <v>79</v>
      </c>
      <c r="X352" s="1" t="s">
        <v>74</v>
      </c>
      <c r="Y352" s="1" t="s">
        <v>74</v>
      </c>
      <c r="Z352" s="1" t="s">
        <v>213</v>
      </c>
      <c r="AA352" s="1" t="s">
        <v>74</v>
      </c>
      <c r="AB352" s="1" t="s">
        <v>74</v>
      </c>
      <c r="AC352" s="1" t="s">
        <v>74</v>
      </c>
      <c r="AD352" s="1" t="s">
        <v>74</v>
      </c>
      <c r="AE352" s="11">
        <v>45842</v>
      </c>
      <c r="AF352" s="11">
        <v>45842</v>
      </c>
      <c r="AG352" s="1" t="s">
        <v>137</v>
      </c>
      <c r="AJ352" t="e" cm="1">
        <f t="array" ref="AJ352">_xlfn.XLOOKUP(M352,'Customer Data Vlookup'!$L:$L,'Customer Data Vlookup'!$M:$N,,0)</f>
        <v>#N/A</v>
      </c>
    </row>
    <row r="353" spans="1:39" hidden="1" x14ac:dyDescent="0.35">
      <c r="A353" s="1" t="s">
        <v>66</v>
      </c>
      <c r="B353" s="1" t="s">
        <v>67</v>
      </c>
      <c r="C353" s="1" t="s">
        <v>68</v>
      </c>
      <c r="D353" s="1" t="s">
        <v>69</v>
      </c>
      <c r="E353" s="1" t="s">
        <v>17</v>
      </c>
      <c r="F353" s="1" t="s">
        <v>70</v>
      </c>
      <c r="G353" s="11">
        <v>45842</v>
      </c>
      <c r="H353" s="25">
        <v>1400000247</v>
      </c>
      <c r="I353" s="1" t="s">
        <v>10</v>
      </c>
      <c r="J353" s="11">
        <v>45842</v>
      </c>
      <c r="K353" s="11">
        <v>45842</v>
      </c>
      <c r="L353" s="1" t="s">
        <v>71</v>
      </c>
      <c r="M353" s="35" t="s">
        <v>449</v>
      </c>
      <c r="N353" s="1" t="s">
        <v>72</v>
      </c>
      <c r="O353" s="1" t="s">
        <v>73</v>
      </c>
      <c r="P353" s="1" t="s">
        <v>74</v>
      </c>
      <c r="Q353" s="1" t="s">
        <v>431</v>
      </c>
      <c r="R353" s="1" t="s">
        <v>76</v>
      </c>
      <c r="S353" s="12">
        <v>456.75</v>
      </c>
      <c r="T353" s="1" t="s">
        <v>77</v>
      </c>
      <c r="U353" s="12">
        <v>39701.54</v>
      </c>
      <c r="V353" s="1" t="s">
        <v>74</v>
      </c>
      <c r="W353" s="1" t="s">
        <v>79</v>
      </c>
      <c r="X353" s="1" t="s">
        <v>74</v>
      </c>
      <c r="Y353" s="1" t="s">
        <v>74</v>
      </c>
      <c r="Z353" s="1" t="s">
        <v>80</v>
      </c>
      <c r="AA353" s="1" t="s">
        <v>74</v>
      </c>
      <c r="AB353" s="1" t="s">
        <v>74</v>
      </c>
      <c r="AC353" s="1" t="s">
        <v>74</v>
      </c>
      <c r="AD353" s="1" t="s">
        <v>74</v>
      </c>
      <c r="AE353" s="11">
        <v>45842</v>
      </c>
      <c r="AF353" s="11">
        <v>45842</v>
      </c>
      <c r="AG353" s="1" t="s">
        <v>139</v>
      </c>
      <c r="AJ353" t="e" cm="1">
        <f t="array" ref="AJ353">_xlfn.XLOOKUP(M353,'Customer Data Vlookup'!$L:$L,'Customer Data Vlookup'!$M:$N,,0)</f>
        <v>#N/A</v>
      </c>
    </row>
    <row r="354" spans="1:39" hidden="1" x14ac:dyDescent="0.35">
      <c r="A354" s="1" t="s">
        <v>66</v>
      </c>
      <c r="B354" s="1" t="s">
        <v>67</v>
      </c>
      <c r="C354" s="1" t="s">
        <v>68</v>
      </c>
      <c r="D354" s="1" t="s">
        <v>69</v>
      </c>
      <c r="E354" s="1" t="s">
        <v>17</v>
      </c>
      <c r="F354" s="1" t="s">
        <v>70</v>
      </c>
      <c r="G354" s="11">
        <v>45842</v>
      </c>
      <c r="H354" s="25">
        <v>1400000247</v>
      </c>
      <c r="I354" s="1" t="s">
        <v>10</v>
      </c>
      <c r="J354" s="11">
        <v>45842</v>
      </c>
      <c r="K354" s="11">
        <v>45842</v>
      </c>
      <c r="L354" s="1" t="s">
        <v>71</v>
      </c>
      <c r="M354" s="35" t="s">
        <v>449</v>
      </c>
      <c r="N354" s="1" t="s">
        <v>72</v>
      </c>
      <c r="O354" s="1" t="s">
        <v>73</v>
      </c>
      <c r="P354" s="1" t="s">
        <v>74</v>
      </c>
      <c r="Q354" s="1" t="s">
        <v>268</v>
      </c>
      <c r="R354" s="1" t="s">
        <v>76</v>
      </c>
      <c r="S354" s="12">
        <v>-456.75</v>
      </c>
      <c r="T354" s="1" t="s">
        <v>77</v>
      </c>
      <c r="U354" s="12">
        <v>-39701.54</v>
      </c>
      <c r="V354" s="1" t="s">
        <v>74</v>
      </c>
      <c r="W354" s="1" t="s">
        <v>79</v>
      </c>
      <c r="X354" s="1" t="s">
        <v>74</v>
      </c>
      <c r="Y354" s="1" t="s">
        <v>74</v>
      </c>
      <c r="Z354" s="1" t="s">
        <v>213</v>
      </c>
      <c r="AA354" s="1" t="s">
        <v>74</v>
      </c>
      <c r="AB354" s="1" t="s">
        <v>74</v>
      </c>
      <c r="AC354" s="1" t="s">
        <v>74</v>
      </c>
      <c r="AD354" s="1" t="s">
        <v>74</v>
      </c>
      <c r="AE354" s="11">
        <v>45842</v>
      </c>
      <c r="AF354" s="11">
        <v>45842</v>
      </c>
      <c r="AG354" s="1" t="s">
        <v>139</v>
      </c>
      <c r="AJ354" t="e" cm="1">
        <f t="array" ref="AJ354">_xlfn.XLOOKUP(M354,'Customer Data Vlookup'!$L:$L,'Customer Data Vlookup'!$M:$N,,0)</f>
        <v>#N/A</v>
      </c>
    </row>
    <row r="355" spans="1:39" hidden="1" x14ac:dyDescent="0.35">
      <c r="A355" s="1" t="s">
        <v>66</v>
      </c>
      <c r="B355" s="1" t="s">
        <v>67</v>
      </c>
      <c r="C355" s="1" t="s">
        <v>68</v>
      </c>
      <c r="D355" s="1" t="s">
        <v>69</v>
      </c>
      <c r="E355" s="1" t="s">
        <v>17</v>
      </c>
      <c r="F355" s="1" t="s">
        <v>70</v>
      </c>
      <c r="G355" s="11">
        <v>45854</v>
      </c>
      <c r="H355" s="25">
        <v>1400000290</v>
      </c>
      <c r="I355" s="1" t="s">
        <v>10</v>
      </c>
      <c r="J355" s="11">
        <v>45854</v>
      </c>
      <c r="K355" s="11">
        <v>45855</v>
      </c>
      <c r="L355" s="1" t="s">
        <v>71</v>
      </c>
      <c r="M355" s="35" t="s">
        <v>449</v>
      </c>
      <c r="N355" s="1" t="s">
        <v>72</v>
      </c>
      <c r="O355" s="1" t="s">
        <v>73</v>
      </c>
      <c r="P355" s="1" t="s">
        <v>74</v>
      </c>
      <c r="Q355" s="1" t="s">
        <v>431</v>
      </c>
      <c r="R355" s="1" t="s">
        <v>76</v>
      </c>
      <c r="S355" s="12">
        <v>525</v>
      </c>
      <c r="T355" s="1" t="s">
        <v>77</v>
      </c>
      <c r="U355" s="12">
        <v>45512.91</v>
      </c>
      <c r="V355" s="1" t="s">
        <v>74</v>
      </c>
      <c r="W355" s="1" t="s">
        <v>79</v>
      </c>
      <c r="X355" s="1" t="s">
        <v>74</v>
      </c>
      <c r="Y355" s="1" t="s">
        <v>74</v>
      </c>
      <c r="Z355" s="1" t="s">
        <v>80</v>
      </c>
      <c r="AA355" s="1" t="s">
        <v>74</v>
      </c>
      <c r="AB355" s="1" t="s">
        <v>74</v>
      </c>
      <c r="AC355" s="1" t="s">
        <v>74</v>
      </c>
      <c r="AD355" s="1" t="s">
        <v>74</v>
      </c>
      <c r="AE355" s="11">
        <v>45854</v>
      </c>
      <c r="AF355" s="11">
        <v>45854</v>
      </c>
      <c r="AG355" s="1" t="s">
        <v>98</v>
      </c>
      <c r="AJ355" t="e" cm="1">
        <f t="array" ref="AJ355">_xlfn.XLOOKUP(M355,'Customer Data Vlookup'!$L:$L,'Customer Data Vlookup'!$M:$N,,0)</f>
        <v>#N/A</v>
      </c>
    </row>
    <row r="356" spans="1:39" hidden="1" x14ac:dyDescent="0.35">
      <c r="A356" s="1" t="s">
        <v>66</v>
      </c>
      <c r="B356" s="1" t="s">
        <v>67</v>
      </c>
      <c r="C356" s="1" t="s">
        <v>68</v>
      </c>
      <c r="D356" s="1" t="s">
        <v>69</v>
      </c>
      <c r="E356" s="1" t="s">
        <v>17</v>
      </c>
      <c r="F356" s="1" t="s">
        <v>70</v>
      </c>
      <c r="G356" s="11">
        <v>45854</v>
      </c>
      <c r="H356" s="25">
        <v>1400000290</v>
      </c>
      <c r="I356" s="1" t="s">
        <v>10</v>
      </c>
      <c r="J356" s="11">
        <v>45854</v>
      </c>
      <c r="K356" s="11">
        <v>45855</v>
      </c>
      <c r="L356" s="1" t="s">
        <v>71</v>
      </c>
      <c r="M356" s="35" t="s">
        <v>449</v>
      </c>
      <c r="N356" s="1" t="s">
        <v>72</v>
      </c>
      <c r="O356" s="1" t="s">
        <v>73</v>
      </c>
      <c r="P356" s="1" t="s">
        <v>74</v>
      </c>
      <c r="Q356" s="1" t="s">
        <v>268</v>
      </c>
      <c r="R356" s="1" t="s">
        <v>76</v>
      </c>
      <c r="S356" s="12">
        <v>-525</v>
      </c>
      <c r="T356" s="1" t="s">
        <v>77</v>
      </c>
      <c r="U356" s="12">
        <v>-45512.91</v>
      </c>
      <c r="V356" s="1" t="s">
        <v>74</v>
      </c>
      <c r="W356" s="1" t="s">
        <v>79</v>
      </c>
      <c r="X356" s="1" t="s">
        <v>74</v>
      </c>
      <c r="Y356" s="1" t="s">
        <v>74</v>
      </c>
      <c r="Z356" s="1" t="s">
        <v>213</v>
      </c>
      <c r="AA356" s="1" t="s">
        <v>74</v>
      </c>
      <c r="AB356" s="1" t="s">
        <v>74</v>
      </c>
      <c r="AC356" s="1" t="s">
        <v>74</v>
      </c>
      <c r="AD356" s="1" t="s">
        <v>74</v>
      </c>
      <c r="AE356" s="11">
        <v>45854</v>
      </c>
      <c r="AF356" s="11">
        <v>45854</v>
      </c>
      <c r="AG356" s="1" t="s">
        <v>98</v>
      </c>
      <c r="AJ356" t="e" cm="1">
        <f t="array" ref="AJ356">_xlfn.XLOOKUP(M356,'Customer Data Vlookup'!$L:$L,'Customer Data Vlookup'!$M:$N,,0)</f>
        <v>#N/A</v>
      </c>
    </row>
    <row r="357" spans="1:39" hidden="1" x14ac:dyDescent="0.35">
      <c r="A357" s="1" t="s">
        <v>66</v>
      </c>
      <c r="B357" s="1" t="s">
        <v>67</v>
      </c>
      <c r="C357" s="1" t="s">
        <v>68</v>
      </c>
      <c r="D357" s="1" t="s">
        <v>69</v>
      </c>
      <c r="E357" s="1" t="s">
        <v>17</v>
      </c>
      <c r="F357" s="1" t="s">
        <v>166</v>
      </c>
      <c r="G357" s="11">
        <v>45735</v>
      </c>
      <c r="H357" s="25">
        <v>1800003221</v>
      </c>
      <c r="I357" s="1" t="s">
        <v>9</v>
      </c>
      <c r="J357" s="11">
        <v>45735</v>
      </c>
      <c r="K357" s="11">
        <v>45736</v>
      </c>
      <c r="L357" s="1" t="s">
        <v>71</v>
      </c>
      <c r="M357" s="35">
        <v>246779413088</v>
      </c>
      <c r="N357" s="1" t="s">
        <v>72</v>
      </c>
      <c r="O357" s="1" t="s">
        <v>73</v>
      </c>
      <c r="P357" s="1" t="s">
        <v>74</v>
      </c>
      <c r="Q357" s="1" t="s">
        <v>83</v>
      </c>
      <c r="R357" s="1" t="s">
        <v>76</v>
      </c>
      <c r="S357" s="12">
        <v>500.63</v>
      </c>
      <c r="T357" s="1" t="s">
        <v>77</v>
      </c>
      <c r="U357" s="12">
        <v>43400.25</v>
      </c>
      <c r="V357" s="1" t="s">
        <v>218</v>
      </c>
      <c r="W357" s="1" t="s">
        <v>79</v>
      </c>
      <c r="X357" s="1" t="s">
        <v>74</v>
      </c>
      <c r="Y357" s="1" t="s">
        <v>71</v>
      </c>
      <c r="Z357" s="1" t="s">
        <v>80</v>
      </c>
      <c r="AA357" s="1" t="s">
        <v>450</v>
      </c>
      <c r="AB357" s="1" t="s">
        <v>74</v>
      </c>
      <c r="AC357" s="1" t="s">
        <v>74</v>
      </c>
      <c r="AD357" s="1" t="s">
        <v>74</v>
      </c>
      <c r="AE357" s="11">
        <v>45735</v>
      </c>
      <c r="AF357" s="11">
        <v>45842</v>
      </c>
      <c r="AG357" s="1" t="s">
        <v>209</v>
      </c>
      <c r="AJ357" t="e" cm="1">
        <f t="array" ref="AJ357">_xlfn.XLOOKUP(M357,'Customer Data Vlookup'!$L:$L,'Customer Data Vlookup'!$M:$N,,0)</f>
        <v>#N/A</v>
      </c>
    </row>
    <row r="358" spans="1:39" hidden="1" x14ac:dyDescent="0.35">
      <c r="A358" s="1" t="s">
        <v>66</v>
      </c>
      <c r="B358" s="1" t="s">
        <v>67</v>
      </c>
      <c r="C358" s="1" t="s">
        <v>68</v>
      </c>
      <c r="D358" s="1" t="s">
        <v>69</v>
      </c>
      <c r="E358" s="1" t="s">
        <v>17</v>
      </c>
      <c r="F358" s="1" t="s">
        <v>75</v>
      </c>
      <c r="G358" s="11">
        <v>45976</v>
      </c>
      <c r="H358" s="25">
        <v>1400001901</v>
      </c>
      <c r="I358" s="1" t="s">
        <v>10</v>
      </c>
      <c r="J358" s="11">
        <v>45976</v>
      </c>
      <c r="K358" s="11">
        <v>45976</v>
      </c>
      <c r="L358" s="1" t="s">
        <v>71</v>
      </c>
      <c r="M358" s="35" t="s">
        <v>449</v>
      </c>
      <c r="N358" s="1" t="s">
        <v>72</v>
      </c>
      <c r="O358" s="1" t="s">
        <v>73</v>
      </c>
      <c r="P358" s="1" t="s">
        <v>74</v>
      </c>
      <c r="Q358" s="1" t="s">
        <v>431</v>
      </c>
      <c r="R358" s="1" t="s">
        <v>76</v>
      </c>
      <c r="S358" s="12">
        <v>3813.11</v>
      </c>
      <c r="T358" s="1" t="s">
        <v>77</v>
      </c>
      <c r="U358" s="12">
        <v>331442.46000000002</v>
      </c>
      <c r="V358" s="1" t="s">
        <v>74</v>
      </c>
      <c r="W358" s="1" t="s">
        <v>79</v>
      </c>
      <c r="X358" s="1" t="s">
        <v>74</v>
      </c>
      <c r="Y358" s="1" t="s">
        <v>74</v>
      </c>
      <c r="Z358" s="1" t="s">
        <v>80</v>
      </c>
      <c r="AA358" s="1" t="s">
        <v>74</v>
      </c>
      <c r="AB358" s="1" t="s">
        <v>74</v>
      </c>
      <c r="AC358" s="1" t="s">
        <v>74</v>
      </c>
      <c r="AD358" s="1" t="s">
        <v>74</v>
      </c>
      <c r="AE358" s="11">
        <v>45976</v>
      </c>
      <c r="AF358" s="11">
        <v>45976</v>
      </c>
      <c r="AG358" s="1" t="s">
        <v>101</v>
      </c>
      <c r="AJ358" t="e" cm="1">
        <f t="array" ref="AJ358">_xlfn.XLOOKUP(M358,'Customer Data Vlookup'!$L:$L,'Customer Data Vlookup'!$M:$N,,0)</f>
        <v>#N/A</v>
      </c>
    </row>
    <row r="359" spans="1:39" hidden="1" x14ac:dyDescent="0.35">
      <c r="A359" s="1" t="s">
        <v>66</v>
      </c>
      <c r="B359" s="1" t="s">
        <v>67</v>
      </c>
      <c r="C359" s="1" t="s">
        <v>68</v>
      </c>
      <c r="D359" s="1" t="s">
        <v>69</v>
      </c>
      <c r="E359" s="1" t="s">
        <v>17</v>
      </c>
      <c r="F359" s="1" t="s">
        <v>75</v>
      </c>
      <c r="G359" s="11">
        <v>45976</v>
      </c>
      <c r="H359" s="25">
        <v>1400001901</v>
      </c>
      <c r="I359" s="1" t="s">
        <v>10</v>
      </c>
      <c r="J359" s="11">
        <v>45976</v>
      </c>
      <c r="K359" s="11">
        <v>45976</v>
      </c>
      <c r="L359" s="1" t="s">
        <v>71</v>
      </c>
      <c r="M359" s="35" t="s">
        <v>449</v>
      </c>
      <c r="N359" s="1" t="s">
        <v>72</v>
      </c>
      <c r="O359" s="1" t="s">
        <v>73</v>
      </c>
      <c r="P359" s="1" t="s">
        <v>74</v>
      </c>
      <c r="Q359" s="1" t="s">
        <v>268</v>
      </c>
      <c r="R359" s="1" t="s">
        <v>76</v>
      </c>
      <c r="S359" s="12">
        <v>-3813.11</v>
      </c>
      <c r="T359" s="1" t="s">
        <v>77</v>
      </c>
      <c r="U359" s="12">
        <v>-331442.46000000002</v>
      </c>
      <c r="V359" s="1" t="s">
        <v>74</v>
      </c>
      <c r="W359" s="1" t="s">
        <v>79</v>
      </c>
      <c r="X359" s="1" t="s">
        <v>74</v>
      </c>
      <c r="Y359" s="1" t="s">
        <v>74</v>
      </c>
      <c r="Z359" s="1" t="s">
        <v>213</v>
      </c>
      <c r="AA359" s="1" t="s">
        <v>74</v>
      </c>
      <c r="AB359" s="1" t="s">
        <v>74</v>
      </c>
      <c r="AC359" s="1" t="s">
        <v>74</v>
      </c>
      <c r="AD359" s="1" t="s">
        <v>74</v>
      </c>
      <c r="AE359" s="11">
        <v>45976</v>
      </c>
      <c r="AF359" s="11">
        <v>45976</v>
      </c>
      <c r="AG359" s="1" t="s">
        <v>101</v>
      </c>
      <c r="AJ359" t="e" cm="1">
        <f t="array" ref="AJ359">_xlfn.XLOOKUP(M359,'Customer Data Vlookup'!$L:$L,'Customer Data Vlookup'!$M:$N,,0)</f>
        <v>#N/A</v>
      </c>
    </row>
    <row r="360" spans="1:39" hidden="1" x14ac:dyDescent="0.35">
      <c r="A360" s="1" t="s">
        <v>66</v>
      </c>
      <c r="B360" s="1" t="s">
        <v>67</v>
      </c>
      <c r="C360" s="1" t="s">
        <v>68</v>
      </c>
      <c r="D360" s="1" t="s">
        <v>69</v>
      </c>
      <c r="E360" s="1" t="s">
        <v>17</v>
      </c>
      <c r="F360" s="1" t="s">
        <v>75</v>
      </c>
      <c r="G360" s="11">
        <v>45976</v>
      </c>
      <c r="H360" s="25">
        <v>1400001902</v>
      </c>
      <c r="I360" s="1" t="s">
        <v>10</v>
      </c>
      <c r="J360" s="11">
        <v>45976</v>
      </c>
      <c r="K360" s="11">
        <v>45976</v>
      </c>
      <c r="L360" s="1" t="s">
        <v>71</v>
      </c>
      <c r="M360" s="35" t="s">
        <v>449</v>
      </c>
      <c r="N360" s="1" t="s">
        <v>72</v>
      </c>
      <c r="O360" s="1" t="s">
        <v>73</v>
      </c>
      <c r="P360" s="1" t="s">
        <v>74</v>
      </c>
      <c r="Q360" s="1" t="s">
        <v>431</v>
      </c>
      <c r="R360" s="1" t="s">
        <v>76</v>
      </c>
      <c r="S360" s="12">
        <v>1117.6600000000001</v>
      </c>
      <c r="T360" s="1" t="s">
        <v>77</v>
      </c>
      <c r="U360" s="12">
        <v>96798.99</v>
      </c>
      <c r="V360" s="1" t="s">
        <v>74</v>
      </c>
      <c r="W360" s="1" t="s">
        <v>79</v>
      </c>
      <c r="X360" s="1" t="s">
        <v>74</v>
      </c>
      <c r="Y360" s="1" t="s">
        <v>74</v>
      </c>
      <c r="Z360" s="1" t="s">
        <v>70</v>
      </c>
      <c r="AA360" s="1" t="s">
        <v>74</v>
      </c>
      <c r="AB360" s="1" t="s">
        <v>74</v>
      </c>
      <c r="AC360" s="1" t="s">
        <v>74</v>
      </c>
      <c r="AD360" s="1" t="s">
        <v>74</v>
      </c>
      <c r="AE360" s="11">
        <v>45976</v>
      </c>
      <c r="AF360" s="11">
        <v>45976</v>
      </c>
      <c r="AG360" s="1" t="s">
        <v>118</v>
      </c>
      <c r="AJ360" t="e" cm="1">
        <f t="array" ref="AJ360">_xlfn.XLOOKUP(M360,'Customer Data Vlookup'!$L:$L,'Customer Data Vlookup'!$M:$N,,0)</f>
        <v>#N/A</v>
      </c>
    </row>
    <row r="361" spans="1:39" hidden="1" x14ac:dyDescent="0.35">
      <c r="A361" s="1" t="s">
        <v>124</v>
      </c>
      <c r="B361" s="1" t="s">
        <v>67</v>
      </c>
      <c r="C361" s="1" t="s">
        <v>68</v>
      </c>
      <c r="D361" s="1" t="s">
        <v>69</v>
      </c>
      <c r="E361" s="1" t="s">
        <v>17</v>
      </c>
      <c r="F361" s="1" t="s">
        <v>75</v>
      </c>
      <c r="G361" s="11">
        <v>45976</v>
      </c>
      <c r="H361" s="25">
        <v>1400001902</v>
      </c>
      <c r="I361" s="1" t="s">
        <v>10</v>
      </c>
      <c r="J361" s="11">
        <v>45976</v>
      </c>
      <c r="K361" s="11">
        <v>45976</v>
      </c>
      <c r="L361" s="1" t="s">
        <v>71</v>
      </c>
      <c r="M361" s="35" t="s">
        <v>449</v>
      </c>
      <c r="N361" s="1" t="s">
        <v>72</v>
      </c>
      <c r="O361" s="1" t="s">
        <v>73</v>
      </c>
      <c r="P361" s="1" t="s">
        <v>74</v>
      </c>
      <c r="Q361" s="1" t="s">
        <v>268</v>
      </c>
      <c r="R361" s="1" t="s">
        <v>76</v>
      </c>
      <c r="S361" s="12">
        <v>-182.83</v>
      </c>
      <c r="T361" s="1" t="s">
        <v>77</v>
      </c>
      <c r="U361" s="12">
        <v>-16089.66</v>
      </c>
      <c r="V361" s="1" t="s">
        <v>74</v>
      </c>
      <c r="W361" s="1" t="s">
        <v>79</v>
      </c>
      <c r="X361" s="1" t="s">
        <v>74</v>
      </c>
      <c r="Y361" s="1" t="s">
        <v>71</v>
      </c>
      <c r="Z361" s="1" t="s">
        <v>80</v>
      </c>
      <c r="AA361" s="1" t="s">
        <v>74</v>
      </c>
      <c r="AB361" s="1" t="s">
        <v>74</v>
      </c>
      <c r="AC361" s="1" t="s">
        <v>74</v>
      </c>
      <c r="AD361" s="1" t="s">
        <v>74</v>
      </c>
      <c r="AE361" s="11">
        <v>45976</v>
      </c>
      <c r="AF361" s="11"/>
      <c r="AG361" s="1" t="s">
        <v>74</v>
      </c>
      <c r="AJ361" t="e" cm="1">
        <f t="array" ref="AJ361">_xlfn.XLOOKUP(M361,'Customer Data Vlookup'!$L:$L,'Customer Data Vlookup'!$M:$N,,0)</f>
        <v>#N/A</v>
      </c>
    </row>
    <row r="362" spans="1:39" hidden="1" x14ac:dyDescent="0.35">
      <c r="A362" s="1" t="s">
        <v>124</v>
      </c>
      <c r="B362" s="1" t="s">
        <v>67</v>
      </c>
      <c r="C362" s="1" t="s">
        <v>68</v>
      </c>
      <c r="D362" s="1" t="s">
        <v>69</v>
      </c>
      <c r="E362" s="1" t="s">
        <v>17</v>
      </c>
      <c r="F362" s="1" t="s">
        <v>75</v>
      </c>
      <c r="G362" s="11">
        <v>45976</v>
      </c>
      <c r="H362" s="25">
        <v>1400001902</v>
      </c>
      <c r="I362" s="1" t="s">
        <v>10</v>
      </c>
      <c r="J362" s="11">
        <v>45976</v>
      </c>
      <c r="K362" s="11">
        <v>45976</v>
      </c>
      <c r="L362" s="1" t="s">
        <v>71</v>
      </c>
      <c r="M362" s="35" t="s">
        <v>449</v>
      </c>
      <c r="N362" s="1" t="s">
        <v>72</v>
      </c>
      <c r="O362" s="1" t="s">
        <v>73</v>
      </c>
      <c r="P362" s="1" t="s">
        <v>74</v>
      </c>
      <c r="Q362" s="1" t="s">
        <v>268</v>
      </c>
      <c r="R362" s="1" t="s">
        <v>76</v>
      </c>
      <c r="S362" s="12">
        <v>-55.46</v>
      </c>
      <c r="T362" s="1" t="s">
        <v>77</v>
      </c>
      <c r="U362" s="12">
        <v>-4880.67</v>
      </c>
      <c r="V362" s="1" t="s">
        <v>74</v>
      </c>
      <c r="W362" s="1" t="s">
        <v>79</v>
      </c>
      <c r="X362" s="1" t="s">
        <v>74</v>
      </c>
      <c r="Y362" s="1" t="s">
        <v>71</v>
      </c>
      <c r="Z362" s="1" t="s">
        <v>213</v>
      </c>
      <c r="AA362" s="1" t="s">
        <v>74</v>
      </c>
      <c r="AB362" s="1" t="s">
        <v>74</v>
      </c>
      <c r="AC362" s="1" t="s">
        <v>74</v>
      </c>
      <c r="AD362" s="1" t="s">
        <v>74</v>
      </c>
      <c r="AE362" s="11">
        <v>45976</v>
      </c>
      <c r="AF362" s="11"/>
      <c r="AG362" s="1" t="s">
        <v>74</v>
      </c>
      <c r="AJ362" t="e" cm="1">
        <f t="array" ref="AJ362">_xlfn.XLOOKUP(M362,'Customer Data Vlookup'!$L:$L,'Customer Data Vlookup'!$M:$N,,0)</f>
        <v>#N/A</v>
      </c>
    </row>
    <row r="363" spans="1:39" hidden="1" x14ac:dyDescent="0.35">
      <c r="A363" s="1" t="s">
        <v>124</v>
      </c>
      <c r="B363" s="1" t="s">
        <v>67</v>
      </c>
      <c r="C363" s="1" t="s">
        <v>68</v>
      </c>
      <c r="D363" s="1" t="s">
        <v>69</v>
      </c>
      <c r="E363" s="1" t="s">
        <v>17</v>
      </c>
      <c r="F363" s="1" t="s">
        <v>75</v>
      </c>
      <c r="G363" s="11">
        <v>45976</v>
      </c>
      <c r="H363" s="25">
        <v>1400001902</v>
      </c>
      <c r="I363" s="1" t="s">
        <v>10</v>
      </c>
      <c r="J363" s="11">
        <v>45976</v>
      </c>
      <c r="K363" s="11">
        <v>45976</v>
      </c>
      <c r="L363" s="1" t="s">
        <v>71</v>
      </c>
      <c r="M363" s="35" t="s">
        <v>449</v>
      </c>
      <c r="N363" s="1" t="s">
        <v>72</v>
      </c>
      <c r="O363" s="1" t="s">
        <v>73</v>
      </c>
      <c r="P363" s="1" t="s">
        <v>74</v>
      </c>
      <c r="Q363" s="1" t="s">
        <v>268</v>
      </c>
      <c r="R363" s="1" t="s">
        <v>76</v>
      </c>
      <c r="S363" s="12">
        <v>-420</v>
      </c>
      <c r="T363" s="1" t="s">
        <v>77</v>
      </c>
      <c r="U363" s="12">
        <v>-36961.42</v>
      </c>
      <c r="V363" s="1" t="s">
        <v>74</v>
      </c>
      <c r="W363" s="1" t="s">
        <v>79</v>
      </c>
      <c r="X363" s="1" t="s">
        <v>74</v>
      </c>
      <c r="Y363" s="1" t="s">
        <v>71</v>
      </c>
      <c r="Z363" s="1" t="s">
        <v>166</v>
      </c>
      <c r="AA363" s="1" t="s">
        <v>74</v>
      </c>
      <c r="AB363" s="1" t="s">
        <v>74</v>
      </c>
      <c r="AC363" s="1" t="s">
        <v>74</v>
      </c>
      <c r="AD363" s="1" t="s">
        <v>74</v>
      </c>
      <c r="AE363" s="11">
        <v>45976</v>
      </c>
      <c r="AF363" s="11"/>
      <c r="AG363" s="1" t="s">
        <v>74</v>
      </c>
      <c r="AJ363" t="e" cm="1">
        <f t="array" ref="AJ363">_xlfn.XLOOKUP(M363,'Customer Data Vlookup'!$L:$L,'Customer Data Vlookup'!$M:$N,,0)</f>
        <v>#N/A</v>
      </c>
    </row>
    <row r="364" spans="1:39" hidden="1" x14ac:dyDescent="0.35">
      <c r="A364" s="1" t="s">
        <v>124</v>
      </c>
      <c r="B364" s="1" t="s">
        <v>67</v>
      </c>
      <c r="C364" s="1" t="s">
        <v>68</v>
      </c>
      <c r="D364" s="1" t="s">
        <v>69</v>
      </c>
      <c r="E364" s="1" t="s">
        <v>17</v>
      </c>
      <c r="F364" s="1" t="s">
        <v>75</v>
      </c>
      <c r="G364" s="11">
        <v>45976</v>
      </c>
      <c r="H364" s="25">
        <v>1400001902</v>
      </c>
      <c r="I364" s="1" t="s">
        <v>10</v>
      </c>
      <c r="J364" s="11">
        <v>45976</v>
      </c>
      <c r="K364" s="11">
        <v>45976</v>
      </c>
      <c r="L364" s="1" t="s">
        <v>71</v>
      </c>
      <c r="M364" s="35" t="s">
        <v>449</v>
      </c>
      <c r="N364" s="1" t="s">
        <v>72</v>
      </c>
      <c r="O364" s="1" t="s">
        <v>73</v>
      </c>
      <c r="P364" s="1" t="s">
        <v>74</v>
      </c>
      <c r="Q364" s="1" t="s">
        <v>268</v>
      </c>
      <c r="R364" s="1" t="s">
        <v>76</v>
      </c>
      <c r="S364" s="12">
        <v>-177.66</v>
      </c>
      <c r="T364" s="1" t="s">
        <v>77</v>
      </c>
      <c r="U364" s="12">
        <v>-15634.68</v>
      </c>
      <c r="V364" s="1" t="s">
        <v>74</v>
      </c>
      <c r="W364" s="1" t="s">
        <v>79</v>
      </c>
      <c r="X364" s="1" t="s">
        <v>74</v>
      </c>
      <c r="Y364" s="1" t="s">
        <v>71</v>
      </c>
      <c r="Z364" s="1" t="s">
        <v>129</v>
      </c>
      <c r="AA364" s="1" t="s">
        <v>74</v>
      </c>
      <c r="AB364" s="1" t="s">
        <v>74</v>
      </c>
      <c r="AC364" s="1" t="s">
        <v>74</v>
      </c>
      <c r="AD364" s="1" t="s">
        <v>74</v>
      </c>
      <c r="AE364" s="11">
        <v>45976</v>
      </c>
      <c r="AF364" s="11"/>
      <c r="AG364" s="1" t="s">
        <v>74</v>
      </c>
      <c r="AJ364" t="e" cm="1">
        <f t="array" ref="AJ364">_xlfn.XLOOKUP(M364,'Customer Data Vlookup'!$L:$L,'Customer Data Vlookup'!$M:$N,,0)</f>
        <v>#N/A</v>
      </c>
    </row>
    <row r="365" spans="1:39" hidden="1" x14ac:dyDescent="0.35">
      <c r="A365" s="1" t="s">
        <v>124</v>
      </c>
      <c r="B365" s="1" t="s">
        <v>67</v>
      </c>
      <c r="C365" s="1" t="s">
        <v>68</v>
      </c>
      <c r="D365" s="1" t="s">
        <v>69</v>
      </c>
      <c r="E365" s="1" t="s">
        <v>17</v>
      </c>
      <c r="F365" s="1" t="s">
        <v>75</v>
      </c>
      <c r="G365" s="11">
        <v>45976</v>
      </c>
      <c r="H365" s="25">
        <v>1400001902</v>
      </c>
      <c r="I365" s="1" t="s">
        <v>10</v>
      </c>
      <c r="J365" s="11">
        <v>45976</v>
      </c>
      <c r="K365" s="11">
        <v>45976</v>
      </c>
      <c r="L365" s="1" t="s">
        <v>71</v>
      </c>
      <c r="M365" s="35" t="s">
        <v>449</v>
      </c>
      <c r="N365" s="1" t="s">
        <v>72</v>
      </c>
      <c r="O365" s="1" t="s">
        <v>73</v>
      </c>
      <c r="P365" s="1" t="s">
        <v>74</v>
      </c>
      <c r="Q365" s="1" t="s">
        <v>268</v>
      </c>
      <c r="R365" s="1" t="s">
        <v>76</v>
      </c>
      <c r="S365" s="12">
        <v>-143.81</v>
      </c>
      <c r="T365" s="1" t="s">
        <v>77</v>
      </c>
      <c r="U365" s="12">
        <v>-12655.77</v>
      </c>
      <c r="V365" s="1" t="s">
        <v>74</v>
      </c>
      <c r="W365" s="1" t="s">
        <v>79</v>
      </c>
      <c r="X365" s="1" t="s">
        <v>74</v>
      </c>
      <c r="Y365" s="1" t="s">
        <v>71</v>
      </c>
      <c r="Z365" s="1" t="s">
        <v>125</v>
      </c>
      <c r="AA365" s="1" t="s">
        <v>74</v>
      </c>
      <c r="AB365" s="1" t="s">
        <v>74</v>
      </c>
      <c r="AC365" s="1" t="s">
        <v>74</v>
      </c>
      <c r="AD365" s="1" t="s">
        <v>74</v>
      </c>
      <c r="AE365" s="11">
        <v>45976</v>
      </c>
      <c r="AF365" s="11"/>
      <c r="AG365" s="1" t="s">
        <v>74</v>
      </c>
      <c r="AJ365" t="e" cm="1">
        <f t="array" ref="AJ365">_xlfn.XLOOKUP(M365,'Customer Data Vlookup'!$L:$L,'Customer Data Vlookup'!$M:$N,,0)</f>
        <v>#N/A</v>
      </c>
    </row>
    <row r="366" spans="1:39" hidden="1" x14ac:dyDescent="0.35">
      <c r="A366" s="1" t="s">
        <v>124</v>
      </c>
      <c r="B366" s="1" t="s">
        <v>67</v>
      </c>
      <c r="C366" s="1" t="s">
        <v>68</v>
      </c>
      <c r="D366" s="1" t="s">
        <v>69</v>
      </c>
      <c r="E366" s="1" t="s">
        <v>17</v>
      </c>
      <c r="F366" s="1" t="s">
        <v>75</v>
      </c>
      <c r="G366" s="11">
        <v>45976</v>
      </c>
      <c r="H366" s="25">
        <v>1400001902</v>
      </c>
      <c r="I366" s="1" t="s">
        <v>10</v>
      </c>
      <c r="J366" s="11">
        <v>45976</v>
      </c>
      <c r="K366" s="11">
        <v>45976</v>
      </c>
      <c r="L366" s="1" t="s">
        <v>71</v>
      </c>
      <c r="M366" s="35" t="s">
        <v>449</v>
      </c>
      <c r="N366" s="1" t="s">
        <v>72</v>
      </c>
      <c r="O366" s="1" t="s">
        <v>73</v>
      </c>
      <c r="P366" s="1" t="s">
        <v>74</v>
      </c>
      <c r="Q366" s="1" t="s">
        <v>268</v>
      </c>
      <c r="R366" s="1" t="s">
        <v>76</v>
      </c>
      <c r="S366" s="12">
        <v>-137.9</v>
      </c>
      <c r="T366" s="1" t="s">
        <v>77</v>
      </c>
      <c r="U366" s="12">
        <v>-12135.67</v>
      </c>
      <c r="V366" s="1" t="s">
        <v>74</v>
      </c>
      <c r="W366" s="1" t="s">
        <v>79</v>
      </c>
      <c r="X366" s="1" t="s">
        <v>74</v>
      </c>
      <c r="Y366" s="1" t="s">
        <v>71</v>
      </c>
      <c r="Z366" s="1" t="s">
        <v>162</v>
      </c>
      <c r="AA366" s="1" t="s">
        <v>74</v>
      </c>
      <c r="AB366" s="1" t="s">
        <v>74</v>
      </c>
      <c r="AC366" s="1" t="s">
        <v>74</v>
      </c>
      <c r="AD366" s="1" t="s">
        <v>74</v>
      </c>
      <c r="AE366" s="11">
        <v>45976</v>
      </c>
      <c r="AF366" s="11"/>
      <c r="AG366" s="1" t="s">
        <v>74</v>
      </c>
      <c r="AJ366" t="e" cm="1">
        <f t="array" ref="AJ366">_xlfn.XLOOKUP(M366,'Customer Data Vlookup'!$L:$L,'Customer Data Vlookup'!$M:$N,,0)</f>
        <v>#N/A</v>
      </c>
    </row>
    <row r="367" spans="1:39" x14ac:dyDescent="0.35">
      <c r="A367" s="1" t="s">
        <v>124</v>
      </c>
      <c r="B367" s="1" t="s">
        <v>67</v>
      </c>
      <c r="C367" s="1" t="s">
        <v>68</v>
      </c>
      <c r="D367" s="1" t="s">
        <v>69</v>
      </c>
      <c r="E367" s="1" t="s">
        <v>17</v>
      </c>
      <c r="F367" s="1" t="s">
        <v>166</v>
      </c>
      <c r="G367" s="11">
        <v>45719</v>
      </c>
      <c r="H367" s="25">
        <v>1800000672</v>
      </c>
      <c r="I367" s="1" t="s">
        <v>9</v>
      </c>
      <c r="J367" s="11">
        <v>45719</v>
      </c>
      <c r="K367" s="11">
        <v>45720</v>
      </c>
      <c r="L367" s="1" t="s">
        <v>71</v>
      </c>
      <c r="M367" s="35">
        <v>246779410612</v>
      </c>
      <c r="N367" s="1" t="s">
        <v>72</v>
      </c>
      <c r="O367" s="1" t="s">
        <v>73</v>
      </c>
      <c r="P367" s="1" t="s">
        <v>74</v>
      </c>
      <c r="Q367" s="1" t="s">
        <v>83</v>
      </c>
      <c r="R367" s="1" t="s">
        <v>76</v>
      </c>
      <c r="S367" s="12">
        <v>11.75</v>
      </c>
      <c r="T367" s="1" t="s">
        <v>77</v>
      </c>
      <c r="U367" s="12">
        <v>1018.62</v>
      </c>
      <c r="V367" s="1" t="s">
        <v>78</v>
      </c>
      <c r="W367" s="1" t="s">
        <v>79</v>
      </c>
      <c r="X367" s="1" t="s">
        <v>74</v>
      </c>
      <c r="Y367" s="1" t="s">
        <v>71</v>
      </c>
      <c r="Z367" s="1" t="s">
        <v>80</v>
      </c>
      <c r="AA367" s="1" t="s">
        <v>451</v>
      </c>
      <c r="AB367" s="1" t="s">
        <v>74</v>
      </c>
      <c r="AC367" s="1" t="s">
        <v>74</v>
      </c>
      <c r="AD367" s="1" t="s">
        <v>74</v>
      </c>
      <c r="AE367" s="11">
        <v>45719</v>
      </c>
      <c r="AF367" s="11"/>
      <c r="AG367" s="1" t="s">
        <v>74</v>
      </c>
      <c r="AJ367" cm="1">
        <f t="array" ref="AJ367:AK367">_xlfn.XLOOKUP(M367,'Customer Data Vlookup'!$L:$L,'Customer Data Vlookup'!$M:$N,,0)</f>
        <v>0</v>
      </c>
      <c r="AK367" s="47">
        <v>1004</v>
      </c>
      <c r="AL367" s="47">
        <f t="shared" ref="AL367:AL430" si="46">AK367-AJ367</f>
        <v>1004</v>
      </c>
      <c r="AM367" s="58">
        <f t="shared" ref="AM367:AM430" si="47">U367-AL367</f>
        <v>14.620000000000005</v>
      </c>
    </row>
    <row r="368" spans="1:39" x14ac:dyDescent="0.35">
      <c r="A368" s="1" t="s">
        <v>124</v>
      </c>
      <c r="B368" s="1" t="s">
        <v>67</v>
      </c>
      <c r="C368" s="1" t="s">
        <v>68</v>
      </c>
      <c r="D368" s="1" t="s">
        <v>69</v>
      </c>
      <c r="E368" s="1" t="s">
        <v>17</v>
      </c>
      <c r="F368" s="1" t="s">
        <v>166</v>
      </c>
      <c r="G368" s="11">
        <v>45720</v>
      </c>
      <c r="H368" s="25">
        <v>1800000820</v>
      </c>
      <c r="I368" s="1" t="s">
        <v>9</v>
      </c>
      <c r="J368" s="11">
        <v>45720</v>
      </c>
      <c r="K368" s="11">
        <v>45721</v>
      </c>
      <c r="L368" s="1" t="s">
        <v>71</v>
      </c>
      <c r="M368" s="35">
        <v>246779410760</v>
      </c>
      <c r="N368" s="1" t="s">
        <v>72</v>
      </c>
      <c r="O368" s="1" t="s">
        <v>73</v>
      </c>
      <c r="P368" s="1" t="s">
        <v>74</v>
      </c>
      <c r="Q368" s="1" t="s">
        <v>83</v>
      </c>
      <c r="R368" s="1" t="s">
        <v>76</v>
      </c>
      <c r="S368" s="12">
        <v>11.75</v>
      </c>
      <c r="T368" s="1" t="s">
        <v>77</v>
      </c>
      <c r="U368" s="12">
        <v>1018.62</v>
      </c>
      <c r="V368" s="1" t="s">
        <v>78</v>
      </c>
      <c r="W368" s="1" t="s">
        <v>79</v>
      </c>
      <c r="X368" s="1" t="s">
        <v>74</v>
      </c>
      <c r="Y368" s="1" t="s">
        <v>71</v>
      </c>
      <c r="Z368" s="1" t="s">
        <v>80</v>
      </c>
      <c r="AA368" s="1" t="s">
        <v>452</v>
      </c>
      <c r="AB368" s="1" t="s">
        <v>74</v>
      </c>
      <c r="AC368" s="1" t="s">
        <v>74</v>
      </c>
      <c r="AD368" s="1" t="s">
        <v>74</v>
      </c>
      <c r="AE368" s="11">
        <v>45720</v>
      </c>
      <c r="AF368" s="11"/>
      <c r="AG368" s="1" t="s">
        <v>74</v>
      </c>
      <c r="AJ368" cm="1">
        <f t="array" ref="AJ368:AK368">_xlfn.XLOOKUP(M368,'Customer Data Vlookup'!$L:$L,'Customer Data Vlookup'!$M:$N,,0)</f>
        <v>0</v>
      </c>
      <c r="AK368" s="47">
        <v>1006</v>
      </c>
      <c r="AL368" s="47">
        <f t="shared" si="46"/>
        <v>1006</v>
      </c>
      <c r="AM368" s="58">
        <f t="shared" si="47"/>
        <v>12.620000000000005</v>
      </c>
    </row>
    <row r="369" spans="1:39" x14ac:dyDescent="0.35">
      <c r="A369" s="1" t="s">
        <v>124</v>
      </c>
      <c r="B369" s="1" t="s">
        <v>67</v>
      </c>
      <c r="C369" s="1" t="s">
        <v>68</v>
      </c>
      <c r="D369" s="1" t="s">
        <v>69</v>
      </c>
      <c r="E369" s="1" t="s">
        <v>17</v>
      </c>
      <c r="F369" s="1" t="s">
        <v>166</v>
      </c>
      <c r="G369" s="11">
        <v>45736</v>
      </c>
      <c r="H369" s="25">
        <v>1800003904</v>
      </c>
      <c r="I369" s="1" t="s">
        <v>9</v>
      </c>
      <c r="J369" s="11">
        <v>45736</v>
      </c>
      <c r="K369" s="11">
        <v>45736</v>
      </c>
      <c r="L369" s="1" t="s">
        <v>71</v>
      </c>
      <c r="M369" s="35">
        <v>246779413772</v>
      </c>
      <c r="N369" s="1" t="s">
        <v>72</v>
      </c>
      <c r="O369" s="1" t="s">
        <v>73</v>
      </c>
      <c r="P369" s="1" t="s">
        <v>74</v>
      </c>
      <c r="Q369" s="1" t="s">
        <v>83</v>
      </c>
      <c r="R369" s="1" t="s">
        <v>76</v>
      </c>
      <c r="S369" s="12">
        <v>11.75</v>
      </c>
      <c r="T369" s="1" t="s">
        <v>77</v>
      </c>
      <c r="U369" s="12">
        <v>1018.62</v>
      </c>
      <c r="V369" s="1" t="s">
        <v>78</v>
      </c>
      <c r="W369" s="1" t="s">
        <v>79</v>
      </c>
      <c r="X369" s="1" t="s">
        <v>74</v>
      </c>
      <c r="Y369" s="1" t="s">
        <v>71</v>
      </c>
      <c r="Z369" s="1" t="s">
        <v>80</v>
      </c>
      <c r="AA369" s="1" t="s">
        <v>134</v>
      </c>
      <c r="AB369" s="1" t="s">
        <v>74</v>
      </c>
      <c r="AC369" s="1" t="s">
        <v>74</v>
      </c>
      <c r="AD369" s="1" t="s">
        <v>74</v>
      </c>
      <c r="AE369" s="11">
        <v>45736</v>
      </c>
      <c r="AF369" s="11"/>
      <c r="AG369" s="1" t="s">
        <v>74</v>
      </c>
      <c r="AJ369" cm="1">
        <f t="array" ref="AJ369:AK369">_xlfn.XLOOKUP(M369,'Customer Data Vlookup'!$L:$L,'Customer Data Vlookup'!$M:$N,,0)</f>
        <v>0</v>
      </c>
      <c r="AK369" s="47">
        <v>994</v>
      </c>
      <c r="AL369" s="47">
        <f t="shared" si="46"/>
        <v>994</v>
      </c>
      <c r="AM369" s="58">
        <f t="shared" si="47"/>
        <v>24.620000000000005</v>
      </c>
    </row>
    <row r="370" spans="1:39" x14ac:dyDescent="0.35">
      <c r="A370" s="1" t="s">
        <v>124</v>
      </c>
      <c r="B370" s="1" t="s">
        <v>67</v>
      </c>
      <c r="C370" s="1" t="s">
        <v>68</v>
      </c>
      <c r="D370" s="1" t="s">
        <v>69</v>
      </c>
      <c r="E370" s="1" t="s">
        <v>17</v>
      </c>
      <c r="F370" s="1" t="s">
        <v>125</v>
      </c>
      <c r="G370" s="11">
        <v>45798</v>
      </c>
      <c r="H370" s="25">
        <v>1800008663</v>
      </c>
      <c r="I370" s="1" t="s">
        <v>9</v>
      </c>
      <c r="J370" s="11">
        <v>45798</v>
      </c>
      <c r="K370" s="11">
        <v>45800</v>
      </c>
      <c r="L370" s="1" t="s">
        <v>71</v>
      </c>
      <c r="M370" s="35">
        <v>256779413427</v>
      </c>
      <c r="N370" s="1" t="s">
        <v>72</v>
      </c>
      <c r="O370" s="1" t="s">
        <v>73</v>
      </c>
      <c r="P370" s="1" t="s">
        <v>74</v>
      </c>
      <c r="Q370" s="1" t="s">
        <v>83</v>
      </c>
      <c r="R370" s="1" t="s">
        <v>76</v>
      </c>
      <c r="S370" s="12">
        <v>11.75</v>
      </c>
      <c r="T370" s="1" t="s">
        <v>77</v>
      </c>
      <c r="U370" s="12">
        <v>1010.31</v>
      </c>
      <c r="V370" s="1" t="s">
        <v>78</v>
      </c>
      <c r="W370" s="1" t="s">
        <v>79</v>
      </c>
      <c r="X370" s="1" t="s">
        <v>74</v>
      </c>
      <c r="Y370" s="1" t="s">
        <v>71</v>
      </c>
      <c r="Z370" s="1" t="s">
        <v>80</v>
      </c>
      <c r="AA370" s="1" t="s">
        <v>453</v>
      </c>
      <c r="AB370" s="1" t="s">
        <v>74</v>
      </c>
      <c r="AC370" s="1" t="s">
        <v>74</v>
      </c>
      <c r="AD370" s="1" t="s">
        <v>74</v>
      </c>
      <c r="AE370" s="11">
        <v>45798</v>
      </c>
      <c r="AF370" s="11"/>
      <c r="AG370" s="1" t="s">
        <v>74</v>
      </c>
      <c r="AJ370" cm="1">
        <f t="array" ref="AJ370:AK370">_xlfn.XLOOKUP(M370,'Customer Data Vlookup'!$L:$L,'Customer Data Vlookup'!$M:$N,,0)</f>
        <v>0</v>
      </c>
      <c r="AK370" s="47">
        <v>990</v>
      </c>
      <c r="AL370" s="47">
        <f t="shared" si="46"/>
        <v>990</v>
      </c>
      <c r="AM370" s="58">
        <f t="shared" si="47"/>
        <v>20.309999999999945</v>
      </c>
    </row>
    <row r="371" spans="1:39" x14ac:dyDescent="0.35">
      <c r="A371" s="1" t="s">
        <v>124</v>
      </c>
      <c r="B371" s="1" t="s">
        <v>67</v>
      </c>
      <c r="C371" s="1" t="s">
        <v>68</v>
      </c>
      <c r="D371" s="1" t="s">
        <v>69</v>
      </c>
      <c r="E371" s="1" t="s">
        <v>17</v>
      </c>
      <c r="F371" s="1" t="s">
        <v>125</v>
      </c>
      <c r="G371" s="11">
        <v>45798</v>
      </c>
      <c r="H371" s="25">
        <v>1800008664</v>
      </c>
      <c r="I371" s="1" t="s">
        <v>9</v>
      </c>
      <c r="J371" s="11">
        <v>45798</v>
      </c>
      <c r="K371" s="11">
        <v>45800</v>
      </c>
      <c r="L371" s="1" t="s">
        <v>71</v>
      </c>
      <c r="M371" s="35">
        <v>256779413428</v>
      </c>
      <c r="N371" s="1" t="s">
        <v>72</v>
      </c>
      <c r="O371" s="1" t="s">
        <v>73</v>
      </c>
      <c r="P371" s="1" t="s">
        <v>74</v>
      </c>
      <c r="Q371" s="1" t="s">
        <v>83</v>
      </c>
      <c r="R371" s="1" t="s">
        <v>76</v>
      </c>
      <c r="S371" s="12">
        <v>11.75</v>
      </c>
      <c r="T371" s="1" t="s">
        <v>77</v>
      </c>
      <c r="U371" s="12">
        <v>1010.31</v>
      </c>
      <c r="V371" s="1" t="s">
        <v>78</v>
      </c>
      <c r="W371" s="1" t="s">
        <v>79</v>
      </c>
      <c r="X371" s="1" t="s">
        <v>74</v>
      </c>
      <c r="Y371" s="1" t="s">
        <v>71</v>
      </c>
      <c r="Z371" s="1" t="s">
        <v>80</v>
      </c>
      <c r="AA371" s="1" t="s">
        <v>454</v>
      </c>
      <c r="AB371" s="1" t="s">
        <v>74</v>
      </c>
      <c r="AC371" s="1" t="s">
        <v>74</v>
      </c>
      <c r="AD371" s="1" t="s">
        <v>74</v>
      </c>
      <c r="AE371" s="11">
        <v>45798</v>
      </c>
      <c r="AF371" s="11"/>
      <c r="AG371" s="1" t="s">
        <v>74</v>
      </c>
      <c r="AJ371" cm="1">
        <f t="array" ref="AJ371:AK371">_xlfn.XLOOKUP(M371,'Customer Data Vlookup'!$L:$L,'Customer Data Vlookup'!$M:$N,,0)</f>
        <v>0</v>
      </c>
      <c r="AK371" s="47">
        <v>990</v>
      </c>
      <c r="AL371" s="47">
        <f t="shared" si="46"/>
        <v>990</v>
      </c>
      <c r="AM371" s="58">
        <f t="shared" si="47"/>
        <v>20.309999999999945</v>
      </c>
    </row>
    <row r="372" spans="1:39" x14ac:dyDescent="0.35">
      <c r="A372" s="1" t="s">
        <v>124</v>
      </c>
      <c r="B372" s="1" t="s">
        <v>67</v>
      </c>
      <c r="C372" s="1" t="s">
        <v>68</v>
      </c>
      <c r="D372" s="1" t="s">
        <v>69</v>
      </c>
      <c r="E372" s="1" t="s">
        <v>17</v>
      </c>
      <c r="F372" s="1" t="s">
        <v>192</v>
      </c>
      <c r="G372" s="11">
        <v>45918</v>
      </c>
      <c r="H372" s="25">
        <v>1800012858</v>
      </c>
      <c r="I372" s="1" t="s">
        <v>9</v>
      </c>
      <c r="J372" s="11">
        <v>45918</v>
      </c>
      <c r="K372" s="11">
        <v>45922</v>
      </c>
      <c r="L372" s="1" t="s">
        <v>71</v>
      </c>
      <c r="M372" s="35">
        <v>256779417594</v>
      </c>
      <c r="N372" s="1" t="s">
        <v>72</v>
      </c>
      <c r="O372" s="1" t="s">
        <v>73</v>
      </c>
      <c r="P372" s="1" t="s">
        <v>74</v>
      </c>
      <c r="Q372" s="1" t="s">
        <v>83</v>
      </c>
      <c r="R372" s="1" t="s">
        <v>76</v>
      </c>
      <c r="S372" s="12">
        <v>11.75</v>
      </c>
      <c r="T372" s="1" t="s">
        <v>77</v>
      </c>
      <c r="U372" s="12">
        <v>1028.29</v>
      </c>
      <c r="V372" s="1" t="s">
        <v>78</v>
      </c>
      <c r="W372" s="1" t="s">
        <v>79</v>
      </c>
      <c r="X372" s="1" t="s">
        <v>74</v>
      </c>
      <c r="Y372" s="1" t="s">
        <v>455</v>
      </c>
      <c r="Z372" s="1" t="s">
        <v>80</v>
      </c>
      <c r="AA372" s="1" t="s">
        <v>456</v>
      </c>
      <c r="AB372" s="1" t="s">
        <v>74</v>
      </c>
      <c r="AC372" s="1" t="s">
        <v>74</v>
      </c>
      <c r="AD372" s="1" t="s">
        <v>74</v>
      </c>
      <c r="AE372" s="11">
        <v>45918</v>
      </c>
      <c r="AF372" s="11"/>
      <c r="AG372" s="1" t="s">
        <v>74</v>
      </c>
      <c r="AJ372" cm="1">
        <f t="array" ref="AJ372:AK372">_xlfn.XLOOKUP(M372,'Customer Data Vlookup'!$L:$L,'Customer Data Vlookup'!$M:$N,,0)</f>
        <v>0</v>
      </c>
      <c r="AK372" s="47">
        <v>1028.2935</v>
      </c>
      <c r="AL372" s="47">
        <f t="shared" si="46"/>
        <v>1028.2935</v>
      </c>
      <c r="AM372" s="58">
        <f t="shared" si="47"/>
        <v>-3.5000000000309228E-3</v>
      </c>
    </row>
    <row r="373" spans="1:39" x14ac:dyDescent="0.35">
      <c r="A373" s="1" t="s">
        <v>124</v>
      </c>
      <c r="B373" s="1" t="s">
        <v>67</v>
      </c>
      <c r="C373" s="1" t="s">
        <v>68</v>
      </c>
      <c r="D373" s="1" t="s">
        <v>69</v>
      </c>
      <c r="E373" s="1" t="s">
        <v>17</v>
      </c>
      <c r="F373" s="1" t="s">
        <v>141</v>
      </c>
      <c r="G373" s="11">
        <v>45937</v>
      </c>
      <c r="H373" s="25">
        <v>1800013527</v>
      </c>
      <c r="I373" s="1" t="s">
        <v>9</v>
      </c>
      <c r="J373" s="11">
        <v>45937</v>
      </c>
      <c r="K373" s="11">
        <v>45940</v>
      </c>
      <c r="L373" s="1" t="s">
        <v>71</v>
      </c>
      <c r="M373" s="35">
        <v>256779418351</v>
      </c>
      <c r="N373" s="1" t="s">
        <v>72</v>
      </c>
      <c r="O373" s="1" t="s">
        <v>73</v>
      </c>
      <c r="P373" s="1" t="s">
        <v>74</v>
      </c>
      <c r="Q373" s="1" t="s">
        <v>83</v>
      </c>
      <c r="R373" s="1" t="s">
        <v>76</v>
      </c>
      <c r="S373" s="12">
        <v>11.75</v>
      </c>
      <c r="T373" s="1" t="s">
        <v>77</v>
      </c>
      <c r="U373" s="12">
        <v>1036.24</v>
      </c>
      <c r="V373" s="1" t="s">
        <v>78</v>
      </c>
      <c r="W373" s="1" t="s">
        <v>79</v>
      </c>
      <c r="X373" s="1" t="s">
        <v>74</v>
      </c>
      <c r="Y373" s="1" t="s">
        <v>457</v>
      </c>
      <c r="Z373" s="1" t="s">
        <v>80</v>
      </c>
      <c r="AA373" s="1" t="s">
        <v>458</v>
      </c>
      <c r="AB373" s="1" t="s">
        <v>74</v>
      </c>
      <c r="AC373" s="1" t="s">
        <v>74</v>
      </c>
      <c r="AD373" s="1" t="s">
        <v>74</v>
      </c>
      <c r="AE373" s="11">
        <v>45937</v>
      </c>
      <c r="AF373" s="11"/>
      <c r="AG373" s="1" t="s">
        <v>74</v>
      </c>
      <c r="AJ373" cm="1">
        <f t="array" ref="AJ373:AK373">_xlfn.XLOOKUP(M373,'Customer Data Vlookup'!$L:$L,'Customer Data Vlookup'!$M:$N,,0)</f>
        <v>0</v>
      </c>
      <c r="AK373" s="47">
        <v>1036.08</v>
      </c>
      <c r="AL373" s="47">
        <f t="shared" si="46"/>
        <v>1036.08</v>
      </c>
      <c r="AM373" s="58">
        <f t="shared" si="47"/>
        <v>0.16000000000008185</v>
      </c>
    </row>
    <row r="374" spans="1:39" x14ac:dyDescent="0.35">
      <c r="A374" s="1" t="s">
        <v>124</v>
      </c>
      <c r="B374" s="1" t="s">
        <v>67</v>
      </c>
      <c r="C374" s="1" t="s">
        <v>68</v>
      </c>
      <c r="D374" s="1" t="s">
        <v>69</v>
      </c>
      <c r="E374" s="1" t="s">
        <v>17</v>
      </c>
      <c r="F374" s="1" t="s">
        <v>166</v>
      </c>
      <c r="G374" s="11">
        <v>45720</v>
      </c>
      <c r="H374" s="25">
        <v>1800000738</v>
      </c>
      <c r="I374" s="1" t="s">
        <v>9</v>
      </c>
      <c r="J374" s="11">
        <v>45720</v>
      </c>
      <c r="K374" s="11">
        <v>45720</v>
      </c>
      <c r="L374" s="1" t="s">
        <v>71</v>
      </c>
      <c r="M374" s="35">
        <v>246779410678</v>
      </c>
      <c r="N374" s="1" t="s">
        <v>72</v>
      </c>
      <c r="O374" s="1" t="s">
        <v>73</v>
      </c>
      <c r="P374" s="1" t="s">
        <v>74</v>
      </c>
      <c r="Q374" s="1" t="s">
        <v>83</v>
      </c>
      <c r="R374" s="1" t="s">
        <v>76</v>
      </c>
      <c r="S374" s="12">
        <v>2.35</v>
      </c>
      <c r="T374" s="1" t="s">
        <v>77</v>
      </c>
      <c r="U374" s="12">
        <v>203.72</v>
      </c>
      <c r="V374" s="1" t="s">
        <v>78</v>
      </c>
      <c r="W374" s="1" t="s">
        <v>79</v>
      </c>
      <c r="X374" s="1" t="s">
        <v>74</v>
      </c>
      <c r="Y374" s="1" t="s">
        <v>71</v>
      </c>
      <c r="Z374" s="1" t="s">
        <v>80</v>
      </c>
      <c r="AA374" s="1" t="s">
        <v>459</v>
      </c>
      <c r="AB374" s="1" t="s">
        <v>74</v>
      </c>
      <c r="AC374" s="1" t="s">
        <v>74</v>
      </c>
      <c r="AD374" s="1" t="s">
        <v>74</v>
      </c>
      <c r="AE374" s="11">
        <v>45720</v>
      </c>
      <c r="AF374" s="11"/>
      <c r="AG374" s="1" t="s">
        <v>74</v>
      </c>
      <c r="AJ374" cm="1">
        <f t="array" ref="AJ374:AK374">_xlfn.XLOOKUP(M374,'Customer Data Vlookup'!$L:$L,'Customer Data Vlookup'!$M:$N,,0)</f>
        <v>0</v>
      </c>
      <c r="AK374" s="47">
        <v>201</v>
      </c>
      <c r="AL374" s="47">
        <f t="shared" si="46"/>
        <v>201</v>
      </c>
      <c r="AM374" s="58">
        <f t="shared" si="47"/>
        <v>2.7199999999999989</v>
      </c>
    </row>
    <row r="375" spans="1:39" x14ac:dyDescent="0.35">
      <c r="A375" s="1" t="s">
        <v>124</v>
      </c>
      <c r="B375" s="1" t="s">
        <v>67</v>
      </c>
      <c r="C375" s="1" t="s">
        <v>68</v>
      </c>
      <c r="D375" s="1" t="s">
        <v>69</v>
      </c>
      <c r="E375" s="1" t="s">
        <v>17</v>
      </c>
      <c r="F375" s="1" t="s">
        <v>166</v>
      </c>
      <c r="G375" s="11">
        <v>45720</v>
      </c>
      <c r="H375" s="25">
        <v>1800000739</v>
      </c>
      <c r="I375" s="1" t="s">
        <v>9</v>
      </c>
      <c r="J375" s="11">
        <v>45720</v>
      </c>
      <c r="K375" s="11">
        <v>45720</v>
      </c>
      <c r="L375" s="1" t="s">
        <v>71</v>
      </c>
      <c r="M375" s="35">
        <v>246779410679</v>
      </c>
      <c r="N375" s="1" t="s">
        <v>72</v>
      </c>
      <c r="O375" s="1" t="s">
        <v>73</v>
      </c>
      <c r="P375" s="1" t="s">
        <v>74</v>
      </c>
      <c r="Q375" s="1" t="s">
        <v>83</v>
      </c>
      <c r="R375" s="1" t="s">
        <v>76</v>
      </c>
      <c r="S375" s="12">
        <v>2.35</v>
      </c>
      <c r="T375" s="1" t="s">
        <v>77</v>
      </c>
      <c r="U375" s="12">
        <v>203.72</v>
      </c>
      <c r="V375" s="1" t="s">
        <v>78</v>
      </c>
      <c r="W375" s="1" t="s">
        <v>79</v>
      </c>
      <c r="X375" s="1" t="s">
        <v>74</v>
      </c>
      <c r="Y375" s="1" t="s">
        <v>71</v>
      </c>
      <c r="Z375" s="1" t="s">
        <v>80</v>
      </c>
      <c r="AA375" s="1" t="s">
        <v>459</v>
      </c>
      <c r="AB375" s="1" t="s">
        <v>74</v>
      </c>
      <c r="AC375" s="1" t="s">
        <v>74</v>
      </c>
      <c r="AD375" s="1" t="s">
        <v>74</v>
      </c>
      <c r="AE375" s="11">
        <v>45720</v>
      </c>
      <c r="AF375" s="11"/>
      <c r="AG375" s="1" t="s">
        <v>74</v>
      </c>
      <c r="AJ375" cm="1">
        <f t="array" ref="AJ375:AK375">_xlfn.XLOOKUP(M375,'Customer Data Vlookup'!$L:$L,'Customer Data Vlookup'!$M:$N,,0)</f>
        <v>0</v>
      </c>
      <c r="AK375" s="47">
        <v>201</v>
      </c>
      <c r="AL375" s="47">
        <f t="shared" si="46"/>
        <v>201</v>
      </c>
      <c r="AM375" s="58">
        <f t="shared" si="47"/>
        <v>2.7199999999999989</v>
      </c>
    </row>
    <row r="376" spans="1:39" x14ac:dyDescent="0.35">
      <c r="A376" s="1" t="s">
        <v>124</v>
      </c>
      <c r="B376" s="1" t="s">
        <v>67</v>
      </c>
      <c r="C376" s="1" t="s">
        <v>68</v>
      </c>
      <c r="D376" s="1" t="s">
        <v>69</v>
      </c>
      <c r="E376" s="1" t="s">
        <v>17</v>
      </c>
      <c r="F376" s="1" t="s">
        <v>166</v>
      </c>
      <c r="G376" s="11">
        <v>45720</v>
      </c>
      <c r="H376" s="25">
        <v>1800000740</v>
      </c>
      <c r="I376" s="1" t="s">
        <v>9</v>
      </c>
      <c r="J376" s="11">
        <v>45720</v>
      </c>
      <c r="K376" s="11">
        <v>45720</v>
      </c>
      <c r="L376" s="1" t="s">
        <v>71</v>
      </c>
      <c r="M376" s="35">
        <v>246779410680</v>
      </c>
      <c r="N376" s="1" t="s">
        <v>72</v>
      </c>
      <c r="O376" s="1" t="s">
        <v>73</v>
      </c>
      <c r="P376" s="1" t="s">
        <v>74</v>
      </c>
      <c r="Q376" s="1" t="s">
        <v>83</v>
      </c>
      <c r="R376" s="1" t="s">
        <v>76</v>
      </c>
      <c r="S376" s="12">
        <v>14.1</v>
      </c>
      <c r="T376" s="1" t="s">
        <v>77</v>
      </c>
      <c r="U376" s="12">
        <v>1222.3499999999999</v>
      </c>
      <c r="V376" s="1" t="s">
        <v>78</v>
      </c>
      <c r="W376" s="1" t="s">
        <v>79</v>
      </c>
      <c r="X376" s="1" t="s">
        <v>74</v>
      </c>
      <c r="Y376" s="1" t="s">
        <v>71</v>
      </c>
      <c r="Z376" s="1" t="s">
        <v>80</v>
      </c>
      <c r="AA376" s="1" t="s">
        <v>459</v>
      </c>
      <c r="AB376" s="1" t="s">
        <v>74</v>
      </c>
      <c r="AC376" s="1" t="s">
        <v>74</v>
      </c>
      <c r="AD376" s="1" t="s">
        <v>74</v>
      </c>
      <c r="AE376" s="11">
        <v>45720</v>
      </c>
      <c r="AF376" s="11"/>
      <c r="AG376" s="1" t="s">
        <v>74</v>
      </c>
      <c r="AJ376" cm="1">
        <f t="array" ref="AJ376:AK376">_xlfn.XLOOKUP(M376,'Customer Data Vlookup'!$L:$L,'Customer Data Vlookup'!$M:$N,,0)</f>
        <v>0</v>
      </c>
      <c r="AK376" s="47">
        <v>1207</v>
      </c>
      <c r="AL376" s="47">
        <f t="shared" si="46"/>
        <v>1207</v>
      </c>
      <c r="AM376" s="58">
        <f t="shared" si="47"/>
        <v>15.349999999999909</v>
      </c>
    </row>
    <row r="377" spans="1:39" x14ac:dyDescent="0.35">
      <c r="A377" s="1" t="s">
        <v>124</v>
      </c>
      <c r="B377" s="1" t="s">
        <v>67</v>
      </c>
      <c r="C377" s="1" t="s">
        <v>68</v>
      </c>
      <c r="D377" s="1" t="s">
        <v>69</v>
      </c>
      <c r="E377" s="1" t="s">
        <v>17</v>
      </c>
      <c r="F377" s="1" t="s">
        <v>166</v>
      </c>
      <c r="G377" s="11">
        <v>45720</v>
      </c>
      <c r="H377" s="25">
        <v>1800000741</v>
      </c>
      <c r="I377" s="1" t="s">
        <v>9</v>
      </c>
      <c r="J377" s="11">
        <v>45720</v>
      </c>
      <c r="K377" s="11">
        <v>45720</v>
      </c>
      <c r="L377" s="1" t="s">
        <v>71</v>
      </c>
      <c r="M377" s="35">
        <v>246779410681</v>
      </c>
      <c r="N377" s="1" t="s">
        <v>72</v>
      </c>
      <c r="O377" s="1" t="s">
        <v>73</v>
      </c>
      <c r="P377" s="1" t="s">
        <v>74</v>
      </c>
      <c r="Q377" s="1" t="s">
        <v>83</v>
      </c>
      <c r="R377" s="1" t="s">
        <v>76</v>
      </c>
      <c r="S377" s="12">
        <v>2.35</v>
      </c>
      <c r="T377" s="1" t="s">
        <v>77</v>
      </c>
      <c r="U377" s="12">
        <v>203.72</v>
      </c>
      <c r="V377" s="1" t="s">
        <v>78</v>
      </c>
      <c r="W377" s="1" t="s">
        <v>79</v>
      </c>
      <c r="X377" s="1" t="s">
        <v>74</v>
      </c>
      <c r="Y377" s="1" t="s">
        <v>71</v>
      </c>
      <c r="Z377" s="1" t="s">
        <v>80</v>
      </c>
      <c r="AA377" s="1" t="s">
        <v>459</v>
      </c>
      <c r="AB377" s="1" t="s">
        <v>74</v>
      </c>
      <c r="AC377" s="1" t="s">
        <v>74</v>
      </c>
      <c r="AD377" s="1" t="s">
        <v>74</v>
      </c>
      <c r="AE377" s="11">
        <v>45720</v>
      </c>
      <c r="AF377" s="11"/>
      <c r="AG377" s="1" t="s">
        <v>74</v>
      </c>
      <c r="AJ377" cm="1">
        <f t="array" ref="AJ377:AK377">_xlfn.XLOOKUP(M377,'Customer Data Vlookup'!$L:$L,'Customer Data Vlookup'!$M:$N,,0)</f>
        <v>0</v>
      </c>
      <c r="AK377" s="47">
        <v>201</v>
      </c>
      <c r="AL377" s="47">
        <f t="shared" si="46"/>
        <v>201</v>
      </c>
      <c r="AM377" s="58">
        <f t="shared" si="47"/>
        <v>2.7199999999999989</v>
      </c>
    </row>
    <row r="378" spans="1:39" x14ac:dyDescent="0.35">
      <c r="A378" s="1" t="s">
        <v>124</v>
      </c>
      <c r="B378" s="1" t="s">
        <v>67</v>
      </c>
      <c r="C378" s="1" t="s">
        <v>68</v>
      </c>
      <c r="D378" s="1" t="s">
        <v>69</v>
      </c>
      <c r="E378" s="1" t="s">
        <v>17</v>
      </c>
      <c r="F378" s="1" t="s">
        <v>166</v>
      </c>
      <c r="G378" s="11">
        <v>45720</v>
      </c>
      <c r="H378" s="25">
        <v>1800000742</v>
      </c>
      <c r="I378" s="1" t="s">
        <v>9</v>
      </c>
      <c r="J378" s="11">
        <v>45720</v>
      </c>
      <c r="K378" s="11">
        <v>45720</v>
      </c>
      <c r="L378" s="1" t="s">
        <v>71</v>
      </c>
      <c r="M378" s="35">
        <v>246779410682</v>
      </c>
      <c r="N378" s="1" t="s">
        <v>72</v>
      </c>
      <c r="O378" s="1" t="s">
        <v>73</v>
      </c>
      <c r="P378" s="1" t="s">
        <v>74</v>
      </c>
      <c r="Q378" s="1" t="s">
        <v>83</v>
      </c>
      <c r="R378" s="1" t="s">
        <v>76</v>
      </c>
      <c r="S378" s="12">
        <v>4.7</v>
      </c>
      <c r="T378" s="1" t="s">
        <v>77</v>
      </c>
      <c r="U378" s="12">
        <v>407.45</v>
      </c>
      <c r="V378" s="1" t="s">
        <v>78</v>
      </c>
      <c r="W378" s="1" t="s">
        <v>79</v>
      </c>
      <c r="X378" s="1" t="s">
        <v>74</v>
      </c>
      <c r="Y378" s="1" t="s">
        <v>71</v>
      </c>
      <c r="Z378" s="1" t="s">
        <v>80</v>
      </c>
      <c r="AA378" s="1" t="s">
        <v>459</v>
      </c>
      <c r="AB378" s="1" t="s">
        <v>74</v>
      </c>
      <c r="AC378" s="1" t="s">
        <v>74</v>
      </c>
      <c r="AD378" s="1" t="s">
        <v>74</v>
      </c>
      <c r="AE378" s="11">
        <v>45720</v>
      </c>
      <c r="AF378" s="11"/>
      <c r="AG378" s="1" t="s">
        <v>74</v>
      </c>
      <c r="AJ378" cm="1">
        <f t="array" ref="AJ378:AK378">_xlfn.XLOOKUP(M378,'Customer Data Vlookup'!$L:$L,'Customer Data Vlookup'!$M:$N,,0)</f>
        <v>0</v>
      </c>
      <c r="AK378" s="47">
        <v>201</v>
      </c>
      <c r="AL378" s="47">
        <f t="shared" si="46"/>
        <v>201</v>
      </c>
      <c r="AM378" s="58">
        <f t="shared" si="47"/>
        <v>206.45</v>
      </c>
    </row>
    <row r="379" spans="1:39" x14ac:dyDescent="0.35">
      <c r="A379" s="1" t="s">
        <v>124</v>
      </c>
      <c r="B379" s="1" t="s">
        <v>67</v>
      </c>
      <c r="C379" s="1" t="s">
        <v>68</v>
      </c>
      <c r="D379" s="1" t="s">
        <v>69</v>
      </c>
      <c r="E379" s="1" t="s">
        <v>17</v>
      </c>
      <c r="F379" s="1" t="s">
        <v>166</v>
      </c>
      <c r="G379" s="11">
        <v>45720</v>
      </c>
      <c r="H379" s="25">
        <v>1800000743</v>
      </c>
      <c r="I379" s="1" t="s">
        <v>9</v>
      </c>
      <c r="J379" s="11">
        <v>45720</v>
      </c>
      <c r="K379" s="11">
        <v>45720</v>
      </c>
      <c r="L379" s="1" t="s">
        <v>71</v>
      </c>
      <c r="M379" s="35">
        <v>246779410683</v>
      </c>
      <c r="N379" s="1" t="s">
        <v>72</v>
      </c>
      <c r="O379" s="1" t="s">
        <v>73</v>
      </c>
      <c r="P379" s="1" t="s">
        <v>74</v>
      </c>
      <c r="Q379" s="1" t="s">
        <v>83</v>
      </c>
      <c r="R379" s="1" t="s">
        <v>76</v>
      </c>
      <c r="S379" s="12">
        <v>2.35</v>
      </c>
      <c r="T379" s="1" t="s">
        <v>77</v>
      </c>
      <c r="U379" s="12">
        <v>203.72</v>
      </c>
      <c r="V379" s="1" t="s">
        <v>78</v>
      </c>
      <c r="W379" s="1" t="s">
        <v>79</v>
      </c>
      <c r="X379" s="1" t="s">
        <v>74</v>
      </c>
      <c r="Y379" s="1" t="s">
        <v>71</v>
      </c>
      <c r="Z379" s="1" t="s">
        <v>80</v>
      </c>
      <c r="AA379" s="1" t="s">
        <v>459</v>
      </c>
      <c r="AB379" s="1" t="s">
        <v>74</v>
      </c>
      <c r="AC379" s="1" t="s">
        <v>74</v>
      </c>
      <c r="AD379" s="1" t="s">
        <v>74</v>
      </c>
      <c r="AE379" s="11">
        <v>45720</v>
      </c>
      <c r="AF379" s="11"/>
      <c r="AG379" s="1" t="s">
        <v>74</v>
      </c>
      <c r="AJ379" cm="1">
        <f t="array" ref="AJ379:AK379">_xlfn.XLOOKUP(M379,'Customer Data Vlookup'!$L:$L,'Customer Data Vlookup'!$M:$N,,0)</f>
        <v>0</v>
      </c>
      <c r="AK379" s="47">
        <v>201</v>
      </c>
      <c r="AL379" s="47">
        <f t="shared" si="46"/>
        <v>201</v>
      </c>
      <c r="AM379" s="58">
        <f t="shared" si="47"/>
        <v>2.7199999999999989</v>
      </c>
    </row>
    <row r="380" spans="1:39" x14ac:dyDescent="0.35">
      <c r="A380" s="1" t="s">
        <v>124</v>
      </c>
      <c r="B380" s="1" t="s">
        <v>67</v>
      </c>
      <c r="C380" s="1" t="s">
        <v>68</v>
      </c>
      <c r="D380" s="1" t="s">
        <v>69</v>
      </c>
      <c r="E380" s="1" t="s">
        <v>17</v>
      </c>
      <c r="F380" s="1" t="s">
        <v>166</v>
      </c>
      <c r="G380" s="11">
        <v>45720</v>
      </c>
      <c r="H380" s="25">
        <v>1800000744</v>
      </c>
      <c r="I380" s="1" t="s">
        <v>9</v>
      </c>
      <c r="J380" s="11">
        <v>45720</v>
      </c>
      <c r="K380" s="11">
        <v>45720</v>
      </c>
      <c r="L380" s="1" t="s">
        <v>71</v>
      </c>
      <c r="M380" s="35">
        <v>246779410684</v>
      </c>
      <c r="N380" s="1" t="s">
        <v>72</v>
      </c>
      <c r="O380" s="1" t="s">
        <v>73</v>
      </c>
      <c r="P380" s="1" t="s">
        <v>74</v>
      </c>
      <c r="Q380" s="1" t="s">
        <v>83</v>
      </c>
      <c r="R380" s="1" t="s">
        <v>76</v>
      </c>
      <c r="S380" s="12">
        <v>7.05</v>
      </c>
      <c r="T380" s="1" t="s">
        <v>77</v>
      </c>
      <c r="U380" s="12">
        <v>611.16999999999996</v>
      </c>
      <c r="V380" s="1" t="s">
        <v>78</v>
      </c>
      <c r="W380" s="1" t="s">
        <v>79</v>
      </c>
      <c r="X380" s="1" t="s">
        <v>74</v>
      </c>
      <c r="Y380" s="1" t="s">
        <v>71</v>
      </c>
      <c r="Z380" s="1" t="s">
        <v>80</v>
      </c>
      <c r="AA380" s="1" t="s">
        <v>459</v>
      </c>
      <c r="AB380" s="1" t="s">
        <v>74</v>
      </c>
      <c r="AC380" s="1" t="s">
        <v>74</v>
      </c>
      <c r="AD380" s="1" t="s">
        <v>74</v>
      </c>
      <c r="AE380" s="11">
        <v>45720</v>
      </c>
      <c r="AF380" s="11"/>
      <c r="AG380" s="1" t="s">
        <v>74</v>
      </c>
      <c r="AJ380" cm="1">
        <f t="array" ref="AJ380:AK380">_xlfn.XLOOKUP(M380,'Customer Data Vlookup'!$L:$L,'Customer Data Vlookup'!$M:$N,,0)</f>
        <v>0</v>
      </c>
      <c r="AK380" s="47">
        <v>604</v>
      </c>
      <c r="AL380" s="47">
        <f t="shared" si="46"/>
        <v>604</v>
      </c>
      <c r="AM380" s="58">
        <f t="shared" si="47"/>
        <v>7.1699999999999591</v>
      </c>
    </row>
    <row r="381" spans="1:39" x14ac:dyDescent="0.35">
      <c r="A381" s="1" t="s">
        <v>124</v>
      </c>
      <c r="B381" s="1" t="s">
        <v>67</v>
      </c>
      <c r="C381" s="1" t="s">
        <v>68</v>
      </c>
      <c r="D381" s="1" t="s">
        <v>69</v>
      </c>
      <c r="E381" s="1" t="s">
        <v>17</v>
      </c>
      <c r="F381" s="1" t="s">
        <v>166</v>
      </c>
      <c r="G381" s="11">
        <v>45720</v>
      </c>
      <c r="H381" s="25">
        <v>1800000745</v>
      </c>
      <c r="I381" s="1" t="s">
        <v>9</v>
      </c>
      <c r="J381" s="11">
        <v>45720</v>
      </c>
      <c r="K381" s="11">
        <v>45720</v>
      </c>
      <c r="L381" s="1" t="s">
        <v>71</v>
      </c>
      <c r="M381" s="35">
        <v>246779410685</v>
      </c>
      <c r="N381" s="1" t="s">
        <v>72</v>
      </c>
      <c r="O381" s="1" t="s">
        <v>73</v>
      </c>
      <c r="P381" s="1" t="s">
        <v>74</v>
      </c>
      <c r="Q381" s="1" t="s">
        <v>83</v>
      </c>
      <c r="R381" s="1" t="s">
        <v>76</v>
      </c>
      <c r="S381" s="12">
        <v>2.35</v>
      </c>
      <c r="T381" s="1" t="s">
        <v>77</v>
      </c>
      <c r="U381" s="12">
        <v>203.72</v>
      </c>
      <c r="V381" s="1" t="s">
        <v>78</v>
      </c>
      <c r="W381" s="1" t="s">
        <v>79</v>
      </c>
      <c r="X381" s="1" t="s">
        <v>74</v>
      </c>
      <c r="Y381" s="1" t="s">
        <v>71</v>
      </c>
      <c r="Z381" s="1" t="s">
        <v>80</v>
      </c>
      <c r="AA381" s="1" t="s">
        <v>459</v>
      </c>
      <c r="AB381" s="1" t="s">
        <v>74</v>
      </c>
      <c r="AC381" s="1" t="s">
        <v>74</v>
      </c>
      <c r="AD381" s="1" t="s">
        <v>74</v>
      </c>
      <c r="AE381" s="11">
        <v>45720</v>
      </c>
      <c r="AF381" s="11"/>
      <c r="AG381" s="1" t="s">
        <v>74</v>
      </c>
      <c r="AJ381" cm="1">
        <f t="array" ref="AJ381:AK381">_xlfn.XLOOKUP(M381,'Customer Data Vlookup'!$L:$L,'Customer Data Vlookup'!$M:$N,,0)</f>
        <v>0</v>
      </c>
      <c r="AK381" s="47">
        <v>201</v>
      </c>
      <c r="AL381" s="47">
        <f t="shared" si="46"/>
        <v>201</v>
      </c>
      <c r="AM381" s="58">
        <f t="shared" si="47"/>
        <v>2.7199999999999989</v>
      </c>
    </row>
    <row r="382" spans="1:39" x14ac:dyDescent="0.35">
      <c r="A382" s="1" t="s">
        <v>124</v>
      </c>
      <c r="B382" s="1" t="s">
        <v>67</v>
      </c>
      <c r="C382" s="1" t="s">
        <v>68</v>
      </c>
      <c r="D382" s="1" t="s">
        <v>69</v>
      </c>
      <c r="E382" s="1" t="s">
        <v>17</v>
      </c>
      <c r="F382" s="1" t="s">
        <v>166</v>
      </c>
      <c r="G382" s="11">
        <v>45720</v>
      </c>
      <c r="H382" s="25">
        <v>1800000746</v>
      </c>
      <c r="I382" s="1" t="s">
        <v>9</v>
      </c>
      <c r="J382" s="11">
        <v>45720</v>
      </c>
      <c r="K382" s="11">
        <v>45720</v>
      </c>
      <c r="L382" s="1" t="s">
        <v>71</v>
      </c>
      <c r="M382" s="35">
        <v>246779410686</v>
      </c>
      <c r="N382" s="1" t="s">
        <v>72</v>
      </c>
      <c r="O382" s="1" t="s">
        <v>73</v>
      </c>
      <c r="P382" s="1" t="s">
        <v>74</v>
      </c>
      <c r="Q382" s="1" t="s">
        <v>83</v>
      </c>
      <c r="R382" s="1" t="s">
        <v>76</v>
      </c>
      <c r="S382" s="12">
        <v>9.4</v>
      </c>
      <c r="T382" s="1" t="s">
        <v>77</v>
      </c>
      <c r="U382" s="12">
        <v>814.9</v>
      </c>
      <c r="V382" s="1" t="s">
        <v>78</v>
      </c>
      <c r="W382" s="1" t="s">
        <v>79</v>
      </c>
      <c r="X382" s="1" t="s">
        <v>74</v>
      </c>
      <c r="Y382" s="1" t="s">
        <v>71</v>
      </c>
      <c r="Z382" s="1" t="s">
        <v>80</v>
      </c>
      <c r="AA382" s="1" t="s">
        <v>459</v>
      </c>
      <c r="AB382" s="1" t="s">
        <v>74</v>
      </c>
      <c r="AC382" s="1" t="s">
        <v>74</v>
      </c>
      <c r="AD382" s="1" t="s">
        <v>74</v>
      </c>
      <c r="AE382" s="11">
        <v>45720</v>
      </c>
      <c r="AF382" s="11"/>
      <c r="AG382" s="1" t="s">
        <v>74</v>
      </c>
      <c r="AJ382" cm="1">
        <f t="array" ref="AJ382:AK382">_xlfn.XLOOKUP(M382,'Customer Data Vlookup'!$L:$L,'Customer Data Vlookup'!$M:$N,,0)</f>
        <v>0</v>
      </c>
      <c r="AK382" s="47">
        <v>805</v>
      </c>
      <c r="AL382" s="47">
        <f t="shared" si="46"/>
        <v>805</v>
      </c>
      <c r="AM382" s="58">
        <f t="shared" si="47"/>
        <v>9.8999999999999773</v>
      </c>
    </row>
    <row r="383" spans="1:39" x14ac:dyDescent="0.35">
      <c r="A383" s="1" t="s">
        <v>124</v>
      </c>
      <c r="B383" s="1" t="s">
        <v>67</v>
      </c>
      <c r="C383" s="1" t="s">
        <v>68</v>
      </c>
      <c r="D383" s="1" t="s">
        <v>69</v>
      </c>
      <c r="E383" s="1" t="s">
        <v>17</v>
      </c>
      <c r="F383" s="1" t="s">
        <v>166</v>
      </c>
      <c r="G383" s="11">
        <v>45720</v>
      </c>
      <c r="H383" s="25">
        <v>1800000747</v>
      </c>
      <c r="I383" s="1" t="s">
        <v>9</v>
      </c>
      <c r="J383" s="11">
        <v>45720</v>
      </c>
      <c r="K383" s="11">
        <v>45720</v>
      </c>
      <c r="L383" s="1" t="s">
        <v>71</v>
      </c>
      <c r="M383" s="35">
        <v>246779410687</v>
      </c>
      <c r="N383" s="1" t="s">
        <v>72</v>
      </c>
      <c r="O383" s="1" t="s">
        <v>73</v>
      </c>
      <c r="P383" s="1" t="s">
        <v>74</v>
      </c>
      <c r="Q383" s="1" t="s">
        <v>83</v>
      </c>
      <c r="R383" s="1" t="s">
        <v>76</v>
      </c>
      <c r="S383" s="12">
        <v>21.15</v>
      </c>
      <c r="T383" s="1" t="s">
        <v>77</v>
      </c>
      <c r="U383" s="12">
        <v>1833.52</v>
      </c>
      <c r="V383" s="1" t="s">
        <v>78</v>
      </c>
      <c r="W383" s="1" t="s">
        <v>79</v>
      </c>
      <c r="X383" s="1" t="s">
        <v>74</v>
      </c>
      <c r="Y383" s="1" t="s">
        <v>71</v>
      </c>
      <c r="Z383" s="1" t="s">
        <v>80</v>
      </c>
      <c r="AA383" s="1" t="s">
        <v>459</v>
      </c>
      <c r="AB383" s="1" t="s">
        <v>74</v>
      </c>
      <c r="AC383" s="1" t="s">
        <v>74</v>
      </c>
      <c r="AD383" s="1" t="s">
        <v>74</v>
      </c>
      <c r="AE383" s="11">
        <v>45720</v>
      </c>
      <c r="AF383" s="11"/>
      <c r="AG383" s="1" t="s">
        <v>74</v>
      </c>
      <c r="AJ383" cm="1">
        <f t="array" ref="AJ383:AK383">_xlfn.XLOOKUP(M383,'Customer Data Vlookup'!$L:$L,'Customer Data Vlookup'!$M:$N,,0)</f>
        <v>0</v>
      </c>
      <c r="AK383" s="47">
        <v>1797</v>
      </c>
      <c r="AL383" s="47">
        <f t="shared" si="46"/>
        <v>1797</v>
      </c>
      <c r="AM383" s="58">
        <f t="shared" si="47"/>
        <v>36.519999999999982</v>
      </c>
    </row>
    <row r="384" spans="1:39" x14ac:dyDescent="0.35">
      <c r="A384" s="1" t="s">
        <v>124</v>
      </c>
      <c r="B384" s="1" t="s">
        <v>67</v>
      </c>
      <c r="C384" s="1" t="s">
        <v>68</v>
      </c>
      <c r="D384" s="1" t="s">
        <v>69</v>
      </c>
      <c r="E384" s="1" t="s">
        <v>17</v>
      </c>
      <c r="F384" s="1" t="s">
        <v>166</v>
      </c>
      <c r="G384" s="11">
        <v>45720</v>
      </c>
      <c r="H384" s="25">
        <v>1800000748</v>
      </c>
      <c r="I384" s="1" t="s">
        <v>9</v>
      </c>
      <c r="J384" s="11">
        <v>45720</v>
      </c>
      <c r="K384" s="11">
        <v>45720</v>
      </c>
      <c r="L384" s="1" t="s">
        <v>71</v>
      </c>
      <c r="M384" s="35">
        <v>246779410688</v>
      </c>
      <c r="N384" s="1" t="s">
        <v>72</v>
      </c>
      <c r="O384" s="1" t="s">
        <v>73</v>
      </c>
      <c r="P384" s="1" t="s">
        <v>74</v>
      </c>
      <c r="Q384" s="1" t="s">
        <v>83</v>
      </c>
      <c r="R384" s="1" t="s">
        <v>76</v>
      </c>
      <c r="S384" s="12">
        <v>9.4</v>
      </c>
      <c r="T384" s="1" t="s">
        <v>77</v>
      </c>
      <c r="U384" s="12">
        <v>814.9</v>
      </c>
      <c r="V384" s="1" t="s">
        <v>78</v>
      </c>
      <c r="W384" s="1" t="s">
        <v>79</v>
      </c>
      <c r="X384" s="1" t="s">
        <v>74</v>
      </c>
      <c r="Y384" s="1" t="s">
        <v>71</v>
      </c>
      <c r="Z384" s="1" t="s">
        <v>80</v>
      </c>
      <c r="AA384" s="1" t="s">
        <v>459</v>
      </c>
      <c r="AB384" s="1" t="s">
        <v>74</v>
      </c>
      <c r="AC384" s="1" t="s">
        <v>74</v>
      </c>
      <c r="AD384" s="1" t="s">
        <v>74</v>
      </c>
      <c r="AE384" s="11">
        <v>45720</v>
      </c>
      <c r="AF384" s="11"/>
      <c r="AG384" s="1" t="s">
        <v>74</v>
      </c>
      <c r="AJ384" cm="1">
        <f t="array" ref="AJ384:AK384">_xlfn.XLOOKUP(M384,'Customer Data Vlookup'!$L:$L,'Customer Data Vlookup'!$M:$N,,0)</f>
        <v>0</v>
      </c>
      <c r="AK384" s="47">
        <v>799</v>
      </c>
      <c r="AL384" s="47">
        <f t="shared" si="46"/>
        <v>799</v>
      </c>
      <c r="AM384" s="58">
        <f t="shared" si="47"/>
        <v>15.899999999999977</v>
      </c>
    </row>
    <row r="385" spans="1:39" x14ac:dyDescent="0.35">
      <c r="A385" s="1" t="s">
        <v>124</v>
      </c>
      <c r="B385" s="1" t="s">
        <v>67</v>
      </c>
      <c r="C385" s="1" t="s">
        <v>68</v>
      </c>
      <c r="D385" s="1" t="s">
        <v>69</v>
      </c>
      <c r="E385" s="1" t="s">
        <v>17</v>
      </c>
      <c r="F385" s="1" t="s">
        <v>166</v>
      </c>
      <c r="G385" s="11">
        <v>45720</v>
      </c>
      <c r="H385" s="25">
        <v>1800000749</v>
      </c>
      <c r="I385" s="1" t="s">
        <v>9</v>
      </c>
      <c r="J385" s="11">
        <v>45720</v>
      </c>
      <c r="K385" s="11">
        <v>45720</v>
      </c>
      <c r="L385" s="1" t="s">
        <v>71</v>
      </c>
      <c r="M385" s="35">
        <v>246779410689</v>
      </c>
      <c r="N385" s="1" t="s">
        <v>72</v>
      </c>
      <c r="O385" s="1" t="s">
        <v>73</v>
      </c>
      <c r="P385" s="1" t="s">
        <v>74</v>
      </c>
      <c r="Q385" s="1" t="s">
        <v>83</v>
      </c>
      <c r="R385" s="1" t="s">
        <v>76</v>
      </c>
      <c r="S385" s="12">
        <v>4.7</v>
      </c>
      <c r="T385" s="1" t="s">
        <v>77</v>
      </c>
      <c r="U385" s="12">
        <v>407.45</v>
      </c>
      <c r="V385" s="1" t="s">
        <v>78</v>
      </c>
      <c r="W385" s="1" t="s">
        <v>79</v>
      </c>
      <c r="X385" s="1" t="s">
        <v>74</v>
      </c>
      <c r="Y385" s="1" t="s">
        <v>71</v>
      </c>
      <c r="Z385" s="1" t="s">
        <v>80</v>
      </c>
      <c r="AA385" s="1" t="s">
        <v>459</v>
      </c>
      <c r="AB385" s="1" t="s">
        <v>74</v>
      </c>
      <c r="AC385" s="1" t="s">
        <v>74</v>
      </c>
      <c r="AD385" s="1" t="s">
        <v>74</v>
      </c>
      <c r="AE385" s="11">
        <v>45720</v>
      </c>
      <c r="AF385" s="11"/>
      <c r="AG385" s="1" t="s">
        <v>74</v>
      </c>
      <c r="AJ385" cm="1">
        <f t="array" ref="AJ385:AK385">_xlfn.XLOOKUP(M385,'Customer Data Vlookup'!$L:$L,'Customer Data Vlookup'!$M:$N,,0)</f>
        <v>0</v>
      </c>
      <c r="AK385" s="47">
        <v>403</v>
      </c>
      <c r="AL385" s="47">
        <f t="shared" si="46"/>
        <v>403</v>
      </c>
      <c r="AM385" s="58">
        <f t="shared" si="47"/>
        <v>4.4499999999999886</v>
      </c>
    </row>
    <row r="386" spans="1:39" x14ac:dyDescent="0.35">
      <c r="A386" s="1" t="s">
        <v>124</v>
      </c>
      <c r="B386" s="1" t="s">
        <v>67</v>
      </c>
      <c r="C386" s="1" t="s">
        <v>68</v>
      </c>
      <c r="D386" s="1" t="s">
        <v>69</v>
      </c>
      <c r="E386" s="1" t="s">
        <v>17</v>
      </c>
      <c r="F386" s="1" t="s">
        <v>166</v>
      </c>
      <c r="G386" s="11">
        <v>45720</v>
      </c>
      <c r="H386" s="25">
        <v>1800000750</v>
      </c>
      <c r="I386" s="1" t="s">
        <v>9</v>
      </c>
      <c r="J386" s="11">
        <v>45720</v>
      </c>
      <c r="K386" s="11">
        <v>45720</v>
      </c>
      <c r="L386" s="1" t="s">
        <v>71</v>
      </c>
      <c r="M386" s="35">
        <v>246779410690</v>
      </c>
      <c r="N386" s="1" t="s">
        <v>72</v>
      </c>
      <c r="O386" s="1" t="s">
        <v>73</v>
      </c>
      <c r="P386" s="1" t="s">
        <v>74</v>
      </c>
      <c r="Q386" s="1" t="s">
        <v>83</v>
      </c>
      <c r="R386" s="1" t="s">
        <v>76</v>
      </c>
      <c r="S386" s="12">
        <v>42.3</v>
      </c>
      <c r="T386" s="1" t="s">
        <v>77</v>
      </c>
      <c r="U386" s="12">
        <v>3667.04</v>
      </c>
      <c r="V386" s="1" t="s">
        <v>78</v>
      </c>
      <c r="W386" s="1" t="s">
        <v>79</v>
      </c>
      <c r="X386" s="1" t="s">
        <v>74</v>
      </c>
      <c r="Y386" s="1" t="s">
        <v>71</v>
      </c>
      <c r="Z386" s="1" t="s">
        <v>80</v>
      </c>
      <c r="AA386" s="1" t="s">
        <v>459</v>
      </c>
      <c r="AB386" s="1" t="s">
        <v>74</v>
      </c>
      <c r="AC386" s="1" t="s">
        <v>74</v>
      </c>
      <c r="AD386" s="1" t="s">
        <v>74</v>
      </c>
      <c r="AE386" s="11">
        <v>45720</v>
      </c>
      <c r="AF386" s="11"/>
      <c r="AG386" s="1" t="s">
        <v>74</v>
      </c>
      <c r="AJ386" cm="1">
        <f t="array" ref="AJ386:AK386">_xlfn.XLOOKUP(M386,'Customer Data Vlookup'!$L:$L,'Customer Data Vlookup'!$M:$N,,0)</f>
        <v>0</v>
      </c>
      <c r="AK386" s="47">
        <v>3622</v>
      </c>
      <c r="AL386" s="47">
        <f t="shared" si="46"/>
        <v>3622</v>
      </c>
      <c r="AM386" s="58">
        <f t="shared" si="47"/>
        <v>45.039999999999964</v>
      </c>
    </row>
    <row r="387" spans="1:39" x14ac:dyDescent="0.35">
      <c r="A387" s="1" t="s">
        <v>124</v>
      </c>
      <c r="B387" s="1" t="s">
        <v>67</v>
      </c>
      <c r="C387" s="1" t="s">
        <v>68</v>
      </c>
      <c r="D387" s="1" t="s">
        <v>69</v>
      </c>
      <c r="E387" s="1" t="s">
        <v>17</v>
      </c>
      <c r="F387" s="1" t="s">
        <v>166</v>
      </c>
      <c r="G387" s="11">
        <v>45720</v>
      </c>
      <c r="H387" s="25">
        <v>1800000751</v>
      </c>
      <c r="I387" s="1" t="s">
        <v>9</v>
      </c>
      <c r="J387" s="11">
        <v>45720</v>
      </c>
      <c r="K387" s="11">
        <v>45720</v>
      </c>
      <c r="L387" s="1" t="s">
        <v>71</v>
      </c>
      <c r="M387" s="35">
        <v>246779410691</v>
      </c>
      <c r="N387" s="1" t="s">
        <v>72</v>
      </c>
      <c r="O387" s="1" t="s">
        <v>73</v>
      </c>
      <c r="P387" s="1" t="s">
        <v>74</v>
      </c>
      <c r="Q387" s="1" t="s">
        <v>83</v>
      </c>
      <c r="R387" s="1" t="s">
        <v>76</v>
      </c>
      <c r="S387" s="12">
        <v>7.05</v>
      </c>
      <c r="T387" s="1" t="s">
        <v>77</v>
      </c>
      <c r="U387" s="12">
        <v>611.16999999999996</v>
      </c>
      <c r="V387" s="1" t="s">
        <v>78</v>
      </c>
      <c r="W387" s="1" t="s">
        <v>79</v>
      </c>
      <c r="X387" s="1" t="s">
        <v>74</v>
      </c>
      <c r="Y387" s="1" t="s">
        <v>71</v>
      </c>
      <c r="Z387" s="1" t="s">
        <v>80</v>
      </c>
      <c r="AA387" s="1" t="s">
        <v>459</v>
      </c>
      <c r="AB387" s="1" t="s">
        <v>74</v>
      </c>
      <c r="AC387" s="1" t="s">
        <v>74</v>
      </c>
      <c r="AD387" s="1" t="s">
        <v>74</v>
      </c>
      <c r="AE387" s="11">
        <v>45720</v>
      </c>
      <c r="AF387" s="11"/>
      <c r="AG387" s="1" t="s">
        <v>74</v>
      </c>
      <c r="AJ387" cm="1">
        <f t="array" ref="AJ387:AK387">_xlfn.XLOOKUP(M387,'Customer Data Vlookup'!$L:$L,'Customer Data Vlookup'!$M:$N,,0)</f>
        <v>0</v>
      </c>
      <c r="AK387" s="47">
        <v>604</v>
      </c>
      <c r="AL387" s="47">
        <f t="shared" si="46"/>
        <v>604</v>
      </c>
      <c r="AM387" s="58">
        <f t="shared" si="47"/>
        <v>7.1699999999999591</v>
      </c>
    </row>
    <row r="388" spans="1:39" x14ac:dyDescent="0.35">
      <c r="A388" s="1" t="s">
        <v>124</v>
      </c>
      <c r="B388" s="1" t="s">
        <v>67</v>
      </c>
      <c r="C388" s="1" t="s">
        <v>68</v>
      </c>
      <c r="D388" s="1" t="s">
        <v>69</v>
      </c>
      <c r="E388" s="1" t="s">
        <v>17</v>
      </c>
      <c r="F388" s="1" t="s">
        <v>166</v>
      </c>
      <c r="G388" s="11">
        <v>45720</v>
      </c>
      <c r="H388" s="25">
        <v>1800000752</v>
      </c>
      <c r="I388" s="1" t="s">
        <v>9</v>
      </c>
      <c r="J388" s="11">
        <v>45720</v>
      </c>
      <c r="K388" s="11">
        <v>45720</v>
      </c>
      <c r="L388" s="1" t="s">
        <v>71</v>
      </c>
      <c r="M388" s="35">
        <v>246779410692</v>
      </c>
      <c r="N388" s="1" t="s">
        <v>72</v>
      </c>
      <c r="O388" s="1" t="s">
        <v>73</v>
      </c>
      <c r="P388" s="1" t="s">
        <v>74</v>
      </c>
      <c r="Q388" s="1" t="s">
        <v>83</v>
      </c>
      <c r="R388" s="1" t="s">
        <v>76</v>
      </c>
      <c r="S388" s="12">
        <v>9.4</v>
      </c>
      <c r="T388" s="1" t="s">
        <v>77</v>
      </c>
      <c r="U388" s="12">
        <v>814.9</v>
      </c>
      <c r="V388" s="1" t="s">
        <v>78</v>
      </c>
      <c r="W388" s="1" t="s">
        <v>79</v>
      </c>
      <c r="X388" s="1" t="s">
        <v>74</v>
      </c>
      <c r="Y388" s="1" t="s">
        <v>71</v>
      </c>
      <c r="Z388" s="1" t="s">
        <v>80</v>
      </c>
      <c r="AA388" s="1" t="s">
        <v>459</v>
      </c>
      <c r="AB388" s="1" t="s">
        <v>74</v>
      </c>
      <c r="AC388" s="1" t="s">
        <v>74</v>
      </c>
      <c r="AD388" s="1" t="s">
        <v>74</v>
      </c>
      <c r="AE388" s="11">
        <v>45720</v>
      </c>
      <c r="AF388" s="11"/>
      <c r="AG388" s="1" t="s">
        <v>74</v>
      </c>
      <c r="AJ388" cm="1">
        <f t="array" ref="AJ388:AK388">_xlfn.XLOOKUP(M388,'Customer Data Vlookup'!$L:$L,'Customer Data Vlookup'!$M:$N,,0)</f>
        <v>0</v>
      </c>
      <c r="AK388" s="47">
        <v>805</v>
      </c>
      <c r="AL388" s="47">
        <f t="shared" si="46"/>
        <v>805</v>
      </c>
      <c r="AM388" s="58">
        <f t="shared" si="47"/>
        <v>9.8999999999999773</v>
      </c>
    </row>
    <row r="389" spans="1:39" x14ac:dyDescent="0.35">
      <c r="A389" s="1" t="s">
        <v>124</v>
      </c>
      <c r="B389" s="1" t="s">
        <v>67</v>
      </c>
      <c r="C389" s="1" t="s">
        <v>68</v>
      </c>
      <c r="D389" s="1" t="s">
        <v>69</v>
      </c>
      <c r="E389" s="1" t="s">
        <v>17</v>
      </c>
      <c r="F389" s="1" t="s">
        <v>166</v>
      </c>
      <c r="G389" s="11">
        <v>45720</v>
      </c>
      <c r="H389" s="25">
        <v>1800000753</v>
      </c>
      <c r="I389" s="1" t="s">
        <v>9</v>
      </c>
      <c r="J389" s="11">
        <v>45720</v>
      </c>
      <c r="K389" s="11">
        <v>45720</v>
      </c>
      <c r="L389" s="1" t="s">
        <v>71</v>
      </c>
      <c r="M389" s="35">
        <v>246779410693</v>
      </c>
      <c r="N389" s="1" t="s">
        <v>72</v>
      </c>
      <c r="O389" s="1" t="s">
        <v>73</v>
      </c>
      <c r="P389" s="1" t="s">
        <v>74</v>
      </c>
      <c r="Q389" s="1" t="s">
        <v>83</v>
      </c>
      <c r="R389" s="1" t="s">
        <v>76</v>
      </c>
      <c r="S389" s="12">
        <v>9.4</v>
      </c>
      <c r="T389" s="1" t="s">
        <v>77</v>
      </c>
      <c r="U389" s="12">
        <v>814.9</v>
      </c>
      <c r="V389" s="1" t="s">
        <v>78</v>
      </c>
      <c r="W389" s="1" t="s">
        <v>79</v>
      </c>
      <c r="X389" s="1" t="s">
        <v>74</v>
      </c>
      <c r="Y389" s="1" t="s">
        <v>71</v>
      </c>
      <c r="Z389" s="1" t="s">
        <v>80</v>
      </c>
      <c r="AA389" s="1" t="s">
        <v>459</v>
      </c>
      <c r="AB389" s="1" t="s">
        <v>74</v>
      </c>
      <c r="AC389" s="1" t="s">
        <v>74</v>
      </c>
      <c r="AD389" s="1" t="s">
        <v>74</v>
      </c>
      <c r="AE389" s="11">
        <v>45720</v>
      </c>
      <c r="AF389" s="11"/>
      <c r="AG389" s="1" t="s">
        <v>74</v>
      </c>
      <c r="AJ389" cm="1">
        <f t="array" ref="AJ389:AK389">_xlfn.XLOOKUP(M389,'Customer Data Vlookup'!$L:$L,'Customer Data Vlookup'!$M:$N,,0)</f>
        <v>0</v>
      </c>
      <c r="AK389" s="47">
        <v>805</v>
      </c>
      <c r="AL389" s="47">
        <f t="shared" si="46"/>
        <v>805</v>
      </c>
      <c r="AM389" s="58">
        <f t="shared" si="47"/>
        <v>9.8999999999999773</v>
      </c>
    </row>
    <row r="390" spans="1:39" x14ac:dyDescent="0.35">
      <c r="A390" s="1" t="s">
        <v>124</v>
      </c>
      <c r="B390" s="1" t="s">
        <v>67</v>
      </c>
      <c r="C390" s="1" t="s">
        <v>68</v>
      </c>
      <c r="D390" s="1" t="s">
        <v>69</v>
      </c>
      <c r="E390" s="1" t="s">
        <v>17</v>
      </c>
      <c r="F390" s="1" t="s">
        <v>166</v>
      </c>
      <c r="G390" s="11">
        <v>45720</v>
      </c>
      <c r="H390" s="25">
        <v>1800000815</v>
      </c>
      <c r="I390" s="1" t="s">
        <v>9</v>
      </c>
      <c r="J390" s="11">
        <v>45720</v>
      </c>
      <c r="K390" s="11">
        <v>45721</v>
      </c>
      <c r="L390" s="1" t="s">
        <v>71</v>
      </c>
      <c r="M390" s="35">
        <v>246779410755</v>
      </c>
      <c r="N390" s="1" t="s">
        <v>72</v>
      </c>
      <c r="O390" s="1" t="s">
        <v>73</v>
      </c>
      <c r="P390" s="1" t="s">
        <v>74</v>
      </c>
      <c r="Q390" s="1" t="s">
        <v>83</v>
      </c>
      <c r="R390" s="1" t="s">
        <v>76</v>
      </c>
      <c r="S390" s="12">
        <v>42.3</v>
      </c>
      <c r="T390" s="1" t="s">
        <v>77</v>
      </c>
      <c r="U390" s="12">
        <v>3667.04</v>
      </c>
      <c r="V390" s="1" t="s">
        <v>78</v>
      </c>
      <c r="W390" s="1" t="s">
        <v>79</v>
      </c>
      <c r="X390" s="1" t="s">
        <v>74</v>
      </c>
      <c r="Y390" s="1" t="s">
        <v>71</v>
      </c>
      <c r="Z390" s="1" t="s">
        <v>80</v>
      </c>
      <c r="AA390" s="1" t="s">
        <v>452</v>
      </c>
      <c r="AB390" s="1" t="s">
        <v>74</v>
      </c>
      <c r="AC390" s="1" t="s">
        <v>74</v>
      </c>
      <c r="AD390" s="1" t="s">
        <v>74</v>
      </c>
      <c r="AE390" s="11">
        <v>45720</v>
      </c>
      <c r="AF390" s="11"/>
      <c r="AG390" s="1" t="s">
        <v>74</v>
      </c>
      <c r="AJ390" cm="1">
        <f t="array" ref="AJ390:AK390">_xlfn.XLOOKUP(M390,'Customer Data Vlookup'!$L:$L,'Customer Data Vlookup'!$M:$N,,0)</f>
        <v>0</v>
      </c>
      <c r="AK390" s="47">
        <v>3594</v>
      </c>
      <c r="AL390" s="47">
        <f t="shared" si="46"/>
        <v>3594</v>
      </c>
      <c r="AM390" s="58">
        <f t="shared" si="47"/>
        <v>73.039999999999964</v>
      </c>
    </row>
    <row r="391" spans="1:39" x14ac:dyDescent="0.35">
      <c r="A391" s="1" t="s">
        <v>124</v>
      </c>
      <c r="B391" s="1" t="s">
        <v>67</v>
      </c>
      <c r="C391" s="1" t="s">
        <v>68</v>
      </c>
      <c r="D391" s="1" t="s">
        <v>69</v>
      </c>
      <c r="E391" s="1" t="s">
        <v>17</v>
      </c>
      <c r="F391" s="1" t="s">
        <v>166</v>
      </c>
      <c r="G391" s="11">
        <v>45720</v>
      </c>
      <c r="H391" s="25">
        <v>1800000816</v>
      </c>
      <c r="I391" s="1" t="s">
        <v>9</v>
      </c>
      <c r="J391" s="11">
        <v>45720</v>
      </c>
      <c r="K391" s="11">
        <v>45721</v>
      </c>
      <c r="L391" s="1" t="s">
        <v>71</v>
      </c>
      <c r="M391" s="35">
        <v>246779410756</v>
      </c>
      <c r="N391" s="1" t="s">
        <v>72</v>
      </c>
      <c r="O391" s="1" t="s">
        <v>73</v>
      </c>
      <c r="P391" s="1" t="s">
        <v>74</v>
      </c>
      <c r="Q391" s="1" t="s">
        <v>83</v>
      </c>
      <c r="R391" s="1" t="s">
        <v>76</v>
      </c>
      <c r="S391" s="12">
        <v>4.7</v>
      </c>
      <c r="T391" s="1" t="s">
        <v>77</v>
      </c>
      <c r="U391" s="12">
        <v>407.45</v>
      </c>
      <c r="V391" s="1" t="s">
        <v>78</v>
      </c>
      <c r="W391" s="1" t="s">
        <v>79</v>
      </c>
      <c r="X391" s="1" t="s">
        <v>74</v>
      </c>
      <c r="Y391" s="1" t="s">
        <v>71</v>
      </c>
      <c r="Z391" s="1" t="s">
        <v>80</v>
      </c>
      <c r="AA391" s="1" t="s">
        <v>452</v>
      </c>
      <c r="AB391" s="1" t="s">
        <v>74</v>
      </c>
      <c r="AC391" s="1" t="s">
        <v>74</v>
      </c>
      <c r="AD391" s="1" t="s">
        <v>74</v>
      </c>
      <c r="AE391" s="11">
        <v>45720</v>
      </c>
      <c r="AF391" s="11"/>
      <c r="AG391" s="1" t="s">
        <v>74</v>
      </c>
      <c r="AJ391" cm="1">
        <f t="array" ref="AJ391:AK391">_xlfn.XLOOKUP(M391,'Customer Data Vlookup'!$L:$L,'Customer Data Vlookup'!$M:$N,,0)</f>
        <v>0</v>
      </c>
      <c r="AK391" s="47">
        <v>403</v>
      </c>
      <c r="AL391" s="47">
        <f t="shared" si="46"/>
        <v>403</v>
      </c>
      <c r="AM391" s="58">
        <f t="shared" si="47"/>
        <v>4.4499999999999886</v>
      </c>
    </row>
    <row r="392" spans="1:39" x14ac:dyDescent="0.35">
      <c r="A392" s="1" t="s">
        <v>124</v>
      </c>
      <c r="B392" s="1" t="s">
        <v>67</v>
      </c>
      <c r="C392" s="1" t="s">
        <v>68</v>
      </c>
      <c r="D392" s="1" t="s">
        <v>69</v>
      </c>
      <c r="E392" s="1" t="s">
        <v>17</v>
      </c>
      <c r="F392" s="1" t="s">
        <v>166</v>
      </c>
      <c r="G392" s="11">
        <v>45720</v>
      </c>
      <c r="H392" s="25">
        <v>1800000817</v>
      </c>
      <c r="I392" s="1" t="s">
        <v>9</v>
      </c>
      <c r="J392" s="11">
        <v>45720</v>
      </c>
      <c r="K392" s="11">
        <v>45721</v>
      </c>
      <c r="L392" s="1" t="s">
        <v>71</v>
      </c>
      <c r="M392" s="35">
        <v>246779410757</v>
      </c>
      <c r="N392" s="1" t="s">
        <v>72</v>
      </c>
      <c r="O392" s="1" t="s">
        <v>73</v>
      </c>
      <c r="P392" s="1" t="s">
        <v>74</v>
      </c>
      <c r="Q392" s="1" t="s">
        <v>83</v>
      </c>
      <c r="R392" s="1" t="s">
        <v>76</v>
      </c>
      <c r="S392" s="12">
        <v>4.7</v>
      </c>
      <c r="T392" s="1" t="s">
        <v>77</v>
      </c>
      <c r="U392" s="12">
        <v>407.45</v>
      </c>
      <c r="V392" s="1" t="s">
        <v>78</v>
      </c>
      <c r="W392" s="1" t="s">
        <v>79</v>
      </c>
      <c r="X392" s="1" t="s">
        <v>74</v>
      </c>
      <c r="Y392" s="1" t="s">
        <v>71</v>
      </c>
      <c r="Z392" s="1" t="s">
        <v>80</v>
      </c>
      <c r="AA392" s="1" t="s">
        <v>452</v>
      </c>
      <c r="AB392" s="1" t="s">
        <v>74</v>
      </c>
      <c r="AC392" s="1" t="s">
        <v>74</v>
      </c>
      <c r="AD392" s="1" t="s">
        <v>74</v>
      </c>
      <c r="AE392" s="11">
        <v>45720</v>
      </c>
      <c r="AF392" s="11"/>
      <c r="AG392" s="1" t="s">
        <v>74</v>
      </c>
      <c r="AJ392" cm="1">
        <f t="array" ref="AJ392:AK392">_xlfn.XLOOKUP(M392,'Customer Data Vlookup'!$L:$L,'Customer Data Vlookup'!$M:$N,,0)</f>
        <v>0</v>
      </c>
      <c r="AK392" s="47">
        <v>403</v>
      </c>
      <c r="AL392" s="47">
        <f t="shared" si="46"/>
        <v>403</v>
      </c>
      <c r="AM392" s="58">
        <f t="shared" si="47"/>
        <v>4.4499999999999886</v>
      </c>
    </row>
    <row r="393" spans="1:39" x14ac:dyDescent="0.35">
      <c r="A393" s="1" t="s">
        <v>124</v>
      </c>
      <c r="B393" s="1" t="s">
        <v>67</v>
      </c>
      <c r="C393" s="1" t="s">
        <v>68</v>
      </c>
      <c r="D393" s="1" t="s">
        <v>69</v>
      </c>
      <c r="E393" s="1" t="s">
        <v>17</v>
      </c>
      <c r="F393" s="1" t="s">
        <v>166</v>
      </c>
      <c r="G393" s="11">
        <v>45720</v>
      </c>
      <c r="H393" s="25">
        <v>1800000818</v>
      </c>
      <c r="I393" s="1" t="s">
        <v>9</v>
      </c>
      <c r="J393" s="11">
        <v>45720</v>
      </c>
      <c r="K393" s="11">
        <v>45721</v>
      </c>
      <c r="L393" s="1" t="s">
        <v>71</v>
      </c>
      <c r="M393" s="35">
        <v>246779410758</v>
      </c>
      <c r="N393" s="1" t="s">
        <v>72</v>
      </c>
      <c r="O393" s="1" t="s">
        <v>73</v>
      </c>
      <c r="P393" s="1" t="s">
        <v>74</v>
      </c>
      <c r="Q393" s="1" t="s">
        <v>83</v>
      </c>
      <c r="R393" s="1" t="s">
        <v>76</v>
      </c>
      <c r="S393" s="12">
        <v>37.6</v>
      </c>
      <c r="T393" s="1" t="s">
        <v>77</v>
      </c>
      <c r="U393" s="12">
        <v>3259.59</v>
      </c>
      <c r="V393" s="1" t="s">
        <v>78</v>
      </c>
      <c r="W393" s="1" t="s">
        <v>79</v>
      </c>
      <c r="X393" s="1" t="s">
        <v>74</v>
      </c>
      <c r="Y393" s="1" t="s">
        <v>71</v>
      </c>
      <c r="Z393" s="1" t="s">
        <v>80</v>
      </c>
      <c r="AA393" s="1" t="s">
        <v>452</v>
      </c>
      <c r="AB393" s="1" t="s">
        <v>74</v>
      </c>
      <c r="AC393" s="1" t="s">
        <v>74</v>
      </c>
      <c r="AD393" s="1" t="s">
        <v>74</v>
      </c>
      <c r="AE393" s="11">
        <v>45720</v>
      </c>
      <c r="AF393" s="11"/>
      <c r="AG393" s="1" t="s">
        <v>74</v>
      </c>
      <c r="AJ393" cm="1">
        <f t="array" ref="AJ393:AK393">_xlfn.XLOOKUP(M393,'Customer Data Vlookup'!$L:$L,'Customer Data Vlookup'!$M:$N,,0)</f>
        <v>0</v>
      </c>
      <c r="AK393" s="47">
        <v>3219</v>
      </c>
      <c r="AL393" s="47">
        <f t="shared" si="46"/>
        <v>3219</v>
      </c>
      <c r="AM393" s="58">
        <f t="shared" si="47"/>
        <v>40.590000000000146</v>
      </c>
    </row>
    <row r="394" spans="1:39" x14ac:dyDescent="0.35">
      <c r="A394" s="1" t="s">
        <v>124</v>
      </c>
      <c r="B394" s="1" t="s">
        <v>67</v>
      </c>
      <c r="C394" s="1" t="s">
        <v>68</v>
      </c>
      <c r="D394" s="1" t="s">
        <v>69</v>
      </c>
      <c r="E394" s="1" t="s">
        <v>17</v>
      </c>
      <c r="F394" s="1" t="s">
        <v>166</v>
      </c>
      <c r="G394" s="11">
        <v>45720</v>
      </c>
      <c r="H394" s="25">
        <v>1800000819</v>
      </c>
      <c r="I394" s="1" t="s">
        <v>9</v>
      </c>
      <c r="J394" s="11">
        <v>45720</v>
      </c>
      <c r="K394" s="11">
        <v>45721</v>
      </c>
      <c r="L394" s="1" t="s">
        <v>71</v>
      </c>
      <c r="M394" s="35">
        <v>246779410759</v>
      </c>
      <c r="N394" s="1" t="s">
        <v>72</v>
      </c>
      <c r="O394" s="1" t="s">
        <v>73</v>
      </c>
      <c r="P394" s="1" t="s">
        <v>74</v>
      </c>
      <c r="Q394" s="1" t="s">
        <v>83</v>
      </c>
      <c r="R394" s="1" t="s">
        <v>76</v>
      </c>
      <c r="S394" s="12">
        <v>7.05</v>
      </c>
      <c r="T394" s="1" t="s">
        <v>77</v>
      </c>
      <c r="U394" s="12">
        <v>611.16999999999996</v>
      </c>
      <c r="V394" s="1" t="s">
        <v>78</v>
      </c>
      <c r="W394" s="1" t="s">
        <v>79</v>
      </c>
      <c r="X394" s="1" t="s">
        <v>74</v>
      </c>
      <c r="Y394" s="1" t="s">
        <v>71</v>
      </c>
      <c r="Z394" s="1" t="s">
        <v>80</v>
      </c>
      <c r="AA394" s="1" t="s">
        <v>452</v>
      </c>
      <c r="AB394" s="1" t="s">
        <v>74</v>
      </c>
      <c r="AC394" s="1" t="s">
        <v>74</v>
      </c>
      <c r="AD394" s="1" t="s">
        <v>74</v>
      </c>
      <c r="AE394" s="11">
        <v>45720</v>
      </c>
      <c r="AF394" s="11"/>
      <c r="AG394" s="1" t="s">
        <v>74</v>
      </c>
      <c r="AJ394" cm="1">
        <f t="array" ref="AJ394:AK394">_xlfn.XLOOKUP(M394,'Customer Data Vlookup'!$L:$L,'Customer Data Vlookup'!$M:$N,,0)</f>
        <v>0</v>
      </c>
      <c r="AK394" s="47">
        <v>604</v>
      </c>
      <c r="AL394" s="47">
        <f t="shared" si="46"/>
        <v>604</v>
      </c>
      <c r="AM394" s="58">
        <f t="shared" si="47"/>
        <v>7.1699999999999591</v>
      </c>
    </row>
    <row r="395" spans="1:39" x14ac:dyDescent="0.35">
      <c r="A395" s="1" t="s">
        <v>124</v>
      </c>
      <c r="B395" s="1" t="s">
        <v>67</v>
      </c>
      <c r="C395" s="1" t="s">
        <v>68</v>
      </c>
      <c r="D395" s="1" t="s">
        <v>69</v>
      </c>
      <c r="E395" s="1" t="s">
        <v>17</v>
      </c>
      <c r="F395" s="1" t="s">
        <v>166</v>
      </c>
      <c r="G395" s="11">
        <v>45720</v>
      </c>
      <c r="H395" s="25">
        <v>1800000821</v>
      </c>
      <c r="I395" s="1" t="s">
        <v>9</v>
      </c>
      <c r="J395" s="11">
        <v>45720</v>
      </c>
      <c r="K395" s="11">
        <v>45721</v>
      </c>
      <c r="L395" s="1" t="s">
        <v>71</v>
      </c>
      <c r="M395" s="35">
        <v>246779410761</v>
      </c>
      <c r="N395" s="1" t="s">
        <v>72</v>
      </c>
      <c r="O395" s="1" t="s">
        <v>73</v>
      </c>
      <c r="P395" s="1" t="s">
        <v>74</v>
      </c>
      <c r="Q395" s="1" t="s">
        <v>83</v>
      </c>
      <c r="R395" s="1" t="s">
        <v>76</v>
      </c>
      <c r="S395" s="12">
        <v>14.1</v>
      </c>
      <c r="T395" s="1" t="s">
        <v>77</v>
      </c>
      <c r="U395" s="12">
        <v>1222.3499999999999</v>
      </c>
      <c r="V395" s="1" t="s">
        <v>78</v>
      </c>
      <c r="W395" s="1" t="s">
        <v>79</v>
      </c>
      <c r="X395" s="1" t="s">
        <v>74</v>
      </c>
      <c r="Y395" s="1" t="s">
        <v>71</v>
      </c>
      <c r="Z395" s="1" t="s">
        <v>80</v>
      </c>
      <c r="AA395" s="1" t="s">
        <v>452</v>
      </c>
      <c r="AB395" s="1" t="s">
        <v>74</v>
      </c>
      <c r="AC395" s="1" t="s">
        <v>74</v>
      </c>
      <c r="AD395" s="1" t="s">
        <v>74</v>
      </c>
      <c r="AE395" s="11">
        <v>45720</v>
      </c>
      <c r="AF395" s="11"/>
      <c r="AG395" s="1" t="s">
        <v>74</v>
      </c>
      <c r="AJ395" cm="1">
        <f t="array" ref="AJ395:AK395">_xlfn.XLOOKUP(M395,'Customer Data Vlookup'!$L:$L,'Customer Data Vlookup'!$M:$N,,0)</f>
        <v>0</v>
      </c>
      <c r="AK395" s="47">
        <v>1207</v>
      </c>
      <c r="AL395" s="47">
        <f t="shared" si="46"/>
        <v>1207</v>
      </c>
      <c r="AM395" s="58">
        <f t="shared" si="47"/>
        <v>15.349999999999909</v>
      </c>
    </row>
    <row r="396" spans="1:39" x14ac:dyDescent="0.35">
      <c r="A396" s="1" t="s">
        <v>124</v>
      </c>
      <c r="B396" s="1" t="s">
        <v>67</v>
      </c>
      <c r="C396" s="1" t="s">
        <v>68</v>
      </c>
      <c r="D396" s="1" t="s">
        <v>69</v>
      </c>
      <c r="E396" s="1" t="s">
        <v>17</v>
      </c>
      <c r="F396" s="1" t="s">
        <v>166</v>
      </c>
      <c r="G396" s="11">
        <v>45720</v>
      </c>
      <c r="H396" s="25">
        <v>1800000822</v>
      </c>
      <c r="I396" s="1" t="s">
        <v>9</v>
      </c>
      <c r="J396" s="11">
        <v>45720</v>
      </c>
      <c r="K396" s="11">
        <v>45721</v>
      </c>
      <c r="L396" s="1" t="s">
        <v>71</v>
      </c>
      <c r="M396" s="35">
        <v>246779410762</v>
      </c>
      <c r="N396" s="1" t="s">
        <v>72</v>
      </c>
      <c r="O396" s="1" t="s">
        <v>73</v>
      </c>
      <c r="P396" s="1" t="s">
        <v>74</v>
      </c>
      <c r="Q396" s="1" t="s">
        <v>83</v>
      </c>
      <c r="R396" s="1" t="s">
        <v>76</v>
      </c>
      <c r="S396" s="12">
        <v>4.7</v>
      </c>
      <c r="T396" s="1" t="s">
        <v>77</v>
      </c>
      <c r="U396" s="12">
        <v>407.45</v>
      </c>
      <c r="V396" s="1" t="s">
        <v>78</v>
      </c>
      <c r="W396" s="1" t="s">
        <v>79</v>
      </c>
      <c r="X396" s="1" t="s">
        <v>74</v>
      </c>
      <c r="Y396" s="1" t="s">
        <v>71</v>
      </c>
      <c r="Z396" s="1" t="s">
        <v>80</v>
      </c>
      <c r="AA396" s="1" t="s">
        <v>452</v>
      </c>
      <c r="AB396" s="1" t="s">
        <v>74</v>
      </c>
      <c r="AC396" s="1" t="s">
        <v>74</v>
      </c>
      <c r="AD396" s="1" t="s">
        <v>74</v>
      </c>
      <c r="AE396" s="11">
        <v>45720</v>
      </c>
      <c r="AF396" s="11"/>
      <c r="AG396" s="1" t="s">
        <v>74</v>
      </c>
      <c r="AJ396" cm="1">
        <f t="array" ref="AJ396:AK396">_xlfn.XLOOKUP(M396,'Customer Data Vlookup'!$L:$L,'Customer Data Vlookup'!$M:$N,,0)</f>
        <v>0</v>
      </c>
      <c r="AK396" s="47">
        <v>403</v>
      </c>
      <c r="AL396" s="47">
        <f t="shared" si="46"/>
        <v>403</v>
      </c>
      <c r="AM396" s="58">
        <f t="shared" si="47"/>
        <v>4.4499999999999886</v>
      </c>
    </row>
    <row r="397" spans="1:39" x14ac:dyDescent="0.35">
      <c r="A397" s="1" t="s">
        <v>124</v>
      </c>
      <c r="B397" s="1" t="s">
        <v>67</v>
      </c>
      <c r="C397" s="1" t="s">
        <v>68</v>
      </c>
      <c r="D397" s="1" t="s">
        <v>69</v>
      </c>
      <c r="E397" s="1" t="s">
        <v>17</v>
      </c>
      <c r="F397" s="1" t="s">
        <v>166</v>
      </c>
      <c r="G397" s="11">
        <v>45720</v>
      </c>
      <c r="H397" s="25">
        <v>1800000823</v>
      </c>
      <c r="I397" s="1" t="s">
        <v>9</v>
      </c>
      <c r="J397" s="11">
        <v>45720</v>
      </c>
      <c r="K397" s="11">
        <v>45721</v>
      </c>
      <c r="L397" s="1" t="s">
        <v>71</v>
      </c>
      <c r="M397" s="35">
        <v>246779410763</v>
      </c>
      <c r="N397" s="1" t="s">
        <v>72</v>
      </c>
      <c r="O397" s="1" t="s">
        <v>73</v>
      </c>
      <c r="P397" s="1" t="s">
        <v>74</v>
      </c>
      <c r="Q397" s="1" t="s">
        <v>83</v>
      </c>
      <c r="R397" s="1" t="s">
        <v>76</v>
      </c>
      <c r="S397" s="12">
        <v>2.35</v>
      </c>
      <c r="T397" s="1" t="s">
        <v>77</v>
      </c>
      <c r="U397" s="12">
        <v>203.72</v>
      </c>
      <c r="V397" s="1" t="s">
        <v>78</v>
      </c>
      <c r="W397" s="1" t="s">
        <v>79</v>
      </c>
      <c r="X397" s="1" t="s">
        <v>74</v>
      </c>
      <c r="Y397" s="1" t="s">
        <v>71</v>
      </c>
      <c r="Z397" s="1" t="s">
        <v>80</v>
      </c>
      <c r="AA397" s="1" t="s">
        <v>452</v>
      </c>
      <c r="AB397" s="1" t="s">
        <v>74</v>
      </c>
      <c r="AC397" s="1" t="s">
        <v>74</v>
      </c>
      <c r="AD397" s="1" t="s">
        <v>74</v>
      </c>
      <c r="AE397" s="11">
        <v>45720</v>
      </c>
      <c r="AF397" s="11"/>
      <c r="AG397" s="1" t="s">
        <v>74</v>
      </c>
      <c r="AJ397" cm="1">
        <f t="array" ref="AJ397:AK397">_xlfn.XLOOKUP(M397,'Customer Data Vlookup'!$L:$L,'Customer Data Vlookup'!$M:$N,,0)</f>
        <v>0</v>
      </c>
      <c r="AK397" s="47">
        <v>201</v>
      </c>
      <c r="AL397" s="47">
        <f t="shared" si="46"/>
        <v>201</v>
      </c>
      <c r="AM397" s="58">
        <f t="shared" si="47"/>
        <v>2.7199999999999989</v>
      </c>
    </row>
    <row r="398" spans="1:39" x14ac:dyDescent="0.35">
      <c r="A398" s="1" t="s">
        <v>124</v>
      </c>
      <c r="B398" s="1" t="s">
        <v>67</v>
      </c>
      <c r="C398" s="1" t="s">
        <v>68</v>
      </c>
      <c r="D398" s="1" t="s">
        <v>69</v>
      </c>
      <c r="E398" s="1" t="s">
        <v>17</v>
      </c>
      <c r="F398" s="1" t="s">
        <v>166</v>
      </c>
      <c r="G398" s="11">
        <v>45720</v>
      </c>
      <c r="H398" s="25">
        <v>1800000824</v>
      </c>
      <c r="I398" s="1" t="s">
        <v>9</v>
      </c>
      <c r="J398" s="11">
        <v>45720</v>
      </c>
      <c r="K398" s="11">
        <v>45721</v>
      </c>
      <c r="L398" s="1" t="s">
        <v>71</v>
      </c>
      <c r="M398" s="35">
        <v>246779410764</v>
      </c>
      <c r="N398" s="1" t="s">
        <v>72</v>
      </c>
      <c r="O398" s="1" t="s">
        <v>73</v>
      </c>
      <c r="P398" s="1" t="s">
        <v>74</v>
      </c>
      <c r="Q398" s="1" t="s">
        <v>83</v>
      </c>
      <c r="R398" s="1" t="s">
        <v>76</v>
      </c>
      <c r="S398" s="12">
        <v>2.35</v>
      </c>
      <c r="T398" s="1" t="s">
        <v>77</v>
      </c>
      <c r="U398" s="12">
        <v>203.72</v>
      </c>
      <c r="V398" s="1" t="s">
        <v>78</v>
      </c>
      <c r="W398" s="1" t="s">
        <v>79</v>
      </c>
      <c r="X398" s="1" t="s">
        <v>74</v>
      </c>
      <c r="Y398" s="1" t="s">
        <v>71</v>
      </c>
      <c r="Z398" s="1" t="s">
        <v>80</v>
      </c>
      <c r="AA398" s="1" t="s">
        <v>452</v>
      </c>
      <c r="AB398" s="1" t="s">
        <v>74</v>
      </c>
      <c r="AC398" s="1" t="s">
        <v>74</v>
      </c>
      <c r="AD398" s="1" t="s">
        <v>74</v>
      </c>
      <c r="AE398" s="11">
        <v>45720</v>
      </c>
      <c r="AF398" s="11"/>
      <c r="AG398" s="1" t="s">
        <v>74</v>
      </c>
      <c r="AJ398" cm="1">
        <f t="array" ref="AJ398:AK398">_xlfn.XLOOKUP(M398,'Customer Data Vlookup'!$L:$L,'Customer Data Vlookup'!$M:$N,,0)</f>
        <v>0</v>
      </c>
      <c r="AK398" s="47">
        <v>201</v>
      </c>
      <c r="AL398" s="47">
        <f t="shared" si="46"/>
        <v>201</v>
      </c>
      <c r="AM398" s="58">
        <f t="shared" si="47"/>
        <v>2.7199999999999989</v>
      </c>
    </row>
    <row r="399" spans="1:39" x14ac:dyDescent="0.35">
      <c r="A399" s="1" t="s">
        <v>124</v>
      </c>
      <c r="B399" s="1" t="s">
        <v>67</v>
      </c>
      <c r="C399" s="1" t="s">
        <v>68</v>
      </c>
      <c r="D399" s="1" t="s">
        <v>69</v>
      </c>
      <c r="E399" s="1" t="s">
        <v>17</v>
      </c>
      <c r="F399" s="1" t="s">
        <v>166</v>
      </c>
      <c r="G399" s="11">
        <v>45720</v>
      </c>
      <c r="H399" s="25">
        <v>1800000825</v>
      </c>
      <c r="I399" s="1" t="s">
        <v>9</v>
      </c>
      <c r="J399" s="11">
        <v>45720</v>
      </c>
      <c r="K399" s="11">
        <v>45721</v>
      </c>
      <c r="L399" s="1" t="s">
        <v>71</v>
      </c>
      <c r="M399" s="35">
        <v>246779410765</v>
      </c>
      <c r="N399" s="1" t="s">
        <v>72</v>
      </c>
      <c r="O399" s="1" t="s">
        <v>73</v>
      </c>
      <c r="P399" s="1" t="s">
        <v>74</v>
      </c>
      <c r="Q399" s="1" t="s">
        <v>83</v>
      </c>
      <c r="R399" s="1" t="s">
        <v>76</v>
      </c>
      <c r="S399" s="12">
        <v>2.35</v>
      </c>
      <c r="T399" s="1" t="s">
        <v>77</v>
      </c>
      <c r="U399" s="12">
        <v>203.72</v>
      </c>
      <c r="V399" s="1" t="s">
        <v>78</v>
      </c>
      <c r="W399" s="1" t="s">
        <v>79</v>
      </c>
      <c r="X399" s="1" t="s">
        <v>74</v>
      </c>
      <c r="Y399" s="1" t="s">
        <v>71</v>
      </c>
      <c r="Z399" s="1" t="s">
        <v>80</v>
      </c>
      <c r="AA399" s="1" t="s">
        <v>452</v>
      </c>
      <c r="AB399" s="1" t="s">
        <v>74</v>
      </c>
      <c r="AC399" s="1" t="s">
        <v>74</v>
      </c>
      <c r="AD399" s="1" t="s">
        <v>74</v>
      </c>
      <c r="AE399" s="11">
        <v>45720</v>
      </c>
      <c r="AF399" s="11"/>
      <c r="AG399" s="1" t="s">
        <v>74</v>
      </c>
      <c r="AJ399" cm="1">
        <f t="array" ref="AJ399:AK399">_xlfn.XLOOKUP(M399,'Customer Data Vlookup'!$L:$L,'Customer Data Vlookup'!$M:$N,,0)</f>
        <v>0</v>
      </c>
      <c r="AK399" s="47">
        <v>201</v>
      </c>
      <c r="AL399" s="47">
        <f t="shared" si="46"/>
        <v>201</v>
      </c>
      <c r="AM399" s="58">
        <f t="shared" si="47"/>
        <v>2.7199999999999989</v>
      </c>
    </row>
    <row r="400" spans="1:39" x14ac:dyDescent="0.35">
      <c r="A400" s="1" t="s">
        <v>124</v>
      </c>
      <c r="B400" s="1" t="s">
        <v>67</v>
      </c>
      <c r="C400" s="1" t="s">
        <v>68</v>
      </c>
      <c r="D400" s="1" t="s">
        <v>69</v>
      </c>
      <c r="E400" s="1" t="s">
        <v>17</v>
      </c>
      <c r="F400" s="1" t="s">
        <v>166</v>
      </c>
      <c r="G400" s="11">
        <v>45720</v>
      </c>
      <c r="H400" s="25">
        <v>1800000826</v>
      </c>
      <c r="I400" s="1" t="s">
        <v>9</v>
      </c>
      <c r="J400" s="11">
        <v>45720</v>
      </c>
      <c r="K400" s="11">
        <v>45721</v>
      </c>
      <c r="L400" s="1" t="s">
        <v>71</v>
      </c>
      <c r="M400" s="35">
        <v>246779410766</v>
      </c>
      <c r="N400" s="1" t="s">
        <v>72</v>
      </c>
      <c r="O400" s="1" t="s">
        <v>73</v>
      </c>
      <c r="P400" s="1" t="s">
        <v>74</v>
      </c>
      <c r="Q400" s="1" t="s">
        <v>83</v>
      </c>
      <c r="R400" s="1" t="s">
        <v>76</v>
      </c>
      <c r="S400" s="12">
        <v>4.7</v>
      </c>
      <c r="T400" s="1" t="s">
        <v>77</v>
      </c>
      <c r="U400" s="12">
        <v>407.45</v>
      </c>
      <c r="V400" s="1" t="s">
        <v>78</v>
      </c>
      <c r="W400" s="1" t="s">
        <v>79</v>
      </c>
      <c r="X400" s="1" t="s">
        <v>74</v>
      </c>
      <c r="Y400" s="1" t="s">
        <v>71</v>
      </c>
      <c r="Z400" s="1" t="s">
        <v>80</v>
      </c>
      <c r="AA400" s="1" t="s">
        <v>452</v>
      </c>
      <c r="AB400" s="1" t="s">
        <v>74</v>
      </c>
      <c r="AC400" s="1" t="s">
        <v>74</v>
      </c>
      <c r="AD400" s="1" t="s">
        <v>74</v>
      </c>
      <c r="AE400" s="11">
        <v>45720</v>
      </c>
      <c r="AF400" s="11"/>
      <c r="AG400" s="1" t="s">
        <v>74</v>
      </c>
      <c r="AJ400" cm="1">
        <f t="array" ref="AJ400:AK400">_xlfn.XLOOKUP(M400,'Customer Data Vlookup'!$L:$L,'Customer Data Vlookup'!$M:$N,,0)</f>
        <v>0</v>
      </c>
      <c r="AK400" s="47">
        <v>403</v>
      </c>
      <c r="AL400" s="47">
        <f t="shared" si="46"/>
        <v>403</v>
      </c>
      <c r="AM400" s="58">
        <f t="shared" si="47"/>
        <v>4.4499999999999886</v>
      </c>
    </row>
    <row r="401" spans="1:39" x14ac:dyDescent="0.35">
      <c r="A401" s="1" t="s">
        <v>124</v>
      </c>
      <c r="B401" s="1" t="s">
        <v>67</v>
      </c>
      <c r="C401" s="1" t="s">
        <v>68</v>
      </c>
      <c r="D401" s="1" t="s">
        <v>69</v>
      </c>
      <c r="E401" s="1" t="s">
        <v>17</v>
      </c>
      <c r="F401" s="1" t="s">
        <v>166</v>
      </c>
      <c r="G401" s="11">
        <v>45720</v>
      </c>
      <c r="H401" s="25">
        <v>1800000900</v>
      </c>
      <c r="I401" s="1" t="s">
        <v>9</v>
      </c>
      <c r="J401" s="11">
        <v>45720</v>
      </c>
      <c r="K401" s="11">
        <v>45721</v>
      </c>
      <c r="L401" s="1" t="s">
        <v>71</v>
      </c>
      <c r="M401" s="35">
        <v>246779410841</v>
      </c>
      <c r="N401" s="1" t="s">
        <v>72</v>
      </c>
      <c r="O401" s="1" t="s">
        <v>73</v>
      </c>
      <c r="P401" s="1" t="s">
        <v>74</v>
      </c>
      <c r="Q401" s="1" t="s">
        <v>83</v>
      </c>
      <c r="R401" s="1" t="s">
        <v>76</v>
      </c>
      <c r="S401" s="12">
        <v>7.05</v>
      </c>
      <c r="T401" s="1" t="s">
        <v>77</v>
      </c>
      <c r="U401" s="12">
        <v>611.16999999999996</v>
      </c>
      <c r="V401" s="1" t="s">
        <v>78</v>
      </c>
      <c r="W401" s="1" t="s">
        <v>79</v>
      </c>
      <c r="X401" s="1" t="s">
        <v>74</v>
      </c>
      <c r="Y401" s="1" t="s">
        <v>71</v>
      </c>
      <c r="Z401" s="1" t="s">
        <v>80</v>
      </c>
      <c r="AA401" s="1" t="s">
        <v>460</v>
      </c>
      <c r="AB401" s="1" t="s">
        <v>74</v>
      </c>
      <c r="AC401" s="1" t="s">
        <v>74</v>
      </c>
      <c r="AD401" s="1" t="s">
        <v>74</v>
      </c>
      <c r="AE401" s="11">
        <v>45720</v>
      </c>
      <c r="AF401" s="11"/>
      <c r="AG401" s="1" t="s">
        <v>74</v>
      </c>
      <c r="AJ401" cm="1">
        <f t="array" ref="AJ401:AK401">_xlfn.XLOOKUP(M401,'Customer Data Vlookup'!$L:$L,'Customer Data Vlookup'!$M:$N,,0)</f>
        <v>0</v>
      </c>
      <c r="AK401" s="47">
        <v>604</v>
      </c>
      <c r="AL401" s="47">
        <f t="shared" si="46"/>
        <v>604</v>
      </c>
      <c r="AM401" s="58">
        <f t="shared" si="47"/>
        <v>7.1699999999999591</v>
      </c>
    </row>
    <row r="402" spans="1:39" x14ac:dyDescent="0.35">
      <c r="A402" s="1" t="s">
        <v>124</v>
      </c>
      <c r="B402" s="1" t="s">
        <v>67</v>
      </c>
      <c r="C402" s="1" t="s">
        <v>68</v>
      </c>
      <c r="D402" s="1" t="s">
        <v>69</v>
      </c>
      <c r="E402" s="1" t="s">
        <v>17</v>
      </c>
      <c r="F402" s="1" t="s">
        <v>166</v>
      </c>
      <c r="G402" s="11">
        <v>45720</v>
      </c>
      <c r="H402" s="25">
        <v>1800000901</v>
      </c>
      <c r="I402" s="1" t="s">
        <v>9</v>
      </c>
      <c r="J402" s="11">
        <v>45720</v>
      </c>
      <c r="K402" s="11">
        <v>45721</v>
      </c>
      <c r="L402" s="1" t="s">
        <v>71</v>
      </c>
      <c r="M402" s="35">
        <v>246779410842</v>
      </c>
      <c r="N402" s="1" t="s">
        <v>72</v>
      </c>
      <c r="O402" s="1" t="s">
        <v>73</v>
      </c>
      <c r="P402" s="1" t="s">
        <v>74</v>
      </c>
      <c r="Q402" s="1" t="s">
        <v>83</v>
      </c>
      <c r="R402" s="1" t="s">
        <v>76</v>
      </c>
      <c r="S402" s="12">
        <v>4.7</v>
      </c>
      <c r="T402" s="1" t="s">
        <v>77</v>
      </c>
      <c r="U402" s="12">
        <v>407.45</v>
      </c>
      <c r="V402" s="1" t="s">
        <v>78</v>
      </c>
      <c r="W402" s="1" t="s">
        <v>79</v>
      </c>
      <c r="X402" s="1" t="s">
        <v>74</v>
      </c>
      <c r="Y402" s="1" t="s">
        <v>71</v>
      </c>
      <c r="Z402" s="1" t="s">
        <v>80</v>
      </c>
      <c r="AA402" s="1" t="s">
        <v>460</v>
      </c>
      <c r="AB402" s="1" t="s">
        <v>74</v>
      </c>
      <c r="AC402" s="1" t="s">
        <v>74</v>
      </c>
      <c r="AD402" s="1" t="s">
        <v>74</v>
      </c>
      <c r="AE402" s="11">
        <v>45720</v>
      </c>
      <c r="AF402" s="11"/>
      <c r="AG402" s="1" t="s">
        <v>74</v>
      </c>
      <c r="AJ402" cm="1">
        <f t="array" ref="AJ402:AK402">_xlfn.XLOOKUP(M402,'Customer Data Vlookup'!$L:$L,'Customer Data Vlookup'!$M:$N,,0)</f>
        <v>0</v>
      </c>
      <c r="AK402" s="47">
        <v>403</v>
      </c>
      <c r="AL402" s="47">
        <f t="shared" si="46"/>
        <v>403</v>
      </c>
      <c r="AM402" s="58">
        <f t="shared" si="47"/>
        <v>4.4499999999999886</v>
      </c>
    </row>
    <row r="403" spans="1:39" x14ac:dyDescent="0.35">
      <c r="A403" s="1" t="s">
        <v>124</v>
      </c>
      <c r="B403" s="1" t="s">
        <v>67</v>
      </c>
      <c r="C403" s="1" t="s">
        <v>68</v>
      </c>
      <c r="D403" s="1" t="s">
        <v>69</v>
      </c>
      <c r="E403" s="1" t="s">
        <v>17</v>
      </c>
      <c r="F403" s="1" t="s">
        <v>166</v>
      </c>
      <c r="G403" s="11">
        <v>45720</v>
      </c>
      <c r="H403" s="25">
        <v>1800000902</v>
      </c>
      <c r="I403" s="1" t="s">
        <v>9</v>
      </c>
      <c r="J403" s="11">
        <v>45720</v>
      </c>
      <c r="K403" s="11">
        <v>45721</v>
      </c>
      <c r="L403" s="1" t="s">
        <v>71</v>
      </c>
      <c r="M403" s="35">
        <v>246779410843</v>
      </c>
      <c r="N403" s="1" t="s">
        <v>72</v>
      </c>
      <c r="O403" s="1" t="s">
        <v>73</v>
      </c>
      <c r="P403" s="1" t="s">
        <v>74</v>
      </c>
      <c r="Q403" s="1" t="s">
        <v>83</v>
      </c>
      <c r="R403" s="1" t="s">
        <v>76</v>
      </c>
      <c r="S403" s="12">
        <v>4.7</v>
      </c>
      <c r="T403" s="1" t="s">
        <v>77</v>
      </c>
      <c r="U403" s="12">
        <v>407.45</v>
      </c>
      <c r="V403" s="1" t="s">
        <v>78</v>
      </c>
      <c r="W403" s="1" t="s">
        <v>79</v>
      </c>
      <c r="X403" s="1" t="s">
        <v>74</v>
      </c>
      <c r="Y403" s="1" t="s">
        <v>71</v>
      </c>
      <c r="Z403" s="1" t="s">
        <v>80</v>
      </c>
      <c r="AA403" s="1" t="s">
        <v>460</v>
      </c>
      <c r="AB403" s="1" t="s">
        <v>74</v>
      </c>
      <c r="AC403" s="1" t="s">
        <v>74</v>
      </c>
      <c r="AD403" s="1" t="s">
        <v>74</v>
      </c>
      <c r="AE403" s="11">
        <v>45720</v>
      </c>
      <c r="AF403" s="11"/>
      <c r="AG403" s="1" t="s">
        <v>74</v>
      </c>
      <c r="AJ403" cm="1">
        <f t="array" ref="AJ403:AK403">_xlfn.XLOOKUP(M403,'Customer Data Vlookup'!$L:$L,'Customer Data Vlookup'!$M:$N,,0)</f>
        <v>0</v>
      </c>
      <c r="AK403" s="47">
        <v>403</v>
      </c>
      <c r="AL403" s="47">
        <f t="shared" si="46"/>
        <v>403</v>
      </c>
      <c r="AM403" s="58">
        <f t="shared" si="47"/>
        <v>4.4499999999999886</v>
      </c>
    </row>
    <row r="404" spans="1:39" x14ac:dyDescent="0.35">
      <c r="A404" s="1" t="s">
        <v>124</v>
      </c>
      <c r="B404" s="1" t="s">
        <v>67</v>
      </c>
      <c r="C404" s="1" t="s">
        <v>68</v>
      </c>
      <c r="D404" s="1" t="s">
        <v>69</v>
      </c>
      <c r="E404" s="1" t="s">
        <v>17</v>
      </c>
      <c r="F404" s="1" t="s">
        <v>166</v>
      </c>
      <c r="G404" s="11">
        <v>45720</v>
      </c>
      <c r="H404" s="25">
        <v>1800000903</v>
      </c>
      <c r="I404" s="1" t="s">
        <v>9</v>
      </c>
      <c r="J404" s="11">
        <v>45720</v>
      </c>
      <c r="K404" s="11">
        <v>45721</v>
      </c>
      <c r="L404" s="1" t="s">
        <v>71</v>
      </c>
      <c r="M404" s="35">
        <v>246779410844</v>
      </c>
      <c r="N404" s="1" t="s">
        <v>72</v>
      </c>
      <c r="O404" s="1" t="s">
        <v>73</v>
      </c>
      <c r="P404" s="1" t="s">
        <v>74</v>
      </c>
      <c r="Q404" s="1" t="s">
        <v>83</v>
      </c>
      <c r="R404" s="1" t="s">
        <v>76</v>
      </c>
      <c r="S404" s="12">
        <v>4.7</v>
      </c>
      <c r="T404" s="1" t="s">
        <v>77</v>
      </c>
      <c r="U404" s="12">
        <v>407.45</v>
      </c>
      <c r="V404" s="1" t="s">
        <v>78</v>
      </c>
      <c r="W404" s="1" t="s">
        <v>79</v>
      </c>
      <c r="X404" s="1" t="s">
        <v>74</v>
      </c>
      <c r="Y404" s="1" t="s">
        <v>71</v>
      </c>
      <c r="Z404" s="1" t="s">
        <v>80</v>
      </c>
      <c r="AA404" s="1" t="s">
        <v>460</v>
      </c>
      <c r="AB404" s="1" t="s">
        <v>74</v>
      </c>
      <c r="AC404" s="1" t="s">
        <v>74</v>
      </c>
      <c r="AD404" s="1" t="s">
        <v>74</v>
      </c>
      <c r="AE404" s="11">
        <v>45720</v>
      </c>
      <c r="AF404" s="11"/>
      <c r="AG404" s="1" t="s">
        <v>74</v>
      </c>
      <c r="AJ404" cm="1">
        <f t="array" ref="AJ404:AK404">_xlfn.XLOOKUP(M404,'Customer Data Vlookup'!$L:$L,'Customer Data Vlookup'!$M:$N,,0)</f>
        <v>0</v>
      </c>
      <c r="AK404" s="47">
        <v>403</v>
      </c>
      <c r="AL404" s="47">
        <f t="shared" si="46"/>
        <v>403</v>
      </c>
      <c r="AM404" s="58">
        <f t="shared" si="47"/>
        <v>4.4499999999999886</v>
      </c>
    </row>
    <row r="405" spans="1:39" x14ac:dyDescent="0.35">
      <c r="A405" s="1" t="s">
        <v>124</v>
      </c>
      <c r="B405" s="1" t="s">
        <v>67</v>
      </c>
      <c r="C405" s="1" t="s">
        <v>68</v>
      </c>
      <c r="D405" s="1" t="s">
        <v>69</v>
      </c>
      <c r="E405" s="1" t="s">
        <v>17</v>
      </c>
      <c r="F405" s="1" t="s">
        <v>166</v>
      </c>
      <c r="G405" s="11">
        <v>45720</v>
      </c>
      <c r="H405" s="25">
        <v>1800000904</v>
      </c>
      <c r="I405" s="1" t="s">
        <v>9</v>
      </c>
      <c r="J405" s="11">
        <v>45720</v>
      </c>
      <c r="K405" s="11">
        <v>45721</v>
      </c>
      <c r="L405" s="1" t="s">
        <v>71</v>
      </c>
      <c r="M405" s="35">
        <v>246779410845</v>
      </c>
      <c r="N405" s="1" t="s">
        <v>72</v>
      </c>
      <c r="O405" s="1" t="s">
        <v>73</v>
      </c>
      <c r="P405" s="1" t="s">
        <v>74</v>
      </c>
      <c r="Q405" s="1" t="s">
        <v>83</v>
      </c>
      <c r="R405" s="1" t="s">
        <v>76</v>
      </c>
      <c r="S405" s="12">
        <v>9.4</v>
      </c>
      <c r="T405" s="1" t="s">
        <v>77</v>
      </c>
      <c r="U405" s="12">
        <v>814.9</v>
      </c>
      <c r="V405" s="1" t="s">
        <v>78</v>
      </c>
      <c r="W405" s="1" t="s">
        <v>79</v>
      </c>
      <c r="X405" s="1" t="s">
        <v>74</v>
      </c>
      <c r="Y405" s="1" t="s">
        <v>71</v>
      </c>
      <c r="Z405" s="1" t="s">
        <v>80</v>
      </c>
      <c r="AA405" s="1" t="s">
        <v>460</v>
      </c>
      <c r="AB405" s="1" t="s">
        <v>74</v>
      </c>
      <c r="AC405" s="1" t="s">
        <v>74</v>
      </c>
      <c r="AD405" s="1" t="s">
        <v>74</v>
      </c>
      <c r="AE405" s="11">
        <v>45720</v>
      </c>
      <c r="AF405" s="11"/>
      <c r="AG405" s="1" t="s">
        <v>74</v>
      </c>
      <c r="AJ405" cm="1">
        <f t="array" ref="AJ405:AK405">_xlfn.XLOOKUP(M405,'Customer Data Vlookup'!$L:$L,'Customer Data Vlookup'!$M:$N,,0)</f>
        <v>0</v>
      </c>
      <c r="AK405" s="47">
        <v>805</v>
      </c>
      <c r="AL405" s="47">
        <f t="shared" si="46"/>
        <v>805</v>
      </c>
      <c r="AM405" s="58">
        <f t="shared" si="47"/>
        <v>9.8999999999999773</v>
      </c>
    </row>
    <row r="406" spans="1:39" x14ac:dyDescent="0.35">
      <c r="A406" s="1" t="s">
        <v>124</v>
      </c>
      <c r="B406" s="1" t="s">
        <v>67</v>
      </c>
      <c r="C406" s="1" t="s">
        <v>68</v>
      </c>
      <c r="D406" s="1" t="s">
        <v>69</v>
      </c>
      <c r="E406" s="1" t="s">
        <v>17</v>
      </c>
      <c r="F406" s="1" t="s">
        <v>166</v>
      </c>
      <c r="G406" s="11">
        <v>45720</v>
      </c>
      <c r="H406" s="25">
        <v>1800000905</v>
      </c>
      <c r="I406" s="1" t="s">
        <v>9</v>
      </c>
      <c r="J406" s="11">
        <v>45720</v>
      </c>
      <c r="K406" s="11">
        <v>45721</v>
      </c>
      <c r="L406" s="1" t="s">
        <v>71</v>
      </c>
      <c r="M406" s="35">
        <v>246779410846</v>
      </c>
      <c r="N406" s="1" t="s">
        <v>72</v>
      </c>
      <c r="O406" s="1" t="s">
        <v>73</v>
      </c>
      <c r="P406" s="1" t="s">
        <v>74</v>
      </c>
      <c r="Q406" s="1" t="s">
        <v>83</v>
      </c>
      <c r="R406" s="1" t="s">
        <v>76</v>
      </c>
      <c r="S406" s="12">
        <v>4.7</v>
      </c>
      <c r="T406" s="1" t="s">
        <v>77</v>
      </c>
      <c r="U406" s="12">
        <v>407.45</v>
      </c>
      <c r="V406" s="1" t="s">
        <v>78</v>
      </c>
      <c r="W406" s="1" t="s">
        <v>79</v>
      </c>
      <c r="X406" s="1" t="s">
        <v>74</v>
      </c>
      <c r="Y406" s="1" t="s">
        <v>71</v>
      </c>
      <c r="Z406" s="1" t="s">
        <v>80</v>
      </c>
      <c r="AA406" s="1" t="s">
        <v>460</v>
      </c>
      <c r="AB406" s="1" t="s">
        <v>74</v>
      </c>
      <c r="AC406" s="1" t="s">
        <v>74</v>
      </c>
      <c r="AD406" s="1" t="s">
        <v>74</v>
      </c>
      <c r="AE406" s="11">
        <v>45720</v>
      </c>
      <c r="AF406" s="11"/>
      <c r="AG406" s="1" t="s">
        <v>74</v>
      </c>
      <c r="AJ406" cm="1">
        <f t="array" ref="AJ406:AK406">_xlfn.XLOOKUP(M406,'Customer Data Vlookup'!$L:$L,'Customer Data Vlookup'!$M:$N,,0)</f>
        <v>0</v>
      </c>
      <c r="AK406" s="47">
        <v>381</v>
      </c>
      <c r="AL406" s="47">
        <f t="shared" si="46"/>
        <v>381</v>
      </c>
      <c r="AM406" s="58">
        <f t="shared" si="47"/>
        <v>26.449999999999989</v>
      </c>
    </row>
    <row r="407" spans="1:39" x14ac:dyDescent="0.35">
      <c r="A407" s="1" t="s">
        <v>124</v>
      </c>
      <c r="B407" s="1" t="s">
        <v>67</v>
      </c>
      <c r="C407" s="1" t="s">
        <v>68</v>
      </c>
      <c r="D407" s="1" t="s">
        <v>69</v>
      </c>
      <c r="E407" s="1" t="s">
        <v>17</v>
      </c>
      <c r="F407" s="1" t="s">
        <v>166</v>
      </c>
      <c r="G407" s="11">
        <v>45720</v>
      </c>
      <c r="H407" s="25">
        <v>1800000906</v>
      </c>
      <c r="I407" s="1" t="s">
        <v>9</v>
      </c>
      <c r="J407" s="11">
        <v>45720</v>
      </c>
      <c r="K407" s="11">
        <v>45721</v>
      </c>
      <c r="L407" s="1" t="s">
        <v>71</v>
      </c>
      <c r="M407" s="35">
        <v>246779410847</v>
      </c>
      <c r="N407" s="1" t="s">
        <v>72</v>
      </c>
      <c r="O407" s="1" t="s">
        <v>73</v>
      </c>
      <c r="P407" s="1" t="s">
        <v>74</v>
      </c>
      <c r="Q407" s="1" t="s">
        <v>83</v>
      </c>
      <c r="R407" s="1" t="s">
        <v>76</v>
      </c>
      <c r="S407" s="12">
        <v>18.8</v>
      </c>
      <c r="T407" s="1" t="s">
        <v>77</v>
      </c>
      <c r="U407" s="12">
        <v>1629.8</v>
      </c>
      <c r="V407" s="1" t="s">
        <v>78</v>
      </c>
      <c r="W407" s="1" t="s">
        <v>79</v>
      </c>
      <c r="X407" s="1" t="s">
        <v>74</v>
      </c>
      <c r="Y407" s="1" t="s">
        <v>71</v>
      </c>
      <c r="Z407" s="1" t="s">
        <v>80</v>
      </c>
      <c r="AA407" s="1" t="s">
        <v>460</v>
      </c>
      <c r="AB407" s="1" t="s">
        <v>74</v>
      </c>
      <c r="AC407" s="1" t="s">
        <v>74</v>
      </c>
      <c r="AD407" s="1" t="s">
        <v>74</v>
      </c>
      <c r="AE407" s="11">
        <v>45720</v>
      </c>
      <c r="AF407" s="11"/>
      <c r="AG407" s="1" t="s">
        <v>74</v>
      </c>
      <c r="AJ407" cm="1">
        <f t="array" ref="AJ407:AK407">_xlfn.XLOOKUP(M407,'Customer Data Vlookup'!$L:$L,'Customer Data Vlookup'!$M:$N,,0)</f>
        <v>0</v>
      </c>
      <c r="AK407" s="47">
        <v>1528</v>
      </c>
      <c r="AL407" s="47">
        <f t="shared" si="46"/>
        <v>1528</v>
      </c>
      <c r="AM407" s="58">
        <f t="shared" si="47"/>
        <v>101.79999999999995</v>
      </c>
    </row>
    <row r="408" spans="1:39" x14ac:dyDescent="0.35">
      <c r="A408" s="1" t="s">
        <v>124</v>
      </c>
      <c r="B408" s="1" t="s">
        <v>67</v>
      </c>
      <c r="C408" s="1" t="s">
        <v>68</v>
      </c>
      <c r="D408" s="1" t="s">
        <v>69</v>
      </c>
      <c r="E408" s="1" t="s">
        <v>17</v>
      </c>
      <c r="F408" s="1" t="s">
        <v>166</v>
      </c>
      <c r="G408" s="11">
        <v>45720</v>
      </c>
      <c r="H408" s="25">
        <v>1800000907</v>
      </c>
      <c r="I408" s="1" t="s">
        <v>9</v>
      </c>
      <c r="J408" s="11">
        <v>45720</v>
      </c>
      <c r="K408" s="11">
        <v>45721</v>
      </c>
      <c r="L408" s="1" t="s">
        <v>71</v>
      </c>
      <c r="M408" s="35">
        <v>246779410848</v>
      </c>
      <c r="N408" s="1" t="s">
        <v>72</v>
      </c>
      <c r="O408" s="1" t="s">
        <v>73</v>
      </c>
      <c r="P408" s="1" t="s">
        <v>74</v>
      </c>
      <c r="Q408" s="1" t="s">
        <v>83</v>
      </c>
      <c r="R408" s="1" t="s">
        <v>76</v>
      </c>
      <c r="S408" s="12">
        <v>2.35</v>
      </c>
      <c r="T408" s="1" t="s">
        <v>77</v>
      </c>
      <c r="U408" s="12">
        <v>203.72</v>
      </c>
      <c r="V408" s="1" t="s">
        <v>78</v>
      </c>
      <c r="W408" s="1" t="s">
        <v>79</v>
      </c>
      <c r="X408" s="1" t="s">
        <v>74</v>
      </c>
      <c r="Y408" s="1" t="s">
        <v>71</v>
      </c>
      <c r="Z408" s="1" t="s">
        <v>80</v>
      </c>
      <c r="AA408" s="1" t="s">
        <v>460</v>
      </c>
      <c r="AB408" s="1" t="s">
        <v>74</v>
      </c>
      <c r="AC408" s="1" t="s">
        <v>74</v>
      </c>
      <c r="AD408" s="1" t="s">
        <v>74</v>
      </c>
      <c r="AE408" s="11">
        <v>45720</v>
      </c>
      <c r="AF408" s="11"/>
      <c r="AG408" s="1" t="s">
        <v>74</v>
      </c>
      <c r="AJ408" cm="1">
        <f t="array" ref="AJ408:AK408">_xlfn.XLOOKUP(M408,'Customer Data Vlookup'!$L:$L,'Customer Data Vlookup'!$M:$N,,0)</f>
        <v>0</v>
      </c>
      <c r="AK408" s="47">
        <v>200</v>
      </c>
      <c r="AL408" s="47">
        <f t="shared" si="46"/>
        <v>200</v>
      </c>
      <c r="AM408" s="58">
        <f t="shared" si="47"/>
        <v>3.7199999999999989</v>
      </c>
    </row>
    <row r="409" spans="1:39" x14ac:dyDescent="0.35">
      <c r="A409" s="1" t="s">
        <v>124</v>
      </c>
      <c r="B409" s="1" t="s">
        <v>67</v>
      </c>
      <c r="C409" s="1" t="s">
        <v>68</v>
      </c>
      <c r="D409" s="1" t="s">
        <v>69</v>
      </c>
      <c r="E409" s="1" t="s">
        <v>17</v>
      </c>
      <c r="F409" s="1" t="s">
        <v>166</v>
      </c>
      <c r="G409" s="11">
        <v>45720</v>
      </c>
      <c r="H409" s="25">
        <v>1800000908</v>
      </c>
      <c r="I409" s="1" t="s">
        <v>9</v>
      </c>
      <c r="J409" s="11">
        <v>45720</v>
      </c>
      <c r="K409" s="11">
        <v>45721</v>
      </c>
      <c r="L409" s="1" t="s">
        <v>71</v>
      </c>
      <c r="M409" s="35">
        <v>246779410849</v>
      </c>
      <c r="N409" s="1" t="s">
        <v>72</v>
      </c>
      <c r="O409" s="1" t="s">
        <v>73</v>
      </c>
      <c r="P409" s="1" t="s">
        <v>74</v>
      </c>
      <c r="Q409" s="1" t="s">
        <v>83</v>
      </c>
      <c r="R409" s="1" t="s">
        <v>76</v>
      </c>
      <c r="S409" s="12">
        <v>42.3</v>
      </c>
      <c r="T409" s="1" t="s">
        <v>77</v>
      </c>
      <c r="U409" s="12">
        <v>3667.04</v>
      </c>
      <c r="V409" s="1" t="s">
        <v>78</v>
      </c>
      <c r="W409" s="1" t="s">
        <v>79</v>
      </c>
      <c r="X409" s="1" t="s">
        <v>74</v>
      </c>
      <c r="Y409" s="1" t="s">
        <v>71</v>
      </c>
      <c r="Z409" s="1" t="s">
        <v>80</v>
      </c>
      <c r="AA409" s="1" t="s">
        <v>460</v>
      </c>
      <c r="AB409" s="1" t="s">
        <v>74</v>
      </c>
      <c r="AC409" s="1" t="s">
        <v>74</v>
      </c>
      <c r="AD409" s="1" t="s">
        <v>74</v>
      </c>
      <c r="AE409" s="11">
        <v>45720</v>
      </c>
      <c r="AF409" s="11"/>
      <c r="AG409" s="1" t="s">
        <v>74</v>
      </c>
      <c r="AJ409" cm="1">
        <f t="array" ref="AJ409:AK409">_xlfn.XLOOKUP(M409,'Customer Data Vlookup'!$L:$L,'Customer Data Vlookup'!$M:$N,,0)</f>
        <v>0</v>
      </c>
      <c r="AK409" s="47">
        <v>3436</v>
      </c>
      <c r="AL409" s="47">
        <f t="shared" si="46"/>
        <v>3436</v>
      </c>
      <c r="AM409" s="58">
        <f t="shared" si="47"/>
        <v>231.03999999999996</v>
      </c>
    </row>
    <row r="410" spans="1:39" x14ac:dyDescent="0.35">
      <c r="A410" s="1" t="s">
        <v>124</v>
      </c>
      <c r="B410" s="1" t="s">
        <v>67</v>
      </c>
      <c r="C410" s="1" t="s">
        <v>68</v>
      </c>
      <c r="D410" s="1" t="s">
        <v>69</v>
      </c>
      <c r="E410" s="1" t="s">
        <v>17</v>
      </c>
      <c r="F410" s="1" t="s">
        <v>166</v>
      </c>
      <c r="G410" s="11">
        <v>45720</v>
      </c>
      <c r="H410" s="25">
        <v>1800000909</v>
      </c>
      <c r="I410" s="1" t="s">
        <v>9</v>
      </c>
      <c r="J410" s="11">
        <v>45720</v>
      </c>
      <c r="K410" s="11">
        <v>45721</v>
      </c>
      <c r="L410" s="1" t="s">
        <v>71</v>
      </c>
      <c r="M410" s="35">
        <v>246779410850</v>
      </c>
      <c r="N410" s="1" t="s">
        <v>72</v>
      </c>
      <c r="O410" s="1" t="s">
        <v>73</v>
      </c>
      <c r="P410" s="1" t="s">
        <v>74</v>
      </c>
      <c r="Q410" s="1" t="s">
        <v>83</v>
      </c>
      <c r="R410" s="1" t="s">
        <v>76</v>
      </c>
      <c r="S410" s="12">
        <v>9.4</v>
      </c>
      <c r="T410" s="1" t="s">
        <v>77</v>
      </c>
      <c r="U410" s="12">
        <v>814.9</v>
      </c>
      <c r="V410" s="1" t="s">
        <v>78</v>
      </c>
      <c r="W410" s="1" t="s">
        <v>79</v>
      </c>
      <c r="X410" s="1" t="s">
        <v>74</v>
      </c>
      <c r="Y410" s="1" t="s">
        <v>71</v>
      </c>
      <c r="Z410" s="1" t="s">
        <v>80</v>
      </c>
      <c r="AA410" s="1" t="s">
        <v>460</v>
      </c>
      <c r="AB410" s="1" t="s">
        <v>74</v>
      </c>
      <c r="AC410" s="1" t="s">
        <v>74</v>
      </c>
      <c r="AD410" s="1" t="s">
        <v>74</v>
      </c>
      <c r="AE410" s="11">
        <v>45720</v>
      </c>
      <c r="AF410" s="11"/>
      <c r="AG410" s="1" t="s">
        <v>74</v>
      </c>
      <c r="AJ410" cm="1">
        <f t="array" ref="AJ410:AK410">_xlfn.XLOOKUP(M410,'Customer Data Vlookup'!$L:$L,'Customer Data Vlookup'!$M:$N,,0)</f>
        <v>0</v>
      </c>
      <c r="AK410" s="47">
        <v>763</v>
      </c>
      <c r="AL410" s="47">
        <f t="shared" si="46"/>
        <v>763</v>
      </c>
      <c r="AM410" s="58">
        <f t="shared" si="47"/>
        <v>51.899999999999977</v>
      </c>
    </row>
    <row r="411" spans="1:39" x14ac:dyDescent="0.35">
      <c r="A411" s="1" t="s">
        <v>124</v>
      </c>
      <c r="B411" s="1" t="s">
        <v>67</v>
      </c>
      <c r="C411" s="1" t="s">
        <v>68</v>
      </c>
      <c r="D411" s="1" t="s">
        <v>69</v>
      </c>
      <c r="E411" s="1" t="s">
        <v>17</v>
      </c>
      <c r="F411" s="1" t="s">
        <v>166</v>
      </c>
      <c r="G411" s="11">
        <v>45720</v>
      </c>
      <c r="H411" s="25">
        <v>1800000910</v>
      </c>
      <c r="I411" s="1" t="s">
        <v>9</v>
      </c>
      <c r="J411" s="11">
        <v>45720</v>
      </c>
      <c r="K411" s="11">
        <v>45721</v>
      </c>
      <c r="L411" s="1" t="s">
        <v>71</v>
      </c>
      <c r="M411" s="35">
        <v>246779410851</v>
      </c>
      <c r="N411" s="1" t="s">
        <v>72</v>
      </c>
      <c r="O411" s="1" t="s">
        <v>73</v>
      </c>
      <c r="P411" s="1" t="s">
        <v>74</v>
      </c>
      <c r="Q411" s="1" t="s">
        <v>83</v>
      </c>
      <c r="R411" s="1" t="s">
        <v>76</v>
      </c>
      <c r="S411" s="12">
        <v>4.7</v>
      </c>
      <c r="T411" s="1" t="s">
        <v>77</v>
      </c>
      <c r="U411" s="12">
        <v>407.45</v>
      </c>
      <c r="V411" s="1" t="s">
        <v>78</v>
      </c>
      <c r="W411" s="1" t="s">
        <v>79</v>
      </c>
      <c r="X411" s="1" t="s">
        <v>74</v>
      </c>
      <c r="Y411" s="1" t="s">
        <v>71</v>
      </c>
      <c r="Z411" s="1" t="s">
        <v>80</v>
      </c>
      <c r="AA411" s="1" t="s">
        <v>460</v>
      </c>
      <c r="AB411" s="1" t="s">
        <v>74</v>
      </c>
      <c r="AC411" s="1" t="s">
        <v>74</v>
      </c>
      <c r="AD411" s="1" t="s">
        <v>74</v>
      </c>
      <c r="AE411" s="11">
        <v>45720</v>
      </c>
      <c r="AF411" s="11"/>
      <c r="AG411" s="1" t="s">
        <v>74</v>
      </c>
      <c r="AJ411" cm="1">
        <f t="array" ref="AJ411:AK411">_xlfn.XLOOKUP(M411,'Customer Data Vlookup'!$L:$L,'Customer Data Vlookup'!$M:$N,,0)</f>
        <v>0</v>
      </c>
      <c r="AK411" s="47">
        <v>381</v>
      </c>
      <c r="AL411" s="47">
        <f t="shared" si="46"/>
        <v>381</v>
      </c>
      <c r="AM411" s="58">
        <f t="shared" si="47"/>
        <v>26.449999999999989</v>
      </c>
    </row>
    <row r="412" spans="1:39" x14ac:dyDescent="0.35">
      <c r="A412" s="1" t="s">
        <v>124</v>
      </c>
      <c r="B412" s="1" t="s">
        <v>67</v>
      </c>
      <c r="C412" s="1" t="s">
        <v>68</v>
      </c>
      <c r="D412" s="1" t="s">
        <v>69</v>
      </c>
      <c r="E412" s="1" t="s">
        <v>17</v>
      </c>
      <c r="F412" s="1" t="s">
        <v>166</v>
      </c>
      <c r="G412" s="11">
        <v>45720</v>
      </c>
      <c r="H412" s="25">
        <v>1800000911</v>
      </c>
      <c r="I412" s="1" t="s">
        <v>9</v>
      </c>
      <c r="J412" s="11">
        <v>45720</v>
      </c>
      <c r="K412" s="11">
        <v>45721</v>
      </c>
      <c r="L412" s="1" t="s">
        <v>71</v>
      </c>
      <c r="M412" s="35">
        <v>246779410852</v>
      </c>
      <c r="N412" s="1" t="s">
        <v>72</v>
      </c>
      <c r="O412" s="1" t="s">
        <v>73</v>
      </c>
      <c r="P412" s="1" t="s">
        <v>74</v>
      </c>
      <c r="Q412" s="1" t="s">
        <v>83</v>
      </c>
      <c r="R412" s="1" t="s">
        <v>76</v>
      </c>
      <c r="S412" s="12">
        <v>4.7</v>
      </c>
      <c r="T412" s="1" t="s">
        <v>77</v>
      </c>
      <c r="U412" s="12">
        <v>407.45</v>
      </c>
      <c r="V412" s="1" t="s">
        <v>78</v>
      </c>
      <c r="W412" s="1" t="s">
        <v>79</v>
      </c>
      <c r="X412" s="1" t="s">
        <v>74</v>
      </c>
      <c r="Y412" s="1" t="s">
        <v>71</v>
      </c>
      <c r="Z412" s="1" t="s">
        <v>80</v>
      </c>
      <c r="AA412" s="1" t="s">
        <v>460</v>
      </c>
      <c r="AB412" s="1" t="s">
        <v>74</v>
      </c>
      <c r="AC412" s="1" t="s">
        <v>74</v>
      </c>
      <c r="AD412" s="1" t="s">
        <v>74</v>
      </c>
      <c r="AE412" s="11">
        <v>45720</v>
      </c>
      <c r="AF412" s="11"/>
      <c r="AG412" s="1" t="s">
        <v>74</v>
      </c>
      <c r="AJ412" cm="1">
        <f t="array" ref="AJ412:AK412">_xlfn.XLOOKUP(M412,'Customer Data Vlookup'!$L:$L,'Customer Data Vlookup'!$M:$N,,0)</f>
        <v>0</v>
      </c>
      <c r="AK412" s="47">
        <v>381</v>
      </c>
      <c r="AL412" s="47">
        <f t="shared" si="46"/>
        <v>381</v>
      </c>
      <c r="AM412" s="58">
        <f t="shared" si="47"/>
        <v>26.449999999999989</v>
      </c>
    </row>
    <row r="413" spans="1:39" x14ac:dyDescent="0.35">
      <c r="A413" s="1" t="s">
        <v>124</v>
      </c>
      <c r="B413" s="1" t="s">
        <v>67</v>
      </c>
      <c r="C413" s="1" t="s">
        <v>68</v>
      </c>
      <c r="D413" s="1" t="s">
        <v>69</v>
      </c>
      <c r="E413" s="1" t="s">
        <v>17</v>
      </c>
      <c r="F413" s="1" t="s">
        <v>166</v>
      </c>
      <c r="G413" s="11">
        <v>45720</v>
      </c>
      <c r="H413" s="25">
        <v>1800000912</v>
      </c>
      <c r="I413" s="1" t="s">
        <v>9</v>
      </c>
      <c r="J413" s="11">
        <v>45720</v>
      </c>
      <c r="K413" s="11">
        <v>45721</v>
      </c>
      <c r="L413" s="1" t="s">
        <v>71</v>
      </c>
      <c r="M413" s="35">
        <v>246779410853</v>
      </c>
      <c r="N413" s="1" t="s">
        <v>72</v>
      </c>
      <c r="O413" s="1" t="s">
        <v>73</v>
      </c>
      <c r="P413" s="1" t="s">
        <v>74</v>
      </c>
      <c r="Q413" s="1" t="s">
        <v>83</v>
      </c>
      <c r="R413" s="1" t="s">
        <v>76</v>
      </c>
      <c r="S413" s="12">
        <v>2.35</v>
      </c>
      <c r="T413" s="1" t="s">
        <v>77</v>
      </c>
      <c r="U413" s="12">
        <v>203.72</v>
      </c>
      <c r="V413" s="1" t="s">
        <v>78</v>
      </c>
      <c r="W413" s="1" t="s">
        <v>79</v>
      </c>
      <c r="X413" s="1" t="s">
        <v>74</v>
      </c>
      <c r="Y413" s="1" t="s">
        <v>71</v>
      </c>
      <c r="Z413" s="1" t="s">
        <v>80</v>
      </c>
      <c r="AA413" s="1" t="s">
        <v>460</v>
      </c>
      <c r="AB413" s="1" t="s">
        <v>74</v>
      </c>
      <c r="AC413" s="1" t="s">
        <v>74</v>
      </c>
      <c r="AD413" s="1" t="s">
        <v>74</v>
      </c>
      <c r="AE413" s="11">
        <v>45720</v>
      </c>
      <c r="AF413" s="11"/>
      <c r="AG413" s="1" t="s">
        <v>74</v>
      </c>
      <c r="AJ413" cm="1">
        <f t="array" ref="AJ413:AK413">_xlfn.XLOOKUP(M413,'Customer Data Vlookup'!$L:$L,'Customer Data Vlookup'!$M:$N,,0)</f>
        <v>0</v>
      </c>
      <c r="AK413" s="47">
        <v>190</v>
      </c>
      <c r="AL413" s="47">
        <f t="shared" si="46"/>
        <v>190</v>
      </c>
      <c r="AM413" s="58">
        <f t="shared" si="47"/>
        <v>13.719999999999999</v>
      </c>
    </row>
    <row r="414" spans="1:39" x14ac:dyDescent="0.35">
      <c r="A414" s="1" t="s">
        <v>124</v>
      </c>
      <c r="B414" s="1" t="s">
        <v>67</v>
      </c>
      <c r="C414" s="1" t="s">
        <v>68</v>
      </c>
      <c r="D414" s="1" t="s">
        <v>69</v>
      </c>
      <c r="E414" s="1" t="s">
        <v>17</v>
      </c>
      <c r="F414" s="1" t="s">
        <v>166</v>
      </c>
      <c r="G414" s="11">
        <v>45720</v>
      </c>
      <c r="H414" s="25">
        <v>1800000913</v>
      </c>
      <c r="I414" s="1" t="s">
        <v>9</v>
      </c>
      <c r="J414" s="11">
        <v>45720</v>
      </c>
      <c r="K414" s="11">
        <v>45721</v>
      </c>
      <c r="L414" s="1" t="s">
        <v>71</v>
      </c>
      <c r="M414" s="35">
        <v>246779410854</v>
      </c>
      <c r="N414" s="1" t="s">
        <v>72</v>
      </c>
      <c r="O414" s="1" t="s">
        <v>73</v>
      </c>
      <c r="P414" s="1" t="s">
        <v>74</v>
      </c>
      <c r="Q414" s="1" t="s">
        <v>83</v>
      </c>
      <c r="R414" s="1" t="s">
        <v>76</v>
      </c>
      <c r="S414" s="12">
        <v>14.1</v>
      </c>
      <c r="T414" s="1" t="s">
        <v>77</v>
      </c>
      <c r="U414" s="12">
        <v>1222.3499999999999</v>
      </c>
      <c r="V414" s="1" t="s">
        <v>78</v>
      </c>
      <c r="W414" s="1" t="s">
        <v>79</v>
      </c>
      <c r="X414" s="1" t="s">
        <v>74</v>
      </c>
      <c r="Y414" s="1" t="s">
        <v>71</v>
      </c>
      <c r="Z414" s="1" t="s">
        <v>80</v>
      </c>
      <c r="AA414" s="1" t="s">
        <v>460</v>
      </c>
      <c r="AB414" s="1" t="s">
        <v>74</v>
      </c>
      <c r="AC414" s="1" t="s">
        <v>74</v>
      </c>
      <c r="AD414" s="1" t="s">
        <v>74</v>
      </c>
      <c r="AE414" s="11">
        <v>45720</v>
      </c>
      <c r="AF414" s="11"/>
      <c r="AG414" s="1" t="s">
        <v>74</v>
      </c>
      <c r="AJ414" cm="1">
        <f t="array" ref="AJ414:AK414">_xlfn.XLOOKUP(M414,'Customer Data Vlookup'!$L:$L,'Customer Data Vlookup'!$M:$N,,0)</f>
        <v>0</v>
      </c>
      <c r="AK414" s="47">
        <v>1145</v>
      </c>
      <c r="AL414" s="47">
        <f t="shared" si="46"/>
        <v>1145</v>
      </c>
      <c r="AM414" s="58">
        <f t="shared" si="47"/>
        <v>77.349999999999909</v>
      </c>
    </row>
    <row r="415" spans="1:39" x14ac:dyDescent="0.35">
      <c r="A415" s="1" t="s">
        <v>124</v>
      </c>
      <c r="B415" s="1" t="s">
        <v>67</v>
      </c>
      <c r="C415" s="1" t="s">
        <v>68</v>
      </c>
      <c r="D415" s="1" t="s">
        <v>69</v>
      </c>
      <c r="E415" s="1" t="s">
        <v>17</v>
      </c>
      <c r="F415" s="1" t="s">
        <v>166</v>
      </c>
      <c r="G415" s="11">
        <v>45720</v>
      </c>
      <c r="H415" s="25">
        <v>1800000914</v>
      </c>
      <c r="I415" s="1" t="s">
        <v>9</v>
      </c>
      <c r="J415" s="11">
        <v>45720</v>
      </c>
      <c r="K415" s="11">
        <v>45721</v>
      </c>
      <c r="L415" s="1" t="s">
        <v>71</v>
      </c>
      <c r="M415" s="35">
        <v>246779410855</v>
      </c>
      <c r="N415" s="1" t="s">
        <v>72</v>
      </c>
      <c r="O415" s="1" t="s">
        <v>73</v>
      </c>
      <c r="P415" s="1" t="s">
        <v>74</v>
      </c>
      <c r="Q415" s="1" t="s">
        <v>83</v>
      </c>
      <c r="R415" s="1" t="s">
        <v>76</v>
      </c>
      <c r="S415" s="12">
        <v>18.8</v>
      </c>
      <c r="T415" s="1" t="s">
        <v>77</v>
      </c>
      <c r="U415" s="12">
        <v>1629.8</v>
      </c>
      <c r="V415" s="1" t="s">
        <v>78</v>
      </c>
      <c r="W415" s="1" t="s">
        <v>79</v>
      </c>
      <c r="X415" s="1" t="s">
        <v>74</v>
      </c>
      <c r="Y415" s="1" t="s">
        <v>71</v>
      </c>
      <c r="Z415" s="1" t="s">
        <v>80</v>
      </c>
      <c r="AA415" s="1" t="s">
        <v>460</v>
      </c>
      <c r="AB415" s="1" t="s">
        <v>74</v>
      </c>
      <c r="AC415" s="1" t="s">
        <v>74</v>
      </c>
      <c r="AD415" s="1" t="s">
        <v>74</v>
      </c>
      <c r="AE415" s="11">
        <v>45720</v>
      </c>
      <c r="AF415" s="11"/>
      <c r="AG415" s="1" t="s">
        <v>74</v>
      </c>
      <c r="AJ415" cm="1">
        <f t="array" ref="AJ415:AK415">_xlfn.XLOOKUP(M415,'Customer Data Vlookup'!$L:$L,'Customer Data Vlookup'!$M:$N,,0)</f>
        <v>0</v>
      </c>
      <c r="AK415" s="47">
        <v>1527</v>
      </c>
      <c r="AL415" s="47">
        <f t="shared" si="46"/>
        <v>1527</v>
      </c>
      <c r="AM415" s="58">
        <f t="shared" si="47"/>
        <v>102.79999999999995</v>
      </c>
    </row>
    <row r="416" spans="1:39" x14ac:dyDescent="0.35">
      <c r="A416" s="1" t="s">
        <v>124</v>
      </c>
      <c r="B416" s="1" t="s">
        <v>67</v>
      </c>
      <c r="C416" s="1" t="s">
        <v>68</v>
      </c>
      <c r="D416" s="1" t="s">
        <v>69</v>
      </c>
      <c r="E416" s="1" t="s">
        <v>17</v>
      </c>
      <c r="F416" s="1" t="s">
        <v>129</v>
      </c>
      <c r="G416" s="11">
        <v>45751</v>
      </c>
      <c r="H416" s="25">
        <v>1800005904</v>
      </c>
      <c r="I416" s="1" t="s">
        <v>9</v>
      </c>
      <c r="J416" s="11">
        <v>45751</v>
      </c>
      <c r="K416" s="11">
        <v>45752</v>
      </c>
      <c r="L416" s="1" t="s">
        <v>71</v>
      </c>
      <c r="M416" s="35">
        <v>256779410795</v>
      </c>
      <c r="N416" s="1" t="s">
        <v>72</v>
      </c>
      <c r="O416" s="1" t="s">
        <v>73</v>
      </c>
      <c r="P416" s="1" t="s">
        <v>74</v>
      </c>
      <c r="Q416" s="1" t="s">
        <v>83</v>
      </c>
      <c r="R416" s="1" t="s">
        <v>76</v>
      </c>
      <c r="S416" s="12">
        <v>5005.59</v>
      </c>
      <c r="T416" s="1" t="s">
        <v>77</v>
      </c>
      <c r="U416" s="12">
        <v>435094.99</v>
      </c>
      <c r="V416" s="1" t="s">
        <v>78</v>
      </c>
      <c r="W416" s="1" t="s">
        <v>74</v>
      </c>
      <c r="X416" s="1" t="s">
        <v>74</v>
      </c>
      <c r="Y416" s="1" t="s">
        <v>71</v>
      </c>
      <c r="Z416" s="1" t="s">
        <v>80</v>
      </c>
      <c r="AA416" s="1" t="s">
        <v>461</v>
      </c>
      <c r="AB416" s="1" t="s">
        <v>74</v>
      </c>
      <c r="AC416" s="1" t="s">
        <v>74</v>
      </c>
      <c r="AD416" s="1" t="s">
        <v>74</v>
      </c>
      <c r="AE416" s="11">
        <v>45751</v>
      </c>
      <c r="AF416" s="11"/>
      <c r="AG416" s="1" t="s">
        <v>74</v>
      </c>
      <c r="AJ416" cm="1">
        <f t="array" ref="AJ416:AK416">_xlfn.XLOOKUP(M416,'Customer Data Vlookup'!$L:$L,'Customer Data Vlookup'!$M:$N,,0)</f>
        <v>0</v>
      </c>
      <c r="AK416" s="47">
        <v>384955</v>
      </c>
      <c r="AL416" s="47">
        <f t="shared" si="46"/>
        <v>384955</v>
      </c>
      <c r="AM416" s="58">
        <f t="shared" si="47"/>
        <v>50139.989999999991</v>
      </c>
    </row>
    <row r="417" spans="1:39" x14ac:dyDescent="0.35">
      <c r="A417" s="1" t="s">
        <v>124</v>
      </c>
      <c r="B417" s="1" t="s">
        <v>67</v>
      </c>
      <c r="C417" s="1" t="s">
        <v>68</v>
      </c>
      <c r="D417" s="1" t="s">
        <v>69</v>
      </c>
      <c r="E417" s="1" t="s">
        <v>17</v>
      </c>
      <c r="F417" s="1" t="s">
        <v>129</v>
      </c>
      <c r="G417" s="11">
        <v>45751</v>
      </c>
      <c r="H417" s="25">
        <v>1800005921</v>
      </c>
      <c r="I417" s="1" t="s">
        <v>9</v>
      </c>
      <c r="J417" s="11">
        <v>45751</v>
      </c>
      <c r="K417" s="11">
        <v>45752</v>
      </c>
      <c r="L417" s="1" t="s">
        <v>71</v>
      </c>
      <c r="M417" s="35">
        <v>256779410812</v>
      </c>
      <c r="N417" s="1" t="s">
        <v>72</v>
      </c>
      <c r="O417" s="1" t="s">
        <v>73</v>
      </c>
      <c r="P417" s="1" t="s">
        <v>74</v>
      </c>
      <c r="Q417" s="1" t="s">
        <v>83</v>
      </c>
      <c r="R417" s="1" t="s">
        <v>76</v>
      </c>
      <c r="S417" s="12">
        <v>4311.37</v>
      </c>
      <c r="T417" s="1" t="s">
        <v>77</v>
      </c>
      <c r="U417" s="12">
        <v>374752.13</v>
      </c>
      <c r="V417" s="1" t="s">
        <v>78</v>
      </c>
      <c r="W417" s="1" t="s">
        <v>74</v>
      </c>
      <c r="X417" s="1" t="s">
        <v>74</v>
      </c>
      <c r="Y417" s="1" t="s">
        <v>71</v>
      </c>
      <c r="Z417" s="1" t="s">
        <v>80</v>
      </c>
      <c r="AA417" s="1" t="s">
        <v>462</v>
      </c>
      <c r="AB417" s="1" t="s">
        <v>74</v>
      </c>
      <c r="AC417" s="1" t="s">
        <v>74</v>
      </c>
      <c r="AD417" s="1" t="s">
        <v>74</v>
      </c>
      <c r="AE417" s="11">
        <v>45751</v>
      </c>
      <c r="AF417" s="11"/>
      <c r="AG417" s="1" t="s">
        <v>74</v>
      </c>
      <c r="AJ417" cm="1">
        <f t="array" ref="AJ417:AK417">_xlfn.XLOOKUP(M417,'Customer Data Vlookup'!$L:$L,'Customer Data Vlookup'!$M:$N,,0)</f>
        <v>0</v>
      </c>
      <c r="AK417" s="47">
        <v>331566</v>
      </c>
      <c r="AL417" s="47">
        <f t="shared" si="46"/>
        <v>331566</v>
      </c>
      <c r="AM417" s="58">
        <f t="shared" si="47"/>
        <v>43186.130000000005</v>
      </c>
    </row>
    <row r="418" spans="1:39" x14ac:dyDescent="0.35">
      <c r="A418" s="1" t="s">
        <v>124</v>
      </c>
      <c r="B418" s="1" t="s">
        <v>67</v>
      </c>
      <c r="C418" s="1" t="s">
        <v>68</v>
      </c>
      <c r="D418" s="1" t="s">
        <v>69</v>
      </c>
      <c r="E418" s="1" t="s">
        <v>17</v>
      </c>
      <c r="F418" s="1" t="s">
        <v>213</v>
      </c>
      <c r="G418" s="11">
        <v>45716</v>
      </c>
      <c r="H418" s="25">
        <v>1800000364</v>
      </c>
      <c r="I418" s="1" t="s">
        <v>9</v>
      </c>
      <c r="J418" s="11">
        <v>45716</v>
      </c>
      <c r="K418" s="11">
        <v>45716</v>
      </c>
      <c r="L418" s="1" t="s">
        <v>71</v>
      </c>
      <c r="M418" s="35">
        <v>246779410333</v>
      </c>
      <c r="N418" s="1" t="s">
        <v>72</v>
      </c>
      <c r="O418" s="1" t="s">
        <v>73</v>
      </c>
      <c r="P418" s="1" t="s">
        <v>74</v>
      </c>
      <c r="Q418" s="1" t="s">
        <v>83</v>
      </c>
      <c r="R418" s="1" t="s">
        <v>76</v>
      </c>
      <c r="S418" s="12">
        <v>386.34</v>
      </c>
      <c r="T418" s="1" t="s">
        <v>77</v>
      </c>
      <c r="U418" s="12">
        <v>33342.559999999998</v>
      </c>
      <c r="V418" s="1" t="s">
        <v>78</v>
      </c>
      <c r="W418" s="1" t="s">
        <v>79</v>
      </c>
      <c r="X418" s="1" t="s">
        <v>74</v>
      </c>
      <c r="Y418" s="1" t="s">
        <v>71</v>
      </c>
      <c r="Z418" s="1" t="s">
        <v>80</v>
      </c>
      <c r="AA418" s="1" t="s">
        <v>463</v>
      </c>
      <c r="AB418" s="1" t="s">
        <v>74</v>
      </c>
      <c r="AC418" s="1" t="s">
        <v>74</v>
      </c>
      <c r="AD418" s="1" t="s">
        <v>74</v>
      </c>
      <c r="AE418" s="11">
        <v>45716</v>
      </c>
      <c r="AF418" s="11"/>
      <c r="AG418" s="1" t="s">
        <v>74</v>
      </c>
      <c r="AJ418" cm="1">
        <f t="array" ref="AJ418:AK418">_xlfn.XLOOKUP(M418,'Customer Data Vlookup'!$L:$L,'Customer Data Vlookup'!$M:$N,,0)</f>
        <v>0</v>
      </c>
      <c r="AK418" s="47">
        <v>29975.441999999999</v>
      </c>
      <c r="AL418" s="47">
        <f t="shared" si="46"/>
        <v>29975.441999999999</v>
      </c>
      <c r="AM418" s="58">
        <f t="shared" si="47"/>
        <v>3367.1179999999986</v>
      </c>
    </row>
    <row r="419" spans="1:39" x14ac:dyDescent="0.35">
      <c r="A419" s="1" t="s">
        <v>124</v>
      </c>
      <c r="B419" s="1" t="s">
        <v>67</v>
      </c>
      <c r="C419" s="1" t="s">
        <v>68</v>
      </c>
      <c r="D419" s="1" t="s">
        <v>69</v>
      </c>
      <c r="E419" s="1" t="s">
        <v>17</v>
      </c>
      <c r="F419" s="1" t="s">
        <v>213</v>
      </c>
      <c r="G419" s="11">
        <v>45716</v>
      </c>
      <c r="H419" s="25">
        <v>1800000369</v>
      </c>
      <c r="I419" s="1" t="s">
        <v>9</v>
      </c>
      <c r="J419" s="11">
        <v>45716</v>
      </c>
      <c r="K419" s="11">
        <v>45716</v>
      </c>
      <c r="L419" s="1" t="s">
        <v>71</v>
      </c>
      <c r="M419" s="35">
        <v>246779410338</v>
      </c>
      <c r="N419" s="1" t="s">
        <v>72</v>
      </c>
      <c r="O419" s="1" t="s">
        <v>73</v>
      </c>
      <c r="P419" s="1" t="s">
        <v>74</v>
      </c>
      <c r="Q419" s="1" t="s">
        <v>83</v>
      </c>
      <c r="R419" s="1" t="s">
        <v>76</v>
      </c>
      <c r="S419" s="12">
        <v>178.6</v>
      </c>
      <c r="T419" s="1" t="s">
        <v>77</v>
      </c>
      <c r="U419" s="12">
        <v>15413.83</v>
      </c>
      <c r="V419" s="1" t="s">
        <v>78</v>
      </c>
      <c r="W419" s="1" t="s">
        <v>79</v>
      </c>
      <c r="X419" s="1" t="s">
        <v>74</v>
      </c>
      <c r="Y419" s="1" t="s">
        <v>71</v>
      </c>
      <c r="Z419" s="1" t="s">
        <v>80</v>
      </c>
      <c r="AA419" s="1" t="s">
        <v>464</v>
      </c>
      <c r="AB419" s="1" t="s">
        <v>74</v>
      </c>
      <c r="AC419" s="1" t="s">
        <v>74</v>
      </c>
      <c r="AD419" s="1" t="s">
        <v>74</v>
      </c>
      <c r="AE419" s="11">
        <v>45716</v>
      </c>
      <c r="AF419" s="11"/>
      <c r="AG419" s="1" t="s">
        <v>74</v>
      </c>
      <c r="AJ419" cm="1">
        <f t="array" ref="AJ419:AK419">_xlfn.XLOOKUP(M419,'Customer Data Vlookup'!$L:$L,'Customer Data Vlookup'!$M:$N,,0)</f>
        <v>0</v>
      </c>
      <c r="AK419" s="47">
        <v>13859.78</v>
      </c>
      <c r="AL419" s="47">
        <f t="shared" si="46"/>
        <v>13859.78</v>
      </c>
      <c r="AM419" s="58">
        <f t="shared" si="47"/>
        <v>1554.0499999999993</v>
      </c>
    </row>
    <row r="420" spans="1:39" x14ac:dyDescent="0.35">
      <c r="A420" s="1" t="s">
        <v>124</v>
      </c>
      <c r="B420" s="1" t="s">
        <v>67</v>
      </c>
      <c r="C420" s="1" t="s">
        <v>68</v>
      </c>
      <c r="D420" s="1" t="s">
        <v>69</v>
      </c>
      <c r="E420" s="1" t="s">
        <v>17</v>
      </c>
      <c r="F420" s="1" t="s">
        <v>213</v>
      </c>
      <c r="G420" s="11">
        <v>45716</v>
      </c>
      <c r="H420" s="25">
        <v>1800000370</v>
      </c>
      <c r="I420" s="1" t="s">
        <v>9</v>
      </c>
      <c r="J420" s="11">
        <v>45716</v>
      </c>
      <c r="K420" s="11">
        <v>45716</v>
      </c>
      <c r="L420" s="1" t="s">
        <v>71</v>
      </c>
      <c r="M420" s="35">
        <v>246779410339</v>
      </c>
      <c r="N420" s="1" t="s">
        <v>72</v>
      </c>
      <c r="O420" s="1" t="s">
        <v>73</v>
      </c>
      <c r="P420" s="1" t="s">
        <v>74</v>
      </c>
      <c r="Q420" s="1" t="s">
        <v>83</v>
      </c>
      <c r="R420" s="1" t="s">
        <v>76</v>
      </c>
      <c r="S420" s="12">
        <v>575.75</v>
      </c>
      <c r="T420" s="1" t="s">
        <v>77</v>
      </c>
      <c r="U420" s="12">
        <v>49689.33</v>
      </c>
      <c r="V420" s="1" t="s">
        <v>78</v>
      </c>
      <c r="W420" s="1" t="s">
        <v>79</v>
      </c>
      <c r="X420" s="1" t="s">
        <v>74</v>
      </c>
      <c r="Y420" s="1" t="s">
        <v>71</v>
      </c>
      <c r="Z420" s="1" t="s">
        <v>80</v>
      </c>
      <c r="AA420" s="1" t="s">
        <v>465</v>
      </c>
      <c r="AB420" s="1" t="s">
        <v>74</v>
      </c>
      <c r="AC420" s="1" t="s">
        <v>74</v>
      </c>
      <c r="AD420" s="1" t="s">
        <v>74</v>
      </c>
      <c r="AE420" s="11">
        <v>45716</v>
      </c>
      <c r="AF420" s="11"/>
      <c r="AG420" s="1" t="s">
        <v>74</v>
      </c>
      <c r="AJ420" cm="1">
        <f t="array" ref="AJ420:AK420">_xlfn.XLOOKUP(M420,'Customer Data Vlookup'!$L:$L,'Customer Data Vlookup'!$M:$N,,0)</f>
        <v>0</v>
      </c>
      <c r="AK420" s="47">
        <v>44681.824999999997</v>
      </c>
      <c r="AL420" s="47">
        <f t="shared" si="46"/>
        <v>44681.824999999997</v>
      </c>
      <c r="AM420" s="58">
        <f t="shared" si="47"/>
        <v>5007.5050000000047</v>
      </c>
    </row>
    <row r="421" spans="1:39" x14ac:dyDescent="0.35">
      <c r="A421" s="1" t="s">
        <v>124</v>
      </c>
      <c r="B421" s="1" t="s">
        <v>67</v>
      </c>
      <c r="C421" s="1" t="s">
        <v>68</v>
      </c>
      <c r="D421" s="1" t="s">
        <v>69</v>
      </c>
      <c r="E421" s="1" t="s">
        <v>17</v>
      </c>
      <c r="F421" s="1" t="s">
        <v>213</v>
      </c>
      <c r="G421" s="11">
        <v>45716</v>
      </c>
      <c r="H421" s="25">
        <v>1800000371</v>
      </c>
      <c r="I421" s="1" t="s">
        <v>9</v>
      </c>
      <c r="J421" s="11">
        <v>45716</v>
      </c>
      <c r="K421" s="11">
        <v>45716</v>
      </c>
      <c r="L421" s="1" t="s">
        <v>71</v>
      </c>
      <c r="M421" s="35">
        <v>246779410340</v>
      </c>
      <c r="N421" s="1" t="s">
        <v>72</v>
      </c>
      <c r="O421" s="1" t="s">
        <v>73</v>
      </c>
      <c r="P421" s="1" t="s">
        <v>74</v>
      </c>
      <c r="Q421" s="1" t="s">
        <v>83</v>
      </c>
      <c r="R421" s="1" t="s">
        <v>76</v>
      </c>
      <c r="S421" s="12">
        <v>1863.55</v>
      </c>
      <c r="T421" s="1" t="s">
        <v>77</v>
      </c>
      <c r="U421" s="12">
        <v>160831.19</v>
      </c>
      <c r="V421" s="1" t="s">
        <v>78</v>
      </c>
      <c r="W421" s="1" t="s">
        <v>79</v>
      </c>
      <c r="X421" s="1" t="s">
        <v>74</v>
      </c>
      <c r="Y421" s="1" t="s">
        <v>71</v>
      </c>
      <c r="Z421" s="1" t="s">
        <v>80</v>
      </c>
      <c r="AA421" s="1" t="s">
        <v>466</v>
      </c>
      <c r="AB421" s="1" t="s">
        <v>74</v>
      </c>
      <c r="AC421" s="1" t="s">
        <v>74</v>
      </c>
      <c r="AD421" s="1" t="s">
        <v>74</v>
      </c>
      <c r="AE421" s="11">
        <v>45716</v>
      </c>
      <c r="AF421" s="11"/>
      <c r="AG421" s="1" t="s">
        <v>74</v>
      </c>
      <c r="AJ421" cm="1">
        <f t="array" ref="AJ421:AK421">_xlfn.XLOOKUP(M421,'Customer Data Vlookup'!$L:$L,'Customer Data Vlookup'!$M:$N,,0)</f>
        <v>0</v>
      </c>
      <c r="AK421" s="47">
        <v>144772.565</v>
      </c>
      <c r="AL421" s="47">
        <f t="shared" si="46"/>
        <v>144772.565</v>
      </c>
      <c r="AM421" s="58">
        <f t="shared" si="47"/>
        <v>16058.625</v>
      </c>
    </row>
    <row r="422" spans="1:39" x14ac:dyDescent="0.35">
      <c r="A422" s="1" t="s">
        <v>124</v>
      </c>
      <c r="B422" s="1" t="s">
        <v>67</v>
      </c>
      <c r="C422" s="1" t="s">
        <v>68</v>
      </c>
      <c r="D422" s="1" t="s">
        <v>69</v>
      </c>
      <c r="E422" s="1" t="s">
        <v>17</v>
      </c>
      <c r="F422" s="1" t="s">
        <v>213</v>
      </c>
      <c r="G422" s="11">
        <v>45716</v>
      </c>
      <c r="H422" s="25">
        <v>1800000379</v>
      </c>
      <c r="I422" s="1" t="s">
        <v>9</v>
      </c>
      <c r="J422" s="11">
        <v>45716</v>
      </c>
      <c r="K422" s="11">
        <v>45716</v>
      </c>
      <c r="L422" s="1" t="s">
        <v>71</v>
      </c>
      <c r="M422" s="35">
        <v>246779410348</v>
      </c>
      <c r="N422" s="1" t="s">
        <v>72</v>
      </c>
      <c r="O422" s="1" t="s">
        <v>73</v>
      </c>
      <c r="P422" s="1" t="s">
        <v>74</v>
      </c>
      <c r="Q422" s="1" t="s">
        <v>83</v>
      </c>
      <c r="R422" s="1" t="s">
        <v>76</v>
      </c>
      <c r="S422" s="12">
        <v>1793.99</v>
      </c>
      <c r="T422" s="1" t="s">
        <v>77</v>
      </c>
      <c r="U422" s="12">
        <v>154827.9</v>
      </c>
      <c r="V422" s="1" t="s">
        <v>78</v>
      </c>
      <c r="W422" s="1" t="s">
        <v>79</v>
      </c>
      <c r="X422" s="1" t="s">
        <v>74</v>
      </c>
      <c r="Y422" s="1" t="s">
        <v>71</v>
      </c>
      <c r="Z422" s="1" t="s">
        <v>80</v>
      </c>
      <c r="AA422" s="1" t="s">
        <v>140</v>
      </c>
      <c r="AB422" s="1" t="s">
        <v>74</v>
      </c>
      <c r="AC422" s="1" t="s">
        <v>74</v>
      </c>
      <c r="AD422" s="1" t="s">
        <v>74</v>
      </c>
      <c r="AE422" s="11">
        <v>45716</v>
      </c>
      <c r="AF422" s="11"/>
      <c r="AG422" s="1" t="s">
        <v>74</v>
      </c>
      <c r="AJ422" cm="1">
        <f t="array" ref="AJ422:AK422">_xlfn.XLOOKUP(M422,'Customer Data Vlookup'!$L:$L,'Customer Data Vlookup'!$M:$N,,0)</f>
        <v>0</v>
      </c>
      <c r="AK422" s="47">
        <v>151725</v>
      </c>
      <c r="AL422" s="47">
        <f t="shared" si="46"/>
        <v>151725</v>
      </c>
      <c r="AM422" s="58">
        <f t="shared" si="47"/>
        <v>3102.8999999999942</v>
      </c>
    </row>
    <row r="423" spans="1:39" x14ac:dyDescent="0.35">
      <c r="A423" s="1" t="s">
        <v>124</v>
      </c>
      <c r="B423" s="1" t="s">
        <v>67</v>
      </c>
      <c r="C423" s="1" t="s">
        <v>68</v>
      </c>
      <c r="D423" s="1" t="s">
        <v>69</v>
      </c>
      <c r="E423" s="1" t="s">
        <v>17</v>
      </c>
      <c r="F423" s="1" t="s">
        <v>213</v>
      </c>
      <c r="G423" s="11">
        <v>45716</v>
      </c>
      <c r="H423" s="25">
        <v>1800000383</v>
      </c>
      <c r="I423" s="1" t="s">
        <v>9</v>
      </c>
      <c r="J423" s="11">
        <v>45716</v>
      </c>
      <c r="K423" s="11">
        <v>45716</v>
      </c>
      <c r="L423" s="1" t="s">
        <v>71</v>
      </c>
      <c r="M423" s="35">
        <v>246779410352</v>
      </c>
      <c r="N423" s="1" t="s">
        <v>72</v>
      </c>
      <c r="O423" s="1" t="s">
        <v>73</v>
      </c>
      <c r="P423" s="1" t="s">
        <v>74</v>
      </c>
      <c r="Q423" s="1" t="s">
        <v>83</v>
      </c>
      <c r="R423" s="1" t="s">
        <v>76</v>
      </c>
      <c r="S423" s="12">
        <v>1314.12</v>
      </c>
      <c r="T423" s="1" t="s">
        <v>77</v>
      </c>
      <c r="U423" s="12">
        <v>113413.37</v>
      </c>
      <c r="V423" s="1" t="s">
        <v>78</v>
      </c>
      <c r="W423" s="1" t="s">
        <v>79</v>
      </c>
      <c r="X423" s="1" t="s">
        <v>74</v>
      </c>
      <c r="Y423" s="1" t="s">
        <v>71</v>
      </c>
      <c r="Z423" s="1" t="s">
        <v>80</v>
      </c>
      <c r="AA423" s="1" t="s">
        <v>140</v>
      </c>
      <c r="AB423" s="1" t="s">
        <v>74</v>
      </c>
      <c r="AC423" s="1" t="s">
        <v>74</v>
      </c>
      <c r="AD423" s="1" t="s">
        <v>74</v>
      </c>
      <c r="AE423" s="11">
        <v>45716</v>
      </c>
      <c r="AF423" s="11"/>
      <c r="AG423" s="1" t="s">
        <v>74</v>
      </c>
      <c r="AJ423" cm="1">
        <f t="array" ref="AJ423:AK423">_xlfn.XLOOKUP(M423,'Customer Data Vlookup'!$L:$L,'Customer Data Vlookup'!$M:$N,,0)</f>
        <v>0</v>
      </c>
      <c r="AK423" s="47">
        <v>102103.25599999999</v>
      </c>
      <c r="AL423" s="47">
        <f t="shared" si="46"/>
        <v>102103.25599999999</v>
      </c>
      <c r="AM423" s="58">
        <f t="shared" si="47"/>
        <v>11310.114000000001</v>
      </c>
    </row>
    <row r="424" spans="1:39" x14ac:dyDescent="0.35">
      <c r="A424" s="1" t="s">
        <v>124</v>
      </c>
      <c r="B424" s="1" t="s">
        <v>67</v>
      </c>
      <c r="C424" s="1" t="s">
        <v>68</v>
      </c>
      <c r="D424" s="1" t="s">
        <v>69</v>
      </c>
      <c r="E424" s="1" t="s">
        <v>17</v>
      </c>
      <c r="F424" s="1" t="s">
        <v>213</v>
      </c>
      <c r="G424" s="11">
        <v>45716</v>
      </c>
      <c r="H424" s="25">
        <v>1800000391</v>
      </c>
      <c r="I424" s="1" t="s">
        <v>9</v>
      </c>
      <c r="J424" s="11">
        <v>45716</v>
      </c>
      <c r="K424" s="11">
        <v>45716</v>
      </c>
      <c r="L424" s="1" t="s">
        <v>71</v>
      </c>
      <c r="M424" s="35">
        <v>246779410360</v>
      </c>
      <c r="N424" s="1" t="s">
        <v>72</v>
      </c>
      <c r="O424" s="1" t="s">
        <v>73</v>
      </c>
      <c r="P424" s="1" t="s">
        <v>74</v>
      </c>
      <c r="Q424" s="1" t="s">
        <v>83</v>
      </c>
      <c r="R424" s="1" t="s">
        <v>76</v>
      </c>
      <c r="S424" s="12">
        <v>705</v>
      </c>
      <c r="T424" s="1" t="s">
        <v>77</v>
      </c>
      <c r="U424" s="12">
        <v>60844.08</v>
      </c>
      <c r="V424" s="1" t="s">
        <v>78</v>
      </c>
      <c r="W424" s="1" t="s">
        <v>79</v>
      </c>
      <c r="X424" s="1" t="s">
        <v>74</v>
      </c>
      <c r="Y424" s="1" t="s">
        <v>71</v>
      </c>
      <c r="Z424" s="1" t="s">
        <v>80</v>
      </c>
      <c r="AA424" s="1" t="s">
        <v>140</v>
      </c>
      <c r="AB424" s="1" t="s">
        <v>74</v>
      </c>
      <c r="AC424" s="1" t="s">
        <v>74</v>
      </c>
      <c r="AD424" s="1" t="s">
        <v>74</v>
      </c>
      <c r="AE424" s="11">
        <v>45716</v>
      </c>
      <c r="AF424" s="11"/>
      <c r="AG424" s="1" t="s">
        <v>74</v>
      </c>
      <c r="AJ424" cm="1">
        <f t="array" ref="AJ424:AK424">_xlfn.XLOOKUP(M424,'Customer Data Vlookup'!$L:$L,'Customer Data Vlookup'!$M:$N,,0)</f>
        <v>0</v>
      </c>
      <c r="AK424" s="47">
        <v>59624</v>
      </c>
      <c r="AL424" s="47">
        <f t="shared" si="46"/>
        <v>59624</v>
      </c>
      <c r="AM424" s="58">
        <f t="shared" si="47"/>
        <v>1220.0800000000017</v>
      </c>
    </row>
    <row r="425" spans="1:39" x14ac:dyDescent="0.35">
      <c r="A425" s="1" t="s">
        <v>124</v>
      </c>
      <c r="B425" s="1" t="s">
        <v>67</v>
      </c>
      <c r="C425" s="1" t="s">
        <v>68</v>
      </c>
      <c r="D425" s="1" t="s">
        <v>69</v>
      </c>
      <c r="E425" s="1" t="s">
        <v>17</v>
      </c>
      <c r="F425" s="1" t="s">
        <v>166</v>
      </c>
      <c r="G425" s="11">
        <v>45722</v>
      </c>
      <c r="H425" s="25">
        <v>1800001259</v>
      </c>
      <c r="I425" s="1" t="s">
        <v>9</v>
      </c>
      <c r="J425" s="11">
        <v>45722</v>
      </c>
      <c r="K425" s="11">
        <v>45723</v>
      </c>
      <c r="L425" s="1" t="s">
        <v>71</v>
      </c>
      <c r="M425" s="35">
        <v>246779411128</v>
      </c>
      <c r="N425" s="1" t="s">
        <v>72</v>
      </c>
      <c r="O425" s="1" t="s">
        <v>73</v>
      </c>
      <c r="P425" s="1" t="s">
        <v>74</v>
      </c>
      <c r="Q425" s="1" t="s">
        <v>83</v>
      </c>
      <c r="R425" s="1" t="s">
        <v>76</v>
      </c>
      <c r="S425" s="12">
        <v>28.2</v>
      </c>
      <c r="T425" s="1" t="s">
        <v>77</v>
      </c>
      <c r="U425" s="12">
        <v>2444.69</v>
      </c>
      <c r="V425" s="1" t="s">
        <v>78</v>
      </c>
      <c r="W425" s="1" t="s">
        <v>79</v>
      </c>
      <c r="X425" s="1" t="s">
        <v>74</v>
      </c>
      <c r="Y425" s="1" t="s">
        <v>71</v>
      </c>
      <c r="Z425" s="1" t="s">
        <v>80</v>
      </c>
      <c r="AA425" s="1" t="s">
        <v>215</v>
      </c>
      <c r="AB425" s="1" t="s">
        <v>74</v>
      </c>
      <c r="AC425" s="1" t="s">
        <v>74</v>
      </c>
      <c r="AD425" s="1" t="s">
        <v>74</v>
      </c>
      <c r="AE425" s="11">
        <v>45722</v>
      </c>
      <c r="AF425" s="11"/>
      <c r="AG425" s="1" t="s">
        <v>74</v>
      </c>
      <c r="AJ425" cm="1">
        <f t="array" ref="AJ425:AK425">_xlfn.XLOOKUP(M425,'Customer Data Vlookup'!$L:$L,'Customer Data Vlookup'!$M:$N,,0)</f>
        <v>0</v>
      </c>
      <c r="AK425" s="47">
        <v>2406</v>
      </c>
      <c r="AL425" s="47">
        <f t="shared" si="46"/>
        <v>2406</v>
      </c>
      <c r="AM425" s="58">
        <f t="shared" si="47"/>
        <v>38.690000000000055</v>
      </c>
    </row>
    <row r="426" spans="1:39" x14ac:dyDescent="0.35">
      <c r="A426" s="1" t="s">
        <v>124</v>
      </c>
      <c r="B426" s="1" t="s">
        <v>67</v>
      </c>
      <c r="C426" s="1" t="s">
        <v>68</v>
      </c>
      <c r="D426" s="1" t="s">
        <v>69</v>
      </c>
      <c r="E426" s="1" t="s">
        <v>17</v>
      </c>
      <c r="F426" s="1" t="s">
        <v>166</v>
      </c>
      <c r="G426" s="11">
        <v>45722</v>
      </c>
      <c r="H426" s="25">
        <v>1800001382</v>
      </c>
      <c r="I426" s="1" t="s">
        <v>9</v>
      </c>
      <c r="J426" s="11">
        <v>45722</v>
      </c>
      <c r="K426" s="11">
        <v>45723</v>
      </c>
      <c r="L426" s="1" t="s">
        <v>71</v>
      </c>
      <c r="M426" s="35">
        <v>246779411251</v>
      </c>
      <c r="N426" s="1" t="s">
        <v>72</v>
      </c>
      <c r="O426" s="1" t="s">
        <v>73</v>
      </c>
      <c r="P426" s="1" t="s">
        <v>74</v>
      </c>
      <c r="Q426" s="1" t="s">
        <v>83</v>
      </c>
      <c r="R426" s="1" t="s">
        <v>76</v>
      </c>
      <c r="S426" s="12">
        <v>126.9</v>
      </c>
      <c r="T426" s="1" t="s">
        <v>77</v>
      </c>
      <c r="U426" s="12">
        <v>11001.12</v>
      </c>
      <c r="V426" s="1" t="s">
        <v>78</v>
      </c>
      <c r="W426" s="1" t="s">
        <v>79</v>
      </c>
      <c r="X426" s="1" t="s">
        <v>74</v>
      </c>
      <c r="Y426" s="1" t="s">
        <v>71</v>
      </c>
      <c r="Z426" s="1" t="s">
        <v>80</v>
      </c>
      <c r="AA426" s="1" t="s">
        <v>321</v>
      </c>
      <c r="AB426" s="1" t="s">
        <v>74</v>
      </c>
      <c r="AC426" s="1" t="s">
        <v>74</v>
      </c>
      <c r="AD426" s="1" t="s">
        <v>74</v>
      </c>
      <c r="AE426" s="11">
        <v>45722</v>
      </c>
      <c r="AF426" s="11"/>
      <c r="AG426" s="1" t="s">
        <v>74</v>
      </c>
      <c r="AJ426" cm="1">
        <f t="array" ref="AJ426:AK426">_xlfn.XLOOKUP(M426,'Customer Data Vlookup'!$L:$L,'Customer Data Vlookup'!$M:$N,,0)</f>
        <v>0</v>
      </c>
      <c r="AK426" s="47">
        <v>1599</v>
      </c>
      <c r="AL426" s="47">
        <f t="shared" si="46"/>
        <v>1599</v>
      </c>
      <c r="AM426" s="58">
        <f t="shared" si="47"/>
        <v>9402.1200000000008</v>
      </c>
    </row>
    <row r="427" spans="1:39" x14ac:dyDescent="0.35">
      <c r="A427" s="1" t="s">
        <v>124</v>
      </c>
      <c r="B427" s="1" t="s">
        <v>67</v>
      </c>
      <c r="C427" s="1" t="s">
        <v>68</v>
      </c>
      <c r="D427" s="1" t="s">
        <v>69</v>
      </c>
      <c r="E427" s="1" t="s">
        <v>17</v>
      </c>
      <c r="F427" s="1" t="s">
        <v>166</v>
      </c>
      <c r="G427" s="11">
        <v>45722</v>
      </c>
      <c r="H427" s="25">
        <v>1800001383</v>
      </c>
      <c r="I427" s="1" t="s">
        <v>9</v>
      </c>
      <c r="J427" s="11">
        <v>45722</v>
      </c>
      <c r="K427" s="11">
        <v>45723</v>
      </c>
      <c r="L427" s="1" t="s">
        <v>71</v>
      </c>
      <c r="M427" s="35">
        <v>246779411252</v>
      </c>
      <c r="N427" s="1" t="s">
        <v>72</v>
      </c>
      <c r="O427" s="1" t="s">
        <v>73</v>
      </c>
      <c r="P427" s="1" t="s">
        <v>74</v>
      </c>
      <c r="Q427" s="1" t="s">
        <v>83</v>
      </c>
      <c r="R427" s="1" t="s">
        <v>76</v>
      </c>
      <c r="S427" s="12">
        <v>23.5</v>
      </c>
      <c r="T427" s="1" t="s">
        <v>77</v>
      </c>
      <c r="U427" s="12">
        <v>2037.24</v>
      </c>
      <c r="V427" s="1" t="s">
        <v>78</v>
      </c>
      <c r="W427" s="1" t="s">
        <v>79</v>
      </c>
      <c r="X427" s="1" t="s">
        <v>74</v>
      </c>
      <c r="Y427" s="1" t="s">
        <v>71</v>
      </c>
      <c r="Z427" s="1" t="s">
        <v>80</v>
      </c>
      <c r="AA427" s="1" t="s">
        <v>321</v>
      </c>
      <c r="AB427" s="1" t="s">
        <v>74</v>
      </c>
      <c r="AC427" s="1" t="s">
        <v>74</v>
      </c>
      <c r="AD427" s="1" t="s">
        <v>74</v>
      </c>
      <c r="AE427" s="11">
        <v>45722</v>
      </c>
      <c r="AF427" s="11"/>
      <c r="AG427" s="1" t="s">
        <v>74</v>
      </c>
      <c r="AJ427" cm="1">
        <f t="array" ref="AJ427:AK427">_xlfn.XLOOKUP(M427,'Customer Data Vlookup'!$L:$L,'Customer Data Vlookup'!$M:$N,,0)</f>
        <v>0</v>
      </c>
      <c r="AK427" s="47">
        <v>1907</v>
      </c>
      <c r="AL427" s="47">
        <f t="shared" si="46"/>
        <v>1907</v>
      </c>
      <c r="AM427" s="58">
        <f t="shared" si="47"/>
        <v>130.24</v>
      </c>
    </row>
    <row r="428" spans="1:39" x14ac:dyDescent="0.35">
      <c r="A428" s="1" t="s">
        <v>124</v>
      </c>
      <c r="B428" s="1" t="s">
        <v>67</v>
      </c>
      <c r="C428" s="1" t="s">
        <v>68</v>
      </c>
      <c r="D428" s="1" t="s">
        <v>69</v>
      </c>
      <c r="E428" s="1" t="s">
        <v>17</v>
      </c>
      <c r="F428" s="1" t="s">
        <v>166</v>
      </c>
      <c r="G428" s="11">
        <v>45722</v>
      </c>
      <c r="H428" s="25">
        <v>1800000934</v>
      </c>
      <c r="I428" s="1" t="s">
        <v>9</v>
      </c>
      <c r="J428" s="11">
        <v>45722</v>
      </c>
      <c r="K428" s="11">
        <v>45722</v>
      </c>
      <c r="L428" s="1" t="s">
        <v>71</v>
      </c>
      <c r="M428" s="35">
        <v>246779410874</v>
      </c>
      <c r="N428" s="1" t="s">
        <v>72</v>
      </c>
      <c r="O428" s="1" t="s">
        <v>73</v>
      </c>
      <c r="P428" s="1" t="s">
        <v>74</v>
      </c>
      <c r="Q428" s="1" t="s">
        <v>83</v>
      </c>
      <c r="R428" s="1" t="s">
        <v>76</v>
      </c>
      <c r="S428" s="12">
        <v>3080</v>
      </c>
      <c r="T428" s="1" t="s">
        <v>77</v>
      </c>
      <c r="U428" s="12">
        <v>267009.08</v>
      </c>
      <c r="V428" s="1" t="s">
        <v>78</v>
      </c>
      <c r="W428" s="1" t="s">
        <v>79</v>
      </c>
      <c r="X428" s="1" t="s">
        <v>74</v>
      </c>
      <c r="Y428" s="1" t="s">
        <v>71</v>
      </c>
      <c r="Z428" s="1" t="s">
        <v>80</v>
      </c>
      <c r="AA428" s="1" t="s">
        <v>467</v>
      </c>
      <c r="AB428" s="1" t="s">
        <v>74</v>
      </c>
      <c r="AC428" s="1" t="s">
        <v>74</v>
      </c>
      <c r="AD428" s="1" t="s">
        <v>74</v>
      </c>
      <c r="AE428" s="11">
        <v>45722</v>
      </c>
      <c r="AF428" s="11"/>
      <c r="AG428" s="1" t="s">
        <v>74</v>
      </c>
      <c r="AJ428" cm="1">
        <f t="array" ref="AJ428:AK428">_xlfn.XLOOKUP(M428,'Customer Data Vlookup'!$L:$L,'Customer Data Vlookup'!$M:$N,,0)</f>
        <v>0</v>
      </c>
      <c r="AK428" s="47">
        <v>241385</v>
      </c>
      <c r="AL428" s="47">
        <f t="shared" si="46"/>
        <v>241385</v>
      </c>
      <c r="AM428" s="58">
        <f t="shared" si="47"/>
        <v>25624.080000000016</v>
      </c>
    </row>
    <row r="429" spans="1:39" x14ac:dyDescent="0.35">
      <c r="A429" s="1" t="s">
        <v>124</v>
      </c>
      <c r="B429" s="1" t="s">
        <v>67</v>
      </c>
      <c r="C429" s="1" t="s">
        <v>68</v>
      </c>
      <c r="D429" s="1" t="s">
        <v>69</v>
      </c>
      <c r="E429" s="1" t="s">
        <v>17</v>
      </c>
      <c r="F429" s="1" t="s">
        <v>166</v>
      </c>
      <c r="G429" s="11">
        <v>45722</v>
      </c>
      <c r="H429" s="25">
        <v>1800000956</v>
      </c>
      <c r="I429" s="1" t="s">
        <v>9</v>
      </c>
      <c r="J429" s="11">
        <v>45722</v>
      </c>
      <c r="K429" s="11">
        <v>45722</v>
      </c>
      <c r="L429" s="1" t="s">
        <v>71</v>
      </c>
      <c r="M429" s="35">
        <v>246779410896</v>
      </c>
      <c r="N429" s="1" t="s">
        <v>72</v>
      </c>
      <c r="O429" s="1" t="s">
        <v>73</v>
      </c>
      <c r="P429" s="1" t="s">
        <v>74</v>
      </c>
      <c r="Q429" s="1" t="s">
        <v>83</v>
      </c>
      <c r="R429" s="1" t="s">
        <v>76</v>
      </c>
      <c r="S429" s="12">
        <v>4556.3999999999996</v>
      </c>
      <c r="T429" s="1" t="s">
        <v>77</v>
      </c>
      <c r="U429" s="12">
        <v>395000.06</v>
      </c>
      <c r="V429" s="1" t="s">
        <v>78</v>
      </c>
      <c r="W429" s="1" t="s">
        <v>79</v>
      </c>
      <c r="X429" s="1" t="s">
        <v>74</v>
      </c>
      <c r="Y429" s="1" t="s">
        <v>71</v>
      </c>
      <c r="Z429" s="1" t="s">
        <v>80</v>
      </c>
      <c r="AA429" s="1" t="s">
        <v>468</v>
      </c>
      <c r="AB429" s="1" t="s">
        <v>74</v>
      </c>
      <c r="AC429" s="1" t="s">
        <v>74</v>
      </c>
      <c r="AD429" s="1" t="s">
        <v>74</v>
      </c>
      <c r="AE429" s="11">
        <v>45722</v>
      </c>
      <c r="AF429" s="11"/>
      <c r="AG429" s="1" t="s">
        <v>74</v>
      </c>
      <c r="AJ429" cm="1">
        <f t="array" ref="AJ429:AK429">_xlfn.XLOOKUP(M429,'Customer Data Vlookup'!$L:$L,'Customer Data Vlookup'!$M:$N,,0)</f>
        <v>0</v>
      </c>
      <c r="AK429" s="47">
        <v>357094</v>
      </c>
      <c r="AL429" s="47">
        <f t="shared" si="46"/>
        <v>357094</v>
      </c>
      <c r="AM429" s="58">
        <f t="shared" si="47"/>
        <v>37906.06</v>
      </c>
    </row>
    <row r="430" spans="1:39" x14ac:dyDescent="0.35">
      <c r="A430" s="1" t="s">
        <v>124</v>
      </c>
      <c r="B430" s="1" t="s">
        <v>67</v>
      </c>
      <c r="C430" s="1" t="s">
        <v>68</v>
      </c>
      <c r="D430" s="1" t="s">
        <v>69</v>
      </c>
      <c r="E430" s="1" t="s">
        <v>17</v>
      </c>
      <c r="F430" s="1" t="s">
        <v>166</v>
      </c>
      <c r="G430" s="11">
        <v>45722</v>
      </c>
      <c r="H430" s="25">
        <v>1800001030</v>
      </c>
      <c r="I430" s="1" t="s">
        <v>9</v>
      </c>
      <c r="J430" s="11">
        <v>45722</v>
      </c>
      <c r="K430" s="11">
        <v>45722</v>
      </c>
      <c r="L430" s="1" t="s">
        <v>71</v>
      </c>
      <c r="M430" s="35">
        <v>246779410970</v>
      </c>
      <c r="N430" s="1" t="s">
        <v>72</v>
      </c>
      <c r="O430" s="1" t="s">
        <v>73</v>
      </c>
      <c r="P430" s="1" t="s">
        <v>74</v>
      </c>
      <c r="Q430" s="1" t="s">
        <v>83</v>
      </c>
      <c r="R430" s="1" t="s">
        <v>76</v>
      </c>
      <c r="S430" s="12">
        <v>22.05</v>
      </c>
      <c r="T430" s="1" t="s">
        <v>77</v>
      </c>
      <c r="U430" s="12">
        <v>1911.54</v>
      </c>
      <c r="V430" s="1" t="s">
        <v>78</v>
      </c>
      <c r="W430" s="1" t="s">
        <v>79</v>
      </c>
      <c r="X430" s="1" t="s">
        <v>74</v>
      </c>
      <c r="Y430" s="1" t="s">
        <v>71</v>
      </c>
      <c r="Z430" s="1" t="s">
        <v>80</v>
      </c>
      <c r="AA430" s="1" t="s">
        <v>469</v>
      </c>
      <c r="AB430" s="1" t="s">
        <v>74</v>
      </c>
      <c r="AC430" s="1" t="s">
        <v>74</v>
      </c>
      <c r="AD430" s="1" t="s">
        <v>74</v>
      </c>
      <c r="AE430" s="11">
        <v>45722</v>
      </c>
      <c r="AF430" s="11"/>
      <c r="AG430" s="1" t="s">
        <v>74</v>
      </c>
      <c r="AJ430" cm="1">
        <f t="array" ref="AJ430:AK430">_xlfn.XLOOKUP(M430,'Customer Data Vlookup'!$L:$L,'Customer Data Vlookup'!$M:$N,,0)</f>
        <v>0</v>
      </c>
      <c r="AK430" s="47">
        <v>1882</v>
      </c>
      <c r="AL430" s="47">
        <f t="shared" si="46"/>
        <v>1882</v>
      </c>
      <c r="AM430" s="58">
        <f t="shared" si="47"/>
        <v>29.539999999999964</v>
      </c>
    </row>
    <row r="431" spans="1:39" x14ac:dyDescent="0.35">
      <c r="A431" s="1" t="s">
        <v>124</v>
      </c>
      <c r="B431" s="1" t="s">
        <v>67</v>
      </c>
      <c r="C431" s="1" t="s">
        <v>68</v>
      </c>
      <c r="D431" s="1" t="s">
        <v>69</v>
      </c>
      <c r="E431" s="1" t="s">
        <v>17</v>
      </c>
      <c r="F431" s="1" t="s">
        <v>166</v>
      </c>
      <c r="G431" s="11">
        <v>45722</v>
      </c>
      <c r="H431" s="25">
        <v>1800001031</v>
      </c>
      <c r="I431" s="1" t="s">
        <v>9</v>
      </c>
      <c r="J431" s="11">
        <v>45722</v>
      </c>
      <c r="K431" s="11">
        <v>45722</v>
      </c>
      <c r="L431" s="1" t="s">
        <v>71</v>
      </c>
      <c r="M431" s="35">
        <v>246779410971</v>
      </c>
      <c r="N431" s="1" t="s">
        <v>72</v>
      </c>
      <c r="O431" s="1" t="s">
        <v>73</v>
      </c>
      <c r="P431" s="1" t="s">
        <v>74</v>
      </c>
      <c r="Q431" s="1" t="s">
        <v>83</v>
      </c>
      <c r="R431" s="1" t="s">
        <v>76</v>
      </c>
      <c r="S431" s="12">
        <v>1205.2</v>
      </c>
      <c r="T431" s="1" t="s">
        <v>77</v>
      </c>
      <c r="U431" s="12">
        <v>104480.31</v>
      </c>
      <c r="V431" s="1" t="s">
        <v>78</v>
      </c>
      <c r="W431" s="1" t="s">
        <v>79</v>
      </c>
      <c r="X431" s="1" t="s">
        <v>74</v>
      </c>
      <c r="Y431" s="1" t="s">
        <v>71</v>
      </c>
      <c r="Z431" s="1" t="s">
        <v>80</v>
      </c>
      <c r="AA431" s="1" t="s">
        <v>469</v>
      </c>
      <c r="AB431" s="1" t="s">
        <v>74</v>
      </c>
      <c r="AC431" s="1" t="s">
        <v>74</v>
      </c>
      <c r="AD431" s="1" t="s">
        <v>74</v>
      </c>
      <c r="AE431" s="11">
        <v>45722</v>
      </c>
      <c r="AF431" s="11"/>
      <c r="AG431" s="1" t="s">
        <v>74</v>
      </c>
      <c r="AJ431" cm="1">
        <f t="array" ref="AJ431:AK431">_xlfn.XLOOKUP(M431,'Customer Data Vlookup'!$L:$L,'Customer Data Vlookup'!$M:$N,,0)</f>
        <v>0</v>
      </c>
      <c r="AK431" s="47">
        <v>36538</v>
      </c>
      <c r="AL431" s="47">
        <f t="shared" ref="AL431:AL475" si="48">AK431-AJ431</f>
        <v>36538</v>
      </c>
      <c r="AM431" s="58">
        <f t="shared" ref="AM431:AM475" si="49">U431-AL431</f>
        <v>67942.31</v>
      </c>
    </row>
    <row r="432" spans="1:39" x14ac:dyDescent="0.35">
      <c r="A432" s="1" t="s">
        <v>124</v>
      </c>
      <c r="B432" s="1" t="s">
        <v>67</v>
      </c>
      <c r="C432" s="1" t="s">
        <v>68</v>
      </c>
      <c r="D432" s="1" t="s">
        <v>69</v>
      </c>
      <c r="E432" s="1" t="s">
        <v>17</v>
      </c>
      <c r="F432" s="1" t="s">
        <v>166</v>
      </c>
      <c r="G432" s="11">
        <v>45722</v>
      </c>
      <c r="H432" s="25">
        <v>1800001032</v>
      </c>
      <c r="I432" s="1" t="s">
        <v>9</v>
      </c>
      <c r="J432" s="11">
        <v>45722</v>
      </c>
      <c r="K432" s="11">
        <v>45722</v>
      </c>
      <c r="L432" s="1" t="s">
        <v>71</v>
      </c>
      <c r="M432" s="35">
        <v>246779410972</v>
      </c>
      <c r="N432" s="1" t="s">
        <v>72</v>
      </c>
      <c r="O432" s="1" t="s">
        <v>73</v>
      </c>
      <c r="P432" s="1" t="s">
        <v>74</v>
      </c>
      <c r="Q432" s="1" t="s">
        <v>83</v>
      </c>
      <c r="R432" s="1" t="s">
        <v>76</v>
      </c>
      <c r="S432" s="12">
        <v>17.350000000000001</v>
      </c>
      <c r="T432" s="1" t="s">
        <v>77</v>
      </c>
      <c r="U432" s="12">
        <v>1504.09</v>
      </c>
      <c r="V432" s="1" t="s">
        <v>78</v>
      </c>
      <c r="W432" s="1" t="s">
        <v>79</v>
      </c>
      <c r="X432" s="1" t="s">
        <v>74</v>
      </c>
      <c r="Y432" s="1" t="s">
        <v>71</v>
      </c>
      <c r="Z432" s="1" t="s">
        <v>80</v>
      </c>
      <c r="AA432" s="1" t="s">
        <v>469</v>
      </c>
      <c r="AB432" s="1" t="s">
        <v>74</v>
      </c>
      <c r="AC432" s="1" t="s">
        <v>74</v>
      </c>
      <c r="AD432" s="1" t="s">
        <v>74</v>
      </c>
      <c r="AE432" s="11">
        <v>45722</v>
      </c>
      <c r="AF432" s="11"/>
      <c r="AG432" s="1" t="s">
        <v>74</v>
      </c>
      <c r="AJ432" cm="1">
        <f t="array" ref="AJ432:AK432">_xlfn.XLOOKUP(M432,'Customer Data Vlookup'!$L:$L,'Customer Data Vlookup'!$M:$N,,0)</f>
        <v>0</v>
      </c>
      <c r="AK432" s="47">
        <v>1481</v>
      </c>
      <c r="AL432" s="47">
        <f t="shared" si="48"/>
        <v>1481</v>
      </c>
      <c r="AM432" s="58">
        <f t="shared" si="49"/>
        <v>23.089999999999918</v>
      </c>
    </row>
    <row r="433" spans="1:39" x14ac:dyDescent="0.35">
      <c r="A433" s="1" t="s">
        <v>124</v>
      </c>
      <c r="B433" s="1" t="s">
        <v>67</v>
      </c>
      <c r="C433" s="1" t="s">
        <v>68</v>
      </c>
      <c r="D433" s="1" t="s">
        <v>69</v>
      </c>
      <c r="E433" s="1" t="s">
        <v>17</v>
      </c>
      <c r="F433" s="1" t="s">
        <v>166</v>
      </c>
      <c r="G433" s="11">
        <v>45722</v>
      </c>
      <c r="H433" s="25">
        <v>1800001033</v>
      </c>
      <c r="I433" s="1" t="s">
        <v>9</v>
      </c>
      <c r="J433" s="11">
        <v>45722</v>
      </c>
      <c r="K433" s="11">
        <v>45722</v>
      </c>
      <c r="L433" s="1" t="s">
        <v>71</v>
      </c>
      <c r="M433" s="35">
        <v>246779410973</v>
      </c>
      <c r="N433" s="1" t="s">
        <v>72</v>
      </c>
      <c r="O433" s="1" t="s">
        <v>73</v>
      </c>
      <c r="P433" s="1" t="s">
        <v>74</v>
      </c>
      <c r="Q433" s="1" t="s">
        <v>83</v>
      </c>
      <c r="R433" s="1" t="s">
        <v>76</v>
      </c>
      <c r="S433" s="12">
        <v>33.799999999999997</v>
      </c>
      <c r="T433" s="1" t="s">
        <v>77</v>
      </c>
      <c r="U433" s="12">
        <v>2930.16</v>
      </c>
      <c r="V433" s="1" t="s">
        <v>78</v>
      </c>
      <c r="W433" s="1" t="s">
        <v>79</v>
      </c>
      <c r="X433" s="1" t="s">
        <v>74</v>
      </c>
      <c r="Y433" s="1" t="s">
        <v>71</v>
      </c>
      <c r="Z433" s="1" t="s">
        <v>80</v>
      </c>
      <c r="AA433" s="1" t="s">
        <v>469</v>
      </c>
      <c r="AB433" s="1" t="s">
        <v>74</v>
      </c>
      <c r="AC433" s="1" t="s">
        <v>74</v>
      </c>
      <c r="AD433" s="1" t="s">
        <v>74</v>
      </c>
      <c r="AE433" s="11">
        <v>45722</v>
      </c>
      <c r="AF433" s="11"/>
      <c r="AG433" s="1" t="s">
        <v>74</v>
      </c>
      <c r="AJ433" cm="1">
        <f t="array" ref="AJ433:AK433">_xlfn.XLOOKUP(M433,'Customer Data Vlookup'!$L:$L,'Customer Data Vlookup'!$M:$N,,0)</f>
        <v>0</v>
      </c>
      <c r="AK433" s="47">
        <v>2884</v>
      </c>
      <c r="AL433" s="47">
        <f t="shared" si="48"/>
        <v>2884</v>
      </c>
      <c r="AM433" s="58">
        <f t="shared" si="49"/>
        <v>46.159999999999854</v>
      </c>
    </row>
    <row r="434" spans="1:39" x14ac:dyDescent="0.35">
      <c r="A434" s="1" t="s">
        <v>124</v>
      </c>
      <c r="B434" s="1" t="s">
        <v>67</v>
      </c>
      <c r="C434" s="1" t="s">
        <v>68</v>
      </c>
      <c r="D434" s="1" t="s">
        <v>69</v>
      </c>
      <c r="E434" s="1" t="s">
        <v>17</v>
      </c>
      <c r="F434" s="1" t="s">
        <v>166</v>
      </c>
      <c r="G434" s="11">
        <v>45722</v>
      </c>
      <c r="H434" s="25">
        <v>1800001034</v>
      </c>
      <c r="I434" s="1" t="s">
        <v>9</v>
      </c>
      <c r="J434" s="11">
        <v>45722</v>
      </c>
      <c r="K434" s="11">
        <v>45722</v>
      </c>
      <c r="L434" s="1" t="s">
        <v>71</v>
      </c>
      <c r="M434" s="35">
        <v>246779410974</v>
      </c>
      <c r="N434" s="1" t="s">
        <v>72</v>
      </c>
      <c r="O434" s="1" t="s">
        <v>73</v>
      </c>
      <c r="P434" s="1" t="s">
        <v>74</v>
      </c>
      <c r="Q434" s="1" t="s">
        <v>83</v>
      </c>
      <c r="R434" s="1" t="s">
        <v>76</v>
      </c>
      <c r="S434" s="12">
        <v>4.7</v>
      </c>
      <c r="T434" s="1" t="s">
        <v>77</v>
      </c>
      <c r="U434" s="12">
        <v>407.45</v>
      </c>
      <c r="V434" s="1" t="s">
        <v>78</v>
      </c>
      <c r="W434" s="1" t="s">
        <v>79</v>
      </c>
      <c r="X434" s="1" t="s">
        <v>74</v>
      </c>
      <c r="Y434" s="1" t="s">
        <v>71</v>
      </c>
      <c r="Z434" s="1" t="s">
        <v>80</v>
      </c>
      <c r="AA434" s="1" t="s">
        <v>469</v>
      </c>
      <c r="AB434" s="1" t="s">
        <v>74</v>
      </c>
      <c r="AC434" s="1" t="s">
        <v>74</v>
      </c>
      <c r="AD434" s="1" t="s">
        <v>74</v>
      </c>
      <c r="AE434" s="11">
        <v>45722</v>
      </c>
      <c r="AF434" s="11"/>
      <c r="AG434" s="1" t="s">
        <v>74</v>
      </c>
      <c r="AJ434" cm="1">
        <f t="array" ref="AJ434:AK434">_xlfn.XLOOKUP(M434,'Customer Data Vlookup'!$L:$L,'Customer Data Vlookup'!$M:$N,,0)</f>
        <v>0</v>
      </c>
      <c r="AK434" s="47">
        <v>401</v>
      </c>
      <c r="AL434" s="47">
        <f t="shared" si="48"/>
        <v>401</v>
      </c>
      <c r="AM434" s="58">
        <f t="shared" si="49"/>
        <v>6.4499999999999886</v>
      </c>
    </row>
    <row r="435" spans="1:39" x14ac:dyDescent="0.35">
      <c r="A435" s="1" t="s">
        <v>124</v>
      </c>
      <c r="B435" s="1" t="s">
        <v>67</v>
      </c>
      <c r="C435" s="1" t="s">
        <v>68</v>
      </c>
      <c r="D435" s="1" t="s">
        <v>69</v>
      </c>
      <c r="E435" s="1" t="s">
        <v>17</v>
      </c>
      <c r="F435" s="1" t="s">
        <v>166</v>
      </c>
      <c r="G435" s="11">
        <v>45722</v>
      </c>
      <c r="H435" s="25">
        <v>1800001114</v>
      </c>
      <c r="I435" s="1" t="s">
        <v>9</v>
      </c>
      <c r="J435" s="11">
        <v>45722</v>
      </c>
      <c r="K435" s="11">
        <v>45723</v>
      </c>
      <c r="L435" s="1" t="s">
        <v>71</v>
      </c>
      <c r="M435" s="35">
        <v>246779411050</v>
      </c>
      <c r="N435" s="1" t="s">
        <v>72</v>
      </c>
      <c r="O435" s="1" t="s">
        <v>73</v>
      </c>
      <c r="P435" s="1" t="s">
        <v>74</v>
      </c>
      <c r="Q435" s="1" t="s">
        <v>83</v>
      </c>
      <c r="R435" s="1" t="s">
        <v>76</v>
      </c>
      <c r="S435" s="12">
        <v>23.5</v>
      </c>
      <c r="T435" s="1" t="s">
        <v>77</v>
      </c>
      <c r="U435" s="12">
        <v>2037.24</v>
      </c>
      <c r="V435" s="1" t="s">
        <v>78</v>
      </c>
      <c r="W435" s="1" t="s">
        <v>79</v>
      </c>
      <c r="X435" s="1" t="s">
        <v>74</v>
      </c>
      <c r="Y435" s="1" t="s">
        <v>71</v>
      </c>
      <c r="Z435" s="1" t="s">
        <v>80</v>
      </c>
      <c r="AA435" s="1" t="s">
        <v>470</v>
      </c>
      <c r="AB435" s="1" t="s">
        <v>74</v>
      </c>
      <c r="AC435" s="1" t="s">
        <v>74</v>
      </c>
      <c r="AD435" s="1" t="s">
        <v>74</v>
      </c>
      <c r="AE435" s="11">
        <v>45722</v>
      </c>
      <c r="AF435" s="11"/>
      <c r="AG435" s="1" t="s">
        <v>74</v>
      </c>
      <c r="AJ435" cm="1">
        <f t="array" ref="AJ435:AK435">_xlfn.XLOOKUP(M435,'Customer Data Vlookup'!$L:$L,'Customer Data Vlookup'!$M:$N,,0)</f>
        <v>0</v>
      </c>
      <c r="AK435" s="47">
        <v>1907</v>
      </c>
      <c r="AL435" s="47">
        <f t="shared" si="48"/>
        <v>1907</v>
      </c>
      <c r="AM435" s="58">
        <f t="shared" si="49"/>
        <v>130.24</v>
      </c>
    </row>
    <row r="436" spans="1:39" x14ac:dyDescent="0.35">
      <c r="A436" s="1" t="s">
        <v>124</v>
      </c>
      <c r="B436" s="1" t="s">
        <v>67</v>
      </c>
      <c r="C436" s="1" t="s">
        <v>68</v>
      </c>
      <c r="D436" s="1" t="s">
        <v>69</v>
      </c>
      <c r="E436" s="1" t="s">
        <v>17</v>
      </c>
      <c r="F436" s="1" t="s">
        <v>166</v>
      </c>
      <c r="G436" s="11">
        <v>45722</v>
      </c>
      <c r="H436" s="25">
        <v>1800001115</v>
      </c>
      <c r="I436" s="1" t="s">
        <v>9</v>
      </c>
      <c r="J436" s="11">
        <v>45722</v>
      </c>
      <c r="K436" s="11">
        <v>45723</v>
      </c>
      <c r="L436" s="1" t="s">
        <v>71</v>
      </c>
      <c r="M436" s="35">
        <v>246779411051</v>
      </c>
      <c r="N436" s="1" t="s">
        <v>72</v>
      </c>
      <c r="O436" s="1" t="s">
        <v>73</v>
      </c>
      <c r="P436" s="1" t="s">
        <v>74</v>
      </c>
      <c r="Q436" s="1" t="s">
        <v>83</v>
      </c>
      <c r="R436" s="1" t="s">
        <v>76</v>
      </c>
      <c r="S436" s="12">
        <v>17.350000000000001</v>
      </c>
      <c r="T436" s="1" t="s">
        <v>77</v>
      </c>
      <c r="U436" s="12">
        <v>1504.09</v>
      </c>
      <c r="V436" s="1" t="s">
        <v>78</v>
      </c>
      <c r="W436" s="1" t="s">
        <v>79</v>
      </c>
      <c r="X436" s="1" t="s">
        <v>74</v>
      </c>
      <c r="Y436" s="1" t="s">
        <v>71</v>
      </c>
      <c r="Z436" s="1" t="s">
        <v>80</v>
      </c>
      <c r="AA436" s="1" t="s">
        <v>470</v>
      </c>
      <c r="AB436" s="1" t="s">
        <v>74</v>
      </c>
      <c r="AC436" s="1" t="s">
        <v>74</v>
      </c>
      <c r="AD436" s="1" t="s">
        <v>74</v>
      </c>
      <c r="AE436" s="11">
        <v>45722</v>
      </c>
      <c r="AF436" s="11"/>
      <c r="AG436" s="1" t="s">
        <v>74</v>
      </c>
      <c r="AJ436" cm="1">
        <f t="array" ref="AJ436:AK436">_xlfn.XLOOKUP(M436,'Customer Data Vlookup'!$L:$L,'Customer Data Vlookup'!$M:$N,,0)</f>
        <v>0</v>
      </c>
      <c r="AK436" s="47">
        <v>1408</v>
      </c>
      <c r="AL436" s="47">
        <f t="shared" si="48"/>
        <v>1408</v>
      </c>
      <c r="AM436" s="58">
        <f t="shared" si="49"/>
        <v>96.089999999999918</v>
      </c>
    </row>
    <row r="437" spans="1:39" x14ac:dyDescent="0.35">
      <c r="A437" s="1" t="s">
        <v>124</v>
      </c>
      <c r="B437" s="1" t="s">
        <v>67</v>
      </c>
      <c r="C437" s="1" t="s">
        <v>68</v>
      </c>
      <c r="D437" s="1" t="s">
        <v>69</v>
      </c>
      <c r="E437" s="1" t="s">
        <v>17</v>
      </c>
      <c r="F437" s="1" t="s">
        <v>166</v>
      </c>
      <c r="G437" s="11">
        <v>45722</v>
      </c>
      <c r="H437" s="25">
        <v>1800001116</v>
      </c>
      <c r="I437" s="1" t="s">
        <v>9</v>
      </c>
      <c r="J437" s="11">
        <v>45722</v>
      </c>
      <c r="K437" s="11">
        <v>45723</v>
      </c>
      <c r="L437" s="1" t="s">
        <v>71</v>
      </c>
      <c r="M437" s="35">
        <v>246779411052</v>
      </c>
      <c r="N437" s="1" t="s">
        <v>72</v>
      </c>
      <c r="O437" s="1" t="s">
        <v>73</v>
      </c>
      <c r="P437" s="1" t="s">
        <v>74</v>
      </c>
      <c r="Q437" s="1" t="s">
        <v>83</v>
      </c>
      <c r="R437" s="1" t="s">
        <v>76</v>
      </c>
      <c r="S437" s="12">
        <v>4.7</v>
      </c>
      <c r="T437" s="1" t="s">
        <v>77</v>
      </c>
      <c r="U437" s="12">
        <v>407.45</v>
      </c>
      <c r="V437" s="1" t="s">
        <v>78</v>
      </c>
      <c r="W437" s="1" t="s">
        <v>79</v>
      </c>
      <c r="X437" s="1" t="s">
        <v>74</v>
      </c>
      <c r="Y437" s="1" t="s">
        <v>71</v>
      </c>
      <c r="Z437" s="1" t="s">
        <v>80</v>
      </c>
      <c r="AA437" s="1" t="s">
        <v>470</v>
      </c>
      <c r="AB437" s="1" t="s">
        <v>74</v>
      </c>
      <c r="AC437" s="1" t="s">
        <v>74</v>
      </c>
      <c r="AD437" s="1" t="s">
        <v>74</v>
      </c>
      <c r="AE437" s="11">
        <v>45722</v>
      </c>
      <c r="AF437" s="11"/>
      <c r="AG437" s="1" t="s">
        <v>74</v>
      </c>
      <c r="AJ437" cm="1">
        <f t="array" ref="AJ437:AK437">_xlfn.XLOOKUP(M437,'Customer Data Vlookup'!$L:$L,'Customer Data Vlookup'!$M:$N,,0)</f>
        <v>0</v>
      </c>
      <c r="AK437" s="47">
        <v>381</v>
      </c>
      <c r="AL437" s="47">
        <f t="shared" si="48"/>
        <v>381</v>
      </c>
      <c r="AM437" s="58">
        <f t="shared" si="49"/>
        <v>26.449999999999989</v>
      </c>
    </row>
    <row r="438" spans="1:39" x14ac:dyDescent="0.35">
      <c r="A438" s="1" t="s">
        <v>124</v>
      </c>
      <c r="B438" s="1" t="s">
        <v>67</v>
      </c>
      <c r="C438" s="1" t="s">
        <v>68</v>
      </c>
      <c r="D438" s="1" t="s">
        <v>69</v>
      </c>
      <c r="E438" s="1" t="s">
        <v>17</v>
      </c>
      <c r="F438" s="1" t="s">
        <v>166</v>
      </c>
      <c r="G438" s="11">
        <v>45722</v>
      </c>
      <c r="H438" s="25">
        <v>1800001117</v>
      </c>
      <c r="I438" s="1" t="s">
        <v>9</v>
      </c>
      <c r="J438" s="11">
        <v>45722</v>
      </c>
      <c r="K438" s="11">
        <v>45723</v>
      </c>
      <c r="L438" s="1" t="s">
        <v>71</v>
      </c>
      <c r="M438" s="35">
        <v>246779411053</v>
      </c>
      <c r="N438" s="1" t="s">
        <v>72</v>
      </c>
      <c r="O438" s="1" t="s">
        <v>73</v>
      </c>
      <c r="P438" s="1" t="s">
        <v>74</v>
      </c>
      <c r="Q438" s="1" t="s">
        <v>83</v>
      </c>
      <c r="R438" s="1" t="s">
        <v>76</v>
      </c>
      <c r="S438" s="12">
        <v>24.4</v>
      </c>
      <c r="T438" s="1" t="s">
        <v>77</v>
      </c>
      <c r="U438" s="12">
        <v>2115.27</v>
      </c>
      <c r="V438" s="1" t="s">
        <v>78</v>
      </c>
      <c r="W438" s="1" t="s">
        <v>79</v>
      </c>
      <c r="X438" s="1" t="s">
        <v>74</v>
      </c>
      <c r="Y438" s="1" t="s">
        <v>71</v>
      </c>
      <c r="Z438" s="1" t="s">
        <v>80</v>
      </c>
      <c r="AA438" s="1" t="s">
        <v>470</v>
      </c>
      <c r="AB438" s="1" t="s">
        <v>74</v>
      </c>
      <c r="AC438" s="1" t="s">
        <v>74</v>
      </c>
      <c r="AD438" s="1" t="s">
        <v>74</v>
      </c>
      <c r="AE438" s="11">
        <v>45722</v>
      </c>
      <c r="AF438" s="11"/>
      <c r="AG438" s="1" t="s">
        <v>74</v>
      </c>
      <c r="AJ438" cm="1">
        <f t="array" ref="AJ438:AK438">_xlfn.XLOOKUP(M438,'Customer Data Vlookup'!$L:$L,'Customer Data Vlookup'!$M:$N,,0)</f>
        <v>0</v>
      </c>
      <c r="AK438" s="47">
        <v>1981</v>
      </c>
      <c r="AL438" s="47">
        <f t="shared" si="48"/>
        <v>1981</v>
      </c>
      <c r="AM438" s="58">
        <f t="shared" si="49"/>
        <v>134.26999999999998</v>
      </c>
    </row>
    <row r="439" spans="1:39" x14ac:dyDescent="0.35">
      <c r="A439" s="1" t="s">
        <v>124</v>
      </c>
      <c r="B439" s="1" t="s">
        <v>67</v>
      </c>
      <c r="C439" s="1" t="s">
        <v>68</v>
      </c>
      <c r="D439" s="1" t="s">
        <v>69</v>
      </c>
      <c r="E439" s="1" t="s">
        <v>17</v>
      </c>
      <c r="F439" s="1" t="s">
        <v>166</v>
      </c>
      <c r="G439" s="11">
        <v>45722</v>
      </c>
      <c r="H439" s="25">
        <v>1800001118</v>
      </c>
      <c r="I439" s="1" t="s">
        <v>9</v>
      </c>
      <c r="J439" s="11">
        <v>45722</v>
      </c>
      <c r="K439" s="11">
        <v>45723</v>
      </c>
      <c r="L439" s="1" t="s">
        <v>71</v>
      </c>
      <c r="M439" s="35">
        <v>246779411054</v>
      </c>
      <c r="N439" s="1" t="s">
        <v>72</v>
      </c>
      <c r="O439" s="1" t="s">
        <v>73</v>
      </c>
      <c r="P439" s="1" t="s">
        <v>74</v>
      </c>
      <c r="Q439" s="1" t="s">
        <v>83</v>
      </c>
      <c r="R439" s="1" t="s">
        <v>76</v>
      </c>
      <c r="S439" s="12">
        <v>54.05</v>
      </c>
      <c r="T439" s="1" t="s">
        <v>77</v>
      </c>
      <c r="U439" s="12">
        <v>4685.66</v>
      </c>
      <c r="V439" s="1" t="s">
        <v>78</v>
      </c>
      <c r="W439" s="1" t="s">
        <v>79</v>
      </c>
      <c r="X439" s="1" t="s">
        <v>74</v>
      </c>
      <c r="Y439" s="1" t="s">
        <v>71</v>
      </c>
      <c r="Z439" s="1" t="s">
        <v>80</v>
      </c>
      <c r="AA439" s="1" t="s">
        <v>470</v>
      </c>
      <c r="AB439" s="1" t="s">
        <v>74</v>
      </c>
      <c r="AC439" s="1" t="s">
        <v>74</v>
      </c>
      <c r="AD439" s="1" t="s">
        <v>74</v>
      </c>
      <c r="AE439" s="11">
        <v>45722</v>
      </c>
      <c r="AF439" s="11"/>
      <c r="AG439" s="1" t="s">
        <v>74</v>
      </c>
      <c r="AJ439" cm="1">
        <f t="array" ref="AJ439:AK439">_xlfn.XLOOKUP(M439,'Customer Data Vlookup'!$L:$L,'Customer Data Vlookup'!$M:$N,,0)</f>
        <v>0</v>
      </c>
      <c r="AK439" s="47">
        <v>4387</v>
      </c>
      <c r="AL439" s="47">
        <f t="shared" si="48"/>
        <v>4387</v>
      </c>
      <c r="AM439" s="58">
        <f t="shared" si="49"/>
        <v>298.65999999999985</v>
      </c>
    </row>
    <row r="440" spans="1:39" x14ac:dyDescent="0.35">
      <c r="A440" s="1" t="s">
        <v>124</v>
      </c>
      <c r="B440" s="1" t="s">
        <v>67</v>
      </c>
      <c r="C440" s="1" t="s">
        <v>68</v>
      </c>
      <c r="D440" s="1" t="s">
        <v>69</v>
      </c>
      <c r="E440" s="1" t="s">
        <v>17</v>
      </c>
      <c r="F440" s="1" t="s">
        <v>166</v>
      </c>
      <c r="G440" s="11">
        <v>45722</v>
      </c>
      <c r="H440" s="25">
        <v>1800001119</v>
      </c>
      <c r="I440" s="1" t="s">
        <v>9</v>
      </c>
      <c r="J440" s="11">
        <v>45722</v>
      </c>
      <c r="K440" s="11">
        <v>45723</v>
      </c>
      <c r="L440" s="1" t="s">
        <v>71</v>
      </c>
      <c r="M440" s="35">
        <v>246779411055</v>
      </c>
      <c r="N440" s="1" t="s">
        <v>72</v>
      </c>
      <c r="O440" s="1" t="s">
        <v>73</v>
      </c>
      <c r="P440" s="1" t="s">
        <v>74</v>
      </c>
      <c r="Q440" s="1" t="s">
        <v>83</v>
      </c>
      <c r="R440" s="1" t="s">
        <v>76</v>
      </c>
      <c r="S440" s="12">
        <v>17.350000000000001</v>
      </c>
      <c r="T440" s="1" t="s">
        <v>77</v>
      </c>
      <c r="U440" s="12">
        <v>1504.09</v>
      </c>
      <c r="V440" s="1" t="s">
        <v>78</v>
      </c>
      <c r="W440" s="1" t="s">
        <v>79</v>
      </c>
      <c r="X440" s="1" t="s">
        <v>74</v>
      </c>
      <c r="Y440" s="1" t="s">
        <v>71</v>
      </c>
      <c r="Z440" s="1" t="s">
        <v>80</v>
      </c>
      <c r="AA440" s="1" t="s">
        <v>470</v>
      </c>
      <c r="AB440" s="1" t="s">
        <v>74</v>
      </c>
      <c r="AC440" s="1" t="s">
        <v>74</v>
      </c>
      <c r="AD440" s="1" t="s">
        <v>74</v>
      </c>
      <c r="AE440" s="11">
        <v>45722</v>
      </c>
      <c r="AF440" s="11"/>
      <c r="AG440" s="1" t="s">
        <v>74</v>
      </c>
      <c r="AJ440" cm="1">
        <f t="array" ref="AJ440:AK440">_xlfn.XLOOKUP(M440,'Customer Data Vlookup'!$L:$L,'Customer Data Vlookup'!$M:$N,,0)</f>
        <v>0</v>
      </c>
      <c r="AK440" s="47">
        <v>1408</v>
      </c>
      <c r="AL440" s="47">
        <f t="shared" si="48"/>
        <v>1408</v>
      </c>
      <c r="AM440" s="58">
        <f t="shared" si="49"/>
        <v>96.089999999999918</v>
      </c>
    </row>
    <row r="441" spans="1:39" x14ac:dyDescent="0.35">
      <c r="A441" s="1" t="s">
        <v>124</v>
      </c>
      <c r="B441" s="1" t="s">
        <v>67</v>
      </c>
      <c r="C441" s="1" t="s">
        <v>68</v>
      </c>
      <c r="D441" s="1" t="s">
        <v>69</v>
      </c>
      <c r="E441" s="1" t="s">
        <v>17</v>
      </c>
      <c r="F441" s="1" t="s">
        <v>166</v>
      </c>
      <c r="G441" s="11">
        <v>45722</v>
      </c>
      <c r="H441" s="25">
        <v>1800001316</v>
      </c>
      <c r="I441" s="1" t="s">
        <v>9</v>
      </c>
      <c r="J441" s="11">
        <v>45722</v>
      </c>
      <c r="K441" s="11">
        <v>45723</v>
      </c>
      <c r="L441" s="1" t="s">
        <v>71</v>
      </c>
      <c r="M441" s="35">
        <v>246779411185</v>
      </c>
      <c r="N441" s="1" t="s">
        <v>72</v>
      </c>
      <c r="O441" s="1" t="s">
        <v>73</v>
      </c>
      <c r="P441" s="1" t="s">
        <v>74</v>
      </c>
      <c r="Q441" s="1" t="s">
        <v>83</v>
      </c>
      <c r="R441" s="1" t="s">
        <v>76</v>
      </c>
      <c r="S441" s="12">
        <v>23.5</v>
      </c>
      <c r="T441" s="1" t="s">
        <v>77</v>
      </c>
      <c r="U441" s="12">
        <v>2037.24</v>
      </c>
      <c r="V441" s="1" t="s">
        <v>78</v>
      </c>
      <c r="W441" s="1" t="s">
        <v>79</v>
      </c>
      <c r="X441" s="1" t="s">
        <v>74</v>
      </c>
      <c r="Y441" s="1" t="s">
        <v>71</v>
      </c>
      <c r="Z441" s="1" t="s">
        <v>80</v>
      </c>
      <c r="AA441" s="1" t="s">
        <v>471</v>
      </c>
      <c r="AB441" s="1" t="s">
        <v>74</v>
      </c>
      <c r="AC441" s="1" t="s">
        <v>74</v>
      </c>
      <c r="AD441" s="1" t="s">
        <v>74</v>
      </c>
      <c r="AE441" s="11">
        <v>45722</v>
      </c>
      <c r="AF441" s="11"/>
      <c r="AG441" s="1" t="s">
        <v>74</v>
      </c>
      <c r="AJ441" cm="1">
        <f t="array" ref="AJ441:AK441">_xlfn.XLOOKUP(M441,'Customer Data Vlookup'!$L:$L,'Customer Data Vlookup'!$M:$N,,0)</f>
        <v>0</v>
      </c>
      <c r="AK441" s="47">
        <v>2004</v>
      </c>
      <c r="AL441" s="47">
        <f t="shared" si="48"/>
        <v>2004</v>
      </c>
      <c r="AM441" s="58">
        <f t="shared" si="49"/>
        <v>33.240000000000009</v>
      </c>
    </row>
    <row r="442" spans="1:39" x14ac:dyDescent="0.35">
      <c r="A442" s="1" t="s">
        <v>124</v>
      </c>
      <c r="B442" s="1" t="s">
        <v>67</v>
      </c>
      <c r="C442" s="1" t="s">
        <v>68</v>
      </c>
      <c r="D442" s="1" t="s">
        <v>69</v>
      </c>
      <c r="E442" s="1" t="s">
        <v>17</v>
      </c>
      <c r="F442" s="1" t="s">
        <v>166</v>
      </c>
      <c r="G442" s="11">
        <v>45722</v>
      </c>
      <c r="H442" s="25">
        <v>1800001317</v>
      </c>
      <c r="I442" s="1" t="s">
        <v>9</v>
      </c>
      <c r="J442" s="11">
        <v>45722</v>
      </c>
      <c r="K442" s="11">
        <v>45723</v>
      </c>
      <c r="L442" s="1" t="s">
        <v>71</v>
      </c>
      <c r="M442" s="35">
        <v>246779411186</v>
      </c>
      <c r="N442" s="1" t="s">
        <v>72</v>
      </c>
      <c r="O442" s="1" t="s">
        <v>73</v>
      </c>
      <c r="P442" s="1" t="s">
        <v>74</v>
      </c>
      <c r="Q442" s="1" t="s">
        <v>83</v>
      </c>
      <c r="R442" s="1" t="s">
        <v>76</v>
      </c>
      <c r="S442" s="12">
        <v>23.5</v>
      </c>
      <c r="T442" s="1" t="s">
        <v>77</v>
      </c>
      <c r="U442" s="12">
        <v>2037.24</v>
      </c>
      <c r="V442" s="1" t="s">
        <v>78</v>
      </c>
      <c r="W442" s="1" t="s">
        <v>79</v>
      </c>
      <c r="X442" s="1" t="s">
        <v>74</v>
      </c>
      <c r="Y442" s="1" t="s">
        <v>71</v>
      </c>
      <c r="Z442" s="1" t="s">
        <v>80</v>
      </c>
      <c r="AA442" s="1" t="s">
        <v>471</v>
      </c>
      <c r="AB442" s="1" t="s">
        <v>74</v>
      </c>
      <c r="AC442" s="1" t="s">
        <v>74</v>
      </c>
      <c r="AD442" s="1" t="s">
        <v>74</v>
      </c>
      <c r="AE442" s="11">
        <v>45722</v>
      </c>
      <c r="AF442" s="11"/>
      <c r="AG442" s="1" t="s">
        <v>74</v>
      </c>
      <c r="AJ442" cm="1">
        <f t="array" ref="AJ442:AK442">_xlfn.XLOOKUP(M442,'Customer Data Vlookup'!$L:$L,'Customer Data Vlookup'!$M:$N,,0)</f>
        <v>0</v>
      </c>
      <c r="AK442" s="47">
        <v>2004</v>
      </c>
      <c r="AL442" s="47">
        <f t="shared" si="48"/>
        <v>2004</v>
      </c>
      <c r="AM442" s="58">
        <f t="shared" si="49"/>
        <v>33.240000000000009</v>
      </c>
    </row>
    <row r="443" spans="1:39" x14ac:dyDescent="0.35">
      <c r="A443" s="1" t="s">
        <v>124</v>
      </c>
      <c r="B443" s="1" t="s">
        <v>67</v>
      </c>
      <c r="C443" s="1" t="s">
        <v>68</v>
      </c>
      <c r="D443" s="1" t="s">
        <v>69</v>
      </c>
      <c r="E443" s="1" t="s">
        <v>17</v>
      </c>
      <c r="F443" s="1" t="s">
        <v>166</v>
      </c>
      <c r="G443" s="11">
        <v>45722</v>
      </c>
      <c r="H443" s="25">
        <v>1800001318</v>
      </c>
      <c r="I443" s="1" t="s">
        <v>9</v>
      </c>
      <c r="J443" s="11">
        <v>45722</v>
      </c>
      <c r="K443" s="11">
        <v>45723</v>
      </c>
      <c r="L443" s="1" t="s">
        <v>71</v>
      </c>
      <c r="M443" s="35">
        <v>246779411187</v>
      </c>
      <c r="N443" s="1" t="s">
        <v>72</v>
      </c>
      <c r="O443" s="1" t="s">
        <v>73</v>
      </c>
      <c r="P443" s="1" t="s">
        <v>74</v>
      </c>
      <c r="Q443" s="1" t="s">
        <v>83</v>
      </c>
      <c r="R443" s="1" t="s">
        <v>76</v>
      </c>
      <c r="S443" s="12">
        <v>23.5</v>
      </c>
      <c r="T443" s="1" t="s">
        <v>77</v>
      </c>
      <c r="U443" s="12">
        <v>2037.24</v>
      </c>
      <c r="V443" s="1" t="s">
        <v>78</v>
      </c>
      <c r="W443" s="1" t="s">
        <v>79</v>
      </c>
      <c r="X443" s="1" t="s">
        <v>74</v>
      </c>
      <c r="Y443" s="1" t="s">
        <v>71</v>
      </c>
      <c r="Z443" s="1" t="s">
        <v>80</v>
      </c>
      <c r="AA443" s="1" t="s">
        <v>471</v>
      </c>
      <c r="AB443" s="1" t="s">
        <v>74</v>
      </c>
      <c r="AC443" s="1" t="s">
        <v>74</v>
      </c>
      <c r="AD443" s="1" t="s">
        <v>74</v>
      </c>
      <c r="AE443" s="11">
        <v>45722</v>
      </c>
      <c r="AF443" s="11"/>
      <c r="AG443" s="1" t="s">
        <v>74</v>
      </c>
      <c r="AJ443" cm="1">
        <f t="array" ref="AJ443:AK443">_xlfn.XLOOKUP(M443,'Customer Data Vlookup'!$L:$L,'Customer Data Vlookup'!$M:$N,,0)</f>
        <v>0</v>
      </c>
      <c r="AK443" s="47">
        <v>2004</v>
      </c>
      <c r="AL443" s="47">
        <f t="shared" si="48"/>
        <v>2004</v>
      </c>
      <c r="AM443" s="58">
        <f t="shared" si="49"/>
        <v>33.240000000000009</v>
      </c>
    </row>
    <row r="444" spans="1:39" x14ac:dyDescent="0.35">
      <c r="A444" s="1" t="s">
        <v>124</v>
      </c>
      <c r="B444" s="1" t="s">
        <v>67</v>
      </c>
      <c r="C444" s="1" t="s">
        <v>68</v>
      </c>
      <c r="D444" s="1" t="s">
        <v>69</v>
      </c>
      <c r="E444" s="1" t="s">
        <v>17</v>
      </c>
      <c r="F444" s="1" t="s">
        <v>166</v>
      </c>
      <c r="G444" s="11">
        <v>45722</v>
      </c>
      <c r="H444" s="25">
        <v>1800001319</v>
      </c>
      <c r="I444" s="1" t="s">
        <v>9</v>
      </c>
      <c r="J444" s="11">
        <v>45722</v>
      </c>
      <c r="K444" s="11">
        <v>45723</v>
      </c>
      <c r="L444" s="1" t="s">
        <v>71</v>
      </c>
      <c r="M444" s="35">
        <v>246779411188</v>
      </c>
      <c r="N444" s="1" t="s">
        <v>72</v>
      </c>
      <c r="O444" s="1" t="s">
        <v>73</v>
      </c>
      <c r="P444" s="1" t="s">
        <v>74</v>
      </c>
      <c r="Q444" s="1" t="s">
        <v>83</v>
      </c>
      <c r="R444" s="1" t="s">
        <v>76</v>
      </c>
      <c r="S444" s="12">
        <v>23.5</v>
      </c>
      <c r="T444" s="1" t="s">
        <v>77</v>
      </c>
      <c r="U444" s="12">
        <v>2037.24</v>
      </c>
      <c r="V444" s="1" t="s">
        <v>78</v>
      </c>
      <c r="W444" s="1" t="s">
        <v>79</v>
      </c>
      <c r="X444" s="1" t="s">
        <v>74</v>
      </c>
      <c r="Y444" s="1" t="s">
        <v>71</v>
      </c>
      <c r="Z444" s="1" t="s">
        <v>80</v>
      </c>
      <c r="AA444" s="1" t="s">
        <v>471</v>
      </c>
      <c r="AB444" s="1" t="s">
        <v>74</v>
      </c>
      <c r="AC444" s="1" t="s">
        <v>74</v>
      </c>
      <c r="AD444" s="1" t="s">
        <v>74</v>
      </c>
      <c r="AE444" s="11">
        <v>45722</v>
      </c>
      <c r="AF444" s="11"/>
      <c r="AG444" s="1" t="s">
        <v>74</v>
      </c>
      <c r="AJ444" cm="1">
        <f t="array" ref="AJ444:AK444">_xlfn.XLOOKUP(M444,'Customer Data Vlookup'!$L:$L,'Customer Data Vlookup'!$M:$N,,0)</f>
        <v>0</v>
      </c>
      <c r="AK444" s="47">
        <v>2004</v>
      </c>
      <c r="AL444" s="47">
        <f t="shared" si="48"/>
        <v>2004</v>
      </c>
      <c r="AM444" s="58">
        <f t="shared" si="49"/>
        <v>33.240000000000009</v>
      </c>
    </row>
    <row r="445" spans="1:39" x14ac:dyDescent="0.35">
      <c r="A445" s="1" t="s">
        <v>124</v>
      </c>
      <c r="B445" s="1" t="s">
        <v>67</v>
      </c>
      <c r="C445" s="1" t="s">
        <v>68</v>
      </c>
      <c r="D445" s="1" t="s">
        <v>69</v>
      </c>
      <c r="E445" s="1" t="s">
        <v>17</v>
      </c>
      <c r="F445" s="1" t="s">
        <v>166</v>
      </c>
      <c r="G445" s="11">
        <v>45722</v>
      </c>
      <c r="H445" s="25">
        <v>1800001320</v>
      </c>
      <c r="I445" s="1" t="s">
        <v>9</v>
      </c>
      <c r="J445" s="11">
        <v>45722</v>
      </c>
      <c r="K445" s="11">
        <v>45723</v>
      </c>
      <c r="L445" s="1" t="s">
        <v>71</v>
      </c>
      <c r="M445" s="35">
        <v>246779411189</v>
      </c>
      <c r="N445" s="1" t="s">
        <v>72</v>
      </c>
      <c r="O445" s="1" t="s">
        <v>73</v>
      </c>
      <c r="P445" s="1" t="s">
        <v>74</v>
      </c>
      <c r="Q445" s="1" t="s">
        <v>83</v>
      </c>
      <c r="R445" s="1" t="s">
        <v>76</v>
      </c>
      <c r="S445" s="12">
        <v>23.5</v>
      </c>
      <c r="T445" s="1" t="s">
        <v>77</v>
      </c>
      <c r="U445" s="12">
        <v>2037.24</v>
      </c>
      <c r="V445" s="1" t="s">
        <v>78</v>
      </c>
      <c r="W445" s="1" t="s">
        <v>79</v>
      </c>
      <c r="X445" s="1" t="s">
        <v>74</v>
      </c>
      <c r="Y445" s="1" t="s">
        <v>71</v>
      </c>
      <c r="Z445" s="1" t="s">
        <v>80</v>
      </c>
      <c r="AA445" s="1" t="s">
        <v>471</v>
      </c>
      <c r="AB445" s="1" t="s">
        <v>74</v>
      </c>
      <c r="AC445" s="1" t="s">
        <v>74</v>
      </c>
      <c r="AD445" s="1" t="s">
        <v>74</v>
      </c>
      <c r="AE445" s="11">
        <v>45722</v>
      </c>
      <c r="AF445" s="11"/>
      <c r="AG445" s="1" t="s">
        <v>74</v>
      </c>
      <c r="AJ445" cm="1">
        <f t="array" ref="AJ445:AK445">_xlfn.XLOOKUP(M445,'Customer Data Vlookup'!$L:$L,'Customer Data Vlookup'!$M:$N,,0)</f>
        <v>0</v>
      </c>
      <c r="AK445" s="47">
        <v>2004</v>
      </c>
      <c r="AL445" s="47">
        <f t="shared" si="48"/>
        <v>2004</v>
      </c>
      <c r="AM445" s="58">
        <f t="shared" si="49"/>
        <v>33.240000000000009</v>
      </c>
    </row>
    <row r="446" spans="1:39" x14ac:dyDescent="0.35">
      <c r="A446" s="1" t="s">
        <v>124</v>
      </c>
      <c r="B446" s="1" t="s">
        <v>67</v>
      </c>
      <c r="C446" s="1" t="s">
        <v>68</v>
      </c>
      <c r="D446" s="1" t="s">
        <v>69</v>
      </c>
      <c r="E446" s="1" t="s">
        <v>17</v>
      </c>
      <c r="F446" s="1" t="s">
        <v>166</v>
      </c>
      <c r="G446" s="11">
        <v>45722</v>
      </c>
      <c r="H446" s="25">
        <v>1800001379</v>
      </c>
      <c r="I446" s="1" t="s">
        <v>9</v>
      </c>
      <c r="J446" s="11">
        <v>45722</v>
      </c>
      <c r="K446" s="11">
        <v>45723</v>
      </c>
      <c r="L446" s="1" t="s">
        <v>71</v>
      </c>
      <c r="M446" s="35">
        <v>246779411248</v>
      </c>
      <c r="N446" s="1" t="s">
        <v>72</v>
      </c>
      <c r="O446" s="1" t="s">
        <v>73</v>
      </c>
      <c r="P446" s="1" t="s">
        <v>74</v>
      </c>
      <c r="Q446" s="1" t="s">
        <v>83</v>
      </c>
      <c r="R446" s="1" t="s">
        <v>76</v>
      </c>
      <c r="S446" s="12">
        <v>42.3</v>
      </c>
      <c r="T446" s="1" t="s">
        <v>77</v>
      </c>
      <c r="U446" s="12">
        <v>3667.04</v>
      </c>
      <c r="V446" s="1" t="s">
        <v>78</v>
      </c>
      <c r="W446" s="1" t="s">
        <v>79</v>
      </c>
      <c r="X446" s="1" t="s">
        <v>74</v>
      </c>
      <c r="Y446" s="1" t="s">
        <v>71</v>
      </c>
      <c r="Z446" s="1" t="s">
        <v>80</v>
      </c>
      <c r="AA446" s="1" t="s">
        <v>321</v>
      </c>
      <c r="AB446" s="1" t="s">
        <v>74</v>
      </c>
      <c r="AC446" s="1" t="s">
        <v>74</v>
      </c>
      <c r="AD446" s="1" t="s">
        <v>74</v>
      </c>
      <c r="AE446" s="11">
        <v>45722</v>
      </c>
      <c r="AF446" s="11"/>
      <c r="AG446" s="1" t="s">
        <v>74</v>
      </c>
      <c r="AJ446" cm="1">
        <f t="array" ref="AJ446:AK446">_xlfn.XLOOKUP(M446,'Customer Data Vlookup'!$L:$L,'Customer Data Vlookup'!$M:$N,,0)</f>
        <v>0</v>
      </c>
      <c r="AK446" s="47">
        <v>3434</v>
      </c>
      <c r="AL446" s="47">
        <f t="shared" si="48"/>
        <v>3434</v>
      </c>
      <c r="AM446" s="58">
        <f t="shared" si="49"/>
        <v>233.03999999999996</v>
      </c>
    </row>
    <row r="447" spans="1:39" x14ac:dyDescent="0.35">
      <c r="A447" s="1" t="s">
        <v>124</v>
      </c>
      <c r="B447" s="1" t="s">
        <v>67</v>
      </c>
      <c r="C447" s="1" t="s">
        <v>68</v>
      </c>
      <c r="D447" s="1" t="s">
        <v>69</v>
      </c>
      <c r="E447" s="1" t="s">
        <v>17</v>
      </c>
      <c r="F447" s="1" t="s">
        <v>166</v>
      </c>
      <c r="G447" s="11">
        <v>45722</v>
      </c>
      <c r="H447" s="25">
        <v>1800001380</v>
      </c>
      <c r="I447" s="1" t="s">
        <v>9</v>
      </c>
      <c r="J447" s="11">
        <v>45722</v>
      </c>
      <c r="K447" s="11">
        <v>45723</v>
      </c>
      <c r="L447" s="1" t="s">
        <v>71</v>
      </c>
      <c r="M447" s="35">
        <v>246779411249</v>
      </c>
      <c r="N447" s="1" t="s">
        <v>72</v>
      </c>
      <c r="O447" s="1" t="s">
        <v>73</v>
      </c>
      <c r="P447" s="1" t="s">
        <v>74</v>
      </c>
      <c r="Q447" s="1" t="s">
        <v>83</v>
      </c>
      <c r="R447" s="1" t="s">
        <v>76</v>
      </c>
      <c r="S447" s="12">
        <v>169.2</v>
      </c>
      <c r="T447" s="1" t="s">
        <v>77</v>
      </c>
      <c r="U447" s="12">
        <v>14668.16</v>
      </c>
      <c r="V447" s="1" t="s">
        <v>78</v>
      </c>
      <c r="W447" s="1" t="s">
        <v>79</v>
      </c>
      <c r="X447" s="1" t="s">
        <v>74</v>
      </c>
      <c r="Y447" s="1" t="s">
        <v>71</v>
      </c>
      <c r="Z447" s="1" t="s">
        <v>80</v>
      </c>
      <c r="AA447" s="1" t="s">
        <v>321</v>
      </c>
      <c r="AB447" s="1" t="s">
        <v>74</v>
      </c>
      <c r="AC447" s="1" t="s">
        <v>74</v>
      </c>
      <c r="AD447" s="1" t="s">
        <v>74</v>
      </c>
      <c r="AE447" s="11">
        <v>45722</v>
      </c>
      <c r="AF447" s="11"/>
      <c r="AG447" s="1" t="s">
        <v>74</v>
      </c>
      <c r="AJ447" cm="1">
        <f t="array" ref="AJ447:AK447">_xlfn.XLOOKUP(M447,'Customer Data Vlookup'!$L:$L,'Customer Data Vlookup'!$M:$N,,0)</f>
        <v>0</v>
      </c>
      <c r="AK447" s="47">
        <v>13737</v>
      </c>
      <c r="AL447" s="47">
        <f t="shared" si="48"/>
        <v>13737</v>
      </c>
      <c r="AM447" s="58">
        <f t="shared" si="49"/>
        <v>931.15999999999985</v>
      </c>
    </row>
    <row r="448" spans="1:39" x14ac:dyDescent="0.35">
      <c r="A448" s="1" t="s">
        <v>124</v>
      </c>
      <c r="B448" s="1" t="s">
        <v>67</v>
      </c>
      <c r="C448" s="1" t="s">
        <v>68</v>
      </c>
      <c r="D448" s="1" t="s">
        <v>69</v>
      </c>
      <c r="E448" s="1" t="s">
        <v>17</v>
      </c>
      <c r="F448" s="1" t="s">
        <v>166</v>
      </c>
      <c r="G448" s="11">
        <v>45722</v>
      </c>
      <c r="H448" s="25">
        <v>1800001381</v>
      </c>
      <c r="I448" s="1" t="s">
        <v>9</v>
      </c>
      <c r="J448" s="11">
        <v>45722</v>
      </c>
      <c r="K448" s="11">
        <v>45723</v>
      </c>
      <c r="L448" s="1" t="s">
        <v>71</v>
      </c>
      <c r="M448" s="35">
        <v>246779411250</v>
      </c>
      <c r="N448" s="1" t="s">
        <v>72</v>
      </c>
      <c r="O448" s="1" t="s">
        <v>73</v>
      </c>
      <c r="P448" s="1" t="s">
        <v>74</v>
      </c>
      <c r="Q448" s="1" t="s">
        <v>83</v>
      </c>
      <c r="R448" s="1" t="s">
        <v>76</v>
      </c>
      <c r="S448" s="12">
        <v>19.7</v>
      </c>
      <c r="T448" s="1" t="s">
        <v>77</v>
      </c>
      <c r="U448" s="12">
        <v>1707.82</v>
      </c>
      <c r="V448" s="1" t="s">
        <v>78</v>
      </c>
      <c r="W448" s="1" t="s">
        <v>79</v>
      </c>
      <c r="X448" s="1" t="s">
        <v>74</v>
      </c>
      <c r="Y448" s="1" t="s">
        <v>71</v>
      </c>
      <c r="Z448" s="1" t="s">
        <v>80</v>
      </c>
      <c r="AA448" s="1" t="s">
        <v>321</v>
      </c>
      <c r="AB448" s="1" t="s">
        <v>74</v>
      </c>
      <c r="AC448" s="1" t="s">
        <v>74</v>
      </c>
      <c r="AD448" s="1" t="s">
        <v>74</v>
      </c>
      <c r="AE448" s="11">
        <v>45722</v>
      </c>
      <c r="AF448" s="11"/>
      <c r="AG448" s="1" t="s">
        <v>74</v>
      </c>
      <c r="AJ448" cm="1">
        <f t="array" ref="AJ448:AK448">_xlfn.XLOOKUP(M448,'Customer Data Vlookup'!$L:$L,'Customer Data Vlookup'!$M:$N,,0)</f>
        <v>0</v>
      </c>
      <c r="AK448" s="47">
        <v>1599</v>
      </c>
      <c r="AL448" s="47">
        <f t="shared" si="48"/>
        <v>1599</v>
      </c>
      <c r="AM448" s="58">
        <f t="shared" si="49"/>
        <v>108.81999999999994</v>
      </c>
    </row>
    <row r="449" spans="1:39" x14ac:dyDescent="0.35">
      <c r="A449" s="1" t="s">
        <v>124</v>
      </c>
      <c r="B449" s="1" t="s">
        <v>67</v>
      </c>
      <c r="C449" s="1" t="s">
        <v>68</v>
      </c>
      <c r="D449" s="1" t="s">
        <v>69</v>
      </c>
      <c r="E449" s="1" t="s">
        <v>17</v>
      </c>
      <c r="F449" s="1" t="s">
        <v>166</v>
      </c>
      <c r="G449" s="11">
        <v>45719</v>
      </c>
      <c r="H449" s="25">
        <v>1800000417</v>
      </c>
      <c r="I449" s="1" t="s">
        <v>9</v>
      </c>
      <c r="J449" s="11">
        <v>45719</v>
      </c>
      <c r="K449" s="11">
        <v>45719</v>
      </c>
      <c r="L449" s="1" t="s">
        <v>71</v>
      </c>
      <c r="M449" s="35">
        <v>246779410379</v>
      </c>
      <c r="N449" s="1" t="s">
        <v>72</v>
      </c>
      <c r="O449" s="1" t="s">
        <v>73</v>
      </c>
      <c r="P449" s="1" t="s">
        <v>74</v>
      </c>
      <c r="Q449" s="1" t="s">
        <v>83</v>
      </c>
      <c r="R449" s="1" t="s">
        <v>76</v>
      </c>
      <c r="S449" s="12">
        <v>5862.04</v>
      </c>
      <c r="T449" s="1" t="s">
        <v>77</v>
      </c>
      <c r="U449" s="12">
        <v>508187.63</v>
      </c>
      <c r="V449" s="1" t="s">
        <v>78</v>
      </c>
      <c r="W449" s="1" t="s">
        <v>79</v>
      </c>
      <c r="X449" s="1" t="s">
        <v>74</v>
      </c>
      <c r="Y449" s="1" t="s">
        <v>71</v>
      </c>
      <c r="Z449" s="1" t="s">
        <v>80</v>
      </c>
      <c r="AA449" s="1" t="s">
        <v>472</v>
      </c>
      <c r="AB449" s="1" t="s">
        <v>74</v>
      </c>
      <c r="AC449" s="1" t="s">
        <v>74</v>
      </c>
      <c r="AD449" s="1" t="s">
        <v>74</v>
      </c>
      <c r="AE449" s="11">
        <v>45719</v>
      </c>
      <c r="AF449" s="11"/>
      <c r="AG449" s="1" t="s">
        <v>74</v>
      </c>
      <c r="AJ449" cm="1">
        <f t="array" ref="AJ449:AK449">_xlfn.XLOOKUP(M449,'Customer Data Vlookup'!$L:$L,'Customer Data Vlookup'!$M:$N,,0)</f>
        <v>0</v>
      </c>
      <c r="AK449" s="47">
        <v>460370</v>
      </c>
      <c r="AL449" s="47">
        <f t="shared" si="48"/>
        <v>460370</v>
      </c>
      <c r="AM449" s="58">
        <f t="shared" si="49"/>
        <v>47817.630000000005</v>
      </c>
    </row>
    <row r="450" spans="1:39" x14ac:dyDescent="0.35">
      <c r="A450" s="1" t="s">
        <v>124</v>
      </c>
      <c r="B450" s="1" t="s">
        <v>67</v>
      </c>
      <c r="C450" s="1" t="s">
        <v>68</v>
      </c>
      <c r="D450" s="1" t="s">
        <v>69</v>
      </c>
      <c r="E450" s="1" t="s">
        <v>17</v>
      </c>
      <c r="F450" s="1" t="s">
        <v>166</v>
      </c>
      <c r="G450" s="11">
        <v>45719</v>
      </c>
      <c r="H450" s="25">
        <v>1800000554</v>
      </c>
      <c r="I450" s="1" t="s">
        <v>9</v>
      </c>
      <c r="J450" s="11">
        <v>45719</v>
      </c>
      <c r="K450" s="11">
        <v>45719</v>
      </c>
      <c r="L450" s="1" t="s">
        <v>71</v>
      </c>
      <c r="M450" s="35">
        <v>246779410504</v>
      </c>
      <c r="N450" s="1" t="s">
        <v>72</v>
      </c>
      <c r="O450" s="1" t="s">
        <v>73</v>
      </c>
      <c r="P450" s="1" t="s">
        <v>74</v>
      </c>
      <c r="Q450" s="1" t="s">
        <v>83</v>
      </c>
      <c r="R450" s="1" t="s">
        <v>76</v>
      </c>
      <c r="S450" s="12">
        <v>2.35</v>
      </c>
      <c r="T450" s="1" t="s">
        <v>77</v>
      </c>
      <c r="U450" s="12">
        <v>203.72</v>
      </c>
      <c r="V450" s="1" t="s">
        <v>78</v>
      </c>
      <c r="W450" s="1" t="s">
        <v>79</v>
      </c>
      <c r="X450" s="1" t="s">
        <v>74</v>
      </c>
      <c r="Y450" s="1" t="s">
        <v>71</v>
      </c>
      <c r="Z450" s="1" t="s">
        <v>80</v>
      </c>
      <c r="AA450" s="1" t="s">
        <v>473</v>
      </c>
      <c r="AB450" s="1" t="s">
        <v>74</v>
      </c>
      <c r="AC450" s="1" t="s">
        <v>74</v>
      </c>
      <c r="AD450" s="1" t="s">
        <v>74</v>
      </c>
      <c r="AE450" s="11">
        <v>45719</v>
      </c>
      <c r="AF450" s="11"/>
      <c r="AG450" s="1" t="s">
        <v>74</v>
      </c>
      <c r="AJ450" cm="1">
        <f t="array" ref="AJ450:AK450">_xlfn.XLOOKUP(M450,'Customer Data Vlookup'!$L:$L,'Customer Data Vlookup'!$M:$N,,0)</f>
        <v>0</v>
      </c>
      <c r="AK450" s="47">
        <v>201</v>
      </c>
      <c r="AL450" s="47">
        <f t="shared" si="48"/>
        <v>201</v>
      </c>
      <c r="AM450" s="58">
        <f t="shared" si="49"/>
        <v>2.7199999999999989</v>
      </c>
    </row>
    <row r="451" spans="1:39" x14ac:dyDescent="0.35">
      <c r="A451" s="1" t="s">
        <v>124</v>
      </c>
      <c r="B451" s="1" t="s">
        <v>67</v>
      </c>
      <c r="C451" s="1" t="s">
        <v>68</v>
      </c>
      <c r="D451" s="1" t="s">
        <v>69</v>
      </c>
      <c r="E451" s="1" t="s">
        <v>17</v>
      </c>
      <c r="F451" s="1" t="s">
        <v>166</v>
      </c>
      <c r="G451" s="11">
        <v>45719</v>
      </c>
      <c r="H451" s="25">
        <v>1800000442</v>
      </c>
      <c r="I451" s="1" t="s">
        <v>9</v>
      </c>
      <c r="J451" s="11">
        <v>45719</v>
      </c>
      <c r="K451" s="11">
        <v>45719</v>
      </c>
      <c r="L451" s="1" t="s">
        <v>71</v>
      </c>
      <c r="M451" s="35">
        <v>246779410404</v>
      </c>
      <c r="N451" s="1" t="s">
        <v>72</v>
      </c>
      <c r="O451" s="1" t="s">
        <v>73</v>
      </c>
      <c r="P451" s="1" t="s">
        <v>74</v>
      </c>
      <c r="Q451" s="1" t="s">
        <v>83</v>
      </c>
      <c r="R451" s="1" t="s">
        <v>76</v>
      </c>
      <c r="S451" s="12">
        <v>7394.09</v>
      </c>
      <c r="T451" s="1" t="s">
        <v>77</v>
      </c>
      <c r="U451" s="12">
        <v>641002.98</v>
      </c>
      <c r="V451" s="1" t="s">
        <v>78</v>
      </c>
      <c r="W451" s="1" t="s">
        <v>79</v>
      </c>
      <c r="X451" s="1" t="s">
        <v>74</v>
      </c>
      <c r="Y451" s="1" t="s">
        <v>71</v>
      </c>
      <c r="Z451" s="1" t="s">
        <v>80</v>
      </c>
      <c r="AA451" s="1" t="s">
        <v>474</v>
      </c>
      <c r="AB451" s="1" t="s">
        <v>74</v>
      </c>
      <c r="AC451" s="1" t="s">
        <v>74</v>
      </c>
      <c r="AD451" s="1" t="s">
        <v>74</v>
      </c>
      <c r="AE451" s="11">
        <v>45719</v>
      </c>
      <c r="AF451" s="11"/>
      <c r="AG451" s="1" t="s">
        <v>74</v>
      </c>
      <c r="AJ451" cm="1">
        <f t="array" ref="AJ451:AK451">_xlfn.XLOOKUP(M451,'Customer Data Vlookup'!$L:$L,'Customer Data Vlookup'!$M:$N,,0)</f>
        <v>0</v>
      </c>
      <c r="AK451" s="47">
        <v>580687</v>
      </c>
      <c r="AL451" s="47">
        <f t="shared" si="48"/>
        <v>580687</v>
      </c>
      <c r="AM451" s="58">
        <f t="shared" si="49"/>
        <v>60315.979999999981</v>
      </c>
    </row>
    <row r="452" spans="1:39" x14ac:dyDescent="0.35">
      <c r="A452" s="1" t="s">
        <v>124</v>
      </c>
      <c r="B452" s="1" t="s">
        <v>67</v>
      </c>
      <c r="C452" s="1" t="s">
        <v>68</v>
      </c>
      <c r="D452" s="1" t="s">
        <v>69</v>
      </c>
      <c r="E452" s="1" t="s">
        <v>17</v>
      </c>
      <c r="F452" s="1" t="s">
        <v>166</v>
      </c>
      <c r="G452" s="11">
        <v>45719</v>
      </c>
      <c r="H452" s="25">
        <v>1800000466</v>
      </c>
      <c r="I452" s="1" t="s">
        <v>9</v>
      </c>
      <c r="J452" s="11">
        <v>45719</v>
      </c>
      <c r="K452" s="11">
        <v>45719</v>
      </c>
      <c r="L452" s="1" t="s">
        <v>71</v>
      </c>
      <c r="M452" s="35">
        <v>246779410428</v>
      </c>
      <c r="N452" s="1" t="s">
        <v>72</v>
      </c>
      <c r="O452" s="1" t="s">
        <v>73</v>
      </c>
      <c r="P452" s="1" t="s">
        <v>74</v>
      </c>
      <c r="Q452" s="1" t="s">
        <v>83</v>
      </c>
      <c r="R452" s="1" t="s">
        <v>76</v>
      </c>
      <c r="S452" s="12">
        <v>4332.22</v>
      </c>
      <c r="T452" s="1" t="s">
        <v>77</v>
      </c>
      <c r="U452" s="12">
        <v>375565.61</v>
      </c>
      <c r="V452" s="1" t="s">
        <v>78</v>
      </c>
      <c r="W452" s="1" t="s">
        <v>79</v>
      </c>
      <c r="X452" s="1" t="s">
        <v>74</v>
      </c>
      <c r="Y452" s="1" t="s">
        <v>71</v>
      </c>
      <c r="Z452" s="1" t="s">
        <v>80</v>
      </c>
      <c r="AA452" s="1" t="s">
        <v>475</v>
      </c>
      <c r="AB452" s="1" t="s">
        <v>74</v>
      </c>
      <c r="AC452" s="1" t="s">
        <v>74</v>
      </c>
      <c r="AD452" s="1" t="s">
        <v>74</v>
      </c>
      <c r="AE452" s="11">
        <v>45719</v>
      </c>
      <c r="AF452" s="11"/>
      <c r="AG452" s="1" t="s">
        <v>74</v>
      </c>
      <c r="AJ452" cm="1">
        <f t="array" ref="AJ452:AK452">_xlfn.XLOOKUP(M452,'Customer Data Vlookup'!$L:$L,'Customer Data Vlookup'!$M:$N,,0)</f>
        <v>0</v>
      </c>
      <c r="AK452" s="47">
        <v>340227</v>
      </c>
      <c r="AL452" s="47">
        <f t="shared" si="48"/>
        <v>340227</v>
      </c>
      <c r="AM452" s="58">
        <f t="shared" si="49"/>
        <v>35338.609999999986</v>
      </c>
    </row>
    <row r="453" spans="1:39" x14ac:dyDescent="0.35">
      <c r="A453" s="1" t="s">
        <v>124</v>
      </c>
      <c r="B453" s="1" t="s">
        <v>67</v>
      </c>
      <c r="C453" s="1" t="s">
        <v>68</v>
      </c>
      <c r="D453" s="1" t="s">
        <v>69</v>
      </c>
      <c r="E453" s="1" t="s">
        <v>17</v>
      </c>
      <c r="F453" s="1" t="s">
        <v>166</v>
      </c>
      <c r="G453" s="11">
        <v>45719</v>
      </c>
      <c r="H453" s="25">
        <v>1800000544</v>
      </c>
      <c r="I453" s="1" t="s">
        <v>9</v>
      </c>
      <c r="J453" s="11">
        <v>45719</v>
      </c>
      <c r="K453" s="11">
        <v>45719</v>
      </c>
      <c r="L453" s="1" t="s">
        <v>71</v>
      </c>
      <c r="M453" s="35">
        <v>246779410494</v>
      </c>
      <c r="N453" s="1" t="s">
        <v>72</v>
      </c>
      <c r="O453" s="1" t="s">
        <v>73</v>
      </c>
      <c r="P453" s="1" t="s">
        <v>74</v>
      </c>
      <c r="Q453" s="1" t="s">
        <v>83</v>
      </c>
      <c r="R453" s="1" t="s">
        <v>76</v>
      </c>
      <c r="S453" s="12">
        <v>2.35</v>
      </c>
      <c r="T453" s="1" t="s">
        <v>77</v>
      </c>
      <c r="U453" s="12">
        <v>203.72</v>
      </c>
      <c r="V453" s="1" t="s">
        <v>78</v>
      </c>
      <c r="W453" s="1" t="s">
        <v>79</v>
      </c>
      <c r="X453" s="1" t="s">
        <v>74</v>
      </c>
      <c r="Y453" s="1" t="s">
        <v>71</v>
      </c>
      <c r="Z453" s="1" t="s">
        <v>80</v>
      </c>
      <c r="AA453" s="1" t="s">
        <v>473</v>
      </c>
      <c r="AB453" s="1" t="s">
        <v>74</v>
      </c>
      <c r="AC453" s="1" t="s">
        <v>74</v>
      </c>
      <c r="AD453" s="1" t="s">
        <v>74</v>
      </c>
      <c r="AE453" s="11">
        <v>45719</v>
      </c>
      <c r="AF453" s="11"/>
      <c r="AG453" s="1" t="s">
        <v>74</v>
      </c>
      <c r="AJ453" cm="1">
        <f t="array" ref="AJ453:AK453">_xlfn.XLOOKUP(M453,'Customer Data Vlookup'!$L:$L,'Customer Data Vlookup'!$M:$N,,0)</f>
        <v>0</v>
      </c>
      <c r="AK453" s="47">
        <v>201</v>
      </c>
      <c r="AL453" s="47">
        <f t="shared" si="48"/>
        <v>201</v>
      </c>
      <c r="AM453" s="58">
        <f t="shared" si="49"/>
        <v>2.7199999999999989</v>
      </c>
    </row>
    <row r="454" spans="1:39" x14ac:dyDescent="0.35">
      <c r="A454" s="1" t="s">
        <v>124</v>
      </c>
      <c r="B454" s="1" t="s">
        <v>67</v>
      </c>
      <c r="C454" s="1" t="s">
        <v>68</v>
      </c>
      <c r="D454" s="1" t="s">
        <v>69</v>
      </c>
      <c r="E454" s="1" t="s">
        <v>17</v>
      </c>
      <c r="F454" s="1" t="s">
        <v>166</v>
      </c>
      <c r="G454" s="11">
        <v>45719</v>
      </c>
      <c r="H454" s="25">
        <v>1800000545</v>
      </c>
      <c r="I454" s="1" t="s">
        <v>9</v>
      </c>
      <c r="J454" s="11">
        <v>45719</v>
      </c>
      <c r="K454" s="11">
        <v>45719</v>
      </c>
      <c r="L454" s="1" t="s">
        <v>71</v>
      </c>
      <c r="M454" s="35">
        <v>246779410495</v>
      </c>
      <c r="N454" s="1" t="s">
        <v>72</v>
      </c>
      <c r="O454" s="1" t="s">
        <v>73</v>
      </c>
      <c r="P454" s="1" t="s">
        <v>74</v>
      </c>
      <c r="Q454" s="1" t="s">
        <v>83</v>
      </c>
      <c r="R454" s="1" t="s">
        <v>76</v>
      </c>
      <c r="S454" s="12">
        <v>23.5</v>
      </c>
      <c r="T454" s="1" t="s">
        <v>77</v>
      </c>
      <c r="U454" s="12">
        <v>2037.24</v>
      </c>
      <c r="V454" s="1" t="s">
        <v>78</v>
      </c>
      <c r="W454" s="1" t="s">
        <v>79</v>
      </c>
      <c r="X454" s="1" t="s">
        <v>74</v>
      </c>
      <c r="Y454" s="1" t="s">
        <v>71</v>
      </c>
      <c r="Z454" s="1" t="s">
        <v>80</v>
      </c>
      <c r="AA454" s="1" t="s">
        <v>473</v>
      </c>
      <c r="AB454" s="1" t="s">
        <v>74</v>
      </c>
      <c r="AC454" s="1" t="s">
        <v>74</v>
      </c>
      <c r="AD454" s="1" t="s">
        <v>74</v>
      </c>
      <c r="AE454" s="11">
        <v>45719</v>
      </c>
      <c r="AF454" s="11"/>
      <c r="AG454" s="1" t="s">
        <v>74</v>
      </c>
      <c r="AJ454" cm="1">
        <f t="array" ref="AJ454:AK454">_xlfn.XLOOKUP(M454,'Customer Data Vlookup'!$L:$L,'Customer Data Vlookup'!$M:$N,,0)</f>
        <v>0</v>
      </c>
      <c r="AK454" s="47">
        <v>2009</v>
      </c>
      <c r="AL454" s="47">
        <f t="shared" si="48"/>
        <v>2009</v>
      </c>
      <c r="AM454" s="58">
        <f t="shared" si="49"/>
        <v>28.240000000000009</v>
      </c>
    </row>
    <row r="455" spans="1:39" x14ac:dyDescent="0.35">
      <c r="A455" s="1" t="s">
        <v>124</v>
      </c>
      <c r="B455" s="1" t="s">
        <v>67</v>
      </c>
      <c r="C455" s="1" t="s">
        <v>68</v>
      </c>
      <c r="D455" s="1" t="s">
        <v>69</v>
      </c>
      <c r="E455" s="1" t="s">
        <v>17</v>
      </c>
      <c r="F455" s="1" t="s">
        <v>166</v>
      </c>
      <c r="G455" s="11">
        <v>45719</v>
      </c>
      <c r="H455" s="25">
        <v>1800000546</v>
      </c>
      <c r="I455" s="1" t="s">
        <v>9</v>
      </c>
      <c r="J455" s="11">
        <v>45719</v>
      </c>
      <c r="K455" s="11">
        <v>45719</v>
      </c>
      <c r="L455" s="1" t="s">
        <v>71</v>
      </c>
      <c r="M455" s="35">
        <v>246779410496</v>
      </c>
      <c r="N455" s="1" t="s">
        <v>72</v>
      </c>
      <c r="O455" s="1" t="s">
        <v>73</v>
      </c>
      <c r="P455" s="1" t="s">
        <v>74</v>
      </c>
      <c r="Q455" s="1" t="s">
        <v>83</v>
      </c>
      <c r="R455" s="1" t="s">
        <v>76</v>
      </c>
      <c r="S455" s="12">
        <v>2.35</v>
      </c>
      <c r="T455" s="1" t="s">
        <v>77</v>
      </c>
      <c r="U455" s="12">
        <v>203.72</v>
      </c>
      <c r="V455" s="1" t="s">
        <v>78</v>
      </c>
      <c r="W455" s="1" t="s">
        <v>79</v>
      </c>
      <c r="X455" s="1" t="s">
        <v>74</v>
      </c>
      <c r="Y455" s="1" t="s">
        <v>71</v>
      </c>
      <c r="Z455" s="1" t="s">
        <v>80</v>
      </c>
      <c r="AA455" s="1" t="s">
        <v>473</v>
      </c>
      <c r="AB455" s="1" t="s">
        <v>74</v>
      </c>
      <c r="AC455" s="1" t="s">
        <v>74</v>
      </c>
      <c r="AD455" s="1" t="s">
        <v>74</v>
      </c>
      <c r="AE455" s="11">
        <v>45719</v>
      </c>
      <c r="AF455" s="11"/>
      <c r="AG455" s="1" t="s">
        <v>74</v>
      </c>
      <c r="AJ455" cm="1">
        <f t="array" ref="AJ455:AK455">_xlfn.XLOOKUP(M455,'Customer Data Vlookup'!$L:$L,'Customer Data Vlookup'!$M:$N,,0)</f>
        <v>0</v>
      </c>
      <c r="AK455" s="47">
        <v>201</v>
      </c>
      <c r="AL455" s="47">
        <f t="shared" si="48"/>
        <v>201</v>
      </c>
      <c r="AM455" s="58">
        <f t="shared" si="49"/>
        <v>2.7199999999999989</v>
      </c>
    </row>
    <row r="456" spans="1:39" x14ac:dyDescent="0.35">
      <c r="A456" s="1" t="s">
        <v>124</v>
      </c>
      <c r="B456" s="1" t="s">
        <v>67</v>
      </c>
      <c r="C456" s="1" t="s">
        <v>68</v>
      </c>
      <c r="D456" s="1" t="s">
        <v>69</v>
      </c>
      <c r="E456" s="1" t="s">
        <v>17</v>
      </c>
      <c r="F456" s="1" t="s">
        <v>166</v>
      </c>
      <c r="G456" s="11">
        <v>45719</v>
      </c>
      <c r="H456" s="25">
        <v>1800000547</v>
      </c>
      <c r="I456" s="1" t="s">
        <v>9</v>
      </c>
      <c r="J456" s="11">
        <v>45719</v>
      </c>
      <c r="K456" s="11">
        <v>45719</v>
      </c>
      <c r="L456" s="1" t="s">
        <v>71</v>
      </c>
      <c r="M456" s="35">
        <v>246779410497</v>
      </c>
      <c r="N456" s="1" t="s">
        <v>72</v>
      </c>
      <c r="O456" s="1" t="s">
        <v>73</v>
      </c>
      <c r="P456" s="1" t="s">
        <v>74</v>
      </c>
      <c r="Q456" s="1" t="s">
        <v>83</v>
      </c>
      <c r="R456" s="1" t="s">
        <v>76</v>
      </c>
      <c r="S456" s="12">
        <v>2.35</v>
      </c>
      <c r="T456" s="1" t="s">
        <v>77</v>
      </c>
      <c r="U456" s="12">
        <v>203.72</v>
      </c>
      <c r="V456" s="1" t="s">
        <v>78</v>
      </c>
      <c r="W456" s="1" t="s">
        <v>79</v>
      </c>
      <c r="X456" s="1" t="s">
        <v>74</v>
      </c>
      <c r="Y456" s="1" t="s">
        <v>71</v>
      </c>
      <c r="Z456" s="1" t="s">
        <v>80</v>
      </c>
      <c r="AA456" s="1" t="s">
        <v>473</v>
      </c>
      <c r="AB456" s="1" t="s">
        <v>74</v>
      </c>
      <c r="AC456" s="1" t="s">
        <v>74</v>
      </c>
      <c r="AD456" s="1" t="s">
        <v>74</v>
      </c>
      <c r="AE456" s="11">
        <v>45719</v>
      </c>
      <c r="AF456" s="11"/>
      <c r="AG456" s="1" t="s">
        <v>74</v>
      </c>
      <c r="AJ456" cm="1">
        <f t="array" ref="AJ456:AK456">_xlfn.XLOOKUP(M456,'Customer Data Vlookup'!$L:$L,'Customer Data Vlookup'!$M:$N,,0)</f>
        <v>0</v>
      </c>
      <c r="AK456" s="47">
        <v>201</v>
      </c>
      <c r="AL456" s="47">
        <f t="shared" si="48"/>
        <v>201</v>
      </c>
      <c r="AM456" s="58">
        <f t="shared" si="49"/>
        <v>2.7199999999999989</v>
      </c>
    </row>
    <row r="457" spans="1:39" x14ac:dyDescent="0.35">
      <c r="A457" s="1" t="s">
        <v>124</v>
      </c>
      <c r="B457" s="1" t="s">
        <v>67</v>
      </c>
      <c r="C457" s="1" t="s">
        <v>68</v>
      </c>
      <c r="D457" s="1" t="s">
        <v>69</v>
      </c>
      <c r="E457" s="1" t="s">
        <v>17</v>
      </c>
      <c r="F457" s="1" t="s">
        <v>166</v>
      </c>
      <c r="G457" s="11">
        <v>45719</v>
      </c>
      <c r="H457" s="25">
        <v>1800000548</v>
      </c>
      <c r="I457" s="1" t="s">
        <v>9</v>
      </c>
      <c r="J457" s="11">
        <v>45719</v>
      </c>
      <c r="K457" s="11">
        <v>45719</v>
      </c>
      <c r="L457" s="1" t="s">
        <v>71</v>
      </c>
      <c r="M457" s="35">
        <v>246779410498</v>
      </c>
      <c r="N457" s="1" t="s">
        <v>72</v>
      </c>
      <c r="O457" s="1" t="s">
        <v>73</v>
      </c>
      <c r="P457" s="1" t="s">
        <v>74</v>
      </c>
      <c r="Q457" s="1" t="s">
        <v>83</v>
      </c>
      <c r="R457" s="1" t="s">
        <v>76</v>
      </c>
      <c r="S457" s="12">
        <v>2.35</v>
      </c>
      <c r="T457" s="1" t="s">
        <v>77</v>
      </c>
      <c r="U457" s="12">
        <v>203.72</v>
      </c>
      <c r="V457" s="1" t="s">
        <v>78</v>
      </c>
      <c r="W457" s="1" t="s">
        <v>79</v>
      </c>
      <c r="X457" s="1" t="s">
        <v>74</v>
      </c>
      <c r="Y457" s="1" t="s">
        <v>71</v>
      </c>
      <c r="Z457" s="1" t="s">
        <v>80</v>
      </c>
      <c r="AA457" s="1" t="s">
        <v>473</v>
      </c>
      <c r="AB457" s="1" t="s">
        <v>74</v>
      </c>
      <c r="AC457" s="1" t="s">
        <v>74</v>
      </c>
      <c r="AD457" s="1" t="s">
        <v>74</v>
      </c>
      <c r="AE457" s="11">
        <v>45719</v>
      </c>
      <c r="AF457" s="11"/>
      <c r="AG457" s="1" t="s">
        <v>74</v>
      </c>
      <c r="AJ457" cm="1">
        <f t="array" ref="AJ457:AK457">_xlfn.XLOOKUP(M457,'Customer Data Vlookup'!$L:$L,'Customer Data Vlookup'!$M:$N,,0)</f>
        <v>0</v>
      </c>
      <c r="AK457" s="47">
        <v>200</v>
      </c>
      <c r="AL457" s="47">
        <f t="shared" si="48"/>
        <v>200</v>
      </c>
      <c r="AM457" s="58">
        <f t="shared" si="49"/>
        <v>3.7199999999999989</v>
      </c>
    </row>
    <row r="458" spans="1:39" x14ac:dyDescent="0.35">
      <c r="A458" s="1" t="s">
        <v>124</v>
      </c>
      <c r="B458" s="1" t="s">
        <v>67</v>
      </c>
      <c r="C458" s="1" t="s">
        <v>68</v>
      </c>
      <c r="D458" s="1" t="s">
        <v>69</v>
      </c>
      <c r="E458" s="1" t="s">
        <v>17</v>
      </c>
      <c r="F458" s="1" t="s">
        <v>166</v>
      </c>
      <c r="G458" s="11">
        <v>45719</v>
      </c>
      <c r="H458" s="25">
        <v>1800000549</v>
      </c>
      <c r="I458" s="1" t="s">
        <v>9</v>
      </c>
      <c r="J458" s="11">
        <v>45719</v>
      </c>
      <c r="K458" s="11">
        <v>45719</v>
      </c>
      <c r="L458" s="1" t="s">
        <v>71</v>
      </c>
      <c r="M458" s="35">
        <v>246779410499</v>
      </c>
      <c r="N458" s="1" t="s">
        <v>72</v>
      </c>
      <c r="O458" s="1" t="s">
        <v>73</v>
      </c>
      <c r="P458" s="1" t="s">
        <v>74</v>
      </c>
      <c r="Q458" s="1" t="s">
        <v>83</v>
      </c>
      <c r="R458" s="1" t="s">
        <v>76</v>
      </c>
      <c r="S458" s="12">
        <v>9.4</v>
      </c>
      <c r="T458" s="1" t="s">
        <v>77</v>
      </c>
      <c r="U458" s="12">
        <v>814.9</v>
      </c>
      <c r="V458" s="1" t="s">
        <v>78</v>
      </c>
      <c r="W458" s="1" t="s">
        <v>79</v>
      </c>
      <c r="X458" s="1" t="s">
        <v>74</v>
      </c>
      <c r="Y458" s="1" t="s">
        <v>71</v>
      </c>
      <c r="Z458" s="1" t="s">
        <v>80</v>
      </c>
      <c r="AA458" s="1" t="s">
        <v>473</v>
      </c>
      <c r="AB458" s="1" t="s">
        <v>74</v>
      </c>
      <c r="AC458" s="1" t="s">
        <v>74</v>
      </c>
      <c r="AD458" s="1" t="s">
        <v>74</v>
      </c>
      <c r="AE458" s="11">
        <v>45719</v>
      </c>
      <c r="AF458" s="11"/>
      <c r="AG458" s="1" t="s">
        <v>74</v>
      </c>
      <c r="AJ458" cm="1">
        <f t="array" ref="AJ458:AK458">_xlfn.XLOOKUP(M458,'Customer Data Vlookup'!$L:$L,'Customer Data Vlookup'!$M:$N,,0)</f>
        <v>0</v>
      </c>
      <c r="AK458" s="47">
        <v>804</v>
      </c>
      <c r="AL458" s="47">
        <f t="shared" si="48"/>
        <v>804</v>
      </c>
      <c r="AM458" s="58">
        <f t="shared" si="49"/>
        <v>10.899999999999977</v>
      </c>
    </row>
    <row r="459" spans="1:39" x14ac:dyDescent="0.35">
      <c r="A459" s="1" t="s">
        <v>124</v>
      </c>
      <c r="B459" s="1" t="s">
        <v>67</v>
      </c>
      <c r="C459" s="1" t="s">
        <v>68</v>
      </c>
      <c r="D459" s="1" t="s">
        <v>69</v>
      </c>
      <c r="E459" s="1" t="s">
        <v>17</v>
      </c>
      <c r="F459" s="1" t="s">
        <v>166</v>
      </c>
      <c r="G459" s="11">
        <v>45719</v>
      </c>
      <c r="H459" s="25">
        <v>1800000550</v>
      </c>
      <c r="I459" s="1" t="s">
        <v>9</v>
      </c>
      <c r="J459" s="11">
        <v>45719</v>
      </c>
      <c r="K459" s="11">
        <v>45719</v>
      </c>
      <c r="L459" s="1" t="s">
        <v>71</v>
      </c>
      <c r="M459" s="35">
        <v>246779410500</v>
      </c>
      <c r="N459" s="1" t="s">
        <v>72</v>
      </c>
      <c r="O459" s="1" t="s">
        <v>73</v>
      </c>
      <c r="P459" s="1" t="s">
        <v>74</v>
      </c>
      <c r="Q459" s="1" t="s">
        <v>83</v>
      </c>
      <c r="R459" s="1" t="s">
        <v>76</v>
      </c>
      <c r="S459" s="12">
        <v>2.35</v>
      </c>
      <c r="T459" s="1" t="s">
        <v>77</v>
      </c>
      <c r="U459" s="12">
        <v>203.72</v>
      </c>
      <c r="V459" s="1" t="s">
        <v>78</v>
      </c>
      <c r="W459" s="1" t="s">
        <v>79</v>
      </c>
      <c r="X459" s="1" t="s">
        <v>74</v>
      </c>
      <c r="Y459" s="1" t="s">
        <v>71</v>
      </c>
      <c r="Z459" s="1" t="s">
        <v>80</v>
      </c>
      <c r="AA459" s="1" t="s">
        <v>473</v>
      </c>
      <c r="AB459" s="1" t="s">
        <v>74</v>
      </c>
      <c r="AC459" s="1" t="s">
        <v>74</v>
      </c>
      <c r="AD459" s="1" t="s">
        <v>74</v>
      </c>
      <c r="AE459" s="11">
        <v>45719</v>
      </c>
      <c r="AF459" s="11"/>
      <c r="AG459" s="1" t="s">
        <v>74</v>
      </c>
      <c r="AJ459" cm="1">
        <f t="array" ref="AJ459:AK459">_xlfn.XLOOKUP(M459,'Customer Data Vlookup'!$L:$L,'Customer Data Vlookup'!$M:$N,,0)</f>
        <v>0</v>
      </c>
      <c r="AK459" s="47">
        <v>201</v>
      </c>
      <c r="AL459" s="47">
        <f t="shared" si="48"/>
        <v>201</v>
      </c>
      <c r="AM459" s="58">
        <f t="shared" si="49"/>
        <v>2.7199999999999989</v>
      </c>
    </row>
    <row r="460" spans="1:39" x14ac:dyDescent="0.35">
      <c r="A460" s="1" t="s">
        <v>124</v>
      </c>
      <c r="B460" s="1" t="s">
        <v>67</v>
      </c>
      <c r="C460" s="1" t="s">
        <v>68</v>
      </c>
      <c r="D460" s="1" t="s">
        <v>69</v>
      </c>
      <c r="E460" s="1" t="s">
        <v>17</v>
      </c>
      <c r="F460" s="1" t="s">
        <v>166</v>
      </c>
      <c r="G460" s="11">
        <v>45719</v>
      </c>
      <c r="H460" s="25">
        <v>1800000551</v>
      </c>
      <c r="I460" s="1" t="s">
        <v>9</v>
      </c>
      <c r="J460" s="11">
        <v>45719</v>
      </c>
      <c r="K460" s="11">
        <v>45719</v>
      </c>
      <c r="L460" s="1" t="s">
        <v>71</v>
      </c>
      <c r="M460" s="35">
        <v>246779410501</v>
      </c>
      <c r="N460" s="1" t="s">
        <v>72</v>
      </c>
      <c r="O460" s="1" t="s">
        <v>73</v>
      </c>
      <c r="P460" s="1" t="s">
        <v>74</v>
      </c>
      <c r="Q460" s="1" t="s">
        <v>83</v>
      </c>
      <c r="R460" s="1" t="s">
        <v>76</v>
      </c>
      <c r="S460" s="12">
        <v>18.8</v>
      </c>
      <c r="T460" s="1" t="s">
        <v>77</v>
      </c>
      <c r="U460" s="12">
        <v>1629.8</v>
      </c>
      <c r="V460" s="1" t="s">
        <v>78</v>
      </c>
      <c r="W460" s="1" t="s">
        <v>79</v>
      </c>
      <c r="X460" s="1" t="s">
        <v>74</v>
      </c>
      <c r="Y460" s="1" t="s">
        <v>71</v>
      </c>
      <c r="Z460" s="1" t="s">
        <v>80</v>
      </c>
      <c r="AA460" s="1" t="s">
        <v>473</v>
      </c>
      <c r="AB460" s="1" t="s">
        <v>74</v>
      </c>
      <c r="AC460" s="1" t="s">
        <v>74</v>
      </c>
      <c r="AD460" s="1" t="s">
        <v>74</v>
      </c>
      <c r="AE460" s="11">
        <v>45719</v>
      </c>
      <c r="AF460" s="11"/>
      <c r="AG460" s="1" t="s">
        <v>74</v>
      </c>
      <c r="AJ460" cm="1">
        <f t="array" ref="AJ460:AK460">_xlfn.XLOOKUP(M460,'Customer Data Vlookup'!$L:$L,'Customer Data Vlookup'!$M:$N,,0)</f>
        <v>0</v>
      </c>
      <c r="AK460" s="47">
        <v>1607</v>
      </c>
      <c r="AL460" s="47">
        <f t="shared" si="48"/>
        <v>1607</v>
      </c>
      <c r="AM460" s="58">
        <f t="shared" si="49"/>
        <v>22.799999999999955</v>
      </c>
    </row>
    <row r="461" spans="1:39" x14ac:dyDescent="0.35">
      <c r="A461" s="1" t="s">
        <v>124</v>
      </c>
      <c r="B461" s="1" t="s">
        <v>67</v>
      </c>
      <c r="C461" s="1" t="s">
        <v>68</v>
      </c>
      <c r="D461" s="1" t="s">
        <v>69</v>
      </c>
      <c r="E461" s="1" t="s">
        <v>17</v>
      </c>
      <c r="F461" s="1" t="s">
        <v>166</v>
      </c>
      <c r="G461" s="11">
        <v>45719</v>
      </c>
      <c r="H461" s="25">
        <v>1800000552</v>
      </c>
      <c r="I461" s="1" t="s">
        <v>9</v>
      </c>
      <c r="J461" s="11">
        <v>45719</v>
      </c>
      <c r="K461" s="11">
        <v>45719</v>
      </c>
      <c r="L461" s="1" t="s">
        <v>71</v>
      </c>
      <c r="M461" s="35">
        <v>246779410502</v>
      </c>
      <c r="N461" s="1" t="s">
        <v>72</v>
      </c>
      <c r="O461" s="1" t="s">
        <v>73</v>
      </c>
      <c r="P461" s="1" t="s">
        <v>74</v>
      </c>
      <c r="Q461" s="1" t="s">
        <v>83</v>
      </c>
      <c r="R461" s="1" t="s">
        <v>76</v>
      </c>
      <c r="S461" s="12">
        <v>23.5</v>
      </c>
      <c r="T461" s="1" t="s">
        <v>77</v>
      </c>
      <c r="U461" s="12">
        <v>2037.24</v>
      </c>
      <c r="V461" s="1" t="s">
        <v>78</v>
      </c>
      <c r="W461" s="1" t="s">
        <v>79</v>
      </c>
      <c r="X461" s="1" t="s">
        <v>74</v>
      </c>
      <c r="Y461" s="1" t="s">
        <v>71</v>
      </c>
      <c r="Z461" s="1" t="s">
        <v>80</v>
      </c>
      <c r="AA461" s="1" t="s">
        <v>473</v>
      </c>
      <c r="AB461" s="1" t="s">
        <v>74</v>
      </c>
      <c r="AC461" s="1" t="s">
        <v>74</v>
      </c>
      <c r="AD461" s="1" t="s">
        <v>74</v>
      </c>
      <c r="AE461" s="11">
        <v>45719</v>
      </c>
      <c r="AF461" s="11"/>
      <c r="AG461" s="1" t="s">
        <v>74</v>
      </c>
      <c r="AJ461" cm="1">
        <f t="array" ref="AJ461:AK461">_xlfn.XLOOKUP(M461,'Customer Data Vlookup'!$L:$L,'Customer Data Vlookup'!$M:$N,,0)</f>
        <v>0</v>
      </c>
      <c r="AK461" s="47">
        <v>2009</v>
      </c>
      <c r="AL461" s="47">
        <f t="shared" si="48"/>
        <v>2009</v>
      </c>
      <c r="AM461" s="58">
        <f t="shared" si="49"/>
        <v>28.240000000000009</v>
      </c>
    </row>
    <row r="462" spans="1:39" x14ac:dyDescent="0.35">
      <c r="A462" s="1" t="s">
        <v>124</v>
      </c>
      <c r="B462" s="1" t="s">
        <v>67</v>
      </c>
      <c r="C462" s="1" t="s">
        <v>68</v>
      </c>
      <c r="D462" s="1" t="s">
        <v>69</v>
      </c>
      <c r="E462" s="1" t="s">
        <v>17</v>
      </c>
      <c r="F462" s="1" t="s">
        <v>166</v>
      </c>
      <c r="G462" s="11">
        <v>45719</v>
      </c>
      <c r="H462" s="25">
        <v>1800000553</v>
      </c>
      <c r="I462" s="1" t="s">
        <v>9</v>
      </c>
      <c r="J462" s="11">
        <v>45719</v>
      </c>
      <c r="K462" s="11">
        <v>45719</v>
      </c>
      <c r="L462" s="1" t="s">
        <v>71</v>
      </c>
      <c r="M462" s="35">
        <v>246779410503</v>
      </c>
      <c r="N462" s="1" t="s">
        <v>72</v>
      </c>
      <c r="O462" s="1" t="s">
        <v>73</v>
      </c>
      <c r="P462" s="1" t="s">
        <v>74</v>
      </c>
      <c r="Q462" s="1" t="s">
        <v>83</v>
      </c>
      <c r="R462" s="1" t="s">
        <v>76</v>
      </c>
      <c r="S462" s="12">
        <v>9.4</v>
      </c>
      <c r="T462" s="1" t="s">
        <v>77</v>
      </c>
      <c r="U462" s="12">
        <v>814.9</v>
      </c>
      <c r="V462" s="1" t="s">
        <v>78</v>
      </c>
      <c r="W462" s="1" t="s">
        <v>79</v>
      </c>
      <c r="X462" s="1" t="s">
        <v>74</v>
      </c>
      <c r="Y462" s="1" t="s">
        <v>71</v>
      </c>
      <c r="Z462" s="1" t="s">
        <v>80</v>
      </c>
      <c r="AA462" s="1" t="s">
        <v>473</v>
      </c>
      <c r="AB462" s="1" t="s">
        <v>74</v>
      </c>
      <c r="AC462" s="1" t="s">
        <v>74</v>
      </c>
      <c r="AD462" s="1" t="s">
        <v>74</v>
      </c>
      <c r="AE462" s="11">
        <v>45719</v>
      </c>
      <c r="AF462" s="11"/>
      <c r="AG462" s="1" t="s">
        <v>74</v>
      </c>
      <c r="AJ462" cm="1">
        <f t="array" ref="AJ462:AK462">_xlfn.XLOOKUP(M462,'Customer Data Vlookup'!$L:$L,'Customer Data Vlookup'!$M:$N,,0)</f>
        <v>0</v>
      </c>
      <c r="AK462" s="47">
        <v>2009</v>
      </c>
      <c r="AL462" s="47">
        <f t="shared" si="48"/>
        <v>2009</v>
      </c>
      <c r="AM462" s="58">
        <f t="shared" si="49"/>
        <v>-1194.0999999999999</v>
      </c>
    </row>
    <row r="463" spans="1:39" x14ac:dyDescent="0.35">
      <c r="A463" s="1" t="s">
        <v>124</v>
      </c>
      <c r="B463" s="1" t="s">
        <v>67</v>
      </c>
      <c r="C463" s="1" t="s">
        <v>68</v>
      </c>
      <c r="D463" s="1" t="s">
        <v>69</v>
      </c>
      <c r="E463" s="1" t="s">
        <v>17</v>
      </c>
      <c r="F463" s="1" t="s">
        <v>166</v>
      </c>
      <c r="G463" s="11">
        <v>45719</v>
      </c>
      <c r="H463" s="25">
        <v>1800000555</v>
      </c>
      <c r="I463" s="1" t="s">
        <v>9</v>
      </c>
      <c r="J463" s="11">
        <v>45719</v>
      </c>
      <c r="K463" s="11">
        <v>45719</v>
      </c>
      <c r="L463" s="1" t="s">
        <v>71</v>
      </c>
      <c r="M463" s="35">
        <v>246779410505</v>
      </c>
      <c r="N463" s="1" t="s">
        <v>72</v>
      </c>
      <c r="O463" s="1" t="s">
        <v>73</v>
      </c>
      <c r="P463" s="1" t="s">
        <v>74</v>
      </c>
      <c r="Q463" s="1" t="s">
        <v>83</v>
      </c>
      <c r="R463" s="1" t="s">
        <v>76</v>
      </c>
      <c r="S463" s="12">
        <v>7.05</v>
      </c>
      <c r="T463" s="1" t="s">
        <v>77</v>
      </c>
      <c r="U463" s="12">
        <v>611.16999999999996</v>
      </c>
      <c r="V463" s="1" t="s">
        <v>78</v>
      </c>
      <c r="W463" s="1" t="s">
        <v>79</v>
      </c>
      <c r="X463" s="1" t="s">
        <v>74</v>
      </c>
      <c r="Y463" s="1" t="s">
        <v>71</v>
      </c>
      <c r="Z463" s="1" t="s">
        <v>80</v>
      </c>
      <c r="AA463" s="1" t="s">
        <v>473</v>
      </c>
      <c r="AB463" s="1" t="s">
        <v>74</v>
      </c>
      <c r="AC463" s="1" t="s">
        <v>74</v>
      </c>
      <c r="AD463" s="1" t="s">
        <v>74</v>
      </c>
      <c r="AE463" s="11">
        <v>45719</v>
      </c>
      <c r="AF463" s="11"/>
      <c r="AG463" s="1" t="s">
        <v>74</v>
      </c>
      <c r="AJ463" cm="1">
        <f t="array" ref="AJ463:AK463">_xlfn.XLOOKUP(M463,'Customer Data Vlookup'!$L:$L,'Customer Data Vlookup'!$M:$N,,0)</f>
        <v>0</v>
      </c>
      <c r="AK463" s="47">
        <v>603</v>
      </c>
      <c r="AL463" s="47">
        <f t="shared" si="48"/>
        <v>603</v>
      </c>
      <c r="AM463" s="58">
        <f t="shared" si="49"/>
        <v>8.1699999999999591</v>
      </c>
    </row>
    <row r="464" spans="1:39" x14ac:dyDescent="0.35">
      <c r="A464" s="1" t="s">
        <v>124</v>
      </c>
      <c r="B464" s="1" t="s">
        <v>67</v>
      </c>
      <c r="C464" s="1" t="s">
        <v>68</v>
      </c>
      <c r="D464" s="1" t="s">
        <v>69</v>
      </c>
      <c r="E464" s="1" t="s">
        <v>17</v>
      </c>
      <c r="F464" s="1" t="s">
        <v>166</v>
      </c>
      <c r="G464" s="11">
        <v>45719</v>
      </c>
      <c r="H464" s="25">
        <v>1800000556</v>
      </c>
      <c r="I464" s="1" t="s">
        <v>9</v>
      </c>
      <c r="J464" s="11">
        <v>45719</v>
      </c>
      <c r="K464" s="11">
        <v>45719</v>
      </c>
      <c r="L464" s="1" t="s">
        <v>71</v>
      </c>
      <c r="M464" s="35">
        <v>246779410506</v>
      </c>
      <c r="N464" s="1" t="s">
        <v>72</v>
      </c>
      <c r="O464" s="1" t="s">
        <v>73</v>
      </c>
      <c r="P464" s="1" t="s">
        <v>74</v>
      </c>
      <c r="Q464" s="1" t="s">
        <v>83</v>
      </c>
      <c r="R464" s="1" t="s">
        <v>76</v>
      </c>
      <c r="S464" s="12">
        <v>4.7</v>
      </c>
      <c r="T464" s="1" t="s">
        <v>77</v>
      </c>
      <c r="U464" s="12">
        <v>407.45</v>
      </c>
      <c r="V464" s="1" t="s">
        <v>78</v>
      </c>
      <c r="W464" s="1" t="s">
        <v>79</v>
      </c>
      <c r="X464" s="1" t="s">
        <v>74</v>
      </c>
      <c r="Y464" s="1" t="s">
        <v>71</v>
      </c>
      <c r="Z464" s="1" t="s">
        <v>80</v>
      </c>
      <c r="AA464" s="1" t="s">
        <v>473</v>
      </c>
      <c r="AB464" s="1" t="s">
        <v>74</v>
      </c>
      <c r="AC464" s="1" t="s">
        <v>74</v>
      </c>
      <c r="AD464" s="1" t="s">
        <v>74</v>
      </c>
      <c r="AE464" s="11">
        <v>45719</v>
      </c>
      <c r="AF464" s="11"/>
      <c r="AG464" s="1" t="s">
        <v>74</v>
      </c>
      <c r="AJ464" cm="1">
        <f t="array" ref="AJ464:AK464">_xlfn.XLOOKUP(M464,'Customer Data Vlookup'!$L:$L,'Customer Data Vlookup'!$M:$N,,0)</f>
        <v>0</v>
      </c>
      <c r="AK464" s="47">
        <v>402</v>
      </c>
      <c r="AL464" s="47">
        <f t="shared" si="48"/>
        <v>402</v>
      </c>
      <c r="AM464" s="58">
        <f t="shared" si="49"/>
        <v>5.4499999999999886</v>
      </c>
    </row>
    <row r="465" spans="1:39" x14ac:dyDescent="0.35">
      <c r="A465" s="1" t="s">
        <v>124</v>
      </c>
      <c r="B465" s="1" t="s">
        <v>67</v>
      </c>
      <c r="C465" s="1" t="s">
        <v>68</v>
      </c>
      <c r="D465" s="1" t="s">
        <v>69</v>
      </c>
      <c r="E465" s="1" t="s">
        <v>17</v>
      </c>
      <c r="F465" s="1" t="s">
        <v>166</v>
      </c>
      <c r="G465" s="11">
        <v>45719</v>
      </c>
      <c r="H465" s="25">
        <v>1800000557</v>
      </c>
      <c r="I465" s="1" t="s">
        <v>9</v>
      </c>
      <c r="J465" s="11">
        <v>45719</v>
      </c>
      <c r="K465" s="11">
        <v>45719</v>
      </c>
      <c r="L465" s="1" t="s">
        <v>71</v>
      </c>
      <c r="M465" s="35">
        <v>246779410507</v>
      </c>
      <c r="N465" s="1" t="s">
        <v>72</v>
      </c>
      <c r="O465" s="1" t="s">
        <v>73</v>
      </c>
      <c r="P465" s="1" t="s">
        <v>74</v>
      </c>
      <c r="Q465" s="1" t="s">
        <v>83</v>
      </c>
      <c r="R465" s="1" t="s">
        <v>76</v>
      </c>
      <c r="S465" s="12">
        <v>2.35</v>
      </c>
      <c r="T465" s="1" t="s">
        <v>77</v>
      </c>
      <c r="U465" s="12">
        <v>203.72</v>
      </c>
      <c r="V465" s="1" t="s">
        <v>78</v>
      </c>
      <c r="W465" s="1" t="s">
        <v>79</v>
      </c>
      <c r="X465" s="1" t="s">
        <v>74</v>
      </c>
      <c r="Y465" s="1" t="s">
        <v>71</v>
      </c>
      <c r="Z465" s="1" t="s">
        <v>80</v>
      </c>
      <c r="AA465" s="1" t="s">
        <v>473</v>
      </c>
      <c r="AB465" s="1" t="s">
        <v>74</v>
      </c>
      <c r="AC465" s="1" t="s">
        <v>74</v>
      </c>
      <c r="AD465" s="1" t="s">
        <v>74</v>
      </c>
      <c r="AE465" s="11">
        <v>45719</v>
      </c>
      <c r="AF465" s="11"/>
      <c r="AG465" s="1" t="s">
        <v>74</v>
      </c>
      <c r="AJ465" cm="1">
        <f t="array" ref="AJ465:AK465">_xlfn.XLOOKUP(M465,'Customer Data Vlookup'!$L:$L,'Customer Data Vlookup'!$M:$N,,0)</f>
        <v>0</v>
      </c>
      <c r="AK465" s="47">
        <v>402</v>
      </c>
      <c r="AL465" s="47">
        <f t="shared" si="48"/>
        <v>402</v>
      </c>
      <c r="AM465" s="58">
        <f t="shared" si="49"/>
        <v>-198.28</v>
      </c>
    </row>
    <row r="466" spans="1:39" x14ac:dyDescent="0.35">
      <c r="A466" s="1" t="s">
        <v>124</v>
      </c>
      <c r="B466" s="1" t="s">
        <v>67</v>
      </c>
      <c r="C466" s="1" t="s">
        <v>68</v>
      </c>
      <c r="D466" s="1" t="s">
        <v>69</v>
      </c>
      <c r="E466" s="1" t="s">
        <v>17</v>
      </c>
      <c r="F466" s="1" t="s">
        <v>166</v>
      </c>
      <c r="G466" s="11">
        <v>45719</v>
      </c>
      <c r="H466" s="25">
        <v>1800000558</v>
      </c>
      <c r="I466" s="1" t="s">
        <v>9</v>
      </c>
      <c r="J466" s="11">
        <v>45719</v>
      </c>
      <c r="K466" s="11">
        <v>45719</v>
      </c>
      <c r="L466" s="1" t="s">
        <v>71</v>
      </c>
      <c r="M466" s="35">
        <v>246779410508</v>
      </c>
      <c r="N466" s="1" t="s">
        <v>72</v>
      </c>
      <c r="O466" s="1" t="s">
        <v>73</v>
      </c>
      <c r="P466" s="1" t="s">
        <v>74</v>
      </c>
      <c r="Q466" s="1" t="s">
        <v>83</v>
      </c>
      <c r="R466" s="1" t="s">
        <v>76</v>
      </c>
      <c r="S466" s="12">
        <v>2.35</v>
      </c>
      <c r="T466" s="1" t="s">
        <v>77</v>
      </c>
      <c r="U466" s="12">
        <v>203.72</v>
      </c>
      <c r="V466" s="1" t="s">
        <v>78</v>
      </c>
      <c r="W466" s="1" t="s">
        <v>79</v>
      </c>
      <c r="X466" s="1" t="s">
        <v>74</v>
      </c>
      <c r="Y466" s="1" t="s">
        <v>71</v>
      </c>
      <c r="Z466" s="1" t="s">
        <v>80</v>
      </c>
      <c r="AA466" s="1" t="s">
        <v>473</v>
      </c>
      <c r="AB466" s="1" t="s">
        <v>74</v>
      </c>
      <c r="AC466" s="1" t="s">
        <v>74</v>
      </c>
      <c r="AD466" s="1" t="s">
        <v>74</v>
      </c>
      <c r="AE466" s="11">
        <v>45719</v>
      </c>
      <c r="AF466" s="11"/>
      <c r="AG466" s="1" t="s">
        <v>74</v>
      </c>
      <c r="AJ466" cm="1">
        <f t="array" ref="AJ466:AK466">_xlfn.XLOOKUP(M466,'Customer Data Vlookup'!$L:$L,'Customer Data Vlookup'!$M:$N,,0)</f>
        <v>0</v>
      </c>
      <c r="AK466" s="47">
        <v>201</v>
      </c>
      <c r="AL466" s="47">
        <f t="shared" si="48"/>
        <v>201</v>
      </c>
      <c r="AM466" s="58">
        <f t="shared" si="49"/>
        <v>2.7199999999999989</v>
      </c>
    </row>
    <row r="467" spans="1:39" x14ac:dyDescent="0.35">
      <c r="A467" s="1" t="s">
        <v>124</v>
      </c>
      <c r="B467" s="1" t="s">
        <v>67</v>
      </c>
      <c r="C467" s="1" t="s">
        <v>68</v>
      </c>
      <c r="D467" s="1" t="s">
        <v>69</v>
      </c>
      <c r="E467" s="1" t="s">
        <v>17</v>
      </c>
      <c r="F467" s="1" t="s">
        <v>166</v>
      </c>
      <c r="G467" s="11">
        <v>45719</v>
      </c>
      <c r="H467" s="25">
        <v>1800000665</v>
      </c>
      <c r="I467" s="1" t="s">
        <v>9</v>
      </c>
      <c r="J467" s="11">
        <v>45719</v>
      </c>
      <c r="K467" s="11">
        <v>45720</v>
      </c>
      <c r="L467" s="1" t="s">
        <v>71</v>
      </c>
      <c r="M467" s="35">
        <v>246779410605</v>
      </c>
      <c r="N467" s="1" t="s">
        <v>72</v>
      </c>
      <c r="O467" s="1" t="s">
        <v>73</v>
      </c>
      <c r="P467" s="1" t="s">
        <v>74</v>
      </c>
      <c r="Q467" s="1" t="s">
        <v>83</v>
      </c>
      <c r="R467" s="1" t="s">
        <v>76</v>
      </c>
      <c r="S467" s="12">
        <v>23.5</v>
      </c>
      <c r="T467" s="1" t="s">
        <v>77</v>
      </c>
      <c r="U467" s="12">
        <v>2037.24</v>
      </c>
      <c r="V467" s="1" t="s">
        <v>78</v>
      </c>
      <c r="W467" s="1" t="s">
        <v>79</v>
      </c>
      <c r="X467" s="1" t="s">
        <v>74</v>
      </c>
      <c r="Y467" s="1" t="s">
        <v>71</v>
      </c>
      <c r="Z467" s="1" t="s">
        <v>80</v>
      </c>
      <c r="AA467" s="1" t="s">
        <v>451</v>
      </c>
      <c r="AB467" s="1" t="s">
        <v>74</v>
      </c>
      <c r="AC467" s="1" t="s">
        <v>74</v>
      </c>
      <c r="AD467" s="1" t="s">
        <v>74</v>
      </c>
      <c r="AE467" s="11">
        <v>45719</v>
      </c>
      <c r="AF467" s="11"/>
      <c r="AG467" s="1" t="s">
        <v>74</v>
      </c>
      <c r="AJ467" cm="1">
        <f t="array" ref="AJ467:AK467">_xlfn.XLOOKUP(M467,'Customer Data Vlookup'!$L:$L,'Customer Data Vlookup'!$M:$N,,0)</f>
        <v>0</v>
      </c>
      <c r="AK467" s="47">
        <v>2009</v>
      </c>
      <c r="AL467" s="47">
        <f t="shared" si="48"/>
        <v>2009</v>
      </c>
      <c r="AM467" s="58">
        <f t="shared" si="49"/>
        <v>28.240000000000009</v>
      </c>
    </row>
    <row r="468" spans="1:39" x14ac:dyDescent="0.35">
      <c r="A468" s="1" t="s">
        <v>124</v>
      </c>
      <c r="B468" s="1" t="s">
        <v>67</v>
      </c>
      <c r="C468" s="1" t="s">
        <v>68</v>
      </c>
      <c r="D468" s="1" t="s">
        <v>69</v>
      </c>
      <c r="E468" s="1" t="s">
        <v>17</v>
      </c>
      <c r="F468" s="1" t="s">
        <v>166</v>
      </c>
      <c r="G468" s="11">
        <v>45719</v>
      </c>
      <c r="H468" s="25">
        <v>1800000666</v>
      </c>
      <c r="I468" s="1" t="s">
        <v>9</v>
      </c>
      <c r="J468" s="11">
        <v>45719</v>
      </c>
      <c r="K468" s="11">
        <v>45720</v>
      </c>
      <c r="L468" s="1" t="s">
        <v>71</v>
      </c>
      <c r="M468" s="35">
        <v>246779410606</v>
      </c>
      <c r="N468" s="1" t="s">
        <v>72</v>
      </c>
      <c r="O468" s="1" t="s">
        <v>73</v>
      </c>
      <c r="P468" s="1" t="s">
        <v>74</v>
      </c>
      <c r="Q468" s="1" t="s">
        <v>83</v>
      </c>
      <c r="R468" s="1" t="s">
        <v>76</v>
      </c>
      <c r="S468" s="12">
        <v>4.7</v>
      </c>
      <c r="T468" s="1" t="s">
        <v>77</v>
      </c>
      <c r="U468" s="12">
        <v>407.45</v>
      </c>
      <c r="V468" s="1" t="s">
        <v>78</v>
      </c>
      <c r="W468" s="1" t="s">
        <v>79</v>
      </c>
      <c r="X468" s="1" t="s">
        <v>74</v>
      </c>
      <c r="Y468" s="1" t="s">
        <v>71</v>
      </c>
      <c r="Z468" s="1" t="s">
        <v>80</v>
      </c>
      <c r="AA468" s="1" t="s">
        <v>451</v>
      </c>
      <c r="AB468" s="1" t="s">
        <v>74</v>
      </c>
      <c r="AC468" s="1" t="s">
        <v>74</v>
      </c>
      <c r="AD468" s="1" t="s">
        <v>74</v>
      </c>
      <c r="AE468" s="11">
        <v>45719</v>
      </c>
      <c r="AF468" s="11"/>
      <c r="AG468" s="1" t="s">
        <v>74</v>
      </c>
      <c r="AJ468" cm="1">
        <f t="array" ref="AJ468:AK468">_xlfn.XLOOKUP(M468,'Customer Data Vlookup'!$L:$L,'Customer Data Vlookup'!$M:$N,,0)</f>
        <v>0</v>
      </c>
      <c r="AK468" s="47">
        <v>402</v>
      </c>
      <c r="AL468" s="47">
        <f t="shared" si="48"/>
        <v>402</v>
      </c>
      <c r="AM468" s="58">
        <f t="shared" si="49"/>
        <v>5.4499999999999886</v>
      </c>
    </row>
    <row r="469" spans="1:39" x14ac:dyDescent="0.35">
      <c r="A469" s="1" t="s">
        <v>124</v>
      </c>
      <c r="B469" s="1" t="s">
        <v>67</v>
      </c>
      <c r="C469" s="1" t="s">
        <v>68</v>
      </c>
      <c r="D469" s="1" t="s">
        <v>69</v>
      </c>
      <c r="E469" s="1" t="s">
        <v>17</v>
      </c>
      <c r="F469" s="1" t="s">
        <v>166</v>
      </c>
      <c r="G469" s="11">
        <v>45719</v>
      </c>
      <c r="H469" s="25">
        <v>1800000667</v>
      </c>
      <c r="I469" s="1" t="s">
        <v>9</v>
      </c>
      <c r="J469" s="11">
        <v>45719</v>
      </c>
      <c r="K469" s="11">
        <v>45720</v>
      </c>
      <c r="L469" s="1" t="s">
        <v>71</v>
      </c>
      <c r="M469" s="35">
        <v>246779410607</v>
      </c>
      <c r="N469" s="1" t="s">
        <v>72</v>
      </c>
      <c r="O469" s="1" t="s">
        <v>73</v>
      </c>
      <c r="P469" s="1" t="s">
        <v>74</v>
      </c>
      <c r="Q469" s="1" t="s">
        <v>83</v>
      </c>
      <c r="R469" s="1" t="s">
        <v>76</v>
      </c>
      <c r="S469" s="12">
        <v>4.7</v>
      </c>
      <c r="T469" s="1" t="s">
        <v>77</v>
      </c>
      <c r="U469" s="12">
        <v>407.45</v>
      </c>
      <c r="V469" s="1" t="s">
        <v>78</v>
      </c>
      <c r="W469" s="1" t="s">
        <v>79</v>
      </c>
      <c r="X469" s="1" t="s">
        <v>74</v>
      </c>
      <c r="Y469" s="1" t="s">
        <v>71</v>
      </c>
      <c r="Z469" s="1" t="s">
        <v>80</v>
      </c>
      <c r="AA469" s="1" t="s">
        <v>451</v>
      </c>
      <c r="AB469" s="1" t="s">
        <v>74</v>
      </c>
      <c r="AC469" s="1" t="s">
        <v>74</v>
      </c>
      <c r="AD469" s="1" t="s">
        <v>74</v>
      </c>
      <c r="AE469" s="11">
        <v>45719</v>
      </c>
      <c r="AF469" s="11"/>
      <c r="AG469" s="1" t="s">
        <v>74</v>
      </c>
      <c r="AJ469" cm="1">
        <f t="array" ref="AJ469:AK469">_xlfn.XLOOKUP(M469,'Customer Data Vlookup'!$L:$L,'Customer Data Vlookup'!$M:$N,,0)</f>
        <v>0</v>
      </c>
      <c r="AK469" s="47">
        <v>402</v>
      </c>
      <c r="AL469" s="47">
        <f t="shared" si="48"/>
        <v>402</v>
      </c>
      <c r="AM469" s="58">
        <f t="shared" si="49"/>
        <v>5.4499999999999886</v>
      </c>
    </row>
    <row r="470" spans="1:39" x14ac:dyDescent="0.35">
      <c r="A470" s="1" t="s">
        <v>124</v>
      </c>
      <c r="B470" s="1" t="s">
        <v>67</v>
      </c>
      <c r="C470" s="1" t="s">
        <v>68</v>
      </c>
      <c r="D470" s="1" t="s">
        <v>69</v>
      </c>
      <c r="E470" s="1" t="s">
        <v>17</v>
      </c>
      <c r="F470" s="1" t="s">
        <v>166</v>
      </c>
      <c r="G470" s="11">
        <v>45719</v>
      </c>
      <c r="H470" s="25">
        <v>1800000668</v>
      </c>
      <c r="I470" s="1" t="s">
        <v>9</v>
      </c>
      <c r="J470" s="11">
        <v>45719</v>
      </c>
      <c r="K470" s="11">
        <v>45720</v>
      </c>
      <c r="L470" s="1" t="s">
        <v>71</v>
      </c>
      <c r="M470" s="35">
        <v>246779410608</v>
      </c>
      <c r="N470" s="1" t="s">
        <v>72</v>
      </c>
      <c r="O470" s="1" t="s">
        <v>73</v>
      </c>
      <c r="P470" s="1" t="s">
        <v>74</v>
      </c>
      <c r="Q470" s="1" t="s">
        <v>83</v>
      </c>
      <c r="R470" s="1" t="s">
        <v>76</v>
      </c>
      <c r="S470" s="12">
        <v>9.4</v>
      </c>
      <c r="T470" s="1" t="s">
        <v>77</v>
      </c>
      <c r="U470" s="12">
        <v>814.9</v>
      </c>
      <c r="V470" s="1" t="s">
        <v>78</v>
      </c>
      <c r="W470" s="1" t="s">
        <v>79</v>
      </c>
      <c r="X470" s="1" t="s">
        <v>74</v>
      </c>
      <c r="Y470" s="1" t="s">
        <v>71</v>
      </c>
      <c r="Z470" s="1" t="s">
        <v>80</v>
      </c>
      <c r="AA470" s="1" t="s">
        <v>451</v>
      </c>
      <c r="AB470" s="1" t="s">
        <v>74</v>
      </c>
      <c r="AC470" s="1" t="s">
        <v>74</v>
      </c>
      <c r="AD470" s="1" t="s">
        <v>74</v>
      </c>
      <c r="AE470" s="11">
        <v>45719</v>
      </c>
      <c r="AF470" s="11"/>
      <c r="AG470" s="1" t="s">
        <v>74</v>
      </c>
      <c r="AJ470" cm="1">
        <f t="array" ref="AJ470:AK470">_xlfn.XLOOKUP(M470,'Customer Data Vlookup'!$L:$L,'Customer Data Vlookup'!$M:$N,,0)</f>
        <v>0</v>
      </c>
      <c r="AK470" s="47">
        <v>804</v>
      </c>
      <c r="AL470" s="47">
        <f t="shared" si="48"/>
        <v>804</v>
      </c>
      <c r="AM470" s="58">
        <f t="shared" si="49"/>
        <v>10.899999999999977</v>
      </c>
    </row>
    <row r="471" spans="1:39" x14ac:dyDescent="0.35">
      <c r="A471" s="1" t="s">
        <v>124</v>
      </c>
      <c r="B471" s="1" t="s">
        <v>67</v>
      </c>
      <c r="C471" s="1" t="s">
        <v>68</v>
      </c>
      <c r="D471" s="1" t="s">
        <v>69</v>
      </c>
      <c r="E471" s="1" t="s">
        <v>17</v>
      </c>
      <c r="F471" s="1" t="s">
        <v>166</v>
      </c>
      <c r="G471" s="11">
        <v>45719</v>
      </c>
      <c r="H471" s="25">
        <v>1800000669</v>
      </c>
      <c r="I471" s="1" t="s">
        <v>9</v>
      </c>
      <c r="J471" s="11">
        <v>45719</v>
      </c>
      <c r="K471" s="11">
        <v>45720</v>
      </c>
      <c r="L471" s="1" t="s">
        <v>71</v>
      </c>
      <c r="M471" s="35">
        <v>246779410609</v>
      </c>
      <c r="N471" s="1" t="s">
        <v>72</v>
      </c>
      <c r="O471" s="1" t="s">
        <v>73</v>
      </c>
      <c r="P471" s="1" t="s">
        <v>74</v>
      </c>
      <c r="Q471" s="1" t="s">
        <v>83</v>
      </c>
      <c r="R471" s="1" t="s">
        <v>76</v>
      </c>
      <c r="S471" s="12">
        <v>37.6</v>
      </c>
      <c r="T471" s="1" t="s">
        <v>77</v>
      </c>
      <c r="U471" s="12">
        <v>3259.59</v>
      </c>
      <c r="V471" s="1" t="s">
        <v>78</v>
      </c>
      <c r="W471" s="1" t="s">
        <v>79</v>
      </c>
      <c r="X471" s="1" t="s">
        <v>74</v>
      </c>
      <c r="Y471" s="1" t="s">
        <v>71</v>
      </c>
      <c r="Z471" s="1" t="s">
        <v>80</v>
      </c>
      <c r="AA471" s="1" t="s">
        <v>451</v>
      </c>
      <c r="AB471" s="1" t="s">
        <v>74</v>
      </c>
      <c r="AC471" s="1" t="s">
        <v>74</v>
      </c>
      <c r="AD471" s="1" t="s">
        <v>74</v>
      </c>
      <c r="AE471" s="11">
        <v>45719</v>
      </c>
      <c r="AF471" s="11"/>
      <c r="AG471" s="1" t="s">
        <v>74</v>
      </c>
      <c r="AJ471" cm="1">
        <f t="array" ref="AJ471:AK471">_xlfn.XLOOKUP(M471,'Customer Data Vlookup'!$L:$L,'Customer Data Vlookup'!$M:$N,,0)</f>
        <v>0</v>
      </c>
      <c r="AK471" s="47">
        <v>3203</v>
      </c>
      <c r="AL471" s="47">
        <f t="shared" si="48"/>
        <v>3203</v>
      </c>
      <c r="AM471" s="58">
        <f t="shared" si="49"/>
        <v>56.590000000000146</v>
      </c>
    </row>
    <row r="472" spans="1:39" x14ac:dyDescent="0.35">
      <c r="A472" s="1" t="s">
        <v>124</v>
      </c>
      <c r="B472" s="1" t="s">
        <v>67</v>
      </c>
      <c r="C472" s="1" t="s">
        <v>68</v>
      </c>
      <c r="D472" s="1" t="s">
        <v>69</v>
      </c>
      <c r="E472" s="1" t="s">
        <v>17</v>
      </c>
      <c r="F472" s="1" t="s">
        <v>166</v>
      </c>
      <c r="G472" s="11">
        <v>45719</v>
      </c>
      <c r="H472" s="25">
        <v>1800000670</v>
      </c>
      <c r="I472" s="1" t="s">
        <v>9</v>
      </c>
      <c r="J472" s="11">
        <v>45719</v>
      </c>
      <c r="K472" s="11">
        <v>45720</v>
      </c>
      <c r="L472" s="1" t="s">
        <v>71</v>
      </c>
      <c r="M472" s="35">
        <v>246779410610</v>
      </c>
      <c r="N472" s="1" t="s">
        <v>72</v>
      </c>
      <c r="O472" s="1" t="s">
        <v>73</v>
      </c>
      <c r="P472" s="1" t="s">
        <v>74</v>
      </c>
      <c r="Q472" s="1" t="s">
        <v>83</v>
      </c>
      <c r="R472" s="1" t="s">
        <v>76</v>
      </c>
      <c r="S472" s="12">
        <v>2.35</v>
      </c>
      <c r="T472" s="1" t="s">
        <v>77</v>
      </c>
      <c r="U472" s="12">
        <v>203.72</v>
      </c>
      <c r="V472" s="1" t="s">
        <v>78</v>
      </c>
      <c r="W472" s="1" t="s">
        <v>79</v>
      </c>
      <c r="X472" s="1" t="s">
        <v>74</v>
      </c>
      <c r="Y472" s="1" t="s">
        <v>71</v>
      </c>
      <c r="Z472" s="1" t="s">
        <v>80</v>
      </c>
      <c r="AA472" s="1" t="s">
        <v>451</v>
      </c>
      <c r="AB472" s="1" t="s">
        <v>74</v>
      </c>
      <c r="AC472" s="1" t="s">
        <v>74</v>
      </c>
      <c r="AD472" s="1" t="s">
        <v>74</v>
      </c>
      <c r="AE472" s="11">
        <v>45719</v>
      </c>
      <c r="AF472" s="11"/>
      <c r="AG472" s="1" t="s">
        <v>74</v>
      </c>
      <c r="AJ472" cm="1">
        <f t="array" ref="AJ472:AK472">_xlfn.XLOOKUP(M472,'Customer Data Vlookup'!$L:$L,'Customer Data Vlookup'!$M:$N,,0)</f>
        <v>0</v>
      </c>
      <c r="AK472" s="47">
        <v>201</v>
      </c>
      <c r="AL472" s="47">
        <f t="shared" si="48"/>
        <v>201</v>
      </c>
      <c r="AM472" s="58">
        <f t="shared" si="49"/>
        <v>2.7199999999999989</v>
      </c>
    </row>
    <row r="473" spans="1:39" x14ac:dyDescent="0.35">
      <c r="A473" s="1" t="s">
        <v>124</v>
      </c>
      <c r="B473" s="1" t="s">
        <v>67</v>
      </c>
      <c r="C473" s="1" t="s">
        <v>68</v>
      </c>
      <c r="D473" s="1" t="s">
        <v>69</v>
      </c>
      <c r="E473" s="1" t="s">
        <v>17</v>
      </c>
      <c r="F473" s="1" t="s">
        <v>166</v>
      </c>
      <c r="G473" s="11">
        <v>45719</v>
      </c>
      <c r="H473" s="25">
        <v>1800000671</v>
      </c>
      <c r="I473" s="1" t="s">
        <v>9</v>
      </c>
      <c r="J473" s="11">
        <v>45719</v>
      </c>
      <c r="K473" s="11">
        <v>45720</v>
      </c>
      <c r="L473" s="1" t="s">
        <v>71</v>
      </c>
      <c r="M473" s="35">
        <v>246779410611</v>
      </c>
      <c r="N473" s="1" t="s">
        <v>72</v>
      </c>
      <c r="O473" s="1" t="s">
        <v>73</v>
      </c>
      <c r="P473" s="1" t="s">
        <v>74</v>
      </c>
      <c r="Q473" s="1" t="s">
        <v>83</v>
      </c>
      <c r="R473" s="1" t="s">
        <v>76</v>
      </c>
      <c r="S473" s="12">
        <v>4.7</v>
      </c>
      <c r="T473" s="1" t="s">
        <v>77</v>
      </c>
      <c r="U473" s="12">
        <v>407.45</v>
      </c>
      <c r="V473" s="1" t="s">
        <v>78</v>
      </c>
      <c r="W473" s="1" t="s">
        <v>79</v>
      </c>
      <c r="X473" s="1" t="s">
        <v>74</v>
      </c>
      <c r="Y473" s="1" t="s">
        <v>71</v>
      </c>
      <c r="Z473" s="1" t="s">
        <v>80</v>
      </c>
      <c r="AA473" s="1" t="s">
        <v>451</v>
      </c>
      <c r="AB473" s="1" t="s">
        <v>74</v>
      </c>
      <c r="AC473" s="1" t="s">
        <v>74</v>
      </c>
      <c r="AD473" s="1" t="s">
        <v>74</v>
      </c>
      <c r="AE473" s="11">
        <v>45719</v>
      </c>
      <c r="AF473" s="11"/>
      <c r="AG473" s="1" t="s">
        <v>74</v>
      </c>
      <c r="AJ473" cm="1">
        <f t="array" ref="AJ473:AK473">_xlfn.XLOOKUP(M473,'Customer Data Vlookup'!$L:$L,'Customer Data Vlookup'!$M:$N,,0)</f>
        <v>0</v>
      </c>
      <c r="AK473" s="47">
        <v>402</v>
      </c>
      <c r="AL473" s="47">
        <f t="shared" si="48"/>
        <v>402</v>
      </c>
      <c r="AM473" s="58">
        <f t="shared" si="49"/>
        <v>5.4499999999999886</v>
      </c>
    </row>
    <row r="474" spans="1:39" x14ac:dyDescent="0.35">
      <c r="A474" s="1" t="s">
        <v>124</v>
      </c>
      <c r="B474" s="1" t="s">
        <v>67</v>
      </c>
      <c r="C474" s="1" t="s">
        <v>68</v>
      </c>
      <c r="D474" s="1" t="s">
        <v>69</v>
      </c>
      <c r="E474" s="1" t="s">
        <v>17</v>
      </c>
      <c r="F474" s="1" t="s">
        <v>166</v>
      </c>
      <c r="G474" s="11">
        <v>45719</v>
      </c>
      <c r="H474" s="25">
        <v>1800000673</v>
      </c>
      <c r="I474" s="1" t="s">
        <v>9</v>
      </c>
      <c r="J474" s="11">
        <v>45719</v>
      </c>
      <c r="K474" s="11">
        <v>45720</v>
      </c>
      <c r="L474" s="1" t="s">
        <v>71</v>
      </c>
      <c r="M474" s="35">
        <v>246779410613</v>
      </c>
      <c r="N474" s="1" t="s">
        <v>72</v>
      </c>
      <c r="O474" s="1" t="s">
        <v>73</v>
      </c>
      <c r="P474" s="1" t="s">
        <v>74</v>
      </c>
      <c r="Q474" s="1" t="s">
        <v>83</v>
      </c>
      <c r="R474" s="1" t="s">
        <v>76</v>
      </c>
      <c r="S474" s="12">
        <v>9.4</v>
      </c>
      <c r="T474" s="1" t="s">
        <v>77</v>
      </c>
      <c r="U474" s="12">
        <v>814.9</v>
      </c>
      <c r="V474" s="1" t="s">
        <v>78</v>
      </c>
      <c r="W474" s="1" t="s">
        <v>79</v>
      </c>
      <c r="X474" s="1" t="s">
        <v>74</v>
      </c>
      <c r="Y474" s="1" t="s">
        <v>71</v>
      </c>
      <c r="Z474" s="1" t="s">
        <v>80</v>
      </c>
      <c r="AA474" s="1" t="s">
        <v>451</v>
      </c>
      <c r="AB474" s="1" t="s">
        <v>74</v>
      </c>
      <c r="AC474" s="1" t="s">
        <v>74</v>
      </c>
      <c r="AD474" s="1" t="s">
        <v>74</v>
      </c>
      <c r="AE474" s="11">
        <v>45719</v>
      </c>
      <c r="AF474" s="11"/>
      <c r="AG474" s="1" t="s">
        <v>74</v>
      </c>
      <c r="AJ474" cm="1">
        <f t="array" ref="AJ474:AK474">_xlfn.XLOOKUP(M474,'Customer Data Vlookup'!$L:$L,'Customer Data Vlookup'!$M:$N,,0)</f>
        <v>0</v>
      </c>
      <c r="AK474" s="47">
        <v>804</v>
      </c>
      <c r="AL474" s="47">
        <f t="shared" si="48"/>
        <v>804</v>
      </c>
      <c r="AM474" s="58">
        <f t="shared" si="49"/>
        <v>10.899999999999977</v>
      </c>
    </row>
    <row r="475" spans="1:39" x14ac:dyDescent="0.35">
      <c r="A475" s="1" t="s">
        <v>124</v>
      </c>
      <c r="B475" s="1" t="s">
        <v>67</v>
      </c>
      <c r="C475" s="1" t="s">
        <v>68</v>
      </c>
      <c r="D475" s="1" t="s">
        <v>69</v>
      </c>
      <c r="E475" s="1" t="s">
        <v>17</v>
      </c>
      <c r="F475" s="1" t="s">
        <v>316</v>
      </c>
      <c r="G475" s="11">
        <v>45870</v>
      </c>
      <c r="H475" s="25">
        <v>1800011345</v>
      </c>
      <c r="I475" s="1" t="s">
        <v>9</v>
      </c>
      <c r="J475" s="11">
        <v>45870</v>
      </c>
      <c r="K475" s="11">
        <v>45873</v>
      </c>
      <c r="L475" s="1" t="s">
        <v>71</v>
      </c>
      <c r="M475" s="35">
        <v>256779416054</v>
      </c>
      <c r="N475" s="1" t="s">
        <v>72</v>
      </c>
      <c r="O475" s="1" t="s">
        <v>73</v>
      </c>
      <c r="P475" s="1" t="s">
        <v>74</v>
      </c>
      <c r="Q475" s="1" t="s">
        <v>83</v>
      </c>
      <c r="R475" s="1" t="s">
        <v>76</v>
      </c>
      <c r="S475" s="12">
        <v>456.75</v>
      </c>
      <c r="T475" s="1" t="s">
        <v>77</v>
      </c>
      <c r="U475" s="12">
        <v>39294.26</v>
      </c>
      <c r="V475" s="1" t="s">
        <v>78</v>
      </c>
      <c r="W475" s="1" t="s">
        <v>79</v>
      </c>
      <c r="X475" s="1" t="s">
        <v>74</v>
      </c>
      <c r="Y475" s="1" t="s">
        <v>71</v>
      </c>
      <c r="Z475" s="1" t="s">
        <v>80</v>
      </c>
      <c r="AA475" s="1" t="s">
        <v>476</v>
      </c>
      <c r="AB475" s="1" t="s">
        <v>74</v>
      </c>
      <c r="AC475" s="1" t="s">
        <v>74</v>
      </c>
      <c r="AD475" s="1" t="s">
        <v>74</v>
      </c>
      <c r="AE475" s="11">
        <v>45870</v>
      </c>
      <c r="AF475" s="11"/>
      <c r="AG475" s="1" t="s">
        <v>74</v>
      </c>
      <c r="AJ475" cm="1">
        <f t="array" ref="AJ475:AK475">_xlfn.XLOOKUP(M475,'Customer Data Vlookup'!$L:$L,'Customer Data Vlookup'!$M:$N,,0)</f>
        <v>0</v>
      </c>
      <c r="AK475" s="47">
        <v>35336.871800000001</v>
      </c>
      <c r="AL475" s="47">
        <f t="shared" si="48"/>
        <v>35336.871800000001</v>
      </c>
      <c r="AM475" s="58">
        <f t="shared" si="49"/>
        <v>3957.3882000000012</v>
      </c>
    </row>
    <row r="476" spans="1:39" hidden="1" x14ac:dyDescent="0.35">
      <c r="A476" s="13" t="s">
        <v>74</v>
      </c>
      <c r="B476" s="13" t="s">
        <v>74</v>
      </c>
      <c r="C476" s="13" t="s">
        <v>74</v>
      </c>
      <c r="D476" s="13" t="s">
        <v>74</v>
      </c>
      <c r="E476" s="13" t="s">
        <v>74</v>
      </c>
      <c r="F476" s="13" t="s">
        <v>74</v>
      </c>
      <c r="G476" s="14"/>
      <c r="H476" s="13" t="s">
        <v>74</v>
      </c>
      <c r="I476" s="13" t="s">
        <v>74</v>
      </c>
      <c r="J476" s="14"/>
      <c r="K476" s="14"/>
      <c r="L476" s="13" t="s">
        <v>74</v>
      </c>
      <c r="M476" s="36" t="s">
        <v>74</v>
      </c>
      <c r="N476" s="13" t="s">
        <v>72</v>
      </c>
      <c r="O476" s="13" t="s">
        <v>74</v>
      </c>
      <c r="P476" s="13" t="s">
        <v>74</v>
      </c>
      <c r="Q476" s="13" t="s">
        <v>74</v>
      </c>
      <c r="R476" s="13" t="s">
        <v>77</v>
      </c>
      <c r="S476" s="15">
        <v>-8812707</v>
      </c>
      <c r="T476" s="13" t="s">
        <v>77</v>
      </c>
      <c r="U476" s="15">
        <v>4683369.57</v>
      </c>
      <c r="V476" s="13" t="s">
        <v>74</v>
      </c>
      <c r="W476" s="13" t="s">
        <v>74</v>
      </c>
      <c r="X476" s="13" t="s">
        <v>74</v>
      </c>
      <c r="Y476" s="13" t="s">
        <v>74</v>
      </c>
      <c r="Z476" s="13" t="s">
        <v>74</v>
      </c>
      <c r="AA476" s="13" t="s">
        <v>74</v>
      </c>
      <c r="AB476" s="13" t="s">
        <v>74</v>
      </c>
      <c r="AC476" s="13" t="s">
        <v>74</v>
      </c>
      <c r="AD476" s="13" t="s">
        <v>74</v>
      </c>
      <c r="AE476" s="14"/>
      <c r="AF476" s="14"/>
      <c r="AG476" s="13" t="s">
        <v>74</v>
      </c>
      <c r="AJ476"/>
    </row>
    <row r="477" spans="1:39" hidden="1" x14ac:dyDescent="0.35">
      <c r="A477" s="13" t="s">
        <v>74</v>
      </c>
      <c r="B477" s="13" t="s">
        <v>74</v>
      </c>
      <c r="C477" s="13" t="s">
        <v>74</v>
      </c>
      <c r="D477" s="13" t="s">
        <v>74</v>
      </c>
      <c r="E477" s="13" t="s">
        <v>74</v>
      </c>
      <c r="F477" s="13" t="s">
        <v>74</v>
      </c>
      <c r="G477" s="14"/>
      <c r="H477" s="13" t="s">
        <v>74</v>
      </c>
      <c r="I477" s="13" t="s">
        <v>74</v>
      </c>
      <c r="J477" s="14"/>
      <c r="K477" s="14"/>
      <c r="L477" s="13" t="s">
        <v>74</v>
      </c>
      <c r="M477" s="36" t="s">
        <v>74</v>
      </c>
      <c r="N477" s="13" t="s">
        <v>74</v>
      </c>
      <c r="O477" s="13" t="s">
        <v>74</v>
      </c>
      <c r="P477" s="13" t="s">
        <v>74</v>
      </c>
      <c r="Q477" s="13" t="s">
        <v>74</v>
      </c>
      <c r="R477" s="13" t="s">
        <v>76</v>
      </c>
      <c r="S477" s="15">
        <v>154544.14000000001</v>
      </c>
      <c r="T477" s="13" t="s">
        <v>74</v>
      </c>
      <c r="U477" s="16"/>
      <c r="V477" s="13" t="s">
        <v>74</v>
      </c>
      <c r="W477" s="13" t="s">
        <v>74</v>
      </c>
      <c r="X477" s="13" t="s">
        <v>74</v>
      </c>
      <c r="Y477" s="13" t="s">
        <v>74</v>
      </c>
      <c r="Z477" s="13" t="s">
        <v>74</v>
      </c>
      <c r="AA477" s="13" t="s">
        <v>74</v>
      </c>
      <c r="AB477" s="13" t="s">
        <v>74</v>
      </c>
      <c r="AC477" s="13" t="s">
        <v>74</v>
      </c>
      <c r="AD477" s="13" t="s">
        <v>74</v>
      </c>
      <c r="AE477" s="14"/>
      <c r="AF477" s="14"/>
      <c r="AG477" s="13" t="s">
        <v>74</v>
      </c>
      <c r="AJ477"/>
    </row>
    <row r="478" spans="1:39" hidden="1" x14ac:dyDescent="0.35">
      <c r="A478" s="17" t="s">
        <v>74</v>
      </c>
      <c r="B478" s="17" t="s">
        <v>74</v>
      </c>
      <c r="C478" s="17" t="s">
        <v>74</v>
      </c>
      <c r="D478" s="17" t="s">
        <v>74</v>
      </c>
      <c r="E478" s="17" t="s">
        <v>74</v>
      </c>
      <c r="F478" s="17" t="s">
        <v>74</v>
      </c>
      <c r="G478" s="18"/>
      <c r="H478" s="17" t="s">
        <v>74</v>
      </c>
      <c r="I478" s="17" t="s">
        <v>74</v>
      </c>
      <c r="J478" s="18"/>
      <c r="K478" s="18"/>
      <c r="L478" s="17" t="s">
        <v>74</v>
      </c>
      <c r="M478" s="37" t="s">
        <v>74</v>
      </c>
      <c r="N478" s="17" t="s">
        <v>74</v>
      </c>
      <c r="O478" s="17" t="s">
        <v>74</v>
      </c>
      <c r="P478" s="17" t="s">
        <v>74</v>
      </c>
      <c r="Q478" s="17" t="s">
        <v>74</v>
      </c>
      <c r="R478" s="17" t="s">
        <v>77</v>
      </c>
      <c r="S478" s="19">
        <v>-8812707</v>
      </c>
      <c r="T478" s="17" t="s">
        <v>77</v>
      </c>
      <c r="U478" s="19">
        <v>4683369.57</v>
      </c>
      <c r="V478" s="17" t="s">
        <v>74</v>
      </c>
      <c r="W478" s="17" t="s">
        <v>74</v>
      </c>
      <c r="X478" s="17" t="s">
        <v>74</v>
      </c>
      <c r="Y478" s="17" t="s">
        <v>74</v>
      </c>
      <c r="Z478" s="17" t="s">
        <v>74</v>
      </c>
      <c r="AA478" s="17" t="s">
        <v>74</v>
      </c>
      <c r="AB478" s="17" t="s">
        <v>74</v>
      </c>
      <c r="AC478" s="17" t="s">
        <v>74</v>
      </c>
      <c r="AD478" s="17" t="s">
        <v>74</v>
      </c>
      <c r="AE478" s="18"/>
      <c r="AF478" s="18"/>
      <c r="AG478" s="17" t="s">
        <v>74</v>
      </c>
      <c r="AJ478"/>
    </row>
    <row r="479" spans="1:39" hidden="1" x14ac:dyDescent="0.35">
      <c r="A479" s="17" t="s">
        <v>74</v>
      </c>
      <c r="B479" s="17" t="s">
        <v>74</v>
      </c>
      <c r="C479" s="17" t="s">
        <v>74</v>
      </c>
      <c r="D479" s="17" t="s">
        <v>74</v>
      </c>
      <c r="E479" s="17" t="s">
        <v>74</v>
      </c>
      <c r="F479" s="17" t="s">
        <v>74</v>
      </c>
      <c r="G479" s="18"/>
      <c r="H479" s="17" t="s">
        <v>74</v>
      </c>
      <c r="I479" s="17" t="s">
        <v>74</v>
      </c>
      <c r="J479" s="18"/>
      <c r="K479" s="18"/>
      <c r="L479" s="17" t="s">
        <v>74</v>
      </c>
      <c r="M479" s="37" t="s">
        <v>74</v>
      </c>
      <c r="N479" s="17" t="s">
        <v>74</v>
      </c>
      <c r="O479" s="17" t="s">
        <v>74</v>
      </c>
      <c r="P479" s="17" t="s">
        <v>74</v>
      </c>
      <c r="Q479" s="17" t="s">
        <v>74</v>
      </c>
      <c r="R479" s="17" t="s">
        <v>76</v>
      </c>
      <c r="S479" s="19">
        <v>154544.14000000001</v>
      </c>
      <c r="T479" s="17" t="s">
        <v>74</v>
      </c>
      <c r="U479" s="20"/>
      <c r="V479" s="17" t="s">
        <v>74</v>
      </c>
      <c r="W479" s="17" t="s">
        <v>74</v>
      </c>
      <c r="X479" s="17" t="s">
        <v>74</v>
      </c>
      <c r="Y479" s="17" t="s">
        <v>74</v>
      </c>
      <c r="Z479" s="17" t="s">
        <v>74</v>
      </c>
      <c r="AA479" s="17" t="s">
        <v>74</v>
      </c>
      <c r="AB479" s="17" t="s">
        <v>74</v>
      </c>
      <c r="AC479" s="17" t="s">
        <v>74</v>
      </c>
      <c r="AD479" s="17" t="s">
        <v>74</v>
      </c>
      <c r="AE479" s="18"/>
      <c r="AF479" s="18"/>
      <c r="AG479" s="17" t="s">
        <v>74</v>
      </c>
      <c r="AJ479"/>
    </row>
  </sheetData>
  <autoFilter ref="H1:AN479" xr:uid="{5DB87BE3-75FD-4793-9093-2CB3E77C9EF8}">
    <filterColumn colId="1">
      <filters>
        <filter val="DG"/>
        <filter val="DR"/>
      </filters>
    </filterColumn>
    <filterColumn colId="28">
      <filters>
        <filter val="0"/>
        <filter val="1058"/>
        <filter val="1089"/>
        <filter val="1351"/>
        <filter val="176"/>
        <filter val="181"/>
        <filter val="1815"/>
        <filter val="4048"/>
        <filter val="4174"/>
        <filter val="6"/>
        <filter val="6791"/>
        <filter val="88"/>
        <filter val="90"/>
        <filter val="91"/>
        <filter val="98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04A4-E06B-4113-B4F3-DF28F52A96F0}">
  <dimension ref="A1:H31"/>
  <sheetViews>
    <sheetView workbookViewId="0">
      <selection activeCell="F3" sqref="F3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6.08984375" bestFit="1" customWidth="1"/>
    <col min="5" max="5" width="8.26953125" bestFit="1" customWidth="1"/>
    <col min="6" max="6" width="9.453125" bestFit="1" customWidth="1"/>
    <col min="8" max="8" width="10.90625" bestFit="1" customWidth="1"/>
  </cols>
  <sheetData>
    <row r="1" spans="1:8" x14ac:dyDescent="0.35">
      <c r="H1" s="39">
        <f>SUM(H3:H31)</f>
        <v>-1093.0800000000072</v>
      </c>
    </row>
    <row r="2" spans="1:8" ht="58" x14ac:dyDescent="0.35">
      <c r="A2" s="9" t="s">
        <v>41</v>
      </c>
      <c r="B2" s="10" t="s">
        <v>42</v>
      </c>
      <c r="C2" s="9" t="s">
        <v>6</v>
      </c>
      <c r="D2" s="9" t="s">
        <v>45</v>
      </c>
      <c r="E2" s="10" t="s">
        <v>50</v>
      </c>
      <c r="F2" s="10" t="s">
        <v>51</v>
      </c>
      <c r="G2" s="10" t="s">
        <v>52</v>
      </c>
      <c r="H2" s="10" t="s">
        <v>53</v>
      </c>
    </row>
    <row r="3" spans="1:8" x14ac:dyDescent="0.35">
      <c r="A3" s="25">
        <v>1400001112</v>
      </c>
      <c r="B3" s="1" t="s">
        <v>10</v>
      </c>
      <c r="C3" s="11">
        <v>45902</v>
      </c>
      <c r="D3" s="35" t="s">
        <v>74</v>
      </c>
      <c r="E3" s="1" t="s">
        <v>77</v>
      </c>
      <c r="F3" s="12">
        <v>79944.34</v>
      </c>
      <c r="G3" s="1" t="s">
        <v>77</v>
      </c>
      <c r="H3" s="12">
        <v>78561.62</v>
      </c>
    </row>
    <row r="4" spans="1:8" x14ac:dyDescent="0.35">
      <c r="A4" s="25">
        <v>1400001112</v>
      </c>
      <c r="B4" s="1" t="s">
        <v>10</v>
      </c>
      <c r="C4" s="11">
        <v>45902</v>
      </c>
      <c r="D4" s="35" t="s">
        <v>74</v>
      </c>
      <c r="E4" s="1" t="s">
        <v>77</v>
      </c>
      <c r="F4" s="12">
        <v>-79944.34</v>
      </c>
      <c r="G4" s="1" t="s">
        <v>77</v>
      </c>
      <c r="H4" s="12">
        <v>-78095.820000000007</v>
      </c>
    </row>
    <row r="5" spans="1:8" x14ac:dyDescent="0.35">
      <c r="A5" s="25">
        <v>1400000285</v>
      </c>
      <c r="B5" s="1" t="s">
        <v>10</v>
      </c>
      <c r="C5" s="11">
        <v>45854</v>
      </c>
      <c r="D5" s="35" t="s">
        <v>74</v>
      </c>
      <c r="E5" s="1" t="s">
        <v>76</v>
      </c>
      <c r="F5" s="12">
        <v>1793.99</v>
      </c>
      <c r="G5" s="1" t="s">
        <v>77</v>
      </c>
      <c r="H5" s="12">
        <v>154827.9</v>
      </c>
    </row>
    <row r="6" spans="1:8" x14ac:dyDescent="0.35">
      <c r="A6" s="25">
        <v>1400000285</v>
      </c>
      <c r="B6" s="1" t="s">
        <v>10</v>
      </c>
      <c r="C6" s="11">
        <v>45854</v>
      </c>
      <c r="D6" s="35" t="s">
        <v>74</v>
      </c>
      <c r="E6" s="1" t="s">
        <v>76</v>
      </c>
      <c r="F6" s="12">
        <v>-1793.99</v>
      </c>
      <c r="G6" s="1" t="s">
        <v>77</v>
      </c>
      <c r="H6" s="12">
        <v>-154827.9</v>
      </c>
    </row>
    <row r="7" spans="1:8" x14ac:dyDescent="0.35">
      <c r="A7" s="25">
        <v>1400000286</v>
      </c>
      <c r="B7" s="1" t="s">
        <v>10</v>
      </c>
      <c r="C7" s="11">
        <v>45854</v>
      </c>
      <c r="D7" s="35" t="s">
        <v>74</v>
      </c>
      <c r="E7" s="1" t="s">
        <v>76</v>
      </c>
      <c r="F7" s="12">
        <v>705</v>
      </c>
      <c r="G7" s="1" t="s">
        <v>77</v>
      </c>
      <c r="H7" s="12">
        <v>60844.08</v>
      </c>
    </row>
    <row r="8" spans="1:8" x14ac:dyDescent="0.35">
      <c r="A8" s="25">
        <v>1400000286</v>
      </c>
      <c r="B8" s="1" t="s">
        <v>10</v>
      </c>
      <c r="C8" s="11">
        <v>45854</v>
      </c>
      <c r="D8" s="35" t="s">
        <v>74</v>
      </c>
      <c r="E8" s="1" t="s">
        <v>76</v>
      </c>
      <c r="F8" s="12">
        <v>-705</v>
      </c>
      <c r="G8" s="1" t="s">
        <v>77</v>
      </c>
      <c r="H8" s="12">
        <v>-60844.08</v>
      </c>
    </row>
    <row r="9" spans="1:8" x14ac:dyDescent="0.35">
      <c r="A9" s="25">
        <v>1400000287</v>
      </c>
      <c r="B9" s="1" t="s">
        <v>10</v>
      </c>
      <c r="C9" s="11">
        <v>45854</v>
      </c>
      <c r="D9" s="35" t="s">
        <v>74</v>
      </c>
      <c r="E9" s="1" t="s">
        <v>76</v>
      </c>
      <c r="F9" s="12">
        <v>216.2</v>
      </c>
      <c r="G9" s="1" t="s">
        <v>77</v>
      </c>
      <c r="H9" s="12">
        <v>18742.650000000001</v>
      </c>
    </row>
    <row r="10" spans="1:8" x14ac:dyDescent="0.35">
      <c r="A10" s="25">
        <v>1400000287</v>
      </c>
      <c r="B10" s="1" t="s">
        <v>10</v>
      </c>
      <c r="C10" s="11">
        <v>45854</v>
      </c>
      <c r="D10" s="35" t="s">
        <v>74</v>
      </c>
      <c r="E10" s="1" t="s">
        <v>76</v>
      </c>
      <c r="F10" s="12">
        <v>-216.2</v>
      </c>
      <c r="G10" s="1" t="s">
        <v>77</v>
      </c>
      <c r="H10" s="12">
        <v>-18742.650000000001</v>
      </c>
    </row>
    <row r="11" spans="1:8" x14ac:dyDescent="0.35">
      <c r="A11" s="25">
        <v>1400000288</v>
      </c>
      <c r="B11" s="1" t="s">
        <v>10</v>
      </c>
      <c r="C11" s="11">
        <v>45854</v>
      </c>
      <c r="D11" s="35" t="s">
        <v>74</v>
      </c>
      <c r="E11" s="1" t="s">
        <v>76</v>
      </c>
      <c r="F11" s="12">
        <v>1926.06</v>
      </c>
      <c r="G11" s="1" t="s">
        <v>77</v>
      </c>
      <c r="H11" s="12">
        <v>166972.57</v>
      </c>
    </row>
    <row r="12" spans="1:8" x14ac:dyDescent="0.35">
      <c r="A12" s="25">
        <v>1400000288</v>
      </c>
      <c r="B12" s="1" t="s">
        <v>10</v>
      </c>
      <c r="C12" s="11">
        <v>45854</v>
      </c>
      <c r="D12" s="35" t="s">
        <v>74</v>
      </c>
      <c r="E12" s="1" t="s">
        <v>76</v>
      </c>
      <c r="F12" s="12">
        <v>-1926.06</v>
      </c>
      <c r="G12" s="1" t="s">
        <v>77</v>
      </c>
      <c r="H12" s="12">
        <v>-166972.57</v>
      </c>
    </row>
    <row r="13" spans="1:8" x14ac:dyDescent="0.35">
      <c r="A13" s="25">
        <v>1400000289</v>
      </c>
      <c r="B13" s="1" t="s">
        <v>10</v>
      </c>
      <c r="C13" s="11">
        <v>45854</v>
      </c>
      <c r="D13" s="35" t="s">
        <v>74</v>
      </c>
      <c r="E13" s="1" t="s">
        <v>76</v>
      </c>
      <c r="F13" s="12">
        <v>531.9</v>
      </c>
      <c r="G13" s="1" t="s">
        <v>77</v>
      </c>
      <c r="H13" s="12">
        <v>46111.08</v>
      </c>
    </row>
    <row r="14" spans="1:8" x14ac:dyDescent="0.35">
      <c r="A14" s="25">
        <v>1400000289</v>
      </c>
      <c r="B14" s="1" t="s">
        <v>10</v>
      </c>
      <c r="C14" s="11">
        <v>45854</v>
      </c>
      <c r="D14" s="35" t="s">
        <v>74</v>
      </c>
      <c r="E14" s="1" t="s">
        <v>76</v>
      </c>
      <c r="F14" s="12">
        <v>-531.9</v>
      </c>
      <c r="G14" s="1" t="s">
        <v>77</v>
      </c>
      <c r="H14" s="12">
        <v>-46111.08</v>
      </c>
    </row>
    <row r="15" spans="1:8" x14ac:dyDescent="0.35">
      <c r="A15" s="25">
        <v>1400000245</v>
      </c>
      <c r="B15" s="1" t="s">
        <v>10</v>
      </c>
      <c r="C15" s="11">
        <v>45842</v>
      </c>
      <c r="D15" s="35" t="s">
        <v>449</v>
      </c>
      <c r="E15" s="1" t="s">
        <v>76</v>
      </c>
      <c r="F15" s="12">
        <v>0</v>
      </c>
      <c r="G15" s="1" t="s">
        <v>77</v>
      </c>
      <c r="H15" s="12">
        <v>0</v>
      </c>
    </row>
    <row r="16" spans="1:8" x14ac:dyDescent="0.35">
      <c r="A16" s="25">
        <v>1400000248</v>
      </c>
      <c r="B16" s="1" t="s">
        <v>10</v>
      </c>
      <c r="C16" s="11">
        <v>45842</v>
      </c>
      <c r="D16" s="35" t="s">
        <v>449</v>
      </c>
      <c r="E16" s="1" t="s">
        <v>76</v>
      </c>
      <c r="F16" s="12">
        <v>0</v>
      </c>
      <c r="G16" s="1" t="s">
        <v>77</v>
      </c>
      <c r="H16" s="12">
        <v>0</v>
      </c>
    </row>
    <row r="17" spans="1:8" x14ac:dyDescent="0.35">
      <c r="A17" s="25">
        <v>1400000246</v>
      </c>
      <c r="B17" s="1" t="s">
        <v>10</v>
      </c>
      <c r="C17" s="11">
        <v>45842</v>
      </c>
      <c r="D17" s="35" t="s">
        <v>449</v>
      </c>
      <c r="E17" s="1" t="s">
        <v>76</v>
      </c>
      <c r="F17" s="12">
        <v>456.75</v>
      </c>
      <c r="G17" s="1" t="s">
        <v>77</v>
      </c>
      <c r="H17" s="12">
        <v>39701.54</v>
      </c>
    </row>
    <row r="18" spans="1:8" x14ac:dyDescent="0.35">
      <c r="A18" s="25">
        <v>1400000246</v>
      </c>
      <c r="B18" s="1" t="s">
        <v>10</v>
      </c>
      <c r="C18" s="11">
        <v>45842</v>
      </c>
      <c r="D18" s="35" t="s">
        <v>449</v>
      </c>
      <c r="E18" s="1" t="s">
        <v>76</v>
      </c>
      <c r="F18" s="12">
        <v>-456.75</v>
      </c>
      <c r="G18" s="1" t="s">
        <v>77</v>
      </c>
      <c r="H18" s="12">
        <v>-39701.54</v>
      </c>
    </row>
    <row r="19" spans="1:8" x14ac:dyDescent="0.35">
      <c r="A19" s="25">
        <v>1400000247</v>
      </c>
      <c r="B19" s="1" t="s">
        <v>10</v>
      </c>
      <c r="C19" s="11">
        <v>45842</v>
      </c>
      <c r="D19" s="35" t="s">
        <v>449</v>
      </c>
      <c r="E19" s="1" t="s">
        <v>76</v>
      </c>
      <c r="F19" s="12">
        <v>456.75</v>
      </c>
      <c r="G19" s="1" t="s">
        <v>77</v>
      </c>
      <c r="H19" s="12">
        <v>39701.54</v>
      </c>
    </row>
    <row r="20" spans="1:8" x14ac:dyDescent="0.35">
      <c r="A20" s="25">
        <v>1400000247</v>
      </c>
      <c r="B20" s="1" t="s">
        <v>10</v>
      </c>
      <c r="C20" s="11">
        <v>45842</v>
      </c>
      <c r="D20" s="35" t="s">
        <v>449</v>
      </c>
      <c r="E20" s="1" t="s">
        <v>76</v>
      </c>
      <c r="F20" s="12">
        <v>-456.75</v>
      </c>
      <c r="G20" s="1" t="s">
        <v>77</v>
      </c>
      <c r="H20" s="12">
        <v>-39701.54</v>
      </c>
    </row>
    <row r="21" spans="1:8" x14ac:dyDescent="0.35">
      <c r="A21" s="25">
        <v>1400000290</v>
      </c>
      <c r="B21" s="1" t="s">
        <v>10</v>
      </c>
      <c r="C21" s="11">
        <v>45854</v>
      </c>
      <c r="D21" s="35" t="s">
        <v>449</v>
      </c>
      <c r="E21" s="1" t="s">
        <v>76</v>
      </c>
      <c r="F21" s="12">
        <v>525</v>
      </c>
      <c r="G21" s="1" t="s">
        <v>77</v>
      </c>
      <c r="H21" s="12">
        <v>45512.91</v>
      </c>
    </row>
    <row r="22" spans="1:8" x14ac:dyDescent="0.35">
      <c r="A22" s="25">
        <v>1400000290</v>
      </c>
      <c r="B22" s="1" t="s">
        <v>10</v>
      </c>
      <c r="C22" s="11">
        <v>45854</v>
      </c>
      <c r="D22" s="35" t="s">
        <v>449</v>
      </c>
      <c r="E22" s="1" t="s">
        <v>76</v>
      </c>
      <c r="F22" s="12">
        <v>-525</v>
      </c>
      <c r="G22" s="1" t="s">
        <v>77</v>
      </c>
      <c r="H22" s="12">
        <v>-45512.91</v>
      </c>
    </row>
    <row r="23" spans="1:8" x14ac:dyDescent="0.35">
      <c r="A23" s="25">
        <v>1400001901</v>
      </c>
      <c r="B23" s="1" t="s">
        <v>10</v>
      </c>
      <c r="C23" s="11">
        <v>45976</v>
      </c>
      <c r="D23" s="35" t="s">
        <v>449</v>
      </c>
      <c r="E23" s="1" t="s">
        <v>76</v>
      </c>
      <c r="F23" s="12">
        <v>3813.11</v>
      </c>
      <c r="G23" s="1" t="s">
        <v>77</v>
      </c>
      <c r="H23" s="12">
        <v>331442.46000000002</v>
      </c>
    </row>
    <row r="24" spans="1:8" x14ac:dyDescent="0.35">
      <c r="A24" s="25">
        <v>1400001901</v>
      </c>
      <c r="B24" s="1" t="s">
        <v>10</v>
      </c>
      <c r="C24" s="11">
        <v>45976</v>
      </c>
      <c r="D24" s="35" t="s">
        <v>449</v>
      </c>
      <c r="E24" s="1" t="s">
        <v>76</v>
      </c>
      <c r="F24" s="12">
        <v>-3813.11</v>
      </c>
      <c r="G24" s="1" t="s">
        <v>77</v>
      </c>
      <c r="H24" s="12">
        <v>-331442.46000000002</v>
      </c>
    </row>
    <row r="25" spans="1:8" x14ac:dyDescent="0.35">
      <c r="A25" s="25">
        <v>1400001902</v>
      </c>
      <c r="B25" s="1" t="s">
        <v>10</v>
      </c>
      <c r="C25" s="11">
        <v>45976</v>
      </c>
      <c r="D25" s="35" t="s">
        <v>449</v>
      </c>
      <c r="E25" s="1" t="s">
        <v>76</v>
      </c>
      <c r="F25" s="12">
        <v>1117.6600000000001</v>
      </c>
      <c r="G25" s="1" t="s">
        <v>77</v>
      </c>
      <c r="H25" s="12">
        <v>96798.99</v>
      </c>
    </row>
    <row r="26" spans="1:8" x14ac:dyDescent="0.35">
      <c r="A26" s="25">
        <v>1400001902</v>
      </c>
      <c r="B26" s="1" t="s">
        <v>10</v>
      </c>
      <c r="C26" s="11">
        <v>45976</v>
      </c>
      <c r="D26" s="35" t="s">
        <v>449</v>
      </c>
      <c r="E26" s="1" t="s">
        <v>76</v>
      </c>
      <c r="F26" s="12">
        <v>-182.83</v>
      </c>
      <c r="G26" s="1" t="s">
        <v>77</v>
      </c>
      <c r="H26" s="12">
        <v>-16089.66</v>
      </c>
    </row>
    <row r="27" spans="1:8" x14ac:dyDescent="0.35">
      <c r="A27" s="25">
        <v>1400001902</v>
      </c>
      <c r="B27" s="1" t="s">
        <v>10</v>
      </c>
      <c r="C27" s="11">
        <v>45976</v>
      </c>
      <c r="D27" s="35" t="s">
        <v>449</v>
      </c>
      <c r="E27" s="1" t="s">
        <v>76</v>
      </c>
      <c r="F27" s="12">
        <v>-55.46</v>
      </c>
      <c r="G27" s="1" t="s">
        <v>77</v>
      </c>
      <c r="H27" s="12">
        <v>-4880.67</v>
      </c>
    </row>
    <row r="28" spans="1:8" x14ac:dyDescent="0.35">
      <c r="A28" s="25">
        <v>1400001902</v>
      </c>
      <c r="B28" s="1" t="s">
        <v>10</v>
      </c>
      <c r="C28" s="11">
        <v>45976</v>
      </c>
      <c r="D28" s="35" t="s">
        <v>449</v>
      </c>
      <c r="E28" s="1" t="s">
        <v>76</v>
      </c>
      <c r="F28" s="12">
        <v>-420</v>
      </c>
      <c r="G28" s="1" t="s">
        <v>77</v>
      </c>
      <c r="H28" s="12">
        <v>-36961.42</v>
      </c>
    </row>
    <row r="29" spans="1:8" x14ac:dyDescent="0.35">
      <c r="A29" s="25">
        <v>1400001902</v>
      </c>
      <c r="B29" s="1" t="s">
        <v>10</v>
      </c>
      <c r="C29" s="11">
        <v>45976</v>
      </c>
      <c r="D29" s="35" t="s">
        <v>449</v>
      </c>
      <c r="E29" s="1" t="s">
        <v>76</v>
      </c>
      <c r="F29" s="12">
        <v>-177.66</v>
      </c>
      <c r="G29" s="1" t="s">
        <v>77</v>
      </c>
      <c r="H29" s="12">
        <v>-15634.68</v>
      </c>
    </row>
    <row r="30" spans="1:8" x14ac:dyDescent="0.35">
      <c r="A30" s="25">
        <v>1400001902</v>
      </c>
      <c r="B30" s="1" t="s">
        <v>10</v>
      </c>
      <c r="C30" s="11">
        <v>45976</v>
      </c>
      <c r="D30" s="35" t="s">
        <v>449</v>
      </c>
      <c r="E30" s="1" t="s">
        <v>76</v>
      </c>
      <c r="F30" s="12">
        <v>-143.81</v>
      </c>
      <c r="G30" s="1" t="s">
        <v>77</v>
      </c>
      <c r="H30" s="12">
        <v>-12655.77</v>
      </c>
    </row>
    <row r="31" spans="1:8" x14ac:dyDescent="0.35">
      <c r="A31" s="25">
        <v>1400001902</v>
      </c>
      <c r="B31" s="1" t="s">
        <v>10</v>
      </c>
      <c r="C31" s="11">
        <v>45976</v>
      </c>
      <c r="D31" s="35" t="s">
        <v>449</v>
      </c>
      <c r="E31" s="1" t="s">
        <v>76</v>
      </c>
      <c r="F31" s="12">
        <v>-137.9</v>
      </c>
      <c r="G31" s="1" t="s">
        <v>77</v>
      </c>
      <c r="H31" s="12">
        <v>-12135.67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DA49-F762-426D-B2F4-B30A6F88A32B}">
  <dimension ref="A1:N28"/>
  <sheetViews>
    <sheetView workbookViewId="0">
      <selection activeCell="H25" sqref="A2:O28"/>
    </sheetView>
  </sheetViews>
  <sheetFormatPr defaultRowHeight="14.5" x14ac:dyDescent="0.35"/>
  <cols>
    <col min="1" max="1" width="16.81640625" bestFit="1" customWidth="1"/>
    <col min="2" max="2" width="4.6328125" customWidth="1"/>
    <col min="3" max="3" width="13.90625" bestFit="1" customWidth="1"/>
    <col min="4" max="4" width="12.90625" bestFit="1" customWidth="1"/>
    <col min="5" max="5" width="7.6328125" customWidth="1"/>
    <col min="6" max="6" width="8" customWidth="1"/>
    <col min="7" max="7" width="6.36328125" customWidth="1"/>
    <col min="8" max="8" width="10.36328125" customWidth="1"/>
    <col min="9" max="9" width="44.7265625" bestFit="1" customWidth="1"/>
    <col min="10" max="10" width="6.81640625" bestFit="1" customWidth="1"/>
    <col min="11" max="11" width="8.6328125" bestFit="1" customWidth="1"/>
    <col min="12" max="12" width="10.90625" bestFit="1" customWidth="1"/>
    <col min="13" max="13" width="8.6328125" bestFit="1" customWidth="1"/>
    <col min="14" max="14" width="7.90625" style="48" bestFit="1" customWidth="1"/>
    <col min="15" max="16384" width="8.7265625" style="48"/>
  </cols>
  <sheetData>
    <row r="1" spans="1:14" x14ac:dyDescent="0.35">
      <c r="L1" s="5"/>
    </row>
    <row r="2" spans="1:14" x14ac:dyDescent="0.35">
      <c r="A2" s="10"/>
      <c r="B2" s="10"/>
      <c r="C2" s="10"/>
      <c r="D2" s="10"/>
      <c r="E2" s="10"/>
      <c r="F2" s="10"/>
      <c r="G2" s="10"/>
      <c r="H2" s="10"/>
      <c r="I2" s="10"/>
      <c r="J2" s="61"/>
      <c r="K2" s="10"/>
      <c r="L2" s="10"/>
      <c r="M2" s="10"/>
      <c r="N2" s="62"/>
    </row>
    <row r="3" spans="1:14" x14ac:dyDescent="0.35">
      <c r="A3" s="63"/>
      <c r="B3" s="64"/>
      <c r="C3" s="65"/>
      <c r="D3" s="66"/>
      <c r="E3" s="64"/>
      <c r="F3" s="67"/>
      <c r="G3" s="64"/>
      <c r="H3" s="67"/>
      <c r="I3" s="64"/>
      <c r="J3" s="68"/>
      <c r="K3" s="69"/>
      <c r="L3" s="69"/>
      <c r="M3" s="69"/>
      <c r="N3" s="70"/>
    </row>
    <row r="4" spans="1:14" x14ac:dyDescent="0.35">
      <c r="A4" s="63"/>
      <c r="B4" s="64"/>
      <c r="C4" s="65"/>
      <c r="D4" s="66"/>
      <c r="E4" s="64"/>
      <c r="F4" s="67"/>
      <c r="G4" s="64"/>
      <c r="H4" s="67"/>
      <c r="I4" s="64"/>
      <c r="J4" s="68"/>
      <c r="K4" s="69"/>
      <c r="L4" s="69"/>
      <c r="M4" s="69"/>
      <c r="N4" s="70"/>
    </row>
    <row r="5" spans="1:14" x14ac:dyDescent="0.35">
      <c r="A5" s="63"/>
      <c r="B5" s="64"/>
      <c r="C5" s="65"/>
      <c r="D5" s="66"/>
      <c r="E5" s="64"/>
      <c r="F5" s="67"/>
      <c r="G5" s="64"/>
      <c r="H5" s="67"/>
      <c r="I5" s="64"/>
      <c r="J5" s="68"/>
      <c r="K5" s="69"/>
      <c r="L5" s="69"/>
      <c r="M5" s="69"/>
      <c r="N5" s="70"/>
    </row>
    <row r="6" spans="1:14" x14ac:dyDescent="0.35">
      <c r="A6" s="63"/>
      <c r="B6" s="64"/>
      <c r="C6" s="65"/>
      <c r="D6" s="66"/>
      <c r="E6" s="64"/>
      <c r="F6" s="67"/>
      <c r="G6" s="64"/>
      <c r="H6" s="67"/>
      <c r="I6" s="64"/>
      <c r="J6" s="68"/>
      <c r="K6" s="69"/>
      <c r="L6" s="69"/>
      <c r="M6" s="69"/>
      <c r="N6" s="70"/>
    </row>
    <row r="7" spans="1:14" x14ac:dyDescent="0.35">
      <c r="A7" s="63"/>
      <c r="B7" s="64"/>
      <c r="C7" s="65"/>
      <c r="D7" s="66"/>
      <c r="E7" s="64"/>
      <c r="F7" s="67"/>
      <c r="G7" s="64"/>
      <c r="H7" s="67"/>
      <c r="I7" s="64"/>
      <c r="J7" s="68"/>
      <c r="K7" s="69"/>
      <c r="L7" s="69"/>
      <c r="M7" s="69"/>
      <c r="N7" s="70"/>
    </row>
    <row r="8" spans="1:14" x14ac:dyDescent="0.35">
      <c r="A8" s="63"/>
      <c r="B8" s="64"/>
      <c r="C8" s="65"/>
      <c r="D8" s="66"/>
      <c r="E8" s="64"/>
      <c r="F8" s="67"/>
      <c r="G8" s="64"/>
      <c r="H8" s="67"/>
      <c r="I8" s="64"/>
      <c r="J8" s="68"/>
      <c r="K8" s="69"/>
      <c r="L8" s="69"/>
      <c r="M8" s="69"/>
      <c r="N8" s="70"/>
    </row>
    <row r="9" spans="1:14" x14ac:dyDescent="0.35">
      <c r="A9" s="63"/>
      <c r="B9" s="64"/>
      <c r="C9" s="65"/>
      <c r="D9" s="66"/>
      <c r="E9" s="64"/>
      <c r="F9" s="67"/>
      <c r="G9" s="64"/>
      <c r="H9" s="67"/>
      <c r="I9" s="64"/>
      <c r="J9" s="68"/>
      <c r="K9" s="69"/>
      <c r="L9" s="69"/>
      <c r="M9" s="69"/>
      <c r="N9" s="70"/>
    </row>
    <row r="10" spans="1:14" x14ac:dyDescent="0.35">
      <c r="A10" s="63"/>
      <c r="B10" s="64"/>
      <c r="C10" s="65"/>
      <c r="D10" s="66"/>
      <c r="E10" s="64"/>
      <c r="F10" s="67"/>
      <c r="G10" s="64"/>
      <c r="H10" s="67"/>
      <c r="I10" s="64"/>
      <c r="J10" s="68"/>
      <c r="K10" s="69"/>
      <c r="L10" s="69"/>
      <c r="M10" s="69"/>
      <c r="N10" s="70"/>
    </row>
    <row r="11" spans="1:14" x14ac:dyDescent="0.35">
      <c r="A11" s="63"/>
      <c r="B11" s="64"/>
      <c r="C11" s="65"/>
      <c r="D11" s="66"/>
      <c r="E11" s="64"/>
      <c r="F11" s="67"/>
      <c r="G11" s="64"/>
      <c r="H11" s="67"/>
      <c r="I11" s="64"/>
      <c r="J11" s="68"/>
      <c r="K11" s="69"/>
      <c r="L11" s="69"/>
      <c r="M11" s="69"/>
      <c r="N11" s="70"/>
    </row>
    <row r="12" spans="1:14" x14ac:dyDescent="0.35">
      <c r="A12" s="63"/>
      <c r="B12" s="64"/>
      <c r="C12" s="65"/>
      <c r="D12" s="66"/>
      <c r="E12" s="64"/>
      <c r="F12" s="67"/>
      <c r="G12" s="64"/>
      <c r="H12" s="67"/>
      <c r="I12" s="64"/>
      <c r="J12" s="68"/>
      <c r="K12" s="69"/>
      <c r="L12" s="69"/>
      <c r="M12" s="69"/>
      <c r="N12" s="70"/>
    </row>
    <row r="13" spans="1:14" x14ac:dyDescent="0.35">
      <c r="A13" s="63"/>
      <c r="B13" s="64"/>
      <c r="C13" s="65"/>
      <c r="D13" s="66"/>
      <c r="E13" s="64"/>
      <c r="F13" s="67"/>
      <c r="G13" s="64"/>
      <c r="H13" s="67"/>
      <c r="I13" s="64"/>
      <c r="J13" s="68"/>
      <c r="K13" s="69"/>
      <c r="L13" s="69"/>
      <c r="M13" s="69"/>
      <c r="N13" s="70"/>
    </row>
    <row r="14" spans="1:14" x14ac:dyDescent="0.35">
      <c r="A14" s="63"/>
      <c r="B14" s="64"/>
      <c r="C14" s="65"/>
      <c r="D14" s="66"/>
      <c r="E14" s="64"/>
      <c r="F14" s="67"/>
      <c r="G14" s="64"/>
      <c r="H14" s="67"/>
      <c r="I14" s="64"/>
      <c r="J14" s="68"/>
      <c r="K14" s="69"/>
      <c r="L14" s="69"/>
      <c r="M14" s="69"/>
      <c r="N14" s="70"/>
    </row>
    <row r="15" spans="1:14" x14ac:dyDescent="0.35">
      <c r="A15" s="63"/>
      <c r="B15" s="64"/>
      <c r="C15" s="65"/>
      <c r="D15" s="66"/>
      <c r="E15" s="64"/>
      <c r="F15" s="67"/>
      <c r="G15" s="64"/>
      <c r="H15" s="67"/>
      <c r="I15" s="64"/>
      <c r="J15" s="68"/>
      <c r="K15" s="69"/>
      <c r="L15" s="69"/>
      <c r="M15" s="69"/>
      <c r="N15" s="70"/>
    </row>
    <row r="16" spans="1:14" x14ac:dyDescent="0.35">
      <c r="A16" s="63"/>
      <c r="B16" s="64"/>
      <c r="C16" s="65"/>
      <c r="D16" s="66"/>
      <c r="E16" s="64"/>
      <c r="F16" s="67"/>
      <c r="G16" s="64"/>
      <c r="H16" s="67"/>
      <c r="I16" s="64"/>
      <c r="J16" s="68"/>
      <c r="K16" s="69"/>
      <c r="L16" s="69"/>
      <c r="M16" s="69"/>
      <c r="N16" s="70"/>
    </row>
    <row r="17" spans="1:14" x14ac:dyDescent="0.35">
      <c r="A17" s="63"/>
      <c r="B17" s="64"/>
      <c r="C17" s="65"/>
      <c r="D17" s="66"/>
      <c r="E17" s="64"/>
      <c r="F17" s="67"/>
      <c r="G17" s="64"/>
      <c r="H17" s="67"/>
      <c r="I17" s="64"/>
      <c r="J17" s="68"/>
      <c r="K17" s="69"/>
      <c r="L17" s="69"/>
      <c r="M17" s="69"/>
      <c r="N17" s="70"/>
    </row>
    <row r="18" spans="1:14" x14ac:dyDescent="0.35">
      <c r="A18" s="63"/>
      <c r="B18" s="64"/>
      <c r="C18" s="65"/>
      <c r="D18" s="66"/>
      <c r="E18" s="64"/>
      <c r="F18" s="67"/>
      <c r="G18" s="64"/>
      <c r="H18" s="67"/>
      <c r="I18" s="64"/>
      <c r="J18" s="68"/>
      <c r="K18" s="69"/>
      <c r="L18" s="69"/>
      <c r="M18" s="69"/>
      <c r="N18" s="70"/>
    </row>
    <row r="19" spans="1:14" x14ac:dyDescent="0.35">
      <c r="A19" s="63"/>
      <c r="B19" s="64"/>
      <c r="C19" s="65"/>
      <c r="D19" s="66"/>
      <c r="E19" s="64"/>
      <c r="F19" s="67"/>
      <c r="G19" s="64"/>
      <c r="H19" s="67"/>
      <c r="I19" s="64"/>
      <c r="J19" s="68"/>
      <c r="K19" s="69"/>
      <c r="L19" s="69"/>
      <c r="M19" s="69"/>
      <c r="N19" s="70"/>
    </row>
    <row r="20" spans="1:14" x14ac:dyDescent="0.35">
      <c r="A20" s="63"/>
      <c r="B20" s="64"/>
      <c r="C20" s="65"/>
      <c r="D20" s="66"/>
      <c r="E20" s="64"/>
      <c r="F20" s="67"/>
      <c r="G20" s="64"/>
      <c r="H20" s="67"/>
      <c r="I20" s="64"/>
      <c r="J20" s="68"/>
      <c r="K20" s="69"/>
      <c r="L20" s="69"/>
      <c r="M20" s="69"/>
      <c r="N20" s="70"/>
    </row>
    <row r="21" spans="1:14" x14ac:dyDescent="0.35">
      <c r="A21" s="63"/>
      <c r="B21" s="64"/>
      <c r="C21" s="65"/>
      <c r="D21" s="66"/>
      <c r="E21" s="64"/>
      <c r="F21" s="67"/>
      <c r="G21" s="64"/>
      <c r="H21" s="67"/>
      <c r="I21" s="64"/>
      <c r="J21" s="68"/>
      <c r="K21" s="69"/>
      <c r="L21" s="69"/>
      <c r="M21" s="69"/>
      <c r="N21" s="70"/>
    </row>
    <row r="22" spans="1:14" x14ac:dyDescent="0.35">
      <c r="A22" s="63"/>
      <c r="B22" s="64"/>
      <c r="C22" s="65"/>
      <c r="D22" s="66"/>
      <c r="E22" s="64"/>
      <c r="F22" s="67"/>
      <c r="G22" s="64"/>
      <c r="H22" s="67"/>
      <c r="I22" s="64"/>
      <c r="J22" s="68"/>
      <c r="K22" s="69"/>
      <c r="L22" s="69"/>
      <c r="M22" s="69"/>
      <c r="N22" s="70"/>
    </row>
    <row r="23" spans="1:14" x14ac:dyDescent="0.35">
      <c r="A23" s="63"/>
      <c r="B23" s="64"/>
      <c r="C23" s="65"/>
      <c r="D23" s="66"/>
      <c r="E23" s="64"/>
      <c r="F23" s="67"/>
      <c r="G23" s="64"/>
      <c r="H23" s="67"/>
      <c r="I23" s="64"/>
      <c r="J23" s="68"/>
      <c r="K23" s="69"/>
      <c r="L23" s="69"/>
      <c r="M23" s="69"/>
      <c r="N23" s="70"/>
    </row>
    <row r="24" spans="1:14" x14ac:dyDescent="0.35">
      <c r="A24" s="63"/>
      <c r="B24" s="64"/>
      <c r="C24" s="65"/>
      <c r="D24" s="66"/>
      <c r="E24" s="64"/>
      <c r="F24" s="67"/>
      <c r="G24" s="64"/>
      <c r="H24" s="67"/>
      <c r="I24" s="64"/>
      <c r="J24" s="68"/>
      <c r="K24" s="69"/>
      <c r="L24" s="69"/>
      <c r="M24" s="69"/>
      <c r="N24" s="70"/>
    </row>
    <row r="25" spans="1:14" x14ac:dyDescent="0.35">
      <c r="A25" s="63"/>
      <c r="B25" s="64"/>
      <c r="C25" s="65"/>
      <c r="D25" s="66"/>
      <c r="E25" s="64"/>
      <c r="F25" s="67"/>
      <c r="G25" s="64"/>
      <c r="H25" s="67"/>
      <c r="I25" s="64"/>
      <c r="J25" s="68"/>
      <c r="K25" s="69"/>
      <c r="L25" s="69"/>
      <c r="M25" s="69"/>
      <c r="N25" s="70"/>
    </row>
    <row r="26" spans="1:14" x14ac:dyDescent="0.35">
      <c r="A26" s="63"/>
      <c r="B26" s="64"/>
      <c r="C26" s="65"/>
      <c r="D26" s="66"/>
      <c r="E26" s="64"/>
      <c r="F26" s="67"/>
      <c r="G26" s="64"/>
      <c r="H26" s="67"/>
      <c r="I26" s="64"/>
      <c r="J26" s="68"/>
      <c r="K26" s="69"/>
      <c r="L26" s="69"/>
      <c r="M26" s="69"/>
      <c r="N26" s="70"/>
    </row>
    <row r="27" spans="1:14" x14ac:dyDescent="0.35">
      <c r="A27" s="63"/>
      <c r="B27" s="64"/>
      <c r="C27" s="65"/>
      <c r="D27" s="66"/>
      <c r="E27" s="64"/>
      <c r="F27" s="67"/>
      <c r="G27" s="64"/>
      <c r="H27" s="67"/>
      <c r="I27" s="64"/>
      <c r="J27" s="68"/>
      <c r="K27" s="69"/>
      <c r="L27" s="69"/>
      <c r="M27" s="69"/>
      <c r="N27" s="70"/>
    </row>
    <row r="28" spans="1:14" x14ac:dyDescent="0.35">
      <c r="M28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1127-7E9D-4A17-9582-D0C88934A829}">
  <sheetPr filterMode="1"/>
  <dimension ref="A2:L333"/>
  <sheetViews>
    <sheetView workbookViewId="0">
      <selection activeCell="J54" sqref="J54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10.26953125" bestFit="1" customWidth="1"/>
    <col min="9" max="9" width="44.7265625" bestFit="1" customWidth="1"/>
    <col min="10" max="10" width="6.1796875" style="47" bestFit="1" customWidth="1"/>
    <col min="11" max="11" width="8.6328125" style="47" bestFit="1" customWidth="1"/>
    <col min="12" max="12" width="10.90625" style="47" bestFit="1" customWidth="1"/>
  </cols>
  <sheetData>
    <row r="2" spans="1:12" ht="58" x14ac:dyDescent="0.35">
      <c r="A2" s="9" t="s">
        <v>41</v>
      </c>
      <c r="B2" s="10" t="s">
        <v>42</v>
      </c>
      <c r="C2" s="9" t="s">
        <v>6</v>
      </c>
      <c r="D2" s="9" t="s">
        <v>45</v>
      </c>
      <c r="E2" s="10" t="s">
        <v>50</v>
      </c>
      <c r="F2" s="10" t="s">
        <v>51</v>
      </c>
      <c r="G2" s="10" t="s">
        <v>52</v>
      </c>
      <c r="H2" s="10" t="s">
        <v>53</v>
      </c>
      <c r="I2" s="9" t="s">
        <v>59</v>
      </c>
      <c r="J2" s="59" t="s">
        <v>972</v>
      </c>
      <c r="K2" s="9" t="s">
        <v>973</v>
      </c>
      <c r="L2" s="9" t="s">
        <v>964</v>
      </c>
    </row>
    <row r="3" spans="1:12" hidden="1" x14ac:dyDescent="0.35">
      <c r="A3" s="41">
        <v>1800008722</v>
      </c>
      <c r="B3" s="42" t="s">
        <v>9</v>
      </c>
      <c r="C3" s="43">
        <v>45797</v>
      </c>
      <c r="D3" s="44">
        <v>256779413486</v>
      </c>
      <c r="E3" s="42" t="s">
        <v>76</v>
      </c>
      <c r="F3" s="45">
        <v>12.5</v>
      </c>
      <c r="G3" s="42" t="s">
        <v>77</v>
      </c>
      <c r="H3" s="45">
        <v>1074.8</v>
      </c>
      <c r="I3" s="42" t="s">
        <v>126</v>
      </c>
      <c r="J3" s="21">
        <v>0</v>
      </c>
      <c r="K3" s="46">
        <v>1054</v>
      </c>
      <c r="L3" s="46">
        <v>1054</v>
      </c>
    </row>
    <row r="4" spans="1:12" hidden="1" x14ac:dyDescent="0.35">
      <c r="A4" s="41">
        <v>1800009073</v>
      </c>
      <c r="B4" s="42" t="s">
        <v>9</v>
      </c>
      <c r="C4" s="43">
        <v>45797</v>
      </c>
      <c r="D4" s="44">
        <v>256779413837</v>
      </c>
      <c r="E4" s="42" t="s">
        <v>76</v>
      </c>
      <c r="F4" s="45">
        <v>144.52000000000001</v>
      </c>
      <c r="G4" s="42" t="s">
        <v>77</v>
      </c>
      <c r="H4" s="45">
        <v>12426.36</v>
      </c>
      <c r="I4" s="42" t="s">
        <v>127</v>
      </c>
      <c r="J4" s="21">
        <v>0</v>
      </c>
      <c r="K4" s="46">
        <v>12177</v>
      </c>
      <c r="L4" s="46">
        <v>12177</v>
      </c>
    </row>
    <row r="5" spans="1:12" hidden="1" x14ac:dyDescent="0.35">
      <c r="A5" s="41">
        <v>1800005188</v>
      </c>
      <c r="B5" s="42" t="s">
        <v>9</v>
      </c>
      <c r="C5" s="43">
        <v>45750</v>
      </c>
      <c r="D5" s="44">
        <v>256779410134</v>
      </c>
      <c r="E5" s="42" t="s">
        <v>76</v>
      </c>
      <c r="F5" s="45">
        <v>7.5</v>
      </c>
      <c r="G5" s="42" t="s">
        <v>77</v>
      </c>
      <c r="H5" s="45">
        <v>651.91</v>
      </c>
      <c r="I5" s="42" t="s">
        <v>130</v>
      </c>
      <c r="J5" s="21">
        <v>0</v>
      </c>
      <c r="K5" s="46">
        <v>639</v>
      </c>
      <c r="L5" s="46">
        <v>639</v>
      </c>
    </row>
    <row r="6" spans="1:12" hidden="1" x14ac:dyDescent="0.35">
      <c r="A6" s="41">
        <v>1800005189</v>
      </c>
      <c r="B6" s="42" t="s">
        <v>9</v>
      </c>
      <c r="C6" s="43">
        <v>45750</v>
      </c>
      <c r="D6" s="44">
        <v>256779410135</v>
      </c>
      <c r="E6" s="42" t="s">
        <v>76</v>
      </c>
      <c r="F6" s="45">
        <v>3.75</v>
      </c>
      <c r="G6" s="42" t="s">
        <v>77</v>
      </c>
      <c r="H6" s="45">
        <v>325.95999999999998</v>
      </c>
      <c r="I6" s="42" t="s">
        <v>131</v>
      </c>
      <c r="J6" s="21">
        <v>0</v>
      </c>
      <c r="K6" s="46">
        <v>319</v>
      </c>
      <c r="L6" s="46">
        <v>319</v>
      </c>
    </row>
    <row r="7" spans="1:12" hidden="1" x14ac:dyDescent="0.35">
      <c r="A7" s="41">
        <v>1800005264</v>
      </c>
      <c r="B7" s="42" t="s">
        <v>9</v>
      </c>
      <c r="C7" s="43">
        <v>45750</v>
      </c>
      <c r="D7" s="44">
        <v>256779410156</v>
      </c>
      <c r="E7" s="42" t="s">
        <v>76</v>
      </c>
      <c r="F7" s="45">
        <v>58.75</v>
      </c>
      <c r="G7" s="42" t="s">
        <v>77</v>
      </c>
      <c r="H7" s="45">
        <v>5106.66</v>
      </c>
      <c r="I7" s="42" t="s">
        <v>132</v>
      </c>
      <c r="J7" s="21">
        <v>0</v>
      </c>
      <c r="K7" s="46">
        <v>4913</v>
      </c>
      <c r="L7" s="46">
        <v>4913</v>
      </c>
    </row>
    <row r="8" spans="1:12" hidden="1" x14ac:dyDescent="0.35">
      <c r="A8" s="41">
        <v>1800005265</v>
      </c>
      <c r="B8" s="42" t="s">
        <v>9</v>
      </c>
      <c r="C8" s="43">
        <v>45750</v>
      </c>
      <c r="D8" s="44">
        <v>256779410157</v>
      </c>
      <c r="E8" s="42" t="s">
        <v>76</v>
      </c>
      <c r="F8" s="45">
        <v>34.479999999999997</v>
      </c>
      <c r="G8" s="42" t="s">
        <v>77</v>
      </c>
      <c r="H8" s="45">
        <v>2997.06</v>
      </c>
      <c r="I8" s="42" t="s">
        <v>133</v>
      </c>
      <c r="J8" s="21">
        <v>0</v>
      </c>
      <c r="K8" s="46">
        <v>2883</v>
      </c>
      <c r="L8" s="46">
        <v>2883</v>
      </c>
    </row>
    <row r="9" spans="1:12" hidden="1" x14ac:dyDescent="0.35">
      <c r="A9" s="41">
        <v>1800005274</v>
      </c>
      <c r="B9" s="42" t="s">
        <v>9</v>
      </c>
      <c r="C9" s="43">
        <v>45750</v>
      </c>
      <c r="D9" s="44">
        <v>256779410166</v>
      </c>
      <c r="E9" s="42" t="s">
        <v>76</v>
      </c>
      <c r="F9" s="45">
        <v>152.75</v>
      </c>
      <c r="G9" s="42" t="s">
        <v>77</v>
      </c>
      <c r="H9" s="45">
        <v>13277.31</v>
      </c>
      <c r="I9" s="42" t="s">
        <v>130</v>
      </c>
      <c r="J9" s="21">
        <v>0</v>
      </c>
      <c r="K9" s="46">
        <v>13011</v>
      </c>
      <c r="L9" s="46">
        <v>13011</v>
      </c>
    </row>
    <row r="10" spans="1:12" hidden="1" x14ac:dyDescent="0.35">
      <c r="A10" s="41">
        <v>1800005282</v>
      </c>
      <c r="B10" s="42" t="s">
        <v>9</v>
      </c>
      <c r="C10" s="43">
        <v>45750</v>
      </c>
      <c r="D10" s="44">
        <v>256779410174</v>
      </c>
      <c r="E10" s="42" t="s">
        <v>76</v>
      </c>
      <c r="F10" s="45">
        <v>72.849999999999994</v>
      </c>
      <c r="G10" s="42" t="s">
        <v>77</v>
      </c>
      <c r="H10" s="45">
        <v>6332.25</v>
      </c>
      <c r="I10" s="42" t="s">
        <v>134</v>
      </c>
      <c r="J10" s="21">
        <v>0</v>
      </c>
      <c r="K10" s="46">
        <v>6205</v>
      </c>
      <c r="L10" s="46">
        <v>6205</v>
      </c>
    </row>
    <row r="11" spans="1:12" hidden="1" x14ac:dyDescent="0.35">
      <c r="A11" s="41">
        <v>1800005309</v>
      </c>
      <c r="B11" s="42" t="s">
        <v>9</v>
      </c>
      <c r="C11" s="43">
        <v>45750</v>
      </c>
      <c r="D11" s="44">
        <v>256779410201</v>
      </c>
      <c r="E11" s="42" t="s">
        <v>76</v>
      </c>
      <c r="F11" s="45">
        <v>34.479999999999997</v>
      </c>
      <c r="G11" s="42" t="s">
        <v>77</v>
      </c>
      <c r="H11" s="45">
        <v>2997.06</v>
      </c>
      <c r="I11" s="42" t="s">
        <v>135</v>
      </c>
      <c r="J11" s="21">
        <v>0</v>
      </c>
      <c r="K11" s="46">
        <v>2937</v>
      </c>
      <c r="L11" s="46">
        <v>2937</v>
      </c>
    </row>
    <row r="12" spans="1:12" hidden="1" x14ac:dyDescent="0.35">
      <c r="A12" s="41">
        <v>1800005058</v>
      </c>
      <c r="B12" s="42" t="s">
        <v>9</v>
      </c>
      <c r="C12" s="43">
        <v>45750</v>
      </c>
      <c r="D12" s="44">
        <v>256779410004</v>
      </c>
      <c r="E12" s="42" t="s">
        <v>76</v>
      </c>
      <c r="F12" s="45">
        <v>705</v>
      </c>
      <c r="G12" s="42" t="s">
        <v>77</v>
      </c>
      <c r="H12" s="45">
        <v>61279.88</v>
      </c>
      <c r="I12" s="42" t="s">
        <v>140</v>
      </c>
      <c r="J12" s="21">
        <v>0</v>
      </c>
      <c r="K12" s="46">
        <v>55272</v>
      </c>
      <c r="L12" s="46">
        <v>55272</v>
      </c>
    </row>
    <row r="13" spans="1:12" hidden="1" x14ac:dyDescent="0.35">
      <c r="A13" s="41">
        <v>1800005064</v>
      </c>
      <c r="B13" s="42" t="s">
        <v>9</v>
      </c>
      <c r="C13" s="43">
        <v>45750</v>
      </c>
      <c r="D13" s="44">
        <v>256779410010</v>
      </c>
      <c r="E13" s="42" t="s">
        <v>76</v>
      </c>
      <c r="F13" s="45">
        <v>1793.99</v>
      </c>
      <c r="G13" s="42" t="s">
        <v>77</v>
      </c>
      <c r="H13" s="45">
        <v>155936.88</v>
      </c>
      <c r="I13" s="42" t="s">
        <v>140</v>
      </c>
      <c r="J13" s="21">
        <v>0</v>
      </c>
      <c r="K13" s="46">
        <v>140649</v>
      </c>
      <c r="L13" s="46">
        <v>140649</v>
      </c>
    </row>
    <row r="14" spans="1:12" hidden="1" x14ac:dyDescent="0.35">
      <c r="A14" s="41">
        <v>1800005328</v>
      </c>
      <c r="B14" s="42" t="s">
        <v>9</v>
      </c>
      <c r="C14" s="43">
        <v>45750</v>
      </c>
      <c r="D14" s="44">
        <v>256779410220</v>
      </c>
      <c r="E14" s="42" t="s">
        <v>76</v>
      </c>
      <c r="F14" s="45">
        <v>1314.12</v>
      </c>
      <c r="G14" s="42" t="s">
        <v>77</v>
      </c>
      <c r="H14" s="45">
        <v>114225.7</v>
      </c>
      <c r="I14" s="42" t="s">
        <v>140</v>
      </c>
      <c r="J14" s="21">
        <v>0</v>
      </c>
      <c r="K14" s="46">
        <v>114223</v>
      </c>
      <c r="L14" s="46">
        <v>114223</v>
      </c>
    </row>
    <row r="15" spans="1:12" hidden="1" x14ac:dyDescent="0.35">
      <c r="A15" s="41">
        <v>1800007270</v>
      </c>
      <c r="B15" s="42" t="s">
        <v>9</v>
      </c>
      <c r="C15" s="43">
        <v>45768</v>
      </c>
      <c r="D15" s="44">
        <v>256779412161</v>
      </c>
      <c r="E15" s="42" t="s">
        <v>76</v>
      </c>
      <c r="F15" s="45">
        <v>456.75</v>
      </c>
      <c r="G15" s="42" t="s">
        <v>77</v>
      </c>
      <c r="H15" s="45">
        <v>39193.72</v>
      </c>
      <c r="I15" s="42" t="s">
        <v>150</v>
      </c>
      <c r="J15" s="21">
        <v>0</v>
      </c>
      <c r="K15" s="46">
        <v>34962</v>
      </c>
      <c r="L15" s="46">
        <v>34962</v>
      </c>
    </row>
    <row r="16" spans="1:12" hidden="1" x14ac:dyDescent="0.35">
      <c r="A16" s="41">
        <v>1800011187</v>
      </c>
      <c r="B16" s="42" t="s">
        <v>9</v>
      </c>
      <c r="C16" s="43">
        <v>45862</v>
      </c>
      <c r="D16" s="44">
        <v>256779415939</v>
      </c>
      <c r="E16" s="42" t="s">
        <v>76</v>
      </c>
      <c r="F16" s="45">
        <v>140</v>
      </c>
      <c r="G16" s="42" t="s">
        <v>77</v>
      </c>
      <c r="H16" s="45">
        <v>12040.09</v>
      </c>
      <c r="I16" s="42" t="s">
        <v>152</v>
      </c>
      <c r="J16" s="21">
        <v>0</v>
      </c>
      <c r="K16" s="46">
        <v>11782.0918</v>
      </c>
      <c r="L16" s="46">
        <v>11782.0918</v>
      </c>
    </row>
    <row r="17" spans="1:12" hidden="1" x14ac:dyDescent="0.35">
      <c r="A17" s="41">
        <v>1800008640</v>
      </c>
      <c r="B17" s="42" t="s">
        <v>9</v>
      </c>
      <c r="C17" s="43">
        <v>45798</v>
      </c>
      <c r="D17" s="44">
        <v>256779413404</v>
      </c>
      <c r="E17" s="42" t="s">
        <v>76</v>
      </c>
      <c r="F17" s="45">
        <v>84.6</v>
      </c>
      <c r="G17" s="42" t="s">
        <v>77</v>
      </c>
      <c r="H17" s="45">
        <v>7274.22</v>
      </c>
      <c r="I17" s="42" t="s">
        <v>157</v>
      </c>
      <c r="J17" s="21">
        <v>0</v>
      </c>
      <c r="K17" s="46">
        <v>7129</v>
      </c>
      <c r="L17" s="46">
        <v>7129</v>
      </c>
    </row>
    <row r="18" spans="1:12" hidden="1" x14ac:dyDescent="0.35">
      <c r="A18" s="41">
        <v>1800008641</v>
      </c>
      <c r="B18" s="42" t="s">
        <v>9</v>
      </c>
      <c r="C18" s="43">
        <v>45798</v>
      </c>
      <c r="D18" s="44">
        <v>256779413405</v>
      </c>
      <c r="E18" s="42" t="s">
        <v>76</v>
      </c>
      <c r="F18" s="45">
        <v>47</v>
      </c>
      <c r="G18" s="42" t="s">
        <v>77</v>
      </c>
      <c r="H18" s="45">
        <v>4041.23</v>
      </c>
      <c r="I18" s="42" t="s">
        <v>158</v>
      </c>
      <c r="J18" s="21">
        <v>0</v>
      </c>
      <c r="K18" s="46">
        <v>3960</v>
      </c>
      <c r="L18" s="46">
        <v>3960</v>
      </c>
    </row>
    <row r="19" spans="1:12" hidden="1" x14ac:dyDescent="0.35">
      <c r="A19" s="41">
        <v>1800008665</v>
      </c>
      <c r="B19" s="42" t="s">
        <v>9</v>
      </c>
      <c r="C19" s="43">
        <v>45798</v>
      </c>
      <c r="D19" s="44">
        <v>256779413429</v>
      </c>
      <c r="E19" s="42" t="s">
        <v>76</v>
      </c>
      <c r="F19" s="45">
        <v>7.05</v>
      </c>
      <c r="G19" s="42" t="s">
        <v>77</v>
      </c>
      <c r="H19" s="45">
        <v>606.19000000000005</v>
      </c>
      <c r="I19" s="42" t="s">
        <v>159</v>
      </c>
      <c r="J19" s="21">
        <v>0</v>
      </c>
      <c r="K19" s="46">
        <v>601</v>
      </c>
      <c r="L19" s="46">
        <v>601</v>
      </c>
    </row>
    <row r="20" spans="1:12" hidden="1" x14ac:dyDescent="0.35">
      <c r="A20" s="41">
        <v>1800008666</v>
      </c>
      <c r="B20" s="42" t="s">
        <v>9</v>
      </c>
      <c r="C20" s="43">
        <v>45798</v>
      </c>
      <c r="D20" s="44">
        <v>256779413430</v>
      </c>
      <c r="E20" s="42" t="s">
        <v>76</v>
      </c>
      <c r="F20" s="45">
        <v>14.1</v>
      </c>
      <c r="G20" s="42" t="s">
        <v>77</v>
      </c>
      <c r="H20" s="45">
        <v>1212.3699999999999</v>
      </c>
      <c r="I20" s="42" t="s">
        <v>160</v>
      </c>
      <c r="J20" s="21">
        <v>0</v>
      </c>
      <c r="K20" s="46">
        <v>1201</v>
      </c>
      <c r="L20" s="46">
        <v>1201</v>
      </c>
    </row>
    <row r="21" spans="1:12" hidden="1" x14ac:dyDescent="0.35">
      <c r="A21" s="41">
        <v>1800007886</v>
      </c>
      <c r="B21" s="42" t="s">
        <v>9</v>
      </c>
      <c r="C21" s="43">
        <v>45771</v>
      </c>
      <c r="D21" s="44">
        <v>256779412777</v>
      </c>
      <c r="E21" s="42" t="s">
        <v>76</v>
      </c>
      <c r="F21" s="45">
        <v>95.39</v>
      </c>
      <c r="G21" s="42" t="s">
        <v>77</v>
      </c>
      <c r="H21" s="45">
        <v>8291.4699999999993</v>
      </c>
      <c r="I21" s="42" t="s">
        <v>161</v>
      </c>
      <c r="J21" s="21">
        <v>0</v>
      </c>
      <c r="K21" s="46">
        <v>7981</v>
      </c>
      <c r="L21" s="46">
        <v>7981</v>
      </c>
    </row>
    <row r="22" spans="1:12" hidden="1" x14ac:dyDescent="0.35">
      <c r="A22" s="41">
        <v>1800009994</v>
      </c>
      <c r="B22" s="42" t="s">
        <v>9</v>
      </c>
      <c r="C22" s="43">
        <v>45826</v>
      </c>
      <c r="D22" s="44">
        <v>256779414758</v>
      </c>
      <c r="E22" s="42" t="s">
        <v>76</v>
      </c>
      <c r="F22" s="45">
        <v>173.9</v>
      </c>
      <c r="G22" s="42" t="s">
        <v>77</v>
      </c>
      <c r="H22" s="45">
        <v>14866.85</v>
      </c>
      <c r="I22" s="42" t="s">
        <v>163</v>
      </c>
      <c r="J22" s="21">
        <v>0</v>
      </c>
      <c r="K22" s="46">
        <v>14610.374299999999</v>
      </c>
      <c r="L22" s="46">
        <v>14610.374299999999</v>
      </c>
    </row>
    <row r="23" spans="1:12" hidden="1" x14ac:dyDescent="0.35">
      <c r="A23" s="41">
        <v>1800013945</v>
      </c>
      <c r="B23" s="42" t="s">
        <v>9</v>
      </c>
      <c r="C23" s="43">
        <v>45951</v>
      </c>
      <c r="D23" s="44">
        <v>256779418477</v>
      </c>
      <c r="E23" s="42" t="s">
        <v>76</v>
      </c>
      <c r="F23" s="45">
        <v>3.4</v>
      </c>
      <c r="G23" s="42" t="s">
        <v>77</v>
      </c>
      <c r="H23" s="45">
        <v>299.85000000000002</v>
      </c>
      <c r="I23" s="42" t="s">
        <v>165</v>
      </c>
      <c r="J23" s="21">
        <v>0</v>
      </c>
      <c r="K23" s="46">
        <v>299.84859999999998</v>
      </c>
      <c r="L23" s="46">
        <v>299.84859999999998</v>
      </c>
    </row>
    <row r="24" spans="1:12" x14ac:dyDescent="0.35">
      <c r="A24" s="41">
        <v>1800013962</v>
      </c>
      <c r="B24" s="42" t="s">
        <v>9</v>
      </c>
      <c r="C24" s="43">
        <v>45951</v>
      </c>
      <c r="D24" s="44">
        <v>256779418492</v>
      </c>
      <c r="E24" s="42" t="s">
        <v>76</v>
      </c>
      <c r="F24" s="45">
        <v>3.4</v>
      </c>
      <c r="G24" s="42" t="s">
        <v>77</v>
      </c>
      <c r="H24" s="45">
        <v>299.85000000000002</v>
      </c>
      <c r="I24" s="42" t="s">
        <v>165</v>
      </c>
      <c r="J24" s="21">
        <v>6</v>
      </c>
      <c r="K24" s="46">
        <v>306</v>
      </c>
      <c r="L24" s="46">
        <v>300</v>
      </c>
    </row>
    <row r="25" spans="1:12" hidden="1" x14ac:dyDescent="0.35">
      <c r="A25" s="41">
        <v>1800003133</v>
      </c>
      <c r="B25" s="42" t="s">
        <v>9</v>
      </c>
      <c r="C25" s="43">
        <v>45735</v>
      </c>
      <c r="D25" s="44">
        <v>246779413000</v>
      </c>
      <c r="E25" s="42" t="s">
        <v>76</v>
      </c>
      <c r="F25" s="45">
        <v>456.75</v>
      </c>
      <c r="G25" s="42" t="s">
        <v>77</v>
      </c>
      <c r="H25" s="45">
        <v>39596.230000000003</v>
      </c>
      <c r="I25" s="42" t="s">
        <v>167</v>
      </c>
      <c r="J25" s="21">
        <v>0</v>
      </c>
      <c r="K25" s="46">
        <v>35488</v>
      </c>
      <c r="L25" s="46">
        <v>35488</v>
      </c>
    </row>
    <row r="26" spans="1:12" hidden="1" x14ac:dyDescent="0.35">
      <c r="A26" s="41">
        <v>1800009979</v>
      </c>
      <c r="B26" s="42" t="s">
        <v>9</v>
      </c>
      <c r="C26" s="43">
        <v>45827</v>
      </c>
      <c r="D26" s="44">
        <v>256779414743</v>
      </c>
      <c r="E26" s="42" t="s">
        <v>76</v>
      </c>
      <c r="F26" s="45">
        <v>71.430000000000007</v>
      </c>
      <c r="G26" s="42" t="s">
        <v>77</v>
      </c>
      <c r="H26" s="45">
        <v>6106.61</v>
      </c>
      <c r="I26" s="42" t="s">
        <v>174</v>
      </c>
      <c r="J26" s="21">
        <v>0</v>
      </c>
      <c r="K26" s="46">
        <v>6064.0230000000001</v>
      </c>
      <c r="L26" s="46">
        <v>6064.0230000000001</v>
      </c>
    </row>
    <row r="27" spans="1:12" hidden="1" x14ac:dyDescent="0.35">
      <c r="A27" s="41">
        <v>1800009984</v>
      </c>
      <c r="B27" s="42" t="s">
        <v>9</v>
      </c>
      <c r="C27" s="43">
        <v>45827</v>
      </c>
      <c r="D27" s="44">
        <v>256779414748</v>
      </c>
      <c r="E27" s="42" t="s">
        <v>76</v>
      </c>
      <c r="F27" s="45">
        <v>20.91</v>
      </c>
      <c r="G27" s="42" t="s">
        <v>77</v>
      </c>
      <c r="H27" s="45">
        <v>1787.61</v>
      </c>
      <c r="I27" s="42" t="s">
        <v>175</v>
      </c>
      <c r="J27" s="21">
        <v>0</v>
      </c>
      <c r="K27" s="46">
        <v>1800.3510000000001</v>
      </c>
      <c r="L27" s="46">
        <v>1800.3510000000001</v>
      </c>
    </row>
    <row r="28" spans="1:12" hidden="1" x14ac:dyDescent="0.35">
      <c r="A28" s="41">
        <v>1800014964</v>
      </c>
      <c r="B28" s="42" t="s">
        <v>9</v>
      </c>
      <c r="C28" s="43">
        <v>45981</v>
      </c>
      <c r="D28" s="44">
        <v>256779419465</v>
      </c>
      <c r="E28" s="42" t="s">
        <v>76</v>
      </c>
      <c r="F28" s="45">
        <v>240.14</v>
      </c>
      <c r="G28" s="42" t="s">
        <v>77</v>
      </c>
      <c r="H28" s="45">
        <v>21133.13</v>
      </c>
      <c r="I28" s="42" t="s">
        <v>177</v>
      </c>
      <c r="J28" s="21">
        <v>0</v>
      </c>
      <c r="K28" s="46">
        <v>20693.117099999999</v>
      </c>
      <c r="L28" s="46">
        <v>20693.117099999999</v>
      </c>
    </row>
    <row r="29" spans="1:12" hidden="1" x14ac:dyDescent="0.35">
      <c r="A29" s="41">
        <v>1800014975</v>
      </c>
      <c r="B29" s="42" t="s">
        <v>9</v>
      </c>
      <c r="C29" s="43">
        <v>45981</v>
      </c>
      <c r="D29" s="44">
        <v>256779419476</v>
      </c>
      <c r="E29" s="42" t="s">
        <v>76</v>
      </c>
      <c r="F29" s="45">
        <v>162.27000000000001</v>
      </c>
      <c r="G29" s="42" t="s">
        <v>77</v>
      </c>
      <c r="H29" s="45">
        <v>14280.31</v>
      </c>
      <c r="I29" s="42" t="s">
        <v>178</v>
      </c>
      <c r="J29" s="21">
        <v>0</v>
      </c>
      <c r="K29" s="46">
        <v>14016.2999</v>
      </c>
      <c r="L29" s="46">
        <v>14016.2999</v>
      </c>
    </row>
    <row r="30" spans="1:12" hidden="1" x14ac:dyDescent="0.35">
      <c r="A30" s="41">
        <v>1800015033</v>
      </c>
      <c r="B30" s="42" t="s">
        <v>9</v>
      </c>
      <c r="C30" s="43">
        <v>45981</v>
      </c>
      <c r="D30" s="44">
        <v>256779419534</v>
      </c>
      <c r="E30" s="42" t="s">
        <v>76</v>
      </c>
      <c r="F30" s="45">
        <v>90.2</v>
      </c>
      <c r="G30" s="42" t="s">
        <v>77</v>
      </c>
      <c r="H30" s="45">
        <v>7937.91</v>
      </c>
      <c r="I30" s="42" t="s">
        <v>179</v>
      </c>
      <c r="J30" s="21">
        <v>0</v>
      </c>
      <c r="K30" s="46">
        <v>7761.8990000000003</v>
      </c>
      <c r="L30" s="46">
        <v>7761.8990000000003</v>
      </c>
    </row>
    <row r="31" spans="1:12" hidden="1" x14ac:dyDescent="0.35">
      <c r="A31" s="41">
        <v>1800015043</v>
      </c>
      <c r="B31" s="42" t="s">
        <v>9</v>
      </c>
      <c r="C31" s="43">
        <v>45981</v>
      </c>
      <c r="D31" s="44">
        <v>256779419556</v>
      </c>
      <c r="E31" s="42" t="s">
        <v>76</v>
      </c>
      <c r="F31" s="45">
        <v>502.5</v>
      </c>
      <c r="G31" s="42" t="s">
        <v>77</v>
      </c>
      <c r="H31" s="45">
        <v>44221.7</v>
      </c>
      <c r="I31" s="42" t="s">
        <v>181</v>
      </c>
      <c r="J31" s="21">
        <v>0</v>
      </c>
      <c r="K31" s="46">
        <v>39821.534</v>
      </c>
      <c r="L31" s="46">
        <v>39821.534</v>
      </c>
    </row>
    <row r="32" spans="1:12" hidden="1" x14ac:dyDescent="0.35">
      <c r="A32" s="41">
        <v>1800015096</v>
      </c>
      <c r="B32" s="42" t="s">
        <v>9</v>
      </c>
      <c r="C32" s="43">
        <v>45981</v>
      </c>
      <c r="D32" s="44">
        <v>256779419547</v>
      </c>
      <c r="E32" s="42" t="s">
        <v>76</v>
      </c>
      <c r="F32" s="45">
        <v>109.01</v>
      </c>
      <c r="G32" s="42" t="s">
        <v>77</v>
      </c>
      <c r="H32" s="45">
        <v>9593.25</v>
      </c>
      <c r="I32" s="42" t="s">
        <v>183</v>
      </c>
      <c r="J32" s="21">
        <v>0</v>
      </c>
      <c r="K32" s="46">
        <v>9417.2428</v>
      </c>
      <c r="L32" s="46">
        <v>9417.2428</v>
      </c>
    </row>
    <row r="33" spans="1:12" hidden="1" x14ac:dyDescent="0.35">
      <c r="A33" s="41">
        <v>1800015075</v>
      </c>
      <c r="B33" s="42" t="s">
        <v>9</v>
      </c>
      <c r="C33" s="43">
        <v>45981</v>
      </c>
      <c r="D33" s="44">
        <v>256779419588</v>
      </c>
      <c r="E33" s="42" t="s">
        <v>76</v>
      </c>
      <c r="F33" s="45">
        <v>339.2</v>
      </c>
      <c r="G33" s="42" t="s">
        <v>77</v>
      </c>
      <c r="H33" s="45">
        <v>29850.75</v>
      </c>
      <c r="I33" s="42" t="s">
        <v>185</v>
      </c>
      <c r="J33" s="21">
        <v>0</v>
      </c>
      <c r="K33" s="46">
        <v>29234.726200000001</v>
      </c>
      <c r="L33" s="46">
        <v>29234.726200000001</v>
      </c>
    </row>
    <row r="34" spans="1:12" hidden="1" x14ac:dyDescent="0.35">
      <c r="A34" s="41">
        <v>1800015129</v>
      </c>
      <c r="B34" s="42" t="s">
        <v>9</v>
      </c>
      <c r="C34" s="43">
        <v>45981</v>
      </c>
      <c r="D34" s="44">
        <v>256779419628</v>
      </c>
      <c r="E34" s="42" t="s">
        <v>76</v>
      </c>
      <c r="F34" s="45">
        <v>10.199999999999999</v>
      </c>
      <c r="G34" s="42" t="s">
        <v>77</v>
      </c>
      <c r="H34" s="45">
        <v>897.63</v>
      </c>
      <c r="I34" s="42" t="s">
        <v>187</v>
      </c>
      <c r="J34" s="21">
        <v>0</v>
      </c>
      <c r="K34" s="46">
        <v>897.63459999999998</v>
      </c>
      <c r="L34" s="46">
        <v>897.63459999999998</v>
      </c>
    </row>
    <row r="35" spans="1:12" hidden="1" x14ac:dyDescent="0.35">
      <c r="A35" s="41">
        <v>1800007570</v>
      </c>
      <c r="B35" s="42" t="s">
        <v>9</v>
      </c>
      <c r="C35" s="43">
        <v>45769</v>
      </c>
      <c r="D35" s="44">
        <v>256779412461</v>
      </c>
      <c r="E35" s="42" t="s">
        <v>76</v>
      </c>
      <c r="F35" s="45">
        <v>126.9</v>
      </c>
      <c r="G35" s="42" t="s">
        <v>77</v>
      </c>
      <c r="H35" s="45">
        <v>11030.38</v>
      </c>
      <c r="I35" s="42" t="s">
        <v>188</v>
      </c>
      <c r="J35" s="21">
        <v>0</v>
      </c>
      <c r="K35" s="46">
        <v>10809</v>
      </c>
      <c r="L35" s="46">
        <v>10809</v>
      </c>
    </row>
    <row r="36" spans="1:12" hidden="1" x14ac:dyDescent="0.35">
      <c r="A36" s="41">
        <v>1800007577</v>
      </c>
      <c r="B36" s="42" t="s">
        <v>9</v>
      </c>
      <c r="C36" s="43">
        <v>45769</v>
      </c>
      <c r="D36" s="44">
        <v>256779412468</v>
      </c>
      <c r="E36" s="42" t="s">
        <v>76</v>
      </c>
      <c r="F36" s="45">
        <v>169.2</v>
      </c>
      <c r="G36" s="42" t="s">
        <v>77</v>
      </c>
      <c r="H36" s="45">
        <v>14707.17</v>
      </c>
      <c r="I36" s="42" t="s">
        <v>188</v>
      </c>
      <c r="J36" s="21">
        <v>0</v>
      </c>
      <c r="K36" s="46">
        <v>14119</v>
      </c>
      <c r="L36" s="46">
        <v>14119</v>
      </c>
    </row>
    <row r="37" spans="1:12" hidden="1" x14ac:dyDescent="0.35">
      <c r="A37" s="41">
        <v>1800007722</v>
      </c>
      <c r="B37" s="42" t="s">
        <v>9</v>
      </c>
      <c r="C37" s="43">
        <v>45769</v>
      </c>
      <c r="D37" s="44">
        <v>256779412613</v>
      </c>
      <c r="E37" s="42" t="s">
        <v>76</v>
      </c>
      <c r="F37" s="45">
        <v>47</v>
      </c>
      <c r="G37" s="42" t="s">
        <v>77</v>
      </c>
      <c r="H37" s="45">
        <v>4085.33</v>
      </c>
      <c r="I37" s="42" t="s">
        <v>189</v>
      </c>
      <c r="J37" s="21">
        <v>0</v>
      </c>
      <c r="K37" s="46">
        <v>3922</v>
      </c>
      <c r="L37" s="46">
        <v>3922</v>
      </c>
    </row>
    <row r="38" spans="1:12" hidden="1" x14ac:dyDescent="0.35">
      <c r="A38" s="41">
        <v>1800007764</v>
      </c>
      <c r="B38" s="42" t="s">
        <v>9</v>
      </c>
      <c r="C38" s="43">
        <v>45769</v>
      </c>
      <c r="D38" s="44">
        <v>256779412655</v>
      </c>
      <c r="E38" s="42" t="s">
        <v>76</v>
      </c>
      <c r="F38" s="45">
        <v>25</v>
      </c>
      <c r="G38" s="42" t="s">
        <v>77</v>
      </c>
      <c r="H38" s="45">
        <v>2173.0500000000002</v>
      </c>
      <c r="I38" s="42" t="s">
        <v>190</v>
      </c>
      <c r="J38" s="21">
        <v>0</v>
      </c>
      <c r="K38" s="46">
        <v>2085</v>
      </c>
      <c r="L38" s="46">
        <v>2085</v>
      </c>
    </row>
    <row r="39" spans="1:12" hidden="1" x14ac:dyDescent="0.35">
      <c r="A39" s="41">
        <v>1800007784</v>
      </c>
      <c r="B39" s="42" t="s">
        <v>9</v>
      </c>
      <c r="C39" s="43">
        <v>45769</v>
      </c>
      <c r="D39" s="44">
        <v>256779412675</v>
      </c>
      <c r="E39" s="42" t="s">
        <v>76</v>
      </c>
      <c r="F39" s="45">
        <v>17.350000000000001</v>
      </c>
      <c r="G39" s="42" t="s">
        <v>77</v>
      </c>
      <c r="H39" s="45">
        <v>1508.09</v>
      </c>
      <c r="I39" s="42" t="s">
        <v>191</v>
      </c>
      <c r="J39" s="21">
        <v>0</v>
      </c>
      <c r="K39" s="46">
        <v>1447</v>
      </c>
      <c r="L39" s="46">
        <v>1447</v>
      </c>
    </row>
    <row r="40" spans="1:12" hidden="1" x14ac:dyDescent="0.35">
      <c r="A40" s="41">
        <v>1800007792</v>
      </c>
      <c r="B40" s="42" t="s">
        <v>9</v>
      </c>
      <c r="C40" s="43">
        <v>45769</v>
      </c>
      <c r="D40" s="44">
        <v>256779412683</v>
      </c>
      <c r="E40" s="42" t="s">
        <v>76</v>
      </c>
      <c r="F40" s="45">
        <v>517.64</v>
      </c>
      <c r="G40" s="42" t="s">
        <v>77</v>
      </c>
      <c r="H40" s="45">
        <v>44994.21</v>
      </c>
      <c r="I40" s="42" t="s">
        <v>190</v>
      </c>
      <c r="J40" s="21">
        <v>0</v>
      </c>
      <c r="K40" s="46">
        <v>43195</v>
      </c>
      <c r="L40" s="46">
        <v>43195</v>
      </c>
    </row>
    <row r="41" spans="1:12" hidden="1" x14ac:dyDescent="0.35">
      <c r="A41" s="41">
        <v>1800012845</v>
      </c>
      <c r="B41" s="42" t="s">
        <v>9</v>
      </c>
      <c r="C41" s="43">
        <v>45918</v>
      </c>
      <c r="D41" s="44">
        <v>256779417410</v>
      </c>
      <c r="E41" s="42" t="s">
        <v>76</v>
      </c>
      <c r="F41" s="45">
        <v>371.84</v>
      </c>
      <c r="G41" s="42" t="s">
        <v>77</v>
      </c>
      <c r="H41" s="45">
        <v>32541.33</v>
      </c>
      <c r="I41" s="42" t="s">
        <v>194</v>
      </c>
      <c r="J41" s="21">
        <v>0</v>
      </c>
      <c r="K41" s="46">
        <v>29303.298299999999</v>
      </c>
      <c r="L41" s="46">
        <v>29303.298299999999</v>
      </c>
    </row>
    <row r="42" spans="1:12" hidden="1" x14ac:dyDescent="0.35">
      <c r="A42" s="41">
        <v>1800012871</v>
      </c>
      <c r="B42" s="42" t="s">
        <v>9</v>
      </c>
      <c r="C42" s="43">
        <v>45918</v>
      </c>
      <c r="D42" s="44">
        <v>256779417489</v>
      </c>
      <c r="E42" s="42" t="s">
        <v>76</v>
      </c>
      <c r="F42" s="45">
        <v>533.91999999999996</v>
      </c>
      <c r="G42" s="42" t="s">
        <v>77</v>
      </c>
      <c r="H42" s="45">
        <v>46725.65</v>
      </c>
      <c r="I42" s="42" t="s">
        <v>196</v>
      </c>
      <c r="J42" s="21">
        <v>0</v>
      </c>
      <c r="K42" s="46">
        <v>42087.391600000003</v>
      </c>
      <c r="L42" s="46">
        <v>42087.391600000003</v>
      </c>
    </row>
    <row r="43" spans="1:12" hidden="1" x14ac:dyDescent="0.35">
      <c r="A43" s="41">
        <v>1800012990</v>
      </c>
      <c r="B43" s="42" t="s">
        <v>9</v>
      </c>
      <c r="C43" s="43">
        <v>45918</v>
      </c>
      <c r="D43" s="44">
        <v>256779417525</v>
      </c>
      <c r="E43" s="42" t="s">
        <v>76</v>
      </c>
      <c r="F43" s="45">
        <v>311.37</v>
      </c>
      <c r="G43" s="42" t="s">
        <v>77</v>
      </c>
      <c r="H43" s="45">
        <v>27249.34</v>
      </c>
      <c r="I43" s="42" t="s">
        <v>198</v>
      </c>
      <c r="J43" s="21">
        <v>0</v>
      </c>
      <c r="K43" s="46">
        <v>26724.251</v>
      </c>
      <c r="L43" s="46">
        <v>26724.251</v>
      </c>
    </row>
    <row r="44" spans="1:12" hidden="1" x14ac:dyDescent="0.35">
      <c r="A44" s="41">
        <v>1800012927</v>
      </c>
      <c r="B44" s="42" t="s">
        <v>9</v>
      </c>
      <c r="C44" s="43">
        <v>45918</v>
      </c>
      <c r="D44" s="44">
        <v>256779417566</v>
      </c>
      <c r="E44" s="42" t="s">
        <v>76</v>
      </c>
      <c r="F44" s="45">
        <v>75.5</v>
      </c>
      <c r="G44" s="42" t="s">
        <v>77</v>
      </c>
      <c r="H44" s="45">
        <v>6607.33</v>
      </c>
      <c r="I44" s="42" t="s">
        <v>200</v>
      </c>
      <c r="J44" s="21">
        <v>0</v>
      </c>
      <c r="K44" s="46">
        <v>6432.3032999999996</v>
      </c>
      <c r="L44" s="46">
        <v>6432.3032999999996</v>
      </c>
    </row>
    <row r="45" spans="1:12" hidden="1" x14ac:dyDescent="0.35">
      <c r="A45" s="41">
        <v>1800012943</v>
      </c>
      <c r="B45" s="42" t="s">
        <v>9</v>
      </c>
      <c r="C45" s="43">
        <v>45918</v>
      </c>
      <c r="D45" s="44">
        <v>256779417582</v>
      </c>
      <c r="E45" s="42" t="s">
        <v>76</v>
      </c>
      <c r="F45" s="45">
        <v>80.8</v>
      </c>
      <c r="G45" s="42" t="s">
        <v>77</v>
      </c>
      <c r="H45" s="45">
        <v>7071.16</v>
      </c>
      <c r="I45" s="42" t="s">
        <v>202</v>
      </c>
      <c r="J45" s="21">
        <v>0</v>
      </c>
      <c r="K45" s="46">
        <v>6896.1292000000003</v>
      </c>
      <c r="L45" s="46">
        <v>6896.1292000000003</v>
      </c>
    </row>
    <row r="46" spans="1:12" hidden="1" x14ac:dyDescent="0.35">
      <c r="A46" s="41">
        <v>1800015346</v>
      </c>
      <c r="B46" s="42" t="s">
        <v>9</v>
      </c>
      <c r="C46" s="43">
        <v>45996</v>
      </c>
      <c r="D46" s="44">
        <v>256779419795</v>
      </c>
      <c r="E46" s="42" t="s">
        <v>76</v>
      </c>
      <c r="F46" s="45">
        <v>356.26</v>
      </c>
      <c r="G46" s="42" t="s">
        <v>77</v>
      </c>
      <c r="H46" s="45">
        <v>31600.31</v>
      </c>
      <c r="I46" s="42" t="s">
        <v>205</v>
      </c>
      <c r="J46" s="21">
        <v>0</v>
      </c>
      <c r="K46" s="46">
        <v>28407.106800000001</v>
      </c>
      <c r="L46" s="46">
        <v>28407.106800000001</v>
      </c>
    </row>
    <row r="47" spans="1:12" hidden="1" x14ac:dyDescent="0.35">
      <c r="A47" s="41">
        <v>1800015287</v>
      </c>
      <c r="B47" s="42" t="s">
        <v>9</v>
      </c>
      <c r="C47" s="43">
        <v>45996</v>
      </c>
      <c r="D47" s="44">
        <v>256779419916</v>
      </c>
      <c r="E47" s="42" t="s">
        <v>76</v>
      </c>
      <c r="F47" s="45">
        <v>128.31</v>
      </c>
      <c r="G47" s="42" t="s">
        <v>77</v>
      </c>
      <c r="H47" s="45">
        <v>11381.11</v>
      </c>
      <c r="I47" s="42" t="s">
        <v>207</v>
      </c>
      <c r="J47" s="21">
        <v>0</v>
      </c>
      <c r="K47" s="46">
        <v>11115.014499999999</v>
      </c>
      <c r="L47" s="46">
        <v>11115.014499999999</v>
      </c>
    </row>
    <row r="48" spans="1:12" hidden="1" x14ac:dyDescent="0.35">
      <c r="A48" s="41">
        <v>1800008035</v>
      </c>
      <c r="B48" s="42" t="s">
        <v>9</v>
      </c>
      <c r="C48" s="43">
        <v>45770</v>
      </c>
      <c r="D48" s="44">
        <v>256779412926</v>
      </c>
      <c r="E48" s="42" t="s">
        <v>76</v>
      </c>
      <c r="F48" s="45">
        <v>22.5</v>
      </c>
      <c r="G48" s="42" t="s">
        <v>77</v>
      </c>
      <c r="H48" s="45">
        <v>1955.74</v>
      </c>
      <c r="I48" s="42" t="s">
        <v>210</v>
      </c>
      <c r="J48" s="21">
        <v>0</v>
      </c>
      <c r="K48" s="46">
        <v>1878</v>
      </c>
      <c r="L48" s="46">
        <v>1878</v>
      </c>
    </row>
    <row r="49" spans="1:12" hidden="1" x14ac:dyDescent="0.35">
      <c r="A49" s="41">
        <v>1800008050</v>
      </c>
      <c r="B49" s="42" t="s">
        <v>9</v>
      </c>
      <c r="C49" s="43">
        <v>45770</v>
      </c>
      <c r="D49" s="44">
        <v>256779412941</v>
      </c>
      <c r="E49" s="42" t="s">
        <v>76</v>
      </c>
      <c r="F49" s="45">
        <v>321.75</v>
      </c>
      <c r="G49" s="42" t="s">
        <v>77</v>
      </c>
      <c r="H49" s="45">
        <v>27967.1</v>
      </c>
      <c r="I49" s="42" t="s">
        <v>211</v>
      </c>
      <c r="J49" s="21">
        <v>0</v>
      </c>
      <c r="K49" s="46">
        <v>27408</v>
      </c>
      <c r="L49" s="46">
        <v>27408</v>
      </c>
    </row>
    <row r="50" spans="1:12" hidden="1" x14ac:dyDescent="0.35">
      <c r="A50" s="41">
        <v>1800008059</v>
      </c>
      <c r="B50" s="42" t="s">
        <v>9</v>
      </c>
      <c r="C50" s="43">
        <v>45770</v>
      </c>
      <c r="D50" s="44">
        <v>256779412950</v>
      </c>
      <c r="E50" s="42" t="s">
        <v>76</v>
      </c>
      <c r="F50" s="45">
        <v>155.1</v>
      </c>
      <c r="G50" s="42" t="s">
        <v>77</v>
      </c>
      <c r="H50" s="45">
        <v>13481.57</v>
      </c>
      <c r="I50" s="42" t="s">
        <v>210</v>
      </c>
      <c r="J50" s="21">
        <v>0</v>
      </c>
      <c r="K50" s="46">
        <v>13211</v>
      </c>
      <c r="L50" s="46">
        <v>13211</v>
      </c>
    </row>
    <row r="51" spans="1:12" hidden="1" x14ac:dyDescent="0.35">
      <c r="A51" s="41">
        <v>1800007801</v>
      </c>
      <c r="B51" s="42" t="s">
        <v>9</v>
      </c>
      <c r="C51" s="43">
        <v>45770</v>
      </c>
      <c r="D51" s="44">
        <v>256779412692</v>
      </c>
      <c r="E51" s="42" t="s">
        <v>76</v>
      </c>
      <c r="F51" s="45">
        <v>70</v>
      </c>
      <c r="G51" s="42" t="s">
        <v>77</v>
      </c>
      <c r="H51" s="45">
        <v>6084.53</v>
      </c>
      <c r="I51" s="42" t="s">
        <v>212</v>
      </c>
      <c r="J51" s="21">
        <v>0</v>
      </c>
      <c r="K51" s="46">
        <v>6084</v>
      </c>
      <c r="L51" s="46">
        <v>6084</v>
      </c>
    </row>
    <row r="52" spans="1:12" hidden="1" x14ac:dyDescent="0.35">
      <c r="A52" s="41">
        <v>1800000353</v>
      </c>
      <c r="B52" s="42" t="s">
        <v>9</v>
      </c>
      <c r="C52" s="43">
        <v>45709</v>
      </c>
      <c r="D52" s="44">
        <v>246779410327</v>
      </c>
      <c r="E52" s="42" t="s">
        <v>76</v>
      </c>
      <c r="F52" s="45">
        <v>211.97</v>
      </c>
      <c r="G52" s="42" t="s">
        <v>77</v>
      </c>
      <c r="H52" s="45">
        <v>18293.79</v>
      </c>
      <c r="I52" s="42" t="s">
        <v>214</v>
      </c>
      <c r="J52" s="21">
        <v>0</v>
      </c>
      <c r="K52" s="46">
        <v>16480.710999999999</v>
      </c>
      <c r="L52" s="46">
        <v>16480.710999999999</v>
      </c>
    </row>
    <row r="53" spans="1:12" hidden="1" x14ac:dyDescent="0.35">
      <c r="A53" s="41">
        <v>1800004449</v>
      </c>
      <c r="B53" s="42" t="s">
        <v>9</v>
      </c>
      <c r="C53" s="43">
        <v>45737</v>
      </c>
      <c r="D53" s="44">
        <v>246779414317</v>
      </c>
      <c r="E53" s="42" t="s">
        <v>76</v>
      </c>
      <c r="F53" s="45">
        <v>25</v>
      </c>
      <c r="G53" s="42" t="s">
        <v>77</v>
      </c>
      <c r="H53" s="45">
        <v>2167.2800000000002</v>
      </c>
      <c r="I53" s="42" t="s">
        <v>215</v>
      </c>
      <c r="J53" s="21">
        <v>0</v>
      </c>
      <c r="K53" s="46">
        <v>1907</v>
      </c>
      <c r="L53" s="46">
        <v>1907</v>
      </c>
    </row>
    <row r="54" spans="1:12" x14ac:dyDescent="0.35">
      <c r="A54" s="41">
        <v>1800013487</v>
      </c>
      <c r="B54" s="42" t="s">
        <v>9</v>
      </c>
      <c r="C54" s="43">
        <v>45938</v>
      </c>
      <c r="D54" s="44">
        <v>256779418103</v>
      </c>
      <c r="E54" s="42" t="s">
        <v>76</v>
      </c>
      <c r="F54" s="45">
        <v>11.26</v>
      </c>
      <c r="G54" s="42" t="s">
        <v>77</v>
      </c>
      <c r="H54" s="45">
        <v>993.03</v>
      </c>
      <c r="I54" s="42" t="s">
        <v>217</v>
      </c>
      <c r="J54" s="21">
        <v>980</v>
      </c>
      <c r="K54" s="46">
        <v>47157.936999999998</v>
      </c>
      <c r="L54" s="46">
        <v>46177.936999999998</v>
      </c>
    </row>
    <row r="55" spans="1:12" x14ac:dyDescent="0.35">
      <c r="A55" s="41">
        <v>1800013747</v>
      </c>
      <c r="B55" s="42" t="s">
        <v>9</v>
      </c>
      <c r="C55" s="43">
        <v>45937</v>
      </c>
      <c r="D55" s="44">
        <v>256779418168</v>
      </c>
      <c r="E55" s="42" t="s">
        <v>76</v>
      </c>
      <c r="F55" s="45">
        <v>70</v>
      </c>
      <c r="G55" s="42" t="s">
        <v>77</v>
      </c>
      <c r="H55" s="45">
        <v>6173.35</v>
      </c>
      <c r="I55" s="42" t="s">
        <v>221</v>
      </c>
      <c r="J55" s="21">
        <v>88</v>
      </c>
      <c r="K55" s="46">
        <v>6173.1630999999998</v>
      </c>
      <c r="L55" s="46">
        <v>6085.1630999999998</v>
      </c>
    </row>
    <row r="56" spans="1:12" hidden="1" x14ac:dyDescent="0.35">
      <c r="A56" s="41">
        <v>1800011011</v>
      </c>
      <c r="B56" s="42" t="s">
        <v>9</v>
      </c>
      <c r="C56" s="43">
        <v>45857</v>
      </c>
      <c r="D56" s="44">
        <v>256779415771</v>
      </c>
      <c r="E56" s="42" t="s">
        <v>76</v>
      </c>
      <c r="F56" s="45">
        <v>30.76</v>
      </c>
      <c r="G56" s="42" t="s">
        <v>77</v>
      </c>
      <c r="H56" s="45">
        <v>2645.38</v>
      </c>
      <c r="I56" s="42" t="s">
        <v>223</v>
      </c>
      <c r="J56" s="21">
        <v>0</v>
      </c>
      <c r="K56" s="46">
        <v>2559.3798999999999</v>
      </c>
      <c r="L56" s="46">
        <v>2559.3798999999999</v>
      </c>
    </row>
    <row r="57" spans="1:12" hidden="1" x14ac:dyDescent="0.35">
      <c r="A57" s="41">
        <v>1800008243</v>
      </c>
      <c r="B57" s="42" t="s">
        <v>9</v>
      </c>
      <c r="C57" s="43">
        <v>45787</v>
      </c>
      <c r="D57" s="44">
        <v>256779413127</v>
      </c>
      <c r="E57" s="42" t="s">
        <v>76</v>
      </c>
      <c r="F57" s="45">
        <v>456.75</v>
      </c>
      <c r="G57" s="42" t="s">
        <v>77</v>
      </c>
      <c r="H57" s="45">
        <v>39273.050000000003</v>
      </c>
      <c r="I57" s="42" t="s">
        <v>224</v>
      </c>
      <c r="J57" s="21">
        <v>0</v>
      </c>
      <c r="K57" s="46">
        <v>35097</v>
      </c>
      <c r="L57" s="46">
        <v>35097</v>
      </c>
    </row>
    <row r="58" spans="1:12" hidden="1" x14ac:dyDescent="0.35">
      <c r="A58" s="41">
        <v>1800008280</v>
      </c>
      <c r="B58" s="42" t="s">
        <v>9</v>
      </c>
      <c r="C58" s="43">
        <v>45787</v>
      </c>
      <c r="D58" s="44">
        <v>256779413163</v>
      </c>
      <c r="E58" s="42" t="s">
        <v>76</v>
      </c>
      <c r="F58" s="45">
        <v>190.35</v>
      </c>
      <c r="G58" s="42" t="s">
        <v>77</v>
      </c>
      <c r="H58" s="45">
        <v>16367</v>
      </c>
      <c r="I58" s="42" t="s">
        <v>225</v>
      </c>
      <c r="J58" s="21">
        <v>0</v>
      </c>
      <c r="K58" s="46">
        <v>15927</v>
      </c>
      <c r="L58" s="46">
        <v>15927</v>
      </c>
    </row>
    <row r="59" spans="1:12" hidden="1" x14ac:dyDescent="0.35">
      <c r="A59" s="41">
        <v>1800008289</v>
      </c>
      <c r="B59" s="42" t="s">
        <v>9</v>
      </c>
      <c r="C59" s="43">
        <v>45787</v>
      </c>
      <c r="D59" s="44">
        <v>256779413172</v>
      </c>
      <c r="E59" s="42" t="s">
        <v>76</v>
      </c>
      <c r="F59" s="45">
        <v>138.65</v>
      </c>
      <c r="G59" s="42" t="s">
        <v>77</v>
      </c>
      <c r="H59" s="45">
        <v>11921.64</v>
      </c>
      <c r="I59" s="42" t="s">
        <v>226</v>
      </c>
      <c r="J59" s="21">
        <v>0</v>
      </c>
      <c r="K59" s="46">
        <v>11810</v>
      </c>
      <c r="L59" s="46">
        <v>11810</v>
      </c>
    </row>
    <row r="60" spans="1:12" hidden="1" x14ac:dyDescent="0.35">
      <c r="A60" s="41">
        <v>1800008301</v>
      </c>
      <c r="B60" s="42" t="s">
        <v>9</v>
      </c>
      <c r="C60" s="43">
        <v>45787</v>
      </c>
      <c r="D60" s="44">
        <v>256779413184</v>
      </c>
      <c r="E60" s="42" t="s">
        <v>76</v>
      </c>
      <c r="F60" s="45">
        <v>151.34</v>
      </c>
      <c r="G60" s="42" t="s">
        <v>77</v>
      </c>
      <c r="H60" s="45">
        <v>13012.77</v>
      </c>
      <c r="I60" s="42" t="s">
        <v>227</v>
      </c>
      <c r="J60" s="21">
        <v>0</v>
      </c>
      <c r="K60" s="46">
        <v>11723.0177</v>
      </c>
      <c r="L60" s="46">
        <v>11723.0177</v>
      </c>
    </row>
    <row r="61" spans="1:12" hidden="1" x14ac:dyDescent="0.35">
      <c r="A61" s="41">
        <v>1800008360</v>
      </c>
      <c r="B61" s="42" t="s">
        <v>9</v>
      </c>
      <c r="C61" s="43">
        <v>45787</v>
      </c>
      <c r="D61" s="44">
        <v>256779413243</v>
      </c>
      <c r="E61" s="42" t="s">
        <v>76</v>
      </c>
      <c r="F61" s="45">
        <v>42.53</v>
      </c>
      <c r="G61" s="42" t="s">
        <v>77</v>
      </c>
      <c r="H61" s="45">
        <v>3656.89</v>
      </c>
      <c r="I61" s="42" t="s">
        <v>228</v>
      </c>
      <c r="J61" s="21">
        <v>0</v>
      </c>
      <c r="K61" s="46">
        <v>3623</v>
      </c>
      <c r="L61" s="46">
        <v>3623</v>
      </c>
    </row>
    <row r="62" spans="1:12" hidden="1" x14ac:dyDescent="0.35">
      <c r="A62" s="41">
        <v>1800015437</v>
      </c>
      <c r="B62" s="42" t="s">
        <v>9</v>
      </c>
      <c r="C62" s="43">
        <v>45997</v>
      </c>
      <c r="D62" s="44">
        <v>256779419933</v>
      </c>
      <c r="E62" s="42" t="s">
        <v>76</v>
      </c>
      <c r="F62" s="45">
        <v>131.26</v>
      </c>
      <c r="G62" s="42" t="s">
        <v>77</v>
      </c>
      <c r="H62" s="45">
        <v>11642.78</v>
      </c>
      <c r="I62" s="42" t="s">
        <v>230</v>
      </c>
      <c r="J62" s="21">
        <v>0</v>
      </c>
      <c r="K62" s="46">
        <v>10489.678599999999</v>
      </c>
      <c r="L62" s="46">
        <v>10489.678599999999</v>
      </c>
    </row>
    <row r="63" spans="1:12" x14ac:dyDescent="0.35">
      <c r="A63" s="41">
        <v>1800014004</v>
      </c>
      <c r="B63" s="42" t="s">
        <v>9</v>
      </c>
      <c r="C63" s="43">
        <v>45948</v>
      </c>
      <c r="D63" s="44">
        <v>256779418428</v>
      </c>
      <c r="E63" s="42" t="s">
        <v>76</v>
      </c>
      <c r="F63" s="45">
        <v>32.9</v>
      </c>
      <c r="G63" s="42" t="s">
        <v>77</v>
      </c>
      <c r="H63" s="45">
        <v>2901.48</v>
      </c>
      <c r="I63" s="42" t="s">
        <v>234</v>
      </c>
      <c r="J63" s="21">
        <v>88</v>
      </c>
      <c r="K63" s="46">
        <v>2901.2856000000002</v>
      </c>
      <c r="L63" s="46">
        <v>2813.2856000000002</v>
      </c>
    </row>
    <row r="64" spans="1:12" x14ac:dyDescent="0.35">
      <c r="A64" s="41">
        <v>1800014145</v>
      </c>
      <c r="B64" s="42" t="s">
        <v>9</v>
      </c>
      <c r="C64" s="43">
        <v>45948</v>
      </c>
      <c r="D64" s="44">
        <v>256779418437</v>
      </c>
      <c r="E64" s="42" t="s">
        <v>76</v>
      </c>
      <c r="F64" s="45">
        <v>79.900000000000006</v>
      </c>
      <c r="G64" s="42" t="s">
        <v>77</v>
      </c>
      <c r="H64" s="45">
        <v>7046.44</v>
      </c>
      <c r="I64" s="42" t="s">
        <v>236</v>
      </c>
      <c r="J64" s="21">
        <v>176</v>
      </c>
      <c r="K64" s="46">
        <v>7046.0609999999997</v>
      </c>
      <c r="L64" s="46">
        <v>6870.0609999999997</v>
      </c>
    </row>
    <row r="65" spans="1:12" hidden="1" x14ac:dyDescent="0.35">
      <c r="A65" s="41">
        <v>1800009478</v>
      </c>
      <c r="B65" s="42" t="s">
        <v>9</v>
      </c>
      <c r="C65" s="43">
        <v>45815</v>
      </c>
      <c r="D65" s="44">
        <v>256779414242</v>
      </c>
      <c r="E65" s="42" t="s">
        <v>76</v>
      </c>
      <c r="F65" s="45">
        <v>4585.18</v>
      </c>
      <c r="G65" s="42" t="s">
        <v>77</v>
      </c>
      <c r="H65" s="45">
        <v>391990.61</v>
      </c>
      <c r="I65" s="42" t="s">
        <v>237</v>
      </c>
      <c r="J65" s="21">
        <v>0</v>
      </c>
      <c r="K65" s="46">
        <v>352792</v>
      </c>
      <c r="L65" s="46">
        <v>352792</v>
      </c>
    </row>
    <row r="66" spans="1:12" hidden="1" x14ac:dyDescent="0.35">
      <c r="A66" s="41">
        <v>1800013274</v>
      </c>
      <c r="B66" s="42" t="s">
        <v>9</v>
      </c>
      <c r="C66" s="43">
        <v>45936</v>
      </c>
      <c r="D66" s="44">
        <v>256779418010</v>
      </c>
      <c r="E66" s="42" t="s">
        <v>76</v>
      </c>
      <c r="F66" s="45">
        <v>8566.5</v>
      </c>
      <c r="G66" s="42" t="s">
        <v>77</v>
      </c>
      <c r="H66" s="45">
        <v>755486.23</v>
      </c>
      <c r="I66" s="42" t="s">
        <v>239</v>
      </c>
      <c r="J66" s="21">
        <v>0</v>
      </c>
      <c r="K66" s="46">
        <v>679906.74129999999</v>
      </c>
      <c r="L66" s="46">
        <v>679906.74129999999</v>
      </c>
    </row>
    <row r="67" spans="1:12" hidden="1" x14ac:dyDescent="0.35">
      <c r="A67" s="41">
        <v>1800013343</v>
      </c>
      <c r="B67" s="42" t="s">
        <v>9</v>
      </c>
      <c r="C67" s="43">
        <v>45935</v>
      </c>
      <c r="D67" s="44">
        <v>256779417939</v>
      </c>
      <c r="E67" s="42" t="s">
        <v>76</v>
      </c>
      <c r="F67" s="45">
        <v>445.35</v>
      </c>
      <c r="G67" s="42" t="s">
        <v>77</v>
      </c>
      <c r="H67" s="45">
        <v>39275.760000000002</v>
      </c>
      <c r="I67" s="42" t="s">
        <v>240</v>
      </c>
      <c r="J67" s="21">
        <v>0</v>
      </c>
      <c r="K67" s="46">
        <v>38482.042500000003</v>
      </c>
      <c r="L67" s="46">
        <v>38482.042500000003</v>
      </c>
    </row>
    <row r="68" spans="1:12" x14ac:dyDescent="0.35">
      <c r="A68" s="41">
        <v>1800013382</v>
      </c>
      <c r="B68" s="42" t="s">
        <v>9</v>
      </c>
      <c r="C68" s="43">
        <v>45935</v>
      </c>
      <c r="D68" s="44">
        <v>256779417978</v>
      </c>
      <c r="E68" s="42" t="s">
        <v>76</v>
      </c>
      <c r="F68" s="45">
        <v>582.79999999999995</v>
      </c>
      <c r="G68" s="42" t="s">
        <v>77</v>
      </c>
      <c r="H68" s="45">
        <v>51397.58</v>
      </c>
      <c r="I68" s="42" t="s">
        <v>242</v>
      </c>
      <c r="J68" s="21">
        <v>1058</v>
      </c>
      <c r="K68" s="46">
        <v>51397.291499999999</v>
      </c>
      <c r="L68" s="46">
        <v>50339.291499999999</v>
      </c>
    </row>
    <row r="69" spans="1:12" hidden="1" x14ac:dyDescent="0.35">
      <c r="A69" s="41">
        <v>1800013460</v>
      </c>
      <c r="B69" s="42" t="s">
        <v>9</v>
      </c>
      <c r="C69" s="43">
        <v>45935</v>
      </c>
      <c r="D69" s="44">
        <v>256779418036</v>
      </c>
      <c r="E69" s="42" t="s">
        <v>76</v>
      </c>
      <c r="F69" s="45">
        <v>456.75</v>
      </c>
      <c r="G69" s="42" t="s">
        <v>77</v>
      </c>
      <c r="H69" s="45">
        <v>40281.129999999997</v>
      </c>
      <c r="I69" s="42" t="s">
        <v>244</v>
      </c>
      <c r="J69" s="21">
        <v>0</v>
      </c>
      <c r="K69" s="46">
        <v>36224.358800000002</v>
      </c>
      <c r="L69" s="46">
        <v>36224.358800000002</v>
      </c>
    </row>
    <row r="70" spans="1:12" x14ac:dyDescent="0.35">
      <c r="A70" s="41">
        <v>1800013478</v>
      </c>
      <c r="B70" s="42" t="s">
        <v>9</v>
      </c>
      <c r="C70" s="43">
        <v>45935</v>
      </c>
      <c r="D70" s="44">
        <v>256779418094</v>
      </c>
      <c r="E70" s="42" t="s">
        <v>76</v>
      </c>
      <c r="F70" s="45">
        <v>771.74</v>
      </c>
      <c r="G70" s="42" t="s">
        <v>77</v>
      </c>
      <c r="H70" s="45">
        <v>68060.34</v>
      </c>
      <c r="I70" s="42" t="s">
        <v>246</v>
      </c>
      <c r="J70" s="21">
        <v>6791</v>
      </c>
      <c r="K70" s="46">
        <v>68060.655499999993</v>
      </c>
      <c r="L70" s="46">
        <v>61269.655499999993</v>
      </c>
    </row>
    <row r="71" spans="1:12" hidden="1" x14ac:dyDescent="0.35">
      <c r="A71" s="41">
        <v>1800012476</v>
      </c>
      <c r="B71" s="42" t="s">
        <v>9</v>
      </c>
      <c r="C71" s="43">
        <v>45906</v>
      </c>
      <c r="D71" s="44">
        <v>256779417084</v>
      </c>
      <c r="E71" s="42" t="s">
        <v>76</v>
      </c>
      <c r="F71" s="45">
        <v>8832.14</v>
      </c>
      <c r="G71" s="42" t="s">
        <v>77</v>
      </c>
      <c r="H71" s="45">
        <v>772938.81</v>
      </c>
      <c r="I71" s="42" t="s">
        <v>250</v>
      </c>
      <c r="J71" s="21">
        <v>0</v>
      </c>
      <c r="K71" s="46">
        <v>695663.66119999997</v>
      </c>
      <c r="L71" s="46">
        <v>695663.66119999997</v>
      </c>
    </row>
    <row r="72" spans="1:12" x14ac:dyDescent="0.35">
      <c r="A72" s="41">
        <v>1800015708</v>
      </c>
      <c r="B72" s="42" t="s">
        <v>9</v>
      </c>
      <c r="C72" s="43">
        <v>46024</v>
      </c>
      <c r="D72" s="44">
        <v>256779440041</v>
      </c>
      <c r="E72" s="42" t="s">
        <v>76</v>
      </c>
      <c r="F72" s="45">
        <v>456.75</v>
      </c>
      <c r="G72" s="42" t="s">
        <v>77</v>
      </c>
      <c r="H72" s="45">
        <v>41446.93</v>
      </c>
      <c r="I72" s="42" t="s">
        <v>254</v>
      </c>
      <c r="J72" s="21">
        <v>4174</v>
      </c>
      <c r="K72" s="46">
        <v>41446.745000000003</v>
      </c>
      <c r="L72" s="46">
        <v>37272.745000000003</v>
      </c>
    </row>
    <row r="73" spans="1:12" hidden="1" x14ac:dyDescent="0.35">
      <c r="A73" s="41">
        <v>1800015985</v>
      </c>
      <c r="B73" s="42" t="s">
        <v>9</v>
      </c>
      <c r="C73" s="43">
        <v>46027</v>
      </c>
      <c r="D73" s="44">
        <v>256779440069</v>
      </c>
      <c r="E73" s="42" t="s">
        <v>76</v>
      </c>
      <c r="F73" s="45">
        <v>11.75</v>
      </c>
      <c r="G73" s="42" t="s">
        <v>77</v>
      </c>
      <c r="H73" s="45">
        <v>1066.23</v>
      </c>
      <c r="I73" s="42" t="s">
        <v>260</v>
      </c>
      <c r="J73" s="21">
        <v>0</v>
      </c>
      <c r="K73" s="46">
        <v>1066.231</v>
      </c>
      <c r="L73" s="46">
        <v>1066.231</v>
      </c>
    </row>
    <row r="74" spans="1:12" x14ac:dyDescent="0.35">
      <c r="A74" s="41">
        <v>1800016087</v>
      </c>
      <c r="B74" s="42" t="s">
        <v>9</v>
      </c>
      <c r="C74" s="43">
        <v>46027</v>
      </c>
      <c r="D74" s="44">
        <v>256779440118</v>
      </c>
      <c r="E74" s="42" t="s">
        <v>76</v>
      </c>
      <c r="F74" s="45">
        <v>99</v>
      </c>
      <c r="G74" s="42" t="s">
        <v>77</v>
      </c>
      <c r="H74" s="45">
        <v>8983.57</v>
      </c>
      <c r="I74" s="42" t="s">
        <v>264</v>
      </c>
      <c r="J74" s="21">
        <v>181</v>
      </c>
      <c r="K74" s="46">
        <v>8983.0849999999991</v>
      </c>
      <c r="L74" s="46">
        <v>8802.0849999999991</v>
      </c>
    </row>
    <row r="75" spans="1:12" x14ac:dyDescent="0.35">
      <c r="A75" s="41">
        <v>1800016101</v>
      </c>
      <c r="B75" s="42" t="s">
        <v>9</v>
      </c>
      <c r="C75" s="43">
        <v>46027</v>
      </c>
      <c r="D75" s="44">
        <v>256779440122</v>
      </c>
      <c r="E75" s="42" t="s">
        <v>76</v>
      </c>
      <c r="F75" s="45">
        <v>123.27</v>
      </c>
      <c r="G75" s="42" t="s">
        <v>77</v>
      </c>
      <c r="H75" s="45">
        <v>11185.91</v>
      </c>
      <c r="I75" s="42" t="s">
        <v>266</v>
      </c>
      <c r="J75" s="21">
        <v>181</v>
      </c>
      <c r="K75" s="46">
        <v>11185.420599999999</v>
      </c>
      <c r="L75" s="46">
        <v>11004.420599999999</v>
      </c>
    </row>
    <row r="76" spans="1:12" x14ac:dyDescent="0.35">
      <c r="A76" s="41">
        <v>1800016502</v>
      </c>
      <c r="B76" s="42" t="s">
        <v>9</v>
      </c>
      <c r="C76" s="43">
        <v>46028</v>
      </c>
      <c r="D76" s="44">
        <v>256779440210</v>
      </c>
      <c r="E76" s="42" t="s">
        <v>76</v>
      </c>
      <c r="F76" s="45">
        <v>77.849999999999994</v>
      </c>
      <c r="G76" s="42" t="s">
        <v>77</v>
      </c>
      <c r="H76" s="45">
        <v>7064.35</v>
      </c>
      <c r="I76" s="42" t="s">
        <v>264</v>
      </c>
      <c r="J76" s="21">
        <v>181</v>
      </c>
      <c r="K76" s="46">
        <v>7063.8671999999997</v>
      </c>
      <c r="L76" s="46">
        <v>6882.8671999999997</v>
      </c>
    </row>
    <row r="77" spans="1:12" x14ac:dyDescent="0.35">
      <c r="A77" s="41">
        <v>1800016935</v>
      </c>
      <c r="B77" s="42" t="s">
        <v>9</v>
      </c>
      <c r="C77" s="43">
        <v>46043</v>
      </c>
      <c r="D77" s="44">
        <v>256779440383</v>
      </c>
      <c r="E77" s="42" t="s">
        <v>76</v>
      </c>
      <c r="F77" s="45">
        <v>54.41</v>
      </c>
      <c r="G77" s="42" t="s">
        <v>77</v>
      </c>
      <c r="H77" s="45">
        <v>4937.33</v>
      </c>
      <c r="I77" s="42" t="s">
        <v>292</v>
      </c>
      <c r="J77" s="21">
        <v>90</v>
      </c>
      <c r="K77" s="46">
        <v>4904.3774000000003</v>
      </c>
      <c r="L77" s="46">
        <v>4814.3774000000003</v>
      </c>
    </row>
    <row r="78" spans="1:12" x14ac:dyDescent="0.35">
      <c r="A78" s="41">
        <v>1800016986</v>
      </c>
      <c r="B78" s="42" t="s">
        <v>9</v>
      </c>
      <c r="C78" s="43">
        <v>46044</v>
      </c>
      <c r="D78" s="44">
        <v>256779440392</v>
      </c>
      <c r="E78" s="42" t="s">
        <v>76</v>
      </c>
      <c r="F78" s="45">
        <v>124.68</v>
      </c>
      <c r="G78" s="42" t="s">
        <v>77</v>
      </c>
      <c r="H78" s="45">
        <v>11313.85</v>
      </c>
      <c r="I78" s="42" t="s">
        <v>294</v>
      </c>
      <c r="J78" s="21">
        <v>1089</v>
      </c>
      <c r="K78" s="46">
        <v>11313.937</v>
      </c>
      <c r="L78" s="46">
        <v>10224.937</v>
      </c>
    </row>
    <row r="79" spans="1:12" x14ac:dyDescent="0.35">
      <c r="A79" s="41">
        <v>1800017004</v>
      </c>
      <c r="B79" s="42" t="s">
        <v>9</v>
      </c>
      <c r="C79" s="43">
        <v>46044</v>
      </c>
      <c r="D79" s="44">
        <v>256779440394</v>
      </c>
      <c r="E79" s="42" t="s">
        <v>76</v>
      </c>
      <c r="F79" s="45">
        <v>200.69</v>
      </c>
      <c r="G79" s="42" t="s">
        <v>77</v>
      </c>
      <c r="H79" s="45">
        <v>18211.240000000002</v>
      </c>
      <c r="I79" s="42" t="s">
        <v>296</v>
      </c>
      <c r="J79" s="21">
        <v>1815</v>
      </c>
      <c r="K79" s="46">
        <v>18211.378000000001</v>
      </c>
      <c r="L79" s="46">
        <v>16396.378000000001</v>
      </c>
    </row>
    <row r="80" spans="1:12" x14ac:dyDescent="0.35">
      <c r="A80" s="41">
        <v>1800017063</v>
      </c>
      <c r="B80" s="42" t="s">
        <v>9</v>
      </c>
      <c r="C80" s="43">
        <v>46045</v>
      </c>
      <c r="D80" s="44">
        <v>256779440413</v>
      </c>
      <c r="E80" s="42" t="s">
        <v>76</v>
      </c>
      <c r="F80" s="45">
        <v>99</v>
      </c>
      <c r="G80" s="42" t="s">
        <v>77</v>
      </c>
      <c r="H80" s="45">
        <v>8983.57</v>
      </c>
      <c r="I80" s="42" t="s">
        <v>298</v>
      </c>
      <c r="J80" s="21">
        <v>181</v>
      </c>
      <c r="K80" s="46">
        <v>8983.0846000000001</v>
      </c>
      <c r="L80" s="46">
        <v>8802.0846000000001</v>
      </c>
    </row>
    <row r="81" spans="1:12" x14ac:dyDescent="0.35">
      <c r="A81" s="41">
        <v>1800017108</v>
      </c>
      <c r="B81" s="42" t="s">
        <v>9</v>
      </c>
      <c r="C81" s="43">
        <v>46045</v>
      </c>
      <c r="D81" s="44">
        <v>256779440429</v>
      </c>
      <c r="E81" s="42" t="s">
        <v>76</v>
      </c>
      <c r="F81" s="45">
        <v>67.680000000000007</v>
      </c>
      <c r="G81" s="42" t="s">
        <v>77</v>
      </c>
      <c r="H81" s="45">
        <v>6141.5</v>
      </c>
      <c r="I81" s="42" t="s">
        <v>300</v>
      </c>
      <c r="J81" s="21">
        <v>91</v>
      </c>
      <c r="K81" s="46">
        <v>6141.7525999999998</v>
      </c>
      <c r="L81" s="46">
        <v>6050.7525999999998</v>
      </c>
    </row>
    <row r="82" spans="1:12" hidden="1" x14ac:dyDescent="0.35">
      <c r="A82" s="41">
        <v>1800001954</v>
      </c>
      <c r="B82" s="42" t="s">
        <v>9</v>
      </c>
      <c r="C82" s="43">
        <v>45733</v>
      </c>
      <c r="D82" s="44">
        <v>246779411619</v>
      </c>
      <c r="E82" s="42" t="s">
        <v>76</v>
      </c>
      <c r="F82" s="45">
        <v>1765.65</v>
      </c>
      <c r="G82" s="42" t="s">
        <v>77</v>
      </c>
      <c r="H82" s="45">
        <v>153066.42000000001</v>
      </c>
      <c r="I82" s="42" t="s">
        <v>304</v>
      </c>
      <c r="J82" s="21">
        <v>0</v>
      </c>
      <c r="K82" s="46">
        <v>143412</v>
      </c>
      <c r="L82" s="46">
        <v>143412</v>
      </c>
    </row>
    <row r="83" spans="1:12" hidden="1" x14ac:dyDescent="0.35">
      <c r="A83" s="41">
        <v>1800001955</v>
      </c>
      <c r="B83" s="42" t="s">
        <v>9</v>
      </c>
      <c r="C83" s="43">
        <v>45733</v>
      </c>
      <c r="D83" s="44">
        <v>246779411620</v>
      </c>
      <c r="E83" s="42" t="s">
        <v>76</v>
      </c>
      <c r="F83" s="45">
        <v>71.61</v>
      </c>
      <c r="G83" s="42" t="s">
        <v>77</v>
      </c>
      <c r="H83" s="45">
        <v>6207.96</v>
      </c>
      <c r="I83" s="42" t="s">
        <v>304</v>
      </c>
      <c r="J83" s="21">
        <v>0</v>
      </c>
      <c r="K83" s="46">
        <v>5816</v>
      </c>
      <c r="L83" s="46">
        <v>5816</v>
      </c>
    </row>
    <row r="84" spans="1:12" hidden="1" x14ac:dyDescent="0.35">
      <c r="A84" s="41">
        <v>1800002090</v>
      </c>
      <c r="B84" s="42" t="s">
        <v>9</v>
      </c>
      <c r="C84" s="43">
        <v>45733</v>
      </c>
      <c r="D84" s="44">
        <v>246779411755</v>
      </c>
      <c r="E84" s="42" t="s">
        <v>76</v>
      </c>
      <c r="F84" s="45">
        <v>3.57</v>
      </c>
      <c r="G84" s="42" t="s">
        <v>77</v>
      </c>
      <c r="H84" s="45">
        <v>309.49</v>
      </c>
      <c r="I84" s="42" t="s">
        <v>305</v>
      </c>
      <c r="J84" s="21">
        <v>0</v>
      </c>
      <c r="K84" s="46">
        <v>5816</v>
      </c>
      <c r="L84" s="46">
        <v>5816</v>
      </c>
    </row>
    <row r="85" spans="1:12" hidden="1" x14ac:dyDescent="0.35">
      <c r="A85" s="41">
        <v>1800002091</v>
      </c>
      <c r="B85" s="42" t="s">
        <v>9</v>
      </c>
      <c r="C85" s="43">
        <v>45733</v>
      </c>
      <c r="D85" s="44">
        <v>246779411756</v>
      </c>
      <c r="E85" s="42" t="s">
        <v>76</v>
      </c>
      <c r="F85" s="45">
        <v>59.46</v>
      </c>
      <c r="G85" s="42" t="s">
        <v>77</v>
      </c>
      <c r="H85" s="45">
        <v>5154.66</v>
      </c>
      <c r="I85" s="42" t="s">
        <v>305</v>
      </c>
      <c r="J85" s="21">
        <v>0</v>
      </c>
      <c r="K85" s="46">
        <v>4339</v>
      </c>
      <c r="L85" s="46">
        <v>4339</v>
      </c>
    </row>
    <row r="86" spans="1:12" hidden="1" x14ac:dyDescent="0.35">
      <c r="A86" s="41">
        <v>1800002092</v>
      </c>
      <c r="B86" s="42" t="s">
        <v>9</v>
      </c>
      <c r="C86" s="43">
        <v>45733</v>
      </c>
      <c r="D86" s="44">
        <v>246779411757</v>
      </c>
      <c r="E86" s="42" t="s">
        <v>76</v>
      </c>
      <c r="F86" s="45">
        <v>38.29</v>
      </c>
      <c r="G86" s="42" t="s">
        <v>77</v>
      </c>
      <c r="H86" s="45">
        <v>3319.41</v>
      </c>
      <c r="I86" s="42" t="s">
        <v>305</v>
      </c>
      <c r="J86" s="21">
        <v>0</v>
      </c>
      <c r="K86" s="46">
        <v>3110</v>
      </c>
      <c r="L86" s="46">
        <v>3110</v>
      </c>
    </row>
    <row r="87" spans="1:12" hidden="1" x14ac:dyDescent="0.35">
      <c r="A87" s="41">
        <v>1800002093</v>
      </c>
      <c r="B87" s="42" t="s">
        <v>9</v>
      </c>
      <c r="C87" s="43">
        <v>45733</v>
      </c>
      <c r="D87" s="44">
        <v>246779411758</v>
      </c>
      <c r="E87" s="42" t="s">
        <v>76</v>
      </c>
      <c r="F87" s="45">
        <v>22.69</v>
      </c>
      <c r="G87" s="42" t="s">
        <v>77</v>
      </c>
      <c r="H87" s="45">
        <v>1967.02</v>
      </c>
      <c r="I87" s="42" t="s">
        <v>305</v>
      </c>
      <c r="J87" s="21">
        <v>0</v>
      </c>
      <c r="K87" s="46">
        <v>1842</v>
      </c>
      <c r="L87" s="46">
        <v>1842</v>
      </c>
    </row>
    <row r="88" spans="1:12" hidden="1" x14ac:dyDescent="0.35">
      <c r="A88" s="41">
        <v>1800002094</v>
      </c>
      <c r="B88" s="42" t="s">
        <v>9</v>
      </c>
      <c r="C88" s="43">
        <v>45733</v>
      </c>
      <c r="D88" s="44">
        <v>246779411759</v>
      </c>
      <c r="E88" s="42" t="s">
        <v>76</v>
      </c>
      <c r="F88" s="45">
        <v>83.24</v>
      </c>
      <c r="G88" s="42" t="s">
        <v>77</v>
      </c>
      <c r="H88" s="45">
        <v>7216.18</v>
      </c>
      <c r="I88" s="42" t="s">
        <v>305</v>
      </c>
      <c r="J88" s="21">
        <v>0</v>
      </c>
      <c r="K88" s="46">
        <v>6761</v>
      </c>
      <c r="L88" s="46">
        <v>6761</v>
      </c>
    </row>
    <row r="89" spans="1:12" hidden="1" x14ac:dyDescent="0.35">
      <c r="A89" s="41">
        <v>1800002268</v>
      </c>
      <c r="B89" s="42" t="s">
        <v>9</v>
      </c>
      <c r="C89" s="43">
        <v>45733</v>
      </c>
      <c r="D89" s="44">
        <v>246779411933</v>
      </c>
      <c r="E89" s="42" t="s">
        <v>76</v>
      </c>
      <c r="F89" s="45">
        <v>7.1</v>
      </c>
      <c r="G89" s="42" t="s">
        <v>77</v>
      </c>
      <c r="H89" s="45">
        <v>615.51</v>
      </c>
      <c r="I89" s="42" t="s">
        <v>306</v>
      </c>
      <c r="J89" s="21">
        <v>0</v>
      </c>
      <c r="K89" s="46">
        <v>576</v>
      </c>
      <c r="L89" s="46">
        <v>576</v>
      </c>
    </row>
    <row r="90" spans="1:12" hidden="1" x14ac:dyDescent="0.35">
      <c r="A90" s="41">
        <v>1800002269</v>
      </c>
      <c r="B90" s="42" t="s">
        <v>9</v>
      </c>
      <c r="C90" s="43">
        <v>45733</v>
      </c>
      <c r="D90" s="44">
        <v>246779411934</v>
      </c>
      <c r="E90" s="42" t="s">
        <v>76</v>
      </c>
      <c r="F90" s="45">
        <v>4.1399999999999997</v>
      </c>
      <c r="G90" s="42" t="s">
        <v>77</v>
      </c>
      <c r="H90" s="45">
        <v>358.9</v>
      </c>
      <c r="I90" s="42" t="s">
        <v>306</v>
      </c>
      <c r="J90" s="21">
        <v>0</v>
      </c>
      <c r="K90" s="46">
        <v>336</v>
      </c>
      <c r="L90" s="46">
        <v>336</v>
      </c>
    </row>
    <row r="91" spans="1:12" hidden="1" x14ac:dyDescent="0.35">
      <c r="A91" s="41">
        <v>1800002270</v>
      </c>
      <c r="B91" s="42" t="s">
        <v>9</v>
      </c>
      <c r="C91" s="43">
        <v>45733</v>
      </c>
      <c r="D91" s="44">
        <v>246779411935</v>
      </c>
      <c r="E91" s="42" t="s">
        <v>76</v>
      </c>
      <c r="F91" s="45">
        <v>7.1</v>
      </c>
      <c r="G91" s="42" t="s">
        <v>77</v>
      </c>
      <c r="H91" s="45">
        <v>615.51</v>
      </c>
      <c r="I91" s="42" t="s">
        <v>306</v>
      </c>
      <c r="J91" s="21">
        <v>0</v>
      </c>
      <c r="K91" s="46">
        <v>576</v>
      </c>
      <c r="L91" s="46">
        <v>576</v>
      </c>
    </row>
    <row r="92" spans="1:12" hidden="1" x14ac:dyDescent="0.35">
      <c r="A92" s="41">
        <v>1800002271</v>
      </c>
      <c r="B92" s="42" t="s">
        <v>9</v>
      </c>
      <c r="C92" s="43">
        <v>45733</v>
      </c>
      <c r="D92" s="44">
        <v>246779411936</v>
      </c>
      <c r="E92" s="42" t="s">
        <v>76</v>
      </c>
      <c r="F92" s="45">
        <v>5.92</v>
      </c>
      <c r="G92" s="42" t="s">
        <v>77</v>
      </c>
      <c r="H92" s="45">
        <v>513.21</v>
      </c>
      <c r="I92" s="42" t="s">
        <v>306</v>
      </c>
      <c r="J92" s="21">
        <v>0</v>
      </c>
      <c r="K92" s="46">
        <v>480</v>
      </c>
      <c r="L92" s="46">
        <v>480</v>
      </c>
    </row>
    <row r="93" spans="1:12" hidden="1" x14ac:dyDescent="0.35">
      <c r="A93" s="41">
        <v>1800009622</v>
      </c>
      <c r="B93" s="42" t="s">
        <v>9</v>
      </c>
      <c r="C93" s="43">
        <v>45818</v>
      </c>
      <c r="D93" s="44">
        <v>256779414386</v>
      </c>
      <c r="E93" s="42" t="s">
        <v>76</v>
      </c>
      <c r="F93" s="45">
        <v>456.75</v>
      </c>
      <c r="G93" s="42" t="s">
        <v>77</v>
      </c>
      <c r="H93" s="45">
        <v>39047.910000000003</v>
      </c>
      <c r="I93" s="42" t="s">
        <v>307</v>
      </c>
      <c r="J93" s="21">
        <v>0</v>
      </c>
      <c r="K93" s="46">
        <v>35431</v>
      </c>
      <c r="L93" s="46">
        <v>35431</v>
      </c>
    </row>
    <row r="94" spans="1:12" hidden="1" x14ac:dyDescent="0.35">
      <c r="A94" s="41">
        <v>1800012788</v>
      </c>
      <c r="B94" s="42" t="s">
        <v>9</v>
      </c>
      <c r="C94" s="43">
        <v>45917</v>
      </c>
      <c r="D94" s="44">
        <v>256779417442</v>
      </c>
      <c r="E94" s="42" t="s">
        <v>76</v>
      </c>
      <c r="F94" s="45">
        <v>6.23</v>
      </c>
      <c r="G94" s="42" t="s">
        <v>77</v>
      </c>
      <c r="H94" s="45">
        <v>545.21</v>
      </c>
      <c r="I94" s="42" t="s">
        <v>309</v>
      </c>
      <c r="J94" s="21">
        <v>0</v>
      </c>
      <c r="K94" s="46">
        <v>545.21420000000001</v>
      </c>
      <c r="L94" s="46">
        <v>545.21420000000001</v>
      </c>
    </row>
    <row r="95" spans="1:12" hidden="1" x14ac:dyDescent="0.35">
      <c r="A95" s="41">
        <v>1800014859</v>
      </c>
      <c r="B95" s="42" t="s">
        <v>9</v>
      </c>
      <c r="C95" s="43">
        <v>45980</v>
      </c>
      <c r="D95" s="44">
        <v>256779419364</v>
      </c>
      <c r="E95" s="42" t="s">
        <v>76</v>
      </c>
      <c r="F95" s="45">
        <v>350.75</v>
      </c>
      <c r="G95" s="42" t="s">
        <v>77</v>
      </c>
      <c r="H95" s="45">
        <v>30867.19</v>
      </c>
      <c r="I95" s="42" t="s">
        <v>311</v>
      </c>
      <c r="J95" s="21">
        <v>0</v>
      </c>
      <c r="K95" s="46">
        <v>27787.070400000001</v>
      </c>
      <c r="L95" s="46">
        <v>27787.070400000001</v>
      </c>
    </row>
    <row r="96" spans="1:12" hidden="1" x14ac:dyDescent="0.35">
      <c r="A96" s="41">
        <v>1800006257</v>
      </c>
      <c r="B96" s="42" t="s">
        <v>9</v>
      </c>
      <c r="C96" s="43">
        <v>45762</v>
      </c>
      <c r="D96" s="44">
        <v>256779411148</v>
      </c>
      <c r="E96" s="42" t="s">
        <v>76</v>
      </c>
      <c r="F96" s="45">
        <v>304.01</v>
      </c>
      <c r="G96" s="42" t="s">
        <v>77</v>
      </c>
      <c r="H96" s="45">
        <v>26425.1</v>
      </c>
      <c r="I96" s="42" t="s">
        <v>312</v>
      </c>
      <c r="J96" s="21">
        <v>0</v>
      </c>
      <c r="K96" s="46">
        <v>25546</v>
      </c>
      <c r="L96" s="46">
        <v>25546</v>
      </c>
    </row>
    <row r="97" spans="1:12" hidden="1" x14ac:dyDescent="0.35">
      <c r="A97" s="41">
        <v>1800006258</v>
      </c>
      <c r="B97" s="42" t="s">
        <v>9</v>
      </c>
      <c r="C97" s="43">
        <v>45762</v>
      </c>
      <c r="D97" s="44">
        <v>256779411149</v>
      </c>
      <c r="E97" s="42" t="s">
        <v>76</v>
      </c>
      <c r="F97" s="45">
        <v>31.72</v>
      </c>
      <c r="G97" s="42" t="s">
        <v>77</v>
      </c>
      <c r="H97" s="45">
        <v>2757.16</v>
      </c>
      <c r="I97" s="42" t="s">
        <v>313</v>
      </c>
      <c r="J97" s="21">
        <v>0</v>
      </c>
      <c r="K97" s="46">
        <v>2664</v>
      </c>
      <c r="L97" s="46">
        <v>2664</v>
      </c>
    </row>
    <row r="98" spans="1:12" hidden="1" x14ac:dyDescent="0.35">
      <c r="A98" s="41">
        <v>1800006259</v>
      </c>
      <c r="B98" s="42" t="s">
        <v>9</v>
      </c>
      <c r="C98" s="43">
        <v>45762</v>
      </c>
      <c r="D98" s="44">
        <v>256779411150</v>
      </c>
      <c r="E98" s="42" t="s">
        <v>76</v>
      </c>
      <c r="F98" s="45">
        <v>158.6</v>
      </c>
      <c r="G98" s="42" t="s">
        <v>77</v>
      </c>
      <c r="H98" s="45">
        <v>13785.8</v>
      </c>
      <c r="I98" s="42" t="s">
        <v>313</v>
      </c>
      <c r="J98" s="21">
        <v>0</v>
      </c>
      <c r="K98" s="46">
        <v>13328</v>
      </c>
      <c r="L98" s="46">
        <v>13328</v>
      </c>
    </row>
    <row r="99" spans="1:12" hidden="1" x14ac:dyDescent="0.35">
      <c r="A99" s="41">
        <v>1800006260</v>
      </c>
      <c r="B99" s="42" t="s">
        <v>9</v>
      </c>
      <c r="C99" s="43">
        <v>45762</v>
      </c>
      <c r="D99" s="44">
        <v>256779411151</v>
      </c>
      <c r="E99" s="42" t="s">
        <v>76</v>
      </c>
      <c r="F99" s="45">
        <v>160</v>
      </c>
      <c r="G99" s="42" t="s">
        <v>77</v>
      </c>
      <c r="H99" s="45">
        <v>13907.49</v>
      </c>
      <c r="I99" s="42" t="s">
        <v>314</v>
      </c>
      <c r="J99" s="21">
        <v>0</v>
      </c>
      <c r="K99" s="46">
        <v>13629</v>
      </c>
      <c r="L99" s="46">
        <v>13629</v>
      </c>
    </row>
    <row r="100" spans="1:12" hidden="1" x14ac:dyDescent="0.35">
      <c r="A100" s="41">
        <v>1800006672</v>
      </c>
      <c r="B100" s="42" t="s">
        <v>9</v>
      </c>
      <c r="C100" s="43">
        <v>45762</v>
      </c>
      <c r="D100" s="44">
        <v>256779411563</v>
      </c>
      <c r="E100" s="42" t="s">
        <v>76</v>
      </c>
      <c r="F100" s="45">
        <v>2.35</v>
      </c>
      <c r="G100" s="42" t="s">
        <v>77</v>
      </c>
      <c r="H100" s="45">
        <v>204.27</v>
      </c>
      <c r="I100" s="42" t="s">
        <v>315</v>
      </c>
      <c r="J100" s="21">
        <v>0</v>
      </c>
      <c r="K100" s="46">
        <v>198</v>
      </c>
      <c r="L100" s="46">
        <v>198</v>
      </c>
    </row>
    <row r="101" spans="1:12" hidden="1" x14ac:dyDescent="0.35">
      <c r="A101" s="41">
        <v>1800006673</v>
      </c>
      <c r="B101" s="42" t="s">
        <v>9</v>
      </c>
      <c r="C101" s="43">
        <v>45762</v>
      </c>
      <c r="D101" s="44">
        <v>256779411564</v>
      </c>
      <c r="E101" s="42" t="s">
        <v>76</v>
      </c>
      <c r="F101" s="45">
        <v>9.4</v>
      </c>
      <c r="G101" s="42" t="s">
        <v>77</v>
      </c>
      <c r="H101" s="45">
        <v>817.07</v>
      </c>
      <c r="I101" s="42" t="s">
        <v>315</v>
      </c>
      <c r="J101" s="21">
        <v>0</v>
      </c>
      <c r="K101" s="46">
        <v>790</v>
      </c>
      <c r="L101" s="46">
        <v>790</v>
      </c>
    </row>
    <row r="102" spans="1:12" hidden="1" x14ac:dyDescent="0.35">
      <c r="A102" s="41">
        <v>1800011901</v>
      </c>
      <c r="B102" s="42" t="s">
        <v>9</v>
      </c>
      <c r="C102" s="43">
        <v>45880</v>
      </c>
      <c r="D102" s="44">
        <v>256779416544</v>
      </c>
      <c r="E102" s="42" t="s">
        <v>76</v>
      </c>
      <c r="F102" s="45">
        <v>298.70999999999998</v>
      </c>
      <c r="G102" s="42" t="s">
        <v>77</v>
      </c>
      <c r="H102" s="45">
        <v>25698.06</v>
      </c>
      <c r="I102" s="42" t="s">
        <v>317</v>
      </c>
      <c r="J102" s="21">
        <v>0</v>
      </c>
      <c r="K102" s="46">
        <v>23117.1535</v>
      </c>
      <c r="L102" s="46">
        <v>23117.1535</v>
      </c>
    </row>
    <row r="103" spans="1:12" hidden="1" x14ac:dyDescent="0.35">
      <c r="A103" s="41">
        <v>1800011903</v>
      </c>
      <c r="B103" s="42" t="s">
        <v>9</v>
      </c>
      <c r="C103" s="43">
        <v>45880</v>
      </c>
      <c r="D103" s="44">
        <v>256779416546</v>
      </c>
      <c r="E103" s="42" t="s">
        <v>76</v>
      </c>
      <c r="F103" s="45">
        <v>282.89999999999998</v>
      </c>
      <c r="G103" s="42" t="s">
        <v>77</v>
      </c>
      <c r="H103" s="45">
        <v>24337.919999999998</v>
      </c>
      <c r="I103" s="42" t="s">
        <v>318</v>
      </c>
      <c r="J103" s="21">
        <v>0</v>
      </c>
      <c r="K103" s="46">
        <v>21929.077600000001</v>
      </c>
      <c r="L103" s="46">
        <v>21929.077600000001</v>
      </c>
    </row>
    <row r="104" spans="1:12" hidden="1" x14ac:dyDescent="0.35">
      <c r="A104" s="41">
        <v>1800010208</v>
      </c>
      <c r="B104" s="42" t="s">
        <v>9</v>
      </c>
      <c r="C104" s="43">
        <v>45845</v>
      </c>
      <c r="D104" s="44">
        <v>256779414968</v>
      </c>
      <c r="E104" s="42" t="s">
        <v>76</v>
      </c>
      <c r="F104" s="45">
        <v>31.58</v>
      </c>
      <c r="G104" s="42" t="s">
        <v>77</v>
      </c>
      <c r="H104" s="45">
        <v>2715.9</v>
      </c>
      <c r="I104" s="42" t="s">
        <v>74</v>
      </c>
      <c r="J104" s="21">
        <v>0</v>
      </c>
      <c r="K104" s="46">
        <v>2629.9005000000002</v>
      </c>
      <c r="L104" s="46">
        <v>2629.9005000000002</v>
      </c>
    </row>
    <row r="105" spans="1:12" hidden="1" x14ac:dyDescent="0.35">
      <c r="A105" s="41">
        <v>1800006916</v>
      </c>
      <c r="B105" s="42" t="s">
        <v>9</v>
      </c>
      <c r="C105" s="43">
        <v>45763</v>
      </c>
      <c r="D105" s="44">
        <v>256779411807</v>
      </c>
      <c r="E105" s="42" t="s">
        <v>76</v>
      </c>
      <c r="F105" s="45">
        <v>23.5</v>
      </c>
      <c r="G105" s="42" t="s">
        <v>77</v>
      </c>
      <c r="H105" s="45">
        <v>2042.66</v>
      </c>
      <c r="I105" s="42" t="s">
        <v>321</v>
      </c>
      <c r="J105" s="21">
        <v>0</v>
      </c>
      <c r="K105" s="46">
        <v>2053.9</v>
      </c>
      <c r="L105" s="46">
        <v>2053.9</v>
      </c>
    </row>
    <row r="106" spans="1:12" hidden="1" x14ac:dyDescent="0.35">
      <c r="A106" s="41">
        <v>1800006994</v>
      </c>
      <c r="B106" s="42" t="s">
        <v>9</v>
      </c>
      <c r="C106" s="43">
        <v>45763</v>
      </c>
      <c r="D106" s="44">
        <v>256779411885</v>
      </c>
      <c r="E106" s="42" t="s">
        <v>76</v>
      </c>
      <c r="F106" s="45">
        <v>15</v>
      </c>
      <c r="G106" s="42" t="s">
        <v>77</v>
      </c>
      <c r="H106" s="45">
        <v>1303.83</v>
      </c>
      <c r="I106" s="42" t="s">
        <v>322</v>
      </c>
      <c r="J106" s="21">
        <v>0</v>
      </c>
      <c r="K106" s="46">
        <v>1256</v>
      </c>
      <c r="L106" s="46">
        <v>1256</v>
      </c>
    </row>
    <row r="107" spans="1:12" hidden="1" x14ac:dyDescent="0.35">
      <c r="A107" s="41">
        <v>1800006995</v>
      </c>
      <c r="B107" s="42" t="s">
        <v>9</v>
      </c>
      <c r="C107" s="43">
        <v>45763</v>
      </c>
      <c r="D107" s="44">
        <v>256779411886</v>
      </c>
      <c r="E107" s="42" t="s">
        <v>76</v>
      </c>
      <c r="F107" s="45">
        <v>5.25</v>
      </c>
      <c r="G107" s="42" t="s">
        <v>77</v>
      </c>
      <c r="H107" s="45">
        <v>456.34</v>
      </c>
      <c r="I107" s="42" t="s">
        <v>323</v>
      </c>
      <c r="J107" s="21">
        <v>0</v>
      </c>
      <c r="K107" s="46">
        <v>447</v>
      </c>
      <c r="L107" s="46">
        <v>447</v>
      </c>
    </row>
    <row r="108" spans="1:12" hidden="1" x14ac:dyDescent="0.35">
      <c r="A108" s="41">
        <v>1800007174</v>
      </c>
      <c r="B108" s="42" t="s">
        <v>9</v>
      </c>
      <c r="C108" s="43">
        <v>45763</v>
      </c>
      <c r="D108" s="44">
        <v>256779412065</v>
      </c>
      <c r="E108" s="42" t="s">
        <v>76</v>
      </c>
      <c r="F108" s="45">
        <v>18.88</v>
      </c>
      <c r="G108" s="42" t="s">
        <v>77</v>
      </c>
      <c r="H108" s="45">
        <v>1641.08</v>
      </c>
      <c r="I108" s="42" t="s">
        <v>327</v>
      </c>
      <c r="J108" s="21">
        <v>0</v>
      </c>
      <c r="K108" s="46">
        <v>1584</v>
      </c>
      <c r="L108" s="46">
        <v>1584</v>
      </c>
    </row>
    <row r="109" spans="1:12" hidden="1" x14ac:dyDescent="0.35">
      <c r="A109" s="41">
        <v>1800007209</v>
      </c>
      <c r="B109" s="42" t="s">
        <v>9</v>
      </c>
      <c r="C109" s="43">
        <v>45763</v>
      </c>
      <c r="D109" s="44">
        <v>256779412100</v>
      </c>
      <c r="E109" s="42" t="s">
        <v>76</v>
      </c>
      <c r="F109" s="45">
        <v>252.98</v>
      </c>
      <c r="G109" s="42" t="s">
        <v>77</v>
      </c>
      <c r="H109" s="45">
        <v>21989.48</v>
      </c>
      <c r="I109" s="42" t="s">
        <v>328</v>
      </c>
      <c r="J109" s="21">
        <v>0</v>
      </c>
      <c r="K109" s="46">
        <v>21549</v>
      </c>
      <c r="L109" s="46">
        <v>21549</v>
      </c>
    </row>
    <row r="110" spans="1:12" hidden="1" x14ac:dyDescent="0.35">
      <c r="A110" s="41">
        <v>1800007226</v>
      </c>
      <c r="B110" s="42" t="s">
        <v>9</v>
      </c>
      <c r="C110" s="43">
        <v>45763</v>
      </c>
      <c r="D110" s="44">
        <v>256779412117</v>
      </c>
      <c r="E110" s="42" t="s">
        <v>76</v>
      </c>
      <c r="F110" s="45">
        <v>5415.85</v>
      </c>
      <c r="G110" s="42" t="s">
        <v>77</v>
      </c>
      <c r="H110" s="45">
        <v>470755.54</v>
      </c>
      <c r="I110" s="42" t="s">
        <v>329</v>
      </c>
      <c r="J110" s="21">
        <v>0</v>
      </c>
      <c r="K110" s="46">
        <v>417286</v>
      </c>
      <c r="L110" s="46">
        <v>417286</v>
      </c>
    </row>
    <row r="111" spans="1:12" hidden="1" x14ac:dyDescent="0.35">
      <c r="A111" s="41">
        <v>1800007026</v>
      </c>
      <c r="B111" s="42" t="s">
        <v>9</v>
      </c>
      <c r="C111" s="43">
        <v>45763</v>
      </c>
      <c r="D111" s="44">
        <v>256779411917</v>
      </c>
      <c r="E111" s="42" t="s">
        <v>76</v>
      </c>
      <c r="F111" s="45">
        <v>140</v>
      </c>
      <c r="G111" s="42" t="s">
        <v>77</v>
      </c>
      <c r="H111" s="45">
        <v>12169.05</v>
      </c>
      <c r="I111" s="42" t="s">
        <v>330</v>
      </c>
      <c r="J111" s="21">
        <v>0</v>
      </c>
      <c r="K111" s="46">
        <v>12169</v>
      </c>
      <c r="L111" s="46">
        <v>12169</v>
      </c>
    </row>
    <row r="112" spans="1:12" hidden="1" x14ac:dyDescent="0.35">
      <c r="A112" s="41">
        <v>1800001783</v>
      </c>
      <c r="B112" s="42" t="s">
        <v>9</v>
      </c>
      <c r="C112" s="43">
        <v>45730</v>
      </c>
      <c r="D112" s="44">
        <v>246779411448</v>
      </c>
      <c r="E112" s="42" t="s">
        <v>76</v>
      </c>
      <c r="F112" s="45">
        <v>14.31</v>
      </c>
      <c r="G112" s="42" t="s">
        <v>77</v>
      </c>
      <c r="H112" s="45">
        <v>1240.55</v>
      </c>
      <c r="I112" s="42" t="s">
        <v>334</v>
      </c>
      <c r="J112" s="21">
        <v>0</v>
      </c>
      <c r="K112" s="46">
        <v>1161</v>
      </c>
      <c r="L112" s="46">
        <v>1161</v>
      </c>
    </row>
    <row r="113" spans="1:12" hidden="1" x14ac:dyDescent="0.35">
      <c r="A113" s="41">
        <v>1800012275</v>
      </c>
      <c r="B113" s="42" t="s">
        <v>9</v>
      </c>
      <c r="C113" s="43">
        <v>45904</v>
      </c>
      <c r="D113" s="44">
        <v>256779416911</v>
      </c>
      <c r="E113" s="42" t="s">
        <v>76</v>
      </c>
      <c r="F113" s="45">
        <v>40.85</v>
      </c>
      <c r="G113" s="42" t="s">
        <v>77</v>
      </c>
      <c r="H113" s="45">
        <v>3574.96</v>
      </c>
      <c r="I113" s="42" t="s">
        <v>336</v>
      </c>
      <c r="J113" s="21">
        <v>0</v>
      </c>
      <c r="K113" s="46">
        <v>3487.4461000000001</v>
      </c>
      <c r="L113" s="46">
        <v>3487.4461000000001</v>
      </c>
    </row>
    <row r="114" spans="1:12" hidden="1" x14ac:dyDescent="0.35">
      <c r="A114" s="41">
        <v>1800012286</v>
      </c>
      <c r="B114" s="42" t="s">
        <v>9</v>
      </c>
      <c r="C114" s="43">
        <v>45904</v>
      </c>
      <c r="D114" s="44">
        <v>256779416948</v>
      </c>
      <c r="E114" s="42" t="s">
        <v>76</v>
      </c>
      <c r="F114" s="45">
        <v>14.1</v>
      </c>
      <c r="G114" s="42" t="s">
        <v>77</v>
      </c>
      <c r="H114" s="45">
        <v>1233.95</v>
      </c>
      <c r="I114" s="42" t="s">
        <v>337</v>
      </c>
      <c r="J114" s="21">
        <v>0</v>
      </c>
      <c r="K114" s="46">
        <v>1233.9521</v>
      </c>
      <c r="L114" s="46">
        <v>1233.9521</v>
      </c>
    </row>
    <row r="115" spans="1:12" hidden="1" x14ac:dyDescent="0.35">
      <c r="A115" s="41">
        <v>1800012460</v>
      </c>
      <c r="B115" s="42" t="s">
        <v>9</v>
      </c>
      <c r="C115" s="43">
        <v>45904</v>
      </c>
      <c r="D115" s="44">
        <v>256779417160</v>
      </c>
      <c r="E115" s="42" t="s">
        <v>76</v>
      </c>
      <c r="F115" s="45">
        <v>14.25</v>
      </c>
      <c r="G115" s="42" t="s">
        <v>77</v>
      </c>
      <c r="H115" s="45">
        <v>1247.08</v>
      </c>
      <c r="I115" s="42" t="s">
        <v>338</v>
      </c>
      <c r="J115" s="21">
        <v>0</v>
      </c>
      <c r="K115" s="46">
        <v>1247.0791999999999</v>
      </c>
      <c r="L115" s="46">
        <v>1247.0791999999999</v>
      </c>
    </row>
    <row r="116" spans="1:12" hidden="1" x14ac:dyDescent="0.35">
      <c r="A116" s="41">
        <v>1800012493</v>
      </c>
      <c r="B116" s="42" t="s">
        <v>9</v>
      </c>
      <c r="C116" s="43">
        <v>45904</v>
      </c>
      <c r="D116" s="44">
        <v>256779417166</v>
      </c>
      <c r="E116" s="42" t="s">
        <v>76</v>
      </c>
      <c r="F116" s="45">
        <v>760.25</v>
      </c>
      <c r="G116" s="42" t="s">
        <v>77</v>
      </c>
      <c r="H116" s="45">
        <v>66532.77</v>
      </c>
      <c r="I116" s="42" t="s">
        <v>339</v>
      </c>
      <c r="J116" s="21">
        <v>0</v>
      </c>
      <c r="K116" s="46">
        <v>59881.6803</v>
      </c>
      <c r="L116" s="46">
        <v>59881.6803</v>
      </c>
    </row>
    <row r="117" spans="1:12" hidden="1" x14ac:dyDescent="0.35">
      <c r="A117" s="41">
        <v>1800012554</v>
      </c>
      <c r="B117" s="42" t="s">
        <v>9</v>
      </c>
      <c r="C117" s="43">
        <v>45904</v>
      </c>
      <c r="D117" s="44">
        <v>256779417173</v>
      </c>
      <c r="E117" s="42" t="s">
        <v>76</v>
      </c>
      <c r="F117" s="45">
        <v>743.54</v>
      </c>
      <c r="G117" s="42" t="s">
        <v>77</v>
      </c>
      <c r="H117" s="45">
        <v>65070.400000000001</v>
      </c>
      <c r="I117" s="42" t="s">
        <v>340</v>
      </c>
      <c r="J117" s="21">
        <v>0</v>
      </c>
      <c r="K117" s="46">
        <v>58594.344499999999</v>
      </c>
      <c r="L117" s="46">
        <v>58594.344499999999</v>
      </c>
    </row>
    <row r="118" spans="1:12" hidden="1" x14ac:dyDescent="0.35">
      <c r="A118" s="41">
        <v>1800012603</v>
      </c>
      <c r="B118" s="42" t="s">
        <v>9</v>
      </c>
      <c r="C118" s="43">
        <v>45904</v>
      </c>
      <c r="D118" s="44">
        <v>256779417261</v>
      </c>
      <c r="E118" s="42" t="s">
        <v>76</v>
      </c>
      <c r="F118" s="45">
        <v>22.77</v>
      </c>
      <c r="G118" s="42" t="s">
        <v>77</v>
      </c>
      <c r="H118" s="45">
        <v>1992.7</v>
      </c>
      <c r="I118" s="42" t="s">
        <v>342</v>
      </c>
      <c r="J118" s="21">
        <v>0</v>
      </c>
      <c r="K118" s="46">
        <v>1992.7012</v>
      </c>
      <c r="L118" s="46">
        <v>1992.7012</v>
      </c>
    </row>
    <row r="119" spans="1:12" hidden="1" x14ac:dyDescent="0.35">
      <c r="A119" s="41">
        <v>1800012646</v>
      </c>
      <c r="B119" s="42" t="s">
        <v>9</v>
      </c>
      <c r="C119" s="43">
        <v>45904</v>
      </c>
      <c r="D119" s="44">
        <v>256779417286</v>
      </c>
      <c r="E119" s="42" t="s">
        <v>76</v>
      </c>
      <c r="F119" s="45">
        <v>1050.9000000000001</v>
      </c>
      <c r="G119" s="42" t="s">
        <v>77</v>
      </c>
      <c r="H119" s="45">
        <v>91968.81</v>
      </c>
      <c r="I119" s="42" t="s">
        <v>343</v>
      </c>
      <c r="J119" s="21">
        <v>0</v>
      </c>
      <c r="K119" s="46">
        <v>90131.008499999996</v>
      </c>
      <c r="L119" s="46">
        <v>90131.008499999996</v>
      </c>
    </row>
    <row r="120" spans="1:12" hidden="1" x14ac:dyDescent="0.35">
      <c r="A120" s="41">
        <v>1800012684</v>
      </c>
      <c r="B120" s="42" t="s">
        <v>9</v>
      </c>
      <c r="C120" s="43">
        <v>45904</v>
      </c>
      <c r="D120" s="44">
        <v>256779417324</v>
      </c>
      <c r="E120" s="42" t="s">
        <v>76</v>
      </c>
      <c r="F120" s="45">
        <v>49.35</v>
      </c>
      <c r="G120" s="42" t="s">
        <v>77</v>
      </c>
      <c r="H120" s="45">
        <v>4318.83</v>
      </c>
      <c r="I120" s="42" t="s">
        <v>345</v>
      </c>
      <c r="J120" s="21">
        <v>0</v>
      </c>
      <c r="K120" s="46">
        <v>4231.3179</v>
      </c>
      <c r="L120" s="46">
        <v>4231.3179</v>
      </c>
    </row>
    <row r="121" spans="1:12" hidden="1" x14ac:dyDescent="0.35">
      <c r="A121" s="41">
        <v>1800012739</v>
      </c>
      <c r="B121" s="42" t="s">
        <v>9</v>
      </c>
      <c r="C121" s="43">
        <v>45904</v>
      </c>
      <c r="D121" s="44">
        <v>256779417373</v>
      </c>
      <c r="E121" s="42" t="s">
        <v>76</v>
      </c>
      <c r="F121" s="45">
        <v>456.75</v>
      </c>
      <c r="G121" s="42" t="s">
        <v>77</v>
      </c>
      <c r="H121" s="45">
        <v>39972.17</v>
      </c>
      <c r="I121" s="42" t="s">
        <v>346</v>
      </c>
      <c r="J121" s="21">
        <v>0</v>
      </c>
      <c r="K121" s="46">
        <v>33482.010999999999</v>
      </c>
      <c r="L121" s="46">
        <v>33482.010999999999</v>
      </c>
    </row>
    <row r="122" spans="1:12" hidden="1" x14ac:dyDescent="0.35">
      <c r="A122" s="41">
        <v>1800010004</v>
      </c>
      <c r="B122" s="42" t="s">
        <v>9</v>
      </c>
      <c r="C122" s="43">
        <v>45842</v>
      </c>
      <c r="D122" s="44">
        <v>256779414768</v>
      </c>
      <c r="E122" s="42" t="s">
        <v>76</v>
      </c>
      <c r="F122" s="45">
        <v>17.350000000000001</v>
      </c>
      <c r="G122" s="42" t="s">
        <v>77</v>
      </c>
      <c r="H122" s="45">
        <v>1492.11</v>
      </c>
      <c r="I122" s="42" t="s">
        <v>347</v>
      </c>
      <c r="J122" s="21">
        <v>0</v>
      </c>
      <c r="K122" s="46">
        <v>1492.1116</v>
      </c>
      <c r="L122" s="46">
        <v>1492.1116</v>
      </c>
    </row>
    <row r="123" spans="1:12" hidden="1" x14ac:dyDescent="0.35">
      <c r="A123" s="41">
        <v>1800010065</v>
      </c>
      <c r="B123" s="42" t="s">
        <v>9</v>
      </c>
      <c r="C123" s="43">
        <v>45842</v>
      </c>
      <c r="D123" s="44">
        <v>256779414829</v>
      </c>
      <c r="E123" s="42" t="s">
        <v>76</v>
      </c>
      <c r="F123" s="45">
        <v>101.95</v>
      </c>
      <c r="G123" s="42" t="s">
        <v>77</v>
      </c>
      <c r="H123" s="45">
        <v>8767.77</v>
      </c>
      <c r="I123" s="42" t="s">
        <v>348</v>
      </c>
      <c r="J123" s="21">
        <v>0</v>
      </c>
      <c r="K123" s="46">
        <v>8595.7669999999998</v>
      </c>
      <c r="L123" s="46">
        <v>8595.7669999999998</v>
      </c>
    </row>
    <row r="124" spans="1:12" hidden="1" x14ac:dyDescent="0.35">
      <c r="A124" s="41">
        <v>1800010118</v>
      </c>
      <c r="B124" s="42" t="s">
        <v>9</v>
      </c>
      <c r="C124" s="43">
        <v>45842</v>
      </c>
      <c r="D124" s="44">
        <v>256779414878</v>
      </c>
      <c r="E124" s="42" t="s">
        <v>76</v>
      </c>
      <c r="F124" s="45">
        <v>31.73</v>
      </c>
      <c r="G124" s="42" t="s">
        <v>77</v>
      </c>
      <c r="H124" s="45">
        <v>2728.8</v>
      </c>
      <c r="I124" s="42" t="s">
        <v>349</v>
      </c>
      <c r="J124" s="21">
        <v>0</v>
      </c>
      <c r="K124" s="46">
        <v>2642.8006</v>
      </c>
      <c r="L124" s="46">
        <v>2642.8006</v>
      </c>
    </row>
    <row r="125" spans="1:12" hidden="1" x14ac:dyDescent="0.35">
      <c r="A125" s="41">
        <v>1800010130</v>
      </c>
      <c r="B125" s="42" t="s">
        <v>9</v>
      </c>
      <c r="C125" s="43">
        <v>45842</v>
      </c>
      <c r="D125" s="44">
        <v>256779414890</v>
      </c>
      <c r="E125" s="42" t="s">
        <v>76</v>
      </c>
      <c r="F125" s="45">
        <v>1180.8</v>
      </c>
      <c r="G125" s="42" t="s">
        <v>77</v>
      </c>
      <c r="H125" s="45">
        <v>101549.59</v>
      </c>
      <c r="I125" s="42" t="s">
        <v>350</v>
      </c>
      <c r="J125" s="21">
        <v>0</v>
      </c>
      <c r="K125" s="46">
        <v>91401.512100000007</v>
      </c>
      <c r="L125" s="46">
        <v>91401.512100000007</v>
      </c>
    </row>
    <row r="126" spans="1:12" hidden="1" x14ac:dyDescent="0.35">
      <c r="A126" s="41">
        <v>1800010184</v>
      </c>
      <c r="B126" s="42" t="s">
        <v>9</v>
      </c>
      <c r="C126" s="43">
        <v>45842</v>
      </c>
      <c r="D126" s="44">
        <v>256779414944</v>
      </c>
      <c r="E126" s="42" t="s">
        <v>76</v>
      </c>
      <c r="F126" s="45">
        <v>456.75</v>
      </c>
      <c r="G126" s="42" t="s">
        <v>77</v>
      </c>
      <c r="H126" s="45">
        <v>39280.81</v>
      </c>
      <c r="I126" s="42" t="s">
        <v>351</v>
      </c>
      <c r="J126" s="21">
        <v>0</v>
      </c>
      <c r="K126" s="46">
        <v>35324.775199999996</v>
      </c>
      <c r="L126" s="46">
        <v>35324.775199999996</v>
      </c>
    </row>
    <row r="127" spans="1:12" hidden="1" x14ac:dyDescent="0.35">
      <c r="A127" s="41">
        <v>1800010215</v>
      </c>
      <c r="B127" s="42" t="s">
        <v>9</v>
      </c>
      <c r="C127" s="43">
        <v>45842</v>
      </c>
      <c r="D127" s="44">
        <v>256779414975</v>
      </c>
      <c r="E127" s="42" t="s">
        <v>76</v>
      </c>
      <c r="F127" s="45">
        <v>54.05</v>
      </c>
      <c r="G127" s="42" t="s">
        <v>77</v>
      </c>
      <c r="H127" s="45">
        <v>4648.34</v>
      </c>
      <c r="I127" s="42" t="s">
        <v>74</v>
      </c>
      <c r="J127" s="21">
        <v>0</v>
      </c>
      <c r="K127" s="46">
        <v>4562.3355000000001</v>
      </c>
      <c r="L127" s="46">
        <v>4562.3355000000001</v>
      </c>
    </row>
    <row r="128" spans="1:12" hidden="1" x14ac:dyDescent="0.35">
      <c r="A128" s="41">
        <v>1800010288</v>
      </c>
      <c r="B128" s="42" t="s">
        <v>9</v>
      </c>
      <c r="C128" s="43">
        <v>45842</v>
      </c>
      <c r="D128" s="44">
        <v>256779415048</v>
      </c>
      <c r="E128" s="42" t="s">
        <v>76</v>
      </c>
      <c r="F128" s="45">
        <v>6.43</v>
      </c>
      <c r="G128" s="42" t="s">
        <v>77</v>
      </c>
      <c r="H128" s="45">
        <v>552.98</v>
      </c>
      <c r="I128" s="42" t="s">
        <v>353</v>
      </c>
      <c r="J128" s="21">
        <v>0</v>
      </c>
      <c r="K128" s="46">
        <v>552.98429999999996</v>
      </c>
      <c r="L128" s="46">
        <v>552.98429999999996</v>
      </c>
    </row>
    <row r="129" spans="1:12" hidden="1" x14ac:dyDescent="0.35">
      <c r="A129" s="41">
        <v>1800010438</v>
      </c>
      <c r="B129" s="42" t="s">
        <v>9</v>
      </c>
      <c r="C129" s="43">
        <v>45842</v>
      </c>
      <c r="D129" s="44">
        <v>256779415198</v>
      </c>
      <c r="E129" s="42" t="s">
        <v>76</v>
      </c>
      <c r="F129" s="45">
        <v>3330.8</v>
      </c>
      <c r="G129" s="42" t="s">
        <v>77</v>
      </c>
      <c r="H129" s="45">
        <v>286451.03000000003</v>
      </c>
      <c r="I129" s="42" t="s">
        <v>354</v>
      </c>
      <c r="J129" s="21">
        <v>0</v>
      </c>
      <c r="K129" s="46">
        <v>257812.80850000001</v>
      </c>
      <c r="L129" s="46">
        <v>257812.80850000001</v>
      </c>
    </row>
    <row r="130" spans="1:12" hidden="1" x14ac:dyDescent="0.35">
      <c r="A130" s="41">
        <v>1800010503</v>
      </c>
      <c r="B130" s="42" t="s">
        <v>9</v>
      </c>
      <c r="C130" s="43">
        <v>45842</v>
      </c>
      <c r="D130" s="44">
        <v>256779415263</v>
      </c>
      <c r="E130" s="42" t="s">
        <v>76</v>
      </c>
      <c r="F130" s="45">
        <v>2.34</v>
      </c>
      <c r="G130" s="42" t="s">
        <v>77</v>
      </c>
      <c r="H130" s="45">
        <v>201.24</v>
      </c>
      <c r="I130" s="42" t="s">
        <v>355</v>
      </c>
      <c r="J130" s="21">
        <v>0</v>
      </c>
      <c r="K130" s="46">
        <v>201.24160000000001</v>
      </c>
      <c r="L130" s="46">
        <v>201.24160000000001</v>
      </c>
    </row>
    <row r="131" spans="1:12" x14ac:dyDescent="0.35">
      <c r="A131" s="41">
        <v>1800014263</v>
      </c>
      <c r="B131" s="42" t="s">
        <v>9</v>
      </c>
      <c r="C131" s="43">
        <v>45966</v>
      </c>
      <c r="D131" s="44">
        <v>256779418802</v>
      </c>
      <c r="E131" s="42" t="s">
        <v>76</v>
      </c>
      <c r="F131" s="45">
        <v>456.75</v>
      </c>
      <c r="G131" s="42" t="s">
        <v>77</v>
      </c>
      <c r="H131" s="45">
        <v>40195.550000000003</v>
      </c>
      <c r="I131" s="42" t="s">
        <v>357</v>
      </c>
      <c r="J131" s="21">
        <v>4048</v>
      </c>
      <c r="K131" s="46">
        <v>40195.392399999997</v>
      </c>
      <c r="L131" s="46">
        <v>36147.392399999997</v>
      </c>
    </row>
    <row r="132" spans="1:12" hidden="1" x14ac:dyDescent="0.35">
      <c r="A132" s="41">
        <v>1800014282</v>
      </c>
      <c r="B132" s="42" t="s">
        <v>9</v>
      </c>
      <c r="C132" s="43">
        <v>45966</v>
      </c>
      <c r="D132" s="44">
        <v>256779418819</v>
      </c>
      <c r="E132" s="42" t="s">
        <v>76</v>
      </c>
      <c r="F132" s="45">
        <v>32.74</v>
      </c>
      <c r="G132" s="42" t="s">
        <v>77</v>
      </c>
      <c r="H132" s="45">
        <v>2881.23</v>
      </c>
      <c r="I132" s="42" t="s">
        <v>359</v>
      </c>
      <c r="J132" s="21">
        <v>0</v>
      </c>
      <c r="K132" s="46">
        <v>2793.2276000000002</v>
      </c>
      <c r="L132" s="46">
        <v>2793.2276000000002</v>
      </c>
    </row>
    <row r="133" spans="1:12" hidden="1" x14ac:dyDescent="0.35">
      <c r="A133" s="41">
        <v>1800014537</v>
      </c>
      <c r="B133" s="42" t="s">
        <v>9</v>
      </c>
      <c r="C133" s="43">
        <v>45966</v>
      </c>
      <c r="D133" s="44">
        <v>256779418869</v>
      </c>
      <c r="E133" s="42" t="s">
        <v>76</v>
      </c>
      <c r="F133" s="45">
        <v>6685.47</v>
      </c>
      <c r="G133" s="42" t="s">
        <v>77</v>
      </c>
      <c r="H133" s="45">
        <v>588344.02</v>
      </c>
      <c r="I133" s="42" t="s">
        <v>361</v>
      </c>
      <c r="J133" s="21">
        <v>0</v>
      </c>
      <c r="K133" s="46">
        <v>529469.75580000004</v>
      </c>
      <c r="L133" s="46">
        <v>529469.75580000004</v>
      </c>
    </row>
    <row r="134" spans="1:12" hidden="1" x14ac:dyDescent="0.35">
      <c r="A134" s="41">
        <v>1800014590</v>
      </c>
      <c r="B134" s="42" t="s">
        <v>9</v>
      </c>
      <c r="C134" s="43">
        <v>45966</v>
      </c>
      <c r="D134" s="44">
        <v>256779418897</v>
      </c>
      <c r="E134" s="42" t="s">
        <v>76</v>
      </c>
      <c r="F134" s="45">
        <v>108.45</v>
      </c>
      <c r="G134" s="42" t="s">
        <v>77</v>
      </c>
      <c r="H134" s="45">
        <v>9543.9699999999993</v>
      </c>
      <c r="I134" s="42" t="s">
        <v>363</v>
      </c>
      <c r="J134" s="21">
        <v>0</v>
      </c>
      <c r="K134" s="46">
        <v>9367.9609</v>
      </c>
      <c r="L134" s="46">
        <v>9367.9609</v>
      </c>
    </row>
    <row r="135" spans="1:12" hidden="1" x14ac:dyDescent="0.35">
      <c r="A135" s="41">
        <v>1800014641</v>
      </c>
      <c r="B135" s="42" t="s">
        <v>9</v>
      </c>
      <c r="C135" s="43">
        <v>45966</v>
      </c>
      <c r="D135" s="44">
        <v>256779418906</v>
      </c>
      <c r="E135" s="42" t="s">
        <v>76</v>
      </c>
      <c r="F135" s="45">
        <v>35.25</v>
      </c>
      <c r="G135" s="42" t="s">
        <v>77</v>
      </c>
      <c r="H135" s="45">
        <v>3102.12</v>
      </c>
      <c r="I135" s="42" t="s">
        <v>365</v>
      </c>
      <c r="J135" s="21">
        <v>0</v>
      </c>
      <c r="K135" s="46">
        <v>3014.1161000000002</v>
      </c>
      <c r="L135" s="46">
        <v>3014.1161000000002</v>
      </c>
    </row>
    <row r="136" spans="1:12" hidden="1" x14ac:dyDescent="0.35">
      <c r="A136" s="41">
        <v>1800014455</v>
      </c>
      <c r="B136" s="42" t="s">
        <v>9</v>
      </c>
      <c r="C136" s="43">
        <v>45966</v>
      </c>
      <c r="D136" s="44">
        <v>256779419069</v>
      </c>
      <c r="E136" s="42" t="s">
        <v>76</v>
      </c>
      <c r="F136" s="45">
        <v>337.59</v>
      </c>
      <c r="G136" s="42" t="s">
        <v>77</v>
      </c>
      <c r="H136" s="45">
        <v>29709.06</v>
      </c>
      <c r="I136" s="42" t="s">
        <v>367</v>
      </c>
      <c r="J136" s="21">
        <v>0</v>
      </c>
      <c r="K136" s="46">
        <v>26716.949199999999</v>
      </c>
      <c r="L136" s="46">
        <v>26716.949199999999</v>
      </c>
    </row>
    <row r="137" spans="1:12" hidden="1" x14ac:dyDescent="0.35">
      <c r="A137" s="41">
        <v>1800014633</v>
      </c>
      <c r="B137" s="42" t="s">
        <v>9</v>
      </c>
      <c r="C137" s="43">
        <v>45966</v>
      </c>
      <c r="D137" s="44">
        <v>256779419076</v>
      </c>
      <c r="E137" s="42" t="s">
        <v>76</v>
      </c>
      <c r="F137" s="45">
        <v>799</v>
      </c>
      <c r="G137" s="42" t="s">
        <v>77</v>
      </c>
      <c r="H137" s="45">
        <v>70314.710000000006</v>
      </c>
      <c r="I137" s="42" t="s">
        <v>369</v>
      </c>
      <c r="J137" s="21">
        <v>0</v>
      </c>
      <c r="K137" s="46">
        <v>63274.437400000003</v>
      </c>
      <c r="L137" s="46">
        <v>63274.437400000003</v>
      </c>
    </row>
    <row r="138" spans="1:12" hidden="1" x14ac:dyDescent="0.35">
      <c r="A138" s="41">
        <v>1800014523</v>
      </c>
      <c r="B138" s="42" t="s">
        <v>9</v>
      </c>
      <c r="C138" s="43">
        <v>45966</v>
      </c>
      <c r="D138" s="44">
        <v>256779419172</v>
      </c>
      <c r="E138" s="42" t="s">
        <v>76</v>
      </c>
      <c r="F138" s="45">
        <v>68.150000000000006</v>
      </c>
      <c r="G138" s="42" t="s">
        <v>77</v>
      </c>
      <c r="H138" s="45">
        <v>5997.43</v>
      </c>
      <c r="I138" s="42" t="s">
        <v>371</v>
      </c>
      <c r="J138" s="21">
        <v>0</v>
      </c>
      <c r="K138" s="46">
        <v>5909.4276</v>
      </c>
      <c r="L138" s="46">
        <v>5909.4276</v>
      </c>
    </row>
    <row r="139" spans="1:12" hidden="1" x14ac:dyDescent="0.35">
      <c r="A139" s="41">
        <v>1800014745</v>
      </c>
      <c r="B139" s="42" t="s">
        <v>9</v>
      </c>
      <c r="C139" s="43">
        <v>45966</v>
      </c>
      <c r="D139" s="44">
        <v>256779419248</v>
      </c>
      <c r="E139" s="42" t="s">
        <v>76</v>
      </c>
      <c r="F139" s="45">
        <v>11.27</v>
      </c>
      <c r="G139" s="42" t="s">
        <v>77</v>
      </c>
      <c r="H139" s="45">
        <v>991.8</v>
      </c>
      <c r="I139" s="42" t="s">
        <v>375</v>
      </c>
      <c r="J139" s="21">
        <v>0</v>
      </c>
      <c r="K139" s="46">
        <v>991.79819999999995</v>
      </c>
      <c r="L139" s="46">
        <v>991.79819999999995</v>
      </c>
    </row>
    <row r="140" spans="1:12" hidden="1" x14ac:dyDescent="0.35">
      <c r="A140" s="41">
        <v>1800011658</v>
      </c>
      <c r="B140" s="42" t="s">
        <v>9</v>
      </c>
      <c r="C140" s="43">
        <v>45877</v>
      </c>
      <c r="D140" s="44">
        <v>256779416088</v>
      </c>
      <c r="E140" s="42" t="s">
        <v>76</v>
      </c>
      <c r="F140" s="45">
        <v>5977.6</v>
      </c>
      <c r="G140" s="42" t="s">
        <v>77</v>
      </c>
      <c r="H140" s="45">
        <v>514253.65</v>
      </c>
      <c r="I140" s="42" t="s">
        <v>376</v>
      </c>
      <c r="J140" s="21">
        <v>0</v>
      </c>
      <c r="K140" s="46">
        <v>462828</v>
      </c>
      <c r="L140" s="46">
        <v>462828</v>
      </c>
    </row>
    <row r="141" spans="1:12" x14ac:dyDescent="0.35">
      <c r="A141" s="41">
        <v>1800011787</v>
      </c>
      <c r="B141" s="42" t="s">
        <v>9</v>
      </c>
      <c r="C141" s="43">
        <v>45877</v>
      </c>
      <c r="D141" s="44">
        <v>256779416178</v>
      </c>
      <c r="E141" s="42" t="s">
        <v>76</v>
      </c>
      <c r="F141" s="45">
        <v>782.3</v>
      </c>
      <c r="G141" s="42" t="s">
        <v>77</v>
      </c>
      <c r="H141" s="45">
        <v>67301.36</v>
      </c>
      <c r="I141" s="42" t="s">
        <v>377</v>
      </c>
      <c r="J141" s="21">
        <v>1351</v>
      </c>
      <c r="K141" s="46">
        <v>67557</v>
      </c>
      <c r="L141" s="46">
        <v>66206</v>
      </c>
    </row>
    <row r="142" spans="1:12" hidden="1" x14ac:dyDescent="0.35">
      <c r="A142" s="41">
        <v>1800011705</v>
      </c>
      <c r="B142" s="42" t="s">
        <v>9</v>
      </c>
      <c r="C142" s="43">
        <v>45877</v>
      </c>
      <c r="D142" s="44">
        <v>256779416223</v>
      </c>
      <c r="E142" s="42" t="s">
        <v>76</v>
      </c>
      <c r="F142" s="45">
        <v>108.22</v>
      </c>
      <c r="G142" s="42" t="s">
        <v>77</v>
      </c>
      <c r="H142" s="45">
        <v>9310.18</v>
      </c>
      <c r="I142" s="42" t="s">
        <v>378</v>
      </c>
      <c r="J142" s="21">
        <v>0</v>
      </c>
      <c r="K142" s="46">
        <v>9124</v>
      </c>
      <c r="L142" s="46">
        <v>9124</v>
      </c>
    </row>
    <row r="143" spans="1:12" hidden="1" x14ac:dyDescent="0.35">
      <c r="A143" s="41">
        <v>1800011406</v>
      </c>
      <c r="B143" s="42" t="s">
        <v>9</v>
      </c>
      <c r="C143" s="43">
        <v>45877</v>
      </c>
      <c r="D143" s="44">
        <v>256779416256</v>
      </c>
      <c r="E143" s="42" t="s">
        <v>76</v>
      </c>
      <c r="F143" s="45">
        <v>56.4</v>
      </c>
      <c r="G143" s="42" t="s">
        <v>77</v>
      </c>
      <c r="H143" s="45">
        <v>4852.1000000000004</v>
      </c>
      <c r="I143" s="42" t="s">
        <v>379</v>
      </c>
      <c r="J143" s="21">
        <v>0</v>
      </c>
      <c r="K143" s="46">
        <v>4755</v>
      </c>
      <c r="L143" s="46">
        <v>4755</v>
      </c>
    </row>
    <row r="144" spans="1:12" hidden="1" x14ac:dyDescent="0.35">
      <c r="A144" s="41">
        <v>1800011594</v>
      </c>
      <c r="B144" s="42" t="s">
        <v>9</v>
      </c>
      <c r="C144" s="43">
        <v>45877</v>
      </c>
      <c r="D144" s="44">
        <v>256779416444</v>
      </c>
      <c r="E144" s="42" t="s">
        <v>76</v>
      </c>
      <c r="F144" s="45">
        <v>109.64</v>
      </c>
      <c r="G144" s="42" t="s">
        <v>77</v>
      </c>
      <c r="H144" s="45">
        <v>9432.34</v>
      </c>
      <c r="I144" s="42" t="s">
        <v>380</v>
      </c>
      <c r="J144" s="21">
        <v>0</v>
      </c>
      <c r="K144" s="46">
        <v>9260.2821000000004</v>
      </c>
      <c r="L144" s="46">
        <v>9260.2821000000004</v>
      </c>
    </row>
    <row r="145" spans="1:12" hidden="1" x14ac:dyDescent="0.35">
      <c r="A145" s="41">
        <v>1800011887</v>
      </c>
      <c r="B145" s="42" t="s">
        <v>9</v>
      </c>
      <c r="C145" s="43">
        <v>45877</v>
      </c>
      <c r="D145" s="44">
        <v>256779416538</v>
      </c>
      <c r="E145" s="42" t="s">
        <v>76</v>
      </c>
      <c r="F145" s="45">
        <v>353.44</v>
      </c>
      <c r="G145" s="42" t="s">
        <v>77</v>
      </c>
      <c r="H145" s="45">
        <v>30406.49</v>
      </c>
      <c r="I145" s="42" t="s">
        <v>382</v>
      </c>
      <c r="J145" s="21">
        <v>0</v>
      </c>
      <c r="K145" s="46">
        <v>27395.431400000001</v>
      </c>
      <c r="L145" s="46">
        <v>27395.431400000001</v>
      </c>
    </row>
    <row r="146" spans="1:12" hidden="1" x14ac:dyDescent="0.35">
      <c r="A146" s="41">
        <v>1800009394</v>
      </c>
      <c r="B146" s="42" t="s">
        <v>9</v>
      </c>
      <c r="C146" s="43">
        <v>45812</v>
      </c>
      <c r="D146" s="44">
        <v>256779414158</v>
      </c>
      <c r="E146" s="42" t="s">
        <v>76</v>
      </c>
      <c r="F146" s="45">
        <v>498.55</v>
      </c>
      <c r="G146" s="42" t="s">
        <v>77</v>
      </c>
      <c r="H146" s="45">
        <v>42621.43</v>
      </c>
      <c r="I146" s="42" t="s">
        <v>383</v>
      </c>
      <c r="J146" s="21">
        <v>0</v>
      </c>
      <c r="K146" s="46">
        <v>41769</v>
      </c>
      <c r="L146" s="46">
        <v>41769</v>
      </c>
    </row>
    <row r="147" spans="1:12" hidden="1" x14ac:dyDescent="0.35">
      <c r="A147" s="41">
        <v>1800009401</v>
      </c>
      <c r="B147" s="42" t="s">
        <v>9</v>
      </c>
      <c r="C147" s="43">
        <v>45812</v>
      </c>
      <c r="D147" s="44">
        <v>256779414165</v>
      </c>
      <c r="E147" s="42" t="s">
        <v>76</v>
      </c>
      <c r="F147" s="45">
        <v>117.5</v>
      </c>
      <c r="G147" s="42" t="s">
        <v>77</v>
      </c>
      <c r="H147" s="45">
        <v>10045.17</v>
      </c>
      <c r="I147" s="42" t="s">
        <v>384</v>
      </c>
      <c r="J147" s="21">
        <v>0</v>
      </c>
      <c r="K147" s="46">
        <v>9844</v>
      </c>
      <c r="L147" s="46">
        <v>9844</v>
      </c>
    </row>
    <row r="148" spans="1:12" hidden="1" x14ac:dyDescent="0.35">
      <c r="A148" s="41">
        <v>1800009452</v>
      </c>
      <c r="B148" s="42" t="s">
        <v>9</v>
      </c>
      <c r="C148" s="43">
        <v>45812</v>
      </c>
      <c r="D148" s="44">
        <v>256779414216</v>
      </c>
      <c r="E148" s="42" t="s">
        <v>76</v>
      </c>
      <c r="F148" s="45">
        <v>100.35</v>
      </c>
      <c r="G148" s="42" t="s">
        <v>77</v>
      </c>
      <c r="H148" s="45">
        <v>8579</v>
      </c>
      <c r="I148" s="42" t="s">
        <v>386</v>
      </c>
      <c r="J148" s="21">
        <v>0</v>
      </c>
      <c r="K148" s="46">
        <v>8407</v>
      </c>
      <c r="L148" s="46">
        <v>8407</v>
      </c>
    </row>
    <row r="149" spans="1:12" hidden="1" x14ac:dyDescent="0.35">
      <c r="A149" s="41">
        <v>1800009524</v>
      </c>
      <c r="B149" s="42" t="s">
        <v>9</v>
      </c>
      <c r="C149" s="43">
        <v>45812</v>
      </c>
      <c r="D149" s="44">
        <v>256779414288</v>
      </c>
      <c r="E149" s="42" t="s">
        <v>76</v>
      </c>
      <c r="F149" s="45">
        <v>190</v>
      </c>
      <c r="G149" s="42" t="s">
        <v>77</v>
      </c>
      <c r="H149" s="45">
        <v>16243.25</v>
      </c>
      <c r="I149" s="42" t="s">
        <v>387</v>
      </c>
      <c r="J149" s="21">
        <v>0</v>
      </c>
      <c r="K149" s="46">
        <v>17313</v>
      </c>
      <c r="L149" s="46">
        <v>17313</v>
      </c>
    </row>
    <row r="150" spans="1:12" hidden="1" x14ac:dyDescent="0.35">
      <c r="A150" s="41">
        <v>1800008593</v>
      </c>
      <c r="B150" s="42" t="s">
        <v>9</v>
      </c>
      <c r="C150" s="43">
        <v>45793</v>
      </c>
      <c r="D150" s="44">
        <v>256779413357</v>
      </c>
      <c r="E150" s="42" t="s">
        <v>76</v>
      </c>
      <c r="F150" s="45">
        <v>15</v>
      </c>
      <c r="G150" s="42" t="s">
        <v>77</v>
      </c>
      <c r="H150" s="45">
        <v>1289.76</v>
      </c>
      <c r="I150" s="42" t="s">
        <v>391</v>
      </c>
      <c r="J150" s="21">
        <v>0</v>
      </c>
      <c r="K150" s="46">
        <v>1264</v>
      </c>
      <c r="L150" s="46">
        <v>1264</v>
      </c>
    </row>
    <row r="151" spans="1:12" hidden="1" x14ac:dyDescent="0.35">
      <c r="A151" s="41">
        <v>1800008519</v>
      </c>
      <c r="B151" s="42" t="s">
        <v>9</v>
      </c>
      <c r="C151" s="43">
        <v>45793</v>
      </c>
      <c r="D151" s="44">
        <v>256779413283</v>
      </c>
      <c r="E151" s="42" t="s">
        <v>76</v>
      </c>
      <c r="F151" s="45">
        <v>140</v>
      </c>
      <c r="G151" s="42" t="s">
        <v>77</v>
      </c>
      <c r="H151" s="45">
        <v>12037.72</v>
      </c>
      <c r="I151" s="42" t="s">
        <v>392</v>
      </c>
      <c r="J151" s="21">
        <v>0</v>
      </c>
      <c r="K151" s="46">
        <v>11797</v>
      </c>
      <c r="L151" s="46">
        <v>11797</v>
      </c>
    </row>
    <row r="152" spans="1:12" hidden="1" x14ac:dyDescent="0.35">
      <c r="A152" s="41">
        <v>1800009135</v>
      </c>
      <c r="B152" s="42" t="s">
        <v>9</v>
      </c>
      <c r="C152" s="43">
        <v>45805</v>
      </c>
      <c r="D152" s="44">
        <v>256779413899</v>
      </c>
      <c r="E152" s="42" t="s">
        <v>76</v>
      </c>
      <c r="F152" s="45">
        <v>4312.12</v>
      </c>
      <c r="G152" s="42" t="s">
        <v>77</v>
      </c>
      <c r="H152" s="45">
        <v>370772.03</v>
      </c>
      <c r="I152" s="42" t="s">
        <v>393</v>
      </c>
      <c r="J152" s="21">
        <v>0</v>
      </c>
      <c r="K152" s="46">
        <v>333696</v>
      </c>
      <c r="L152" s="46">
        <v>333696</v>
      </c>
    </row>
    <row r="153" spans="1:12" hidden="1" x14ac:dyDescent="0.35">
      <c r="A153" s="41">
        <v>1800010660</v>
      </c>
      <c r="B153" s="42" t="s">
        <v>9</v>
      </c>
      <c r="C153" s="43">
        <v>45856</v>
      </c>
      <c r="D153" s="44">
        <v>256779415444</v>
      </c>
      <c r="E153" s="42" t="s">
        <v>76</v>
      </c>
      <c r="F153" s="45">
        <v>99</v>
      </c>
      <c r="G153" s="42" t="s">
        <v>77</v>
      </c>
      <c r="H153" s="45">
        <v>8514.07</v>
      </c>
      <c r="I153" s="42" t="s">
        <v>395</v>
      </c>
      <c r="J153" s="21">
        <v>0</v>
      </c>
      <c r="K153" s="46">
        <v>8342.0650000000005</v>
      </c>
      <c r="L153" s="46">
        <v>8342.0650000000005</v>
      </c>
    </row>
    <row r="154" spans="1:12" hidden="1" x14ac:dyDescent="0.35">
      <c r="A154" s="41">
        <v>1800010672</v>
      </c>
      <c r="B154" s="42" t="s">
        <v>9</v>
      </c>
      <c r="C154" s="43">
        <v>45856</v>
      </c>
      <c r="D154" s="44">
        <v>256779415456</v>
      </c>
      <c r="E154" s="42" t="s">
        <v>76</v>
      </c>
      <c r="F154" s="45">
        <v>160.24</v>
      </c>
      <c r="G154" s="42" t="s">
        <v>77</v>
      </c>
      <c r="H154" s="45">
        <v>13780.75</v>
      </c>
      <c r="I154" s="42" t="s">
        <v>396</v>
      </c>
      <c r="J154" s="21">
        <v>0</v>
      </c>
      <c r="K154" s="46">
        <v>13522.7454</v>
      </c>
      <c r="L154" s="46">
        <v>13522.7454</v>
      </c>
    </row>
    <row r="155" spans="1:12" hidden="1" x14ac:dyDescent="0.35">
      <c r="A155" s="41">
        <v>1800011041</v>
      </c>
      <c r="B155" s="42" t="s">
        <v>9</v>
      </c>
      <c r="C155" s="43">
        <v>45856</v>
      </c>
      <c r="D155" s="44">
        <v>256779415801</v>
      </c>
      <c r="E155" s="42" t="s">
        <v>76</v>
      </c>
      <c r="F155" s="45">
        <v>1762.2</v>
      </c>
      <c r="G155" s="42" t="s">
        <v>77</v>
      </c>
      <c r="H155" s="45">
        <v>151550.38</v>
      </c>
      <c r="I155" s="42" t="s">
        <v>397</v>
      </c>
      <c r="J155" s="21">
        <v>0</v>
      </c>
      <c r="K155" s="46">
        <v>148540.3572</v>
      </c>
      <c r="L155" s="46">
        <v>148540.3572</v>
      </c>
    </row>
    <row r="156" spans="1:12" hidden="1" x14ac:dyDescent="0.35">
      <c r="A156" s="41">
        <v>1800001410</v>
      </c>
      <c r="B156" s="42" t="s">
        <v>9</v>
      </c>
      <c r="C156" s="43">
        <v>45729</v>
      </c>
      <c r="D156" s="44">
        <v>246779411278</v>
      </c>
      <c r="E156" s="42" t="s">
        <v>76</v>
      </c>
      <c r="F156" s="45">
        <v>525</v>
      </c>
      <c r="G156" s="42" t="s">
        <v>77</v>
      </c>
      <c r="H156" s="45">
        <v>45512.91</v>
      </c>
      <c r="I156" s="42" t="s">
        <v>398</v>
      </c>
      <c r="J156" s="21">
        <v>0</v>
      </c>
      <c r="K156" s="46">
        <v>0</v>
      </c>
      <c r="L156" s="46">
        <v>0</v>
      </c>
    </row>
    <row r="157" spans="1:12" hidden="1" x14ac:dyDescent="0.35">
      <c r="A157" s="41">
        <v>1800001426</v>
      </c>
      <c r="B157" s="42" t="s">
        <v>9</v>
      </c>
      <c r="C157" s="43">
        <v>45729</v>
      </c>
      <c r="D157" s="44">
        <v>246779411339</v>
      </c>
      <c r="E157" s="42" t="s">
        <v>76</v>
      </c>
      <c r="F157" s="45">
        <v>220</v>
      </c>
      <c r="G157" s="42" t="s">
        <v>77</v>
      </c>
      <c r="H157" s="45">
        <v>19072.080000000002</v>
      </c>
      <c r="I157" s="42" t="s">
        <v>399</v>
      </c>
      <c r="J157" s="21">
        <v>0</v>
      </c>
      <c r="K157" s="46">
        <v>17857</v>
      </c>
      <c r="L157" s="46">
        <v>17857</v>
      </c>
    </row>
    <row r="158" spans="1:12" hidden="1" x14ac:dyDescent="0.35">
      <c r="A158" s="41">
        <v>1800001437</v>
      </c>
      <c r="B158" s="42" t="s">
        <v>9</v>
      </c>
      <c r="C158" s="43">
        <v>45729</v>
      </c>
      <c r="D158" s="44">
        <v>246779411326</v>
      </c>
      <c r="E158" s="42" t="s">
        <v>76</v>
      </c>
      <c r="F158" s="45">
        <v>245</v>
      </c>
      <c r="G158" s="42" t="s">
        <v>77</v>
      </c>
      <c r="H158" s="45">
        <v>21239.360000000001</v>
      </c>
      <c r="I158" s="42" t="s">
        <v>400</v>
      </c>
      <c r="J158" s="21">
        <v>0</v>
      </c>
      <c r="K158" s="46">
        <v>20874</v>
      </c>
      <c r="L158" s="46">
        <v>20874</v>
      </c>
    </row>
    <row r="159" spans="1:12" hidden="1" x14ac:dyDescent="0.35">
      <c r="A159" s="41">
        <v>1800001450</v>
      </c>
      <c r="B159" s="42" t="s">
        <v>9</v>
      </c>
      <c r="C159" s="43">
        <v>45729</v>
      </c>
      <c r="D159" s="44">
        <v>246779411314</v>
      </c>
      <c r="E159" s="42" t="s">
        <v>76</v>
      </c>
      <c r="F159" s="45">
        <v>105</v>
      </c>
      <c r="G159" s="42" t="s">
        <v>77</v>
      </c>
      <c r="H159" s="45">
        <v>9102.58</v>
      </c>
      <c r="I159" s="42" t="s">
        <v>401</v>
      </c>
      <c r="J159" s="21">
        <v>0</v>
      </c>
      <c r="K159" s="46">
        <v>8522</v>
      </c>
      <c r="L159" s="46">
        <v>8522</v>
      </c>
    </row>
    <row r="160" spans="1:12" hidden="1" x14ac:dyDescent="0.35">
      <c r="A160" s="41">
        <v>1800001468</v>
      </c>
      <c r="B160" s="42" t="s">
        <v>9</v>
      </c>
      <c r="C160" s="43">
        <v>45729</v>
      </c>
      <c r="D160" s="44">
        <v>246779411300</v>
      </c>
      <c r="E160" s="42" t="s">
        <v>76</v>
      </c>
      <c r="F160" s="45">
        <v>385</v>
      </c>
      <c r="G160" s="42" t="s">
        <v>77</v>
      </c>
      <c r="H160" s="45">
        <v>33376.14</v>
      </c>
      <c r="I160" s="42" t="s">
        <v>402</v>
      </c>
      <c r="J160" s="21">
        <v>0</v>
      </c>
      <c r="K160" s="46">
        <v>33376</v>
      </c>
      <c r="L160" s="46">
        <v>33376</v>
      </c>
    </row>
    <row r="161" spans="1:12" hidden="1" x14ac:dyDescent="0.35">
      <c r="A161" s="41">
        <v>1800003755</v>
      </c>
      <c r="B161" s="42" t="s">
        <v>9</v>
      </c>
      <c r="C161" s="43">
        <v>45736</v>
      </c>
      <c r="D161" s="44">
        <v>246779413622</v>
      </c>
      <c r="E161" s="42" t="s">
        <v>76</v>
      </c>
      <c r="F161" s="45">
        <v>18.8</v>
      </c>
      <c r="G161" s="42" t="s">
        <v>77</v>
      </c>
      <c r="H161" s="45">
        <v>1629.8</v>
      </c>
      <c r="I161" s="42" t="s">
        <v>403</v>
      </c>
      <c r="J161" s="21">
        <v>0</v>
      </c>
      <c r="K161" s="46">
        <v>1590</v>
      </c>
      <c r="L161" s="46">
        <v>1590</v>
      </c>
    </row>
    <row r="162" spans="1:12" hidden="1" x14ac:dyDescent="0.35">
      <c r="A162" s="41">
        <v>1800003756</v>
      </c>
      <c r="B162" s="42" t="s">
        <v>9</v>
      </c>
      <c r="C162" s="43">
        <v>45736</v>
      </c>
      <c r="D162" s="44">
        <v>246779413623</v>
      </c>
      <c r="E162" s="42" t="s">
        <v>76</v>
      </c>
      <c r="F162" s="45">
        <v>2.35</v>
      </c>
      <c r="G162" s="42" t="s">
        <v>77</v>
      </c>
      <c r="H162" s="45">
        <v>203.72</v>
      </c>
      <c r="I162" s="42" t="s">
        <v>403</v>
      </c>
      <c r="J162" s="21">
        <v>0</v>
      </c>
      <c r="K162" s="46">
        <v>198</v>
      </c>
      <c r="L162" s="46">
        <v>198</v>
      </c>
    </row>
    <row r="163" spans="1:12" hidden="1" x14ac:dyDescent="0.35">
      <c r="A163" s="41">
        <v>1800003757</v>
      </c>
      <c r="B163" s="42" t="s">
        <v>9</v>
      </c>
      <c r="C163" s="43">
        <v>45736</v>
      </c>
      <c r="D163" s="44">
        <v>246779413624</v>
      </c>
      <c r="E163" s="42" t="s">
        <v>76</v>
      </c>
      <c r="F163" s="45">
        <v>7.05</v>
      </c>
      <c r="G163" s="42" t="s">
        <v>77</v>
      </c>
      <c r="H163" s="45">
        <v>611.16999999999996</v>
      </c>
      <c r="I163" s="42" t="s">
        <v>403</v>
      </c>
      <c r="J163" s="21">
        <v>0</v>
      </c>
      <c r="K163" s="46">
        <v>596</v>
      </c>
      <c r="L163" s="46">
        <v>596</v>
      </c>
    </row>
    <row r="164" spans="1:12" hidden="1" x14ac:dyDescent="0.35">
      <c r="A164" s="41">
        <v>1800003758</v>
      </c>
      <c r="B164" s="42" t="s">
        <v>9</v>
      </c>
      <c r="C164" s="43">
        <v>45736</v>
      </c>
      <c r="D164" s="44">
        <v>246779413625</v>
      </c>
      <c r="E164" s="42" t="s">
        <v>76</v>
      </c>
      <c r="F164" s="45">
        <v>2.35</v>
      </c>
      <c r="G164" s="42" t="s">
        <v>77</v>
      </c>
      <c r="H164" s="45">
        <v>203.72</v>
      </c>
      <c r="I164" s="42" t="s">
        <v>403</v>
      </c>
      <c r="J164" s="21">
        <v>0</v>
      </c>
      <c r="K164" s="46">
        <v>198</v>
      </c>
      <c r="L164" s="46">
        <v>198</v>
      </c>
    </row>
    <row r="165" spans="1:12" hidden="1" x14ac:dyDescent="0.35">
      <c r="A165" s="41">
        <v>1800003759</v>
      </c>
      <c r="B165" s="42" t="s">
        <v>9</v>
      </c>
      <c r="C165" s="43">
        <v>45736</v>
      </c>
      <c r="D165" s="44">
        <v>246779413626</v>
      </c>
      <c r="E165" s="42" t="s">
        <v>76</v>
      </c>
      <c r="F165" s="45">
        <v>84.6</v>
      </c>
      <c r="G165" s="42" t="s">
        <v>77</v>
      </c>
      <c r="H165" s="45">
        <v>7334.08</v>
      </c>
      <c r="I165" s="42" t="s">
        <v>403</v>
      </c>
      <c r="J165" s="21">
        <v>0</v>
      </c>
      <c r="K165" s="46">
        <v>7156</v>
      </c>
      <c r="L165" s="46">
        <v>7156</v>
      </c>
    </row>
    <row r="166" spans="1:12" hidden="1" x14ac:dyDescent="0.35">
      <c r="A166" s="41">
        <v>1800003760</v>
      </c>
      <c r="B166" s="42" t="s">
        <v>9</v>
      </c>
      <c r="C166" s="43">
        <v>45736</v>
      </c>
      <c r="D166" s="44">
        <v>246779413627</v>
      </c>
      <c r="E166" s="42" t="s">
        <v>76</v>
      </c>
      <c r="F166" s="45">
        <v>42.3</v>
      </c>
      <c r="G166" s="42" t="s">
        <v>77</v>
      </c>
      <c r="H166" s="45">
        <v>3667.04</v>
      </c>
      <c r="I166" s="42" t="s">
        <v>403</v>
      </c>
      <c r="J166" s="21">
        <v>0</v>
      </c>
      <c r="K166" s="46">
        <v>3578</v>
      </c>
      <c r="L166" s="46">
        <v>3578</v>
      </c>
    </row>
    <row r="167" spans="1:12" hidden="1" x14ac:dyDescent="0.35">
      <c r="A167" s="41">
        <v>1800003761</v>
      </c>
      <c r="B167" s="42" t="s">
        <v>9</v>
      </c>
      <c r="C167" s="43">
        <v>45736</v>
      </c>
      <c r="D167" s="44">
        <v>246779413628</v>
      </c>
      <c r="E167" s="42" t="s">
        <v>76</v>
      </c>
      <c r="F167" s="45">
        <v>2.35</v>
      </c>
      <c r="G167" s="42" t="s">
        <v>77</v>
      </c>
      <c r="H167" s="45">
        <v>203.72</v>
      </c>
      <c r="I167" s="42" t="s">
        <v>403</v>
      </c>
      <c r="J167" s="21">
        <v>0</v>
      </c>
      <c r="K167" s="46">
        <v>198</v>
      </c>
      <c r="L167" s="46">
        <v>198</v>
      </c>
    </row>
    <row r="168" spans="1:12" hidden="1" x14ac:dyDescent="0.35">
      <c r="A168" s="41">
        <v>1800003762</v>
      </c>
      <c r="B168" s="42" t="s">
        <v>9</v>
      </c>
      <c r="C168" s="43">
        <v>45736</v>
      </c>
      <c r="D168" s="44">
        <v>246779413629</v>
      </c>
      <c r="E168" s="42" t="s">
        <v>76</v>
      </c>
      <c r="F168" s="45">
        <v>4.7</v>
      </c>
      <c r="G168" s="42" t="s">
        <v>77</v>
      </c>
      <c r="H168" s="45">
        <v>407.45</v>
      </c>
      <c r="I168" s="42" t="s">
        <v>403</v>
      </c>
      <c r="J168" s="21">
        <v>0</v>
      </c>
      <c r="K168" s="46">
        <v>397</v>
      </c>
      <c r="L168" s="46">
        <v>397</v>
      </c>
    </row>
    <row r="169" spans="1:12" hidden="1" x14ac:dyDescent="0.35">
      <c r="A169" s="41">
        <v>1800003827</v>
      </c>
      <c r="B169" s="42" t="s">
        <v>9</v>
      </c>
      <c r="C169" s="43">
        <v>45736</v>
      </c>
      <c r="D169" s="44">
        <v>246779413689</v>
      </c>
      <c r="E169" s="42" t="s">
        <v>76</v>
      </c>
      <c r="F169" s="45">
        <v>18.8</v>
      </c>
      <c r="G169" s="42" t="s">
        <v>77</v>
      </c>
      <c r="H169" s="45">
        <v>1629.8</v>
      </c>
      <c r="I169" s="42" t="s">
        <v>403</v>
      </c>
      <c r="J169" s="21">
        <v>0</v>
      </c>
      <c r="K169" s="46">
        <v>1591</v>
      </c>
      <c r="L169" s="46">
        <v>1591</v>
      </c>
    </row>
    <row r="170" spans="1:12" hidden="1" x14ac:dyDescent="0.35">
      <c r="A170" s="41">
        <v>1800003828</v>
      </c>
      <c r="B170" s="42" t="s">
        <v>9</v>
      </c>
      <c r="C170" s="43">
        <v>45736</v>
      </c>
      <c r="D170" s="44">
        <v>246779413690</v>
      </c>
      <c r="E170" s="42" t="s">
        <v>76</v>
      </c>
      <c r="F170" s="45">
        <v>2.35</v>
      </c>
      <c r="G170" s="42" t="s">
        <v>77</v>
      </c>
      <c r="H170" s="45">
        <v>203.72</v>
      </c>
      <c r="I170" s="42" t="s">
        <v>403</v>
      </c>
      <c r="J170" s="21">
        <v>0</v>
      </c>
      <c r="K170" s="46">
        <v>198</v>
      </c>
      <c r="L170" s="46">
        <v>198</v>
      </c>
    </row>
    <row r="171" spans="1:12" hidden="1" x14ac:dyDescent="0.35">
      <c r="A171" s="41">
        <v>1800003829</v>
      </c>
      <c r="B171" s="42" t="s">
        <v>9</v>
      </c>
      <c r="C171" s="43">
        <v>45736</v>
      </c>
      <c r="D171" s="44">
        <v>246779413691</v>
      </c>
      <c r="E171" s="42" t="s">
        <v>76</v>
      </c>
      <c r="F171" s="45">
        <v>7.05</v>
      </c>
      <c r="G171" s="42" t="s">
        <v>77</v>
      </c>
      <c r="H171" s="45">
        <v>611.16999999999996</v>
      </c>
      <c r="I171" s="42" t="s">
        <v>403</v>
      </c>
      <c r="J171" s="21">
        <v>0</v>
      </c>
      <c r="K171" s="46">
        <v>596</v>
      </c>
      <c r="L171" s="46">
        <v>596</v>
      </c>
    </row>
    <row r="172" spans="1:12" hidden="1" x14ac:dyDescent="0.35">
      <c r="A172" s="41">
        <v>1800003830</v>
      </c>
      <c r="B172" s="42" t="s">
        <v>9</v>
      </c>
      <c r="C172" s="43">
        <v>45736</v>
      </c>
      <c r="D172" s="44">
        <v>246779413692</v>
      </c>
      <c r="E172" s="42" t="s">
        <v>76</v>
      </c>
      <c r="F172" s="45">
        <v>2.35</v>
      </c>
      <c r="G172" s="42" t="s">
        <v>77</v>
      </c>
      <c r="H172" s="45">
        <v>203.72</v>
      </c>
      <c r="I172" s="42" t="s">
        <v>403</v>
      </c>
      <c r="J172" s="21">
        <v>0</v>
      </c>
      <c r="K172" s="46">
        <v>191</v>
      </c>
      <c r="L172" s="46">
        <v>191</v>
      </c>
    </row>
    <row r="173" spans="1:12" hidden="1" x14ac:dyDescent="0.35">
      <c r="A173" s="41">
        <v>1800003831</v>
      </c>
      <c r="B173" s="42" t="s">
        <v>9</v>
      </c>
      <c r="C173" s="43">
        <v>45736</v>
      </c>
      <c r="D173" s="44">
        <v>246779413693</v>
      </c>
      <c r="E173" s="42" t="s">
        <v>76</v>
      </c>
      <c r="F173" s="45">
        <v>84.6</v>
      </c>
      <c r="G173" s="42" t="s">
        <v>77</v>
      </c>
      <c r="H173" s="45">
        <v>7334.08</v>
      </c>
      <c r="I173" s="42" t="s">
        <v>403</v>
      </c>
      <c r="J173" s="21">
        <v>0</v>
      </c>
      <c r="K173" s="46">
        <v>6896</v>
      </c>
      <c r="L173" s="46">
        <v>6896</v>
      </c>
    </row>
    <row r="174" spans="1:12" hidden="1" x14ac:dyDescent="0.35">
      <c r="A174" s="41">
        <v>1800003832</v>
      </c>
      <c r="B174" s="42" t="s">
        <v>9</v>
      </c>
      <c r="C174" s="43">
        <v>45736</v>
      </c>
      <c r="D174" s="44">
        <v>246779413694</v>
      </c>
      <c r="E174" s="42" t="s">
        <v>76</v>
      </c>
      <c r="F174" s="45">
        <v>42.3</v>
      </c>
      <c r="G174" s="42" t="s">
        <v>77</v>
      </c>
      <c r="H174" s="45">
        <v>3667.04</v>
      </c>
      <c r="I174" s="42" t="s">
        <v>403</v>
      </c>
      <c r="J174" s="21">
        <v>0</v>
      </c>
      <c r="K174" s="46">
        <v>3448</v>
      </c>
      <c r="L174" s="46">
        <v>3448</v>
      </c>
    </row>
    <row r="175" spans="1:12" hidden="1" x14ac:dyDescent="0.35">
      <c r="A175" s="41">
        <v>1800003833</v>
      </c>
      <c r="B175" s="42" t="s">
        <v>9</v>
      </c>
      <c r="C175" s="43">
        <v>45736</v>
      </c>
      <c r="D175" s="44">
        <v>246779413695</v>
      </c>
      <c r="E175" s="42" t="s">
        <v>76</v>
      </c>
      <c r="F175" s="45">
        <v>2.35</v>
      </c>
      <c r="G175" s="42" t="s">
        <v>77</v>
      </c>
      <c r="H175" s="45">
        <v>203.72</v>
      </c>
      <c r="I175" s="42" t="s">
        <v>403</v>
      </c>
      <c r="J175" s="21">
        <v>0</v>
      </c>
      <c r="K175" s="46">
        <v>191</v>
      </c>
      <c r="L175" s="46">
        <v>191</v>
      </c>
    </row>
    <row r="176" spans="1:12" hidden="1" x14ac:dyDescent="0.35">
      <c r="A176" s="41">
        <v>1800003834</v>
      </c>
      <c r="B176" s="42" t="s">
        <v>9</v>
      </c>
      <c r="C176" s="43">
        <v>45736</v>
      </c>
      <c r="D176" s="44">
        <v>246779413696</v>
      </c>
      <c r="E176" s="42" t="s">
        <v>76</v>
      </c>
      <c r="F176" s="45">
        <v>4.7</v>
      </c>
      <c r="G176" s="42" t="s">
        <v>77</v>
      </c>
      <c r="H176" s="45">
        <v>407.45</v>
      </c>
      <c r="I176" s="42" t="s">
        <v>403</v>
      </c>
      <c r="J176" s="21">
        <v>0</v>
      </c>
      <c r="K176" s="46">
        <v>382</v>
      </c>
      <c r="L176" s="46">
        <v>382</v>
      </c>
    </row>
    <row r="177" spans="1:12" hidden="1" x14ac:dyDescent="0.35">
      <c r="A177" s="41">
        <v>1800003779</v>
      </c>
      <c r="B177" s="42" t="s">
        <v>9</v>
      </c>
      <c r="C177" s="43">
        <v>45736</v>
      </c>
      <c r="D177" s="44">
        <v>246779413701</v>
      </c>
      <c r="E177" s="42" t="s">
        <v>76</v>
      </c>
      <c r="F177" s="45">
        <v>216.2</v>
      </c>
      <c r="G177" s="42" t="s">
        <v>77</v>
      </c>
      <c r="H177" s="45">
        <v>18742.650000000001</v>
      </c>
      <c r="I177" s="42" t="s">
        <v>404</v>
      </c>
      <c r="J177" s="21">
        <v>0</v>
      </c>
      <c r="K177" s="46">
        <v>18367</v>
      </c>
      <c r="L177" s="46">
        <v>18367</v>
      </c>
    </row>
    <row r="178" spans="1:12" hidden="1" x14ac:dyDescent="0.35">
      <c r="A178" s="41">
        <v>1800003782</v>
      </c>
      <c r="B178" s="42" t="s">
        <v>9</v>
      </c>
      <c r="C178" s="43">
        <v>45736</v>
      </c>
      <c r="D178" s="44">
        <v>246779413704</v>
      </c>
      <c r="E178" s="42" t="s">
        <v>76</v>
      </c>
      <c r="F178" s="45">
        <v>152.75</v>
      </c>
      <c r="G178" s="42" t="s">
        <v>77</v>
      </c>
      <c r="H178" s="45">
        <v>13242.09</v>
      </c>
      <c r="I178" s="42" t="s">
        <v>405</v>
      </c>
      <c r="J178" s="21">
        <v>0</v>
      </c>
      <c r="K178" s="46">
        <v>13011</v>
      </c>
      <c r="L178" s="46">
        <v>13011</v>
      </c>
    </row>
    <row r="179" spans="1:12" hidden="1" x14ac:dyDescent="0.35">
      <c r="A179" s="41">
        <v>1800003865</v>
      </c>
      <c r="B179" s="42" t="s">
        <v>9</v>
      </c>
      <c r="C179" s="43">
        <v>45736</v>
      </c>
      <c r="D179" s="44">
        <v>246779413733</v>
      </c>
      <c r="E179" s="42" t="s">
        <v>76</v>
      </c>
      <c r="F179" s="45">
        <v>2.35</v>
      </c>
      <c r="G179" s="42" t="s">
        <v>77</v>
      </c>
      <c r="H179" s="45">
        <v>203.72</v>
      </c>
      <c r="I179" s="42" t="s">
        <v>403</v>
      </c>
      <c r="J179" s="21">
        <v>0</v>
      </c>
      <c r="K179" s="46">
        <v>191</v>
      </c>
      <c r="L179" s="46">
        <v>191</v>
      </c>
    </row>
    <row r="180" spans="1:12" hidden="1" x14ac:dyDescent="0.35">
      <c r="A180" s="41">
        <v>1800003866</v>
      </c>
      <c r="B180" s="42" t="s">
        <v>9</v>
      </c>
      <c r="C180" s="43">
        <v>45736</v>
      </c>
      <c r="D180" s="44">
        <v>246779413734</v>
      </c>
      <c r="E180" s="42" t="s">
        <v>76</v>
      </c>
      <c r="F180" s="45">
        <v>42.3</v>
      </c>
      <c r="G180" s="42" t="s">
        <v>77</v>
      </c>
      <c r="H180" s="45">
        <v>3667.04</v>
      </c>
      <c r="I180" s="42" t="s">
        <v>403</v>
      </c>
      <c r="J180" s="21">
        <v>0</v>
      </c>
      <c r="K180" s="46">
        <v>3448</v>
      </c>
      <c r="L180" s="46">
        <v>3448</v>
      </c>
    </row>
    <row r="181" spans="1:12" hidden="1" x14ac:dyDescent="0.35">
      <c r="A181" s="41">
        <v>1800003867</v>
      </c>
      <c r="B181" s="42" t="s">
        <v>9</v>
      </c>
      <c r="C181" s="43">
        <v>45736</v>
      </c>
      <c r="D181" s="44">
        <v>246779413735</v>
      </c>
      <c r="E181" s="42" t="s">
        <v>76</v>
      </c>
      <c r="F181" s="45">
        <v>84.6</v>
      </c>
      <c r="G181" s="42" t="s">
        <v>77</v>
      </c>
      <c r="H181" s="45">
        <v>7334.08</v>
      </c>
      <c r="I181" s="42" t="s">
        <v>403</v>
      </c>
      <c r="J181" s="21">
        <v>0</v>
      </c>
      <c r="K181" s="46">
        <v>6896</v>
      </c>
      <c r="L181" s="46">
        <v>6896</v>
      </c>
    </row>
    <row r="182" spans="1:12" hidden="1" x14ac:dyDescent="0.35">
      <c r="A182" s="41">
        <v>1800003868</v>
      </c>
      <c r="B182" s="42" t="s">
        <v>9</v>
      </c>
      <c r="C182" s="43">
        <v>45736</v>
      </c>
      <c r="D182" s="44">
        <v>246779413736</v>
      </c>
      <c r="E182" s="42" t="s">
        <v>76</v>
      </c>
      <c r="F182" s="45">
        <v>79.900000000000006</v>
      </c>
      <c r="G182" s="42" t="s">
        <v>77</v>
      </c>
      <c r="H182" s="45">
        <v>6926.63</v>
      </c>
      <c r="I182" s="42" t="s">
        <v>403</v>
      </c>
      <c r="J182" s="21">
        <v>0</v>
      </c>
      <c r="K182" s="46">
        <v>6513</v>
      </c>
      <c r="L182" s="46">
        <v>6513</v>
      </c>
    </row>
    <row r="183" spans="1:12" hidden="1" x14ac:dyDescent="0.35">
      <c r="A183" s="41">
        <v>1800003869</v>
      </c>
      <c r="B183" s="42" t="s">
        <v>9</v>
      </c>
      <c r="C183" s="43">
        <v>45736</v>
      </c>
      <c r="D183" s="44">
        <v>246779413737</v>
      </c>
      <c r="E183" s="42" t="s">
        <v>76</v>
      </c>
      <c r="F183" s="45">
        <v>2.35</v>
      </c>
      <c r="G183" s="42" t="s">
        <v>77</v>
      </c>
      <c r="H183" s="45">
        <v>203.72</v>
      </c>
      <c r="I183" s="42" t="s">
        <v>403</v>
      </c>
      <c r="J183" s="21">
        <v>0</v>
      </c>
      <c r="K183" s="46">
        <v>574</v>
      </c>
      <c r="L183" s="46">
        <v>574</v>
      </c>
    </row>
    <row r="184" spans="1:12" hidden="1" x14ac:dyDescent="0.35">
      <c r="A184" s="41">
        <v>1800003870</v>
      </c>
      <c r="B184" s="42" t="s">
        <v>9</v>
      </c>
      <c r="C184" s="43">
        <v>45736</v>
      </c>
      <c r="D184" s="44">
        <v>246779413738</v>
      </c>
      <c r="E184" s="42" t="s">
        <v>76</v>
      </c>
      <c r="F184" s="45">
        <v>42.3</v>
      </c>
      <c r="G184" s="42" t="s">
        <v>77</v>
      </c>
      <c r="H184" s="45">
        <v>3667.04</v>
      </c>
      <c r="I184" s="42" t="s">
        <v>403</v>
      </c>
      <c r="J184" s="21">
        <v>0</v>
      </c>
      <c r="K184" s="46">
        <v>3603</v>
      </c>
      <c r="L184" s="46">
        <v>3603</v>
      </c>
    </row>
    <row r="185" spans="1:12" hidden="1" x14ac:dyDescent="0.35">
      <c r="A185" s="41">
        <v>1800003871</v>
      </c>
      <c r="B185" s="42" t="s">
        <v>9</v>
      </c>
      <c r="C185" s="43">
        <v>45736</v>
      </c>
      <c r="D185" s="44">
        <v>246779413739</v>
      </c>
      <c r="E185" s="42" t="s">
        <v>76</v>
      </c>
      <c r="F185" s="45">
        <v>21.15</v>
      </c>
      <c r="G185" s="42" t="s">
        <v>77</v>
      </c>
      <c r="H185" s="45">
        <v>1833.52</v>
      </c>
      <c r="I185" s="42" t="s">
        <v>403</v>
      </c>
      <c r="J185" s="21">
        <v>0</v>
      </c>
      <c r="K185" s="46">
        <v>1724</v>
      </c>
      <c r="L185" s="46">
        <v>1724</v>
      </c>
    </row>
    <row r="186" spans="1:12" hidden="1" x14ac:dyDescent="0.35">
      <c r="A186" s="41">
        <v>1800003872</v>
      </c>
      <c r="B186" s="42" t="s">
        <v>9</v>
      </c>
      <c r="C186" s="43">
        <v>45736</v>
      </c>
      <c r="D186" s="44">
        <v>246779413740</v>
      </c>
      <c r="E186" s="42" t="s">
        <v>76</v>
      </c>
      <c r="F186" s="45">
        <v>7.05</v>
      </c>
      <c r="G186" s="42" t="s">
        <v>77</v>
      </c>
      <c r="H186" s="45">
        <v>611.16999999999996</v>
      </c>
      <c r="I186" s="42" t="s">
        <v>403</v>
      </c>
      <c r="J186" s="21">
        <v>0</v>
      </c>
      <c r="K186" s="46">
        <v>574</v>
      </c>
      <c r="L186" s="46">
        <v>574</v>
      </c>
    </row>
    <row r="187" spans="1:12" hidden="1" x14ac:dyDescent="0.35">
      <c r="A187" s="41">
        <v>1800003873</v>
      </c>
      <c r="B187" s="42" t="s">
        <v>9</v>
      </c>
      <c r="C187" s="43">
        <v>45736</v>
      </c>
      <c r="D187" s="44">
        <v>246779413741</v>
      </c>
      <c r="E187" s="42" t="s">
        <v>76</v>
      </c>
      <c r="F187" s="45">
        <v>84.6</v>
      </c>
      <c r="G187" s="42" t="s">
        <v>77</v>
      </c>
      <c r="H187" s="45">
        <v>7334.08</v>
      </c>
      <c r="I187" s="42" t="s">
        <v>403</v>
      </c>
      <c r="J187" s="21">
        <v>0</v>
      </c>
      <c r="K187" s="46">
        <v>6895</v>
      </c>
      <c r="L187" s="46">
        <v>6895</v>
      </c>
    </row>
    <row r="188" spans="1:12" hidden="1" x14ac:dyDescent="0.35">
      <c r="A188" s="41">
        <v>1800003876</v>
      </c>
      <c r="B188" s="42" t="s">
        <v>9</v>
      </c>
      <c r="C188" s="43">
        <v>45736</v>
      </c>
      <c r="D188" s="44">
        <v>246779413744</v>
      </c>
      <c r="E188" s="42" t="s">
        <v>76</v>
      </c>
      <c r="F188" s="45">
        <v>2.35</v>
      </c>
      <c r="G188" s="42" t="s">
        <v>77</v>
      </c>
      <c r="H188" s="45">
        <v>203.72</v>
      </c>
      <c r="I188" s="42" t="s">
        <v>403</v>
      </c>
      <c r="J188" s="21">
        <v>0</v>
      </c>
      <c r="K188" s="46">
        <v>191</v>
      </c>
      <c r="L188" s="46">
        <v>191</v>
      </c>
    </row>
    <row r="189" spans="1:12" hidden="1" x14ac:dyDescent="0.35">
      <c r="A189" s="41">
        <v>1800003877</v>
      </c>
      <c r="B189" s="42" t="s">
        <v>9</v>
      </c>
      <c r="C189" s="43">
        <v>45736</v>
      </c>
      <c r="D189" s="44">
        <v>246779413745</v>
      </c>
      <c r="E189" s="42" t="s">
        <v>76</v>
      </c>
      <c r="F189" s="45">
        <v>37.6</v>
      </c>
      <c r="G189" s="42" t="s">
        <v>77</v>
      </c>
      <c r="H189" s="45">
        <v>3259.59</v>
      </c>
      <c r="I189" s="42" t="s">
        <v>403</v>
      </c>
      <c r="J189" s="21">
        <v>0</v>
      </c>
      <c r="K189" s="46">
        <v>3064</v>
      </c>
      <c r="L189" s="46">
        <v>3064</v>
      </c>
    </row>
    <row r="190" spans="1:12" hidden="1" x14ac:dyDescent="0.35">
      <c r="A190" s="41">
        <v>1800003894</v>
      </c>
      <c r="B190" s="42" t="s">
        <v>9</v>
      </c>
      <c r="C190" s="43">
        <v>45736</v>
      </c>
      <c r="D190" s="44">
        <v>246779413762</v>
      </c>
      <c r="E190" s="42" t="s">
        <v>76</v>
      </c>
      <c r="F190" s="45">
        <v>2.35</v>
      </c>
      <c r="G190" s="42" t="s">
        <v>77</v>
      </c>
      <c r="H190" s="45">
        <v>203.72</v>
      </c>
      <c r="I190" s="42" t="s">
        <v>134</v>
      </c>
      <c r="J190" s="21">
        <v>0</v>
      </c>
      <c r="K190" s="46">
        <v>191</v>
      </c>
      <c r="L190" s="46">
        <v>191</v>
      </c>
    </row>
    <row r="191" spans="1:12" hidden="1" x14ac:dyDescent="0.35">
      <c r="A191" s="41">
        <v>1800003914</v>
      </c>
      <c r="B191" s="42" t="s">
        <v>9</v>
      </c>
      <c r="C191" s="43">
        <v>45736</v>
      </c>
      <c r="D191" s="44">
        <v>246779413782</v>
      </c>
      <c r="E191" s="42" t="s">
        <v>76</v>
      </c>
      <c r="F191" s="45">
        <v>7.05</v>
      </c>
      <c r="G191" s="42" t="s">
        <v>77</v>
      </c>
      <c r="H191" s="45">
        <v>611.16999999999996</v>
      </c>
      <c r="I191" s="42" t="s">
        <v>134</v>
      </c>
      <c r="J191" s="21">
        <v>0</v>
      </c>
      <c r="K191" s="46">
        <v>596</v>
      </c>
      <c r="L191" s="46">
        <v>596</v>
      </c>
    </row>
    <row r="192" spans="1:12" hidden="1" x14ac:dyDescent="0.35">
      <c r="A192" s="41">
        <v>1800003928</v>
      </c>
      <c r="B192" s="42" t="s">
        <v>9</v>
      </c>
      <c r="C192" s="43">
        <v>45736</v>
      </c>
      <c r="D192" s="44">
        <v>246779413796</v>
      </c>
      <c r="E192" s="42" t="s">
        <v>76</v>
      </c>
      <c r="F192" s="45">
        <v>1926.06</v>
      </c>
      <c r="G192" s="42" t="s">
        <v>77</v>
      </c>
      <c r="H192" s="45">
        <v>166972.57</v>
      </c>
      <c r="I192" s="42" t="s">
        <v>406</v>
      </c>
      <c r="J192" s="21">
        <v>0</v>
      </c>
      <c r="K192" s="46">
        <v>0</v>
      </c>
      <c r="L192" s="46">
        <v>0</v>
      </c>
    </row>
    <row r="193" spans="1:12" hidden="1" x14ac:dyDescent="0.35">
      <c r="A193" s="41">
        <v>1800003989</v>
      </c>
      <c r="B193" s="42" t="s">
        <v>9</v>
      </c>
      <c r="C193" s="43">
        <v>45736</v>
      </c>
      <c r="D193" s="44">
        <v>246779413845</v>
      </c>
      <c r="E193" s="42" t="s">
        <v>76</v>
      </c>
      <c r="F193" s="45">
        <v>531.9</v>
      </c>
      <c r="G193" s="42" t="s">
        <v>77</v>
      </c>
      <c r="H193" s="45">
        <v>46111.08</v>
      </c>
      <c r="I193" s="42" t="s">
        <v>407</v>
      </c>
      <c r="J193" s="21">
        <v>0</v>
      </c>
      <c r="K193" s="46">
        <v>45188</v>
      </c>
      <c r="L193" s="46">
        <v>45188</v>
      </c>
    </row>
    <row r="194" spans="1:12" hidden="1" x14ac:dyDescent="0.35">
      <c r="A194" s="41">
        <v>1800004077</v>
      </c>
      <c r="B194" s="42" t="s">
        <v>9</v>
      </c>
      <c r="C194" s="43">
        <v>45736</v>
      </c>
      <c r="D194" s="44">
        <v>246779413933</v>
      </c>
      <c r="E194" s="42" t="s">
        <v>76</v>
      </c>
      <c r="F194" s="45">
        <v>10</v>
      </c>
      <c r="G194" s="42" t="s">
        <v>77</v>
      </c>
      <c r="H194" s="45">
        <v>866.91</v>
      </c>
      <c r="I194" s="42" t="s">
        <v>134</v>
      </c>
      <c r="J194" s="21">
        <v>0</v>
      </c>
      <c r="K194" s="46">
        <v>846</v>
      </c>
      <c r="L194" s="46">
        <v>846</v>
      </c>
    </row>
    <row r="195" spans="1:12" hidden="1" x14ac:dyDescent="0.35">
      <c r="A195" s="41">
        <v>1800004273</v>
      </c>
      <c r="B195" s="42" t="s">
        <v>9</v>
      </c>
      <c r="C195" s="43">
        <v>45736</v>
      </c>
      <c r="D195" s="44">
        <v>246779414141</v>
      </c>
      <c r="E195" s="42" t="s">
        <v>76</v>
      </c>
      <c r="F195" s="45">
        <v>55</v>
      </c>
      <c r="G195" s="42" t="s">
        <v>77</v>
      </c>
      <c r="H195" s="45">
        <v>4768.0200000000004</v>
      </c>
      <c r="I195" s="42" t="s">
        <v>408</v>
      </c>
      <c r="J195" s="21">
        <v>0</v>
      </c>
      <c r="K195" s="46">
        <v>4652</v>
      </c>
      <c r="L195" s="46">
        <v>4652</v>
      </c>
    </row>
    <row r="196" spans="1:12" hidden="1" x14ac:dyDescent="0.35">
      <c r="A196" s="41">
        <v>1800004274</v>
      </c>
      <c r="B196" s="42" t="s">
        <v>9</v>
      </c>
      <c r="C196" s="43">
        <v>45736</v>
      </c>
      <c r="D196" s="44">
        <v>246779414142</v>
      </c>
      <c r="E196" s="42" t="s">
        <v>76</v>
      </c>
      <c r="F196" s="45">
        <v>15</v>
      </c>
      <c r="G196" s="42" t="s">
        <v>77</v>
      </c>
      <c r="H196" s="45">
        <v>1300.3699999999999</v>
      </c>
      <c r="I196" s="42" t="s">
        <v>409</v>
      </c>
      <c r="J196" s="21">
        <v>0</v>
      </c>
      <c r="K196" s="46">
        <v>1268</v>
      </c>
      <c r="L196" s="46">
        <v>1268</v>
      </c>
    </row>
    <row r="197" spans="1:12" hidden="1" x14ac:dyDescent="0.35">
      <c r="A197" s="41">
        <v>1800004353</v>
      </c>
      <c r="B197" s="42" t="s">
        <v>9</v>
      </c>
      <c r="C197" s="43">
        <v>45736</v>
      </c>
      <c r="D197" s="44">
        <v>246779414221</v>
      </c>
      <c r="E197" s="42" t="s">
        <v>76</v>
      </c>
      <c r="F197" s="45">
        <v>209.25</v>
      </c>
      <c r="G197" s="42" t="s">
        <v>77</v>
      </c>
      <c r="H197" s="45">
        <v>18140.150000000001</v>
      </c>
      <c r="I197" s="42" t="s">
        <v>410</v>
      </c>
      <c r="J197" s="21">
        <v>0</v>
      </c>
      <c r="K197" s="46">
        <v>17701</v>
      </c>
      <c r="L197" s="46">
        <v>17701</v>
      </c>
    </row>
    <row r="198" spans="1:12" hidden="1" x14ac:dyDescent="0.35">
      <c r="A198" s="41">
        <v>1800004599</v>
      </c>
      <c r="B198" s="42" t="s">
        <v>9</v>
      </c>
      <c r="C198" s="43">
        <v>45736</v>
      </c>
      <c r="D198" s="44">
        <v>246779414467</v>
      </c>
      <c r="E198" s="42" t="s">
        <v>76</v>
      </c>
      <c r="F198" s="45">
        <v>31.73</v>
      </c>
      <c r="G198" s="42" t="s">
        <v>77</v>
      </c>
      <c r="H198" s="45">
        <v>2750.71</v>
      </c>
      <c r="I198" s="42" t="s">
        <v>411</v>
      </c>
      <c r="J198" s="21">
        <v>0</v>
      </c>
      <c r="K198" s="46">
        <v>2674</v>
      </c>
      <c r="L198" s="46">
        <v>2674</v>
      </c>
    </row>
    <row r="199" spans="1:12" hidden="1" x14ac:dyDescent="0.35">
      <c r="A199" s="41">
        <v>1800004813</v>
      </c>
      <c r="B199" s="42" t="s">
        <v>9</v>
      </c>
      <c r="C199" s="43">
        <v>45736</v>
      </c>
      <c r="D199" s="44">
        <v>246779414681</v>
      </c>
      <c r="E199" s="42" t="s">
        <v>76</v>
      </c>
      <c r="F199" s="45">
        <v>15</v>
      </c>
      <c r="G199" s="42" t="s">
        <v>77</v>
      </c>
      <c r="H199" s="45">
        <v>1300.3699999999999</v>
      </c>
      <c r="I199" s="42" t="s">
        <v>412</v>
      </c>
      <c r="J199" s="21">
        <v>0</v>
      </c>
      <c r="K199" s="46">
        <v>1268</v>
      </c>
      <c r="L199" s="46">
        <v>1268</v>
      </c>
    </row>
    <row r="200" spans="1:12" hidden="1" x14ac:dyDescent="0.35">
      <c r="A200" s="41">
        <v>1800004866</v>
      </c>
      <c r="B200" s="42" t="s">
        <v>9</v>
      </c>
      <c r="C200" s="43">
        <v>45736</v>
      </c>
      <c r="D200" s="44">
        <v>246779414734</v>
      </c>
      <c r="E200" s="42" t="s">
        <v>76</v>
      </c>
      <c r="F200" s="45">
        <v>2.5</v>
      </c>
      <c r="G200" s="42" t="s">
        <v>77</v>
      </c>
      <c r="H200" s="45">
        <v>216.73</v>
      </c>
      <c r="I200" s="42" t="s">
        <v>403</v>
      </c>
      <c r="J200" s="21">
        <v>0</v>
      </c>
      <c r="K200" s="46">
        <v>211</v>
      </c>
      <c r="L200" s="46">
        <v>211</v>
      </c>
    </row>
    <row r="201" spans="1:12" hidden="1" x14ac:dyDescent="0.35">
      <c r="A201" s="41">
        <v>1800005017</v>
      </c>
      <c r="B201" s="42" t="s">
        <v>9</v>
      </c>
      <c r="C201" s="43">
        <v>45736</v>
      </c>
      <c r="D201" s="44">
        <v>246779414885</v>
      </c>
      <c r="E201" s="42" t="s">
        <v>76</v>
      </c>
      <c r="F201" s="45">
        <v>2.5</v>
      </c>
      <c r="G201" s="42" t="s">
        <v>77</v>
      </c>
      <c r="H201" s="45">
        <v>216.73</v>
      </c>
      <c r="I201" s="42" t="s">
        <v>403</v>
      </c>
      <c r="J201" s="21">
        <v>0</v>
      </c>
      <c r="K201" s="46">
        <v>211</v>
      </c>
      <c r="L201" s="46">
        <v>211</v>
      </c>
    </row>
    <row r="202" spans="1:12" hidden="1" x14ac:dyDescent="0.35">
      <c r="A202" s="41">
        <v>1800003780</v>
      </c>
      <c r="B202" s="42" t="s">
        <v>9</v>
      </c>
      <c r="C202" s="43">
        <v>45736</v>
      </c>
      <c r="D202" s="44">
        <v>246779413702</v>
      </c>
      <c r="E202" s="42" t="s">
        <v>76</v>
      </c>
      <c r="F202" s="45">
        <v>364.25</v>
      </c>
      <c r="G202" s="42" t="s">
        <v>77</v>
      </c>
      <c r="H202" s="45">
        <v>31577.29</v>
      </c>
      <c r="I202" s="42" t="s">
        <v>413</v>
      </c>
      <c r="J202" s="21">
        <v>0</v>
      </c>
      <c r="K202" s="46">
        <v>0</v>
      </c>
      <c r="L202" s="46">
        <v>0</v>
      </c>
    </row>
    <row r="203" spans="1:12" hidden="1" x14ac:dyDescent="0.35">
      <c r="A203" s="41">
        <v>1800003783</v>
      </c>
      <c r="B203" s="42" t="s">
        <v>9</v>
      </c>
      <c r="C203" s="43">
        <v>45736</v>
      </c>
      <c r="D203" s="44">
        <v>246779413705</v>
      </c>
      <c r="E203" s="42" t="s">
        <v>76</v>
      </c>
      <c r="F203" s="45">
        <v>237.35</v>
      </c>
      <c r="G203" s="42" t="s">
        <v>77</v>
      </c>
      <c r="H203" s="45">
        <v>20576.169999999998</v>
      </c>
      <c r="I203" s="42" t="s">
        <v>414</v>
      </c>
      <c r="J203" s="21">
        <v>0</v>
      </c>
      <c r="K203" s="46">
        <v>19429</v>
      </c>
      <c r="L203" s="46">
        <v>19429</v>
      </c>
    </row>
    <row r="204" spans="1:12" hidden="1" x14ac:dyDescent="0.35">
      <c r="A204" s="41">
        <v>1800003960</v>
      </c>
      <c r="B204" s="42" t="s">
        <v>9</v>
      </c>
      <c r="C204" s="43">
        <v>45736</v>
      </c>
      <c r="D204" s="44">
        <v>246779413816</v>
      </c>
      <c r="E204" s="42" t="s">
        <v>76</v>
      </c>
      <c r="F204" s="45">
        <v>220</v>
      </c>
      <c r="G204" s="42" t="s">
        <v>77</v>
      </c>
      <c r="H204" s="45">
        <v>19072.080000000002</v>
      </c>
      <c r="I204" s="42" t="s">
        <v>415</v>
      </c>
      <c r="J204" s="21">
        <v>0</v>
      </c>
      <c r="K204" s="46">
        <v>18610</v>
      </c>
      <c r="L204" s="46">
        <v>18610</v>
      </c>
    </row>
    <row r="205" spans="1:12" hidden="1" x14ac:dyDescent="0.35">
      <c r="A205" s="41">
        <v>1800003971</v>
      </c>
      <c r="B205" s="42" t="s">
        <v>9</v>
      </c>
      <c r="C205" s="43">
        <v>45736</v>
      </c>
      <c r="D205" s="44">
        <v>246779413827</v>
      </c>
      <c r="E205" s="42" t="s">
        <v>76</v>
      </c>
      <c r="F205" s="45">
        <v>375</v>
      </c>
      <c r="G205" s="42" t="s">
        <v>77</v>
      </c>
      <c r="H205" s="45">
        <v>32509.22</v>
      </c>
      <c r="I205" s="42" t="s">
        <v>416</v>
      </c>
      <c r="J205" s="21">
        <v>0</v>
      </c>
      <c r="K205" s="46">
        <v>31723</v>
      </c>
      <c r="L205" s="46">
        <v>31723</v>
      </c>
    </row>
    <row r="206" spans="1:12" hidden="1" x14ac:dyDescent="0.35">
      <c r="A206" s="41">
        <v>1800003874</v>
      </c>
      <c r="B206" s="42" t="s">
        <v>9</v>
      </c>
      <c r="C206" s="43">
        <v>45736</v>
      </c>
      <c r="D206" s="44">
        <v>246779413742</v>
      </c>
      <c r="E206" s="42" t="s">
        <v>76</v>
      </c>
      <c r="F206" s="45">
        <v>14.1</v>
      </c>
      <c r="G206" s="42" t="s">
        <v>77</v>
      </c>
      <c r="H206" s="45">
        <v>1222.3499999999999</v>
      </c>
      <c r="I206" s="42" t="s">
        <v>403</v>
      </c>
      <c r="J206" s="21">
        <v>0</v>
      </c>
      <c r="K206" s="46">
        <v>1149</v>
      </c>
      <c r="L206" s="46">
        <v>1149</v>
      </c>
    </row>
    <row r="207" spans="1:12" hidden="1" x14ac:dyDescent="0.35">
      <c r="A207" s="41">
        <v>1800003875</v>
      </c>
      <c r="B207" s="42" t="s">
        <v>9</v>
      </c>
      <c r="C207" s="43">
        <v>45736</v>
      </c>
      <c r="D207" s="44">
        <v>246779413743</v>
      </c>
      <c r="E207" s="42" t="s">
        <v>76</v>
      </c>
      <c r="F207" s="45">
        <v>4.7</v>
      </c>
      <c r="G207" s="42" t="s">
        <v>77</v>
      </c>
      <c r="H207" s="45">
        <v>407.45</v>
      </c>
      <c r="I207" s="42" t="s">
        <v>403</v>
      </c>
      <c r="J207" s="21">
        <v>0</v>
      </c>
      <c r="K207" s="46">
        <v>383</v>
      </c>
      <c r="L207" s="46">
        <v>383</v>
      </c>
    </row>
    <row r="208" spans="1:12" hidden="1" x14ac:dyDescent="0.35">
      <c r="A208" s="41">
        <v>1800003885</v>
      </c>
      <c r="B208" s="42" t="s">
        <v>9</v>
      </c>
      <c r="C208" s="43">
        <v>45736</v>
      </c>
      <c r="D208" s="44">
        <v>246779413753</v>
      </c>
      <c r="E208" s="42" t="s">
        <v>76</v>
      </c>
      <c r="F208" s="45">
        <v>2.35</v>
      </c>
      <c r="G208" s="42" t="s">
        <v>77</v>
      </c>
      <c r="H208" s="45">
        <v>203.72</v>
      </c>
      <c r="I208" s="42" t="s">
        <v>134</v>
      </c>
      <c r="J208" s="21">
        <v>0</v>
      </c>
      <c r="K208" s="46">
        <v>31723</v>
      </c>
      <c r="L208" s="46">
        <v>31723</v>
      </c>
    </row>
    <row r="209" spans="1:12" hidden="1" x14ac:dyDescent="0.35">
      <c r="A209" s="41">
        <v>1800004735</v>
      </c>
      <c r="B209" s="42" t="s">
        <v>9</v>
      </c>
      <c r="C209" s="43">
        <v>45736</v>
      </c>
      <c r="D209" s="44">
        <v>246779414603</v>
      </c>
      <c r="E209" s="42" t="s">
        <v>76</v>
      </c>
      <c r="F209" s="45">
        <v>412.38</v>
      </c>
      <c r="G209" s="42" t="s">
        <v>77</v>
      </c>
      <c r="H209" s="45">
        <v>35749.74</v>
      </c>
      <c r="I209" s="42" t="s">
        <v>417</v>
      </c>
      <c r="J209" s="21">
        <v>0</v>
      </c>
      <c r="K209" s="46">
        <v>34760</v>
      </c>
      <c r="L209" s="46">
        <v>34760</v>
      </c>
    </row>
    <row r="210" spans="1:12" hidden="1" x14ac:dyDescent="0.35">
      <c r="A210" s="41">
        <v>1800004812</v>
      </c>
      <c r="B210" s="42" t="s">
        <v>9</v>
      </c>
      <c r="C210" s="43">
        <v>45736</v>
      </c>
      <c r="D210" s="44">
        <v>246779414680</v>
      </c>
      <c r="E210" s="42" t="s">
        <v>76</v>
      </c>
      <c r="F210" s="45">
        <v>2.5</v>
      </c>
      <c r="G210" s="42" t="s">
        <v>77</v>
      </c>
      <c r="H210" s="45">
        <v>216.73</v>
      </c>
      <c r="I210" s="42" t="s">
        <v>418</v>
      </c>
      <c r="J210" s="21">
        <v>0</v>
      </c>
      <c r="K210" s="46">
        <v>383</v>
      </c>
      <c r="L210" s="46">
        <v>383</v>
      </c>
    </row>
    <row r="211" spans="1:12" hidden="1" x14ac:dyDescent="0.35">
      <c r="A211" s="41">
        <v>1800000121</v>
      </c>
      <c r="B211" s="42" t="s">
        <v>9</v>
      </c>
      <c r="C211" s="43">
        <v>45708</v>
      </c>
      <c r="D211" s="44">
        <v>246779410049</v>
      </c>
      <c r="E211" s="42" t="s">
        <v>76</v>
      </c>
      <c r="F211" s="45">
        <v>456.75</v>
      </c>
      <c r="G211" s="42" t="s">
        <v>77</v>
      </c>
      <c r="H211" s="45">
        <v>39419.199999999997</v>
      </c>
      <c r="I211" s="42" t="s">
        <v>419</v>
      </c>
      <c r="J211" s="21">
        <v>0</v>
      </c>
      <c r="K211" s="46">
        <v>35554.519999999997</v>
      </c>
      <c r="L211" s="46">
        <v>35554.519999999997</v>
      </c>
    </row>
    <row r="212" spans="1:12" hidden="1" x14ac:dyDescent="0.35">
      <c r="A212" s="41">
        <v>1800000032</v>
      </c>
      <c r="B212" s="42" t="s">
        <v>9</v>
      </c>
      <c r="C212" s="43">
        <v>45708</v>
      </c>
      <c r="D212" s="44">
        <v>246779410072</v>
      </c>
      <c r="E212" s="42" t="s">
        <v>76</v>
      </c>
      <c r="F212" s="45">
        <v>456.75</v>
      </c>
      <c r="G212" s="42" t="s">
        <v>77</v>
      </c>
      <c r="H212" s="45">
        <v>39419.199999999997</v>
      </c>
      <c r="I212" s="42" t="s">
        <v>420</v>
      </c>
      <c r="J212" s="21">
        <v>0</v>
      </c>
      <c r="K212" s="46">
        <v>35477</v>
      </c>
      <c r="L212" s="46">
        <v>35477</v>
      </c>
    </row>
    <row r="213" spans="1:12" hidden="1" x14ac:dyDescent="0.35">
      <c r="A213" s="41">
        <v>1800000190</v>
      </c>
      <c r="B213" s="42" t="s">
        <v>9</v>
      </c>
      <c r="C213" s="43">
        <v>45708</v>
      </c>
      <c r="D213" s="44">
        <v>246779410117</v>
      </c>
      <c r="E213" s="42" t="s">
        <v>76</v>
      </c>
      <c r="F213" s="45">
        <v>456.75</v>
      </c>
      <c r="G213" s="42" t="s">
        <v>77</v>
      </c>
      <c r="H213" s="45">
        <v>39419.199999999997</v>
      </c>
      <c r="I213" s="42" t="s">
        <v>421</v>
      </c>
      <c r="J213" s="21">
        <v>0</v>
      </c>
      <c r="K213" s="46">
        <v>35554.519999999997</v>
      </c>
      <c r="L213" s="46">
        <v>35554.519999999997</v>
      </c>
    </row>
    <row r="214" spans="1:12" hidden="1" x14ac:dyDescent="0.35">
      <c r="A214" s="41">
        <v>1800000233</v>
      </c>
      <c r="B214" s="42" t="s">
        <v>9</v>
      </c>
      <c r="C214" s="43">
        <v>45708</v>
      </c>
      <c r="D214" s="44">
        <v>246779410160</v>
      </c>
      <c r="E214" s="42" t="s">
        <v>76</v>
      </c>
      <c r="F214" s="45">
        <v>456.75</v>
      </c>
      <c r="G214" s="42" t="s">
        <v>77</v>
      </c>
      <c r="H214" s="45">
        <v>39419.199999999997</v>
      </c>
      <c r="I214" s="42" t="s">
        <v>422</v>
      </c>
      <c r="J214" s="21">
        <v>0</v>
      </c>
      <c r="K214" s="46">
        <v>35554.519999999997</v>
      </c>
      <c r="L214" s="46">
        <v>35554.519999999997</v>
      </c>
    </row>
    <row r="215" spans="1:12" hidden="1" x14ac:dyDescent="0.35">
      <c r="A215" s="41">
        <v>1800000276</v>
      </c>
      <c r="B215" s="42" t="s">
        <v>9</v>
      </c>
      <c r="C215" s="43">
        <v>45708</v>
      </c>
      <c r="D215" s="44">
        <v>246779410203</v>
      </c>
      <c r="E215" s="42" t="s">
        <v>76</v>
      </c>
      <c r="F215" s="45">
        <v>456.75</v>
      </c>
      <c r="G215" s="42" t="s">
        <v>77</v>
      </c>
      <c r="H215" s="45">
        <v>39419.199999999997</v>
      </c>
      <c r="I215" s="42" t="s">
        <v>138</v>
      </c>
      <c r="J215" s="21">
        <v>0</v>
      </c>
      <c r="K215" s="46">
        <v>35554.519999999997</v>
      </c>
      <c r="L215" s="46">
        <v>35554.519999999997</v>
      </c>
    </row>
    <row r="216" spans="1:12" hidden="1" x14ac:dyDescent="0.35">
      <c r="A216" s="41">
        <v>1800000319</v>
      </c>
      <c r="B216" s="42" t="s">
        <v>9</v>
      </c>
      <c r="C216" s="43">
        <v>45708</v>
      </c>
      <c r="D216" s="44">
        <v>246779410246</v>
      </c>
      <c r="E216" s="42" t="s">
        <v>76</v>
      </c>
      <c r="F216" s="45">
        <v>456.75</v>
      </c>
      <c r="G216" s="42" t="s">
        <v>77</v>
      </c>
      <c r="H216" s="45">
        <v>39419.199999999997</v>
      </c>
      <c r="I216" s="42" t="s">
        <v>136</v>
      </c>
      <c r="J216" s="21">
        <v>0</v>
      </c>
      <c r="K216" s="46">
        <v>35554.519999999997</v>
      </c>
      <c r="L216" s="46">
        <v>35554.519999999997</v>
      </c>
    </row>
    <row r="217" spans="1:12" hidden="1" x14ac:dyDescent="0.35">
      <c r="A217" s="41">
        <v>1800000150</v>
      </c>
      <c r="B217" s="42" t="s">
        <v>9</v>
      </c>
      <c r="C217" s="43">
        <v>45708</v>
      </c>
      <c r="D217" s="44">
        <v>246779410303</v>
      </c>
      <c r="E217" s="42" t="s">
        <v>76</v>
      </c>
      <c r="F217" s="45">
        <v>456.75</v>
      </c>
      <c r="G217" s="42" t="s">
        <v>77</v>
      </c>
      <c r="H217" s="45">
        <v>39419.199999999997</v>
      </c>
      <c r="I217" s="42" t="s">
        <v>423</v>
      </c>
      <c r="J217" s="21">
        <v>0</v>
      </c>
      <c r="K217" s="46">
        <v>35554.519999999997</v>
      </c>
      <c r="L217" s="46">
        <v>35554.519999999997</v>
      </c>
    </row>
    <row r="218" spans="1:12" hidden="1" x14ac:dyDescent="0.35">
      <c r="A218" s="41">
        <v>1800012068</v>
      </c>
      <c r="B218" s="42" t="s">
        <v>9</v>
      </c>
      <c r="C218" s="43">
        <v>45889</v>
      </c>
      <c r="D218" s="44">
        <v>256779416603</v>
      </c>
      <c r="E218" s="42" t="s">
        <v>76</v>
      </c>
      <c r="F218" s="45">
        <v>17.350000000000001</v>
      </c>
      <c r="G218" s="42" t="s">
        <v>77</v>
      </c>
      <c r="H218" s="45">
        <v>1492.62</v>
      </c>
      <c r="I218" s="42" t="s">
        <v>424</v>
      </c>
      <c r="J218" s="21">
        <v>0</v>
      </c>
      <c r="K218" s="46">
        <v>1463</v>
      </c>
      <c r="L218" s="46">
        <v>1463</v>
      </c>
    </row>
    <row r="219" spans="1:12" hidden="1" x14ac:dyDescent="0.35">
      <c r="A219" s="41">
        <v>1800012177</v>
      </c>
      <c r="B219" s="42" t="s">
        <v>9</v>
      </c>
      <c r="C219" s="43">
        <v>45889</v>
      </c>
      <c r="D219" s="44">
        <v>256779416615</v>
      </c>
      <c r="E219" s="42" t="s">
        <v>76</v>
      </c>
      <c r="F219" s="45">
        <v>56.82</v>
      </c>
      <c r="G219" s="42" t="s">
        <v>77</v>
      </c>
      <c r="H219" s="45">
        <v>4888.2299999999996</v>
      </c>
      <c r="I219" s="42" t="s">
        <v>425</v>
      </c>
      <c r="J219" s="21">
        <v>0</v>
      </c>
      <c r="K219" s="46">
        <v>4790</v>
      </c>
      <c r="L219" s="46">
        <v>4790</v>
      </c>
    </row>
    <row r="220" spans="1:12" hidden="1" x14ac:dyDescent="0.35">
      <c r="A220" s="41">
        <v>1800012164</v>
      </c>
      <c r="B220" s="42" t="s">
        <v>9</v>
      </c>
      <c r="C220" s="43">
        <v>45889</v>
      </c>
      <c r="D220" s="44">
        <v>256779416809</v>
      </c>
      <c r="E220" s="42" t="s">
        <v>76</v>
      </c>
      <c r="F220" s="45">
        <v>82.8</v>
      </c>
      <c r="G220" s="42" t="s">
        <v>77</v>
      </c>
      <c r="H220" s="45">
        <v>7123.29</v>
      </c>
      <c r="I220" s="42" t="s">
        <v>426</v>
      </c>
      <c r="J220" s="21">
        <v>0</v>
      </c>
      <c r="K220" s="46">
        <v>6981</v>
      </c>
      <c r="L220" s="46">
        <v>6981</v>
      </c>
    </row>
    <row r="221" spans="1:12" hidden="1" x14ac:dyDescent="0.35">
      <c r="A221" s="41">
        <v>1800012248</v>
      </c>
      <c r="B221" s="42" t="s">
        <v>9</v>
      </c>
      <c r="C221" s="43">
        <v>45889</v>
      </c>
      <c r="D221" s="44">
        <v>256779416844</v>
      </c>
      <c r="E221" s="42" t="s">
        <v>76</v>
      </c>
      <c r="F221" s="45">
        <v>141.4</v>
      </c>
      <c r="G221" s="42" t="s">
        <v>77</v>
      </c>
      <c r="H221" s="45">
        <v>12164.66</v>
      </c>
      <c r="I221" s="42" t="s">
        <v>427</v>
      </c>
      <c r="J221" s="21">
        <v>0</v>
      </c>
      <c r="K221" s="46">
        <v>11922</v>
      </c>
      <c r="L221" s="46">
        <v>11922</v>
      </c>
    </row>
    <row r="222" spans="1:12" hidden="1" x14ac:dyDescent="0.35">
      <c r="A222" s="41">
        <v>1800012216</v>
      </c>
      <c r="B222" s="42" t="s">
        <v>9</v>
      </c>
      <c r="C222" s="43">
        <v>45889</v>
      </c>
      <c r="D222" s="44">
        <v>256779416878</v>
      </c>
      <c r="E222" s="42" t="s">
        <v>76</v>
      </c>
      <c r="F222" s="45">
        <v>11.52</v>
      </c>
      <c r="G222" s="42" t="s">
        <v>77</v>
      </c>
      <c r="H222" s="45">
        <v>991.07</v>
      </c>
      <c r="I222" s="42" t="s">
        <v>428</v>
      </c>
      <c r="J222" s="21">
        <v>0</v>
      </c>
      <c r="K222" s="46">
        <v>971</v>
      </c>
      <c r="L222" s="46">
        <v>971</v>
      </c>
    </row>
    <row r="223" spans="1:12" hidden="1" x14ac:dyDescent="0.35">
      <c r="A223" s="41">
        <v>1800015418</v>
      </c>
      <c r="B223" s="42" t="s">
        <v>9</v>
      </c>
      <c r="C223" s="43">
        <v>45999</v>
      </c>
      <c r="D223" s="44">
        <v>256779419867</v>
      </c>
      <c r="E223" s="42" t="s">
        <v>76</v>
      </c>
      <c r="F223" s="45">
        <v>703.51</v>
      </c>
      <c r="G223" s="42" t="s">
        <v>77</v>
      </c>
      <c r="H223" s="45">
        <v>62401.440000000002</v>
      </c>
      <c r="I223" s="42" t="s">
        <v>264</v>
      </c>
      <c r="J223" s="21">
        <v>0</v>
      </c>
      <c r="K223" s="46">
        <v>61159.633500000004</v>
      </c>
      <c r="L223" s="46">
        <v>61159.633500000004</v>
      </c>
    </row>
    <row r="224" spans="1:12" hidden="1" x14ac:dyDescent="0.35">
      <c r="A224" s="41">
        <v>1800009576</v>
      </c>
      <c r="B224" s="42" t="s">
        <v>9</v>
      </c>
      <c r="C224" s="43">
        <v>45821</v>
      </c>
      <c r="D224" s="44">
        <v>256779414340</v>
      </c>
      <c r="E224" s="42" t="s">
        <v>76</v>
      </c>
      <c r="F224" s="45">
        <v>586.09</v>
      </c>
      <c r="G224" s="42" t="s">
        <v>77</v>
      </c>
      <c r="H224" s="45">
        <v>50105.29</v>
      </c>
      <c r="I224" s="42" t="s">
        <v>430</v>
      </c>
      <c r="J224" s="21">
        <v>0</v>
      </c>
      <c r="K224" s="46">
        <v>45061.335200000001</v>
      </c>
      <c r="L224" s="46">
        <v>45061.335200000001</v>
      </c>
    </row>
    <row r="225" spans="1:12" hidden="1" x14ac:dyDescent="0.35">
      <c r="A225" s="41">
        <v>1800000672</v>
      </c>
      <c r="B225" s="42" t="s">
        <v>9</v>
      </c>
      <c r="C225" s="43">
        <v>45719</v>
      </c>
      <c r="D225" s="44">
        <v>246779410612</v>
      </c>
      <c r="E225" s="42" t="s">
        <v>76</v>
      </c>
      <c r="F225" s="45">
        <v>11.75</v>
      </c>
      <c r="G225" s="42" t="s">
        <v>77</v>
      </c>
      <c r="H225" s="45">
        <v>1018.62</v>
      </c>
      <c r="I225" s="42" t="s">
        <v>451</v>
      </c>
      <c r="J225" s="21">
        <v>0</v>
      </c>
      <c r="K225" s="46">
        <v>1004</v>
      </c>
      <c r="L225" s="46">
        <v>1004</v>
      </c>
    </row>
    <row r="226" spans="1:12" hidden="1" x14ac:dyDescent="0.35">
      <c r="A226" s="41">
        <v>1800000820</v>
      </c>
      <c r="B226" s="42" t="s">
        <v>9</v>
      </c>
      <c r="C226" s="43">
        <v>45720</v>
      </c>
      <c r="D226" s="44">
        <v>246779410760</v>
      </c>
      <c r="E226" s="42" t="s">
        <v>76</v>
      </c>
      <c r="F226" s="45">
        <v>11.75</v>
      </c>
      <c r="G226" s="42" t="s">
        <v>77</v>
      </c>
      <c r="H226" s="45">
        <v>1018.62</v>
      </c>
      <c r="I226" s="42" t="s">
        <v>452</v>
      </c>
      <c r="J226" s="21">
        <v>0</v>
      </c>
      <c r="K226" s="46">
        <v>1006</v>
      </c>
      <c r="L226" s="46">
        <v>1006</v>
      </c>
    </row>
    <row r="227" spans="1:12" hidden="1" x14ac:dyDescent="0.35">
      <c r="A227" s="41">
        <v>1800003904</v>
      </c>
      <c r="B227" s="42" t="s">
        <v>9</v>
      </c>
      <c r="C227" s="43">
        <v>45736</v>
      </c>
      <c r="D227" s="44">
        <v>246779413772</v>
      </c>
      <c r="E227" s="42" t="s">
        <v>76</v>
      </c>
      <c r="F227" s="45">
        <v>11.75</v>
      </c>
      <c r="G227" s="42" t="s">
        <v>77</v>
      </c>
      <c r="H227" s="45">
        <v>1018.62</v>
      </c>
      <c r="I227" s="42" t="s">
        <v>134</v>
      </c>
      <c r="J227" s="21">
        <v>0</v>
      </c>
      <c r="K227" s="46">
        <v>994</v>
      </c>
      <c r="L227" s="46">
        <v>994</v>
      </c>
    </row>
    <row r="228" spans="1:12" hidden="1" x14ac:dyDescent="0.35">
      <c r="A228" s="41">
        <v>1800008663</v>
      </c>
      <c r="B228" s="42" t="s">
        <v>9</v>
      </c>
      <c r="C228" s="43">
        <v>45798</v>
      </c>
      <c r="D228" s="44">
        <v>256779413427</v>
      </c>
      <c r="E228" s="42" t="s">
        <v>76</v>
      </c>
      <c r="F228" s="45">
        <v>11.75</v>
      </c>
      <c r="G228" s="42" t="s">
        <v>77</v>
      </c>
      <c r="H228" s="45">
        <v>1010.31</v>
      </c>
      <c r="I228" s="42" t="s">
        <v>453</v>
      </c>
      <c r="J228" s="21">
        <v>0</v>
      </c>
      <c r="K228" s="46">
        <v>990</v>
      </c>
      <c r="L228" s="46">
        <v>990</v>
      </c>
    </row>
    <row r="229" spans="1:12" hidden="1" x14ac:dyDescent="0.35">
      <c r="A229" s="41">
        <v>1800008664</v>
      </c>
      <c r="B229" s="42" t="s">
        <v>9</v>
      </c>
      <c r="C229" s="43">
        <v>45798</v>
      </c>
      <c r="D229" s="44">
        <v>256779413428</v>
      </c>
      <c r="E229" s="42" t="s">
        <v>76</v>
      </c>
      <c r="F229" s="45">
        <v>11.75</v>
      </c>
      <c r="G229" s="42" t="s">
        <v>77</v>
      </c>
      <c r="H229" s="45">
        <v>1010.31</v>
      </c>
      <c r="I229" s="42" t="s">
        <v>454</v>
      </c>
      <c r="J229" s="21">
        <v>0</v>
      </c>
      <c r="K229" s="46">
        <v>990</v>
      </c>
      <c r="L229" s="46">
        <v>990</v>
      </c>
    </row>
    <row r="230" spans="1:12" hidden="1" x14ac:dyDescent="0.35">
      <c r="A230" s="41">
        <v>1800012858</v>
      </c>
      <c r="B230" s="42" t="s">
        <v>9</v>
      </c>
      <c r="C230" s="43">
        <v>45918</v>
      </c>
      <c r="D230" s="44">
        <v>256779417594</v>
      </c>
      <c r="E230" s="42" t="s">
        <v>76</v>
      </c>
      <c r="F230" s="45">
        <v>11.75</v>
      </c>
      <c r="G230" s="42" t="s">
        <v>77</v>
      </c>
      <c r="H230" s="45">
        <v>1028.29</v>
      </c>
      <c r="I230" s="42" t="s">
        <v>456</v>
      </c>
      <c r="J230" s="21">
        <v>0</v>
      </c>
      <c r="K230" s="46">
        <v>1028.2935</v>
      </c>
      <c r="L230" s="46">
        <v>1028.2935</v>
      </c>
    </row>
    <row r="231" spans="1:12" hidden="1" x14ac:dyDescent="0.35">
      <c r="A231" s="41">
        <v>1800013527</v>
      </c>
      <c r="B231" s="42" t="s">
        <v>9</v>
      </c>
      <c r="C231" s="43">
        <v>45937</v>
      </c>
      <c r="D231" s="44">
        <v>256779418351</v>
      </c>
      <c r="E231" s="42" t="s">
        <v>76</v>
      </c>
      <c r="F231" s="45">
        <v>11.75</v>
      </c>
      <c r="G231" s="42" t="s">
        <v>77</v>
      </c>
      <c r="H231" s="45">
        <v>1036.24</v>
      </c>
      <c r="I231" s="42" t="s">
        <v>458</v>
      </c>
      <c r="J231" s="21">
        <v>0</v>
      </c>
      <c r="K231" s="46">
        <v>1036.08</v>
      </c>
      <c r="L231" s="46">
        <v>1036.08</v>
      </c>
    </row>
    <row r="232" spans="1:12" hidden="1" x14ac:dyDescent="0.35">
      <c r="A232" s="41">
        <v>1800000738</v>
      </c>
      <c r="B232" s="42" t="s">
        <v>9</v>
      </c>
      <c r="C232" s="43">
        <v>45720</v>
      </c>
      <c r="D232" s="44">
        <v>246779410678</v>
      </c>
      <c r="E232" s="42" t="s">
        <v>76</v>
      </c>
      <c r="F232" s="45">
        <v>2.35</v>
      </c>
      <c r="G232" s="42" t="s">
        <v>77</v>
      </c>
      <c r="H232" s="45">
        <v>203.72</v>
      </c>
      <c r="I232" s="42" t="s">
        <v>459</v>
      </c>
      <c r="J232" s="21">
        <v>0</v>
      </c>
      <c r="K232" s="46">
        <v>201</v>
      </c>
      <c r="L232" s="46">
        <v>201</v>
      </c>
    </row>
    <row r="233" spans="1:12" hidden="1" x14ac:dyDescent="0.35">
      <c r="A233" s="41">
        <v>1800000739</v>
      </c>
      <c r="B233" s="42" t="s">
        <v>9</v>
      </c>
      <c r="C233" s="43">
        <v>45720</v>
      </c>
      <c r="D233" s="44">
        <v>246779410679</v>
      </c>
      <c r="E233" s="42" t="s">
        <v>76</v>
      </c>
      <c r="F233" s="45">
        <v>2.35</v>
      </c>
      <c r="G233" s="42" t="s">
        <v>77</v>
      </c>
      <c r="H233" s="45">
        <v>203.72</v>
      </c>
      <c r="I233" s="42" t="s">
        <v>459</v>
      </c>
      <c r="J233" s="21">
        <v>0</v>
      </c>
      <c r="K233" s="46">
        <v>201</v>
      </c>
      <c r="L233" s="46">
        <v>201</v>
      </c>
    </row>
    <row r="234" spans="1:12" hidden="1" x14ac:dyDescent="0.35">
      <c r="A234" s="41">
        <v>1800000740</v>
      </c>
      <c r="B234" s="42" t="s">
        <v>9</v>
      </c>
      <c r="C234" s="43">
        <v>45720</v>
      </c>
      <c r="D234" s="44">
        <v>246779410680</v>
      </c>
      <c r="E234" s="42" t="s">
        <v>76</v>
      </c>
      <c r="F234" s="45">
        <v>14.1</v>
      </c>
      <c r="G234" s="42" t="s">
        <v>77</v>
      </c>
      <c r="H234" s="45">
        <v>1222.3499999999999</v>
      </c>
      <c r="I234" s="42" t="s">
        <v>459</v>
      </c>
      <c r="J234" s="21">
        <v>0</v>
      </c>
      <c r="K234" s="46">
        <v>1207</v>
      </c>
      <c r="L234" s="46">
        <v>1207</v>
      </c>
    </row>
    <row r="235" spans="1:12" hidden="1" x14ac:dyDescent="0.35">
      <c r="A235" s="41">
        <v>1800000741</v>
      </c>
      <c r="B235" s="42" t="s">
        <v>9</v>
      </c>
      <c r="C235" s="43">
        <v>45720</v>
      </c>
      <c r="D235" s="44">
        <v>246779410681</v>
      </c>
      <c r="E235" s="42" t="s">
        <v>76</v>
      </c>
      <c r="F235" s="45">
        <v>2.35</v>
      </c>
      <c r="G235" s="42" t="s">
        <v>77</v>
      </c>
      <c r="H235" s="45">
        <v>203.72</v>
      </c>
      <c r="I235" s="42" t="s">
        <v>459</v>
      </c>
      <c r="J235" s="21">
        <v>0</v>
      </c>
      <c r="K235" s="46">
        <v>201</v>
      </c>
      <c r="L235" s="46">
        <v>201</v>
      </c>
    </row>
    <row r="236" spans="1:12" hidden="1" x14ac:dyDescent="0.35">
      <c r="A236" s="41">
        <v>1800000742</v>
      </c>
      <c r="B236" s="42" t="s">
        <v>9</v>
      </c>
      <c r="C236" s="43">
        <v>45720</v>
      </c>
      <c r="D236" s="44">
        <v>246779410682</v>
      </c>
      <c r="E236" s="42" t="s">
        <v>76</v>
      </c>
      <c r="F236" s="45">
        <v>4.7</v>
      </c>
      <c r="G236" s="42" t="s">
        <v>77</v>
      </c>
      <c r="H236" s="45">
        <v>407.45</v>
      </c>
      <c r="I236" s="42" t="s">
        <v>459</v>
      </c>
      <c r="J236" s="21">
        <v>0</v>
      </c>
      <c r="K236" s="46">
        <v>201</v>
      </c>
      <c r="L236" s="46">
        <v>201</v>
      </c>
    </row>
    <row r="237" spans="1:12" hidden="1" x14ac:dyDescent="0.35">
      <c r="A237" s="41">
        <v>1800000743</v>
      </c>
      <c r="B237" s="42" t="s">
        <v>9</v>
      </c>
      <c r="C237" s="43">
        <v>45720</v>
      </c>
      <c r="D237" s="44">
        <v>246779410683</v>
      </c>
      <c r="E237" s="42" t="s">
        <v>76</v>
      </c>
      <c r="F237" s="45">
        <v>2.35</v>
      </c>
      <c r="G237" s="42" t="s">
        <v>77</v>
      </c>
      <c r="H237" s="45">
        <v>203.72</v>
      </c>
      <c r="I237" s="42" t="s">
        <v>459</v>
      </c>
      <c r="J237" s="21">
        <v>0</v>
      </c>
      <c r="K237" s="46">
        <v>201</v>
      </c>
      <c r="L237" s="46">
        <v>201</v>
      </c>
    </row>
    <row r="238" spans="1:12" hidden="1" x14ac:dyDescent="0.35">
      <c r="A238" s="41">
        <v>1800000744</v>
      </c>
      <c r="B238" s="42" t="s">
        <v>9</v>
      </c>
      <c r="C238" s="43">
        <v>45720</v>
      </c>
      <c r="D238" s="44">
        <v>246779410684</v>
      </c>
      <c r="E238" s="42" t="s">
        <v>76</v>
      </c>
      <c r="F238" s="45">
        <v>7.05</v>
      </c>
      <c r="G238" s="42" t="s">
        <v>77</v>
      </c>
      <c r="H238" s="45">
        <v>611.16999999999996</v>
      </c>
      <c r="I238" s="42" t="s">
        <v>459</v>
      </c>
      <c r="J238" s="21">
        <v>0</v>
      </c>
      <c r="K238" s="46">
        <v>604</v>
      </c>
      <c r="L238" s="46">
        <v>604</v>
      </c>
    </row>
    <row r="239" spans="1:12" hidden="1" x14ac:dyDescent="0.35">
      <c r="A239" s="41">
        <v>1800000745</v>
      </c>
      <c r="B239" s="42" t="s">
        <v>9</v>
      </c>
      <c r="C239" s="43">
        <v>45720</v>
      </c>
      <c r="D239" s="44">
        <v>246779410685</v>
      </c>
      <c r="E239" s="42" t="s">
        <v>76</v>
      </c>
      <c r="F239" s="45">
        <v>2.35</v>
      </c>
      <c r="G239" s="42" t="s">
        <v>77</v>
      </c>
      <c r="H239" s="45">
        <v>203.72</v>
      </c>
      <c r="I239" s="42" t="s">
        <v>459</v>
      </c>
      <c r="J239" s="21">
        <v>0</v>
      </c>
      <c r="K239" s="46">
        <v>201</v>
      </c>
      <c r="L239" s="46">
        <v>201</v>
      </c>
    </row>
    <row r="240" spans="1:12" hidden="1" x14ac:dyDescent="0.35">
      <c r="A240" s="41">
        <v>1800000746</v>
      </c>
      <c r="B240" s="42" t="s">
        <v>9</v>
      </c>
      <c r="C240" s="43">
        <v>45720</v>
      </c>
      <c r="D240" s="44">
        <v>246779410686</v>
      </c>
      <c r="E240" s="42" t="s">
        <v>76</v>
      </c>
      <c r="F240" s="45">
        <v>9.4</v>
      </c>
      <c r="G240" s="42" t="s">
        <v>77</v>
      </c>
      <c r="H240" s="45">
        <v>814.9</v>
      </c>
      <c r="I240" s="42" t="s">
        <v>459</v>
      </c>
      <c r="J240" s="21">
        <v>0</v>
      </c>
      <c r="K240" s="46">
        <v>805</v>
      </c>
      <c r="L240" s="46">
        <v>805</v>
      </c>
    </row>
    <row r="241" spans="1:12" hidden="1" x14ac:dyDescent="0.35">
      <c r="A241" s="41">
        <v>1800000747</v>
      </c>
      <c r="B241" s="42" t="s">
        <v>9</v>
      </c>
      <c r="C241" s="43">
        <v>45720</v>
      </c>
      <c r="D241" s="44">
        <v>246779410687</v>
      </c>
      <c r="E241" s="42" t="s">
        <v>76</v>
      </c>
      <c r="F241" s="45">
        <v>21.15</v>
      </c>
      <c r="G241" s="42" t="s">
        <v>77</v>
      </c>
      <c r="H241" s="45">
        <v>1833.52</v>
      </c>
      <c r="I241" s="42" t="s">
        <v>459</v>
      </c>
      <c r="J241" s="21">
        <v>0</v>
      </c>
      <c r="K241" s="46">
        <v>1797</v>
      </c>
      <c r="L241" s="46">
        <v>1797</v>
      </c>
    </row>
    <row r="242" spans="1:12" hidden="1" x14ac:dyDescent="0.35">
      <c r="A242" s="41">
        <v>1800000748</v>
      </c>
      <c r="B242" s="42" t="s">
        <v>9</v>
      </c>
      <c r="C242" s="43">
        <v>45720</v>
      </c>
      <c r="D242" s="44">
        <v>246779410688</v>
      </c>
      <c r="E242" s="42" t="s">
        <v>76</v>
      </c>
      <c r="F242" s="45">
        <v>9.4</v>
      </c>
      <c r="G242" s="42" t="s">
        <v>77</v>
      </c>
      <c r="H242" s="45">
        <v>814.9</v>
      </c>
      <c r="I242" s="42" t="s">
        <v>459</v>
      </c>
      <c r="J242" s="21">
        <v>0</v>
      </c>
      <c r="K242" s="46">
        <v>799</v>
      </c>
      <c r="L242" s="46">
        <v>799</v>
      </c>
    </row>
    <row r="243" spans="1:12" hidden="1" x14ac:dyDescent="0.35">
      <c r="A243" s="41">
        <v>1800000749</v>
      </c>
      <c r="B243" s="42" t="s">
        <v>9</v>
      </c>
      <c r="C243" s="43">
        <v>45720</v>
      </c>
      <c r="D243" s="44">
        <v>246779410689</v>
      </c>
      <c r="E243" s="42" t="s">
        <v>76</v>
      </c>
      <c r="F243" s="45">
        <v>4.7</v>
      </c>
      <c r="G243" s="42" t="s">
        <v>77</v>
      </c>
      <c r="H243" s="45">
        <v>407.45</v>
      </c>
      <c r="I243" s="42" t="s">
        <v>459</v>
      </c>
      <c r="J243" s="21">
        <v>0</v>
      </c>
      <c r="K243" s="46">
        <v>403</v>
      </c>
      <c r="L243" s="46">
        <v>403</v>
      </c>
    </row>
    <row r="244" spans="1:12" hidden="1" x14ac:dyDescent="0.35">
      <c r="A244" s="41">
        <v>1800000750</v>
      </c>
      <c r="B244" s="42" t="s">
        <v>9</v>
      </c>
      <c r="C244" s="43">
        <v>45720</v>
      </c>
      <c r="D244" s="44">
        <v>246779410690</v>
      </c>
      <c r="E244" s="42" t="s">
        <v>76</v>
      </c>
      <c r="F244" s="45">
        <v>42.3</v>
      </c>
      <c r="G244" s="42" t="s">
        <v>77</v>
      </c>
      <c r="H244" s="45">
        <v>3667.04</v>
      </c>
      <c r="I244" s="42" t="s">
        <v>459</v>
      </c>
      <c r="J244" s="21">
        <v>0</v>
      </c>
      <c r="K244" s="46">
        <v>3622</v>
      </c>
      <c r="L244" s="46">
        <v>3622</v>
      </c>
    </row>
    <row r="245" spans="1:12" hidden="1" x14ac:dyDescent="0.35">
      <c r="A245" s="41">
        <v>1800000751</v>
      </c>
      <c r="B245" s="42" t="s">
        <v>9</v>
      </c>
      <c r="C245" s="43">
        <v>45720</v>
      </c>
      <c r="D245" s="44">
        <v>246779410691</v>
      </c>
      <c r="E245" s="42" t="s">
        <v>76</v>
      </c>
      <c r="F245" s="45">
        <v>7.05</v>
      </c>
      <c r="G245" s="42" t="s">
        <v>77</v>
      </c>
      <c r="H245" s="45">
        <v>611.16999999999996</v>
      </c>
      <c r="I245" s="42" t="s">
        <v>459</v>
      </c>
      <c r="J245" s="21">
        <v>0</v>
      </c>
      <c r="K245" s="46">
        <v>604</v>
      </c>
      <c r="L245" s="46">
        <v>604</v>
      </c>
    </row>
    <row r="246" spans="1:12" hidden="1" x14ac:dyDescent="0.35">
      <c r="A246" s="41">
        <v>1800000752</v>
      </c>
      <c r="B246" s="42" t="s">
        <v>9</v>
      </c>
      <c r="C246" s="43">
        <v>45720</v>
      </c>
      <c r="D246" s="44">
        <v>246779410692</v>
      </c>
      <c r="E246" s="42" t="s">
        <v>76</v>
      </c>
      <c r="F246" s="45">
        <v>9.4</v>
      </c>
      <c r="G246" s="42" t="s">
        <v>77</v>
      </c>
      <c r="H246" s="45">
        <v>814.9</v>
      </c>
      <c r="I246" s="42" t="s">
        <v>459</v>
      </c>
      <c r="J246" s="21">
        <v>0</v>
      </c>
      <c r="K246" s="46">
        <v>805</v>
      </c>
      <c r="L246" s="46">
        <v>805</v>
      </c>
    </row>
    <row r="247" spans="1:12" hidden="1" x14ac:dyDescent="0.35">
      <c r="A247" s="41">
        <v>1800000753</v>
      </c>
      <c r="B247" s="42" t="s">
        <v>9</v>
      </c>
      <c r="C247" s="43">
        <v>45720</v>
      </c>
      <c r="D247" s="44">
        <v>246779410693</v>
      </c>
      <c r="E247" s="42" t="s">
        <v>76</v>
      </c>
      <c r="F247" s="45">
        <v>9.4</v>
      </c>
      <c r="G247" s="42" t="s">
        <v>77</v>
      </c>
      <c r="H247" s="45">
        <v>814.9</v>
      </c>
      <c r="I247" s="42" t="s">
        <v>459</v>
      </c>
      <c r="J247" s="21">
        <v>0</v>
      </c>
      <c r="K247" s="46">
        <v>805</v>
      </c>
      <c r="L247" s="46">
        <v>805</v>
      </c>
    </row>
    <row r="248" spans="1:12" hidden="1" x14ac:dyDescent="0.35">
      <c r="A248" s="41">
        <v>1800000815</v>
      </c>
      <c r="B248" s="42" t="s">
        <v>9</v>
      </c>
      <c r="C248" s="43">
        <v>45720</v>
      </c>
      <c r="D248" s="44">
        <v>246779410755</v>
      </c>
      <c r="E248" s="42" t="s">
        <v>76</v>
      </c>
      <c r="F248" s="45">
        <v>42.3</v>
      </c>
      <c r="G248" s="42" t="s">
        <v>77</v>
      </c>
      <c r="H248" s="45">
        <v>3667.04</v>
      </c>
      <c r="I248" s="42" t="s">
        <v>452</v>
      </c>
      <c r="J248" s="21">
        <v>0</v>
      </c>
      <c r="K248" s="46">
        <v>3594</v>
      </c>
      <c r="L248" s="46">
        <v>3594</v>
      </c>
    </row>
    <row r="249" spans="1:12" hidden="1" x14ac:dyDescent="0.35">
      <c r="A249" s="41">
        <v>1800000816</v>
      </c>
      <c r="B249" s="42" t="s">
        <v>9</v>
      </c>
      <c r="C249" s="43">
        <v>45720</v>
      </c>
      <c r="D249" s="44">
        <v>246779410756</v>
      </c>
      <c r="E249" s="42" t="s">
        <v>76</v>
      </c>
      <c r="F249" s="45">
        <v>4.7</v>
      </c>
      <c r="G249" s="42" t="s">
        <v>77</v>
      </c>
      <c r="H249" s="45">
        <v>407.45</v>
      </c>
      <c r="I249" s="42" t="s">
        <v>452</v>
      </c>
      <c r="J249" s="21">
        <v>0</v>
      </c>
      <c r="K249" s="46">
        <v>403</v>
      </c>
      <c r="L249" s="46">
        <v>403</v>
      </c>
    </row>
    <row r="250" spans="1:12" hidden="1" x14ac:dyDescent="0.35">
      <c r="A250" s="41">
        <v>1800000817</v>
      </c>
      <c r="B250" s="42" t="s">
        <v>9</v>
      </c>
      <c r="C250" s="43">
        <v>45720</v>
      </c>
      <c r="D250" s="44">
        <v>246779410757</v>
      </c>
      <c r="E250" s="42" t="s">
        <v>76</v>
      </c>
      <c r="F250" s="45">
        <v>4.7</v>
      </c>
      <c r="G250" s="42" t="s">
        <v>77</v>
      </c>
      <c r="H250" s="45">
        <v>407.45</v>
      </c>
      <c r="I250" s="42" t="s">
        <v>452</v>
      </c>
      <c r="J250" s="21">
        <v>0</v>
      </c>
      <c r="K250" s="46">
        <v>403</v>
      </c>
      <c r="L250" s="46">
        <v>403</v>
      </c>
    </row>
    <row r="251" spans="1:12" hidden="1" x14ac:dyDescent="0.35">
      <c r="A251" s="41">
        <v>1800000818</v>
      </c>
      <c r="B251" s="42" t="s">
        <v>9</v>
      </c>
      <c r="C251" s="43">
        <v>45720</v>
      </c>
      <c r="D251" s="44">
        <v>246779410758</v>
      </c>
      <c r="E251" s="42" t="s">
        <v>76</v>
      </c>
      <c r="F251" s="45">
        <v>37.6</v>
      </c>
      <c r="G251" s="42" t="s">
        <v>77</v>
      </c>
      <c r="H251" s="45">
        <v>3259.59</v>
      </c>
      <c r="I251" s="42" t="s">
        <v>452</v>
      </c>
      <c r="J251" s="21">
        <v>0</v>
      </c>
      <c r="K251" s="46">
        <v>3219</v>
      </c>
      <c r="L251" s="46">
        <v>3219</v>
      </c>
    </row>
    <row r="252" spans="1:12" hidden="1" x14ac:dyDescent="0.35">
      <c r="A252" s="41">
        <v>1800000819</v>
      </c>
      <c r="B252" s="42" t="s">
        <v>9</v>
      </c>
      <c r="C252" s="43">
        <v>45720</v>
      </c>
      <c r="D252" s="44">
        <v>246779410759</v>
      </c>
      <c r="E252" s="42" t="s">
        <v>76</v>
      </c>
      <c r="F252" s="45">
        <v>7.05</v>
      </c>
      <c r="G252" s="42" t="s">
        <v>77</v>
      </c>
      <c r="H252" s="45">
        <v>611.16999999999996</v>
      </c>
      <c r="I252" s="42" t="s">
        <v>452</v>
      </c>
      <c r="J252" s="21">
        <v>0</v>
      </c>
      <c r="K252" s="46">
        <v>604</v>
      </c>
      <c r="L252" s="46">
        <v>604</v>
      </c>
    </row>
    <row r="253" spans="1:12" hidden="1" x14ac:dyDescent="0.35">
      <c r="A253" s="41">
        <v>1800000821</v>
      </c>
      <c r="B253" s="42" t="s">
        <v>9</v>
      </c>
      <c r="C253" s="43">
        <v>45720</v>
      </c>
      <c r="D253" s="44">
        <v>246779410761</v>
      </c>
      <c r="E253" s="42" t="s">
        <v>76</v>
      </c>
      <c r="F253" s="45">
        <v>14.1</v>
      </c>
      <c r="G253" s="42" t="s">
        <v>77</v>
      </c>
      <c r="H253" s="45">
        <v>1222.3499999999999</v>
      </c>
      <c r="I253" s="42" t="s">
        <v>452</v>
      </c>
      <c r="J253" s="21">
        <v>0</v>
      </c>
      <c r="K253" s="46">
        <v>1207</v>
      </c>
      <c r="L253" s="46">
        <v>1207</v>
      </c>
    </row>
    <row r="254" spans="1:12" hidden="1" x14ac:dyDescent="0.35">
      <c r="A254" s="41">
        <v>1800000822</v>
      </c>
      <c r="B254" s="42" t="s">
        <v>9</v>
      </c>
      <c r="C254" s="43">
        <v>45720</v>
      </c>
      <c r="D254" s="44">
        <v>246779410762</v>
      </c>
      <c r="E254" s="42" t="s">
        <v>76</v>
      </c>
      <c r="F254" s="45">
        <v>4.7</v>
      </c>
      <c r="G254" s="42" t="s">
        <v>77</v>
      </c>
      <c r="H254" s="45">
        <v>407.45</v>
      </c>
      <c r="I254" s="42" t="s">
        <v>452</v>
      </c>
      <c r="J254" s="21">
        <v>0</v>
      </c>
      <c r="K254" s="46">
        <v>403</v>
      </c>
      <c r="L254" s="46">
        <v>403</v>
      </c>
    </row>
    <row r="255" spans="1:12" hidden="1" x14ac:dyDescent="0.35">
      <c r="A255" s="41">
        <v>1800000823</v>
      </c>
      <c r="B255" s="42" t="s">
        <v>9</v>
      </c>
      <c r="C255" s="43">
        <v>45720</v>
      </c>
      <c r="D255" s="44">
        <v>246779410763</v>
      </c>
      <c r="E255" s="42" t="s">
        <v>76</v>
      </c>
      <c r="F255" s="45">
        <v>2.35</v>
      </c>
      <c r="G255" s="42" t="s">
        <v>77</v>
      </c>
      <c r="H255" s="45">
        <v>203.72</v>
      </c>
      <c r="I255" s="42" t="s">
        <v>452</v>
      </c>
      <c r="J255" s="21">
        <v>0</v>
      </c>
      <c r="K255" s="46">
        <v>201</v>
      </c>
      <c r="L255" s="46">
        <v>201</v>
      </c>
    </row>
    <row r="256" spans="1:12" hidden="1" x14ac:dyDescent="0.35">
      <c r="A256" s="41">
        <v>1800000824</v>
      </c>
      <c r="B256" s="42" t="s">
        <v>9</v>
      </c>
      <c r="C256" s="43">
        <v>45720</v>
      </c>
      <c r="D256" s="44">
        <v>246779410764</v>
      </c>
      <c r="E256" s="42" t="s">
        <v>76</v>
      </c>
      <c r="F256" s="45">
        <v>2.35</v>
      </c>
      <c r="G256" s="42" t="s">
        <v>77</v>
      </c>
      <c r="H256" s="45">
        <v>203.72</v>
      </c>
      <c r="I256" s="42" t="s">
        <v>452</v>
      </c>
      <c r="J256" s="21">
        <v>0</v>
      </c>
      <c r="K256" s="46">
        <v>201</v>
      </c>
      <c r="L256" s="46">
        <v>201</v>
      </c>
    </row>
    <row r="257" spans="1:12" hidden="1" x14ac:dyDescent="0.35">
      <c r="A257" s="41">
        <v>1800000825</v>
      </c>
      <c r="B257" s="42" t="s">
        <v>9</v>
      </c>
      <c r="C257" s="43">
        <v>45720</v>
      </c>
      <c r="D257" s="44">
        <v>246779410765</v>
      </c>
      <c r="E257" s="42" t="s">
        <v>76</v>
      </c>
      <c r="F257" s="45">
        <v>2.35</v>
      </c>
      <c r="G257" s="42" t="s">
        <v>77</v>
      </c>
      <c r="H257" s="45">
        <v>203.72</v>
      </c>
      <c r="I257" s="42" t="s">
        <v>452</v>
      </c>
      <c r="J257" s="21">
        <v>0</v>
      </c>
      <c r="K257" s="46">
        <v>201</v>
      </c>
      <c r="L257" s="46">
        <v>201</v>
      </c>
    </row>
    <row r="258" spans="1:12" hidden="1" x14ac:dyDescent="0.35">
      <c r="A258" s="41">
        <v>1800000826</v>
      </c>
      <c r="B258" s="42" t="s">
        <v>9</v>
      </c>
      <c r="C258" s="43">
        <v>45720</v>
      </c>
      <c r="D258" s="44">
        <v>246779410766</v>
      </c>
      <c r="E258" s="42" t="s">
        <v>76</v>
      </c>
      <c r="F258" s="45">
        <v>4.7</v>
      </c>
      <c r="G258" s="42" t="s">
        <v>77</v>
      </c>
      <c r="H258" s="45">
        <v>407.45</v>
      </c>
      <c r="I258" s="42" t="s">
        <v>452</v>
      </c>
      <c r="J258" s="21">
        <v>0</v>
      </c>
      <c r="K258" s="46">
        <v>403</v>
      </c>
      <c r="L258" s="46">
        <v>403</v>
      </c>
    </row>
    <row r="259" spans="1:12" hidden="1" x14ac:dyDescent="0.35">
      <c r="A259" s="41">
        <v>1800000900</v>
      </c>
      <c r="B259" s="42" t="s">
        <v>9</v>
      </c>
      <c r="C259" s="43">
        <v>45720</v>
      </c>
      <c r="D259" s="44">
        <v>246779410841</v>
      </c>
      <c r="E259" s="42" t="s">
        <v>76</v>
      </c>
      <c r="F259" s="45">
        <v>7.05</v>
      </c>
      <c r="G259" s="42" t="s">
        <v>77</v>
      </c>
      <c r="H259" s="45">
        <v>611.16999999999996</v>
      </c>
      <c r="I259" s="42" t="s">
        <v>460</v>
      </c>
      <c r="J259" s="21">
        <v>0</v>
      </c>
      <c r="K259" s="46">
        <v>604</v>
      </c>
      <c r="L259" s="46">
        <v>604</v>
      </c>
    </row>
    <row r="260" spans="1:12" hidden="1" x14ac:dyDescent="0.35">
      <c r="A260" s="41">
        <v>1800000901</v>
      </c>
      <c r="B260" s="42" t="s">
        <v>9</v>
      </c>
      <c r="C260" s="43">
        <v>45720</v>
      </c>
      <c r="D260" s="44">
        <v>246779410842</v>
      </c>
      <c r="E260" s="42" t="s">
        <v>76</v>
      </c>
      <c r="F260" s="45">
        <v>4.7</v>
      </c>
      <c r="G260" s="42" t="s">
        <v>77</v>
      </c>
      <c r="H260" s="45">
        <v>407.45</v>
      </c>
      <c r="I260" s="42" t="s">
        <v>460</v>
      </c>
      <c r="J260" s="21">
        <v>0</v>
      </c>
      <c r="K260" s="46">
        <v>403</v>
      </c>
      <c r="L260" s="46">
        <v>403</v>
      </c>
    </row>
    <row r="261" spans="1:12" hidden="1" x14ac:dyDescent="0.35">
      <c r="A261" s="41">
        <v>1800000902</v>
      </c>
      <c r="B261" s="42" t="s">
        <v>9</v>
      </c>
      <c r="C261" s="43">
        <v>45720</v>
      </c>
      <c r="D261" s="44">
        <v>246779410843</v>
      </c>
      <c r="E261" s="42" t="s">
        <v>76</v>
      </c>
      <c r="F261" s="45">
        <v>4.7</v>
      </c>
      <c r="G261" s="42" t="s">
        <v>77</v>
      </c>
      <c r="H261" s="45">
        <v>407.45</v>
      </c>
      <c r="I261" s="42" t="s">
        <v>460</v>
      </c>
      <c r="J261" s="21">
        <v>0</v>
      </c>
      <c r="K261" s="46">
        <v>403</v>
      </c>
      <c r="L261" s="46">
        <v>403</v>
      </c>
    </row>
    <row r="262" spans="1:12" hidden="1" x14ac:dyDescent="0.35">
      <c r="A262" s="41">
        <v>1800000903</v>
      </c>
      <c r="B262" s="42" t="s">
        <v>9</v>
      </c>
      <c r="C262" s="43">
        <v>45720</v>
      </c>
      <c r="D262" s="44">
        <v>246779410844</v>
      </c>
      <c r="E262" s="42" t="s">
        <v>76</v>
      </c>
      <c r="F262" s="45">
        <v>4.7</v>
      </c>
      <c r="G262" s="42" t="s">
        <v>77</v>
      </c>
      <c r="H262" s="45">
        <v>407.45</v>
      </c>
      <c r="I262" s="42" t="s">
        <v>460</v>
      </c>
      <c r="J262" s="21">
        <v>0</v>
      </c>
      <c r="K262" s="46">
        <v>403</v>
      </c>
      <c r="L262" s="46">
        <v>403</v>
      </c>
    </row>
    <row r="263" spans="1:12" hidden="1" x14ac:dyDescent="0.35">
      <c r="A263" s="41">
        <v>1800000904</v>
      </c>
      <c r="B263" s="42" t="s">
        <v>9</v>
      </c>
      <c r="C263" s="43">
        <v>45720</v>
      </c>
      <c r="D263" s="44">
        <v>246779410845</v>
      </c>
      <c r="E263" s="42" t="s">
        <v>76</v>
      </c>
      <c r="F263" s="45">
        <v>9.4</v>
      </c>
      <c r="G263" s="42" t="s">
        <v>77</v>
      </c>
      <c r="H263" s="45">
        <v>814.9</v>
      </c>
      <c r="I263" s="42" t="s">
        <v>460</v>
      </c>
      <c r="J263" s="21">
        <v>0</v>
      </c>
      <c r="K263" s="46">
        <v>805</v>
      </c>
      <c r="L263" s="46">
        <v>805</v>
      </c>
    </row>
    <row r="264" spans="1:12" hidden="1" x14ac:dyDescent="0.35">
      <c r="A264" s="41">
        <v>1800000905</v>
      </c>
      <c r="B264" s="42" t="s">
        <v>9</v>
      </c>
      <c r="C264" s="43">
        <v>45720</v>
      </c>
      <c r="D264" s="44">
        <v>246779410846</v>
      </c>
      <c r="E264" s="42" t="s">
        <v>76</v>
      </c>
      <c r="F264" s="45">
        <v>4.7</v>
      </c>
      <c r="G264" s="42" t="s">
        <v>77</v>
      </c>
      <c r="H264" s="45">
        <v>407.45</v>
      </c>
      <c r="I264" s="42" t="s">
        <v>460</v>
      </c>
      <c r="J264" s="21">
        <v>0</v>
      </c>
      <c r="K264" s="46">
        <v>381</v>
      </c>
      <c r="L264" s="46">
        <v>381</v>
      </c>
    </row>
    <row r="265" spans="1:12" hidden="1" x14ac:dyDescent="0.35">
      <c r="A265" s="41">
        <v>1800000906</v>
      </c>
      <c r="B265" s="42" t="s">
        <v>9</v>
      </c>
      <c r="C265" s="43">
        <v>45720</v>
      </c>
      <c r="D265" s="44">
        <v>246779410847</v>
      </c>
      <c r="E265" s="42" t="s">
        <v>76</v>
      </c>
      <c r="F265" s="45">
        <v>18.8</v>
      </c>
      <c r="G265" s="42" t="s">
        <v>77</v>
      </c>
      <c r="H265" s="45">
        <v>1629.8</v>
      </c>
      <c r="I265" s="42" t="s">
        <v>460</v>
      </c>
      <c r="J265" s="21">
        <v>0</v>
      </c>
      <c r="K265" s="46">
        <v>1528</v>
      </c>
      <c r="L265" s="46">
        <v>1528</v>
      </c>
    </row>
    <row r="266" spans="1:12" hidden="1" x14ac:dyDescent="0.35">
      <c r="A266" s="41">
        <v>1800000907</v>
      </c>
      <c r="B266" s="42" t="s">
        <v>9</v>
      </c>
      <c r="C266" s="43">
        <v>45720</v>
      </c>
      <c r="D266" s="44">
        <v>246779410848</v>
      </c>
      <c r="E266" s="42" t="s">
        <v>76</v>
      </c>
      <c r="F266" s="45">
        <v>2.35</v>
      </c>
      <c r="G266" s="42" t="s">
        <v>77</v>
      </c>
      <c r="H266" s="45">
        <v>203.72</v>
      </c>
      <c r="I266" s="42" t="s">
        <v>460</v>
      </c>
      <c r="J266" s="21">
        <v>0</v>
      </c>
      <c r="K266" s="46">
        <v>200</v>
      </c>
      <c r="L266" s="46">
        <v>200</v>
      </c>
    </row>
    <row r="267" spans="1:12" hidden="1" x14ac:dyDescent="0.35">
      <c r="A267" s="41">
        <v>1800000908</v>
      </c>
      <c r="B267" s="42" t="s">
        <v>9</v>
      </c>
      <c r="C267" s="43">
        <v>45720</v>
      </c>
      <c r="D267" s="44">
        <v>246779410849</v>
      </c>
      <c r="E267" s="42" t="s">
        <v>76</v>
      </c>
      <c r="F267" s="45">
        <v>42.3</v>
      </c>
      <c r="G267" s="42" t="s">
        <v>77</v>
      </c>
      <c r="H267" s="45">
        <v>3667.04</v>
      </c>
      <c r="I267" s="42" t="s">
        <v>460</v>
      </c>
      <c r="J267" s="21">
        <v>0</v>
      </c>
      <c r="K267" s="46">
        <v>3436</v>
      </c>
      <c r="L267" s="46">
        <v>3436</v>
      </c>
    </row>
    <row r="268" spans="1:12" hidden="1" x14ac:dyDescent="0.35">
      <c r="A268" s="41">
        <v>1800000909</v>
      </c>
      <c r="B268" s="42" t="s">
        <v>9</v>
      </c>
      <c r="C268" s="43">
        <v>45720</v>
      </c>
      <c r="D268" s="44">
        <v>246779410850</v>
      </c>
      <c r="E268" s="42" t="s">
        <v>76</v>
      </c>
      <c r="F268" s="45">
        <v>9.4</v>
      </c>
      <c r="G268" s="42" t="s">
        <v>77</v>
      </c>
      <c r="H268" s="45">
        <v>814.9</v>
      </c>
      <c r="I268" s="42" t="s">
        <v>460</v>
      </c>
      <c r="J268" s="21">
        <v>0</v>
      </c>
      <c r="K268" s="46">
        <v>763</v>
      </c>
      <c r="L268" s="46">
        <v>763</v>
      </c>
    </row>
    <row r="269" spans="1:12" hidden="1" x14ac:dyDescent="0.35">
      <c r="A269" s="41">
        <v>1800000910</v>
      </c>
      <c r="B269" s="42" t="s">
        <v>9</v>
      </c>
      <c r="C269" s="43">
        <v>45720</v>
      </c>
      <c r="D269" s="44">
        <v>246779410851</v>
      </c>
      <c r="E269" s="42" t="s">
        <v>76</v>
      </c>
      <c r="F269" s="45">
        <v>4.7</v>
      </c>
      <c r="G269" s="42" t="s">
        <v>77</v>
      </c>
      <c r="H269" s="45">
        <v>407.45</v>
      </c>
      <c r="I269" s="42" t="s">
        <v>460</v>
      </c>
      <c r="J269" s="21">
        <v>0</v>
      </c>
      <c r="K269" s="46">
        <v>381</v>
      </c>
      <c r="L269" s="46">
        <v>381</v>
      </c>
    </row>
    <row r="270" spans="1:12" hidden="1" x14ac:dyDescent="0.35">
      <c r="A270" s="41">
        <v>1800000911</v>
      </c>
      <c r="B270" s="42" t="s">
        <v>9</v>
      </c>
      <c r="C270" s="43">
        <v>45720</v>
      </c>
      <c r="D270" s="44">
        <v>246779410852</v>
      </c>
      <c r="E270" s="42" t="s">
        <v>76</v>
      </c>
      <c r="F270" s="45">
        <v>4.7</v>
      </c>
      <c r="G270" s="42" t="s">
        <v>77</v>
      </c>
      <c r="H270" s="45">
        <v>407.45</v>
      </c>
      <c r="I270" s="42" t="s">
        <v>460</v>
      </c>
      <c r="J270" s="21">
        <v>0</v>
      </c>
      <c r="K270" s="46">
        <v>381</v>
      </c>
      <c r="L270" s="46">
        <v>381</v>
      </c>
    </row>
    <row r="271" spans="1:12" hidden="1" x14ac:dyDescent="0.35">
      <c r="A271" s="41">
        <v>1800000912</v>
      </c>
      <c r="B271" s="42" t="s">
        <v>9</v>
      </c>
      <c r="C271" s="43">
        <v>45720</v>
      </c>
      <c r="D271" s="44">
        <v>246779410853</v>
      </c>
      <c r="E271" s="42" t="s">
        <v>76</v>
      </c>
      <c r="F271" s="45">
        <v>2.35</v>
      </c>
      <c r="G271" s="42" t="s">
        <v>77</v>
      </c>
      <c r="H271" s="45">
        <v>203.72</v>
      </c>
      <c r="I271" s="42" t="s">
        <v>460</v>
      </c>
      <c r="J271" s="21">
        <v>0</v>
      </c>
      <c r="K271" s="46">
        <v>190</v>
      </c>
      <c r="L271" s="46">
        <v>190</v>
      </c>
    </row>
    <row r="272" spans="1:12" hidden="1" x14ac:dyDescent="0.35">
      <c r="A272" s="41">
        <v>1800000913</v>
      </c>
      <c r="B272" s="42" t="s">
        <v>9</v>
      </c>
      <c r="C272" s="43">
        <v>45720</v>
      </c>
      <c r="D272" s="44">
        <v>246779410854</v>
      </c>
      <c r="E272" s="42" t="s">
        <v>76</v>
      </c>
      <c r="F272" s="45">
        <v>14.1</v>
      </c>
      <c r="G272" s="42" t="s">
        <v>77</v>
      </c>
      <c r="H272" s="45">
        <v>1222.3499999999999</v>
      </c>
      <c r="I272" s="42" t="s">
        <v>460</v>
      </c>
      <c r="J272" s="21">
        <v>0</v>
      </c>
      <c r="K272" s="46">
        <v>1145</v>
      </c>
      <c r="L272" s="46">
        <v>1145</v>
      </c>
    </row>
    <row r="273" spans="1:12" hidden="1" x14ac:dyDescent="0.35">
      <c r="A273" s="41">
        <v>1800000914</v>
      </c>
      <c r="B273" s="42" t="s">
        <v>9</v>
      </c>
      <c r="C273" s="43">
        <v>45720</v>
      </c>
      <c r="D273" s="44">
        <v>246779410855</v>
      </c>
      <c r="E273" s="42" t="s">
        <v>76</v>
      </c>
      <c r="F273" s="45">
        <v>18.8</v>
      </c>
      <c r="G273" s="42" t="s">
        <v>77</v>
      </c>
      <c r="H273" s="45">
        <v>1629.8</v>
      </c>
      <c r="I273" s="42" t="s">
        <v>460</v>
      </c>
      <c r="J273" s="21">
        <v>0</v>
      </c>
      <c r="K273" s="46">
        <v>1527</v>
      </c>
      <c r="L273" s="46">
        <v>1527</v>
      </c>
    </row>
    <row r="274" spans="1:12" hidden="1" x14ac:dyDescent="0.35">
      <c r="A274" s="41">
        <v>1800005904</v>
      </c>
      <c r="B274" s="42" t="s">
        <v>9</v>
      </c>
      <c r="C274" s="43">
        <v>45751</v>
      </c>
      <c r="D274" s="44">
        <v>256779410795</v>
      </c>
      <c r="E274" s="42" t="s">
        <v>76</v>
      </c>
      <c r="F274" s="45">
        <v>5005.59</v>
      </c>
      <c r="G274" s="42" t="s">
        <v>77</v>
      </c>
      <c r="H274" s="45">
        <v>435094.99</v>
      </c>
      <c r="I274" s="42" t="s">
        <v>461</v>
      </c>
      <c r="J274" s="21">
        <v>0</v>
      </c>
      <c r="K274" s="46">
        <v>384955</v>
      </c>
      <c r="L274" s="46">
        <v>384955</v>
      </c>
    </row>
    <row r="275" spans="1:12" hidden="1" x14ac:dyDescent="0.35">
      <c r="A275" s="41">
        <v>1800005921</v>
      </c>
      <c r="B275" s="42" t="s">
        <v>9</v>
      </c>
      <c r="C275" s="43">
        <v>45751</v>
      </c>
      <c r="D275" s="44">
        <v>256779410812</v>
      </c>
      <c r="E275" s="42" t="s">
        <v>76</v>
      </c>
      <c r="F275" s="45">
        <v>4311.37</v>
      </c>
      <c r="G275" s="42" t="s">
        <v>77</v>
      </c>
      <c r="H275" s="45">
        <v>374752.13</v>
      </c>
      <c r="I275" s="42" t="s">
        <v>462</v>
      </c>
      <c r="J275" s="21">
        <v>0</v>
      </c>
      <c r="K275" s="46">
        <v>331566</v>
      </c>
      <c r="L275" s="46">
        <v>331566</v>
      </c>
    </row>
    <row r="276" spans="1:12" hidden="1" x14ac:dyDescent="0.35">
      <c r="A276" s="41">
        <v>1800000364</v>
      </c>
      <c r="B276" s="42" t="s">
        <v>9</v>
      </c>
      <c r="C276" s="43">
        <v>45716</v>
      </c>
      <c r="D276" s="44">
        <v>246779410333</v>
      </c>
      <c r="E276" s="42" t="s">
        <v>76</v>
      </c>
      <c r="F276" s="45">
        <v>386.34</v>
      </c>
      <c r="G276" s="42" t="s">
        <v>77</v>
      </c>
      <c r="H276" s="45">
        <v>33342.559999999998</v>
      </c>
      <c r="I276" s="42" t="s">
        <v>463</v>
      </c>
      <c r="J276" s="21">
        <v>0</v>
      </c>
      <c r="K276" s="46">
        <v>29975.441999999999</v>
      </c>
      <c r="L276" s="46">
        <v>29975.441999999999</v>
      </c>
    </row>
    <row r="277" spans="1:12" hidden="1" x14ac:dyDescent="0.35">
      <c r="A277" s="41">
        <v>1800000369</v>
      </c>
      <c r="B277" s="42" t="s">
        <v>9</v>
      </c>
      <c r="C277" s="43">
        <v>45716</v>
      </c>
      <c r="D277" s="44">
        <v>246779410338</v>
      </c>
      <c r="E277" s="42" t="s">
        <v>76</v>
      </c>
      <c r="F277" s="45">
        <v>178.6</v>
      </c>
      <c r="G277" s="42" t="s">
        <v>77</v>
      </c>
      <c r="H277" s="45">
        <v>15413.83</v>
      </c>
      <c r="I277" s="42" t="s">
        <v>464</v>
      </c>
      <c r="J277" s="21">
        <v>0</v>
      </c>
      <c r="K277" s="46">
        <v>13859.78</v>
      </c>
      <c r="L277" s="46">
        <v>13859.78</v>
      </c>
    </row>
    <row r="278" spans="1:12" hidden="1" x14ac:dyDescent="0.35">
      <c r="A278" s="41">
        <v>1800000370</v>
      </c>
      <c r="B278" s="42" t="s">
        <v>9</v>
      </c>
      <c r="C278" s="43">
        <v>45716</v>
      </c>
      <c r="D278" s="44">
        <v>246779410339</v>
      </c>
      <c r="E278" s="42" t="s">
        <v>76</v>
      </c>
      <c r="F278" s="45">
        <v>575.75</v>
      </c>
      <c r="G278" s="42" t="s">
        <v>77</v>
      </c>
      <c r="H278" s="45">
        <v>49689.33</v>
      </c>
      <c r="I278" s="42" t="s">
        <v>465</v>
      </c>
      <c r="J278" s="21">
        <v>0</v>
      </c>
      <c r="K278" s="46">
        <v>44681.824999999997</v>
      </c>
      <c r="L278" s="46">
        <v>44681.824999999997</v>
      </c>
    </row>
    <row r="279" spans="1:12" hidden="1" x14ac:dyDescent="0.35">
      <c r="A279" s="41">
        <v>1800000371</v>
      </c>
      <c r="B279" s="42" t="s">
        <v>9</v>
      </c>
      <c r="C279" s="43">
        <v>45716</v>
      </c>
      <c r="D279" s="44">
        <v>246779410340</v>
      </c>
      <c r="E279" s="42" t="s">
        <v>76</v>
      </c>
      <c r="F279" s="45">
        <v>1863.55</v>
      </c>
      <c r="G279" s="42" t="s">
        <v>77</v>
      </c>
      <c r="H279" s="45">
        <v>160831.19</v>
      </c>
      <c r="I279" s="42" t="s">
        <v>466</v>
      </c>
      <c r="J279" s="21">
        <v>0</v>
      </c>
      <c r="K279" s="46">
        <v>144772.565</v>
      </c>
      <c r="L279" s="46">
        <v>144772.565</v>
      </c>
    </row>
    <row r="280" spans="1:12" hidden="1" x14ac:dyDescent="0.35">
      <c r="A280" s="41">
        <v>1800000379</v>
      </c>
      <c r="B280" s="42" t="s">
        <v>9</v>
      </c>
      <c r="C280" s="43">
        <v>45716</v>
      </c>
      <c r="D280" s="44">
        <v>246779410348</v>
      </c>
      <c r="E280" s="42" t="s">
        <v>76</v>
      </c>
      <c r="F280" s="45">
        <v>1793.99</v>
      </c>
      <c r="G280" s="42" t="s">
        <v>77</v>
      </c>
      <c r="H280" s="45">
        <v>154827.9</v>
      </c>
      <c r="I280" s="42" t="s">
        <v>140</v>
      </c>
      <c r="J280" s="21">
        <v>0</v>
      </c>
      <c r="K280" s="46">
        <v>151725</v>
      </c>
      <c r="L280" s="46">
        <v>151725</v>
      </c>
    </row>
    <row r="281" spans="1:12" hidden="1" x14ac:dyDescent="0.35">
      <c r="A281" s="41">
        <v>1800000383</v>
      </c>
      <c r="B281" s="42" t="s">
        <v>9</v>
      </c>
      <c r="C281" s="43">
        <v>45716</v>
      </c>
      <c r="D281" s="44">
        <v>246779410352</v>
      </c>
      <c r="E281" s="42" t="s">
        <v>76</v>
      </c>
      <c r="F281" s="45">
        <v>1314.12</v>
      </c>
      <c r="G281" s="42" t="s">
        <v>77</v>
      </c>
      <c r="H281" s="45">
        <v>113413.37</v>
      </c>
      <c r="I281" s="42" t="s">
        <v>140</v>
      </c>
      <c r="J281" s="21">
        <v>0</v>
      </c>
      <c r="K281" s="46">
        <v>102103.25599999999</v>
      </c>
      <c r="L281" s="46">
        <v>102103.25599999999</v>
      </c>
    </row>
    <row r="282" spans="1:12" hidden="1" x14ac:dyDescent="0.35">
      <c r="A282" s="41">
        <v>1800000391</v>
      </c>
      <c r="B282" s="42" t="s">
        <v>9</v>
      </c>
      <c r="C282" s="43">
        <v>45716</v>
      </c>
      <c r="D282" s="44">
        <v>246779410360</v>
      </c>
      <c r="E282" s="42" t="s">
        <v>76</v>
      </c>
      <c r="F282" s="45">
        <v>705</v>
      </c>
      <c r="G282" s="42" t="s">
        <v>77</v>
      </c>
      <c r="H282" s="45">
        <v>60844.08</v>
      </c>
      <c r="I282" s="42" t="s">
        <v>140</v>
      </c>
      <c r="J282" s="21">
        <v>0</v>
      </c>
      <c r="K282" s="46">
        <v>59624</v>
      </c>
      <c r="L282" s="46">
        <v>59624</v>
      </c>
    </row>
    <row r="283" spans="1:12" hidden="1" x14ac:dyDescent="0.35">
      <c r="A283" s="41">
        <v>1800001259</v>
      </c>
      <c r="B283" s="42" t="s">
        <v>9</v>
      </c>
      <c r="C283" s="43">
        <v>45722</v>
      </c>
      <c r="D283" s="44">
        <v>246779411128</v>
      </c>
      <c r="E283" s="42" t="s">
        <v>76</v>
      </c>
      <c r="F283" s="45">
        <v>28.2</v>
      </c>
      <c r="G283" s="42" t="s">
        <v>77</v>
      </c>
      <c r="H283" s="45">
        <v>2444.69</v>
      </c>
      <c r="I283" s="42" t="s">
        <v>215</v>
      </c>
      <c r="J283" s="21">
        <v>0</v>
      </c>
      <c r="K283" s="46">
        <v>2406</v>
      </c>
      <c r="L283" s="46">
        <v>2406</v>
      </c>
    </row>
    <row r="284" spans="1:12" hidden="1" x14ac:dyDescent="0.35">
      <c r="A284" s="41">
        <v>1800001382</v>
      </c>
      <c r="B284" s="42" t="s">
        <v>9</v>
      </c>
      <c r="C284" s="43">
        <v>45722</v>
      </c>
      <c r="D284" s="44">
        <v>246779411251</v>
      </c>
      <c r="E284" s="42" t="s">
        <v>76</v>
      </c>
      <c r="F284" s="45">
        <v>126.9</v>
      </c>
      <c r="G284" s="42" t="s">
        <v>77</v>
      </c>
      <c r="H284" s="45">
        <v>11001.12</v>
      </c>
      <c r="I284" s="42" t="s">
        <v>321</v>
      </c>
      <c r="J284" s="21">
        <v>0</v>
      </c>
      <c r="K284" s="46">
        <v>1599</v>
      </c>
      <c r="L284" s="46">
        <v>1599</v>
      </c>
    </row>
    <row r="285" spans="1:12" hidden="1" x14ac:dyDescent="0.35">
      <c r="A285" s="41">
        <v>1800001383</v>
      </c>
      <c r="B285" s="42" t="s">
        <v>9</v>
      </c>
      <c r="C285" s="43">
        <v>45722</v>
      </c>
      <c r="D285" s="44">
        <v>246779411252</v>
      </c>
      <c r="E285" s="42" t="s">
        <v>76</v>
      </c>
      <c r="F285" s="45">
        <v>23.5</v>
      </c>
      <c r="G285" s="42" t="s">
        <v>77</v>
      </c>
      <c r="H285" s="45">
        <v>2037.24</v>
      </c>
      <c r="I285" s="42" t="s">
        <v>321</v>
      </c>
      <c r="J285" s="21">
        <v>0</v>
      </c>
      <c r="K285" s="46">
        <v>1907</v>
      </c>
      <c r="L285" s="46">
        <v>1907</v>
      </c>
    </row>
    <row r="286" spans="1:12" hidden="1" x14ac:dyDescent="0.35">
      <c r="A286" s="41">
        <v>1800000934</v>
      </c>
      <c r="B286" s="42" t="s">
        <v>9</v>
      </c>
      <c r="C286" s="43">
        <v>45722</v>
      </c>
      <c r="D286" s="44">
        <v>246779410874</v>
      </c>
      <c r="E286" s="42" t="s">
        <v>76</v>
      </c>
      <c r="F286" s="45">
        <v>3080</v>
      </c>
      <c r="G286" s="42" t="s">
        <v>77</v>
      </c>
      <c r="H286" s="45">
        <v>267009.08</v>
      </c>
      <c r="I286" s="42" t="s">
        <v>467</v>
      </c>
      <c r="J286" s="21">
        <v>0</v>
      </c>
      <c r="K286" s="46">
        <v>241385</v>
      </c>
      <c r="L286" s="46">
        <v>241385</v>
      </c>
    </row>
    <row r="287" spans="1:12" hidden="1" x14ac:dyDescent="0.35">
      <c r="A287" s="41">
        <v>1800000956</v>
      </c>
      <c r="B287" s="42" t="s">
        <v>9</v>
      </c>
      <c r="C287" s="43">
        <v>45722</v>
      </c>
      <c r="D287" s="44">
        <v>246779410896</v>
      </c>
      <c r="E287" s="42" t="s">
        <v>76</v>
      </c>
      <c r="F287" s="45">
        <v>4556.3999999999996</v>
      </c>
      <c r="G287" s="42" t="s">
        <v>77</v>
      </c>
      <c r="H287" s="45">
        <v>395000.06</v>
      </c>
      <c r="I287" s="42" t="s">
        <v>468</v>
      </c>
      <c r="J287" s="21">
        <v>0</v>
      </c>
      <c r="K287" s="46">
        <v>357094</v>
      </c>
      <c r="L287" s="46">
        <v>357094</v>
      </c>
    </row>
    <row r="288" spans="1:12" hidden="1" x14ac:dyDescent="0.35">
      <c r="A288" s="41">
        <v>1800001030</v>
      </c>
      <c r="B288" s="42" t="s">
        <v>9</v>
      </c>
      <c r="C288" s="43">
        <v>45722</v>
      </c>
      <c r="D288" s="44">
        <v>246779410970</v>
      </c>
      <c r="E288" s="42" t="s">
        <v>76</v>
      </c>
      <c r="F288" s="45">
        <v>22.05</v>
      </c>
      <c r="G288" s="42" t="s">
        <v>77</v>
      </c>
      <c r="H288" s="45">
        <v>1911.54</v>
      </c>
      <c r="I288" s="42" t="s">
        <v>469</v>
      </c>
      <c r="J288" s="21">
        <v>0</v>
      </c>
      <c r="K288" s="46">
        <v>1882</v>
      </c>
      <c r="L288" s="46">
        <v>1882</v>
      </c>
    </row>
    <row r="289" spans="1:12" hidden="1" x14ac:dyDescent="0.35">
      <c r="A289" s="41">
        <v>1800001031</v>
      </c>
      <c r="B289" s="42" t="s">
        <v>9</v>
      </c>
      <c r="C289" s="43">
        <v>45722</v>
      </c>
      <c r="D289" s="44">
        <v>246779410971</v>
      </c>
      <c r="E289" s="42" t="s">
        <v>76</v>
      </c>
      <c r="F289" s="45">
        <v>1205.2</v>
      </c>
      <c r="G289" s="42" t="s">
        <v>77</v>
      </c>
      <c r="H289" s="45">
        <v>104480.31</v>
      </c>
      <c r="I289" s="42" t="s">
        <v>469</v>
      </c>
      <c r="J289" s="21">
        <v>0</v>
      </c>
      <c r="K289" s="46">
        <v>36538</v>
      </c>
      <c r="L289" s="46">
        <v>36538</v>
      </c>
    </row>
    <row r="290" spans="1:12" hidden="1" x14ac:dyDescent="0.35">
      <c r="A290" s="41">
        <v>1800001032</v>
      </c>
      <c r="B290" s="42" t="s">
        <v>9</v>
      </c>
      <c r="C290" s="43">
        <v>45722</v>
      </c>
      <c r="D290" s="44">
        <v>246779410972</v>
      </c>
      <c r="E290" s="42" t="s">
        <v>76</v>
      </c>
      <c r="F290" s="45">
        <v>17.350000000000001</v>
      </c>
      <c r="G290" s="42" t="s">
        <v>77</v>
      </c>
      <c r="H290" s="45">
        <v>1504.09</v>
      </c>
      <c r="I290" s="42" t="s">
        <v>469</v>
      </c>
      <c r="J290" s="21">
        <v>0</v>
      </c>
      <c r="K290" s="46">
        <v>1481</v>
      </c>
      <c r="L290" s="46">
        <v>1481</v>
      </c>
    </row>
    <row r="291" spans="1:12" hidden="1" x14ac:dyDescent="0.35">
      <c r="A291" s="41">
        <v>1800001033</v>
      </c>
      <c r="B291" s="42" t="s">
        <v>9</v>
      </c>
      <c r="C291" s="43">
        <v>45722</v>
      </c>
      <c r="D291" s="44">
        <v>246779410973</v>
      </c>
      <c r="E291" s="42" t="s">
        <v>76</v>
      </c>
      <c r="F291" s="45">
        <v>33.799999999999997</v>
      </c>
      <c r="G291" s="42" t="s">
        <v>77</v>
      </c>
      <c r="H291" s="45">
        <v>2930.16</v>
      </c>
      <c r="I291" s="42" t="s">
        <v>469</v>
      </c>
      <c r="J291" s="21">
        <v>0</v>
      </c>
      <c r="K291" s="46">
        <v>2884</v>
      </c>
      <c r="L291" s="46">
        <v>2884</v>
      </c>
    </row>
    <row r="292" spans="1:12" hidden="1" x14ac:dyDescent="0.35">
      <c r="A292" s="41">
        <v>1800001034</v>
      </c>
      <c r="B292" s="42" t="s">
        <v>9</v>
      </c>
      <c r="C292" s="43">
        <v>45722</v>
      </c>
      <c r="D292" s="44">
        <v>246779410974</v>
      </c>
      <c r="E292" s="42" t="s">
        <v>76</v>
      </c>
      <c r="F292" s="45">
        <v>4.7</v>
      </c>
      <c r="G292" s="42" t="s">
        <v>77</v>
      </c>
      <c r="H292" s="45">
        <v>407.45</v>
      </c>
      <c r="I292" s="42" t="s">
        <v>469</v>
      </c>
      <c r="J292" s="21">
        <v>0</v>
      </c>
      <c r="K292" s="46">
        <v>401</v>
      </c>
      <c r="L292" s="46">
        <v>401</v>
      </c>
    </row>
    <row r="293" spans="1:12" hidden="1" x14ac:dyDescent="0.35">
      <c r="A293" s="41">
        <v>1800001114</v>
      </c>
      <c r="B293" s="42" t="s">
        <v>9</v>
      </c>
      <c r="C293" s="43">
        <v>45722</v>
      </c>
      <c r="D293" s="44">
        <v>246779411050</v>
      </c>
      <c r="E293" s="42" t="s">
        <v>76</v>
      </c>
      <c r="F293" s="45">
        <v>23.5</v>
      </c>
      <c r="G293" s="42" t="s">
        <v>77</v>
      </c>
      <c r="H293" s="45">
        <v>2037.24</v>
      </c>
      <c r="I293" s="42" t="s">
        <v>470</v>
      </c>
      <c r="J293" s="21">
        <v>0</v>
      </c>
      <c r="K293" s="46">
        <v>1907</v>
      </c>
      <c r="L293" s="46">
        <v>1907</v>
      </c>
    </row>
    <row r="294" spans="1:12" hidden="1" x14ac:dyDescent="0.35">
      <c r="A294" s="41">
        <v>1800001115</v>
      </c>
      <c r="B294" s="42" t="s">
        <v>9</v>
      </c>
      <c r="C294" s="43">
        <v>45722</v>
      </c>
      <c r="D294" s="44">
        <v>246779411051</v>
      </c>
      <c r="E294" s="42" t="s">
        <v>76</v>
      </c>
      <c r="F294" s="45">
        <v>17.350000000000001</v>
      </c>
      <c r="G294" s="42" t="s">
        <v>77</v>
      </c>
      <c r="H294" s="45">
        <v>1504.09</v>
      </c>
      <c r="I294" s="42" t="s">
        <v>470</v>
      </c>
      <c r="J294" s="21">
        <v>0</v>
      </c>
      <c r="K294" s="46">
        <v>1408</v>
      </c>
      <c r="L294" s="46">
        <v>1408</v>
      </c>
    </row>
    <row r="295" spans="1:12" hidden="1" x14ac:dyDescent="0.35">
      <c r="A295" s="41">
        <v>1800001116</v>
      </c>
      <c r="B295" s="42" t="s">
        <v>9</v>
      </c>
      <c r="C295" s="43">
        <v>45722</v>
      </c>
      <c r="D295" s="44">
        <v>246779411052</v>
      </c>
      <c r="E295" s="42" t="s">
        <v>76</v>
      </c>
      <c r="F295" s="45">
        <v>4.7</v>
      </c>
      <c r="G295" s="42" t="s">
        <v>77</v>
      </c>
      <c r="H295" s="45">
        <v>407.45</v>
      </c>
      <c r="I295" s="42" t="s">
        <v>470</v>
      </c>
      <c r="J295" s="21">
        <v>0</v>
      </c>
      <c r="K295" s="46">
        <v>381</v>
      </c>
      <c r="L295" s="46">
        <v>381</v>
      </c>
    </row>
    <row r="296" spans="1:12" hidden="1" x14ac:dyDescent="0.35">
      <c r="A296" s="41">
        <v>1800001117</v>
      </c>
      <c r="B296" s="42" t="s">
        <v>9</v>
      </c>
      <c r="C296" s="43">
        <v>45722</v>
      </c>
      <c r="D296" s="44">
        <v>246779411053</v>
      </c>
      <c r="E296" s="42" t="s">
        <v>76</v>
      </c>
      <c r="F296" s="45">
        <v>24.4</v>
      </c>
      <c r="G296" s="42" t="s">
        <v>77</v>
      </c>
      <c r="H296" s="45">
        <v>2115.27</v>
      </c>
      <c r="I296" s="42" t="s">
        <v>470</v>
      </c>
      <c r="J296" s="21">
        <v>0</v>
      </c>
      <c r="K296" s="46">
        <v>1981</v>
      </c>
      <c r="L296" s="46">
        <v>1981</v>
      </c>
    </row>
    <row r="297" spans="1:12" hidden="1" x14ac:dyDescent="0.35">
      <c r="A297" s="41">
        <v>1800001118</v>
      </c>
      <c r="B297" s="42" t="s">
        <v>9</v>
      </c>
      <c r="C297" s="43">
        <v>45722</v>
      </c>
      <c r="D297" s="44">
        <v>246779411054</v>
      </c>
      <c r="E297" s="42" t="s">
        <v>76</v>
      </c>
      <c r="F297" s="45">
        <v>54.05</v>
      </c>
      <c r="G297" s="42" t="s">
        <v>77</v>
      </c>
      <c r="H297" s="45">
        <v>4685.66</v>
      </c>
      <c r="I297" s="42" t="s">
        <v>470</v>
      </c>
      <c r="J297" s="21">
        <v>0</v>
      </c>
      <c r="K297" s="46">
        <v>4387</v>
      </c>
      <c r="L297" s="46">
        <v>4387</v>
      </c>
    </row>
    <row r="298" spans="1:12" hidden="1" x14ac:dyDescent="0.35">
      <c r="A298" s="41">
        <v>1800001119</v>
      </c>
      <c r="B298" s="42" t="s">
        <v>9</v>
      </c>
      <c r="C298" s="43">
        <v>45722</v>
      </c>
      <c r="D298" s="44">
        <v>246779411055</v>
      </c>
      <c r="E298" s="42" t="s">
        <v>76</v>
      </c>
      <c r="F298" s="45">
        <v>17.350000000000001</v>
      </c>
      <c r="G298" s="42" t="s">
        <v>77</v>
      </c>
      <c r="H298" s="45">
        <v>1504.09</v>
      </c>
      <c r="I298" s="42" t="s">
        <v>470</v>
      </c>
      <c r="J298" s="21">
        <v>0</v>
      </c>
      <c r="K298" s="46">
        <v>1408</v>
      </c>
      <c r="L298" s="46">
        <v>1408</v>
      </c>
    </row>
    <row r="299" spans="1:12" hidden="1" x14ac:dyDescent="0.35">
      <c r="A299" s="41">
        <v>1800001316</v>
      </c>
      <c r="B299" s="42" t="s">
        <v>9</v>
      </c>
      <c r="C299" s="43">
        <v>45722</v>
      </c>
      <c r="D299" s="44">
        <v>246779411185</v>
      </c>
      <c r="E299" s="42" t="s">
        <v>76</v>
      </c>
      <c r="F299" s="45">
        <v>23.5</v>
      </c>
      <c r="G299" s="42" t="s">
        <v>77</v>
      </c>
      <c r="H299" s="45">
        <v>2037.24</v>
      </c>
      <c r="I299" s="42" t="s">
        <v>471</v>
      </c>
      <c r="J299" s="21">
        <v>0</v>
      </c>
      <c r="K299" s="46">
        <v>2004</v>
      </c>
      <c r="L299" s="46">
        <v>2004</v>
      </c>
    </row>
    <row r="300" spans="1:12" hidden="1" x14ac:dyDescent="0.35">
      <c r="A300" s="41">
        <v>1800001317</v>
      </c>
      <c r="B300" s="42" t="s">
        <v>9</v>
      </c>
      <c r="C300" s="43">
        <v>45722</v>
      </c>
      <c r="D300" s="44">
        <v>246779411186</v>
      </c>
      <c r="E300" s="42" t="s">
        <v>76</v>
      </c>
      <c r="F300" s="45">
        <v>23.5</v>
      </c>
      <c r="G300" s="42" t="s">
        <v>77</v>
      </c>
      <c r="H300" s="45">
        <v>2037.24</v>
      </c>
      <c r="I300" s="42" t="s">
        <v>471</v>
      </c>
      <c r="J300" s="21">
        <v>0</v>
      </c>
      <c r="K300" s="46">
        <v>2004</v>
      </c>
      <c r="L300" s="46">
        <v>2004</v>
      </c>
    </row>
    <row r="301" spans="1:12" hidden="1" x14ac:dyDescent="0.35">
      <c r="A301" s="41">
        <v>1800001318</v>
      </c>
      <c r="B301" s="42" t="s">
        <v>9</v>
      </c>
      <c r="C301" s="43">
        <v>45722</v>
      </c>
      <c r="D301" s="44">
        <v>246779411187</v>
      </c>
      <c r="E301" s="42" t="s">
        <v>76</v>
      </c>
      <c r="F301" s="45">
        <v>23.5</v>
      </c>
      <c r="G301" s="42" t="s">
        <v>77</v>
      </c>
      <c r="H301" s="45">
        <v>2037.24</v>
      </c>
      <c r="I301" s="42" t="s">
        <v>471</v>
      </c>
      <c r="J301" s="21">
        <v>0</v>
      </c>
      <c r="K301" s="46">
        <v>2004</v>
      </c>
      <c r="L301" s="46">
        <v>2004</v>
      </c>
    </row>
    <row r="302" spans="1:12" hidden="1" x14ac:dyDescent="0.35">
      <c r="A302" s="41">
        <v>1800001319</v>
      </c>
      <c r="B302" s="42" t="s">
        <v>9</v>
      </c>
      <c r="C302" s="43">
        <v>45722</v>
      </c>
      <c r="D302" s="44">
        <v>246779411188</v>
      </c>
      <c r="E302" s="42" t="s">
        <v>76</v>
      </c>
      <c r="F302" s="45">
        <v>23.5</v>
      </c>
      <c r="G302" s="42" t="s">
        <v>77</v>
      </c>
      <c r="H302" s="45">
        <v>2037.24</v>
      </c>
      <c r="I302" s="42" t="s">
        <v>471</v>
      </c>
      <c r="J302" s="21">
        <v>0</v>
      </c>
      <c r="K302" s="46">
        <v>2004</v>
      </c>
      <c r="L302" s="46">
        <v>2004</v>
      </c>
    </row>
    <row r="303" spans="1:12" hidden="1" x14ac:dyDescent="0.35">
      <c r="A303" s="41">
        <v>1800001320</v>
      </c>
      <c r="B303" s="42" t="s">
        <v>9</v>
      </c>
      <c r="C303" s="43">
        <v>45722</v>
      </c>
      <c r="D303" s="44">
        <v>246779411189</v>
      </c>
      <c r="E303" s="42" t="s">
        <v>76</v>
      </c>
      <c r="F303" s="45">
        <v>23.5</v>
      </c>
      <c r="G303" s="42" t="s">
        <v>77</v>
      </c>
      <c r="H303" s="45">
        <v>2037.24</v>
      </c>
      <c r="I303" s="42" t="s">
        <v>471</v>
      </c>
      <c r="J303" s="21">
        <v>0</v>
      </c>
      <c r="K303" s="46">
        <v>2004</v>
      </c>
      <c r="L303" s="46">
        <v>2004</v>
      </c>
    </row>
    <row r="304" spans="1:12" hidden="1" x14ac:dyDescent="0.35">
      <c r="A304" s="41">
        <v>1800001379</v>
      </c>
      <c r="B304" s="42" t="s">
        <v>9</v>
      </c>
      <c r="C304" s="43">
        <v>45722</v>
      </c>
      <c r="D304" s="44">
        <v>246779411248</v>
      </c>
      <c r="E304" s="42" t="s">
        <v>76</v>
      </c>
      <c r="F304" s="45">
        <v>42.3</v>
      </c>
      <c r="G304" s="42" t="s">
        <v>77</v>
      </c>
      <c r="H304" s="45">
        <v>3667.04</v>
      </c>
      <c r="I304" s="42" t="s">
        <v>321</v>
      </c>
      <c r="J304" s="21">
        <v>0</v>
      </c>
      <c r="K304" s="46">
        <v>3434</v>
      </c>
      <c r="L304" s="46">
        <v>3434</v>
      </c>
    </row>
    <row r="305" spans="1:12" hidden="1" x14ac:dyDescent="0.35">
      <c r="A305" s="41">
        <v>1800001380</v>
      </c>
      <c r="B305" s="42" t="s">
        <v>9</v>
      </c>
      <c r="C305" s="43">
        <v>45722</v>
      </c>
      <c r="D305" s="44">
        <v>246779411249</v>
      </c>
      <c r="E305" s="42" t="s">
        <v>76</v>
      </c>
      <c r="F305" s="45">
        <v>169.2</v>
      </c>
      <c r="G305" s="42" t="s">
        <v>77</v>
      </c>
      <c r="H305" s="45">
        <v>14668.16</v>
      </c>
      <c r="I305" s="42" t="s">
        <v>321</v>
      </c>
      <c r="J305" s="21">
        <v>0</v>
      </c>
      <c r="K305" s="46">
        <v>13737</v>
      </c>
      <c r="L305" s="46">
        <v>13737</v>
      </c>
    </row>
    <row r="306" spans="1:12" hidden="1" x14ac:dyDescent="0.35">
      <c r="A306" s="41">
        <v>1800001381</v>
      </c>
      <c r="B306" s="42" t="s">
        <v>9</v>
      </c>
      <c r="C306" s="43">
        <v>45722</v>
      </c>
      <c r="D306" s="44">
        <v>246779411250</v>
      </c>
      <c r="E306" s="42" t="s">
        <v>76</v>
      </c>
      <c r="F306" s="45">
        <v>19.7</v>
      </c>
      <c r="G306" s="42" t="s">
        <v>77</v>
      </c>
      <c r="H306" s="45">
        <v>1707.82</v>
      </c>
      <c r="I306" s="42" t="s">
        <v>321</v>
      </c>
      <c r="J306" s="21">
        <v>0</v>
      </c>
      <c r="K306" s="46">
        <v>1599</v>
      </c>
      <c r="L306" s="46">
        <v>1599</v>
      </c>
    </row>
    <row r="307" spans="1:12" hidden="1" x14ac:dyDescent="0.35">
      <c r="A307" s="41">
        <v>1800000417</v>
      </c>
      <c r="B307" s="42" t="s">
        <v>9</v>
      </c>
      <c r="C307" s="43">
        <v>45719</v>
      </c>
      <c r="D307" s="44">
        <v>246779410379</v>
      </c>
      <c r="E307" s="42" t="s">
        <v>76</v>
      </c>
      <c r="F307" s="45">
        <v>5862.04</v>
      </c>
      <c r="G307" s="42" t="s">
        <v>77</v>
      </c>
      <c r="H307" s="45">
        <v>508187.63</v>
      </c>
      <c r="I307" s="42" t="s">
        <v>472</v>
      </c>
      <c r="J307" s="21">
        <v>0</v>
      </c>
      <c r="K307" s="46">
        <v>460370</v>
      </c>
      <c r="L307" s="46">
        <v>460370</v>
      </c>
    </row>
    <row r="308" spans="1:12" hidden="1" x14ac:dyDescent="0.35">
      <c r="A308" s="41">
        <v>1800000554</v>
      </c>
      <c r="B308" s="42" t="s">
        <v>9</v>
      </c>
      <c r="C308" s="43">
        <v>45719</v>
      </c>
      <c r="D308" s="44">
        <v>246779410504</v>
      </c>
      <c r="E308" s="42" t="s">
        <v>76</v>
      </c>
      <c r="F308" s="45">
        <v>2.35</v>
      </c>
      <c r="G308" s="42" t="s">
        <v>77</v>
      </c>
      <c r="H308" s="45">
        <v>203.72</v>
      </c>
      <c r="I308" s="42" t="s">
        <v>473</v>
      </c>
      <c r="J308" s="21">
        <v>0</v>
      </c>
      <c r="K308" s="46">
        <v>201</v>
      </c>
      <c r="L308" s="46">
        <v>201</v>
      </c>
    </row>
    <row r="309" spans="1:12" hidden="1" x14ac:dyDescent="0.35">
      <c r="A309" s="41">
        <v>1800000442</v>
      </c>
      <c r="B309" s="42" t="s">
        <v>9</v>
      </c>
      <c r="C309" s="43">
        <v>45719</v>
      </c>
      <c r="D309" s="44">
        <v>246779410404</v>
      </c>
      <c r="E309" s="42" t="s">
        <v>76</v>
      </c>
      <c r="F309" s="45">
        <v>7394.09</v>
      </c>
      <c r="G309" s="42" t="s">
        <v>77</v>
      </c>
      <c r="H309" s="45">
        <v>641002.98</v>
      </c>
      <c r="I309" s="42" t="s">
        <v>474</v>
      </c>
      <c r="J309" s="21">
        <v>0</v>
      </c>
      <c r="K309" s="46">
        <v>580687</v>
      </c>
      <c r="L309" s="46">
        <v>580687</v>
      </c>
    </row>
    <row r="310" spans="1:12" hidden="1" x14ac:dyDescent="0.35">
      <c r="A310" s="41">
        <v>1800000466</v>
      </c>
      <c r="B310" s="42" t="s">
        <v>9</v>
      </c>
      <c r="C310" s="43">
        <v>45719</v>
      </c>
      <c r="D310" s="44">
        <v>246779410428</v>
      </c>
      <c r="E310" s="42" t="s">
        <v>76</v>
      </c>
      <c r="F310" s="45">
        <v>4332.22</v>
      </c>
      <c r="G310" s="42" t="s">
        <v>77</v>
      </c>
      <c r="H310" s="45">
        <v>375565.61</v>
      </c>
      <c r="I310" s="42" t="s">
        <v>475</v>
      </c>
      <c r="J310" s="21">
        <v>0</v>
      </c>
      <c r="K310" s="46">
        <v>340227</v>
      </c>
      <c r="L310" s="46">
        <v>340227</v>
      </c>
    </row>
    <row r="311" spans="1:12" hidden="1" x14ac:dyDescent="0.35">
      <c r="A311" s="41">
        <v>1800000544</v>
      </c>
      <c r="B311" s="42" t="s">
        <v>9</v>
      </c>
      <c r="C311" s="43">
        <v>45719</v>
      </c>
      <c r="D311" s="44">
        <v>246779410494</v>
      </c>
      <c r="E311" s="42" t="s">
        <v>76</v>
      </c>
      <c r="F311" s="45">
        <v>2.35</v>
      </c>
      <c r="G311" s="42" t="s">
        <v>77</v>
      </c>
      <c r="H311" s="45">
        <v>203.72</v>
      </c>
      <c r="I311" s="42" t="s">
        <v>473</v>
      </c>
      <c r="J311" s="21">
        <v>0</v>
      </c>
      <c r="K311" s="46">
        <v>201</v>
      </c>
      <c r="L311" s="46">
        <v>201</v>
      </c>
    </row>
    <row r="312" spans="1:12" hidden="1" x14ac:dyDescent="0.35">
      <c r="A312" s="41">
        <v>1800000545</v>
      </c>
      <c r="B312" s="42" t="s">
        <v>9</v>
      </c>
      <c r="C312" s="43">
        <v>45719</v>
      </c>
      <c r="D312" s="44">
        <v>246779410495</v>
      </c>
      <c r="E312" s="42" t="s">
        <v>76</v>
      </c>
      <c r="F312" s="45">
        <v>23.5</v>
      </c>
      <c r="G312" s="42" t="s">
        <v>77</v>
      </c>
      <c r="H312" s="45">
        <v>2037.24</v>
      </c>
      <c r="I312" s="42" t="s">
        <v>473</v>
      </c>
      <c r="J312" s="21">
        <v>0</v>
      </c>
      <c r="K312" s="46">
        <v>2009</v>
      </c>
      <c r="L312" s="46">
        <v>2009</v>
      </c>
    </row>
    <row r="313" spans="1:12" hidden="1" x14ac:dyDescent="0.35">
      <c r="A313" s="41">
        <v>1800000546</v>
      </c>
      <c r="B313" s="42" t="s">
        <v>9</v>
      </c>
      <c r="C313" s="43">
        <v>45719</v>
      </c>
      <c r="D313" s="44">
        <v>246779410496</v>
      </c>
      <c r="E313" s="42" t="s">
        <v>76</v>
      </c>
      <c r="F313" s="45">
        <v>2.35</v>
      </c>
      <c r="G313" s="42" t="s">
        <v>77</v>
      </c>
      <c r="H313" s="45">
        <v>203.72</v>
      </c>
      <c r="I313" s="42" t="s">
        <v>473</v>
      </c>
      <c r="J313" s="21">
        <v>0</v>
      </c>
      <c r="K313" s="46">
        <v>201</v>
      </c>
      <c r="L313" s="46">
        <v>201</v>
      </c>
    </row>
    <row r="314" spans="1:12" hidden="1" x14ac:dyDescent="0.35">
      <c r="A314" s="41">
        <v>1800000547</v>
      </c>
      <c r="B314" s="42" t="s">
        <v>9</v>
      </c>
      <c r="C314" s="43">
        <v>45719</v>
      </c>
      <c r="D314" s="44">
        <v>246779410497</v>
      </c>
      <c r="E314" s="42" t="s">
        <v>76</v>
      </c>
      <c r="F314" s="45">
        <v>2.35</v>
      </c>
      <c r="G314" s="42" t="s">
        <v>77</v>
      </c>
      <c r="H314" s="45">
        <v>203.72</v>
      </c>
      <c r="I314" s="42" t="s">
        <v>473</v>
      </c>
      <c r="J314" s="21">
        <v>0</v>
      </c>
      <c r="K314" s="46">
        <v>201</v>
      </c>
      <c r="L314" s="46">
        <v>201</v>
      </c>
    </row>
    <row r="315" spans="1:12" hidden="1" x14ac:dyDescent="0.35">
      <c r="A315" s="41">
        <v>1800000548</v>
      </c>
      <c r="B315" s="42" t="s">
        <v>9</v>
      </c>
      <c r="C315" s="43">
        <v>45719</v>
      </c>
      <c r="D315" s="44">
        <v>246779410498</v>
      </c>
      <c r="E315" s="42" t="s">
        <v>76</v>
      </c>
      <c r="F315" s="45">
        <v>2.35</v>
      </c>
      <c r="G315" s="42" t="s">
        <v>77</v>
      </c>
      <c r="H315" s="45">
        <v>203.72</v>
      </c>
      <c r="I315" s="42" t="s">
        <v>473</v>
      </c>
      <c r="J315" s="21">
        <v>0</v>
      </c>
      <c r="K315" s="46">
        <v>200</v>
      </c>
      <c r="L315" s="46">
        <v>200</v>
      </c>
    </row>
    <row r="316" spans="1:12" hidden="1" x14ac:dyDescent="0.35">
      <c r="A316" s="41">
        <v>1800000549</v>
      </c>
      <c r="B316" s="42" t="s">
        <v>9</v>
      </c>
      <c r="C316" s="43">
        <v>45719</v>
      </c>
      <c r="D316" s="44">
        <v>246779410499</v>
      </c>
      <c r="E316" s="42" t="s">
        <v>76</v>
      </c>
      <c r="F316" s="45">
        <v>9.4</v>
      </c>
      <c r="G316" s="42" t="s">
        <v>77</v>
      </c>
      <c r="H316" s="45">
        <v>814.9</v>
      </c>
      <c r="I316" s="42" t="s">
        <v>473</v>
      </c>
      <c r="J316" s="21">
        <v>0</v>
      </c>
      <c r="K316" s="46">
        <v>804</v>
      </c>
      <c r="L316" s="46">
        <v>804</v>
      </c>
    </row>
    <row r="317" spans="1:12" hidden="1" x14ac:dyDescent="0.35">
      <c r="A317" s="41">
        <v>1800000550</v>
      </c>
      <c r="B317" s="42" t="s">
        <v>9</v>
      </c>
      <c r="C317" s="43">
        <v>45719</v>
      </c>
      <c r="D317" s="44">
        <v>246779410500</v>
      </c>
      <c r="E317" s="42" t="s">
        <v>76</v>
      </c>
      <c r="F317" s="45">
        <v>2.35</v>
      </c>
      <c r="G317" s="42" t="s">
        <v>77</v>
      </c>
      <c r="H317" s="45">
        <v>203.72</v>
      </c>
      <c r="I317" s="42" t="s">
        <v>473</v>
      </c>
      <c r="J317" s="21">
        <v>0</v>
      </c>
      <c r="K317" s="46">
        <v>201</v>
      </c>
      <c r="L317" s="46">
        <v>201</v>
      </c>
    </row>
    <row r="318" spans="1:12" hidden="1" x14ac:dyDescent="0.35">
      <c r="A318" s="41">
        <v>1800000551</v>
      </c>
      <c r="B318" s="42" t="s">
        <v>9</v>
      </c>
      <c r="C318" s="43">
        <v>45719</v>
      </c>
      <c r="D318" s="44">
        <v>246779410501</v>
      </c>
      <c r="E318" s="42" t="s">
        <v>76</v>
      </c>
      <c r="F318" s="45">
        <v>18.8</v>
      </c>
      <c r="G318" s="42" t="s">
        <v>77</v>
      </c>
      <c r="H318" s="45">
        <v>1629.8</v>
      </c>
      <c r="I318" s="42" t="s">
        <v>473</v>
      </c>
      <c r="J318" s="21">
        <v>0</v>
      </c>
      <c r="K318" s="46">
        <v>1607</v>
      </c>
      <c r="L318" s="46">
        <v>1607</v>
      </c>
    </row>
    <row r="319" spans="1:12" hidden="1" x14ac:dyDescent="0.35">
      <c r="A319" s="41">
        <v>1800000552</v>
      </c>
      <c r="B319" s="42" t="s">
        <v>9</v>
      </c>
      <c r="C319" s="43">
        <v>45719</v>
      </c>
      <c r="D319" s="44">
        <v>246779410502</v>
      </c>
      <c r="E319" s="42" t="s">
        <v>76</v>
      </c>
      <c r="F319" s="45">
        <v>23.5</v>
      </c>
      <c r="G319" s="42" t="s">
        <v>77</v>
      </c>
      <c r="H319" s="45">
        <v>2037.24</v>
      </c>
      <c r="I319" s="42" t="s">
        <v>473</v>
      </c>
      <c r="J319" s="21">
        <v>0</v>
      </c>
      <c r="K319" s="46">
        <v>2009</v>
      </c>
      <c r="L319" s="46">
        <v>2009</v>
      </c>
    </row>
    <row r="320" spans="1:12" hidden="1" x14ac:dyDescent="0.35">
      <c r="A320" s="41">
        <v>1800000553</v>
      </c>
      <c r="B320" s="42" t="s">
        <v>9</v>
      </c>
      <c r="C320" s="43">
        <v>45719</v>
      </c>
      <c r="D320" s="44">
        <v>246779410503</v>
      </c>
      <c r="E320" s="42" t="s">
        <v>76</v>
      </c>
      <c r="F320" s="45">
        <v>9.4</v>
      </c>
      <c r="G320" s="42" t="s">
        <v>77</v>
      </c>
      <c r="H320" s="45">
        <v>814.9</v>
      </c>
      <c r="I320" s="42" t="s">
        <v>473</v>
      </c>
      <c r="J320" s="21">
        <v>0</v>
      </c>
      <c r="K320" s="46">
        <v>2009</v>
      </c>
      <c r="L320" s="46">
        <v>2009</v>
      </c>
    </row>
    <row r="321" spans="1:12" hidden="1" x14ac:dyDescent="0.35">
      <c r="A321" s="41">
        <v>1800000555</v>
      </c>
      <c r="B321" s="42" t="s">
        <v>9</v>
      </c>
      <c r="C321" s="43">
        <v>45719</v>
      </c>
      <c r="D321" s="44">
        <v>246779410505</v>
      </c>
      <c r="E321" s="42" t="s">
        <v>76</v>
      </c>
      <c r="F321" s="45">
        <v>7.05</v>
      </c>
      <c r="G321" s="42" t="s">
        <v>77</v>
      </c>
      <c r="H321" s="45">
        <v>611.16999999999996</v>
      </c>
      <c r="I321" s="42" t="s">
        <v>473</v>
      </c>
      <c r="J321" s="21">
        <v>0</v>
      </c>
      <c r="K321" s="46">
        <v>603</v>
      </c>
      <c r="L321" s="46">
        <v>603</v>
      </c>
    </row>
    <row r="322" spans="1:12" hidden="1" x14ac:dyDescent="0.35">
      <c r="A322" s="41">
        <v>1800000556</v>
      </c>
      <c r="B322" s="42" t="s">
        <v>9</v>
      </c>
      <c r="C322" s="43">
        <v>45719</v>
      </c>
      <c r="D322" s="44">
        <v>246779410506</v>
      </c>
      <c r="E322" s="42" t="s">
        <v>76</v>
      </c>
      <c r="F322" s="45">
        <v>4.7</v>
      </c>
      <c r="G322" s="42" t="s">
        <v>77</v>
      </c>
      <c r="H322" s="45">
        <v>407.45</v>
      </c>
      <c r="I322" s="42" t="s">
        <v>473</v>
      </c>
      <c r="J322" s="21">
        <v>0</v>
      </c>
      <c r="K322" s="46">
        <v>402</v>
      </c>
      <c r="L322" s="46">
        <v>402</v>
      </c>
    </row>
    <row r="323" spans="1:12" hidden="1" x14ac:dyDescent="0.35">
      <c r="A323" s="41">
        <v>1800000557</v>
      </c>
      <c r="B323" s="42" t="s">
        <v>9</v>
      </c>
      <c r="C323" s="43">
        <v>45719</v>
      </c>
      <c r="D323" s="44">
        <v>246779410507</v>
      </c>
      <c r="E323" s="42" t="s">
        <v>76</v>
      </c>
      <c r="F323" s="45">
        <v>2.35</v>
      </c>
      <c r="G323" s="42" t="s">
        <v>77</v>
      </c>
      <c r="H323" s="45">
        <v>203.72</v>
      </c>
      <c r="I323" s="42" t="s">
        <v>473</v>
      </c>
      <c r="J323" s="21">
        <v>0</v>
      </c>
      <c r="K323" s="46">
        <v>402</v>
      </c>
      <c r="L323" s="46">
        <v>402</v>
      </c>
    </row>
    <row r="324" spans="1:12" hidden="1" x14ac:dyDescent="0.35">
      <c r="A324" s="41">
        <v>1800000558</v>
      </c>
      <c r="B324" s="42" t="s">
        <v>9</v>
      </c>
      <c r="C324" s="43">
        <v>45719</v>
      </c>
      <c r="D324" s="44">
        <v>246779410508</v>
      </c>
      <c r="E324" s="42" t="s">
        <v>76</v>
      </c>
      <c r="F324" s="45">
        <v>2.35</v>
      </c>
      <c r="G324" s="42" t="s">
        <v>77</v>
      </c>
      <c r="H324" s="45">
        <v>203.72</v>
      </c>
      <c r="I324" s="42" t="s">
        <v>473</v>
      </c>
      <c r="J324" s="21">
        <v>0</v>
      </c>
      <c r="K324" s="46">
        <v>201</v>
      </c>
      <c r="L324" s="46">
        <v>201</v>
      </c>
    </row>
    <row r="325" spans="1:12" hidden="1" x14ac:dyDescent="0.35">
      <c r="A325" s="41">
        <v>1800000665</v>
      </c>
      <c r="B325" s="42" t="s">
        <v>9</v>
      </c>
      <c r="C325" s="43">
        <v>45719</v>
      </c>
      <c r="D325" s="44">
        <v>246779410605</v>
      </c>
      <c r="E325" s="42" t="s">
        <v>76</v>
      </c>
      <c r="F325" s="45">
        <v>23.5</v>
      </c>
      <c r="G325" s="42" t="s">
        <v>77</v>
      </c>
      <c r="H325" s="45">
        <v>2037.24</v>
      </c>
      <c r="I325" s="42" t="s">
        <v>451</v>
      </c>
      <c r="J325" s="21">
        <v>0</v>
      </c>
      <c r="K325" s="46">
        <v>2009</v>
      </c>
      <c r="L325" s="46">
        <v>2009</v>
      </c>
    </row>
    <row r="326" spans="1:12" hidden="1" x14ac:dyDescent="0.35">
      <c r="A326" s="41">
        <v>1800000666</v>
      </c>
      <c r="B326" s="42" t="s">
        <v>9</v>
      </c>
      <c r="C326" s="43">
        <v>45719</v>
      </c>
      <c r="D326" s="44">
        <v>246779410606</v>
      </c>
      <c r="E326" s="42" t="s">
        <v>76</v>
      </c>
      <c r="F326" s="45">
        <v>4.7</v>
      </c>
      <c r="G326" s="42" t="s">
        <v>77</v>
      </c>
      <c r="H326" s="45">
        <v>407.45</v>
      </c>
      <c r="I326" s="42" t="s">
        <v>451</v>
      </c>
      <c r="J326" s="21">
        <v>0</v>
      </c>
      <c r="K326" s="46">
        <v>402</v>
      </c>
      <c r="L326" s="46">
        <v>402</v>
      </c>
    </row>
    <row r="327" spans="1:12" hidden="1" x14ac:dyDescent="0.35">
      <c r="A327" s="41">
        <v>1800000667</v>
      </c>
      <c r="B327" s="42" t="s">
        <v>9</v>
      </c>
      <c r="C327" s="43">
        <v>45719</v>
      </c>
      <c r="D327" s="44">
        <v>246779410607</v>
      </c>
      <c r="E327" s="42" t="s">
        <v>76</v>
      </c>
      <c r="F327" s="45">
        <v>4.7</v>
      </c>
      <c r="G327" s="42" t="s">
        <v>77</v>
      </c>
      <c r="H327" s="45">
        <v>407.45</v>
      </c>
      <c r="I327" s="42" t="s">
        <v>451</v>
      </c>
      <c r="J327" s="21">
        <v>0</v>
      </c>
      <c r="K327" s="46">
        <v>402</v>
      </c>
      <c r="L327" s="46">
        <v>402</v>
      </c>
    </row>
    <row r="328" spans="1:12" hidden="1" x14ac:dyDescent="0.35">
      <c r="A328" s="41">
        <v>1800000668</v>
      </c>
      <c r="B328" s="42" t="s">
        <v>9</v>
      </c>
      <c r="C328" s="43">
        <v>45719</v>
      </c>
      <c r="D328" s="44">
        <v>246779410608</v>
      </c>
      <c r="E328" s="42" t="s">
        <v>76</v>
      </c>
      <c r="F328" s="45">
        <v>9.4</v>
      </c>
      <c r="G328" s="42" t="s">
        <v>77</v>
      </c>
      <c r="H328" s="45">
        <v>814.9</v>
      </c>
      <c r="I328" s="42" t="s">
        <v>451</v>
      </c>
      <c r="J328" s="21">
        <v>0</v>
      </c>
      <c r="K328" s="46">
        <v>804</v>
      </c>
      <c r="L328" s="46">
        <v>804</v>
      </c>
    </row>
    <row r="329" spans="1:12" hidden="1" x14ac:dyDescent="0.35">
      <c r="A329" s="41">
        <v>1800000669</v>
      </c>
      <c r="B329" s="42" t="s">
        <v>9</v>
      </c>
      <c r="C329" s="43">
        <v>45719</v>
      </c>
      <c r="D329" s="44">
        <v>246779410609</v>
      </c>
      <c r="E329" s="42" t="s">
        <v>76</v>
      </c>
      <c r="F329" s="45">
        <v>37.6</v>
      </c>
      <c r="G329" s="42" t="s">
        <v>77</v>
      </c>
      <c r="H329" s="45">
        <v>3259.59</v>
      </c>
      <c r="I329" s="42" t="s">
        <v>451</v>
      </c>
      <c r="J329" s="21">
        <v>0</v>
      </c>
      <c r="K329" s="46">
        <v>3203</v>
      </c>
      <c r="L329" s="46">
        <v>3203</v>
      </c>
    </row>
    <row r="330" spans="1:12" hidden="1" x14ac:dyDescent="0.35">
      <c r="A330" s="41">
        <v>1800000670</v>
      </c>
      <c r="B330" s="42" t="s">
        <v>9</v>
      </c>
      <c r="C330" s="43">
        <v>45719</v>
      </c>
      <c r="D330" s="44">
        <v>246779410610</v>
      </c>
      <c r="E330" s="42" t="s">
        <v>76</v>
      </c>
      <c r="F330" s="45">
        <v>2.35</v>
      </c>
      <c r="G330" s="42" t="s">
        <v>77</v>
      </c>
      <c r="H330" s="45">
        <v>203.72</v>
      </c>
      <c r="I330" s="42" t="s">
        <v>451</v>
      </c>
      <c r="J330" s="21">
        <v>0</v>
      </c>
      <c r="K330" s="46">
        <v>201</v>
      </c>
      <c r="L330" s="46">
        <v>201</v>
      </c>
    </row>
    <row r="331" spans="1:12" hidden="1" x14ac:dyDescent="0.35">
      <c r="A331" s="41">
        <v>1800000671</v>
      </c>
      <c r="B331" s="42" t="s">
        <v>9</v>
      </c>
      <c r="C331" s="43">
        <v>45719</v>
      </c>
      <c r="D331" s="44">
        <v>246779410611</v>
      </c>
      <c r="E331" s="42" t="s">
        <v>76</v>
      </c>
      <c r="F331" s="45">
        <v>4.7</v>
      </c>
      <c r="G331" s="42" t="s">
        <v>77</v>
      </c>
      <c r="H331" s="45">
        <v>407.45</v>
      </c>
      <c r="I331" s="42" t="s">
        <v>451</v>
      </c>
      <c r="J331" s="21">
        <v>0</v>
      </c>
      <c r="K331" s="46">
        <v>402</v>
      </c>
      <c r="L331" s="46">
        <v>402</v>
      </c>
    </row>
    <row r="332" spans="1:12" hidden="1" x14ac:dyDescent="0.35">
      <c r="A332" s="41">
        <v>1800000673</v>
      </c>
      <c r="B332" s="42" t="s">
        <v>9</v>
      </c>
      <c r="C332" s="43">
        <v>45719</v>
      </c>
      <c r="D332" s="44">
        <v>246779410613</v>
      </c>
      <c r="E332" s="42" t="s">
        <v>76</v>
      </c>
      <c r="F332" s="45">
        <v>9.4</v>
      </c>
      <c r="G332" s="42" t="s">
        <v>77</v>
      </c>
      <c r="H332" s="45">
        <v>814.9</v>
      </c>
      <c r="I332" s="42" t="s">
        <v>451</v>
      </c>
      <c r="J332" s="21">
        <v>0</v>
      </c>
      <c r="K332" s="46">
        <v>804</v>
      </c>
      <c r="L332" s="46">
        <v>804</v>
      </c>
    </row>
    <row r="333" spans="1:12" hidden="1" x14ac:dyDescent="0.35">
      <c r="A333" s="41">
        <v>1800011345</v>
      </c>
      <c r="B333" s="42" t="s">
        <v>9</v>
      </c>
      <c r="C333" s="43">
        <v>45870</v>
      </c>
      <c r="D333" s="44">
        <v>256779416054</v>
      </c>
      <c r="E333" s="42" t="s">
        <v>76</v>
      </c>
      <c r="F333" s="45">
        <v>456.75</v>
      </c>
      <c r="G333" s="42" t="s">
        <v>77</v>
      </c>
      <c r="H333" s="45">
        <v>39294.26</v>
      </c>
      <c r="I333" s="42" t="s">
        <v>476</v>
      </c>
      <c r="J333" s="21">
        <v>0</v>
      </c>
      <c r="K333" s="46">
        <v>35336.871800000001</v>
      </c>
      <c r="L333" s="46">
        <v>35336.871800000001</v>
      </c>
    </row>
  </sheetData>
  <autoFilter ref="A2:L333" xr:uid="{C7581127-7E9D-4A17-9582-D0C88934A829}">
    <filterColumn colId="9">
      <filters>
        <filter val="1058"/>
        <filter val="1089"/>
        <filter val="1351"/>
        <filter val="176"/>
        <filter val="181"/>
        <filter val="1815"/>
        <filter val="4048"/>
        <filter val="4174"/>
        <filter val="6"/>
        <filter val="6791"/>
        <filter val="88"/>
        <filter val="90"/>
        <filter val="91"/>
        <filter val="980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5750-37E8-420A-A250-67AF5B33A156}">
  <dimension ref="A2:J97"/>
  <sheetViews>
    <sheetView topLeftCell="A65" workbookViewId="0">
      <selection activeCell="J97" sqref="J97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8.26953125" bestFit="1" customWidth="1"/>
    <col min="6" max="6" width="8.453125" bestFit="1" customWidth="1"/>
    <col min="8" max="8" width="10.90625" bestFit="1" customWidth="1"/>
    <col min="9" max="9" width="45" bestFit="1" customWidth="1"/>
    <col min="10" max="10" width="8.453125" bestFit="1" customWidth="1"/>
    <col min="11" max="11" width="4.54296875" bestFit="1" customWidth="1"/>
  </cols>
  <sheetData>
    <row r="2" spans="1:10" ht="58" x14ac:dyDescent="0.35">
      <c r="A2" s="9" t="s">
        <v>41</v>
      </c>
      <c r="B2" s="10" t="s">
        <v>42</v>
      </c>
      <c r="C2" s="9" t="s">
        <v>6</v>
      </c>
      <c r="D2" s="9" t="s">
        <v>45</v>
      </c>
      <c r="E2" s="10" t="s">
        <v>50</v>
      </c>
      <c r="F2" s="10" t="s">
        <v>51</v>
      </c>
      <c r="G2" s="10" t="s">
        <v>52</v>
      </c>
      <c r="H2" s="10" t="s">
        <v>53</v>
      </c>
      <c r="I2" s="9" t="s">
        <v>59</v>
      </c>
      <c r="J2" s="57" t="s">
        <v>975</v>
      </c>
    </row>
    <row r="3" spans="1:10" x14ac:dyDescent="0.35">
      <c r="A3" s="25">
        <v>1600001726</v>
      </c>
      <c r="B3" s="1" t="s">
        <v>8</v>
      </c>
      <c r="C3" s="11">
        <v>45854</v>
      </c>
      <c r="D3" s="35">
        <v>256779421358</v>
      </c>
      <c r="E3" s="1" t="s">
        <v>76</v>
      </c>
      <c r="F3" s="12">
        <v>-1793.99</v>
      </c>
      <c r="G3" s="1" t="s">
        <v>77</v>
      </c>
      <c r="H3" s="12">
        <v>-154827.9</v>
      </c>
      <c r="I3" s="1" t="s">
        <v>81</v>
      </c>
      <c r="J3" s="5" t="e">
        <v>#N/A</v>
      </c>
    </row>
    <row r="4" spans="1:10" x14ac:dyDescent="0.35">
      <c r="A4" s="25">
        <v>1800010646</v>
      </c>
      <c r="B4" s="1" t="s">
        <v>9</v>
      </c>
      <c r="C4" s="11">
        <v>45854</v>
      </c>
      <c r="D4" s="35">
        <v>256779415406</v>
      </c>
      <c r="E4" s="1" t="s">
        <v>76</v>
      </c>
      <c r="F4" s="12">
        <v>1793.99</v>
      </c>
      <c r="G4" s="1" t="s">
        <v>77</v>
      </c>
      <c r="H4" s="12">
        <v>154827.9</v>
      </c>
      <c r="I4" s="1" t="s">
        <v>84</v>
      </c>
      <c r="J4" t="e">
        <v>#N/A</v>
      </c>
    </row>
    <row r="5" spans="1:10" x14ac:dyDescent="0.35">
      <c r="A5" s="25">
        <v>1600001727</v>
      </c>
      <c r="B5" s="1" t="s">
        <v>8</v>
      </c>
      <c r="C5" s="11">
        <v>45854</v>
      </c>
      <c r="D5" s="35">
        <v>256779421359</v>
      </c>
      <c r="E5" s="1" t="s">
        <v>76</v>
      </c>
      <c r="F5" s="12">
        <v>-705</v>
      </c>
      <c r="G5" s="1" t="s">
        <v>77</v>
      </c>
      <c r="H5" s="12">
        <v>-60844.08</v>
      </c>
      <c r="I5" s="1" t="s">
        <v>85</v>
      </c>
      <c r="J5" s="5" t="e">
        <v>#N/A</v>
      </c>
    </row>
    <row r="6" spans="1:10" x14ac:dyDescent="0.35">
      <c r="A6" s="25">
        <v>1800010647</v>
      </c>
      <c r="B6" s="1" t="s">
        <v>9</v>
      </c>
      <c r="C6" s="11">
        <v>45854</v>
      </c>
      <c r="D6" s="35">
        <v>256779415407</v>
      </c>
      <c r="E6" s="1" t="s">
        <v>76</v>
      </c>
      <c r="F6" s="12">
        <v>705</v>
      </c>
      <c r="G6" s="1" t="s">
        <v>77</v>
      </c>
      <c r="H6" s="12">
        <v>60844.08</v>
      </c>
      <c r="I6" s="1" t="s">
        <v>87</v>
      </c>
      <c r="J6" t="e">
        <v>#N/A</v>
      </c>
    </row>
    <row r="7" spans="1:10" x14ac:dyDescent="0.35">
      <c r="A7" s="25">
        <v>1600001728</v>
      </c>
      <c r="B7" s="1" t="s">
        <v>8</v>
      </c>
      <c r="C7" s="11">
        <v>45854</v>
      </c>
      <c r="D7" s="35">
        <v>256779421360</v>
      </c>
      <c r="E7" s="1" t="s">
        <v>76</v>
      </c>
      <c r="F7" s="12">
        <v>-216.2</v>
      </c>
      <c r="G7" s="1" t="s">
        <v>77</v>
      </c>
      <c r="H7" s="12">
        <v>-18742.650000000001</v>
      </c>
      <c r="I7" s="1" t="s">
        <v>88</v>
      </c>
      <c r="J7" s="5" t="e">
        <v>#N/A</v>
      </c>
    </row>
    <row r="8" spans="1:10" x14ac:dyDescent="0.35">
      <c r="A8" s="25">
        <v>1800010648</v>
      </c>
      <c r="B8" s="1" t="s">
        <v>9</v>
      </c>
      <c r="C8" s="11">
        <v>45854</v>
      </c>
      <c r="D8" s="35">
        <v>256779415408</v>
      </c>
      <c r="E8" s="1" t="s">
        <v>76</v>
      </c>
      <c r="F8" s="12">
        <v>216.2</v>
      </c>
      <c r="G8" s="1" t="s">
        <v>77</v>
      </c>
      <c r="H8" s="12">
        <v>18742.650000000001</v>
      </c>
      <c r="I8" s="1" t="s">
        <v>90</v>
      </c>
      <c r="J8" t="e">
        <v>#N/A</v>
      </c>
    </row>
    <row r="9" spans="1:10" x14ac:dyDescent="0.35">
      <c r="A9" s="25">
        <v>1600001731</v>
      </c>
      <c r="B9" s="1" t="s">
        <v>8</v>
      </c>
      <c r="C9" s="11">
        <v>45854</v>
      </c>
      <c r="D9" s="35">
        <v>256779421363</v>
      </c>
      <c r="E9" s="1" t="s">
        <v>76</v>
      </c>
      <c r="F9" s="12">
        <v>-1926.06</v>
      </c>
      <c r="G9" s="1" t="s">
        <v>77</v>
      </c>
      <c r="H9" s="12">
        <v>-166972.57</v>
      </c>
      <c r="I9" s="1" t="s">
        <v>91</v>
      </c>
      <c r="J9" s="5" t="e">
        <v>#N/A</v>
      </c>
    </row>
    <row r="10" spans="1:10" x14ac:dyDescent="0.35">
      <c r="A10" s="25">
        <v>1800010649</v>
      </c>
      <c r="B10" s="1" t="s">
        <v>9</v>
      </c>
      <c r="C10" s="11">
        <v>45854</v>
      </c>
      <c r="D10" s="35">
        <v>256779415409</v>
      </c>
      <c r="E10" s="1" t="s">
        <v>76</v>
      </c>
      <c r="F10" s="12">
        <v>1926.06</v>
      </c>
      <c r="G10" s="1" t="s">
        <v>77</v>
      </c>
      <c r="H10" s="12">
        <v>166972.57</v>
      </c>
      <c r="I10" s="1" t="s">
        <v>93</v>
      </c>
      <c r="J10" t="e">
        <v>#N/A</v>
      </c>
    </row>
    <row r="11" spans="1:10" x14ac:dyDescent="0.35">
      <c r="A11" s="25">
        <v>1600001734</v>
      </c>
      <c r="B11" s="1" t="s">
        <v>8</v>
      </c>
      <c r="C11" s="11">
        <v>45854</v>
      </c>
      <c r="D11" s="35">
        <v>256779421366</v>
      </c>
      <c r="E11" s="1" t="s">
        <v>76</v>
      </c>
      <c r="F11" s="12">
        <v>-531.9</v>
      </c>
      <c r="G11" s="1" t="s">
        <v>77</v>
      </c>
      <c r="H11" s="12">
        <v>-46111.08</v>
      </c>
      <c r="I11" s="1" t="s">
        <v>94</v>
      </c>
      <c r="J11" s="5" t="e">
        <v>#N/A</v>
      </c>
    </row>
    <row r="12" spans="1:10" x14ac:dyDescent="0.35">
      <c r="A12" s="25">
        <v>1800010650</v>
      </c>
      <c r="B12" s="1" t="s">
        <v>9</v>
      </c>
      <c r="C12" s="11">
        <v>45854</v>
      </c>
      <c r="D12" s="35">
        <v>256779415410</v>
      </c>
      <c r="E12" s="1" t="s">
        <v>76</v>
      </c>
      <c r="F12" s="12">
        <v>531.9</v>
      </c>
      <c r="G12" s="1" t="s">
        <v>77</v>
      </c>
      <c r="H12" s="12">
        <v>46111.08</v>
      </c>
      <c r="I12" s="1" t="s">
        <v>96</v>
      </c>
      <c r="J12" t="e">
        <v>#N/A</v>
      </c>
    </row>
    <row r="13" spans="1:10" x14ac:dyDescent="0.35">
      <c r="A13" s="25">
        <v>1600001739</v>
      </c>
      <c r="B13" s="1" t="s">
        <v>8</v>
      </c>
      <c r="C13" s="11">
        <v>45854</v>
      </c>
      <c r="D13" s="35">
        <v>256779421371</v>
      </c>
      <c r="E13" s="1" t="s">
        <v>76</v>
      </c>
      <c r="F13" s="12">
        <v>-525</v>
      </c>
      <c r="G13" s="1" t="s">
        <v>77</v>
      </c>
      <c r="H13" s="12">
        <v>-45512.91</v>
      </c>
      <c r="I13" s="1" t="s">
        <v>97</v>
      </c>
      <c r="J13" s="5" t="e">
        <v>#N/A</v>
      </c>
    </row>
    <row r="14" spans="1:10" x14ac:dyDescent="0.35">
      <c r="A14" s="25">
        <v>1800010651</v>
      </c>
      <c r="B14" s="1" t="s">
        <v>9</v>
      </c>
      <c r="C14" s="11">
        <v>45854</v>
      </c>
      <c r="D14" s="35">
        <v>256779415411</v>
      </c>
      <c r="E14" s="1" t="s">
        <v>76</v>
      </c>
      <c r="F14" s="12">
        <v>525</v>
      </c>
      <c r="G14" s="1" t="s">
        <v>77</v>
      </c>
      <c r="H14" s="12">
        <v>45512.91</v>
      </c>
      <c r="I14" s="1" t="s">
        <v>99</v>
      </c>
      <c r="J14" t="e">
        <v>#N/A</v>
      </c>
    </row>
    <row r="15" spans="1:10" x14ac:dyDescent="0.35">
      <c r="A15" s="25">
        <v>1600001729</v>
      </c>
      <c r="B15" s="1" t="s">
        <v>8</v>
      </c>
      <c r="C15" s="11">
        <v>45854</v>
      </c>
      <c r="D15" s="35">
        <v>256779421361</v>
      </c>
      <c r="E15" s="1" t="s">
        <v>76</v>
      </c>
      <c r="F15" s="12">
        <v>-364.25</v>
      </c>
      <c r="G15" s="1" t="s">
        <v>77</v>
      </c>
      <c r="H15" s="12">
        <v>-31577.29</v>
      </c>
      <c r="I15" s="1" t="s">
        <v>100</v>
      </c>
      <c r="J15" s="5" t="e">
        <v>#N/A</v>
      </c>
    </row>
    <row r="16" spans="1:10" x14ac:dyDescent="0.35">
      <c r="A16" s="25">
        <v>1600001730</v>
      </c>
      <c r="B16" s="1" t="s">
        <v>8</v>
      </c>
      <c r="C16" s="11">
        <v>45854</v>
      </c>
      <c r="D16" s="35">
        <v>256779421362</v>
      </c>
      <c r="E16" s="1" t="s">
        <v>76</v>
      </c>
      <c r="F16" s="12">
        <v>-237.35</v>
      </c>
      <c r="G16" s="1" t="s">
        <v>77</v>
      </c>
      <c r="H16" s="12">
        <v>-20576.169999999998</v>
      </c>
      <c r="I16" s="1" t="s">
        <v>102</v>
      </c>
      <c r="J16" s="5" t="e">
        <v>#N/A</v>
      </c>
    </row>
    <row r="17" spans="1:10" x14ac:dyDescent="0.35">
      <c r="A17" s="25">
        <v>1600001732</v>
      </c>
      <c r="B17" s="1" t="s">
        <v>8</v>
      </c>
      <c r="C17" s="11">
        <v>45854</v>
      </c>
      <c r="D17" s="35">
        <v>256779421364</v>
      </c>
      <c r="E17" s="1" t="s">
        <v>76</v>
      </c>
      <c r="F17" s="12">
        <v>-220</v>
      </c>
      <c r="G17" s="1" t="s">
        <v>77</v>
      </c>
      <c r="H17" s="12">
        <v>-19072.080000000002</v>
      </c>
      <c r="I17" s="1" t="s">
        <v>103</v>
      </c>
      <c r="J17" s="5" t="e">
        <v>#N/A</v>
      </c>
    </row>
    <row r="18" spans="1:10" x14ac:dyDescent="0.35">
      <c r="A18" s="25">
        <v>1600001733</v>
      </c>
      <c r="B18" s="1" t="s">
        <v>8</v>
      </c>
      <c r="C18" s="11">
        <v>45854</v>
      </c>
      <c r="D18" s="35">
        <v>256779421365</v>
      </c>
      <c r="E18" s="1" t="s">
        <v>76</v>
      </c>
      <c r="F18" s="12">
        <v>-375</v>
      </c>
      <c r="G18" s="1" t="s">
        <v>77</v>
      </c>
      <c r="H18" s="12">
        <v>-32509.22</v>
      </c>
      <c r="I18" s="1" t="s">
        <v>104</v>
      </c>
      <c r="J18" s="5" t="e">
        <v>#N/A</v>
      </c>
    </row>
    <row r="19" spans="1:10" x14ac:dyDescent="0.35">
      <c r="A19" s="25">
        <v>1600001735</v>
      </c>
      <c r="B19" s="1" t="s">
        <v>8</v>
      </c>
      <c r="C19" s="11">
        <v>45854</v>
      </c>
      <c r="D19" s="35">
        <v>256779421367</v>
      </c>
      <c r="E19" s="1" t="s">
        <v>76</v>
      </c>
      <c r="F19" s="12">
        <v>-1314.12</v>
      </c>
      <c r="G19" s="1" t="s">
        <v>77</v>
      </c>
      <c r="H19" s="12">
        <v>-114225.7</v>
      </c>
      <c r="I19" s="1" t="s">
        <v>105</v>
      </c>
      <c r="J19" s="5" t="e">
        <v>#N/A</v>
      </c>
    </row>
    <row r="20" spans="1:10" x14ac:dyDescent="0.35">
      <c r="A20" s="25">
        <v>1600001736</v>
      </c>
      <c r="B20" s="1" t="s">
        <v>8</v>
      </c>
      <c r="C20" s="11">
        <v>45854</v>
      </c>
      <c r="D20" s="35">
        <v>256779421368</v>
      </c>
      <c r="E20" s="1" t="s">
        <v>76</v>
      </c>
      <c r="F20" s="12">
        <v>-705</v>
      </c>
      <c r="G20" s="1" t="s">
        <v>77</v>
      </c>
      <c r="H20" s="12">
        <v>-61279.88</v>
      </c>
      <c r="I20" s="1" t="s">
        <v>106</v>
      </c>
      <c r="J20" s="5" t="e">
        <v>#N/A</v>
      </c>
    </row>
    <row r="21" spans="1:10" x14ac:dyDescent="0.35">
      <c r="A21" s="25">
        <v>1600001737</v>
      </c>
      <c r="B21" s="1" t="s">
        <v>8</v>
      </c>
      <c r="C21" s="11">
        <v>45854</v>
      </c>
      <c r="D21" s="35">
        <v>256779421369</v>
      </c>
      <c r="E21" s="1" t="s">
        <v>76</v>
      </c>
      <c r="F21" s="12">
        <v>-1793.99</v>
      </c>
      <c r="G21" s="1" t="s">
        <v>77</v>
      </c>
      <c r="H21" s="12">
        <v>-155936.88</v>
      </c>
      <c r="I21" s="1" t="s">
        <v>107</v>
      </c>
      <c r="J21" s="5" t="e">
        <v>#N/A</v>
      </c>
    </row>
    <row r="22" spans="1:10" x14ac:dyDescent="0.35">
      <c r="A22" s="25">
        <v>1600001738</v>
      </c>
      <c r="B22" s="1" t="s">
        <v>8</v>
      </c>
      <c r="C22" s="11">
        <v>45854</v>
      </c>
      <c r="D22" s="35">
        <v>256779421370</v>
      </c>
      <c r="E22" s="1" t="s">
        <v>76</v>
      </c>
      <c r="F22" s="12">
        <v>-140</v>
      </c>
      <c r="G22" s="1" t="s">
        <v>77</v>
      </c>
      <c r="H22" s="12">
        <v>-12169.05</v>
      </c>
      <c r="I22" s="1" t="s">
        <v>108</v>
      </c>
      <c r="J22" s="5" t="e">
        <v>#N/A</v>
      </c>
    </row>
    <row r="23" spans="1:10" x14ac:dyDescent="0.35">
      <c r="A23" s="25">
        <v>1600001740</v>
      </c>
      <c r="B23" s="1" t="s">
        <v>8</v>
      </c>
      <c r="C23" s="11">
        <v>45854</v>
      </c>
      <c r="D23" s="35">
        <v>256779421372</v>
      </c>
      <c r="E23" s="1" t="s">
        <v>76</v>
      </c>
      <c r="F23" s="12">
        <v>-385</v>
      </c>
      <c r="G23" s="1" t="s">
        <v>77</v>
      </c>
      <c r="H23" s="12">
        <v>-33376.14</v>
      </c>
      <c r="I23" s="1" t="s">
        <v>109</v>
      </c>
      <c r="J23" s="5" t="e">
        <v>#N/A</v>
      </c>
    </row>
    <row r="24" spans="1:10" x14ac:dyDescent="0.35">
      <c r="A24" s="25">
        <v>1600001741</v>
      </c>
      <c r="B24" s="1" t="s">
        <v>8</v>
      </c>
      <c r="C24" s="11">
        <v>45854</v>
      </c>
      <c r="D24" s="35">
        <v>256779421373</v>
      </c>
      <c r="E24" s="1" t="s">
        <v>76</v>
      </c>
      <c r="F24" s="12">
        <v>-105</v>
      </c>
      <c r="G24" s="1" t="s">
        <v>77</v>
      </c>
      <c r="H24" s="12">
        <v>-9102.58</v>
      </c>
      <c r="I24" s="1" t="s">
        <v>110</v>
      </c>
      <c r="J24" s="5" t="e">
        <v>#N/A</v>
      </c>
    </row>
    <row r="25" spans="1:10" x14ac:dyDescent="0.35">
      <c r="A25" s="25">
        <v>1600001742</v>
      </c>
      <c r="B25" s="1" t="s">
        <v>8</v>
      </c>
      <c r="C25" s="11">
        <v>45854</v>
      </c>
      <c r="D25" s="35">
        <v>256779421374</v>
      </c>
      <c r="E25" s="1" t="s">
        <v>76</v>
      </c>
      <c r="F25" s="12">
        <v>-245</v>
      </c>
      <c r="G25" s="1" t="s">
        <v>77</v>
      </c>
      <c r="H25" s="12">
        <v>-21239.360000000001</v>
      </c>
      <c r="I25" s="1" t="s">
        <v>111</v>
      </c>
      <c r="J25" s="5" t="e">
        <v>#N/A</v>
      </c>
    </row>
    <row r="26" spans="1:10" x14ac:dyDescent="0.35">
      <c r="A26" s="25">
        <v>1600001743</v>
      </c>
      <c r="B26" s="1" t="s">
        <v>8</v>
      </c>
      <c r="C26" s="11">
        <v>45854</v>
      </c>
      <c r="D26" s="35">
        <v>256779421375</v>
      </c>
      <c r="E26" s="1" t="s">
        <v>76</v>
      </c>
      <c r="F26" s="12">
        <v>-220</v>
      </c>
      <c r="G26" s="1" t="s">
        <v>77</v>
      </c>
      <c r="H26" s="12">
        <v>-19072.080000000002</v>
      </c>
      <c r="I26" s="1" t="s">
        <v>112</v>
      </c>
      <c r="J26" s="5" t="e">
        <v>#N/A</v>
      </c>
    </row>
    <row r="27" spans="1:10" x14ac:dyDescent="0.35">
      <c r="A27" s="25">
        <v>1600001744</v>
      </c>
      <c r="B27" s="1" t="s">
        <v>8</v>
      </c>
      <c r="C27" s="11">
        <v>45854</v>
      </c>
      <c r="D27" s="35">
        <v>256779421376</v>
      </c>
      <c r="E27" s="1" t="s">
        <v>76</v>
      </c>
      <c r="F27" s="12">
        <v>-70</v>
      </c>
      <c r="G27" s="1" t="s">
        <v>77</v>
      </c>
      <c r="H27" s="12">
        <v>-6084.53</v>
      </c>
      <c r="I27" s="1" t="s">
        <v>113</v>
      </c>
      <c r="J27" s="5" t="e">
        <v>#N/A</v>
      </c>
    </row>
    <row r="28" spans="1:10" x14ac:dyDescent="0.35">
      <c r="A28" s="25">
        <v>1600001745</v>
      </c>
      <c r="B28" s="1" t="s">
        <v>8</v>
      </c>
      <c r="C28" s="11">
        <v>45854</v>
      </c>
      <c r="D28" s="35">
        <v>256779421377</v>
      </c>
      <c r="E28" s="1" t="s">
        <v>76</v>
      </c>
      <c r="F28" s="12">
        <v>-140</v>
      </c>
      <c r="G28" s="1" t="s">
        <v>77</v>
      </c>
      <c r="H28" s="12">
        <v>-12037.72</v>
      </c>
      <c r="I28" s="1" t="s">
        <v>114</v>
      </c>
      <c r="J28" s="5" t="e">
        <v>#N/A</v>
      </c>
    </row>
    <row r="29" spans="1:10" x14ac:dyDescent="0.35">
      <c r="A29" s="25">
        <v>1600001746</v>
      </c>
      <c r="B29" s="1" t="s">
        <v>8</v>
      </c>
      <c r="C29" s="11">
        <v>45854</v>
      </c>
      <c r="D29" s="35">
        <v>256779421378</v>
      </c>
      <c r="E29" s="1" t="s">
        <v>76</v>
      </c>
      <c r="F29" s="12">
        <v>-140</v>
      </c>
      <c r="G29" s="1" t="s">
        <v>77</v>
      </c>
      <c r="H29" s="12">
        <v>-12037.72</v>
      </c>
      <c r="I29" s="1" t="s">
        <v>115</v>
      </c>
      <c r="J29" s="5" t="e">
        <v>#N/A</v>
      </c>
    </row>
    <row r="30" spans="1:10" x14ac:dyDescent="0.35">
      <c r="A30" s="25">
        <v>1600001747</v>
      </c>
      <c r="B30" s="1" t="s">
        <v>8</v>
      </c>
      <c r="C30" s="11">
        <v>45854</v>
      </c>
      <c r="D30" s="35">
        <v>256779421379</v>
      </c>
      <c r="E30" s="1" t="s">
        <v>76</v>
      </c>
      <c r="F30" s="12">
        <v>-190</v>
      </c>
      <c r="G30" s="1" t="s">
        <v>77</v>
      </c>
      <c r="H30" s="12">
        <v>-16243.25</v>
      </c>
      <c r="I30" s="1" t="s">
        <v>116</v>
      </c>
      <c r="J30" s="5" t="e">
        <v>#N/A</v>
      </c>
    </row>
    <row r="31" spans="1:10" x14ac:dyDescent="0.35">
      <c r="A31" s="25">
        <v>1600001748</v>
      </c>
      <c r="B31" s="1" t="s">
        <v>8</v>
      </c>
      <c r="C31" s="11">
        <v>45854</v>
      </c>
      <c r="D31" s="35">
        <v>256779421380</v>
      </c>
      <c r="E31" s="1" t="s">
        <v>76</v>
      </c>
      <c r="F31" s="12">
        <v>-182.83</v>
      </c>
      <c r="G31" s="1" t="s">
        <v>77</v>
      </c>
      <c r="H31" s="12">
        <v>-15778.9</v>
      </c>
      <c r="I31" s="1" t="s">
        <v>117</v>
      </c>
      <c r="J31" s="5" t="e">
        <v>#N/A</v>
      </c>
    </row>
    <row r="32" spans="1:10" x14ac:dyDescent="0.35">
      <c r="A32" s="25">
        <v>1600001749</v>
      </c>
      <c r="B32" s="1" t="s">
        <v>8</v>
      </c>
      <c r="C32" s="11">
        <v>45854</v>
      </c>
      <c r="D32" s="35">
        <v>256779421381</v>
      </c>
      <c r="E32" s="1" t="s">
        <v>76</v>
      </c>
      <c r="F32" s="12">
        <v>-55.46</v>
      </c>
      <c r="G32" s="1" t="s">
        <v>77</v>
      </c>
      <c r="H32" s="12">
        <v>-4786.3999999999996</v>
      </c>
      <c r="I32" s="1" t="s">
        <v>119</v>
      </c>
      <c r="J32" s="5" t="e">
        <v>#N/A</v>
      </c>
    </row>
    <row r="33" spans="1:10" x14ac:dyDescent="0.35">
      <c r="A33" s="25">
        <v>1600001750</v>
      </c>
      <c r="B33" s="1" t="s">
        <v>8</v>
      </c>
      <c r="C33" s="11">
        <v>45854</v>
      </c>
      <c r="D33" s="35">
        <v>256779421382</v>
      </c>
      <c r="E33" s="1" t="s">
        <v>76</v>
      </c>
      <c r="F33" s="12">
        <v>-177.66</v>
      </c>
      <c r="G33" s="1" t="s">
        <v>77</v>
      </c>
      <c r="H33" s="12">
        <v>-15401.57</v>
      </c>
      <c r="I33" s="1" t="s">
        <v>120</v>
      </c>
      <c r="J33" s="5" t="e">
        <v>#N/A</v>
      </c>
    </row>
    <row r="34" spans="1:10" x14ac:dyDescent="0.35">
      <c r="A34" s="25">
        <v>1600001751</v>
      </c>
      <c r="B34" s="1" t="s">
        <v>8</v>
      </c>
      <c r="C34" s="11">
        <v>45854</v>
      </c>
      <c r="D34" s="35">
        <v>256779421383</v>
      </c>
      <c r="E34" s="1" t="s">
        <v>76</v>
      </c>
      <c r="F34" s="12">
        <v>-143.81</v>
      </c>
      <c r="G34" s="1" t="s">
        <v>77</v>
      </c>
      <c r="H34" s="12">
        <v>-12467.07</v>
      </c>
      <c r="I34" s="1" t="s">
        <v>121</v>
      </c>
      <c r="J34" s="5" t="e">
        <v>#N/A</v>
      </c>
    </row>
    <row r="35" spans="1:10" x14ac:dyDescent="0.35">
      <c r="A35" s="25">
        <v>1600001752</v>
      </c>
      <c r="B35" s="1" t="s">
        <v>8</v>
      </c>
      <c r="C35" s="11">
        <v>45854</v>
      </c>
      <c r="D35" s="35">
        <v>256779421384</v>
      </c>
      <c r="E35" s="1" t="s">
        <v>76</v>
      </c>
      <c r="F35" s="12">
        <v>-137.9</v>
      </c>
      <c r="G35" s="1" t="s">
        <v>77</v>
      </c>
      <c r="H35" s="12">
        <v>-11954.72</v>
      </c>
      <c r="I35" s="1" t="s">
        <v>122</v>
      </c>
      <c r="J35" s="5" t="e">
        <v>#N/A</v>
      </c>
    </row>
    <row r="36" spans="1:10" x14ac:dyDescent="0.35">
      <c r="A36" s="25">
        <v>1600001753</v>
      </c>
      <c r="B36" s="1" t="s">
        <v>8</v>
      </c>
      <c r="C36" s="11">
        <v>45854</v>
      </c>
      <c r="D36" s="35">
        <v>256779421385</v>
      </c>
      <c r="E36" s="1" t="s">
        <v>76</v>
      </c>
      <c r="F36" s="12">
        <v>-420</v>
      </c>
      <c r="G36" s="1" t="s">
        <v>77</v>
      </c>
      <c r="H36" s="12">
        <v>-36410.33</v>
      </c>
      <c r="I36" s="1" t="s">
        <v>123</v>
      </c>
      <c r="J36" s="5" t="e">
        <v>#N/A</v>
      </c>
    </row>
    <row r="37" spans="1:10" x14ac:dyDescent="0.35">
      <c r="A37" s="25">
        <v>1800009121</v>
      </c>
      <c r="B37" s="1" t="s">
        <v>9</v>
      </c>
      <c r="C37" s="11">
        <v>45797</v>
      </c>
      <c r="D37" s="35">
        <v>256779413885</v>
      </c>
      <c r="E37" s="1" t="s">
        <v>76</v>
      </c>
      <c r="F37" s="12">
        <v>111.15</v>
      </c>
      <c r="G37" s="1" t="s">
        <v>77</v>
      </c>
      <c r="H37" s="12">
        <v>9557.09</v>
      </c>
      <c r="I37" s="1" t="s">
        <v>128</v>
      </c>
      <c r="J37" t="e">
        <v>#N/A</v>
      </c>
    </row>
    <row r="38" spans="1:10" x14ac:dyDescent="0.35">
      <c r="A38" s="25">
        <v>1800005399</v>
      </c>
      <c r="B38" s="1" t="s">
        <v>9</v>
      </c>
      <c r="C38" s="11">
        <v>45750</v>
      </c>
      <c r="D38" s="35">
        <v>256779410291</v>
      </c>
      <c r="E38" s="1" t="s">
        <v>76</v>
      </c>
      <c r="F38" s="12">
        <v>456.75</v>
      </c>
      <c r="G38" s="1" t="s">
        <v>77</v>
      </c>
      <c r="H38" s="12">
        <v>39701.54</v>
      </c>
      <c r="I38" s="1" t="s">
        <v>136</v>
      </c>
      <c r="J38" t="e">
        <v>#N/A</v>
      </c>
    </row>
    <row r="39" spans="1:10" x14ac:dyDescent="0.35">
      <c r="A39" s="25">
        <v>1800005358</v>
      </c>
      <c r="B39" s="1" t="s">
        <v>9</v>
      </c>
      <c r="C39" s="11">
        <v>45750</v>
      </c>
      <c r="D39" s="35">
        <v>256779410250</v>
      </c>
      <c r="E39" s="1" t="s">
        <v>76</v>
      </c>
      <c r="F39" s="12">
        <v>456.75</v>
      </c>
      <c r="G39" s="1" t="s">
        <v>77</v>
      </c>
      <c r="H39" s="12">
        <v>39701.54</v>
      </c>
      <c r="I39" s="1" t="s">
        <v>138</v>
      </c>
      <c r="J39" t="e">
        <v>#N/A</v>
      </c>
    </row>
    <row r="40" spans="1:10" x14ac:dyDescent="0.35">
      <c r="A40" s="25">
        <v>1800013971</v>
      </c>
      <c r="B40" s="1" t="s">
        <v>9</v>
      </c>
      <c r="C40" s="11">
        <v>45950</v>
      </c>
      <c r="D40" s="35">
        <v>256779418614</v>
      </c>
      <c r="E40" s="1" t="s">
        <v>76</v>
      </c>
      <c r="F40" s="12">
        <v>338.06</v>
      </c>
      <c r="G40" s="1" t="s">
        <v>77</v>
      </c>
      <c r="H40" s="12">
        <v>29813.77</v>
      </c>
      <c r="I40" s="1" t="s">
        <v>143</v>
      </c>
      <c r="J40" t="e">
        <v>#N/A</v>
      </c>
    </row>
    <row r="41" spans="1:10" x14ac:dyDescent="0.35">
      <c r="A41" s="25">
        <v>1800014013</v>
      </c>
      <c r="B41" s="1" t="s">
        <v>9</v>
      </c>
      <c r="C41" s="11">
        <v>45950</v>
      </c>
      <c r="D41" s="35">
        <v>256779418620</v>
      </c>
      <c r="E41" s="1" t="s">
        <v>76</v>
      </c>
      <c r="F41" s="12">
        <v>830.96</v>
      </c>
      <c r="G41" s="1" t="s">
        <v>77</v>
      </c>
      <c r="H41" s="12">
        <v>73283</v>
      </c>
      <c r="I41" s="1" t="s">
        <v>145</v>
      </c>
      <c r="J41" t="e">
        <v>#N/A</v>
      </c>
    </row>
    <row r="42" spans="1:10" x14ac:dyDescent="0.35">
      <c r="A42" s="25">
        <v>1800013843</v>
      </c>
      <c r="B42" s="1" t="s">
        <v>9</v>
      </c>
      <c r="C42" s="11">
        <v>45950</v>
      </c>
      <c r="D42" s="35">
        <v>256779418661</v>
      </c>
      <c r="E42" s="1" t="s">
        <v>76</v>
      </c>
      <c r="F42" s="12">
        <v>226.3</v>
      </c>
      <c r="G42" s="1" t="s">
        <v>77</v>
      </c>
      <c r="H42" s="12">
        <v>19957.57</v>
      </c>
      <c r="I42" s="1" t="s">
        <v>147</v>
      </c>
      <c r="J42" t="e">
        <v>#N/A</v>
      </c>
    </row>
    <row r="43" spans="1:10" x14ac:dyDescent="0.35">
      <c r="A43" s="25">
        <v>1800013925</v>
      </c>
      <c r="B43" s="1" t="s">
        <v>9</v>
      </c>
      <c r="C43" s="11">
        <v>45950</v>
      </c>
      <c r="D43" s="35">
        <v>256779418702</v>
      </c>
      <c r="E43" s="1" t="s">
        <v>76</v>
      </c>
      <c r="F43" s="12">
        <v>182.87</v>
      </c>
      <c r="G43" s="1" t="s">
        <v>77</v>
      </c>
      <c r="H43" s="12">
        <v>16127.45</v>
      </c>
      <c r="I43" s="1" t="s">
        <v>149</v>
      </c>
      <c r="J43" t="e">
        <v>#N/A</v>
      </c>
    </row>
    <row r="44" spans="1:10" x14ac:dyDescent="0.35">
      <c r="A44" s="25">
        <v>1600001816</v>
      </c>
      <c r="B44" s="1" t="s">
        <v>8</v>
      </c>
      <c r="C44" s="11">
        <v>45862</v>
      </c>
      <c r="D44" s="35">
        <v>256779421436</v>
      </c>
      <c r="E44" s="1" t="s">
        <v>76</v>
      </c>
      <c r="F44" s="12">
        <v>-140</v>
      </c>
      <c r="G44" s="1" t="s">
        <v>77</v>
      </c>
      <c r="H44" s="12">
        <v>-12037.72</v>
      </c>
      <c r="I44" s="1" t="s">
        <v>151</v>
      </c>
      <c r="J44" s="5" t="e">
        <v>#N/A</v>
      </c>
    </row>
    <row r="45" spans="1:10" x14ac:dyDescent="0.35">
      <c r="A45" s="25">
        <v>1800011193</v>
      </c>
      <c r="B45" s="1" t="s">
        <v>9</v>
      </c>
      <c r="C45" s="11">
        <v>45862</v>
      </c>
      <c r="D45" s="35">
        <v>256779415945</v>
      </c>
      <c r="E45" s="1" t="s">
        <v>76</v>
      </c>
      <c r="F45" s="12">
        <v>111.15</v>
      </c>
      <c r="G45" s="1" t="s">
        <v>77</v>
      </c>
      <c r="H45" s="12">
        <v>9558.9699999999993</v>
      </c>
      <c r="I45" s="1" t="s">
        <v>128</v>
      </c>
      <c r="J45" t="e">
        <v>#N/A</v>
      </c>
    </row>
    <row r="46" spans="1:10" x14ac:dyDescent="0.35">
      <c r="A46" s="25">
        <v>1600001906</v>
      </c>
      <c r="B46" s="1" t="s">
        <v>8</v>
      </c>
      <c r="C46" s="11">
        <v>45862</v>
      </c>
      <c r="D46" s="35">
        <v>256779421526</v>
      </c>
      <c r="E46" s="1" t="s">
        <v>76</v>
      </c>
      <c r="F46" s="12">
        <v>-456.75</v>
      </c>
      <c r="G46" s="1" t="s">
        <v>77</v>
      </c>
      <c r="H46" s="12">
        <v>-39280.81</v>
      </c>
      <c r="I46" s="1" t="s">
        <v>153</v>
      </c>
      <c r="J46" s="5" t="e">
        <v>#N/A</v>
      </c>
    </row>
    <row r="47" spans="1:10" x14ac:dyDescent="0.35">
      <c r="A47" s="25">
        <v>1600001923</v>
      </c>
      <c r="B47" s="1" t="s">
        <v>8</v>
      </c>
      <c r="C47" s="11">
        <v>45862</v>
      </c>
      <c r="D47" s="35">
        <v>256779421543</v>
      </c>
      <c r="E47" s="1" t="s">
        <v>76</v>
      </c>
      <c r="F47" s="12">
        <v>-456.75</v>
      </c>
      <c r="G47" s="1" t="s">
        <v>77</v>
      </c>
      <c r="H47" s="12">
        <v>-39280.81</v>
      </c>
      <c r="I47" s="1" t="s">
        <v>155</v>
      </c>
      <c r="J47" s="5" t="e">
        <v>#N/A</v>
      </c>
    </row>
    <row r="48" spans="1:10" x14ac:dyDescent="0.35">
      <c r="A48" s="25">
        <v>1600001822</v>
      </c>
      <c r="B48" s="1" t="s">
        <v>8</v>
      </c>
      <c r="C48" s="11">
        <v>45862</v>
      </c>
      <c r="D48" s="35">
        <v>256779421442</v>
      </c>
      <c r="E48" s="1" t="s">
        <v>76</v>
      </c>
      <c r="F48" s="12">
        <v>-111.15</v>
      </c>
      <c r="G48" s="1" t="s">
        <v>77</v>
      </c>
      <c r="H48" s="12">
        <v>-9557.09</v>
      </c>
      <c r="I48" s="1" t="s">
        <v>156</v>
      </c>
      <c r="J48" s="5" t="e">
        <v>#N/A</v>
      </c>
    </row>
    <row r="49" spans="1:10" x14ac:dyDescent="0.35">
      <c r="A49" s="25">
        <v>1800009695</v>
      </c>
      <c r="B49" s="1" t="s">
        <v>9</v>
      </c>
      <c r="C49" s="11">
        <v>45826</v>
      </c>
      <c r="D49" s="35">
        <v>256779414459</v>
      </c>
      <c r="E49" s="1" t="s">
        <v>76</v>
      </c>
      <c r="F49" s="12">
        <v>456.75</v>
      </c>
      <c r="G49" s="1" t="s">
        <v>77</v>
      </c>
      <c r="H49" s="12">
        <v>39047.910000000003</v>
      </c>
      <c r="I49" s="1" t="s">
        <v>138</v>
      </c>
      <c r="J49" t="e">
        <v>#N/A</v>
      </c>
    </row>
    <row r="50" spans="1:10" x14ac:dyDescent="0.35">
      <c r="A50" s="25">
        <v>1800009712</v>
      </c>
      <c r="B50" s="1" t="s">
        <v>9</v>
      </c>
      <c r="C50" s="11">
        <v>45826</v>
      </c>
      <c r="D50" s="35">
        <v>256779414476</v>
      </c>
      <c r="E50" s="1" t="s">
        <v>76</v>
      </c>
      <c r="F50" s="12">
        <v>456.75</v>
      </c>
      <c r="G50" s="1" t="s">
        <v>77</v>
      </c>
      <c r="H50" s="12">
        <v>39047.910000000003</v>
      </c>
      <c r="I50" s="1" t="s">
        <v>136</v>
      </c>
      <c r="J50" t="e">
        <v>#N/A</v>
      </c>
    </row>
    <row r="51" spans="1:10" x14ac:dyDescent="0.35">
      <c r="A51" s="25">
        <v>1800003342</v>
      </c>
      <c r="B51" s="1" t="s">
        <v>9</v>
      </c>
      <c r="C51" s="11">
        <v>45735</v>
      </c>
      <c r="D51" s="35">
        <v>246779413209</v>
      </c>
      <c r="E51" s="1" t="s">
        <v>76</v>
      </c>
      <c r="F51" s="12">
        <v>39.06</v>
      </c>
      <c r="G51" s="1" t="s">
        <v>77</v>
      </c>
      <c r="H51" s="12">
        <v>3386.16</v>
      </c>
      <c r="I51" s="1" t="s">
        <v>168</v>
      </c>
      <c r="J51" t="e">
        <v>#N/A</v>
      </c>
    </row>
    <row r="52" spans="1:10" x14ac:dyDescent="0.35">
      <c r="A52" s="25">
        <v>1800003343</v>
      </c>
      <c r="B52" s="1" t="s">
        <v>9</v>
      </c>
      <c r="C52" s="11">
        <v>45735</v>
      </c>
      <c r="D52" s="35">
        <v>246779413210</v>
      </c>
      <c r="E52" s="1" t="s">
        <v>76</v>
      </c>
      <c r="F52" s="12">
        <v>39.06</v>
      </c>
      <c r="G52" s="1" t="s">
        <v>77</v>
      </c>
      <c r="H52" s="12">
        <v>3386.16</v>
      </c>
      <c r="I52" s="1" t="s">
        <v>169</v>
      </c>
      <c r="J52" t="e">
        <v>#N/A</v>
      </c>
    </row>
    <row r="53" spans="1:10" x14ac:dyDescent="0.35">
      <c r="A53" s="25">
        <v>1800003344</v>
      </c>
      <c r="B53" s="1" t="s">
        <v>9</v>
      </c>
      <c r="C53" s="11">
        <v>45735</v>
      </c>
      <c r="D53" s="35">
        <v>246779413211</v>
      </c>
      <c r="E53" s="1" t="s">
        <v>76</v>
      </c>
      <c r="F53" s="12">
        <v>78.12</v>
      </c>
      <c r="G53" s="1" t="s">
        <v>77</v>
      </c>
      <c r="H53" s="12">
        <v>6772.32</v>
      </c>
      <c r="I53" s="1" t="s">
        <v>170</v>
      </c>
      <c r="J53" t="e">
        <v>#N/A</v>
      </c>
    </row>
    <row r="54" spans="1:10" x14ac:dyDescent="0.35">
      <c r="A54" s="25">
        <v>1800003345</v>
      </c>
      <c r="B54" s="1" t="s">
        <v>9</v>
      </c>
      <c r="C54" s="11">
        <v>45735</v>
      </c>
      <c r="D54" s="35">
        <v>246779413212</v>
      </c>
      <c r="E54" s="1" t="s">
        <v>76</v>
      </c>
      <c r="F54" s="12">
        <v>39.06</v>
      </c>
      <c r="G54" s="1" t="s">
        <v>77</v>
      </c>
      <c r="H54" s="12">
        <v>3386.16</v>
      </c>
      <c r="I54" s="1" t="s">
        <v>171</v>
      </c>
      <c r="J54" t="e">
        <v>#N/A</v>
      </c>
    </row>
    <row r="55" spans="1:10" x14ac:dyDescent="0.35">
      <c r="A55" s="25">
        <v>1800003346</v>
      </c>
      <c r="B55" s="1" t="s">
        <v>9</v>
      </c>
      <c r="C55" s="11">
        <v>45735</v>
      </c>
      <c r="D55" s="35">
        <v>246779413213</v>
      </c>
      <c r="E55" s="1" t="s">
        <v>76</v>
      </c>
      <c r="F55" s="12">
        <v>52.08</v>
      </c>
      <c r="G55" s="1" t="s">
        <v>77</v>
      </c>
      <c r="H55" s="12">
        <v>4514.88</v>
      </c>
      <c r="I55" s="1" t="s">
        <v>172</v>
      </c>
      <c r="J55" t="e">
        <v>#N/A</v>
      </c>
    </row>
    <row r="56" spans="1:10" x14ac:dyDescent="0.35">
      <c r="A56" s="25">
        <v>1800003457</v>
      </c>
      <c r="B56" s="1" t="s">
        <v>9</v>
      </c>
      <c r="C56" s="11">
        <v>45735</v>
      </c>
      <c r="D56" s="35">
        <v>246779413324</v>
      </c>
      <c r="E56" s="1" t="s">
        <v>76</v>
      </c>
      <c r="F56" s="12">
        <v>4.3</v>
      </c>
      <c r="G56" s="1" t="s">
        <v>77</v>
      </c>
      <c r="H56" s="12">
        <v>372.77</v>
      </c>
      <c r="I56" s="1" t="s">
        <v>173</v>
      </c>
      <c r="J56" t="e">
        <v>#N/A</v>
      </c>
    </row>
    <row r="57" spans="1:10" x14ac:dyDescent="0.35">
      <c r="A57" s="25">
        <v>1600001068</v>
      </c>
      <c r="B57" s="1" t="s">
        <v>8</v>
      </c>
      <c r="C57" s="11">
        <v>45799</v>
      </c>
      <c r="D57" s="35">
        <v>256779420756</v>
      </c>
      <c r="E57" s="1" t="s">
        <v>76</v>
      </c>
      <c r="F57" s="12">
        <v>-500.63</v>
      </c>
      <c r="G57" s="1" t="s">
        <v>77</v>
      </c>
      <c r="H57" s="12">
        <v>-43400.25</v>
      </c>
      <c r="I57" s="1" t="s">
        <v>208</v>
      </c>
      <c r="J57" s="5" t="e">
        <v>#N/A</v>
      </c>
    </row>
    <row r="58" spans="1:10" x14ac:dyDescent="0.35">
      <c r="A58" s="25">
        <v>1800009171</v>
      </c>
      <c r="B58" s="1" t="s">
        <v>9</v>
      </c>
      <c r="C58" s="11">
        <v>45810</v>
      </c>
      <c r="D58" s="35">
        <v>256779413935</v>
      </c>
      <c r="E58" s="1" t="s">
        <v>76</v>
      </c>
      <c r="F58" s="12">
        <v>590.74</v>
      </c>
      <c r="G58" s="1" t="s">
        <v>77</v>
      </c>
      <c r="H58" s="12">
        <v>50502.82</v>
      </c>
      <c r="I58" s="1" t="s">
        <v>219</v>
      </c>
      <c r="J58" t="e">
        <v>#N/A</v>
      </c>
    </row>
    <row r="59" spans="1:10" x14ac:dyDescent="0.35">
      <c r="A59" s="25">
        <v>1800013758</v>
      </c>
      <c r="B59" s="1" t="s">
        <v>9</v>
      </c>
      <c r="C59" s="11">
        <v>45937</v>
      </c>
      <c r="D59" s="35">
        <v>256779418179</v>
      </c>
      <c r="E59" s="1" t="s">
        <v>76</v>
      </c>
      <c r="F59" s="12">
        <v>528.99</v>
      </c>
      <c r="G59" s="1" t="s">
        <v>77</v>
      </c>
      <c r="H59" s="12">
        <v>46652.04</v>
      </c>
      <c r="I59" s="1" t="s">
        <v>222</v>
      </c>
      <c r="J59" t="e">
        <v>#N/A</v>
      </c>
    </row>
    <row r="60" spans="1:10" x14ac:dyDescent="0.35">
      <c r="A60" s="25">
        <v>1800015473</v>
      </c>
      <c r="B60" s="1" t="s">
        <v>9</v>
      </c>
      <c r="C60" s="11">
        <v>45997</v>
      </c>
      <c r="D60" s="35">
        <v>256779419990</v>
      </c>
      <c r="E60" s="1" t="s">
        <v>76</v>
      </c>
      <c r="F60" s="12">
        <v>429.75</v>
      </c>
      <c r="G60" s="1" t="s">
        <v>77</v>
      </c>
      <c r="H60" s="12">
        <v>38118.89</v>
      </c>
      <c r="I60" s="1" t="s">
        <v>232</v>
      </c>
      <c r="J60" t="e">
        <v>#N/A</v>
      </c>
    </row>
    <row r="61" spans="1:10" x14ac:dyDescent="0.35">
      <c r="A61" s="25">
        <v>1800013509</v>
      </c>
      <c r="B61" s="1" t="s">
        <v>9</v>
      </c>
      <c r="C61" s="11">
        <v>45935</v>
      </c>
      <c r="D61" s="35">
        <v>256779418399</v>
      </c>
      <c r="E61" s="1" t="s">
        <v>76</v>
      </c>
      <c r="F61" s="12">
        <v>1432.98</v>
      </c>
      <c r="G61" s="1" t="s">
        <v>77</v>
      </c>
      <c r="H61" s="12">
        <v>126375.61</v>
      </c>
      <c r="I61" s="1" t="s">
        <v>248</v>
      </c>
      <c r="J61" t="e">
        <v>#N/A</v>
      </c>
    </row>
    <row r="62" spans="1:10" x14ac:dyDescent="0.35">
      <c r="A62" s="25">
        <v>1800013428</v>
      </c>
      <c r="B62" s="1" t="s">
        <v>9</v>
      </c>
      <c r="C62" s="11">
        <v>45935</v>
      </c>
      <c r="D62" s="35">
        <v>256779418075</v>
      </c>
      <c r="E62" s="1" t="s">
        <v>76</v>
      </c>
      <c r="F62" s="12">
        <v>582.79999999999995</v>
      </c>
      <c r="G62" s="1" t="s">
        <v>77</v>
      </c>
      <c r="H62" s="12">
        <v>51397.58</v>
      </c>
      <c r="I62" s="1" t="s">
        <v>242</v>
      </c>
      <c r="J62" t="e">
        <v>#N/A</v>
      </c>
    </row>
    <row r="63" spans="1:10" x14ac:dyDescent="0.35">
      <c r="A63" s="25">
        <v>1800009097</v>
      </c>
      <c r="B63" s="1" t="s">
        <v>9</v>
      </c>
      <c r="C63" s="11">
        <v>45795</v>
      </c>
      <c r="D63" s="35">
        <v>256779413861</v>
      </c>
      <c r="E63" s="1" t="s">
        <v>76</v>
      </c>
      <c r="F63" s="12">
        <v>140</v>
      </c>
      <c r="G63" s="1" t="s">
        <v>77</v>
      </c>
      <c r="H63" s="12">
        <v>12037.72</v>
      </c>
      <c r="I63" s="1" t="s">
        <v>152</v>
      </c>
      <c r="J63" t="e">
        <v>#N/A</v>
      </c>
    </row>
    <row r="64" spans="1:10" x14ac:dyDescent="0.35">
      <c r="A64" s="25">
        <v>1800015671</v>
      </c>
      <c r="B64" s="1" t="s">
        <v>9</v>
      </c>
      <c r="C64" s="11">
        <v>46024</v>
      </c>
      <c r="D64" s="35">
        <v>256779440004</v>
      </c>
      <c r="E64" s="1" t="s">
        <v>76</v>
      </c>
      <c r="F64" s="12">
        <v>7039.11</v>
      </c>
      <c r="G64" s="1" t="s">
        <v>77</v>
      </c>
      <c r="H64" s="12">
        <v>638750.93999999994</v>
      </c>
      <c r="I64" s="1" t="s">
        <v>252</v>
      </c>
      <c r="J64" t="e">
        <v>#N/A</v>
      </c>
    </row>
    <row r="65" spans="1:10" x14ac:dyDescent="0.35">
      <c r="A65" s="25">
        <v>1800015801</v>
      </c>
      <c r="B65" s="1" t="s">
        <v>9</v>
      </c>
      <c r="C65" s="11">
        <v>46027</v>
      </c>
      <c r="D65" s="35">
        <v>256779440051</v>
      </c>
      <c r="E65" s="1" t="s">
        <v>76</v>
      </c>
      <c r="F65" s="12">
        <v>358.14</v>
      </c>
      <c r="G65" s="1" t="s">
        <v>77</v>
      </c>
      <c r="H65" s="12">
        <v>32498.75</v>
      </c>
      <c r="I65" s="1" t="s">
        <v>256</v>
      </c>
      <c r="J65" t="e">
        <v>#N/A</v>
      </c>
    </row>
    <row r="66" spans="1:10" x14ac:dyDescent="0.35">
      <c r="A66" s="25">
        <v>1600002697</v>
      </c>
      <c r="B66" s="1" t="s">
        <v>8</v>
      </c>
      <c r="C66" s="11">
        <v>46027</v>
      </c>
      <c r="D66" s="35">
        <v>256779422167</v>
      </c>
      <c r="E66" s="1" t="s">
        <v>76</v>
      </c>
      <c r="F66" s="12">
        <v>-3.4</v>
      </c>
      <c r="G66" s="1" t="s">
        <v>77</v>
      </c>
      <c r="H66" s="12">
        <v>-308.52999999999997</v>
      </c>
      <c r="I66" s="1" t="s">
        <v>258</v>
      </c>
      <c r="J66" s="5" t="e">
        <v>#N/A</v>
      </c>
    </row>
    <row r="67" spans="1:10" x14ac:dyDescent="0.35">
      <c r="A67" s="25">
        <v>1800015963</v>
      </c>
      <c r="B67" s="1" t="s">
        <v>9</v>
      </c>
      <c r="C67" s="11">
        <v>46027</v>
      </c>
      <c r="D67" s="35">
        <v>256779440080</v>
      </c>
      <c r="E67" s="1" t="s">
        <v>76</v>
      </c>
      <c r="F67" s="12">
        <v>41.46</v>
      </c>
      <c r="G67" s="1" t="s">
        <v>77</v>
      </c>
      <c r="H67" s="12">
        <v>3762.21</v>
      </c>
      <c r="I67" s="1" t="s">
        <v>262</v>
      </c>
      <c r="J67" t="e">
        <v>#N/A</v>
      </c>
    </row>
    <row r="68" spans="1:10" x14ac:dyDescent="0.35">
      <c r="A68" s="25">
        <v>1800016160</v>
      </c>
      <c r="B68" s="1" t="s">
        <v>9</v>
      </c>
      <c r="C68" s="11">
        <v>46031</v>
      </c>
      <c r="D68" s="35">
        <v>256779440130</v>
      </c>
      <c r="E68" s="1" t="s">
        <v>76</v>
      </c>
      <c r="F68" s="12">
        <v>16.45</v>
      </c>
      <c r="G68" s="1" t="s">
        <v>77</v>
      </c>
      <c r="H68" s="12">
        <v>1492.72</v>
      </c>
      <c r="I68" s="1" t="s">
        <v>183</v>
      </c>
      <c r="J68" t="e">
        <v>#N/A</v>
      </c>
    </row>
    <row r="69" spans="1:10" x14ac:dyDescent="0.35">
      <c r="A69" s="25">
        <v>1800016202</v>
      </c>
      <c r="B69" s="1" t="s">
        <v>9</v>
      </c>
      <c r="C69" s="11">
        <v>46028</v>
      </c>
      <c r="D69" s="35">
        <v>256779440143</v>
      </c>
      <c r="E69" s="1" t="s">
        <v>76</v>
      </c>
      <c r="F69" s="12">
        <v>360.75</v>
      </c>
      <c r="G69" s="1" t="s">
        <v>77</v>
      </c>
      <c r="H69" s="12">
        <v>32735.59</v>
      </c>
      <c r="I69" s="1" t="s">
        <v>271</v>
      </c>
      <c r="J69" t="e">
        <v>#N/A</v>
      </c>
    </row>
    <row r="70" spans="1:10" x14ac:dyDescent="0.35">
      <c r="A70" s="25">
        <v>1800016282</v>
      </c>
      <c r="B70" s="1" t="s">
        <v>9</v>
      </c>
      <c r="C70" s="11">
        <v>46028</v>
      </c>
      <c r="D70" s="35">
        <v>256779440162</v>
      </c>
      <c r="E70" s="1" t="s">
        <v>76</v>
      </c>
      <c r="F70" s="12">
        <v>505.46</v>
      </c>
      <c r="G70" s="1" t="s">
        <v>77</v>
      </c>
      <c r="H70" s="12">
        <v>45867.03</v>
      </c>
      <c r="I70" s="1" t="s">
        <v>273</v>
      </c>
      <c r="J70" t="e">
        <v>#N/A</v>
      </c>
    </row>
    <row r="71" spans="1:10" x14ac:dyDescent="0.35">
      <c r="A71" s="25">
        <v>1800016314</v>
      </c>
      <c r="B71" s="1" t="s">
        <v>9</v>
      </c>
      <c r="C71" s="11">
        <v>46034</v>
      </c>
      <c r="D71" s="35">
        <v>256779440167</v>
      </c>
      <c r="E71" s="1" t="s">
        <v>76</v>
      </c>
      <c r="F71" s="12">
        <v>188</v>
      </c>
      <c r="G71" s="1" t="s">
        <v>77</v>
      </c>
      <c r="H71" s="12">
        <v>17059.71</v>
      </c>
      <c r="I71" s="1" t="s">
        <v>275</v>
      </c>
      <c r="J71" t="e">
        <v>#N/A</v>
      </c>
    </row>
    <row r="72" spans="1:10" x14ac:dyDescent="0.35">
      <c r="A72" s="25">
        <v>1800016321</v>
      </c>
      <c r="B72" s="1" t="s">
        <v>9</v>
      </c>
      <c r="C72" s="11">
        <v>46034</v>
      </c>
      <c r="D72" s="35">
        <v>256779440174</v>
      </c>
      <c r="E72" s="1" t="s">
        <v>76</v>
      </c>
      <c r="F72" s="12">
        <v>48.8</v>
      </c>
      <c r="G72" s="1" t="s">
        <v>77</v>
      </c>
      <c r="H72" s="12">
        <v>4428.2700000000004</v>
      </c>
      <c r="I72" s="1" t="s">
        <v>277</v>
      </c>
      <c r="J72" t="e">
        <v>#N/A</v>
      </c>
    </row>
    <row r="73" spans="1:10" x14ac:dyDescent="0.35">
      <c r="A73" s="25">
        <v>1800016416</v>
      </c>
      <c r="B73" s="1" t="s">
        <v>9</v>
      </c>
      <c r="C73" s="11">
        <v>46034</v>
      </c>
      <c r="D73" s="35">
        <v>256779440229</v>
      </c>
      <c r="E73" s="1" t="s">
        <v>76</v>
      </c>
      <c r="F73" s="12">
        <v>308.79000000000002</v>
      </c>
      <c r="G73" s="1" t="s">
        <v>77</v>
      </c>
      <c r="H73" s="12">
        <v>28020.57</v>
      </c>
      <c r="I73" s="1" t="s">
        <v>280</v>
      </c>
      <c r="J73" t="e">
        <v>#N/A</v>
      </c>
    </row>
    <row r="74" spans="1:10" x14ac:dyDescent="0.35">
      <c r="A74" s="25">
        <v>1800016345</v>
      </c>
      <c r="B74" s="1" t="s">
        <v>9</v>
      </c>
      <c r="C74" s="11">
        <v>46028</v>
      </c>
      <c r="D74" s="35">
        <v>256779440235</v>
      </c>
      <c r="E74" s="1" t="s">
        <v>76</v>
      </c>
      <c r="F74" s="12">
        <v>7267.85</v>
      </c>
      <c r="G74" s="1" t="s">
        <v>77</v>
      </c>
      <c r="H74" s="12">
        <v>659507.53</v>
      </c>
      <c r="I74" s="1" t="s">
        <v>282</v>
      </c>
      <c r="J74" t="e">
        <v>#N/A</v>
      </c>
    </row>
    <row r="75" spans="1:10" x14ac:dyDescent="0.35">
      <c r="A75" s="25">
        <v>1800016637</v>
      </c>
      <c r="B75" s="1" t="s">
        <v>9</v>
      </c>
      <c r="C75" s="11">
        <v>46028</v>
      </c>
      <c r="D75" s="35">
        <v>256779440257</v>
      </c>
      <c r="E75" s="1" t="s">
        <v>76</v>
      </c>
      <c r="F75" s="12">
        <v>4.7</v>
      </c>
      <c r="G75" s="1" t="s">
        <v>77</v>
      </c>
      <c r="H75" s="12">
        <v>426.49</v>
      </c>
      <c r="I75" s="1" t="s">
        <v>284</v>
      </c>
      <c r="J75" t="e">
        <v>#N/A</v>
      </c>
    </row>
    <row r="76" spans="1:10" x14ac:dyDescent="0.35">
      <c r="A76" s="25">
        <v>1800016693</v>
      </c>
      <c r="B76" s="1" t="s">
        <v>9</v>
      </c>
      <c r="C76" s="11">
        <v>46034</v>
      </c>
      <c r="D76" s="35">
        <v>256779440282</v>
      </c>
      <c r="E76" s="1" t="s">
        <v>76</v>
      </c>
      <c r="F76" s="12">
        <v>498.5</v>
      </c>
      <c r="G76" s="1" t="s">
        <v>77</v>
      </c>
      <c r="H76" s="12">
        <v>45235.46</v>
      </c>
      <c r="I76" s="1" t="s">
        <v>286</v>
      </c>
      <c r="J76" t="e">
        <v>#N/A</v>
      </c>
    </row>
    <row r="77" spans="1:10" x14ac:dyDescent="0.35">
      <c r="A77" s="25">
        <v>1800016623</v>
      </c>
      <c r="B77" s="1" t="s">
        <v>9</v>
      </c>
      <c r="C77" s="11">
        <v>46028</v>
      </c>
      <c r="D77" s="35">
        <v>256779440332</v>
      </c>
      <c r="E77" s="1" t="s">
        <v>76</v>
      </c>
      <c r="F77" s="12">
        <v>456.75</v>
      </c>
      <c r="G77" s="1" t="s">
        <v>77</v>
      </c>
      <c r="H77" s="12">
        <v>41446.93</v>
      </c>
      <c r="I77" s="1" t="s">
        <v>288</v>
      </c>
      <c r="J77" t="e">
        <v>#N/A</v>
      </c>
    </row>
    <row r="78" spans="1:10" x14ac:dyDescent="0.35">
      <c r="A78" s="25">
        <v>1800016770</v>
      </c>
      <c r="B78" s="1" t="s">
        <v>9</v>
      </c>
      <c r="C78" s="11">
        <v>46035</v>
      </c>
      <c r="D78" s="35">
        <v>256779440357</v>
      </c>
      <c r="E78" s="1" t="s">
        <v>76</v>
      </c>
      <c r="F78" s="12">
        <v>70</v>
      </c>
      <c r="G78" s="1" t="s">
        <v>77</v>
      </c>
      <c r="H78" s="12">
        <v>6352.02</v>
      </c>
      <c r="I78" s="1" t="s">
        <v>290</v>
      </c>
      <c r="J78" t="e">
        <v>#N/A</v>
      </c>
    </row>
    <row r="79" spans="1:10" x14ac:dyDescent="0.35">
      <c r="A79" s="25">
        <v>1800017152</v>
      </c>
      <c r="B79" s="1" t="s">
        <v>9</v>
      </c>
      <c r="C79" s="11">
        <v>46049</v>
      </c>
      <c r="D79" s="35">
        <v>256779440445</v>
      </c>
      <c r="E79" s="1" t="s">
        <v>76</v>
      </c>
      <c r="F79" s="12">
        <v>137.13999999999999</v>
      </c>
      <c r="G79" s="1" t="s">
        <v>77</v>
      </c>
      <c r="H79" s="12">
        <v>12444.51</v>
      </c>
      <c r="I79" s="1" t="s">
        <v>302</v>
      </c>
      <c r="J79" t="e">
        <v>#N/A</v>
      </c>
    </row>
    <row r="80" spans="1:10" x14ac:dyDescent="0.35">
      <c r="A80" s="25">
        <v>1600002471</v>
      </c>
      <c r="B80" s="1" t="s">
        <v>8</v>
      </c>
      <c r="C80" s="11">
        <v>45947</v>
      </c>
      <c r="D80" s="35">
        <v>256779422013</v>
      </c>
      <c r="E80" s="1" t="s">
        <v>76</v>
      </c>
      <c r="F80" s="12">
        <v>-582.79999999999995</v>
      </c>
      <c r="G80" s="1" t="s">
        <v>77</v>
      </c>
      <c r="H80" s="12">
        <v>-51397.58</v>
      </c>
      <c r="I80" s="1" t="s">
        <v>320</v>
      </c>
      <c r="J80" s="5" t="e">
        <v>#N/A</v>
      </c>
    </row>
    <row r="81" spans="1:10" x14ac:dyDescent="0.35">
      <c r="A81" s="25">
        <v>1800007087</v>
      </c>
      <c r="B81" s="1" t="s">
        <v>9</v>
      </c>
      <c r="C81" s="11">
        <v>45763</v>
      </c>
      <c r="D81" s="35">
        <v>256779411978</v>
      </c>
      <c r="E81" s="1" t="s">
        <v>76</v>
      </c>
      <c r="F81" s="12">
        <v>46.85</v>
      </c>
      <c r="G81" s="1" t="s">
        <v>77</v>
      </c>
      <c r="H81" s="12">
        <v>4072.29</v>
      </c>
      <c r="I81" s="1" t="s">
        <v>324</v>
      </c>
      <c r="J81" t="e">
        <v>#N/A</v>
      </c>
    </row>
    <row r="82" spans="1:10" x14ac:dyDescent="0.35">
      <c r="A82" s="25">
        <v>1800007088</v>
      </c>
      <c r="B82" s="1" t="s">
        <v>9</v>
      </c>
      <c r="C82" s="11">
        <v>45763</v>
      </c>
      <c r="D82" s="35">
        <v>256779411979</v>
      </c>
      <c r="E82" s="1" t="s">
        <v>76</v>
      </c>
      <c r="F82" s="12">
        <v>37.56</v>
      </c>
      <c r="G82" s="1" t="s">
        <v>77</v>
      </c>
      <c r="H82" s="12">
        <v>3264.78</v>
      </c>
      <c r="I82" s="1" t="s">
        <v>325</v>
      </c>
      <c r="J82" t="e">
        <v>#N/A</v>
      </c>
    </row>
    <row r="83" spans="1:10" x14ac:dyDescent="0.35">
      <c r="A83" s="25">
        <v>1800007089</v>
      </c>
      <c r="B83" s="1" t="s">
        <v>9</v>
      </c>
      <c r="C83" s="11">
        <v>45763</v>
      </c>
      <c r="D83" s="35">
        <v>256779411980</v>
      </c>
      <c r="E83" s="1" t="s">
        <v>76</v>
      </c>
      <c r="F83" s="12">
        <v>17.420000000000002</v>
      </c>
      <c r="G83" s="1" t="s">
        <v>77</v>
      </c>
      <c r="H83" s="12">
        <v>1514.18</v>
      </c>
      <c r="I83" s="1" t="s">
        <v>326</v>
      </c>
      <c r="J83" t="e">
        <v>#N/A</v>
      </c>
    </row>
    <row r="84" spans="1:10" x14ac:dyDescent="0.35">
      <c r="A84" s="25">
        <v>1800011235</v>
      </c>
      <c r="B84" s="1" t="s">
        <v>9</v>
      </c>
      <c r="C84" s="11">
        <v>45863</v>
      </c>
      <c r="D84" s="35">
        <v>256779415967</v>
      </c>
      <c r="E84" s="1" t="s">
        <v>76</v>
      </c>
      <c r="F84" s="12">
        <v>379.76</v>
      </c>
      <c r="G84" s="1" t="s">
        <v>77</v>
      </c>
      <c r="H84" s="12">
        <v>32659.61</v>
      </c>
      <c r="I84" s="1" t="s">
        <v>331</v>
      </c>
      <c r="J84" t="e">
        <v>#N/A</v>
      </c>
    </row>
    <row r="85" spans="1:10" x14ac:dyDescent="0.35">
      <c r="A85" s="25">
        <v>1800011238</v>
      </c>
      <c r="B85" s="1" t="s">
        <v>9</v>
      </c>
      <c r="C85" s="11">
        <v>45863</v>
      </c>
      <c r="D85" s="35">
        <v>256779415970</v>
      </c>
      <c r="E85" s="1" t="s">
        <v>76</v>
      </c>
      <c r="F85" s="12">
        <v>110.92</v>
      </c>
      <c r="G85" s="1" t="s">
        <v>77</v>
      </c>
      <c r="H85" s="12">
        <v>9539.19</v>
      </c>
      <c r="I85" s="1" t="s">
        <v>332</v>
      </c>
      <c r="J85" t="e">
        <v>#N/A</v>
      </c>
    </row>
    <row r="86" spans="1:10" x14ac:dyDescent="0.35">
      <c r="A86" s="25">
        <v>1800011263</v>
      </c>
      <c r="B86" s="1" t="s">
        <v>9</v>
      </c>
      <c r="C86" s="11">
        <v>45863</v>
      </c>
      <c r="D86" s="35">
        <v>256779415995</v>
      </c>
      <c r="E86" s="1" t="s">
        <v>76</v>
      </c>
      <c r="F86" s="12">
        <v>2.34</v>
      </c>
      <c r="G86" s="1" t="s">
        <v>77</v>
      </c>
      <c r="H86" s="12">
        <v>201.24</v>
      </c>
      <c r="I86" s="1" t="s">
        <v>333</v>
      </c>
      <c r="J86" t="e">
        <v>#N/A</v>
      </c>
    </row>
    <row r="87" spans="1:10" x14ac:dyDescent="0.35">
      <c r="A87" s="25">
        <v>1800001580</v>
      </c>
      <c r="B87" s="1" t="s">
        <v>9</v>
      </c>
      <c r="C87" s="11">
        <v>45730</v>
      </c>
      <c r="D87" s="35">
        <v>246779412237</v>
      </c>
      <c r="E87" s="1" t="s">
        <v>76</v>
      </c>
      <c r="F87" s="12">
        <v>14.31</v>
      </c>
      <c r="G87" s="1" t="s">
        <v>77</v>
      </c>
      <c r="H87" s="12">
        <v>1240.55</v>
      </c>
      <c r="I87" s="1" t="s">
        <v>334</v>
      </c>
      <c r="J87" t="e">
        <v>#N/A</v>
      </c>
    </row>
    <row r="88" spans="1:10" x14ac:dyDescent="0.35">
      <c r="A88" s="25">
        <v>1800012586</v>
      </c>
      <c r="B88" s="1" t="s">
        <v>9</v>
      </c>
      <c r="C88" s="11">
        <v>45904</v>
      </c>
      <c r="D88" s="35">
        <v>256779417244</v>
      </c>
      <c r="E88" s="1" t="s">
        <v>76</v>
      </c>
      <c r="F88" s="12">
        <v>685.41</v>
      </c>
      <c r="G88" s="1" t="s">
        <v>77</v>
      </c>
      <c r="H88" s="12">
        <v>59983.199999999997</v>
      </c>
      <c r="I88" s="1" t="s">
        <v>341</v>
      </c>
      <c r="J88" t="e">
        <v>#N/A</v>
      </c>
    </row>
    <row r="89" spans="1:10" x14ac:dyDescent="0.35">
      <c r="A89" s="25">
        <v>1800010281</v>
      </c>
      <c r="B89" s="1" t="s">
        <v>9</v>
      </c>
      <c r="C89" s="11">
        <v>45842</v>
      </c>
      <c r="D89" s="35">
        <v>256779415041</v>
      </c>
      <c r="E89" s="1" t="s">
        <v>76</v>
      </c>
      <c r="F89" s="12">
        <v>155.09</v>
      </c>
      <c r="G89" s="1" t="s">
        <v>77</v>
      </c>
      <c r="H89" s="12">
        <v>13337.84</v>
      </c>
      <c r="I89" s="1" t="s">
        <v>352</v>
      </c>
      <c r="J89" t="e">
        <v>#N/A</v>
      </c>
    </row>
    <row r="90" spans="1:10" x14ac:dyDescent="0.35">
      <c r="A90" s="25">
        <v>1800014729</v>
      </c>
      <c r="B90" s="1" t="s">
        <v>9</v>
      </c>
      <c r="C90" s="11">
        <v>45966</v>
      </c>
      <c r="D90" s="35">
        <v>256779419230</v>
      </c>
      <c r="E90" s="1" t="s">
        <v>76</v>
      </c>
      <c r="F90" s="12">
        <v>179.58</v>
      </c>
      <c r="G90" s="1" t="s">
        <v>77</v>
      </c>
      <c r="H90" s="12">
        <v>15803.65</v>
      </c>
      <c r="I90" s="1" t="s">
        <v>373</v>
      </c>
      <c r="J90" t="e">
        <v>#N/A</v>
      </c>
    </row>
    <row r="91" spans="1:10" x14ac:dyDescent="0.35">
      <c r="A91" s="25">
        <v>1800011863</v>
      </c>
      <c r="B91" s="1" t="s">
        <v>9</v>
      </c>
      <c r="C91" s="11">
        <v>45877</v>
      </c>
      <c r="D91" s="35">
        <v>256779416514</v>
      </c>
      <c r="E91" s="1" t="s">
        <v>76</v>
      </c>
      <c r="F91" s="12">
        <v>1804.03</v>
      </c>
      <c r="G91" s="1" t="s">
        <v>77</v>
      </c>
      <c r="H91" s="12">
        <v>155200.92000000001</v>
      </c>
      <c r="I91" s="1" t="s">
        <v>381</v>
      </c>
      <c r="J91" t="e">
        <v>#N/A</v>
      </c>
    </row>
    <row r="92" spans="1:10" x14ac:dyDescent="0.35">
      <c r="A92" s="25">
        <v>1800009411</v>
      </c>
      <c r="B92" s="1" t="s">
        <v>9</v>
      </c>
      <c r="C92" s="11">
        <v>45812</v>
      </c>
      <c r="D92" s="35">
        <v>256779414175</v>
      </c>
      <c r="E92" s="1" t="s">
        <v>76</v>
      </c>
      <c r="F92" s="12">
        <v>472.4</v>
      </c>
      <c r="G92" s="1" t="s">
        <v>77</v>
      </c>
      <c r="H92" s="12">
        <v>40385.839999999997</v>
      </c>
      <c r="I92" s="1" t="s">
        <v>385</v>
      </c>
      <c r="J92" t="e">
        <v>#N/A</v>
      </c>
    </row>
    <row r="93" spans="1:10" x14ac:dyDescent="0.35">
      <c r="A93" s="25">
        <v>1600000595</v>
      </c>
      <c r="B93" s="1" t="s">
        <v>8</v>
      </c>
      <c r="C93" s="11">
        <v>45791</v>
      </c>
      <c r="D93" s="35">
        <v>256779420304</v>
      </c>
      <c r="E93" s="1" t="s">
        <v>76</v>
      </c>
      <c r="F93" s="12">
        <v>-14.31</v>
      </c>
      <c r="G93" s="1" t="s">
        <v>77</v>
      </c>
      <c r="H93" s="12">
        <v>-1240.55</v>
      </c>
      <c r="I93" s="1" t="s">
        <v>388</v>
      </c>
      <c r="J93" s="5" t="e">
        <v>#N/A</v>
      </c>
    </row>
    <row r="94" spans="1:10" x14ac:dyDescent="0.35">
      <c r="A94" s="25">
        <v>1600000715</v>
      </c>
      <c r="B94" s="1" t="s">
        <v>8</v>
      </c>
      <c r="C94" s="11">
        <v>45791</v>
      </c>
      <c r="D94" s="35">
        <v>256779420424</v>
      </c>
      <c r="E94" s="1" t="s">
        <v>76</v>
      </c>
      <c r="F94" s="12">
        <v>-456.75</v>
      </c>
      <c r="G94" s="1" t="s">
        <v>77</v>
      </c>
      <c r="H94" s="12">
        <v>-39701.54</v>
      </c>
      <c r="I94" s="1" t="s">
        <v>389</v>
      </c>
      <c r="J94" s="5" t="e">
        <v>#N/A</v>
      </c>
    </row>
    <row r="95" spans="1:10" x14ac:dyDescent="0.35">
      <c r="A95" s="25">
        <v>1600000802</v>
      </c>
      <c r="B95" s="1" t="s">
        <v>8</v>
      </c>
      <c r="C95" s="11">
        <v>45791</v>
      </c>
      <c r="D95" s="35">
        <v>256779420511</v>
      </c>
      <c r="E95" s="1" t="s">
        <v>76</v>
      </c>
      <c r="F95" s="12">
        <v>-456.75</v>
      </c>
      <c r="G95" s="1" t="s">
        <v>77</v>
      </c>
      <c r="H95" s="12">
        <v>-39701.54</v>
      </c>
      <c r="I95" s="1" t="s">
        <v>390</v>
      </c>
      <c r="J95" s="5" t="e">
        <v>#N/A</v>
      </c>
    </row>
    <row r="96" spans="1:10" x14ac:dyDescent="0.35">
      <c r="A96" s="25">
        <v>1800010769</v>
      </c>
      <c r="B96" s="1" t="s">
        <v>9</v>
      </c>
      <c r="C96" s="11">
        <v>45856</v>
      </c>
      <c r="D96" s="35">
        <v>256779415431</v>
      </c>
      <c r="E96" s="1" t="s">
        <v>76</v>
      </c>
      <c r="F96" s="12">
        <v>358.33</v>
      </c>
      <c r="G96" s="1" t="s">
        <v>77</v>
      </c>
      <c r="H96" s="12">
        <v>30816.62</v>
      </c>
      <c r="I96" s="1" t="s">
        <v>394</v>
      </c>
      <c r="J96" t="e">
        <v>#N/A</v>
      </c>
    </row>
    <row r="97" spans="1:10" x14ac:dyDescent="0.35">
      <c r="A97" s="25">
        <v>1800003221</v>
      </c>
      <c r="B97" s="1" t="s">
        <v>9</v>
      </c>
      <c r="C97" s="11">
        <v>45735</v>
      </c>
      <c r="D97" s="35">
        <v>246779413088</v>
      </c>
      <c r="E97" s="1" t="s">
        <v>76</v>
      </c>
      <c r="F97" s="12">
        <v>500.63</v>
      </c>
      <c r="G97" s="1" t="s">
        <v>77</v>
      </c>
      <c r="H97" s="12">
        <v>43400.25</v>
      </c>
      <c r="I97" s="1" t="s">
        <v>450</v>
      </c>
      <c r="J97" t="e">
        <v>#N/A</v>
      </c>
    </row>
  </sheetData>
  <autoFilter ref="A2:J2" xr:uid="{B3475750-37E8-420A-A250-67AF5B33A156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3FA9-59F1-4BAC-964C-47BBF6A7EB4F}">
  <dimension ref="A2:U18"/>
  <sheetViews>
    <sheetView topLeftCell="J1" workbookViewId="0">
      <selection activeCell="P23" sqref="P23"/>
    </sheetView>
  </sheetViews>
  <sheetFormatPr defaultRowHeight="14.5" x14ac:dyDescent="0.35"/>
  <cols>
    <col min="1" max="1" width="5.453125" bestFit="1" customWidth="1"/>
    <col min="2" max="2" width="8.08984375" bestFit="1" customWidth="1"/>
    <col min="3" max="3" width="13.90625" bestFit="1" customWidth="1"/>
    <col min="4" max="4" width="4.81640625" bestFit="1" customWidth="1"/>
    <col min="5" max="5" width="13.54296875" bestFit="1" customWidth="1"/>
    <col min="6" max="6" width="14.453125" bestFit="1" customWidth="1"/>
    <col min="7" max="7" width="9.90625" bestFit="1" customWidth="1"/>
    <col min="8" max="8" width="13.54296875" bestFit="1" customWidth="1"/>
    <col min="9" max="9" width="4.81640625" bestFit="1" customWidth="1"/>
    <col min="10" max="10" width="13.08984375" bestFit="1" customWidth="1"/>
    <col min="12" max="12" width="5.453125" bestFit="1" customWidth="1"/>
    <col min="13" max="13" width="8.08984375" bestFit="1" customWidth="1"/>
    <col min="14" max="14" width="11.1796875" bestFit="1" customWidth="1"/>
    <col min="15" max="16" width="16.08984375" bestFit="1" customWidth="1"/>
    <col min="17" max="17" width="16.6328125" bestFit="1" customWidth="1"/>
    <col min="18" max="19" width="16.08984375" bestFit="1" customWidth="1"/>
    <col min="20" max="20" width="16.6328125" bestFit="1" customWidth="1"/>
    <col min="21" max="21" width="13.54296875" bestFit="1" customWidth="1"/>
  </cols>
  <sheetData>
    <row r="2" spans="1:21" x14ac:dyDescent="0.35">
      <c r="A2" s="1"/>
      <c r="B2" s="1"/>
      <c r="C2" s="1"/>
      <c r="D2" s="1"/>
      <c r="E2" s="1"/>
      <c r="F2" s="1"/>
      <c r="G2" s="1"/>
      <c r="H2" s="1"/>
      <c r="I2" s="1"/>
      <c r="J2" s="2"/>
      <c r="K2" s="1"/>
      <c r="O2" s="3" t="s">
        <v>0</v>
      </c>
      <c r="P2" s="3" t="s">
        <v>1</v>
      </c>
      <c r="R2" s="3" t="s">
        <v>2</v>
      </c>
      <c r="S2" s="3" t="s">
        <v>3</v>
      </c>
      <c r="U2" s="2"/>
    </row>
    <row r="3" spans="1:21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4" t="s">
        <v>13</v>
      </c>
      <c r="K3" s="1"/>
      <c r="L3" t="s">
        <v>4</v>
      </c>
      <c r="M3" t="s">
        <v>5</v>
      </c>
      <c r="N3" t="s">
        <v>14</v>
      </c>
      <c r="O3" t="s">
        <v>15</v>
      </c>
      <c r="P3" t="s">
        <v>15</v>
      </c>
      <c r="Q3" t="s">
        <v>16</v>
      </c>
      <c r="R3" t="s">
        <v>15</v>
      </c>
      <c r="S3" t="s">
        <v>15</v>
      </c>
      <c r="T3" t="s">
        <v>16</v>
      </c>
      <c r="U3" s="4" t="s">
        <v>13</v>
      </c>
    </row>
    <row r="4" spans="1:21" x14ac:dyDescent="0.35">
      <c r="A4" s="1" t="s">
        <v>17</v>
      </c>
      <c r="B4" s="1" t="s">
        <v>18</v>
      </c>
      <c r="C4" s="1" t="s">
        <v>19</v>
      </c>
      <c r="D4" s="2"/>
      <c r="E4" s="2"/>
      <c r="F4" s="2">
        <v>882590.45000000007</v>
      </c>
      <c r="G4" s="2"/>
      <c r="H4" s="2"/>
      <c r="I4" s="1">
        <v>-1</v>
      </c>
      <c r="J4" s="2">
        <f>SUM(D4:I4)</f>
        <v>882589.45000000007</v>
      </c>
      <c r="K4" s="1"/>
      <c r="L4" t="s">
        <v>17</v>
      </c>
      <c r="M4" t="s">
        <v>18</v>
      </c>
      <c r="N4" t="s">
        <v>19</v>
      </c>
      <c r="O4" s="5"/>
      <c r="P4" s="5"/>
      <c r="Q4" s="5"/>
      <c r="R4" s="5"/>
      <c r="S4" s="5">
        <v>0</v>
      </c>
      <c r="T4" s="5">
        <v>213327.11999999997</v>
      </c>
      <c r="U4" s="6">
        <f>O4+P4-Q4+R4+S4-T4</f>
        <v>-213327.11999999997</v>
      </c>
    </row>
    <row r="5" spans="1:21" x14ac:dyDescent="0.35">
      <c r="A5" s="1" t="s">
        <v>17</v>
      </c>
      <c r="B5" s="1" t="s">
        <v>18</v>
      </c>
      <c r="C5" s="1" t="s">
        <v>20</v>
      </c>
      <c r="D5" s="2"/>
      <c r="E5" s="2"/>
      <c r="F5" s="2">
        <v>3312491.9400000018</v>
      </c>
      <c r="G5" s="2"/>
      <c r="H5" s="2"/>
      <c r="I5" s="1">
        <v>1</v>
      </c>
      <c r="J5" s="2">
        <f t="shared" ref="J5:J16" si="0">SUM(D5:I5)</f>
        <v>3312492.9400000018</v>
      </c>
      <c r="K5" s="1"/>
      <c r="L5" t="s">
        <v>17</v>
      </c>
      <c r="M5" t="s">
        <v>18</v>
      </c>
      <c r="N5" t="s">
        <v>20</v>
      </c>
      <c r="O5" s="5"/>
      <c r="P5" s="5"/>
      <c r="Q5" s="5"/>
      <c r="R5" s="5"/>
      <c r="S5" s="5">
        <v>0</v>
      </c>
      <c r="T5" s="5">
        <v>2596245</v>
      </c>
      <c r="U5" s="6">
        <f t="shared" ref="U5:U10" si="1">O5+P5-Q5+R5+S5-T5</f>
        <v>-2596245</v>
      </c>
    </row>
    <row r="6" spans="1:21" x14ac:dyDescent="0.35">
      <c r="A6" s="1" t="s">
        <v>17</v>
      </c>
      <c r="B6" s="1" t="s">
        <v>21</v>
      </c>
      <c r="C6" s="1" t="s">
        <v>22</v>
      </c>
      <c r="D6" s="2">
        <v>0</v>
      </c>
      <c r="E6" s="2"/>
      <c r="F6" s="2">
        <v>2004959.35</v>
      </c>
      <c r="G6" s="2"/>
      <c r="H6" s="2"/>
      <c r="I6" s="1"/>
      <c r="J6" s="2">
        <f t="shared" si="0"/>
        <v>2004959.35</v>
      </c>
      <c r="K6" s="1"/>
      <c r="L6" t="s">
        <v>17</v>
      </c>
      <c r="M6" t="s">
        <v>21</v>
      </c>
      <c r="N6" t="s">
        <v>22</v>
      </c>
      <c r="O6" s="5"/>
      <c r="P6" s="5"/>
      <c r="Q6" s="5"/>
      <c r="R6" s="5"/>
      <c r="S6" s="5">
        <v>0</v>
      </c>
      <c r="T6" s="5">
        <v>1942901</v>
      </c>
      <c r="U6" s="6">
        <f t="shared" si="1"/>
        <v>-1942901</v>
      </c>
    </row>
    <row r="7" spans="1:21" x14ac:dyDescent="0.35">
      <c r="A7" s="1" t="s">
        <v>17</v>
      </c>
      <c r="B7" s="1" t="s">
        <v>21</v>
      </c>
      <c r="C7" s="1" t="s">
        <v>23</v>
      </c>
      <c r="D7" s="2"/>
      <c r="E7" s="2">
        <v>-124043.88</v>
      </c>
      <c r="F7" s="2">
        <v>518581.46000000008</v>
      </c>
      <c r="G7" s="2"/>
      <c r="H7" s="2"/>
      <c r="I7" s="1"/>
      <c r="J7" s="2">
        <f t="shared" si="0"/>
        <v>394537.58000000007</v>
      </c>
      <c r="K7" s="1"/>
      <c r="L7" t="s">
        <v>17</v>
      </c>
      <c r="M7" t="s">
        <v>21</v>
      </c>
      <c r="N7" t="s">
        <v>23</v>
      </c>
      <c r="O7" s="5"/>
      <c r="P7" s="5"/>
      <c r="Q7" s="5"/>
      <c r="R7" s="5">
        <v>177773</v>
      </c>
      <c r="S7" s="5">
        <v>0</v>
      </c>
      <c r="T7" s="5">
        <v>441316</v>
      </c>
      <c r="U7" s="6">
        <f t="shared" si="1"/>
        <v>-263543</v>
      </c>
    </row>
    <row r="8" spans="1:21" x14ac:dyDescent="0.35">
      <c r="A8" s="1" t="s">
        <v>17</v>
      </c>
      <c r="B8" s="1" t="s">
        <v>21</v>
      </c>
      <c r="C8" s="1" t="s">
        <v>24</v>
      </c>
      <c r="D8" s="2"/>
      <c r="E8" s="2"/>
      <c r="F8" s="2">
        <v>750378.2100000002</v>
      </c>
      <c r="G8" s="2"/>
      <c r="H8" s="2">
        <v>-1378720</v>
      </c>
      <c r="I8" s="1"/>
      <c r="J8" s="2">
        <f t="shared" si="0"/>
        <v>-628341.7899999998</v>
      </c>
      <c r="K8" s="1"/>
      <c r="L8" t="s">
        <v>17</v>
      </c>
      <c r="M8" t="s">
        <v>21</v>
      </c>
      <c r="N8" t="s">
        <v>24</v>
      </c>
      <c r="O8" s="5"/>
      <c r="P8" s="5"/>
      <c r="Q8" s="5"/>
      <c r="R8" s="5">
        <v>2600946.52</v>
      </c>
      <c r="S8" s="5">
        <v>0</v>
      </c>
      <c r="T8" s="5">
        <v>465556</v>
      </c>
      <c r="U8" s="6">
        <f t="shared" si="1"/>
        <v>2135390.52</v>
      </c>
    </row>
    <row r="9" spans="1:21" x14ac:dyDescent="0.35">
      <c r="A9" s="1" t="s">
        <v>17</v>
      </c>
      <c r="B9" s="1" t="s">
        <v>25</v>
      </c>
      <c r="C9" s="1" t="s">
        <v>26</v>
      </c>
      <c r="D9" s="2"/>
      <c r="E9" s="2">
        <v>-1266506.26</v>
      </c>
      <c r="F9" s="2">
        <v>1226043.8999999999</v>
      </c>
      <c r="G9" s="2">
        <v>0</v>
      </c>
      <c r="H9" s="2"/>
      <c r="I9" s="1"/>
      <c r="J9" s="2">
        <f t="shared" si="0"/>
        <v>-40462.360000000102</v>
      </c>
      <c r="K9" s="1"/>
      <c r="L9" t="s">
        <v>17</v>
      </c>
      <c r="M9" t="s">
        <v>25</v>
      </c>
      <c r="N9" t="s">
        <v>26</v>
      </c>
      <c r="O9" s="5">
        <v>610440</v>
      </c>
      <c r="P9" s="5">
        <v>26009</v>
      </c>
      <c r="Q9" s="5">
        <v>503</v>
      </c>
      <c r="R9" s="5">
        <v>2450672</v>
      </c>
      <c r="S9" s="5">
        <v>0</v>
      </c>
      <c r="T9" s="5">
        <v>460821</v>
      </c>
      <c r="U9" s="6">
        <f t="shared" si="1"/>
        <v>2625797</v>
      </c>
    </row>
    <row r="10" spans="1:21" x14ac:dyDescent="0.35">
      <c r="A10" s="1" t="s">
        <v>17</v>
      </c>
      <c r="B10" s="1" t="s">
        <v>25</v>
      </c>
      <c r="C10" s="1" t="s">
        <v>27</v>
      </c>
      <c r="D10" s="2"/>
      <c r="E10" s="2"/>
      <c r="F10" s="2">
        <v>906747.15</v>
      </c>
      <c r="G10" s="2"/>
      <c r="H10" s="2">
        <v>-3850672</v>
      </c>
      <c r="I10" s="1"/>
      <c r="J10" s="2">
        <f t="shared" si="0"/>
        <v>-2943924.85</v>
      </c>
      <c r="K10" s="1"/>
      <c r="L10" t="s">
        <v>17</v>
      </c>
      <c r="M10" t="s">
        <v>25</v>
      </c>
      <c r="N10" t="s">
        <v>27</v>
      </c>
      <c r="O10" s="5"/>
      <c r="P10" s="5"/>
      <c r="Q10" s="5"/>
      <c r="R10" s="5"/>
      <c r="S10" s="5">
        <v>0</v>
      </c>
      <c r="T10" s="5">
        <v>502834</v>
      </c>
      <c r="U10" s="6">
        <f t="shared" si="1"/>
        <v>-502834</v>
      </c>
    </row>
    <row r="11" spans="1:21" x14ac:dyDescent="0.35">
      <c r="A11" s="1" t="s">
        <v>17</v>
      </c>
      <c r="B11" s="1" t="s">
        <v>25</v>
      </c>
      <c r="C11" s="1" t="s">
        <v>28</v>
      </c>
      <c r="D11" s="2"/>
      <c r="E11" s="2"/>
      <c r="F11" s="2">
        <v>1230601.99</v>
      </c>
      <c r="G11" s="2">
        <v>465.79999999998836</v>
      </c>
      <c r="H11" s="2"/>
      <c r="I11" s="1"/>
      <c r="J11" s="2">
        <f t="shared" si="0"/>
        <v>1231067.79</v>
      </c>
      <c r="K11" s="1"/>
    </row>
    <row r="12" spans="1:21" x14ac:dyDescent="0.35">
      <c r="A12" s="1" t="s">
        <v>17</v>
      </c>
      <c r="B12" s="1" t="s">
        <v>29</v>
      </c>
      <c r="C12" s="1" t="s">
        <v>30</v>
      </c>
      <c r="D12" s="2"/>
      <c r="E12" s="2">
        <v>-51397.58</v>
      </c>
      <c r="F12" s="2">
        <v>1336858.3000000003</v>
      </c>
      <c r="G12" s="2"/>
      <c r="H12" s="2">
        <v>-1108564</v>
      </c>
      <c r="I12" s="1"/>
      <c r="J12" s="2">
        <f t="shared" si="0"/>
        <v>176896.7200000002</v>
      </c>
      <c r="K12" s="1"/>
      <c r="L12" t="s">
        <v>17</v>
      </c>
      <c r="M12" t="s">
        <v>29</v>
      </c>
      <c r="N12" t="s">
        <v>30</v>
      </c>
      <c r="O12" s="5"/>
      <c r="P12" s="5">
        <v>248895</v>
      </c>
      <c r="Q12" s="5">
        <v>248895</v>
      </c>
      <c r="R12" s="5">
        <v>1408564</v>
      </c>
      <c r="S12" s="5"/>
      <c r="T12" s="5"/>
      <c r="U12" s="6">
        <f>O12+P12-Q12+R12+S12-T12</f>
        <v>1408564</v>
      </c>
    </row>
    <row r="13" spans="1:21" x14ac:dyDescent="0.35">
      <c r="A13" s="1" t="s">
        <v>17</v>
      </c>
      <c r="B13" s="1" t="s">
        <v>29</v>
      </c>
      <c r="C13" s="1" t="s">
        <v>31</v>
      </c>
      <c r="D13" s="2"/>
      <c r="E13" s="2"/>
      <c r="F13" s="2">
        <v>925665.41000000015</v>
      </c>
      <c r="G13" s="2">
        <v>-1558.8799999999956</v>
      </c>
      <c r="H13" s="2">
        <v>-800000</v>
      </c>
      <c r="I13" s="1"/>
      <c r="J13" s="2">
        <f t="shared" si="0"/>
        <v>124106.53000000014</v>
      </c>
      <c r="K13" s="1"/>
      <c r="L13" t="s">
        <v>17</v>
      </c>
      <c r="M13" t="s">
        <v>29</v>
      </c>
      <c r="N13" t="s">
        <v>31</v>
      </c>
      <c r="O13" s="5"/>
      <c r="P13" s="5"/>
      <c r="Q13" s="5"/>
      <c r="R13" s="5">
        <v>500000</v>
      </c>
      <c r="S13" s="5"/>
      <c r="T13" s="5"/>
      <c r="U13" s="6">
        <f>O13+P13-Q13+R13+S13-T13</f>
        <v>500000</v>
      </c>
    </row>
    <row r="14" spans="1:21" x14ac:dyDescent="0.35">
      <c r="A14" s="1" t="s">
        <v>17</v>
      </c>
      <c r="B14" s="1" t="s">
        <v>29</v>
      </c>
      <c r="C14" s="1" t="s">
        <v>32</v>
      </c>
      <c r="D14" s="2"/>
      <c r="E14" s="2"/>
      <c r="F14" s="2">
        <v>155144.53</v>
      </c>
      <c r="G14" s="2"/>
      <c r="H14" s="2">
        <v>-500000</v>
      </c>
      <c r="I14" s="1"/>
      <c r="J14" s="2">
        <f t="shared" si="0"/>
        <v>-344855.47</v>
      </c>
      <c r="K14" s="1"/>
      <c r="L14" t="s">
        <v>17</v>
      </c>
      <c r="M14" t="s">
        <v>29</v>
      </c>
      <c r="N14" t="s">
        <v>32</v>
      </c>
      <c r="O14" s="5"/>
      <c r="P14" s="5">
        <v>25505</v>
      </c>
      <c r="Q14" s="5">
        <v>25505</v>
      </c>
      <c r="R14" s="5">
        <v>1000000</v>
      </c>
      <c r="S14" s="5">
        <v>21906</v>
      </c>
      <c r="T14" s="5">
        <v>4225516.0117000015</v>
      </c>
      <c r="U14" s="6">
        <f>O14+P14-Q14+R14+S14-T14</f>
        <v>-3203610.0117000015</v>
      </c>
    </row>
    <row r="15" spans="1:21" x14ac:dyDescent="0.35">
      <c r="A15" s="1" t="s">
        <v>33</v>
      </c>
      <c r="B15" s="1" t="s">
        <v>18</v>
      </c>
      <c r="C15" s="1" t="s">
        <v>34</v>
      </c>
      <c r="D15" s="2"/>
      <c r="E15" s="2">
        <v>-308.52999999999997</v>
      </c>
      <c r="F15" s="2">
        <v>1689363.21</v>
      </c>
      <c r="G15" s="2"/>
      <c r="H15" s="2">
        <v>-500000</v>
      </c>
      <c r="I15" s="1"/>
      <c r="J15" s="2">
        <f t="shared" si="0"/>
        <v>1189054.68</v>
      </c>
      <c r="K15" s="1"/>
      <c r="L15" t="s">
        <v>33</v>
      </c>
      <c r="M15" t="s">
        <v>18</v>
      </c>
      <c r="N15" t="s">
        <v>34</v>
      </c>
      <c r="O15" s="5"/>
      <c r="P15" s="5"/>
      <c r="Q15" s="5"/>
      <c r="R15" s="5">
        <v>674751</v>
      </c>
      <c r="S15" s="5">
        <v>4355</v>
      </c>
      <c r="T15" s="5">
        <v>51496.061000000002</v>
      </c>
      <c r="U15" s="6">
        <f>O15+P15-Q15+R15+S15-T15</f>
        <v>627609.93900000001</v>
      </c>
    </row>
    <row r="16" spans="1:21" x14ac:dyDescent="0.35">
      <c r="A16" s="1" t="s">
        <v>33</v>
      </c>
      <c r="B16" s="1" t="s">
        <v>18</v>
      </c>
      <c r="C16" s="1" t="s">
        <v>19</v>
      </c>
      <c r="D16" s="2"/>
      <c r="E16" s="2"/>
      <c r="F16" s="2"/>
      <c r="G16" s="2"/>
      <c r="H16" s="2">
        <v>-674751</v>
      </c>
      <c r="I16" s="1"/>
      <c r="J16" s="2">
        <f t="shared" si="0"/>
        <v>-674751</v>
      </c>
      <c r="K16" s="1"/>
      <c r="L16" t="s">
        <v>33</v>
      </c>
      <c r="M16" t="s">
        <v>18</v>
      </c>
      <c r="N16" t="s">
        <v>19</v>
      </c>
      <c r="O16" s="5"/>
      <c r="P16" s="5"/>
      <c r="Q16" s="5"/>
      <c r="R16" s="5"/>
      <c r="S16" s="5">
        <v>3628</v>
      </c>
      <c r="T16" s="5">
        <v>67803.8174</v>
      </c>
      <c r="U16" s="6">
        <f>O16+P16-Q16+R16+S16-T16</f>
        <v>-64175.8174</v>
      </c>
    </row>
    <row r="17" spans="1:21" x14ac:dyDescent="0.35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5">
      <c r="A18" s="1"/>
      <c r="B18" s="1"/>
      <c r="C18" s="1"/>
      <c r="D18" s="7">
        <f t="shared" ref="D18:I18" si="2">SUM(D4:D16)</f>
        <v>0</v>
      </c>
      <c r="E18" s="7">
        <f t="shared" si="2"/>
        <v>-1442256.2500000002</v>
      </c>
      <c r="F18" s="7">
        <f t="shared" si="2"/>
        <v>14939425.900000002</v>
      </c>
      <c r="G18" s="7">
        <f t="shared" si="2"/>
        <v>-1093.0800000000072</v>
      </c>
      <c r="H18" s="8">
        <f t="shared" si="2"/>
        <v>-8812707</v>
      </c>
      <c r="I18" s="7">
        <f t="shared" si="2"/>
        <v>0</v>
      </c>
      <c r="J18" s="7">
        <f>SUM(J4:J16)</f>
        <v>4683369.5700000022</v>
      </c>
      <c r="K18" s="1"/>
      <c r="L18" s="1"/>
      <c r="M18" s="1"/>
      <c r="N18" s="1"/>
      <c r="O18" s="7">
        <f t="shared" ref="O18:U18" si="3">SUM(O4:O16)</f>
        <v>610440</v>
      </c>
      <c r="P18" s="7">
        <f t="shared" si="3"/>
        <v>300409</v>
      </c>
      <c r="Q18" s="7">
        <f t="shared" si="3"/>
        <v>274903</v>
      </c>
      <c r="R18" s="8">
        <f t="shared" si="3"/>
        <v>8812706.5199999996</v>
      </c>
      <c r="S18" s="7">
        <f t="shared" si="3"/>
        <v>29889</v>
      </c>
      <c r="T18" s="7">
        <f t="shared" si="3"/>
        <v>10967816.010100001</v>
      </c>
      <c r="U18" s="7">
        <f t="shared" si="3"/>
        <v>-1489274.4901000017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4ABF-4804-485E-9803-09ADF53F0B0A}">
  <sheetPr filterMode="1"/>
  <dimension ref="A1:K389"/>
  <sheetViews>
    <sheetView tabSelected="1" zoomScale="85" zoomScaleNormal="85" workbookViewId="0">
      <selection activeCell="H1" sqref="H1"/>
    </sheetView>
  </sheetViews>
  <sheetFormatPr defaultRowHeight="14.5" x14ac:dyDescent="0.35"/>
  <cols>
    <col min="1" max="1" width="11.1796875" bestFit="1" customWidth="1"/>
    <col min="2" max="2" width="21.54296875" bestFit="1" customWidth="1"/>
    <col min="3" max="4" width="12" style="47" bestFit="1" customWidth="1"/>
    <col min="5" max="5" width="13.6328125" style="47" bestFit="1" customWidth="1"/>
    <col min="6" max="6" width="14.81640625" bestFit="1" customWidth="1"/>
    <col min="7" max="7" width="19.1796875" bestFit="1" customWidth="1"/>
    <col min="8" max="8" width="48.26953125" customWidth="1"/>
    <col min="9" max="9" width="20.36328125" hidden="1" customWidth="1"/>
    <col min="10" max="10" width="32.81640625" bestFit="1" customWidth="1"/>
    <col min="11" max="11" width="17.54296875" customWidth="1"/>
  </cols>
  <sheetData>
    <row r="1" spans="1:11" x14ac:dyDescent="0.35">
      <c r="A1" s="21" t="s">
        <v>14</v>
      </c>
      <c r="B1" s="21" t="s">
        <v>477</v>
      </c>
      <c r="C1" s="46" t="s">
        <v>478</v>
      </c>
      <c r="D1" s="46" t="s">
        <v>479</v>
      </c>
      <c r="E1" s="46" t="s">
        <v>480</v>
      </c>
      <c r="F1" s="21"/>
      <c r="G1" s="21" t="s">
        <v>483</v>
      </c>
      <c r="H1" s="21" t="s">
        <v>484</v>
      </c>
      <c r="I1" s="21" t="s">
        <v>976</v>
      </c>
      <c r="J1" s="21" t="s">
        <v>487</v>
      </c>
      <c r="K1" s="21" t="s">
        <v>488</v>
      </c>
    </row>
    <row r="2" spans="1:11" hidden="1" x14ac:dyDescent="0.35">
      <c r="A2" s="21" t="s">
        <v>977</v>
      </c>
      <c r="B2" s="21" t="s">
        <v>489</v>
      </c>
      <c r="C2" s="46">
        <v>0</v>
      </c>
      <c r="D2" s="46">
        <v>35554.519999999997</v>
      </c>
      <c r="E2" s="46">
        <v>-35554.519999999997</v>
      </c>
      <c r="F2" s="21" t="s">
        <v>3</v>
      </c>
      <c r="G2" s="21" t="s">
        <v>490</v>
      </c>
      <c r="H2" s="21" t="s">
        <v>491</v>
      </c>
      <c r="I2" s="21"/>
      <c r="J2" s="21" t="s">
        <v>490</v>
      </c>
      <c r="K2" s="77">
        <v>246779410049</v>
      </c>
    </row>
    <row r="3" spans="1:11" hidden="1" x14ac:dyDescent="0.35">
      <c r="A3" s="21" t="s">
        <v>977</v>
      </c>
      <c r="B3" s="21" t="s">
        <v>489</v>
      </c>
      <c r="C3" s="46">
        <v>0</v>
      </c>
      <c r="D3" s="46">
        <v>35554.519999999997</v>
      </c>
      <c r="E3" s="46">
        <v>-71109.039999999994</v>
      </c>
      <c r="F3" s="21" t="s">
        <v>3</v>
      </c>
      <c r="G3" s="21" t="s">
        <v>494</v>
      </c>
      <c r="H3" s="21" t="s">
        <v>491</v>
      </c>
      <c r="I3" s="21"/>
      <c r="J3" s="21" t="s">
        <v>494</v>
      </c>
      <c r="K3" s="77">
        <v>246779410303</v>
      </c>
    </row>
    <row r="4" spans="1:11" hidden="1" x14ac:dyDescent="0.35">
      <c r="A4" s="21" t="s">
        <v>977</v>
      </c>
      <c r="B4" s="21" t="s">
        <v>489</v>
      </c>
      <c r="C4" s="46">
        <v>0</v>
      </c>
      <c r="D4" s="46">
        <v>35554.519999999997</v>
      </c>
      <c r="E4" s="46">
        <v>-106663.56</v>
      </c>
      <c r="F4" s="21" t="s">
        <v>3</v>
      </c>
      <c r="G4" s="21" t="s">
        <v>495</v>
      </c>
      <c r="H4" s="21" t="s">
        <v>491</v>
      </c>
      <c r="I4" s="21"/>
      <c r="J4" s="21" t="s">
        <v>495</v>
      </c>
      <c r="K4" s="77">
        <v>246779410117</v>
      </c>
    </row>
    <row r="5" spans="1:11" hidden="1" x14ac:dyDescent="0.35">
      <c r="A5" s="21" t="s">
        <v>977</v>
      </c>
      <c r="B5" s="21" t="s">
        <v>489</v>
      </c>
      <c r="C5" s="46">
        <v>0</v>
      </c>
      <c r="D5" s="46">
        <v>35554.519999999997</v>
      </c>
      <c r="E5" s="46">
        <v>-142218.07999999999</v>
      </c>
      <c r="F5" s="21" t="s">
        <v>3</v>
      </c>
      <c r="G5" s="21" t="s">
        <v>496</v>
      </c>
      <c r="H5" s="21" t="s">
        <v>491</v>
      </c>
      <c r="I5" s="21"/>
      <c r="J5" s="21" t="s">
        <v>496</v>
      </c>
      <c r="K5" s="77">
        <v>246779410160</v>
      </c>
    </row>
    <row r="6" spans="1:11" hidden="1" x14ac:dyDescent="0.35">
      <c r="A6" s="21" t="s">
        <v>977</v>
      </c>
      <c r="B6" s="21" t="s">
        <v>489</v>
      </c>
      <c r="C6" s="46">
        <v>0</v>
      </c>
      <c r="D6" s="46">
        <v>35554.519999999997</v>
      </c>
      <c r="E6" s="46">
        <v>-177772.6</v>
      </c>
      <c r="F6" s="21" t="s">
        <v>3</v>
      </c>
      <c r="G6" s="21" t="s">
        <v>497</v>
      </c>
      <c r="H6" s="21" t="s">
        <v>491</v>
      </c>
      <c r="I6" s="21"/>
      <c r="J6" s="21" t="s">
        <v>497</v>
      </c>
      <c r="K6" s="77">
        <v>246779410203</v>
      </c>
    </row>
    <row r="7" spans="1:11" hidden="1" x14ac:dyDescent="0.35">
      <c r="A7" s="21" t="s">
        <v>977</v>
      </c>
      <c r="B7" s="21" t="s">
        <v>489</v>
      </c>
      <c r="C7" s="46">
        <v>0</v>
      </c>
      <c r="D7" s="46">
        <v>35554.519999999997</v>
      </c>
      <c r="E7" s="46">
        <v>-213327.12</v>
      </c>
      <c r="F7" s="21" t="s">
        <v>3</v>
      </c>
      <c r="G7" s="21" t="s">
        <v>498</v>
      </c>
      <c r="H7" s="21" t="s">
        <v>491</v>
      </c>
      <c r="I7" s="21"/>
      <c r="J7" s="21" t="s">
        <v>498</v>
      </c>
      <c r="K7" s="77">
        <v>246779410246</v>
      </c>
    </row>
    <row r="8" spans="1:11" hidden="1" x14ac:dyDescent="0.35">
      <c r="A8" s="21" t="s">
        <v>978</v>
      </c>
      <c r="B8" s="21" t="s">
        <v>489</v>
      </c>
      <c r="C8" s="46">
        <v>0</v>
      </c>
      <c r="D8" s="46">
        <v>804</v>
      </c>
      <c r="E8" s="46">
        <v>-214131.12</v>
      </c>
      <c r="F8" s="21" t="s">
        <v>3</v>
      </c>
      <c r="G8" s="21" t="s">
        <v>499</v>
      </c>
      <c r="H8" s="21" t="s">
        <v>500</v>
      </c>
      <c r="I8" s="21" t="s">
        <v>979</v>
      </c>
      <c r="J8" s="21" t="s">
        <v>499</v>
      </c>
      <c r="K8" s="77">
        <v>246779410613</v>
      </c>
    </row>
    <row r="9" spans="1:11" hidden="1" x14ac:dyDescent="0.35">
      <c r="A9" s="21" t="s">
        <v>978</v>
      </c>
      <c r="B9" s="21" t="s">
        <v>489</v>
      </c>
      <c r="C9" s="46">
        <v>0</v>
      </c>
      <c r="D9" s="46">
        <v>1004</v>
      </c>
      <c r="E9" s="46">
        <v>-215135.12</v>
      </c>
      <c r="F9" s="21" t="s">
        <v>3</v>
      </c>
      <c r="G9" s="21" t="s">
        <v>501</v>
      </c>
      <c r="H9" s="21" t="s">
        <v>500</v>
      </c>
      <c r="I9" s="21" t="s">
        <v>979</v>
      </c>
      <c r="J9" s="21" t="s">
        <v>501</v>
      </c>
      <c r="K9" s="77">
        <v>246779410612</v>
      </c>
    </row>
    <row r="10" spans="1:11" hidden="1" x14ac:dyDescent="0.35">
      <c r="A10" s="21" t="s">
        <v>978</v>
      </c>
      <c r="B10" s="21" t="s">
        <v>489</v>
      </c>
      <c r="C10" s="46">
        <v>0</v>
      </c>
      <c r="D10" s="46">
        <v>402</v>
      </c>
      <c r="E10" s="46">
        <v>-215537.12</v>
      </c>
      <c r="F10" s="21" t="s">
        <v>3</v>
      </c>
      <c r="G10" s="21" t="s">
        <v>502</v>
      </c>
      <c r="H10" s="21" t="s">
        <v>500</v>
      </c>
      <c r="I10" s="21" t="s">
        <v>980</v>
      </c>
      <c r="J10" s="21" t="s">
        <v>502</v>
      </c>
      <c r="K10" s="77">
        <v>246779410611</v>
      </c>
    </row>
    <row r="11" spans="1:11" hidden="1" x14ac:dyDescent="0.35">
      <c r="A11" s="21" t="s">
        <v>978</v>
      </c>
      <c r="B11" s="21" t="s">
        <v>489</v>
      </c>
      <c r="C11" s="46">
        <v>0</v>
      </c>
      <c r="D11" s="46">
        <v>201</v>
      </c>
      <c r="E11" s="46">
        <v>-215738.12</v>
      </c>
      <c r="F11" s="21" t="s">
        <v>3</v>
      </c>
      <c r="G11" s="21" t="s">
        <v>503</v>
      </c>
      <c r="H11" s="21" t="s">
        <v>500</v>
      </c>
      <c r="I11" s="21" t="s">
        <v>980</v>
      </c>
      <c r="J11" s="21" t="s">
        <v>503</v>
      </c>
      <c r="K11" s="77">
        <v>246779410610</v>
      </c>
    </row>
    <row r="12" spans="1:11" hidden="1" x14ac:dyDescent="0.35">
      <c r="A12" s="21" t="s">
        <v>978</v>
      </c>
      <c r="B12" s="21" t="s">
        <v>489</v>
      </c>
      <c r="C12" s="46">
        <v>0</v>
      </c>
      <c r="D12" s="46">
        <v>804</v>
      </c>
      <c r="E12" s="46">
        <v>-216542.12</v>
      </c>
      <c r="F12" s="21" t="s">
        <v>3</v>
      </c>
      <c r="G12" s="21" t="s">
        <v>504</v>
      </c>
      <c r="H12" s="21" t="s">
        <v>500</v>
      </c>
      <c r="I12" s="21" t="s">
        <v>981</v>
      </c>
      <c r="J12" s="21" t="s">
        <v>504</v>
      </c>
      <c r="K12" s="77">
        <v>246779410608</v>
      </c>
    </row>
    <row r="13" spans="1:11" hidden="1" x14ac:dyDescent="0.35">
      <c r="A13" s="21" t="s">
        <v>978</v>
      </c>
      <c r="B13" s="21" t="s">
        <v>489</v>
      </c>
      <c r="C13" s="46">
        <v>0</v>
      </c>
      <c r="D13" s="46">
        <v>402</v>
      </c>
      <c r="E13" s="46">
        <v>-216944.12</v>
      </c>
      <c r="F13" s="21" t="s">
        <v>3</v>
      </c>
      <c r="G13" s="21" t="s">
        <v>505</v>
      </c>
      <c r="H13" s="21" t="s">
        <v>500</v>
      </c>
      <c r="I13" s="21" t="s">
        <v>982</v>
      </c>
      <c r="J13" s="21" t="s">
        <v>505</v>
      </c>
      <c r="K13" s="77">
        <v>246779410607</v>
      </c>
    </row>
    <row r="14" spans="1:11" hidden="1" x14ac:dyDescent="0.35">
      <c r="A14" s="21" t="s">
        <v>978</v>
      </c>
      <c r="B14" s="21" t="s">
        <v>489</v>
      </c>
      <c r="C14" s="46">
        <v>0</v>
      </c>
      <c r="D14" s="46">
        <v>580687</v>
      </c>
      <c r="E14" s="46">
        <v>-797631.12</v>
      </c>
      <c r="F14" s="21" t="s">
        <v>3</v>
      </c>
      <c r="G14" s="21" t="s">
        <v>506</v>
      </c>
      <c r="H14" s="21" t="s">
        <v>507</v>
      </c>
      <c r="I14" s="21"/>
      <c r="J14" s="21" t="s">
        <v>506</v>
      </c>
      <c r="K14" s="77">
        <v>246779410404</v>
      </c>
    </row>
    <row r="15" spans="1:11" hidden="1" x14ac:dyDescent="0.35">
      <c r="A15" s="21" t="s">
        <v>978</v>
      </c>
      <c r="B15" s="21" t="s">
        <v>489</v>
      </c>
      <c r="C15" s="46">
        <v>0</v>
      </c>
      <c r="D15" s="46">
        <v>340227</v>
      </c>
      <c r="E15" s="46">
        <v>-1137858.1200000001</v>
      </c>
      <c r="F15" s="21" t="s">
        <v>3</v>
      </c>
      <c r="G15" s="21" t="s">
        <v>508</v>
      </c>
      <c r="H15" s="21" t="s">
        <v>507</v>
      </c>
      <c r="I15" s="21"/>
      <c r="J15" s="21" t="s">
        <v>508</v>
      </c>
      <c r="K15" s="77">
        <v>246779410428</v>
      </c>
    </row>
    <row r="16" spans="1:11" hidden="1" x14ac:dyDescent="0.35">
      <c r="A16" s="21" t="s">
        <v>978</v>
      </c>
      <c r="B16" s="21" t="s">
        <v>489</v>
      </c>
      <c r="C16" s="46">
        <v>0</v>
      </c>
      <c r="D16" s="46">
        <v>460370</v>
      </c>
      <c r="E16" s="46">
        <v>-1598228.12</v>
      </c>
      <c r="F16" s="21" t="s">
        <v>3</v>
      </c>
      <c r="G16" s="21" t="s">
        <v>509</v>
      </c>
      <c r="H16" s="21" t="s">
        <v>507</v>
      </c>
      <c r="I16" s="21"/>
      <c r="J16" s="21" t="s">
        <v>509</v>
      </c>
      <c r="K16" s="77">
        <v>246779410379</v>
      </c>
    </row>
    <row r="17" spans="1:11" hidden="1" x14ac:dyDescent="0.35">
      <c r="A17" s="21" t="s">
        <v>978</v>
      </c>
      <c r="B17" s="21" t="s">
        <v>489</v>
      </c>
      <c r="C17" s="46">
        <v>0</v>
      </c>
      <c r="D17" s="46">
        <v>2009</v>
      </c>
      <c r="E17" s="46">
        <v>-1600237.12</v>
      </c>
      <c r="F17" s="21" t="s">
        <v>3</v>
      </c>
      <c r="G17" s="21" t="s">
        <v>510</v>
      </c>
      <c r="H17" s="21" t="s">
        <v>500</v>
      </c>
      <c r="I17" s="21" t="s">
        <v>983</v>
      </c>
      <c r="J17" s="21" t="s">
        <v>510</v>
      </c>
      <c r="K17" s="77">
        <v>246779410605</v>
      </c>
    </row>
    <row r="18" spans="1:11" hidden="1" x14ac:dyDescent="0.35">
      <c r="A18" s="21" t="s">
        <v>978</v>
      </c>
      <c r="B18" s="21" t="s">
        <v>489</v>
      </c>
      <c r="C18" s="46">
        <v>0</v>
      </c>
      <c r="D18" s="46">
        <v>402</v>
      </c>
      <c r="E18" s="46">
        <v>-1600639.12</v>
      </c>
      <c r="F18" s="21" t="s">
        <v>3</v>
      </c>
      <c r="G18" s="21" t="s">
        <v>511</v>
      </c>
      <c r="H18" s="21" t="s">
        <v>500</v>
      </c>
      <c r="I18" s="21" t="s">
        <v>984</v>
      </c>
      <c r="J18" s="21" t="s">
        <v>511</v>
      </c>
      <c r="K18" s="77">
        <v>246779410606</v>
      </c>
    </row>
    <row r="19" spans="1:11" hidden="1" x14ac:dyDescent="0.35">
      <c r="A19" s="21" t="s">
        <v>978</v>
      </c>
      <c r="B19" s="21" t="s">
        <v>489</v>
      </c>
      <c r="C19" s="46">
        <v>0</v>
      </c>
      <c r="D19" s="46">
        <v>2009</v>
      </c>
      <c r="E19" s="46">
        <v>-1602648.12</v>
      </c>
      <c r="F19" s="21" t="s">
        <v>3</v>
      </c>
      <c r="G19" s="21" t="s">
        <v>512</v>
      </c>
      <c r="H19" s="21" t="s">
        <v>500</v>
      </c>
      <c r="I19" s="21" t="s">
        <v>985</v>
      </c>
      <c r="J19" s="21" t="s">
        <v>512</v>
      </c>
      <c r="K19" s="77">
        <v>246779410495</v>
      </c>
    </row>
    <row r="20" spans="1:11" hidden="1" x14ac:dyDescent="0.35">
      <c r="A20" s="21" t="s">
        <v>978</v>
      </c>
      <c r="B20" s="21" t="s">
        <v>489</v>
      </c>
      <c r="C20" s="46">
        <v>0</v>
      </c>
      <c r="D20" s="46">
        <v>201</v>
      </c>
      <c r="E20" s="46">
        <v>-1602849.12</v>
      </c>
      <c r="F20" s="21" t="s">
        <v>3</v>
      </c>
      <c r="G20" s="21" t="s">
        <v>513</v>
      </c>
      <c r="H20" s="21" t="s">
        <v>500</v>
      </c>
      <c r="I20" s="21" t="s">
        <v>986</v>
      </c>
      <c r="J20" s="21" t="s">
        <v>513</v>
      </c>
      <c r="K20" s="77">
        <v>246779410494</v>
      </c>
    </row>
    <row r="21" spans="1:11" hidden="1" x14ac:dyDescent="0.35">
      <c r="A21" s="21" t="s">
        <v>978</v>
      </c>
      <c r="B21" s="21" t="s">
        <v>489</v>
      </c>
      <c r="C21" s="46">
        <v>0</v>
      </c>
      <c r="D21" s="46">
        <v>201</v>
      </c>
      <c r="E21" s="46">
        <v>-1603050.12</v>
      </c>
      <c r="F21" s="21" t="s">
        <v>3</v>
      </c>
      <c r="G21" s="21" t="s">
        <v>514</v>
      </c>
      <c r="H21" s="21" t="s">
        <v>500</v>
      </c>
      <c r="I21" s="21" t="s">
        <v>987</v>
      </c>
      <c r="J21" s="21" t="s">
        <v>514</v>
      </c>
      <c r="K21" s="77">
        <v>246779410496</v>
      </c>
    </row>
    <row r="22" spans="1:11" hidden="1" x14ac:dyDescent="0.35">
      <c r="A22" s="21" t="s">
        <v>978</v>
      </c>
      <c r="B22" s="21" t="s">
        <v>489</v>
      </c>
      <c r="C22" s="46">
        <v>0</v>
      </c>
      <c r="D22" s="46">
        <v>201</v>
      </c>
      <c r="E22" s="46">
        <v>-1603251.12</v>
      </c>
      <c r="F22" s="21" t="s">
        <v>3</v>
      </c>
      <c r="G22" s="21" t="s">
        <v>515</v>
      </c>
      <c r="H22" s="21" t="s">
        <v>500</v>
      </c>
      <c r="I22" s="21" t="s">
        <v>988</v>
      </c>
      <c r="J22" s="21" t="s">
        <v>515</v>
      </c>
      <c r="K22" s="77">
        <v>246779410497</v>
      </c>
    </row>
    <row r="23" spans="1:11" hidden="1" x14ac:dyDescent="0.35">
      <c r="A23" s="21" t="s">
        <v>978</v>
      </c>
      <c r="B23" s="21" t="s">
        <v>489</v>
      </c>
      <c r="C23" s="46">
        <v>0</v>
      </c>
      <c r="D23" s="46">
        <v>804</v>
      </c>
      <c r="E23" s="46">
        <v>-1604055.12</v>
      </c>
      <c r="F23" s="21" t="s">
        <v>3</v>
      </c>
      <c r="G23" s="21" t="s">
        <v>516</v>
      </c>
      <c r="H23" s="21" t="s">
        <v>500</v>
      </c>
      <c r="I23" s="21" t="s">
        <v>989</v>
      </c>
      <c r="J23" s="21" t="s">
        <v>516</v>
      </c>
      <c r="K23" s="77">
        <v>246779410499</v>
      </c>
    </row>
    <row r="24" spans="1:11" hidden="1" x14ac:dyDescent="0.35">
      <c r="A24" s="21" t="s">
        <v>978</v>
      </c>
      <c r="B24" s="21" t="s">
        <v>489</v>
      </c>
      <c r="C24" s="46">
        <v>0</v>
      </c>
      <c r="D24" s="46">
        <v>201</v>
      </c>
      <c r="E24" s="46">
        <v>-1604256.12</v>
      </c>
      <c r="F24" s="21" t="s">
        <v>3</v>
      </c>
      <c r="G24" s="21" t="s">
        <v>517</v>
      </c>
      <c r="H24" s="21" t="s">
        <v>500</v>
      </c>
      <c r="I24" s="21" t="s">
        <v>990</v>
      </c>
      <c r="J24" s="21" t="s">
        <v>517</v>
      </c>
      <c r="K24" s="77">
        <v>246779410500</v>
      </c>
    </row>
    <row r="25" spans="1:11" hidden="1" x14ac:dyDescent="0.35">
      <c r="A25" s="21" t="s">
        <v>978</v>
      </c>
      <c r="B25" s="21" t="s">
        <v>489</v>
      </c>
      <c r="C25" s="46">
        <v>0</v>
      </c>
      <c r="D25" s="46">
        <v>1607</v>
      </c>
      <c r="E25" s="46">
        <v>-1605863.12</v>
      </c>
      <c r="F25" s="21" t="s">
        <v>3</v>
      </c>
      <c r="G25" s="21" t="s">
        <v>518</v>
      </c>
      <c r="H25" s="21" t="s">
        <v>500</v>
      </c>
      <c r="I25" s="21" t="s">
        <v>991</v>
      </c>
      <c r="J25" s="21" t="s">
        <v>518</v>
      </c>
      <c r="K25" s="77">
        <v>246779410501</v>
      </c>
    </row>
    <row r="26" spans="1:11" hidden="1" x14ac:dyDescent="0.35">
      <c r="A26" s="21" t="s">
        <v>978</v>
      </c>
      <c r="B26" s="21" t="s">
        <v>489</v>
      </c>
      <c r="C26" s="46">
        <v>0</v>
      </c>
      <c r="D26" s="46">
        <v>2009</v>
      </c>
      <c r="E26" s="46">
        <v>-1607872.12</v>
      </c>
      <c r="F26" s="21" t="s">
        <v>3</v>
      </c>
      <c r="G26" s="21" t="s">
        <v>519</v>
      </c>
      <c r="H26" s="21" t="s">
        <v>500</v>
      </c>
      <c r="I26" s="21" t="s">
        <v>992</v>
      </c>
      <c r="J26" s="21" t="s">
        <v>519</v>
      </c>
      <c r="K26" s="77">
        <v>246779410502</v>
      </c>
    </row>
    <row r="27" spans="1:11" hidden="1" x14ac:dyDescent="0.35">
      <c r="A27" s="21" t="s">
        <v>978</v>
      </c>
      <c r="B27" s="21" t="s">
        <v>489</v>
      </c>
      <c r="C27" s="46">
        <v>0</v>
      </c>
      <c r="D27" s="46">
        <v>2009</v>
      </c>
      <c r="E27" s="46">
        <v>-1609881.12</v>
      </c>
      <c r="F27" s="21" t="s">
        <v>3</v>
      </c>
      <c r="G27" s="21" t="s">
        <v>520</v>
      </c>
      <c r="H27" s="21" t="s">
        <v>500</v>
      </c>
      <c r="I27" s="21" t="s">
        <v>993</v>
      </c>
      <c r="J27" s="21" t="s">
        <v>520</v>
      </c>
      <c r="K27" s="77">
        <v>246779410503</v>
      </c>
    </row>
    <row r="28" spans="1:11" hidden="1" x14ac:dyDescent="0.35">
      <c r="A28" s="21" t="s">
        <v>978</v>
      </c>
      <c r="B28" s="21" t="s">
        <v>489</v>
      </c>
      <c r="C28" s="46">
        <v>0</v>
      </c>
      <c r="D28" s="46">
        <v>201</v>
      </c>
      <c r="E28" s="46">
        <v>-1610082.12</v>
      </c>
      <c r="F28" s="21" t="s">
        <v>3</v>
      </c>
      <c r="G28" s="21" t="s">
        <v>521</v>
      </c>
      <c r="H28" s="21" t="s">
        <v>500</v>
      </c>
      <c r="I28" s="21" t="s">
        <v>994</v>
      </c>
      <c r="J28" s="21" t="s">
        <v>521</v>
      </c>
      <c r="K28" s="77">
        <v>246779410504</v>
      </c>
    </row>
    <row r="29" spans="1:11" hidden="1" x14ac:dyDescent="0.35">
      <c r="A29" s="21" t="s">
        <v>978</v>
      </c>
      <c r="B29" s="21" t="s">
        <v>489</v>
      </c>
      <c r="C29" s="46">
        <v>0</v>
      </c>
      <c r="D29" s="46">
        <v>603</v>
      </c>
      <c r="E29" s="46">
        <v>-1610685.12</v>
      </c>
      <c r="F29" s="21" t="s">
        <v>3</v>
      </c>
      <c r="G29" s="21" t="s">
        <v>522</v>
      </c>
      <c r="H29" s="21" t="s">
        <v>500</v>
      </c>
      <c r="I29" s="21" t="s">
        <v>995</v>
      </c>
      <c r="J29" s="21" t="s">
        <v>522</v>
      </c>
      <c r="K29" s="77">
        <v>246779410505</v>
      </c>
    </row>
    <row r="30" spans="1:11" hidden="1" x14ac:dyDescent="0.35">
      <c r="A30" s="21" t="s">
        <v>978</v>
      </c>
      <c r="B30" s="21" t="s">
        <v>489</v>
      </c>
      <c r="C30" s="46">
        <v>0</v>
      </c>
      <c r="D30" s="46">
        <v>402</v>
      </c>
      <c r="E30" s="46">
        <v>-1611087.12</v>
      </c>
      <c r="F30" s="21" t="s">
        <v>3</v>
      </c>
      <c r="G30" s="21" t="s">
        <v>523</v>
      </c>
      <c r="H30" s="21" t="s">
        <v>500</v>
      </c>
      <c r="I30" s="21" t="s">
        <v>996</v>
      </c>
      <c r="J30" s="21" t="s">
        <v>523</v>
      </c>
      <c r="K30" s="77">
        <v>246779410506</v>
      </c>
    </row>
    <row r="31" spans="1:11" hidden="1" x14ac:dyDescent="0.35">
      <c r="A31" s="21" t="s">
        <v>978</v>
      </c>
      <c r="B31" s="21" t="s">
        <v>489</v>
      </c>
      <c r="C31" s="46">
        <v>0</v>
      </c>
      <c r="D31" s="46">
        <v>402</v>
      </c>
      <c r="E31" s="46">
        <v>-1611489.12</v>
      </c>
      <c r="F31" s="21" t="s">
        <v>3</v>
      </c>
      <c r="G31" s="21" t="s">
        <v>524</v>
      </c>
      <c r="H31" s="21" t="s">
        <v>500</v>
      </c>
      <c r="I31" s="21" t="s">
        <v>997</v>
      </c>
      <c r="J31" s="21" t="s">
        <v>524</v>
      </c>
      <c r="K31" s="77">
        <v>246779410507</v>
      </c>
    </row>
    <row r="32" spans="1:11" hidden="1" x14ac:dyDescent="0.35">
      <c r="A32" s="21" t="s">
        <v>978</v>
      </c>
      <c r="B32" s="21" t="s">
        <v>489</v>
      </c>
      <c r="C32" s="46">
        <v>0</v>
      </c>
      <c r="D32" s="46">
        <v>201</v>
      </c>
      <c r="E32" s="46">
        <v>-1611690.12</v>
      </c>
      <c r="F32" s="21" t="s">
        <v>3</v>
      </c>
      <c r="G32" s="21" t="s">
        <v>525</v>
      </c>
      <c r="H32" s="21" t="s">
        <v>500</v>
      </c>
      <c r="I32" s="21" t="s">
        <v>998</v>
      </c>
      <c r="J32" s="21" t="s">
        <v>525</v>
      </c>
      <c r="K32" s="77">
        <v>246779410508</v>
      </c>
    </row>
    <row r="33" spans="1:11" hidden="1" x14ac:dyDescent="0.35">
      <c r="A33" s="21" t="s">
        <v>999</v>
      </c>
      <c r="B33" s="21" t="s">
        <v>489</v>
      </c>
      <c r="C33" s="46">
        <v>0</v>
      </c>
      <c r="D33" s="46">
        <v>403</v>
      </c>
      <c r="E33" s="46">
        <v>-1612093.12</v>
      </c>
      <c r="F33" s="21" t="s">
        <v>3</v>
      </c>
      <c r="G33" s="21" t="s">
        <v>526</v>
      </c>
      <c r="H33" s="21" t="s">
        <v>500</v>
      </c>
      <c r="I33" s="21" t="s">
        <v>1000</v>
      </c>
      <c r="J33" s="21" t="s">
        <v>526</v>
      </c>
      <c r="K33" s="77">
        <v>246779410843</v>
      </c>
    </row>
    <row r="34" spans="1:11" hidden="1" x14ac:dyDescent="0.35">
      <c r="A34" s="21" t="s">
        <v>999</v>
      </c>
      <c r="B34" s="21" t="s">
        <v>489</v>
      </c>
      <c r="C34" s="46">
        <v>0</v>
      </c>
      <c r="D34" s="46">
        <v>805</v>
      </c>
      <c r="E34" s="46">
        <v>-1612898.12</v>
      </c>
      <c r="F34" s="21" t="s">
        <v>3</v>
      </c>
      <c r="G34" s="21" t="s">
        <v>527</v>
      </c>
      <c r="H34" s="21" t="s">
        <v>500</v>
      </c>
      <c r="I34" s="21" t="s">
        <v>1001</v>
      </c>
      <c r="J34" s="21" t="s">
        <v>527</v>
      </c>
      <c r="K34" s="77">
        <v>246779410686</v>
      </c>
    </row>
    <row r="35" spans="1:11" hidden="1" x14ac:dyDescent="0.35">
      <c r="A35" s="21" t="s">
        <v>999</v>
      </c>
      <c r="B35" s="21" t="s">
        <v>489</v>
      </c>
      <c r="C35" s="46">
        <v>0</v>
      </c>
      <c r="D35" s="46">
        <v>201</v>
      </c>
      <c r="E35" s="46">
        <v>-1613099.12</v>
      </c>
      <c r="F35" s="21" t="s">
        <v>3</v>
      </c>
      <c r="G35" s="21" t="s">
        <v>528</v>
      </c>
      <c r="H35" s="21" t="s">
        <v>500</v>
      </c>
      <c r="I35" s="21" t="s">
        <v>1002</v>
      </c>
      <c r="J35" s="21" t="s">
        <v>528</v>
      </c>
      <c r="K35" s="77">
        <v>246779410683</v>
      </c>
    </row>
    <row r="36" spans="1:11" hidden="1" x14ac:dyDescent="0.35">
      <c r="A36" s="21" t="s">
        <v>999</v>
      </c>
      <c r="B36" s="21" t="s">
        <v>489</v>
      </c>
      <c r="C36" s="46">
        <v>0</v>
      </c>
      <c r="D36" s="46">
        <v>604</v>
      </c>
      <c r="E36" s="46">
        <v>-1613703.12</v>
      </c>
      <c r="F36" s="21" t="s">
        <v>3</v>
      </c>
      <c r="G36" s="21" t="s">
        <v>529</v>
      </c>
      <c r="H36" s="21" t="s">
        <v>500</v>
      </c>
      <c r="I36" s="21" t="s">
        <v>1003</v>
      </c>
      <c r="J36" s="21" t="s">
        <v>529</v>
      </c>
      <c r="K36" s="77">
        <v>246779410759</v>
      </c>
    </row>
    <row r="37" spans="1:11" hidden="1" x14ac:dyDescent="0.35">
      <c r="A37" s="21" t="s">
        <v>999</v>
      </c>
      <c r="B37" s="21" t="s">
        <v>489</v>
      </c>
      <c r="C37" s="46">
        <v>0</v>
      </c>
      <c r="D37" s="46">
        <v>1006</v>
      </c>
      <c r="E37" s="46">
        <v>-1614709.12</v>
      </c>
      <c r="F37" s="21" t="s">
        <v>3</v>
      </c>
      <c r="G37" s="21" t="s">
        <v>530</v>
      </c>
      <c r="H37" s="21" t="s">
        <v>500</v>
      </c>
      <c r="I37" s="21" t="s">
        <v>1004</v>
      </c>
      <c r="J37" s="21" t="s">
        <v>530</v>
      </c>
      <c r="K37" s="77">
        <v>246779410760</v>
      </c>
    </row>
    <row r="38" spans="1:11" hidden="1" x14ac:dyDescent="0.35">
      <c r="A38" s="21" t="s">
        <v>999</v>
      </c>
      <c r="B38" s="21" t="s">
        <v>489</v>
      </c>
      <c r="C38" s="46">
        <v>0</v>
      </c>
      <c r="D38" s="46">
        <v>1207</v>
      </c>
      <c r="E38" s="46">
        <v>-1615916.12</v>
      </c>
      <c r="F38" s="21" t="s">
        <v>3</v>
      </c>
      <c r="G38" s="21" t="s">
        <v>531</v>
      </c>
      <c r="H38" s="21" t="s">
        <v>500</v>
      </c>
      <c r="I38" s="21"/>
      <c r="J38" s="21" t="s">
        <v>531</v>
      </c>
      <c r="K38" s="77">
        <v>246779410761</v>
      </c>
    </row>
    <row r="39" spans="1:11" hidden="1" x14ac:dyDescent="0.35">
      <c r="A39" s="21" t="s">
        <v>999</v>
      </c>
      <c r="B39" s="21" t="s">
        <v>489</v>
      </c>
      <c r="C39" s="46">
        <v>0</v>
      </c>
      <c r="D39" s="46">
        <v>201</v>
      </c>
      <c r="E39" s="46">
        <v>-1616117.12</v>
      </c>
      <c r="F39" s="21" t="s">
        <v>3</v>
      </c>
      <c r="G39" s="21" t="s">
        <v>532</v>
      </c>
      <c r="H39" s="21" t="s">
        <v>500</v>
      </c>
      <c r="I39" s="21" t="s">
        <v>1005</v>
      </c>
      <c r="J39" s="21" t="s">
        <v>532</v>
      </c>
      <c r="K39" s="77">
        <v>246779410763</v>
      </c>
    </row>
    <row r="40" spans="1:11" hidden="1" x14ac:dyDescent="0.35">
      <c r="A40" s="21" t="s">
        <v>999</v>
      </c>
      <c r="B40" s="21" t="s">
        <v>489</v>
      </c>
      <c r="C40" s="46">
        <v>0</v>
      </c>
      <c r="D40" s="46">
        <v>403</v>
      </c>
      <c r="E40" s="46">
        <v>-1616520.12</v>
      </c>
      <c r="F40" s="21" t="s">
        <v>3</v>
      </c>
      <c r="G40" s="21" t="s">
        <v>533</v>
      </c>
      <c r="H40" s="21" t="s">
        <v>500</v>
      </c>
      <c r="I40" s="21" t="s">
        <v>979</v>
      </c>
      <c r="J40" s="21" t="s">
        <v>533</v>
      </c>
      <c r="K40" s="77">
        <v>246779410762</v>
      </c>
    </row>
    <row r="41" spans="1:11" hidden="1" x14ac:dyDescent="0.35">
      <c r="A41" s="21" t="s">
        <v>999</v>
      </c>
      <c r="B41" s="21" t="s">
        <v>489</v>
      </c>
      <c r="C41" s="46">
        <v>0</v>
      </c>
      <c r="D41" s="46">
        <v>403</v>
      </c>
      <c r="E41" s="46">
        <v>-1616923.12</v>
      </c>
      <c r="F41" s="21" t="s">
        <v>3</v>
      </c>
      <c r="G41" s="21" t="s">
        <v>534</v>
      </c>
      <c r="H41" s="21" t="s">
        <v>500</v>
      </c>
      <c r="I41" s="21" t="s">
        <v>1006</v>
      </c>
      <c r="J41" s="21" t="s">
        <v>534</v>
      </c>
      <c r="K41" s="77">
        <v>246779410757</v>
      </c>
    </row>
    <row r="42" spans="1:11" hidden="1" x14ac:dyDescent="0.35">
      <c r="A42" s="21" t="s">
        <v>999</v>
      </c>
      <c r="B42" s="21" t="s">
        <v>489</v>
      </c>
      <c r="C42" s="46">
        <v>0</v>
      </c>
      <c r="D42" s="46">
        <v>201</v>
      </c>
      <c r="E42" s="46">
        <v>-1617124.12</v>
      </c>
      <c r="F42" s="21" t="s">
        <v>3</v>
      </c>
      <c r="G42" s="21" t="s">
        <v>535</v>
      </c>
      <c r="H42" s="21" t="s">
        <v>500</v>
      </c>
      <c r="I42" s="21" t="s">
        <v>1007</v>
      </c>
      <c r="J42" s="21" t="s">
        <v>535</v>
      </c>
      <c r="K42" s="77">
        <v>246779410765</v>
      </c>
    </row>
    <row r="43" spans="1:11" hidden="1" x14ac:dyDescent="0.35">
      <c r="A43" s="21" t="s">
        <v>999</v>
      </c>
      <c r="B43" s="21" t="s">
        <v>489</v>
      </c>
      <c r="C43" s="46">
        <v>0</v>
      </c>
      <c r="D43" s="46">
        <v>201</v>
      </c>
      <c r="E43" s="46">
        <v>-1617325.12</v>
      </c>
      <c r="F43" s="21" t="s">
        <v>3</v>
      </c>
      <c r="G43" s="21" t="s">
        <v>536</v>
      </c>
      <c r="H43" s="21" t="s">
        <v>500</v>
      </c>
      <c r="I43" s="21" t="s">
        <v>1008</v>
      </c>
      <c r="J43" s="21" t="s">
        <v>536</v>
      </c>
      <c r="K43" s="77">
        <v>246779410764</v>
      </c>
    </row>
    <row r="44" spans="1:11" hidden="1" x14ac:dyDescent="0.35">
      <c r="A44" s="21" t="s">
        <v>999</v>
      </c>
      <c r="B44" s="21" t="s">
        <v>489</v>
      </c>
      <c r="C44" s="46">
        <v>0</v>
      </c>
      <c r="D44" s="46">
        <v>403</v>
      </c>
      <c r="E44" s="46">
        <v>-1617728.12</v>
      </c>
      <c r="F44" s="21" t="s">
        <v>3</v>
      </c>
      <c r="G44" s="21" t="s">
        <v>537</v>
      </c>
      <c r="H44" s="21" t="s">
        <v>500</v>
      </c>
      <c r="I44" s="21" t="s">
        <v>1009</v>
      </c>
      <c r="J44" s="21" t="s">
        <v>537</v>
      </c>
      <c r="K44" s="77">
        <v>246779410766</v>
      </c>
    </row>
    <row r="45" spans="1:11" hidden="1" x14ac:dyDescent="0.35">
      <c r="A45" s="21" t="s">
        <v>999</v>
      </c>
      <c r="B45" s="21" t="s">
        <v>489</v>
      </c>
      <c r="C45" s="46">
        <v>0</v>
      </c>
      <c r="D45" s="46">
        <v>403</v>
      </c>
      <c r="E45" s="46">
        <v>-1618131.12</v>
      </c>
      <c r="F45" s="21" t="s">
        <v>3</v>
      </c>
      <c r="G45" s="21" t="s">
        <v>538</v>
      </c>
      <c r="H45" s="21" t="s">
        <v>500</v>
      </c>
      <c r="I45" s="21" t="s">
        <v>1010</v>
      </c>
      <c r="J45" s="21" t="s">
        <v>538</v>
      </c>
      <c r="K45" s="77">
        <v>246779410756</v>
      </c>
    </row>
    <row r="46" spans="1:11" hidden="1" x14ac:dyDescent="0.35">
      <c r="A46" s="21" t="s">
        <v>999</v>
      </c>
      <c r="B46" s="21" t="s">
        <v>489</v>
      </c>
      <c r="C46" s="46">
        <v>0</v>
      </c>
      <c r="D46" s="46">
        <v>3219</v>
      </c>
      <c r="E46" s="46">
        <v>-1621350.12</v>
      </c>
      <c r="F46" s="21" t="s">
        <v>3</v>
      </c>
      <c r="G46" s="21" t="s">
        <v>539</v>
      </c>
      <c r="H46" s="21" t="s">
        <v>500</v>
      </c>
      <c r="I46" s="21" t="s">
        <v>1011</v>
      </c>
      <c r="J46" s="21" t="s">
        <v>539</v>
      </c>
      <c r="K46" s="77">
        <v>246779410758</v>
      </c>
    </row>
    <row r="47" spans="1:11" hidden="1" x14ac:dyDescent="0.35">
      <c r="A47" s="21" t="s">
        <v>999</v>
      </c>
      <c r="B47" s="21" t="s">
        <v>489</v>
      </c>
      <c r="C47" s="46">
        <v>0</v>
      </c>
      <c r="D47" s="46">
        <v>403</v>
      </c>
      <c r="E47" s="46">
        <v>-1621753.12</v>
      </c>
      <c r="F47" s="21" t="s">
        <v>3</v>
      </c>
      <c r="G47" s="21" t="s">
        <v>540</v>
      </c>
      <c r="H47" s="21" t="s">
        <v>500</v>
      </c>
      <c r="I47" s="21" t="s">
        <v>1012</v>
      </c>
      <c r="J47" s="21" t="s">
        <v>540</v>
      </c>
      <c r="K47" s="77">
        <v>246779410689</v>
      </c>
    </row>
    <row r="48" spans="1:11" hidden="1" x14ac:dyDescent="0.35">
      <c r="A48" s="21" t="s">
        <v>999</v>
      </c>
      <c r="B48" s="21" t="s">
        <v>489</v>
      </c>
      <c r="C48" s="46">
        <v>0</v>
      </c>
      <c r="D48" s="46">
        <v>805</v>
      </c>
      <c r="E48" s="46">
        <v>-1622558.12</v>
      </c>
      <c r="F48" s="21" t="s">
        <v>3</v>
      </c>
      <c r="G48" s="21" t="s">
        <v>541</v>
      </c>
      <c r="H48" s="21" t="s">
        <v>500</v>
      </c>
      <c r="I48" s="21" t="s">
        <v>1013</v>
      </c>
      <c r="J48" s="21" t="s">
        <v>541</v>
      </c>
      <c r="K48" s="77">
        <v>246779410693</v>
      </c>
    </row>
    <row r="49" spans="1:11" hidden="1" x14ac:dyDescent="0.35">
      <c r="A49" s="21" t="s">
        <v>999</v>
      </c>
      <c r="B49" s="21" t="s">
        <v>489</v>
      </c>
      <c r="C49" s="46">
        <v>0</v>
      </c>
      <c r="D49" s="46">
        <v>604</v>
      </c>
      <c r="E49" s="46">
        <v>-1623162.12</v>
      </c>
      <c r="F49" s="21" t="s">
        <v>3</v>
      </c>
      <c r="G49" s="21" t="s">
        <v>542</v>
      </c>
      <c r="H49" s="21" t="s">
        <v>500</v>
      </c>
      <c r="I49" s="21" t="s">
        <v>1004</v>
      </c>
      <c r="J49" s="21" t="s">
        <v>542</v>
      </c>
      <c r="K49" s="77">
        <v>246779410691</v>
      </c>
    </row>
    <row r="50" spans="1:11" hidden="1" x14ac:dyDescent="0.35">
      <c r="A50" s="21" t="s">
        <v>999</v>
      </c>
      <c r="B50" s="21" t="s">
        <v>489</v>
      </c>
      <c r="C50" s="46">
        <v>0</v>
      </c>
      <c r="D50" s="46">
        <v>604</v>
      </c>
      <c r="E50" s="46">
        <v>-1623766.12</v>
      </c>
      <c r="F50" s="21" t="s">
        <v>3</v>
      </c>
      <c r="G50" s="21" t="s">
        <v>543</v>
      </c>
      <c r="H50" s="21" t="s">
        <v>500</v>
      </c>
      <c r="I50" s="21"/>
      <c r="J50" s="21" t="s">
        <v>543</v>
      </c>
      <c r="K50" s="77">
        <v>246779410684</v>
      </c>
    </row>
    <row r="51" spans="1:11" hidden="1" x14ac:dyDescent="0.35">
      <c r="A51" s="21" t="s">
        <v>999</v>
      </c>
      <c r="B51" s="21" t="s">
        <v>489</v>
      </c>
      <c r="C51" s="46">
        <v>0</v>
      </c>
      <c r="D51" s="46">
        <v>201</v>
      </c>
      <c r="E51" s="46">
        <v>-1623967.12</v>
      </c>
      <c r="F51" s="21" t="s">
        <v>3</v>
      </c>
      <c r="G51" s="21" t="s">
        <v>544</v>
      </c>
      <c r="H51" s="21" t="s">
        <v>500</v>
      </c>
      <c r="I51" s="21" t="s">
        <v>1014</v>
      </c>
      <c r="J51" s="21" t="s">
        <v>544</v>
      </c>
      <c r="K51" s="77">
        <v>246779410685</v>
      </c>
    </row>
    <row r="52" spans="1:11" hidden="1" x14ac:dyDescent="0.35">
      <c r="A52" s="21" t="s">
        <v>999</v>
      </c>
      <c r="B52" s="21" t="s">
        <v>489</v>
      </c>
      <c r="C52" s="46">
        <v>0</v>
      </c>
      <c r="D52" s="46">
        <v>3622</v>
      </c>
      <c r="E52" s="46">
        <v>-1627589.12</v>
      </c>
      <c r="F52" s="21" t="s">
        <v>3</v>
      </c>
      <c r="G52" s="21" t="s">
        <v>545</v>
      </c>
      <c r="H52" s="21" t="s">
        <v>500</v>
      </c>
      <c r="I52" s="21" t="s">
        <v>1015</v>
      </c>
      <c r="J52" s="21" t="s">
        <v>545</v>
      </c>
      <c r="K52" s="77">
        <v>246779410690</v>
      </c>
    </row>
    <row r="53" spans="1:11" hidden="1" x14ac:dyDescent="0.35">
      <c r="A53" s="21" t="s">
        <v>999</v>
      </c>
      <c r="B53" s="21" t="s">
        <v>489</v>
      </c>
      <c r="C53" s="46">
        <v>0</v>
      </c>
      <c r="D53" s="46">
        <v>1207</v>
      </c>
      <c r="E53" s="46">
        <v>-1628796.12</v>
      </c>
      <c r="F53" s="21" t="s">
        <v>3</v>
      </c>
      <c r="G53" s="21" t="s">
        <v>546</v>
      </c>
      <c r="H53" s="21" t="s">
        <v>500</v>
      </c>
      <c r="I53" s="21" t="s">
        <v>1016</v>
      </c>
      <c r="J53" s="21" t="s">
        <v>546</v>
      </c>
      <c r="K53" s="77">
        <v>246779410680</v>
      </c>
    </row>
    <row r="54" spans="1:11" hidden="1" x14ac:dyDescent="0.35">
      <c r="A54" s="21" t="s">
        <v>999</v>
      </c>
      <c r="B54" s="21" t="s">
        <v>489</v>
      </c>
      <c r="C54" s="46">
        <v>0</v>
      </c>
      <c r="D54" s="46">
        <v>201</v>
      </c>
      <c r="E54" s="46">
        <v>-1628997.12</v>
      </c>
      <c r="F54" s="21" t="s">
        <v>3</v>
      </c>
      <c r="G54" s="21" t="s">
        <v>547</v>
      </c>
      <c r="H54" s="21" t="s">
        <v>500</v>
      </c>
      <c r="I54" s="21" t="s">
        <v>1017</v>
      </c>
      <c r="J54" s="21" t="s">
        <v>547</v>
      </c>
      <c r="K54" s="77">
        <v>246779410681</v>
      </c>
    </row>
    <row r="55" spans="1:11" hidden="1" x14ac:dyDescent="0.35">
      <c r="A55" s="21" t="s">
        <v>999</v>
      </c>
      <c r="B55" s="21" t="s">
        <v>489</v>
      </c>
      <c r="C55" s="46">
        <v>0</v>
      </c>
      <c r="D55" s="46">
        <v>201</v>
      </c>
      <c r="E55" s="46">
        <v>-1629198.12</v>
      </c>
      <c r="F55" s="21" t="s">
        <v>3</v>
      </c>
      <c r="G55" s="21" t="s">
        <v>548</v>
      </c>
      <c r="H55" s="21" t="s">
        <v>500</v>
      </c>
      <c r="I55" s="21" t="s">
        <v>1018</v>
      </c>
      <c r="J55" s="21" t="s">
        <v>548</v>
      </c>
      <c r="K55" s="77">
        <v>246779410682</v>
      </c>
    </row>
    <row r="56" spans="1:11" hidden="1" x14ac:dyDescent="0.35">
      <c r="A56" s="21" t="s">
        <v>999</v>
      </c>
      <c r="B56" s="21" t="s">
        <v>489</v>
      </c>
      <c r="C56" s="46">
        <v>0</v>
      </c>
      <c r="D56" s="46">
        <v>201</v>
      </c>
      <c r="E56" s="46">
        <v>-1629399.12</v>
      </c>
      <c r="F56" s="21" t="s">
        <v>3</v>
      </c>
      <c r="G56" s="21" t="s">
        <v>549</v>
      </c>
      <c r="H56" s="21" t="s">
        <v>500</v>
      </c>
      <c r="I56" s="21" t="s">
        <v>1019</v>
      </c>
      <c r="J56" s="21" t="s">
        <v>549</v>
      </c>
      <c r="K56" s="77">
        <v>246779410678</v>
      </c>
    </row>
    <row r="57" spans="1:11" hidden="1" x14ac:dyDescent="0.35">
      <c r="A57" s="21" t="s">
        <v>999</v>
      </c>
      <c r="B57" s="21" t="s">
        <v>489</v>
      </c>
      <c r="C57" s="46">
        <v>0</v>
      </c>
      <c r="D57" s="46">
        <v>805</v>
      </c>
      <c r="E57" s="46">
        <v>-1630204.12</v>
      </c>
      <c r="F57" s="21" t="s">
        <v>3</v>
      </c>
      <c r="G57" s="21" t="s">
        <v>550</v>
      </c>
      <c r="H57" s="21" t="s">
        <v>500</v>
      </c>
      <c r="I57" s="21" t="s">
        <v>1020</v>
      </c>
      <c r="J57" s="21" t="s">
        <v>550</v>
      </c>
      <c r="K57" s="77">
        <v>246779410845</v>
      </c>
    </row>
    <row r="58" spans="1:11" hidden="1" x14ac:dyDescent="0.35">
      <c r="A58" s="21" t="s">
        <v>999</v>
      </c>
      <c r="B58" s="21" t="s">
        <v>489</v>
      </c>
      <c r="C58" s="46">
        <v>0</v>
      </c>
      <c r="D58" s="46">
        <v>604</v>
      </c>
      <c r="E58" s="46">
        <v>-1630808.12</v>
      </c>
      <c r="F58" s="21" t="s">
        <v>3</v>
      </c>
      <c r="G58" s="21" t="s">
        <v>551</v>
      </c>
      <c r="H58" s="21" t="s">
        <v>500</v>
      </c>
      <c r="I58" s="21" t="s">
        <v>1021</v>
      </c>
      <c r="J58" s="21" t="s">
        <v>551</v>
      </c>
      <c r="K58" s="77">
        <v>246779410841</v>
      </c>
    </row>
    <row r="59" spans="1:11" hidden="1" x14ac:dyDescent="0.35">
      <c r="A59" s="21" t="s">
        <v>999</v>
      </c>
      <c r="B59" s="21" t="s">
        <v>489</v>
      </c>
      <c r="C59" s="46">
        <v>0</v>
      </c>
      <c r="D59" s="46">
        <v>403</v>
      </c>
      <c r="E59" s="46">
        <v>-1631211.12</v>
      </c>
      <c r="F59" s="21" t="s">
        <v>3</v>
      </c>
      <c r="G59" s="21" t="s">
        <v>552</v>
      </c>
      <c r="H59" s="21" t="s">
        <v>500</v>
      </c>
      <c r="I59" s="21" t="s">
        <v>1022</v>
      </c>
      <c r="J59" s="21" t="s">
        <v>552</v>
      </c>
      <c r="K59" s="77">
        <v>246779410844</v>
      </c>
    </row>
    <row r="60" spans="1:11" hidden="1" x14ac:dyDescent="0.35">
      <c r="A60" s="21" t="s">
        <v>999</v>
      </c>
      <c r="B60" s="21" t="s">
        <v>489</v>
      </c>
      <c r="C60" s="46">
        <v>0</v>
      </c>
      <c r="D60" s="46">
        <v>403</v>
      </c>
      <c r="E60" s="46">
        <v>-1631614.12</v>
      </c>
      <c r="F60" s="21" t="s">
        <v>3</v>
      </c>
      <c r="G60" s="21" t="s">
        <v>553</v>
      </c>
      <c r="H60" s="21" t="s">
        <v>500</v>
      </c>
      <c r="I60" s="21" t="s">
        <v>1023</v>
      </c>
      <c r="J60" s="21" t="s">
        <v>553</v>
      </c>
      <c r="K60" s="77">
        <v>246779410842</v>
      </c>
    </row>
    <row r="61" spans="1:11" hidden="1" x14ac:dyDescent="0.35">
      <c r="A61" s="21" t="s">
        <v>999</v>
      </c>
      <c r="B61" s="21" t="s">
        <v>489</v>
      </c>
      <c r="C61" s="46">
        <v>0</v>
      </c>
      <c r="D61" s="46">
        <v>805</v>
      </c>
      <c r="E61" s="46">
        <v>-1632419.12</v>
      </c>
      <c r="F61" s="21" t="s">
        <v>3</v>
      </c>
      <c r="G61" s="21" t="s">
        <v>554</v>
      </c>
      <c r="H61" s="21" t="s">
        <v>500</v>
      </c>
      <c r="I61" s="21" t="s">
        <v>1024</v>
      </c>
      <c r="J61" s="21" t="s">
        <v>554</v>
      </c>
      <c r="K61" s="77">
        <v>246779410692</v>
      </c>
    </row>
    <row r="62" spans="1:11" hidden="1" x14ac:dyDescent="0.35">
      <c r="A62" s="21" t="s">
        <v>999</v>
      </c>
      <c r="B62" s="21" t="s">
        <v>489</v>
      </c>
      <c r="C62" s="46">
        <v>0</v>
      </c>
      <c r="D62" s="46">
        <v>201</v>
      </c>
      <c r="E62" s="46">
        <v>-1632620.12</v>
      </c>
      <c r="F62" s="21" t="s">
        <v>3</v>
      </c>
      <c r="G62" s="21" t="s">
        <v>555</v>
      </c>
      <c r="H62" s="21" t="s">
        <v>500</v>
      </c>
      <c r="I62" s="21" t="s">
        <v>1025</v>
      </c>
      <c r="J62" s="21" t="s">
        <v>555</v>
      </c>
      <c r="K62" s="77">
        <v>246779410679</v>
      </c>
    </row>
    <row r="63" spans="1:11" hidden="1" x14ac:dyDescent="0.35">
      <c r="A63" s="21" t="s">
        <v>1026</v>
      </c>
      <c r="B63" s="21" t="s">
        <v>489</v>
      </c>
      <c r="C63" s="46">
        <v>0</v>
      </c>
      <c r="D63" s="46">
        <v>2406</v>
      </c>
      <c r="E63" s="46">
        <v>-1635026.12</v>
      </c>
      <c r="F63" s="21" t="s">
        <v>3</v>
      </c>
      <c r="G63" s="21" t="s">
        <v>556</v>
      </c>
      <c r="H63" s="21" t="s">
        <v>557</v>
      </c>
      <c r="I63" s="21" t="s">
        <v>1027</v>
      </c>
      <c r="J63" s="21" t="s">
        <v>556</v>
      </c>
      <c r="K63" s="77">
        <v>246779411128</v>
      </c>
    </row>
    <row r="64" spans="1:11" hidden="1" x14ac:dyDescent="0.35">
      <c r="A64" s="21" t="s">
        <v>1026</v>
      </c>
      <c r="B64" s="21" t="s">
        <v>489</v>
      </c>
      <c r="C64" s="46">
        <v>0</v>
      </c>
      <c r="D64" s="46">
        <v>1882</v>
      </c>
      <c r="E64" s="46">
        <v>-1636908.12</v>
      </c>
      <c r="F64" s="21" t="s">
        <v>3</v>
      </c>
      <c r="G64" s="21" t="s">
        <v>558</v>
      </c>
      <c r="H64" s="21" t="s">
        <v>559</v>
      </c>
      <c r="I64" s="21" t="s">
        <v>1028</v>
      </c>
      <c r="J64" s="21" t="s">
        <v>558</v>
      </c>
      <c r="K64" s="77">
        <v>246779410970</v>
      </c>
    </row>
    <row r="65" spans="1:11" hidden="1" x14ac:dyDescent="0.35">
      <c r="A65" s="21" t="s">
        <v>1026</v>
      </c>
      <c r="B65" s="21" t="s">
        <v>489</v>
      </c>
      <c r="C65" s="46">
        <v>0</v>
      </c>
      <c r="D65" s="46">
        <v>36538</v>
      </c>
      <c r="E65" s="46">
        <v>-1673446.12</v>
      </c>
      <c r="F65" s="21" t="s">
        <v>3</v>
      </c>
      <c r="G65" s="21" t="s">
        <v>560</v>
      </c>
      <c r="H65" s="21" t="s">
        <v>561</v>
      </c>
      <c r="I65" s="21" t="s">
        <v>1029</v>
      </c>
      <c r="J65" s="21" t="s">
        <v>560</v>
      </c>
      <c r="K65" s="77">
        <v>246779410971</v>
      </c>
    </row>
    <row r="66" spans="1:11" hidden="1" x14ac:dyDescent="0.35">
      <c r="A66" s="21" t="s">
        <v>1026</v>
      </c>
      <c r="B66" s="21" t="s">
        <v>489</v>
      </c>
      <c r="C66" s="46">
        <v>0</v>
      </c>
      <c r="D66" s="46">
        <v>401</v>
      </c>
      <c r="E66" s="46">
        <v>-1673847.12</v>
      </c>
      <c r="F66" s="21" t="s">
        <v>3</v>
      </c>
      <c r="G66" s="21" t="s">
        <v>562</v>
      </c>
      <c r="H66" s="21" t="s">
        <v>557</v>
      </c>
      <c r="I66" s="21" t="s">
        <v>1030</v>
      </c>
      <c r="J66" s="21" t="s">
        <v>562</v>
      </c>
      <c r="K66" s="77">
        <v>246779410974</v>
      </c>
    </row>
    <row r="67" spans="1:11" hidden="1" x14ac:dyDescent="0.35">
      <c r="A67" s="21" t="s">
        <v>1026</v>
      </c>
      <c r="B67" s="21" t="s">
        <v>489</v>
      </c>
      <c r="C67" s="46">
        <v>0</v>
      </c>
      <c r="D67" s="46">
        <v>1481</v>
      </c>
      <c r="E67" s="46">
        <v>-1675328.12</v>
      </c>
      <c r="F67" s="21" t="s">
        <v>3</v>
      </c>
      <c r="G67" s="21" t="s">
        <v>563</v>
      </c>
      <c r="H67" s="21" t="s">
        <v>559</v>
      </c>
      <c r="I67" s="21" t="s">
        <v>1021</v>
      </c>
      <c r="J67" s="21" t="s">
        <v>563</v>
      </c>
      <c r="K67" s="77">
        <v>246779410972</v>
      </c>
    </row>
    <row r="68" spans="1:11" hidden="1" x14ac:dyDescent="0.35">
      <c r="A68" s="21" t="s">
        <v>1026</v>
      </c>
      <c r="B68" s="21" t="s">
        <v>489</v>
      </c>
      <c r="C68" s="46">
        <v>0</v>
      </c>
      <c r="D68" s="46">
        <v>2884</v>
      </c>
      <c r="E68" s="46">
        <v>-1678212.12</v>
      </c>
      <c r="F68" s="21" t="s">
        <v>3</v>
      </c>
      <c r="G68" s="21" t="s">
        <v>564</v>
      </c>
      <c r="H68" s="21" t="s">
        <v>559</v>
      </c>
      <c r="I68" s="21" t="s">
        <v>1031</v>
      </c>
      <c r="J68" s="21" t="s">
        <v>564</v>
      </c>
      <c r="K68" s="77">
        <v>246779410973</v>
      </c>
    </row>
    <row r="69" spans="1:11" hidden="1" x14ac:dyDescent="0.35">
      <c r="A69" s="21" t="s">
        <v>1026</v>
      </c>
      <c r="B69" s="21" t="s">
        <v>489</v>
      </c>
      <c r="C69" s="46">
        <v>0</v>
      </c>
      <c r="D69" s="46">
        <v>357094</v>
      </c>
      <c r="E69" s="46">
        <v>-2035306.12</v>
      </c>
      <c r="F69" s="21" t="s">
        <v>3</v>
      </c>
      <c r="G69" s="21" t="s">
        <v>565</v>
      </c>
      <c r="H69" s="21" t="s">
        <v>507</v>
      </c>
      <c r="I69" s="21"/>
      <c r="J69" s="21" t="s">
        <v>565</v>
      </c>
      <c r="K69" s="77">
        <v>246779410896</v>
      </c>
    </row>
    <row r="70" spans="1:11" hidden="1" x14ac:dyDescent="0.35">
      <c r="A70" s="21" t="s">
        <v>1026</v>
      </c>
      <c r="B70" s="21" t="s">
        <v>489</v>
      </c>
      <c r="C70" s="46">
        <v>0</v>
      </c>
      <c r="D70" s="46">
        <v>241385</v>
      </c>
      <c r="E70" s="46">
        <v>-2276691.12</v>
      </c>
      <c r="F70" s="21" t="s">
        <v>3</v>
      </c>
      <c r="G70" s="21" t="s">
        <v>566</v>
      </c>
      <c r="H70" s="21" t="s">
        <v>507</v>
      </c>
      <c r="I70" s="21"/>
      <c r="J70" s="21" t="s">
        <v>566</v>
      </c>
      <c r="K70" s="77">
        <v>246779410874</v>
      </c>
    </row>
    <row r="71" spans="1:11" hidden="1" x14ac:dyDescent="0.35">
      <c r="A71" s="21" t="s">
        <v>1026</v>
      </c>
      <c r="B71" s="21" t="s">
        <v>489</v>
      </c>
      <c r="C71" s="46">
        <v>0</v>
      </c>
      <c r="D71" s="46">
        <v>2004</v>
      </c>
      <c r="E71" s="46">
        <v>-2278695.12</v>
      </c>
      <c r="F71" s="21" t="s">
        <v>3</v>
      </c>
      <c r="G71" s="21" t="s">
        <v>567</v>
      </c>
      <c r="H71" s="21" t="s">
        <v>557</v>
      </c>
      <c r="I71" s="21" t="s">
        <v>1032</v>
      </c>
      <c r="J71" s="21" t="s">
        <v>567</v>
      </c>
      <c r="K71" s="77">
        <v>246779411189</v>
      </c>
    </row>
    <row r="72" spans="1:11" hidden="1" x14ac:dyDescent="0.35">
      <c r="A72" s="21" t="s">
        <v>1026</v>
      </c>
      <c r="B72" s="21" t="s">
        <v>489</v>
      </c>
      <c r="C72" s="46">
        <v>0</v>
      </c>
      <c r="D72" s="46">
        <v>2004</v>
      </c>
      <c r="E72" s="46">
        <v>-2280699.12</v>
      </c>
      <c r="F72" s="21" t="s">
        <v>3</v>
      </c>
      <c r="G72" s="21" t="s">
        <v>568</v>
      </c>
      <c r="H72" s="21" t="s">
        <v>557</v>
      </c>
      <c r="I72" s="21" t="s">
        <v>1033</v>
      </c>
      <c r="J72" s="21" t="s">
        <v>568</v>
      </c>
      <c r="K72" s="77">
        <v>246779411188</v>
      </c>
    </row>
    <row r="73" spans="1:11" hidden="1" x14ac:dyDescent="0.35">
      <c r="A73" s="21" t="s">
        <v>1026</v>
      </c>
      <c r="B73" s="21" t="s">
        <v>489</v>
      </c>
      <c r="C73" s="46">
        <v>0</v>
      </c>
      <c r="D73" s="46">
        <v>2004</v>
      </c>
      <c r="E73" s="46">
        <v>-2282703.12</v>
      </c>
      <c r="F73" s="21" t="s">
        <v>3</v>
      </c>
      <c r="G73" s="21" t="s">
        <v>569</v>
      </c>
      <c r="H73" s="21" t="s">
        <v>557</v>
      </c>
      <c r="I73" s="21" t="s">
        <v>1034</v>
      </c>
      <c r="J73" s="21" t="s">
        <v>569</v>
      </c>
      <c r="K73" s="77">
        <v>246779411187</v>
      </c>
    </row>
    <row r="74" spans="1:11" hidden="1" x14ac:dyDescent="0.35">
      <c r="A74" s="21" t="s">
        <v>1026</v>
      </c>
      <c r="B74" s="21" t="s">
        <v>489</v>
      </c>
      <c r="C74" s="46">
        <v>0</v>
      </c>
      <c r="D74" s="46">
        <v>2004</v>
      </c>
      <c r="E74" s="46">
        <v>-2284707.12</v>
      </c>
      <c r="F74" s="21" t="s">
        <v>3</v>
      </c>
      <c r="G74" s="21" t="s">
        <v>570</v>
      </c>
      <c r="H74" s="21" t="s">
        <v>557</v>
      </c>
      <c r="I74" s="21" t="s">
        <v>1035</v>
      </c>
      <c r="J74" s="21" t="s">
        <v>570</v>
      </c>
      <c r="K74" s="77">
        <v>246779411186</v>
      </c>
    </row>
    <row r="75" spans="1:11" hidden="1" x14ac:dyDescent="0.35">
      <c r="A75" s="21" t="s">
        <v>1026</v>
      </c>
      <c r="B75" s="21" t="s">
        <v>489</v>
      </c>
      <c r="C75" s="46">
        <v>0</v>
      </c>
      <c r="D75" s="46">
        <v>2004</v>
      </c>
      <c r="E75" s="46">
        <v>-2286711.12</v>
      </c>
      <c r="F75" s="21" t="s">
        <v>3</v>
      </c>
      <c r="G75" s="21" t="s">
        <v>571</v>
      </c>
      <c r="H75" s="21" t="s">
        <v>557</v>
      </c>
      <c r="I75" s="21" t="s">
        <v>1002</v>
      </c>
      <c r="J75" s="21" t="s">
        <v>571</v>
      </c>
      <c r="K75" s="77">
        <v>246779411185</v>
      </c>
    </row>
    <row r="76" spans="1:11" hidden="1" x14ac:dyDescent="0.35">
      <c r="A76" s="21" t="s">
        <v>1036</v>
      </c>
      <c r="B76" s="21" t="s">
        <v>489</v>
      </c>
      <c r="C76" s="46">
        <v>0</v>
      </c>
      <c r="D76" s="46">
        <v>1842</v>
      </c>
      <c r="E76" s="46">
        <v>-2288553.12</v>
      </c>
      <c r="F76" s="21" t="s">
        <v>3</v>
      </c>
      <c r="G76" s="21" t="s">
        <v>572</v>
      </c>
      <c r="H76" s="21" t="s">
        <v>573</v>
      </c>
      <c r="I76" s="21"/>
      <c r="J76" s="21" t="s">
        <v>572</v>
      </c>
      <c r="K76" s="77">
        <v>246779411758</v>
      </c>
    </row>
    <row r="77" spans="1:11" hidden="1" x14ac:dyDescent="0.35">
      <c r="A77" s="21" t="s">
        <v>1036</v>
      </c>
      <c r="B77" s="21" t="s">
        <v>489</v>
      </c>
      <c r="C77" s="46">
        <v>0</v>
      </c>
      <c r="D77" s="46">
        <v>576</v>
      </c>
      <c r="E77" s="46">
        <v>-2289129.12</v>
      </c>
      <c r="F77" s="21" t="s">
        <v>3</v>
      </c>
      <c r="G77" s="21" t="s">
        <v>574</v>
      </c>
      <c r="H77" s="21" t="s">
        <v>573</v>
      </c>
      <c r="I77" s="21"/>
      <c r="J77" s="21" t="s">
        <v>574</v>
      </c>
      <c r="K77" s="77">
        <v>246779411933</v>
      </c>
    </row>
    <row r="78" spans="1:11" hidden="1" x14ac:dyDescent="0.35">
      <c r="A78" s="21" t="s">
        <v>1036</v>
      </c>
      <c r="B78" s="21" t="s">
        <v>489</v>
      </c>
      <c r="C78" s="46">
        <v>0</v>
      </c>
      <c r="D78" s="46">
        <v>336</v>
      </c>
      <c r="E78" s="46">
        <v>-2289465.12</v>
      </c>
      <c r="F78" s="21" t="s">
        <v>3</v>
      </c>
      <c r="G78" s="21" t="s">
        <v>575</v>
      </c>
      <c r="H78" s="21" t="s">
        <v>573</v>
      </c>
      <c r="I78" s="21"/>
      <c r="J78" s="21" t="s">
        <v>575</v>
      </c>
      <c r="K78" s="77">
        <v>246779411934</v>
      </c>
    </row>
    <row r="79" spans="1:11" hidden="1" x14ac:dyDescent="0.35">
      <c r="A79" s="21" t="s">
        <v>1036</v>
      </c>
      <c r="B79" s="21" t="s">
        <v>489</v>
      </c>
      <c r="C79" s="46">
        <v>0</v>
      </c>
      <c r="D79" s="46">
        <v>576</v>
      </c>
      <c r="E79" s="46">
        <v>-2290041.12</v>
      </c>
      <c r="F79" s="21" t="s">
        <v>3</v>
      </c>
      <c r="G79" s="21" t="s">
        <v>576</v>
      </c>
      <c r="H79" s="21" t="s">
        <v>573</v>
      </c>
      <c r="I79" s="21"/>
      <c r="J79" s="21" t="s">
        <v>576</v>
      </c>
      <c r="K79" s="77">
        <v>246779411935</v>
      </c>
    </row>
    <row r="80" spans="1:11" hidden="1" x14ac:dyDescent="0.35">
      <c r="A80" s="21" t="s">
        <v>1037</v>
      </c>
      <c r="B80" s="21" t="s">
        <v>489</v>
      </c>
      <c r="C80" s="46">
        <v>0</v>
      </c>
      <c r="D80" s="46">
        <v>35488</v>
      </c>
      <c r="E80" s="46">
        <v>-2325529.12</v>
      </c>
      <c r="F80" s="21" t="s">
        <v>3</v>
      </c>
      <c r="G80" s="21" t="s">
        <v>577</v>
      </c>
      <c r="H80" s="21" t="s">
        <v>491</v>
      </c>
      <c r="I80" s="21"/>
      <c r="J80" s="21" t="s">
        <v>577</v>
      </c>
      <c r="K80" s="77">
        <v>246779413000</v>
      </c>
    </row>
    <row r="81" spans="1:11" hidden="1" x14ac:dyDescent="0.35">
      <c r="A81" s="21" t="s">
        <v>1038</v>
      </c>
      <c r="B81" s="21" t="s">
        <v>489</v>
      </c>
      <c r="C81" s="46">
        <v>0</v>
      </c>
      <c r="D81" s="46">
        <v>1268</v>
      </c>
      <c r="E81" s="46">
        <v>-2326797.12</v>
      </c>
      <c r="F81" s="21" t="s">
        <v>3</v>
      </c>
      <c r="G81" s="21" t="s">
        <v>578</v>
      </c>
      <c r="H81" s="21" t="s">
        <v>579</v>
      </c>
      <c r="I81" s="21"/>
      <c r="J81" s="21" t="s">
        <v>578</v>
      </c>
      <c r="K81" s="77">
        <v>246779414142</v>
      </c>
    </row>
    <row r="82" spans="1:11" hidden="1" x14ac:dyDescent="0.35">
      <c r="A82" s="21" t="s">
        <v>1038</v>
      </c>
      <c r="B82" s="21" t="s">
        <v>489</v>
      </c>
      <c r="C82" s="46">
        <v>0</v>
      </c>
      <c r="D82" s="46">
        <v>1408</v>
      </c>
      <c r="E82" s="46">
        <v>-2328205.12</v>
      </c>
      <c r="F82" s="21" t="s">
        <v>3</v>
      </c>
      <c r="G82" s="21" t="s">
        <v>580</v>
      </c>
      <c r="H82" s="21" t="s">
        <v>581</v>
      </c>
      <c r="I82" s="21"/>
      <c r="J82" s="21" t="s">
        <v>580</v>
      </c>
      <c r="K82" s="77">
        <v>246779411051</v>
      </c>
    </row>
    <row r="83" spans="1:11" hidden="1" x14ac:dyDescent="0.35">
      <c r="A83" s="21" t="s">
        <v>1038</v>
      </c>
      <c r="B83" s="21" t="s">
        <v>489</v>
      </c>
      <c r="C83" s="46">
        <v>0</v>
      </c>
      <c r="D83" s="46">
        <v>381</v>
      </c>
      <c r="E83" s="46">
        <v>-2328586.12</v>
      </c>
      <c r="F83" s="21" t="s">
        <v>3</v>
      </c>
      <c r="G83" s="21" t="s">
        <v>582</v>
      </c>
      <c r="H83" s="21" t="s">
        <v>557</v>
      </c>
      <c r="I83" s="21"/>
      <c r="J83" s="21" t="s">
        <v>582</v>
      </c>
      <c r="K83" s="77">
        <v>246779411052</v>
      </c>
    </row>
    <row r="84" spans="1:11" hidden="1" x14ac:dyDescent="0.35">
      <c r="A84" s="21" t="s">
        <v>1038</v>
      </c>
      <c r="B84" s="21" t="s">
        <v>489</v>
      </c>
      <c r="C84" s="46">
        <v>0</v>
      </c>
      <c r="D84" s="46">
        <v>1981</v>
      </c>
      <c r="E84" s="46">
        <v>-2330567.12</v>
      </c>
      <c r="F84" s="21" t="s">
        <v>3</v>
      </c>
      <c r="G84" s="21" t="s">
        <v>583</v>
      </c>
      <c r="H84" s="21" t="s">
        <v>581</v>
      </c>
      <c r="I84" s="21"/>
      <c r="J84" s="21" t="s">
        <v>583</v>
      </c>
      <c r="K84" s="77">
        <v>246779411053</v>
      </c>
    </row>
    <row r="85" spans="1:11" hidden="1" x14ac:dyDescent="0.35">
      <c r="A85" s="21" t="s">
        <v>1038</v>
      </c>
      <c r="B85" s="21" t="s">
        <v>489</v>
      </c>
      <c r="C85" s="46">
        <v>0</v>
      </c>
      <c r="D85" s="46">
        <v>1907</v>
      </c>
      <c r="E85" s="46">
        <v>-2332474.12</v>
      </c>
      <c r="F85" s="21" t="s">
        <v>3</v>
      </c>
      <c r="G85" s="21" t="s">
        <v>584</v>
      </c>
      <c r="H85" s="21" t="s">
        <v>557</v>
      </c>
      <c r="I85" s="21"/>
      <c r="J85" s="21" t="s">
        <v>584</v>
      </c>
      <c r="K85" s="77">
        <v>246779411050</v>
      </c>
    </row>
    <row r="86" spans="1:11" hidden="1" x14ac:dyDescent="0.35">
      <c r="A86" s="21" t="s">
        <v>1038</v>
      </c>
      <c r="B86" s="21" t="s">
        <v>489</v>
      </c>
      <c r="C86" s="46">
        <v>0</v>
      </c>
      <c r="D86" s="46">
        <v>596</v>
      </c>
      <c r="E86" s="46">
        <v>-2333070.12</v>
      </c>
      <c r="F86" s="21" t="s">
        <v>3</v>
      </c>
      <c r="G86" s="21" t="s">
        <v>585</v>
      </c>
      <c r="H86" s="21" t="s">
        <v>500</v>
      </c>
      <c r="I86" s="21"/>
      <c r="J86" s="21" t="s">
        <v>585</v>
      </c>
      <c r="K86" s="77">
        <v>246779413782</v>
      </c>
    </row>
    <row r="87" spans="1:11" hidden="1" x14ac:dyDescent="0.35">
      <c r="A87" s="21" t="s">
        <v>1038</v>
      </c>
      <c r="B87" s="21" t="s">
        <v>489</v>
      </c>
      <c r="C87" s="46">
        <v>0</v>
      </c>
      <c r="D87" s="46">
        <v>3578</v>
      </c>
      <c r="E87" s="46">
        <v>-2336648.12</v>
      </c>
      <c r="F87" s="21" t="s">
        <v>3</v>
      </c>
      <c r="G87" s="21" t="s">
        <v>586</v>
      </c>
      <c r="H87" s="21" t="s">
        <v>500</v>
      </c>
      <c r="I87" s="21"/>
      <c r="J87" s="21" t="s">
        <v>586</v>
      </c>
      <c r="K87" s="77">
        <v>246779413627</v>
      </c>
    </row>
    <row r="88" spans="1:11" hidden="1" x14ac:dyDescent="0.35">
      <c r="A88" s="21" t="s">
        <v>1038</v>
      </c>
      <c r="B88" s="21" t="s">
        <v>489</v>
      </c>
      <c r="C88" s="46">
        <v>0</v>
      </c>
      <c r="D88" s="46">
        <v>198</v>
      </c>
      <c r="E88" s="46">
        <v>-2336846.12</v>
      </c>
      <c r="F88" s="21" t="s">
        <v>3</v>
      </c>
      <c r="G88" s="21" t="s">
        <v>587</v>
      </c>
      <c r="H88" s="21" t="s">
        <v>500</v>
      </c>
      <c r="I88" s="21"/>
      <c r="J88" s="21" t="s">
        <v>587</v>
      </c>
      <c r="K88" s="77">
        <v>246779413628</v>
      </c>
    </row>
    <row r="89" spans="1:11" hidden="1" x14ac:dyDescent="0.35">
      <c r="A89" s="21" t="s">
        <v>1038</v>
      </c>
      <c r="B89" s="21" t="s">
        <v>489</v>
      </c>
      <c r="C89" s="46">
        <v>0</v>
      </c>
      <c r="D89" s="46">
        <v>397</v>
      </c>
      <c r="E89" s="46">
        <v>-2337243.12</v>
      </c>
      <c r="F89" s="21" t="s">
        <v>3</v>
      </c>
      <c r="G89" s="21" t="s">
        <v>588</v>
      </c>
      <c r="H89" s="21" t="s">
        <v>500</v>
      </c>
      <c r="I89" s="21"/>
      <c r="J89" s="21" t="s">
        <v>588</v>
      </c>
      <c r="K89" s="77">
        <v>246779413629</v>
      </c>
    </row>
    <row r="90" spans="1:11" hidden="1" x14ac:dyDescent="0.35">
      <c r="A90" s="21" t="s">
        <v>1038</v>
      </c>
      <c r="B90" s="21" t="s">
        <v>489</v>
      </c>
      <c r="C90" s="46">
        <v>0</v>
      </c>
      <c r="D90" s="46">
        <v>198</v>
      </c>
      <c r="E90" s="46">
        <v>-2337441.12</v>
      </c>
      <c r="F90" s="21" t="s">
        <v>3</v>
      </c>
      <c r="G90" s="21" t="s">
        <v>589</v>
      </c>
      <c r="H90" s="21" t="s">
        <v>500</v>
      </c>
      <c r="I90" s="21"/>
      <c r="J90" s="21" t="s">
        <v>589</v>
      </c>
      <c r="K90" s="77">
        <v>246779413690</v>
      </c>
    </row>
    <row r="91" spans="1:11" hidden="1" x14ac:dyDescent="0.35">
      <c r="A91" s="21" t="s">
        <v>1038</v>
      </c>
      <c r="B91" s="21" t="s">
        <v>489</v>
      </c>
      <c r="C91" s="46">
        <v>0</v>
      </c>
      <c r="D91" s="46">
        <v>7156</v>
      </c>
      <c r="E91" s="46">
        <v>-2344597.12</v>
      </c>
      <c r="F91" s="21" t="s">
        <v>3</v>
      </c>
      <c r="G91" s="21" t="s">
        <v>590</v>
      </c>
      <c r="H91" s="21" t="s">
        <v>500</v>
      </c>
      <c r="I91" s="21"/>
      <c r="J91" s="21" t="s">
        <v>590</v>
      </c>
      <c r="K91" s="77">
        <v>246779413626</v>
      </c>
    </row>
    <row r="92" spans="1:11" hidden="1" x14ac:dyDescent="0.35">
      <c r="A92" s="21" t="s">
        <v>1038</v>
      </c>
      <c r="B92" s="21" t="s">
        <v>489</v>
      </c>
      <c r="C92" s="46">
        <v>0</v>
      </c>
      <c r="D92" s="46">
        <v>198</v>
      </c>
      <c r="E92" s="46">
        <v>-2344795.12</v>
      </c>
      <c r="F92" s="21" t="s">
        <v>3</v>
      </c>
      <c r="G92" s="21" t="s">
        <v>591</v>
      </c>
      <c r="H92" s="21" t="s">
        <v>500</v>
      </c>
      <c r="I92" s="21"/>
      <c r="J92" s="21" t="s">
        <v>591</v>
      </c>
      <c r="K92" s="77">
        <v>246779413625</v>
      </c>
    </row>
    <row r="93" spans="1:11" hidden="1" x14ac:dyDescent="0.35">
      <c r="A93" s="21" t="s">
        <v>1038</v>
      </c>
      <c r="B93" s="21" t="s">
        <v>489</v>
      </c>
      <c r="C93" s="46">
        <v>0</v>
      </c>
      <c r="D93" s="46">
        <v>1590</v>
      </c>
      <c r="E93" s="46">
        <v>-2346385.12</v>
      </c>
      <c r="F93" s="21" t="s">
        <v>3</v>
      </c>
      <c r="G93" s="21" t="s">
        <v>592</v>
      </c>
      <c r="H93" s="21" t="s">
        <v>500</v>
      </c>
      <c r="I93" s="21"/>
      <c r="J93" s="21" t="s">
        <v>592</v>
      </c>
      <c r="K93" s="77">
        <v>246779413622</v>
      </c>
    </row>
    <row r="94" spans="1:11" hidden="1" x14ac:dyDescent="0.35">
      <c r="A94" s="21" t="s">
        <v>1038</v>
      </c>
      <c r="B94" s="21" t="s">
        <v>489</v>
      </c>
      <c r="C94" s="46">
        <v>0</v>
      </c>
      <c r="D94" s="46">
        <v>198</v>
      </c>
      <c r="E94" s="46">
        <v>-2346583.12</v>
      </c>
      <c r="F94" s="21" t="s">
        <v>3</v>
      </c>
      <c r="G94" s="21" t="s">
        <v>593</v>
      </c>
      <c r="H94" s="21" t="s">
        <v>500</v>
      </c>
      <c r="I94" s="21"/>
      <c r="J94" s="21" t="s">
        <v>593</v>
      </c>
      <c r="K94" s="77">
        <v>246779413623</v>
      </c>
    </row>
    <row r="95" spans="1:11" hidden="1" x14ac:dyDescent="0.35">
      <c r="A95" s="21" t="s">
        <v>1038</v>
      </c>
      <c r="B95" s="21" t="s">
        <v>489</v>
      </c>
      <c r="C95" s="46">
        <v>0</v>
      </c>
      <c r="D95" s="46">
        <v>596</v>
      </c>
      <c r="E95" s="46">
        <v>-2347179.12</v>
      </c>
      <c r="F95" s="21" t="s">
        <v>3</v>
      </c>
      <c r="G95" s="21" t="s">
        <v>594</v>
      </c>
      <c r="H95" s="21" t="s">
        <v>500</v>
      </c>
      <c r="I95" s="21"/>
      <c r="J95" s="21" t="s">
        <v>594</v>
      </c>
      <c r="K95" s="77">
        <v>246779413624</v>
      </c>
    </row>
    <row r="96" spans="1:11" hidden="1" x14ac:dyDescent="0.35">
      <c r="A96" s="21" t="s">
        <v>1039</v>
      </c>
      <c r="B96" s="21" t="s">
        <v>489</v>
      </c>
      <c r="C96" s="46">
        <v>0</v>
      </c>
      <c r="D96" s="46">
        <v>4387</v>
      </c>
      <c r="E96" s="46">
        <v>-2351566.12</v>
      </c>
      <c r="F96" s="21" t="s">
        <v>3</v>
      </c>
      <c r="G96" s="21" t="s">
        <v>595</v>
      </c>
      <c r="H96" s="21" t="s">
        <v>557</v>
      </c>
      <c r="I96" s="21"/>
      <c r="J96" s="21" t="s">
        <v>595</v>
      </c>
      <c r="K96" s="77">
        <v>246779411054</v>
      </c>
    </row>
    <row r="97" spans="1:11" hidden="1" x14ac:dyDescent="0.35">
      <c r="A97" s="21" t="s">
        <v>1039</v>
      </c>
      <c r="B97" s="21" t="s">
        <v>489</v>
      </c>
      <c r="C97" s="46">
        <v>0</v>
      </c>
      <c r="D97" s="46">
        <v>1408</v>
      </c>
      <c r="E97" s="46">
        <v>-2352974.12</v>
      </c>
      <c r="F97" s="21" t="s">
        <v>3</v>
      </c>
      <c r="G97" s="21" t="s">
        <v>596</v>
      </c>
      <c r="H97" s="21" t="s">
        <v>559</v>
      </c>
      <c r="I97" s="21"/>
      <c r="J97" s="21" t="s">
        <v>596</v>
      </c>
      <c r="K97" s="77">
        <v>246779411055</v>
      </c>
    </row>
    <row r="98" spans="1:11" hidden="1" x14ac:dyDescent="0.35">
      <c r="A98" s="21" t="s">
        <v>1039</v>
      </c>
      <c r="B98" s="21" t="s">
        <v>489</v>
      </c>
      <c r="C98" s="46">
        <v>0</v>
      </c>
      <c r="D98" s="46">
        <v>3434</v>
      </c>
      <c r="E98" s="46">
        <v>-2356408.12</v>
      </c>
      <c r="F98" s="21" t="s">
        <v>3</v>
      </c>
      <c r="G98" s="21" t="s">
        <v>597</v>
      </c>
      <c r="H98" s="21" t="s">
        <v>557</v>
      </c>
      <c r="I98" s="21"/>
      <c r="J98" s="21" t="s">
        <v>597</v>
      </c>
      <c r="K98" s="77">
        <v>246779411248</v>
      </c>
    </row>
    <row r="99" spans="1:11" hidden="1" x14ac:dyDescent="0.35">
      <c r="A99" s="21" t="s">
        <v>1039</v>
      </c>
      <c r="B99" s="21" t="s">
        <v>489</v>
      </c>
      <c r="C99" s="46">
        <v>0</v>
      </c>
      <c r="D99" s="46">
        <v>13737</v>
      </c>
      <c r="E99" s="46">
        <v>-2370145.12</v>
      </c>
      <c r="F99" s="21" t="s">
        <v>3</v>
      </c>
      <c r="G99" s="21" t="s">
        <v>598</v>
      </c>
      <c r="H99" s="21" t="s">
        <v>557</v>
      </c>
      <c r="I99" s="21"/>
      <c r="J99" s="21" t="s">
        <v>598</v>
      </c>
      <c r="K99" s="77">
        <v>246779411249</v>
      </c>
    </row>
    <row r="100" spans="1:11" hidden="1" x14ac:dyDescent="0.35">
      <c r="A100" s="21" t="s">
        <v>1039</v>
      </c>
      <c r="B100" s="21" t="s">
        <v>489</v>
      </c>
      <c r="C100" s="46">
        <v>0</v>
      </c>
      <c r="D100" s="46">
        <v>1599</v>
      </c>
      <c r="E100" s="46">
        <v>-2371744.12</v>
      </c>
      <c r="F100" s="21" t="s">
        <v>3</v>
      </c>
      <c r="G100" s="21" t="s">
        <v>599</v>
      </c>
      <c r="H100" s="21" t="s">
        <v>559</v>
      </c>
      <c r="I100" s="21"/>
      <c r="J100" s="21" t="s">
        <v>599</v>
      </c>
      <c r="K100" s="77">
        <v>246779411250</v>
      </c>
    </row>
    <row r="101" spans="1:11" hidden="1" x14ac:dyDescent="0.35">
      <c r="A101" s="21" t="s">
        <v>1039</v>
      </c>
      <c r="B101" s="21" t="s">
        <v>489</v>
      </c>
      <c r="C101" s="46">
        <v>0</v>
      </c>
      <c r="D101" s="46">
        <v>1599</v>
      </c>
      <c r="E101" s="46">
        <v>-2373343.12</v>
      </c>
      <c r="F101" s="21" t="s">
        <v>3</v>
      </c>
      <c r="G101" s="21" t="s">
        <v>600</v>
      </c>
      <c r="H101" s="21" t="s">
        <v>559</v>
      </c>
      <c r="I101" s="21"/>
      <c r="J101" s="21" t="s">
        <v>600</v>
      </c>
      <c r="K101" s="77">
        <v>246779411251</v>
      </c>
    </row>
    <row r="102" spans="1:11" hidden="1" x14ac:dyDescent="0.35">
      <c r="A102" s="21" t="s">
        <v>1039</v>
      </c>
      <c r="B102" s="21" t="s">
        <v>489</v>
      </c>
      <c r="C102" s="46">
        <v>0</v>
      </c>
      <c r="D102" s="46">
        <v>1907</v>
      </c>
      <c r="E102" s="46">
        <v>-2375250.12</v>
      </c>
      <c r="F102" s="21" t="s">
        <v>3</v>
      </c>
      <c r="G102" s="21" t="s">
        <v>601</v>
      </c>
      <c r="H102" s="21" t="s">
        <v>557</v>
      </c>
      <c r="I102" s="21"/>
      <c r="J102" s="21" t="s">
        <v>601</v>
      </c>
      <c r="K102" s="77">
        <v>246779411252</v>
      </c>
    </row>
    <row r="103" spans="1:11" hidden="1" x14ac:dyDescent="0.35">
      <c r="A103" s="21" t="s">
        <v>1039</v>
      </c>
      <c r="B103" s="21" t="s">
        <v>489</v>
      </c>
      <c r="C103" s="46">
        <v>0</v>
      </c>
      <c r="D103" s="46">
        <v>1907</v>
      </c>
      <c r="E103" s="46">
        <v>-2377157.12</v>
      </c>
      <c r="F103" s="21" t="s">
        <v>3</v>
      </c>
      <c r="G103" s="21" t="s">
        <v>602</v>
      </c>
      <c r="H103" s="21" t="s">
        <v>557</v>
      </c>
      <c r="I103" s="21"/>
      <c r="J103" s="21" t="s">
        <v>602</v>
      </c>
      <c r="K103" s="77">
        <v>246779414317</v>
      </c>
    </row>
    <row r="104" spans="1:11" hidden="1" x14ac:dyDescent="0.35">
      <c r="A104" s="21" t="s">
        <v>1039</v>
      </c>
      <c r="B104" s="21" t="s">
        <v>489</v>
      </c>
      <c r="C104" s="46">
        <v>0</v>
      </c>
      <c r="D104" s="46">
        <v>4652</v>
      </c>
      <c r="E104" s="46">
        <v>-2381809.12</v>
      </c>
      <c r="F104" s="21" t="s">
        <v>3</v>
      </c>
      <c r="G104" s="21" t="s">
        <v>603</v>
      </c>
      <c r="H104" s="21" t="s">
        <v>557</v>
      </c>
      <c r="I104" s="21"/>
      <c r="J104" s="21" t="s">
        <v>603</v>
      </c>
      <c r="K104" s="77">
        <v>246779414141</v>
      </c>
    </row>
    <row r="105" spans="1:11" hidden="1" x14ac:dyDescent="0.35">
      <c r="A105" s="21" t="s">
        <v>1039</v>
      </c>
      <c r="B105" s="21" t="s">
        <v>489</v>
      </c>
      <c r="C105" s="46">
        <v>0</v>
      </c>
      <c r="D105" s="46">
        <v>2674</v>
      </c>
      <c r="E105" s="46">
        <v>-2384483.12</v>
      </c>
      <c r="F105" s="21" t="s">
        <v>3</v>
      </c>
      <c r="G105" s="21" t="s">
        <v>604</v>
      </c>
      <c r="H105" s="21" t="s">
        <v>557</v>
      </c>
      <c r="I105" s="21"/>
      <c r="J105" s="21" t="s">
        <v>604</v>
      </c>
      <c r="K105" s="77">
        <v>246779414467</v>
      </c>
    </row>
    <row r="106" spans="1:11" hidden="1" x14ac:dyDescent="0.35">
      <c r="A106" s="21" t="s">
        <v>1039</v>
      </c>
      <c r="B106" s="21" t="s">
        <v>489</v>
      </c>
      <c r="C106" s="46">
        <v>0</v>
      </c>
      <c r="D106" s="46">
        <v>34760</v>
      </c>
      <c r="E106" s="46">
        <v>-2419243.12</v>
      </c>
      <c r="F106" s="21" t="s">
        <v>3</v>
      </c>
      <c r="G106" s="21" t="s">
        <v>605</v>
      </c>
      <c r="H106" s="21" t="s">
        <v>500</v>
      </c>
      <c r="I106" s="21"/>
      <c r="J106" s="21" t="s">
        <v>605</v>
      </c>
      <c r="K106" s="77">
        <v>246779414603</v>
      </c>
    </row>
    <row r="107" spans="1:11" hidden="1" x14ac:dyDescent="0.35">
      <c r="A107" s="21" t="s">
        <v>1039</v>
      </c>
      <c r="B107" s="21" t="s">
        <v>489</v>
      </c>
      <c r="C107" s="46">
        <v>0</v>
      </c>
      <c r="D107" s="46">
        <v>480</v>
      </c>
      <c r="E107" s="46">
        <v>-2419723.12</v>
      </c>
      <c r="F107" s="21" t="s">
        <v>3</v>
      </c>
      <c r="G107" s="21" t="s">
        <v>606</v>
      </c>
      <c r="H107" s="21" t="s">
        <v>573</v>
      </c>
      <c r="I107" s="21"/>
      <c r="J107" s="21" t="s">
        <v>606</v>
      </c>
      <c r="K107" s="77">
        <v>246779411936</v>
      </c>
    </row>
    <row r="108" spans="1:11" hidden="1" x14ac:dyDescent="0.35">
      <c r="A108" s="21" t="s">
        <v>1039</v>
      </c>
      <c r="B108" s="21" t="s">
        <v>489</v>
      </c>
      <c r="C108" s="46">
        <v>0</v>
      </c>
      <c r="D108" s="46">
        <v>20874</v>
      </c>
      <c r="E108" s="46">
        <v>-2440597.12</v>
      </c>
      <c r="F108" s="21" t="s">
        <v>3</v>
      </c>
      <c r="G108" s="21" t="s">
        <v>607</v>
      </c>
      <c r="H108" s="21" t="s">
        <v>608</v>
      </c>
      <c r="I108" s="21"/>
      <c r="J108" s="21" t="s">
        <v>607</v>
      </c>
      <c r="K108" s="77">
        <v>246779411326</v>
      </c>
    </row>
    <row r="109" spans="1:11" hidden="1" x14ac:dyDescent="0.35">
      <c r="A109" s="21" t="s">
        <v>1039</v>
      </c>
      <c r="B109" s="21" t="s">
        <v>489</v>
      </c>
      <c r="C109" s="46">
        <v>0</v>
      </c>
      <c r="D109" s="46">
        <v>18610</v>
      </c>
      <c r="E109" s="46">
        <v>-2459207.12</v>
      </c>
      <c r="F109" s="21" t="s">
        <v>3</v>
      </c>
      <c r="G109" s="21" t="s">
        <v>609</v>
      </c>
      <c r="H109" s="21" t="s">
        <v>608</v>
      </c>
      <c r="I109" s="21"/>
      <c r="J109" s="21" t="s">
        <v>609</v>
      </c>
      <c r="K109" s="77">
        <v>246779413816</v>
      </c>
    </row>
    <row r="110" spans="1:11" hidden="1" x14ac:dyDescent="0.35">
      <c r="A110" s="21" t="s">
        <v>1039</v>
      </c>
      <c r="B110" s="21" t="s">
        <v>489</v>
      </c>
      <c r="C110" s="46">
        <v>0</v>
      </c>
      <c r="D110" s="46">
        <v>31723</v>
      </c>
      <c r="E110" s="46">
        <v>-2490930.12</v>
      </c>
      <c r="F110" s="21" t="s">
        <v>3</v>
      </c>
      <c r="G110" s="21" t="s">
        <v>610</v>
      </c>
      <c r="H110" s="21" t="s">
        <v>608</v>
      </c>
      <c r="I110" s="21"/>
      <c r="J110" s="21" t="s">
        <v>610</v>
      </c>
      <c r="K110" s="77">
        <v>246779413827</v>
      </c>
    </row>
    <row r="111" spans="1:11" hidden="1" x14ac:dyDescent="0.35">
      <c r="A111" s="21" t="s">
        <v>1039</v>
      </c>
      <c r="B111" s="21" t="s">
        <v>489</v>
      </c>
      <c r="C111" s="46">
        <v>0</v>
      </c>
      <c r="D111" s="46">
        <v>31723</v>
      </c>
      <c r="E111" s="46">
        <v>-2522653.12</v>
      </c>
      <c r="F111" s="21" t="s">
        <v>3</v>
      </c>
      <c r="G111" s="21" t="s">
        <v>611</v>
      </c>
      <c r="H111" s="21" t="s">
        <v>608</v>
      </c>
      <c r="I111" s="21"/>
      <c r="J111" s="21" t="s">
        <v>611</v>
      </c>
      <c r="K111" s="77">
        <v>246779413753</v>
      </c>
    </row>
    <row r="112" spans="1:11" hidden="1" x14ac:dyDescent="0.35">
      <c r="A112" s="21" t="s">
        <v>1039</v>
      </c>
      <c r="B112" s="21" t="s">
        <v>489</v>
      </c>
      <c r="C112" s="46">
        <v>0</v>
      </c>
      <c r="D112" s="46">
        <v>191</v>
      </c>
      <c r="E112" s="46">
        <v>-2522844.12</v>
      </c>
      <c r="F112" s="21" t="s">
        <v>3</v>
      </c>
      <c r="G112" s="21" t="s">
        <v>612</v>
      </c>
      <c r="H112" s="21" t="s">
        <v>500</v>
      </c>
      <c r="I112" s="21"/>
      <c r="J112" s="21" t="s">
        <v>612</v>
      </c>
      <c r="K112" s="77">
        <v>246779413762</v>
      </c>
    </row>
    <row r="113" spans="1:11" hidden="1" x14ac:dyDescent="0.35">
      <c r="A113" s="21" t="s">
        <v>1039</v>
      </c>
      <c r="B113" s="21" t="s">
        <v>489</v>
      </c>
      <c r="C113" s="46">
        <v>0</v>
      </c>
      <c r="D113" s="46">
        <v>3064</v>
      </c>
      <c r="E113" s="46">
        <v>-2525908.12</v>
      </c>
      <c r="F113" s="21" t="s">
        <v>3</v>
      </c>
      <c r="G113" s="21" t="s">
        <v>613</v>
      </c>
      <c r="H113" s="21" t="s">
        <v>500</v>
      </c>
      <c r="I113" s="21"/>
      <c r="J113" s="21" t="s">
        <v>613</v>
      </c>
      <c r="K113" s="77">
        <v>246779413745</v>
      </c>
    </row>
    <row r="114" spans="1:11" hidden="1" x14ac:dyDescent="0.35">
      <c r="A114" s="21" t="s">
        <v>1039</v>
      </c>
      <c r="B114" s="21" t="s">
        <v>489</v>
      </c>
      <c r="C114" s="46">
        <v>0</v>
      </c>
      <c r="D114" s="46">
        <v>3448</v>
      </c>
      <c r="E114" s="46">
        <v>-2529356.12</v>
      </c>
      <c r="F114" s="21" t="s">
        <v>3</v>
      </c>
      <c r="G114" s="21" t="s">
        <v>614</v>
      </c>
      <c r="H114" s="21" t="s">
        <v>500</v>
      </c>
      <c r="I114" s="21"/>
      <c r="J114" s="21" t="s">
        <v>614</v>
      </c>
      <c r="K114" s="77">
        <v>246779413734</v>
      </c>
    </row>
    <row r="115" spans="1:11" hidden="1" x14ac:dyDescent="0.35">
      <c r="A115" s="21" t="s">
        <v>1039</v>
      </c>
      <c r="B115" s="21" t="s">
        <v>489</v>
      </c>
      <c r="C115" s="46">
        <v>0</v>
      </c>
      <c r="D115" s="46">
        <v>6513</v>
      </c>
      <c r="E115" s="46">
        <v>-2535869.12</v>
      </c>
      <c r="F115" s="21" t="s">
        <v>3</v>
      </c>
      <c r="G115" s="21" t="s">
        <v>615</v>
      </c>
      <c r="H115" s="21" t="s">
        <v>500</v>
      </c>
      <c r="I115" s="21"/>
      <c r="J115" s="21" t="s">
        <v>615</v>
      </c>
      <c r="K115" s="77">
        <v>246779413736</v>
      </c>
    </row>
    <row r="116" spans="1:11" hidden="1" x14ac:dyDescent="0.35">
      <c r="A116" s="21" t="s">
        <v>1039</v>
      </c>
      <c r="B116" s="21" t="s">
        <v>489</v>
      </c>
      <c r="C116" s="46">
        <v>0</v>
      </c>
      <c r="D116" s="46">
        <v>1724</v>
      </c>
      <c r="E116" s="46">
        <v>-2537593.12</v>
      </c>
      <c r="F116" s="21" t="s">
        <v>3</v>
      </c>
      <c r="G116" s="21" t="s">
        <v>616</v>
      </c>
      <c r="H116" s="21" t="s">
        <v>500</v>
      </c>
      <c r="I116" s="21"/>
      <c r="J116" s="21" t="s">
        <v>616</v>
      </c>
      <c r="K116" s="77">
        <v>246779413739</v>
      </c>
    </row>
    <row r="117" spans="1:11" hidden="1" x14ac:dyDescent="0.35">
      <c r="A117" s="21" t="s">
        <v>1039</v>
      </c>
      <c r="B117" s="21" t="s">
        <v>489</v>
      </c>
      <c r="C117" s="46">
        <v>0</v>
      </c>
      <c r="D117" s="46">
        <v>1149</v>
      </c>
      <c r="E117" s="46">
        <v>-2538742.12</v>
      </c>
      <c r="F117" s="21" t="s">
        <v>3</v>
      </c>
      <c r="G117" s="21" t="s">
        <v>617</v>
      </c>
      <c r="H117" s="21" t="s">
        <v>500</v>
      </c>
      <c r="I117" s="21"/>
      <c r="J117" s="21" t="s">
        <v>617</v>
      </c>
      <c r="K117" s="77">
        <v>246779413742</v>
      </c>
    </row>
    <row r="118" spans="1:11" hidden="1" x14ac:dyDescent="0.35">
      <c r="A118" s="21" t="s">
        <v>1039</v>
      </c>
      <c r="B118" s="21" t="s">
        <v>489</v>
      </c>
      <c r="C118" s="46">
        <v>0</v>
      </c>
      <c r="D118" s="46">
        <v>191</v>
      </c>
      <c r="E118" s="46">
        <v>-2538933.12</v>
      </c>
      <c r="F118" s="21" t="s">
        <v>3</v>
      </c>
      <c r="G118" s="21" t="s">
        <v>618</v>
      </c>
      <c r="H118" s="21" t="s">
        <v>500</v>
      </c>
      <c r="I118" s="21"/>
      <c r="J118" s="21" t="s">
        <v>618</v>
      </c>
      <c r="K118" s="77">
        <v>246779413692</v>
      </c>
    </row>
    <row r="119" spans="1:11" hidden="1" x14ac:dyDescent="0.35">
      <c r="A119" s="21" t="s">
        <v>1039</v>
      </c>
      <c r="B119" s="21" t="s">
        <v>489</v>
      </c>
      <c r="C119" s="46">
        <v>0</v>
      </c>
      <c r="D119" s="46">
        <v>6896</v>
      </c>
      <c r="E119" s="46">
        <v>-2545829.12</v>
      </c>
      <c r="F119" s="21" t="s">
        <v>3</v>
      </c>
      <c r="G119" s="21" t="s">
        <v>619</v>
      </c>
      <c r="H119" s="21" t="s">
        <v>500</v>
      </c>
      <c r="I119" s="21"/>
      <c r="J119" s="21" t="s">
        <v>619</v>
      </c>
      <c r="K119" s="77">
        <v>246779413693</v>
      </c>
    </row>
    <row r="120" spans="1:11" hidden="1" x14ac:dyDescent="0.35">
      <c r="A120" s="21" t="s">
        <v>1039</v>
      </c>
      <c r="B120" s="21" t="s">
        <v>489</v>
      </c>
      <c r="C120" s="46">
        <v>0</v>
      </c>
      <c r="D120" s="46">
        <v>3448</v>
      </c>
      <c r="E120" s="46">
        <v>-2549277.12</v>
      </c>
      <c r="F120" s="21" t="s">
        <v>3</v>
      </c>
      <c r="G120" s="21" t="s">
        <v>620</v>
      </c>
      <c r="H120" s="21" t="s">
        <v>500</v>
      </c>
      <c r="I120" s="21"/>
      <c r="J120" s="21" t="s">
        <v>620</v>
      </c>
      <c r="K120" s="77">
        <v>246779413694</v>
      </c>
    </row>
    <row r="121" spans="1:11" hidden="1" x14ac:dyDescent="0.35">
      <c r="A121" s="21" t="s">
        <v>1039</v>
      </c>
      <c r="B121" s="21" t="s">
        <v>489</v>
      </c>
      <c r="C121" s="46">
        <v>0</v>
      </c>
      <c r="D121" s="46">
        <v>191</v>
      </c>
      <c r="E121" s="46">
        <v>-2549468.12</v>
      </c>
      <c r="F121" s="21" t="s">
        <v>3</v>
      </c>
      <c r="G121" s="21" t="s">
        <v>621</v>
      </c>
      <c r="H121" s="21" t="s">
        <v>500</v>
      </c>
      <c r="I121" s="21"/>
      <c r="J121" s="21" t="s">
        <v>621</v>
      </c>
      <c r="K121" s="77">
        <v>246779413695</v>
      </c>
    </row>
    <row r="122" spans="1:11" hidden="1" x14ac:dyDescent="0.35">
      <c r="A122" s="21" t="s">
        <v>1039</v>
      </c>
      <c r="B122" s="21" t="s">
        <v>489</v>
      </c>
      <c r="C122" s="46">
        <v>0</v>
      </c>
      <c r="D122" s="46">
        <v>382</v>
      </c>
      <c r="E122" s="46">
        <v>-2549850.12</v>
      </c>
      <c r="F122" s="21" t="s">
        <v>3</v>
      </c>
      <c r="G122" s="21" t="s">
        <v>622</v>
      </c>
      <c r="H122" s="21" t="s">
        <v>500</v>
      </c>
      <c r="I122" s="21"/>
      <c r="J122" s="21" t="s">
        <v>622</v>
      </c>
      <c r="K122" s="77">
        <v>246779413696</v>
      </c>
    </row>
    <row r="123" spans="1:11" hidden="1" x14ac:dyDescent="0.35">
      <c r="A123" s="21" t="s">
        <v>1039</v>
      </c>
      <c r="B123" s="21" t="s">
        <v>489</v>
      </c>
      <c r="C123" s="46">
        <v>0</v>
      </c>
      <c r="D123" s="46">
        <v>381</v>
      </c>
      <c r="E123" s="46">
        <v>-2550231.12</v>
      </c>
      <c r="F123" s="21" t="s">
        <v>3</v>
      </c>
      <c r="G123" s="21" t="s">
        <v>623</v>
      </c>
      <c r="H123" s="21" t="s">
        <v>500</v>
      </c>
      <c r="I123" s="21"/>
      <c r="J123" s="21" t="s">
        <v>623</v>
      </c>
      <c r="K123" s="77">
        <v>246779410846</v>
      </c>
    </row>
    <row r="124" spans="1:11" hidden="1" x14ac:dyDescent="0.35">
      <c r="A124" s="21" t="s">
        <v>1039</v>
      </c>
      <c r="B124" s="21" t="s">
        <v>489</v>
      </c>
      <c r="C124" s="46">
        <v>0</v>
      </c>
      <c r="D124" s="46">
        <v>1528</v>
      </c>
      <c r="E124" s="46">
        <v>-2551759.12</v>
      </c>
      <c r="F124" s="21" t="s">
        <v>3</v>
      </c>
      <c r="G124" s="21" t="s">
        <v>624</v>
      </c>
      <c r="H124" s="21" t="s">
        <v>500</v>
      </c>
      <c r="I124" s="21"/>
      <c r="J124" s="21" t="s">
        <v>624</v>
      </c>
      <c r="K124" s="77">
        <v>246779410847</v>
      </c>
    </row>
    <row r="125" spans="1:11" hidden="1" x14ac:dyDescent="0.35">
      <c r="A125" s="21" t="s">
        <v>1039</v>
      </c>
      <c r="B125" s="21" t="s">
        <v>489</v>
      </c>
      <c r="C125" s="46">
        <v>0</v>
      </c>
      <c r="D125" s="46">
        <v>3436</v>
      </c>
      <c r="E125" s="46">
        <v>-2555195.12</v>
      </c>
      <c r="F125" s="21" t="s">
        <v>3</v>
      </c>
      <c r="G125" s="21" t="s">
        <v>625</v>
      </c>
      <c r="H125" s="21" t="s">
        <v>500</v>
      </c>
      <c r="I125" s="21"/>
      <c r="J125" s="21" t="s">
        <v>625</v>
      </c>
      <c r="K125" s="77">
        <v>246779410849</v>
      </c>
    </row>
    <row r="126" spans="1:11" hidden="1" x14ac:dyDescent="0.35">
      <c r="A126" s="21" t="s">
        <v>1039</v>
      </c>
      <c r="B126" s="21" t="s">
        <v>489</v>
      </c>
      <c r="C126" s="46">
        <v>0</v>
      </c>
      <c r="D126" s="46">
        <v>763</v>
      </c>
      <c r="E126" s="46">
        <v>-2555958.12</v>
      </c>
      <c r="F126" s="21" t="s">
        <v>3</v>
      </c>
      <c r="G126" s="21" t="s">
        <v>626</v>
      </c>
      <c r="H126" s="21" t="s">
        <v>500</v>
      </c>
      <c r="I126" s="21"/>
      <c r="J126" s="21" t="s">
        <v>626</v>
      </c>
      <c r="K126" s="77">
        <v>246779410850</v>
      </c>
    </row>
    <row r="127" spans="1:11" hidden="1" x14ac:dyDescent="0.35">
      <c r="A127" s="21" t="s">
        <v>1039</v>
      </c>
      <c r="B127" s="21" t="s">
        <v>489</v>
      </c>
      <c r="C127" s="46">
        <v>0</v>
      </c>
      <c r="D127" s="46">
        <v>381</v>
      </c>
      <c r="E127" s="46">
        <v>-2556339.12</v>
      </c>
      <c r="F127" s="21" t="s">
        <v>3</v>
      </c>
      <c r="G127" s="21" t="s">
        <v>627</v>
      </c>
      <c r="H127" s="21" t="s">
        <v>500</v>
      </c>
      <c r="I127" s="21"/>
      <c r="J127" s="21" t="s">
        <v>627</v>
      </c>
      <c r="K127" s="77">
        <v>246779410851</v>
      </c>
    </row>
    <row r="128" spans="1:11" hidden="1" x14ac:dyDescent="0.35">
      <c r="A128" s="21" t="s">
        <v>1039</v>
      </c>
      <c r="B128" s="21" t="s">
        <v>489</v>
      </c>
      <c r="C128" s="46">
        <v>0</v>
      </c>
      <c r="D128" s="46">
        <v>381</v>
      </c>
      <c r="E128" s="46">
        <v>-2556720.12</v>
      </c>
      <c r="F128" s="21" t="s">
        <v>3</v>
      </c>
      <c r="G128" s="21" t="s">
        <v>628</v>
      </c>
      <c r="H128" s="21" t="s">
        <v>500</v>
      </c>
      <c r="I128" s="21"/>
      <c r="J128" s="21" t="s">
        <v>628</v>
      </c>
      <c r="K128" s="77">
        <v>246779410852</v>
      </c>
    </row>
    <row r="129" spans="1:11" hidden="1" x14ac:dyDescent="0.35">
      <c r="A129" s="21" t="s">
        <v>1039</v>
      </c>
      <c r="B129" s="21" t="s">
        <v>489</v>
      </c>
      <c r="C129" s="46">
        <v>0</v>
      </c>
      <c r="D129" s="46">
        <v>190</v>
      </c>
      <c r="E129" s="46">
        <v>-2556910.12</v>
      </c>
      <c r="F129" s="21" t="s">
        <v>3</v>
      </c>
      <c r="G129" s="21" t="s">
        <v>629</v>
      </c>
      <c r="H129" s="21" t="s">
        <v>500</v>
      </c>
      <c r="I129" s="21"/>
      <c r="J129" s="21" t="s">
        <v>629</v>
      </c>
      <c r="K129" s="77">
        <v>246779410853</v>
      </c>
    </row>
    <row r="130" spans="1:11" hidden="1" x14ac:dyDescent="0.35">
      <c r="A130" s="21" t="s">
        <v>1039</v>
      </c>
      <c r="B130" s="21" t="s">
        <v>489</v>
      </c>
      <c r="C130" s="46">
        <v>0</v>
      </c>
      <c r="D130" s="46">
        <v>1145</v>
      </c>
      <c r="E130" s="46">
        <v>-2558055.12</v>
      </c>
      <c r="F130" s="21" t="s">
        <v>3</v>
      </c>
      <c r="G130" s="21" t="s">
        <v>630</v>
      </c>
      <c r="H130" s="21" t="s">
        <v>500</v>
      </c>
      <c r="I130" s="21"/>
      <c r="J130" s="21" t="s">
        <v>630</v>
      </c>
      <c r="K130" s="77">
        <v>246779410854</v>
      </c>
    </row>
    <row r="131" spans="1:11" hidden="1" x14ac:dyDescent="0.35">
      <c r="A131" s="21" t="s">
        <v>1039</v>
      </c>
      <c r="B131" s="21" t="s">
        <v>489</v>
      </c>
      <c r="C131" s="46">
        <v>0</v>
      </c>
      <c r="D131" s="46">
        <v>1527</v>
      </c>
      <c r="E131" s="46">
        <v>-2559582.12</v>
      </c>
      <c r="F131" s="21" t="s">
        <v>3</v>
      </c>
      <c r="G131" s="21" t="s">
        <v>631</v>
      </c>
      <c r="H131" s="21" t="s">
        <v>500</v>
      </c>
      <c r="I131" s="21"/>
      <c r="J131" s="21" t="s">
        <v>631</v>
      </c>
      <c r="K131" s="77">
        <v>246779410855</v>
      </c>
    </row>
    <row r="132" spans="1:11" hidden="1" x14ac:dyDescent="0.35">
      <c r="A132" s="21" t="s">
        <v>1039</v>
      </c>
      <c r="B132" s="21" t="s">
        <v>489</v>
      </c>
      <c r="C132" s="46">
        <v>0</v>
      </c>
      <c r="D132" s="46">
        <v>1268</v>
      </c>
      <c r="E132" s="46">
        <v>-2560850.12</v>
      </c>
      <c r="F132" s="21" t="s">
        <v>3</v>
      </c>
      <c r="G132" s="21" t="s">
        <v>632</v>
      </c>
      <c r="H132" s="21" t="s">
        <v>500</v>
      </c>
      <c r="I132" s="21"/>
      <c r="J132" s="21" t="s">
        <v>632</v>
      </c>
      <c r="K132" s="77">
        <v>246779414681</v>
      </c>
    </row>
    <row r="133" spans="1:11" hidden="1" x14ac:dyDescent="0.35">
      <c r="A133" s="21" t="s">
        <v>1039</v>
      </c>
      <c r="B133" s="21" t="s">
        <v>489</v>
      </c>
      <c r="C133" s="46">
        <v>0</v>
      </c>
      <c r="D133" s="46">
        <v>211</v>
      </c>
      <c r="E133" s="46">
        <v>-2561061.12</v>
      </c>
      <c r="F133" s="21" t="s">
        <v>3</v>
      </c>
      <c r="G133" s="21" t="s">
        <v>633</v>
      </c>
      <c r="H133" s="21" t="s">
        <v>557</v>
      </c>
      <c r="I133" s="21"/>
      <c r="J133" s="21" t="s">
        <v>633</v>
      </c>
      <c r="K133" s="77">
        <v>246779414734</v>
      </c>
    </row>
    <row r="134" spans="1:11" hidden="1" x14ac:dyDescent="0.35">
      <c r="A134" s="21" t="s">
        <v>1039</v>
      </c>
      <c r="B134" s="21" t="s">
        <v>489</v>
      </c>
      <c r="C134" s="46">
        <v>0</v>
      </c>
      <c r="D134" s="46">
        <v>211</v>
      </c>
      <c r="E134" s="46">
        <v>-2561272.12</v>
      </c>
      <c r="F134" s="21" t="s">
        <v>3</v>
      </c>
      <c r="G134" s="21" t="s">
        <v>634</v>
      </c>
      <c r="H134" s="21" t="s">
        <v>500</v>
      </c>
      <c r="I134" s="21"/>
      <c r="J134" s="21" t="s">
        <v>634</v>
      </c>
      <c r="K134" s="77">
        <v>246779414885</v>
      </c>
    </row>
    <row r="135" spans="1:11" hidden="1" x14ac:dyDescent="0.35">
      <c r="A135" s="21" t="s">
        <v>1039</v>
      </c>
      <c r="B135" s="21" t="s">
        <v>489</v>
      </c>
      <c r="C135" s="46">
        <v>0</v>
      </c>
      <c r="D135" s="46">
        <v>17701</v>
      </c>
      <c r="E135" s="46">
        <v>-2578973.12</v>
      </c>
      <c r="F135" s="21" t="s">
        <v>3</v>
      </c>
      <c r="G135" s="21" t="s">
        <v>635</v>
      </c>
      <c r="H135" s="21" t="s">
        <v>500</v>
      </c>
      <c r="I135" s="21"/>
      <c r="J135" s="21" t="s">
        <v>635</v>
      </c>
      <c r="K135" s="77">
        <v>246779414221</v>
      </c>
    </row>
    <row r="136" spans="1:11" hidden="1" x14ac:dyDescent="0.35">
      <c r="A136" s="21" t="s">
        <v>1039</v>
      </c>
      <c r="B136" s="21" t="s">
        <v>489</v>
      </c>
      <c r="C136" s="46">
        <v>0</v>
      </c>
      <c r="D136" s="46">
        <v>596</v>
      </c>
      <c r="E136" s="46">
        <v>-2579569.12</v>
      </c>
      <c r="F136" s="21" t="s">
        <v>3</v>
      </c>
      <c r="G136" s="21" t="s">
        <v>636</v>
      </c>
      <c r="H136" s="21" t="s">
        <v>500</v>
      </c>
      <c r="I136" s="21"/>
      <c r="J136" s="21" t="s">
        <v>636</v>
      </c>
      <c r="K136" s="77">
        <v>246779413691</v>
      </c>
    </row>
    <row r="137" spans="1:11" hidden="1" x14ac:dyDescent="0.35">
      <c r="A137" s="21" t="s">
        <v>1039</v>
      </c>
      <c r="B137" s="21" t="s">
        <v>489</v>
      </c>
      <c r="C137" s="46">
        <v>0</v>
      </c>
      <c r="D137" s="46">
        <v>994</v>
      </c>
      <c r="E137" s="46">
        <v>-2580563.12</v>
      </c>
      <c r="F137" s="21" t="s">
        <v>3</v>
      </c>
      <c r="G137" s="21" t="s">
        <v>637</v>
      </c>
      <c r="H137" s="21" t="s">
        <v>500</v>
      </c>
      <c r="I137" s="21"/>
      <c r="J137" s="21" t="s">
        <v>637</v>
      </c>
      <c r="K137" s="77">
        <v>246779413772</v>
      </c>
    </row>
    <row r="138" spans="1:11" hidden="1" x14ac:dyDescent="0.35">
      <c r="A138" s="21" t="s">
        <v>1039</v>
      </c>
      <c r="B138" s="21" t="s">
        <v>489</v>
      </c>
      <c r="C138" s="46">
        <v>0</v>
      </c>
      <c r="D138" s="46">
        <v>17857</v>
      </c>
      <c r="E138" s="46">
        <v>-2598420.12</v>
      </c>
      <c r="F138" s="21" t="s">
        <v>3</v>
      </c>
      <c r="G138" s="21" t="s">
        <v>638</v>
      </c>
      <c r="H138" s="21" t="s">
        <v>608</v>
      </c>
      <c r="I138" s="21"/>
      <c r="J138" s="21" t="s">
        <v>638</v>
      </c>
      <c r="K138" s="77">
        <v>246779411339</v>
      </c>
    </row>
    <row r="139" spans="1:11" hidden="1" x14ac:dyDescent="0.35">
      <c r="A139" s="21" t="s">
        <v>1039</v>
      </c>
      <c r="B139" s="21" t="s">
        <v>489</v>
      </c>
      <c r="C139" s="46">
        <v>0</v>
      </c>
      <c r="D139" s="46">
        <v>8522</v>
      </c>
      <c r="E139" s="46">
        <v>-2606942.12</v>
      </c>
      <c r="F139" s="21" t="s">
        <v>3</v>
      </c>
      <c r="G139" s="21" t="s">
        <v>639</v>
      </c>
      <c r="H139" s="21" t="s">
        <v>608</v>
      </c>
      <c r="I139" s="21"/>
      <c r="J139" s="21" t="s">
        <v>639</v>
      </c>
      <c r="K139" s="77">
        <v>246779411314</v>
      </c>
    </row>
    <row r="140" spans="1:11" hidden="1" x14ac:dyDescent="0.35">
      <c r="A140" s="21" t="s">
        <v>1039</v>
      </c>
      <c r="B140" s="21" t="s">
        <v>489</v>
      </c>
      <c r="C140" s="46">
        <v>0</v>
      </c>
      <c r="D140" s="46">
        <v>143412</v>
      </c>
      <c r="E140" s="46">
        <v>-2750354.12</v>
      </c>
      <c r="F140" s="21" t="s">
        <v>3</v>
      </c>
      <c r="G140" s="21" t="s">
        <v>640</v>
      </c>
      <c r="H140" s="21" t="s">
        <v>573</v>
      </c>
      <c r="I140" s="21"/>
      <c r="J140" s="21" t="s">
        <v>640</v>
      </c>
      <c r="K140" s="77">
        <v>246779411619</v>
      </c>
    </row>
    <row r="141" spans="1:11" hidden="1" x14ac:dyDescent="0.35">
      <c r="A141" s="21" t="s">
        <v>1039</v>
      </c>
      <c r="B141" s="21" t="s">
        <v>489</v>
      </c>
      <c r="C141" s="46">
        <v>0</v>
      </c>
      <c r="D141" s="46">
        <v>5816</v>
      </c>
      <c r="E141" s="46">
        <v>-2756170.12</v>
      </c>
      <c r="F141" s="21" t="s">
        <v>3</v>
      </c>
      <c r="G141" s="21" t="s">
        <v>641</v>
      </c>
      <c r="H141" s="21" t="s">
        <v>573</v>
      </c>
      <c r="I141" s="21"/>
      <c r="J141" s="21" t="s">
        <v>641</v>
      </c>
      <c r="K141" s="77">
        <v>246779411620</v>
      </c>
    </row>
    <row r="142" spans="1:11" hidden="1" x14ac:dyDescent="0.35">
      <c r="A142" s="21" t="s">
        <v>1039</v>
      </c>
      <c r="B142" s="21" t="s">
        <v>489</v>
      </c>
      <c r="C142" s="46">
        <v>0</v>
      </c>
      <c r="D142" s="46">
        <v>5816</v>
      </c>
      <c r="E142" s="46">
        <v>-2761986.12</v>
      </c>
      <c r="F142" s="21" t="s">
        <v>3</v>
      </c>
      <c r="G142" s="21" t="s">
        <v>642</v>
      </c>
      <c r="H142" s="21" t="s">
        <v>573</v>
      </c>
      <c r="I142" s="21"/>
      <c r="J142" s="21" t="s">
        <v>642</v>
      </c>
      <c r="K142" s="77">
        <v>246779411755</v>
      </c>
    </row>
    <row r="143" spans="1:11" hidden="1" x14ac:dyDescent="0.35">
      <c r="A143" s="21" t="s">
        <v>1039</v>
      </c>
      <c r="B143" s="21" t="s">
        <v>489</v>
      </c>
      <c r="C143" s="46">
        <v>0</v>
      </c>
      <c r="D143" s="46">
        <v>4339</v>
      </c>
      <c r="E143" s="46">
        <v>-2766325.12</v>
      </c>
      <c r="F143" s="21" t="s">
        <v>3</v>
      </c>
      <c r="G143" s="21" t="s">
        <v>643</v>
      </c>
      <c r="H143" s="21" t="s">
        <v>573</v>
      </c>
      <c r="I143" s="21"/>
      <c r="J143" s="21" t="s">
        <v>643</v>
      </c>
      <c r="K143" s="77">
        <v>246779411756</v>
      </c>
    </row>
    <row r="144" spans="1:11" hidden="1" x14ac:dyDescent="0.35">
      <c r="A144" s="21" t="s">
        <v>1039</v>
      </c>
      <c r="B144" s="21" t="s">
        <v>489</v>
      </c>
      <c r="C144" s="46">
        <v>0</v>
      </c>
      <c r="D144" s="46">
        <v>6761</v>
      </c>
      <c r="E144" s="46">
        <v>-2773086.12</v>
      </c>
      <c r="F144" s="21" t="s">
        <v>3</v>
      </c>
      <c r="G144" s="21" t="s">
        <v>644</v>
      </c>
      <c r="H144" s="21" t="s">
        <v>573</v>
      </c>
      <c r="I144" s="21"/>
      <c r="J144" s="21" t="s">
        <v>644</v>
      </c>
      <c r="K144" s="77">
        <v>246779411759</v>
      </c>
    </row>
    <row r="145" spans="1:11" hidden="1" x14ac:dyDescent="0.35">
      <c r="A145" s="21" t="s">
        <v>1039</v>
      </c>
      <c r="B145" s="21" t="s">
        <v>489</v>
      </c>
      <c r="C145" s="46">
        <v>0</v>
      </c>
      <c r="D145" s="46">
        <v>3110</v>
      </c>
      <c r="E145" s="46">
        <v>-2776196.12</v>
      </c>
      <c r="F145" s="21" t="s">
        <v>3</v>
      </c>
      <c r="G145" s="21" t="s">
        <v>645</v>
      </c>
      <c r="H145" s="21" t="s">
        <v>573</v>
      </c>
      <c r="I145" s="21"/>
      <c r="J145" s="21" t="s">
        <v>645</v>
      </c>
      <c r="K145" s="77">
        <v>246779411757</v>
      </c>
    </row>
    <row r="146" spans="1:11" hidden="1" x14ac:dyDescent="0.35">
      <c r="A146" s="21" t="s">
        <v>1039</v>
      </c>
      <c r="B146" s="21" t="s">
        <v>489</v>
      </c>
      <c r="C146" s="46">
        <v>0</v>
      </c>
      <c r="D146" s="46">
        <v>33376</v>
      </c>
      <c r="E146" s="46">
        <v>-2809572.12</v>
      </c>
      <c r="F146" s="21" t="s">
        <v>3</v>
      </c>
      <c r="G146" s="21" t="s">
        <v>646</v>
      </c>
      <c r="H146" s="21" t="s">
        <v>608</v>
      </c>
      <c r="I146" s="21" t="s">
        <v>1040</v>
      </c>
      <c r="J146" s="21" t="s">
        <v>646</v>
      </c>
      <c r="K146" s="77">
        <v>246779411300</v>
      </c>
    </row>
    <row r="147" spans="1:11" hidden="1" x14ac:dyDescent="0.35">
      <c r="A147" s="22" t="s">
        <v>1041</v>
      </c>
      <c r="B147" s="22" t="s">
        <v>489</v>
      </c>
      <c r="C147" s="60">
        <v>0</v>
      </c>
      <c r="D147" s="60">
        <v>1161</v>
      </c>
      <c r="E147" s="60">
        <v>-2810733.12</v>
      </c>
      <c r="F147" s="22" t="s">
        <v>3</v>
      </c>
      <c r="G147" s="22" t="s">
        <v>647</v>
      </c>
      <c r="H147" s="22" t="s">
        <v>573</v>
      </c>
      <c r="I147" s="22" t="s">
        <v>492</v>
      </c>
      <c r="J147" s="22" t="s">
        <v>647</v>
      </c>
      <c r="K147" s="24">
        <v>246779411448</v>
      </c>
    </row>
    <row r="148" spans="1:11" hidden="1" x14ac:dyDescent="0.35">
      <c r="A148" s="22" t="s">
        <v>1041</v>
      </c>
      <c r="B148" s="22" t="s">
        <v>489</v>
      </c>
      <c r="C148" s="60">
        <v>0</v>
      </c>
      <c r="D148" s="60">
        <v>1591</v>
      </c>
      <c r="E148" s="60">
        <v>-2812324.12</v>
      </c>
      <c r="F148" s="22" t="s">
        <v>3</v>
      </c>
      <c r="G148" s="22" t="s">
        <v>648</v>
      </c>
      <c r="H148" s="22" t="s">
        <v>500</v>
      </c>
      <c r="I148" s="22" t="s">
        <v>492</v>
      </c>
      <c r="J148" s="22" t="s">
        <v>648</v>
      </c>
      <c r="K148" s="24">
        <v>246779413689</v>
      </c>
    </row>
    <row r="149" spans="1:11" hidden="1" x14ac:dyDescent="0.35">
      <c r="A149" s="22" t="s">
        <v>1041</v>
      </c>
      <c r="B149" s="22" t="s">
        <v>489</v>
      </c>
      <c r="C149" s="60">
        <v>0</v>
      </c>
      <c r="D149" s="60">
        <v>574</v>
      </c>
      <c r="E149" s="60">
        <v>-2812898.12</v>
      </c>
      <c r="F149" s="22" t="s">
        <v>3</v>
      </c>
      <c r="G149" s="22" t="s">
        <v>649</v>
      </c>
      <c r="H149" s="22" t="s">
        <v>500</v>
      </c>
      <c r="I149" s="22" t="s">
        <v>492</v>
      </c>
      <c r="J149" s="22" t="s">
        <v>649</v>
      </c>
      <c r="K149" s="24">
        <v>246779413740</v>
      </c>
    </row>
    <row r="150" spans="1:11" hidden="1" x14ac:dyDescent="0.35">
      <c r="A150" s="22" t="s">
        <v>1041</v>
      </c>
      <c r="B150" s="22" t="s">
        <v>489</v>
      </c>
      <c r="C150" s="60">
        <v>0</v>
      </c>
      <c r="D150" s="60">
        <v>574</v>
      </c>
      <c r="E150" s="60">
        <v>-2813472.12</v>
      </c>
      <c r="F150" s="22" t="s">
        <v>3</v>
      </c>
      <c r="G150" s="22" t="s">
        <v>650</v>
      </c>
      <c r="H150" s="22" t="s">
        <v>500</v>
      </c>
      <c r="I150" s="22" t="s">
        <v>492</v>
      </c>
      <c r="J150" s="22" t="s">
        <v>650</v>
      </c>
      <c r="K150" s="24">
        <v>246779413737</v>
      </c>
    </row>
    <row r="151" spans="1:11" hidden="1" x14ac:dyDescent="0.35">
      <c r="A151" s="22" t="s">
        <v>1041</v>
      </c>
      <c r="B151" s="22" t="s">
        <v>489</v>
      </c>
      <c r="C151" s="60">
        <v>0</v>
      </c>
      <c r="D151" s="60">
        <v>6896</v>
      </c>
      <c r="E151" s="60">
        <v>-2820368.12</v>
      </c>
      <c r="F151" s="22" t="s">
        <v>3</v>
      </c>
      <c r="G151" s="22" t="s">
        <v>651</v>
      </c>
      <c r="H151" s="22" t="s">
        <v>500</v>
      </c>
      <c r="I151" s="22" t="s">
        <v>492</v>
      </c>
      <c r="J151" s="22" t="s">
        <v>651</v>
      </c>
      <c r="K151" s="24">
        <v>246779413735</v>
      </c>
    </row>
    <row r="152" spans="1:11" hidden="1" x14ac:dyDescent="0.35">
      <c r="A152" s="22" t="s">
        <v>1041</v>
      </c>
      <c r="B152" s="22" t="s">
        <v>489</v>
      </c>
      <c r="C152" s="60">
        <v>0</v>
      </c>
      <c r="D152" s="60">
        <v>191</v>
      </c>
      <c r="E152" s="60">
        <v>-2820559.12</v>
      </c>
      <c r="F152" s="22" t="s">
        <v>3</v>
      </c>
      <c r="G152" s="22" t="s">
        <v>652</v>
      </c>
      <c r="H152" s="22" t="s">
        <v>500</v>
      </c>
      <c r="I152" s="22" t="s">
        <v>492</v>
      </c>
      <c r="J152" s="22" t="s">
        <v>652</v>
      </c>
      <c r="K152" s="24">
        <v>246779413744</v>
      </c>
    </row>
    <row r="153" spans="1:11" hidden="1" x14ac:dyDescent="0.35">
      <c r="A153" s="22" t="s">
        <v>1041</v>
      </c>
      <c r="B153" s="22" t="s">
        <v>489</v>
      </c>
      <c r="C153" s="60">
        <v>0</v>
      </c>
      <c r="D153" s="60">
        <v>191</v>
      </c>
      <c r="E153" s="60">
        <v>-2820750.12</v>
      </c>
      <c r="F153" s="22" t="s">
        <v>3</v>
      </c>
      <c r="G153" s="22" t="s">
        <v>653</v>
      </c>
      <c r="H153" s="22" t="s">
        <v>500</v>
      </c>
      <c r="I153" s="22" t="s">
        <v>492</v>
      </c>
      <c r="J153" s="22" t="s">
        <v>653</v>
      </c>
      <c r="K153" s="24">
        <v>246779413733</v>
      </c>
    </row>
    <row r="154" spans="1:11" hidden="1" x14ac:dyDescent="0.35">
      <c r="A154" s="22" t="s">
        <v>1041</v>
      </c>
      <c r="B154" s="22" t="s">
        <v>489</v>
      </c>
      <c r="C154" s="60">
        <v>0</v>
      </c>
      <c r="D154" s="60">
        <v>383</v>
      </c>
      <c r="E154" s="60">
        <v>-2821133.12</v>
      </c>
      <c r="F154" s="22" t="s">
        <v>3</v>
      </c>
      <c r="G154" s="22" t="s">
        <v>654</v>
      </c>
      <c r="H154" s="22" t="s">
        <v>500</v>
      </c>
      <c r="I154" s="22" t="s">
        <v>492</v>
      </c>
      <c r="J154" s="22" t="s">
        <v>654</v>
      </c>
      <c r="K154" s="24">
        <v>246779413743</v>
      </c>
    </row>
    <row r="155" spans="1:11" hidden="1" x14ac:dyDescent="0.35">
      <c r="A155" s="22" t="s">
        <v>1041</v>
      </c>
      <c r="B155" s="22" t="s">
        <v>489</v>
      </c>
      <c r="C155" s="60">
        <v>0</v>
      </c>
      <c r="D155" s="60">
        <v>383</v>
      </c>
      <c r="E155" s="60">
        <v>-2821516.12</v>
      </c>
      <c r="F155" s="22" t="s">
        <v>3</v>
      </c>
      <c r="G155" s="22" t="s">
        <v>655</v>
      </c>
      <c r="H155" s="22" t="s">
        <v>500</v>
      </c>
      <c r="I155" s="22" t="s">
        <v>492</v>
      </c>
      <c r="J155" s="22" t="s">
        <v>655</v>
      </c>
      <c r="K155" s="24">
        <v>246779414680</v>
      </c>
    </row>
    <row r="156" spans="1:11" hidden="1" x14ac:dyDescent="0.35">
      <c r="A156" s="22" t="s">
        <v>1041</v>
      </c>
      <c r="B156" s="22" t="s">
        <v>489</v>
      </c>
      <c r="C156" s="60">
        <v>0</v>
      </c>
      <c r="D156" s="60">
        <v>6895</v>
      </c>
      <c r="E156" s="60">
        <v>-2828411.12</v>
      </c>
      <c r="F156" s="22" t="s">
        <v>3</v>
      </c>
      <c r="G156" s="22" t="s">
        <v>656</v>
      </c>
      <c r="H156" s="22" t="s">
        <v>500</v>
      </c>
      <c r="I156" s="22" t="s">
        <v>492</v>
      </c>
      <c r="J156" s="22" t="s">
        <v>656</v>
      </c>
      <c r="K156" s="24">
        <v>246779413741</v>
      </c>
    </row>
    <row r="157" spans="1:11" hidden="1" x14ac:dyDescent="0.35">
      <c r="A157" s="22" t="s">
        <v>1041</v>
      </c>
      <c r="B157" s="22" t="s">
        <v>489</v>
      </c>
      <c r="C157" s="60">
        <v>0</v>
      </c>
      <c r="D157" s="60">
        <v>846</v>
      </c>
      <c r="E157" s="60">
        <v>-2829257.12</v>
      </c>
      <c r="F157" s="22" t="s">
        <v>3</v>
      </c>
      <c r="G157" s="22" t="s">
        <v>657</v>
      </c>
      <c r="H157" s="22" t="s">
        <v>557</v>
      </c>
      <c r="I157" s="22" t="s">
        <v>492</v>
      </c>
      <c r="J157" s="22" t="s">
        <v>657</v>
      </c>
      <c r="K157" s="24">
        <v>246779413933</v>
      </c>
    </row>
    <row r="158" spans="1:11" hidden="1" x14ac:dyDescent="0.35">
      <c r="A158" s="22" t="s">
        <v>1041</v>
      </c>
      <c r="B158" s="22" t="s">
        <v>489</v>
      </c>
      <c r="C158" s="60">
        <v>0</v>
      </c>
      <c r="D158" s="60">
        <v>3203</v>
      </c>
      <c r="E158" s="60">
        <v>-2832460.12</v>
      </c>
      <c r="F158" s="22" t="s">
        <v>3</v>
      </c>
      <c r="G158" s="22" t="s">
        <v>658</v>
      </c>
      <c r="H158" s="22" t="s">
        <v>500</v>
      </c>
      <c r="I158" s="22" t="s">
        <v>492</v>
      </c>
      <c r="J158" s="22" t="s">
        <v>658</v>
      </c>
      <c r="K158" s="24">
        <v>246779410609</v>
      </c>
    </row>
    <row r="159" spans="1:11" hidden="1" x14ac:dyDescent="0.35">
      <c r="A159" s="22" t="s">
        <v>1041</v>
      </c>
      <c r="B159" s="22" t="s">
        <v>489</v>
      </c>
      <c r="C159" s="60">
        <v>0</v>
      </c>
      <c r="D159" s="60">
        <v>3603</v>
      </c>
      <c r="E159" s="60">
        <v>-2836063.12</v>
      </c>
      <c r="F159" s="22" t="s">
        <v>3</v>
      </c>
      <c r="G159" s="22" t="s">
        <v>659</v>
      </c>
      <c r="H159" s="22" t="s">
        <v>500</v>
      </c>
      <c r="I159" s="22" t="s">
        <v>492</v>
      </c>
      <c r="J159" s="22" t="s">
        <v>659</v>
      </c>
      <c r="K159" s="24">
        <v>246779413738</v>
      </c>
    </row>
    <row r="160" spans="1:11" hidden="1" x14ac:dyDescent="0.35">
      <c r="A160" s="22" t="s">
        <v>1041</v>
      </c>
      <c r="B160" s="22" t="s">
        <v>489</v>
      </c>
      <c r="C160" s="60">
        <v>0</v>
      </c>
      <c r="D160" s="60">
        <v>200</v>
      </c>
      <c r="E160" s="60">
        <v>-2836263.12</v>
      </c>
      <c r="F160" s="22" t="s">
        <v>3</v>
      </c>
      <c r="G160" s="22" t="s">
        <v>660</v>
      </c>
      <c r="H160" s="22" t="s">
        <v>500</v>
      </c>
      <c r="I160" s="22" t="s">
        <v>492</v>
      </c>
      <c r="J160" s="22" t="s">
        <v>660</v>
      </c>
      <c r="K160" s="24">
        <v>246779410498</v>
      </c>
    </row>
    <row r="161" spans="1:11" hidden="1" x14ac:dyDescent="0.35">
      <c r="A161" s="22" t="s">
        <v>1041</v>
      </c>
      <c r="B161" s="22" t="s">
        <v>489</v>
      </c>
      <c r="C161" s="60">
        <v>0</v>
      </c>
      <c r="D161" s="60">
        <v>13011</v>
      </c>
      <c r="E161" s="60">
        <v>-2849274.12</v>
      </c>
      <c r="F161" s="22" t="s">
        <v>3</v>
      </c>
      <c r="G161" s="22" t="s">
        <v>661</v>
      </c>
      <c r="H161" s="22" t="s">
        <v>507</v>
      </c>
      <c r="I161" s="22" t="s">
        <v>492</v>
      </c>
      <c r="J161" s="22" t="s">
        <v>661</v>
      </c>
      <c r="K161" s="24">
        <v>246779413704</v>
      </c>
    </row>
    <row r="162" spans="1:11" hidden="1" x14ac:dyDescent="0.35">
      <c r="A162" s="22" t="s">
        <v>1041</v>
      </c>
      <c r="B162" s="22" t="s">
        <v>489</v>
      </c>
      <c r="C162" s="60">
        <v>0</v>
      </c>
      <c r="D162" s="60">
        <v>200</v>
      </c>
      <c r="E162" s="60">
        <v>-2849474.12</v>
      </c>
      <c r="F162" s="22" t="s">
        <v>3</v>
      </c>
      <c r="G162" s="22" t="s">
        <v>662</v>
      </c>
      <c r="H162" s="22" t="s">
        <v>500</v>
      </c>
      <c r="I162" s="22" t="s">
        <v>492</v>
      </c>
      <c r="J162" s="22" t="s">
        <v>662</v>
      </c>
      <c r="K162" s="24">
        <v>246779410848</v>
      </c>
    </row>
    <row r="163" spans="1:11" hidden="1" x14ac:dyDescent="0.35">
      <c r="A163" s="22" t="s">
        <v>1041</v>
      </c>
      <c r="B163" s="22" t="s">
        <v>489</v>
      </c>
      <c r="C163" s="60">
        <v>0</v>
      </c>
      <c r="D163" s="60">
        <v>45188</v>
      </c>
      <c r="E163" s="60">
        <v>-2894662.12</v>
      </c>
      <c r="F163" s="22" t="s">
        <v>3</v>
      </c>
      <c r="G163" s="22" t="s">
        <v>663</v>
      </c>
      <c r="H163" s="22" t="s">
        <v>664</v>
      </c>
      <c r="I163" s="22" t="s">
        <v>492</v>
      </c>
      <c r="J163" s="22" t="s">
        <v>663</v>
      </c>
      <c r="K163" s="24">
        <v>246779413845</v>
      </c>
    </row>
    <row r="164" spans="1:11" hidden="1" x14ac:dyDescent="0.35">
      <c r="A164" s="22" t="s">
        <v>1041</v>
      </c>
      <c r="B164" s="22" t="s">
        <v>489</v>
      </c>
      <c r="C164" s="60">
        <v>0</v>
      </c>
      <c r="D164" s="60">
        <v>19429</v>
      </c>
      <c r="E164" s="60">
        <v>-2914091.12</v>
      </c>
      <c r="F164" s="22" t="s">
        <v>3</v>
      </c>
      <c r="G164" s="22" t="s">
        <v>665</v>
      </c>
      <c r="H164" s="22" t="s">
        <v>507</v>
      </c>
      <c r="I164" s="22" t="s">
        <v>492</v>
      </c>
      <c r="J164" s="22" t="s">
        <v>665</v>
      </c>
      <c r="K164" s="24">
        <v>246779413705</v>
      </c>
    </row>
    <row r="165" spans="1:11" hidden="1" x14ac:dyDescent="0.35">
      <c r="A165" s="22" t="s">
        <v>1041</v>
      </c>
      <c r="B165" s="22" t="s">
        <v>489</v>
      </c>
      <c r="C165" s="60">
        <v>0</v>
      </c>
      <c r="D165" s="60">
        <v>3594</v>
      </c>
      <c r="E165" s="60">
        <v>-2917685.12</v>
      </c>
      <c r="F165" s="22" t="s">
        <v>3</v>
      </c>
      <c r="G165" s="22" t="s">
        <v>666</v>
      </c>
      <c r="H165" s="22" t="s">
        <v>500</v>
      </c>
      <c r="I165" s="22" t="s">
        <v>492</v>
      </c>
      <c r="J165" s="22" t="s">
        <v>666</v>
      </c>
      <c r="K165" s="24">
        <v>246779410755</v>
      </c>
    </row>
    <row r="166" spans="1:11" hidden="1" x14ac:dyDescent="0.35">
      <c r="A166" s="22" t="s">
        <v>1041</v>
      </c>
      <c r="B166" s="22" t="s">
        <v>489</v>
      </c>
      <c r="C166" s="60">
        <v>0</v>
      </c>
      <c r="D166" s="60">
        <v>35477</v>
      </c>
      <c r="E166" s="60">
        <v>-2953162.12</v>
      </c>
      <c r="F166" s="22" t="s">
        <v>3</v>
      </c>
      <c r="G166" s="22" t="s">
        <v>667</v>
      </c>
      <c r="H166" s="22" t="s">
        <v>491</v>
      </c>
      <c r="I166" s="22" t="s">
        <v>492</v>
      </c>
      <c r="J166" s="22" t="s">
        <v>667</v>
      </c>
      <c r="K166" s="24">
        <v>246779410072</v>
      </c>
    </row>
    <row r="167" spans="1:11" hidden="1" x14ac:dyDescent="0.35">
      <c r="A167" s="22" t="s">
        <v>1041</v>
      </c>
      <c r="B167" s="22" t="s">
        <v>489</v>
      </c>
      <c r="C167" s="60">
        <v>0</v>
      </c>
      <c r="D167" s="60">
        <v>799</v>
      </c>
      <c r="E167" s="60">
        <v>-2953961.12</v>
      </c>
      <c r="F167" s="22" t="s">
        <v>3</v>
      </c>
      <c r="G167" s="22" t="s">
        <v>668</v>
      </c>
      <c r="H167" s="22" t="s">
        <v>500</v>
      </c>
      <c r="I167" s="22" t="s">
        <v>492</v>
      </c>
      <c r="J167" s="22" t="s">
        <v>668</v>
      </c>
      <c r="K167" s="24">
        <v>246779410688</v>
      </c>
    </row>
    <row r="168" spans="1:11" hidden="1" x14ac:dyDescent="0.35">
      <c r="A168" s="22" t="s">
        <v>1041</v>
      </c>
      <c r="B168" s="22" t="s">
        <v>489</v>
      </c>
      <c r="C168" s="60">
        <v>0</v>
      </c>
      <c r="D168" s="60">
        <v>1797</v>
      </c>
      <c r="E168" s="60">
        <v>-2955758.12</v>
      </c>
      <c r="F168" s="22" t="s">
        <v>3</v>
      </c>
      <c r="G168" s="22" t="s">
        <v>669</v>
      </c>
      <c r="H168" s="22" t="s">
        <v>500</v>
      </c>
      <c r="I168" s="22" t="s">
        <v>492</v>
      </c>
      <c r="J168" s="22" t="s">
        <v>669</v>
      </c>
      <c r="K168" s="24">
        <v>246779410687</v>
      </c>
    </row>
    <row r="169" spans="1:11" hidden="1" x14ac:dyDescent="0.35">
      <c r="A169" s="22" t="s">
        <v>1041</v>
      </c>
      <c r="B169" s="22" t="s">
        <v>489</v>
      </c>
      <c r="C169" s="60">
        <v>0</v>
      </c>
      <c r="D169" s="60">
        <v>59624</v>
      </c>
      <c r="E169" s="60">
        <v>-3015382.12</v>
      </c>
      <c r="F169" s="22" t="s">
        <v>3</v>
      </c>
      <c r="G169" s="22" t="s">
        <v>670</v>
      </c>
      <c r="H169" s="22" t="s">
        <v>507</v>
      </c>
      <c r="I169" s="22" t="s">
        <v>492</v>
      </c>
      <c r="J169" s="22" t="s">
        <v>670</v>
      </c>
      <c r="K169" s="24">
        <v>246779410360</v>
      </c>
    </row>
    <row r="170" spans="1:11" hidden="1" x14ac:dyDescent="0.35">
      <c r="A170" s="22" t="s">
        <v>1042</v>
      </c>
      <c r="B170" s="22" t="s">
        <v>489</v>
      </c>
      <c r="C170" s="60">
        <v>0</v>
      </c>
      <c r="D170" s="60">
        <v>2883</v>
      </c>
      <c r="E170" s="60">
        <v>-3018265.12</v>
      </c>
      <c r="F170" s="22" t="s">
        <v>3</v>
      </c>
      <c r="G170" s="22" t="s">
        <v>671</v>
      </c>
      <c r="H170" s="22" t="s">
        <v>672</v>
      </c>
      <c r="I170" s="22" t="s">
        <v>492</v>
      </c>
      <c r="J170" s="22" t="s">
        <v>671</v>
      </c>
      <c r="K170" s="24">
        <v>256779410157</v>
      </c>
    </row>
    <row r="171" spans="1:11" hidden="1" x14ac:dyDescent="0.35">
      <c r="A171" s="22" t="s">
        <v>1042</v>
      </c>
      <c r="B171" s="22" t="s">
        <v>489</v>
      </c>
      <c r="C171" s="60">
        <v>0</v>
      </c>
      <c r="D171" s="60">
        <v>4913</v>
      </c>
      <c r="E171" s="60">
        <v>-3023178.12</v>
      </c>
      <c r="F171" s="22" t="s">
        <v>3</v>
      </c>
      <c r="G171" s="22" t="s">
        <v>673</v>
      </c>
      <c r="H171" s="22" t="s">
        <v>557</v>
      </c>
      <c r="I171" s="22" t="s">
        <v>492</v>
      </c>
      <c r="J171" s="22" t="s">
        <v>673</v>
      </c>
      <c r="K171" s="24">
        <v>256779410156</v>
      </c>
    </row>
    <row r="172" spans="1:11" hidden="1" x14ac:dyDescent="0.35">
      <c r="A172" s="22" t="s">
        <v>1042</v>
      </c>
      <c r="B172" s="22" t="s">
        <v>489</v>
      </c>
      <c r="C172" s="60">
        <v>0</v>
      </c>
      <c r="D172" s="60">
        <v>13011</v>
      </c>
      <c r="E172" s="60">
        <v>-3036189.12</v>
      </c>
      <c r="F172" s="22" t="s">
        <v>3</v>
      </c>
      <c r="G172" s="22" t="s">
        <v>674</v>
      </c>
      <c r="H172" s="22" t="s">
        <v>500</v>
      </c>
      <c r="I172" s="22" t="s">
        <v>492</v>
      </c>
      <c r="J172" s="22" t="s">
        <v>674</v>
      </c>
      <c r="K172" s="24">
        <v>256779410166</v>
      </c>
    </row>
    <row r="173" spans="1:11" hidden="1" x14ac:dyDescent="0.35">
      <c r="A173" s="22" t="s">
        <v>1042</v>
      </c>
      <c r="B173" s="22" t="s">
        <v>489</v>
      </c>
      <c r="C173" s="60">
        <v>0</v>
      </c>
      <c r="D173" s="60">
        <v>6205</v>
      </c>
      <c r="E173" s="60">
        <v>-3042394.12</v>
      </c>
      <c r="F173" s="22" t="s">
        <v>3</v>
      </c>
      <c r="G173" s="22" t="s">
        <v>675</v>
      </c>
      <c r="H173" s="22" t="s">
        <v>500</v>
      </c>
      <c r="I173" s="22" t="s">
        <v>492</v>
      </c>
      <c r="J173" s="22" t="s">
        <v>675</v>
      </c>
      <c r="K173" s="24">
        <v>256779410174</v>
      </c>
    </row>
    <row r="174" spans="1:11" hidden="1" x14ac:dyDescent="0.35">
      <c r="A174" s="22" t="s">
        <v>1042</v>
      </c>
      <c r="B174" s="22" t="s">
        <v>489</v>
      </c>
      <c r="C174" s="60">
        <v>0</v>
      </c>
      <c r="D174" s="60">
        <v>2937</v>
      </c>
      <c r="E174" s="60">
        <v>-3045331.12</v>
      </c>
      <c r="F174" s="22" t="s">
        <v>3</v>
      </c>
      <c r="G174" s="22" t="s">
        <v>676</v>
      </c>
      <c r="H174" s="22" t="s">
        <v>573</v>
      </c>
      <c r="I174" s="22" t="s">
        <v>492</v>
      </c>
      <c r="J174" s="22" t="s">
        <v>676</v>
      </c>
      <c r="K174" s="24">
        <v>256779410201</v>
      </c>
    </row>
    <row r="175" spans="1:11" hidden="1" x14ac:dyDescent="0.35">
      <c r="A175" s="22" t="s">
        <v>1042</v>
      </c>
      <c r="B175" s="22" t="s">
        <v>489</v>
      </c>
      <c r="C175" s="60">
        <v>0</v>
      </c>
      <c r="D175" s="60">
        <v>319</v>
      </c>
      <c r="E175" s="60">
        <v>-3045650.12</v>
      </c>
      <c r="F175" s="22" t="s">
        <v>3</v>
      </c>
      <c r="G175" s="22" t="s">
        <v>677</v>
      </c>
      <c r="H175" s="22" t="s">
        <v>579</v>
      </c>
      <c r="I175" s="22" t="s">
        <v>492</v>
      </c>
      <c r="J175" s="22" t="s">
        <v>677</v>
      </c>
      <c r="K175" s="24">
        <v>256779410135</v>
      </c>
    </row>
    <row r="176" spans="1:11" hidden="1" x14ac:dyDescent="0.35">
      <c r="A176" s="22" t="s">
        <v>1042</v>
      </c>
      <c r="B176" s="22" t="s">
        <v>489</v>
      </c>
      <c r="C176" s="60">
        <v>0</v>
      </c>
      <c r="D176" s="60">
        <v>639</v>
      </c>
      <c r="E176" s="60">
        <v>-3046289.12</v>
      </c>
      <c r="F176" s="22" t="s">
        <v>3</v>
      </c>
      <c r="G176" s="22" t="s">
        <v>678</v>
      </c>
      <c r="H176" s="22" t="s">
        <v>557</v>
      </c>
      <c r="I176" s="22" t="s">
        <v>492</v>
      </c>
      <c r="J176" s="22" t="s">
        <v>678</v>
      </c>
      <c r="K176" s="24">
        <v>256779410134</v>
      </c>
    </row>
    <row r="177" spans="1:11" hidden="1" x14ac:dyDescent="0.35">
      <c r="A177" s="22" t="s">
        <v>1042</v>
      </c>
      <c r="B177" s="22" t="s">
        <v>489</v>
      </c>
      <c r="C177" s="60">
        <v>0</v>
      </c>
      <c r="D177" s="60">
        <v>140649</v>
      </c>
      <c r="E177" s="60">
        <v>-3186938.12</v>
      </c>
      <c r="F177" s="22" t="s">
        <v>3</v>
      </c>
      <c r="G177" s="22" t="s">
        <v>679</v>
      </c>
      <c r="H177" s="22" t="s">
        <v>507</v>
      </c>
      <c r="I177" s="22" t="s">
        <v>492</v>
      </c>
      <c r="J177" s="22" t="s">
        <v>679</v>
      </c>
      <c r="K177" s="24">
        <v>256779410010</v>
      </c>
    </row>
    <row r="178" spans="1:11" hidden="1" x14ac:dyDescent="0.35">
      <c r="A178" s="22" t="s">
        <v>1042</v>
      </c>
      <c r="B178" s="22" t="s">
        <v>489</v>
      </c>
      <c r="C178" s="60">
        <v>0</v>
      </c>
      <c r="D178" s="60">
        <v>55272</v>
      </c>
      <c r="E178" s="60">
        <v>-3242210.12</v>
      </c>
      <c r="F178" s="22" t="s">
        <v>3</v>
      </c>
      <c r="G178" s="22" t="s">
        <v>680</v>
      </c>
      <c r="H178" s="22" t="s">
        <v>507</v>
      </c>
      <c r="I178" s="22" t="s">
        <v>492</v>
      </c>
      <c r="J178" s="22" t="s">
        <v>680</v>
      </c>
      <c r="K178" s="24">
        <v>256779410004</v>
      </c>
    </row>
    <row r="179" spans="1:11" hidden="1" x14ac:dyDescent="0.35">
      <c r="A179" s="22" t="s">
        <v>1042</v>
      </c>
      <c r="B179" s="22" t="s">
        <v>489</v>
      </c>
      <c r="C179" s="60">
        <v>0</v>
      </c>
      <c r="D179" s="60">
        <v>114223</v>
      </c>
      <c r="E179" s="60">
        <v>-3356433.12</v>
      </c>
      <c r="F179" s="22" t="s">
        <v>3</v>
      </c>
      <c r="G179" s="22" t="s">
        <v>681</v>
      </c>
      <c r="H179" s="22" t="s">
        <v>507</v>
      </c>
      <c r="I179" s="22" t="s">
        <v>492</v>
      </c>
      <c r="J179" s="22" t="s">
        <v>681</v>
      </c>
      <c r="K179" s="24">
        <v>256779410220</v>
      </c>
    </row>
    <row r="180" spans="1:11" hidden="1" x14ac:dyDescent="0.35">
      <c r="A180" s="22" t="s">
        <v>1043</v>
      </c>
      <c r="B180" s="22" t="s">
        <v>489</v>
      </c>
      <c r="C180" s="60">
        <v>0</v>
      </c>
      <c r="D180" s="60">
        <v>331566</v>
      </c>
      <c r="E180" s="60">
        <v>-3687999.12</v>
      </c>
      <c r="F180" s="22" t="s">
        <v>3</v>
      </c>
      <c r="G180" s="22" t="s">
        <v>682</v>
      </c>
      <c r="H180" s="22" t="s">
        <v>507</v>
      </c>
      <c r="I180" s="22" t="s">
        <v>492</v>
      </c>
      <c r="J180" s="22" t="s">
        <v>682</v>
      </c>
      <c r="K180" s="24">
        <v>256779410812</v>
      </c>
    </row>
    <row r="181" spans="1:11" hidden="1" x14ac:dyDescent="0.35">
      <c r="A181" s="22" t="s">
        <v>1043</v>
      </c>
      <c r="B181" s="22" t="s">
        <v>489</v>
      </c>
      <c r="C181" s="60">
        <v>0</v>
      </c>
      <c r="D181" s="60">
        <v>384955</v>
      </c>
      <c r="E181" s="60">
        <v>-4072954.12</v>
      </c>
      <c r="F181" s="22" t="s">
        <v>3</v>
      </c>
      <c r="G181" s="22" t="s">
        <v>683</v>
      </c>
      <c r="H181" s="22" t="s">
        <v>507</v>
      </c>
      <c r="I181" s="22" t="s">
        <v>492</v>
      </c>
      <c r="J181" s="22" t="s">
        <v>683</v>
      </c>
      <c r="K181" s="24">
        <v>256779410795</v>
      </c>
    </row>
    <row r="182" spans="1:11" hidden="1" x14ac:dyDescent="0.35">
      <c r="A182" s="22" t="s">
        <v>1044</v>
      </c>
      <c r="B182" s="22" t="s">
        <v>489</v>
      </c>
      <c r="C182" s="60">
        <v>0</v>
      </c>
      <c r="D182" s="60">
        <v>13328</v>
      </c>
      <c r="E182" s="60">
        <v>-4086282.12</v>
      </c>
      <c r="F182" s="22" t="s">
        <v>3</v>
      </c>
      <c r="G182" s="22" t="s">
        <v>684</v>
      </c>
      <c r="H182" s="22" t="s">
        <v>500</v>
      </c>
      <c r="I182" s="22" t="s">
        <v>492</v>
      </c>
      <c r="J182" s="22" t="s">
        <v>684</v>
      </c>
      <c r="K182" s="24">
        <v>256779411150</v>
      </c>
    </row>
    <row r="183" spans="1:11" hidden="1" x14ac:dyDescent="0.35">
      <c r="A183" s="22" t="s">
        <v>1044</v>
      </c>
      <c r="B183" s="22" t="s">
        <v>489</v>
      </c>
      <c r="C183" s="60">
        <v>0</v>
      </c>
      <c r="D183" s="60">
        <v>25546</v>
      </c>
      <c r="E183" s="60">
        <v>-4111828.12</v>
      </c>
      <c r="F183" s="22" t="s">
        <v>3</v>
      </c>
      <c r="G183" s="22" t="s">
        <v>685</v>
      </c>
      <c r="H183" s="22" t="s">
        <v>561</v>
      </c>
      <c r="I183" s="22" t="s">
        <v>492</v>
      </c>
      <c r="J183" s="22" t="s">
        <v>685</v>
      </c>
      <c r="K183" s="24">
        <v>256779411148</v>
      </c>
    </row>
    <row r="184" spans="1:11" hidden="1" x14ac:dyDescent="0.35">
      <c r="A184" s="22" t="s">
        <v>1044</v>
      </c>
      <c r="B184" s="22" t="s">
        <v>489</v>
      </c>
      <c r="C184" s="60">
        <v>0</v>
      </c>
      <c r="D184" s="60">
        <v>2664</v>
      </c>
      <c r="E184" s="60">
        <v>-4114492.12</v>
      </c>
      <c r="F184" s="22" t="s">
        <v>3</v>
      </c>
      <c r="G184" s="22" t="s">
        <v>686</v>
      </c>
      <c r="H184" s="22" t="s">
        <v>557</v>
      </c>
      <c r="I184" s="22" t="s">
        <v>492</v>
      </c>
      <c r="J184" s="22" t="s">
        <v>686</v>
      </c>
      <c r="K184" s="24">
        <v>256779411149</v>
      </c>
    </row>
    <row r="185" spans="1:11" hidden="1" x14ac:dyDescent="0.35">
      <c r="A185" s="22" t="s">
        <v>1044</v>
      </c>
      <c r="B185" s="22" t="s">
        <v>489</v>
      </c>
      <c r="C185" s="60">
        <v>0</v>
      </c>
      <c r="D185" s="60">
        <v>790</v>
      </c>
      <c r="E185" s="60">
        <v>-4115282.12</v>
      </c>
      <c r="F185" s="22" t="s">
        <v>3</v>
      </c>
      <c r="G185" s="22" t="s">
        <v>687</v>
      </c>
      <c r="H185" s="22" t="s">
        <v>557</v>
      </c>
      <c r="I185" s="22" t="s">
        <v>492</v>
      </c>
      <c r="J185" s="22" t="s">
        <v>687</v>
      </c>
      <c r="K185" s="24">
        <v>256779411564</v>
      </c>
    </row>
    <row r="186" spans="1:11" hidden="1" x14ac:dyDescent="0.35">
      <c r="A186" s="22" t="s">
        <v>1044</v>
      </c>
      <c r="B186" s="22" t="s">
        <v>489</v>
      </c>
      <c r="C186" s="60">
        <v>0</v>
      </c>
      <c r="D186" s="60">
        <v>198</v>
      </c>
      <c r="E186" s="60">
        <v>-4115480.12</v>
      </c>
      <c r="F186" s="22" t="s">
        <v>3</v>
      </c>
      <c r="G186" s="22" t="s">
        <v>688</v>
      </c>
      <c r="H186" s="22" t="s">
        <v>500</v>
      </c>
      <c r="I186" s="22" t="s">
        <v>492</v>
      </c>
      <c r="J186" s="22" t="s">
        <v>688</v>
      </c>
      <c r="K186" s="24">
        <v>256779411563</v>
      </c>
    </row>
    <row r="187" spans="1:11" hidden="1" x14ac:dyDescent="0.35">
      <c r="A187" s="22" t="s">
        <v>1044</v>
      </c>
      <c r="B187" s="22" t="s">
        <v>489</v>
      </c>
      <c r="C187" s="60">
        <v>0</v>
      </c>
      <c r="D187" s="60">
        <v>13629</v>
      </c>
      <c r="E187" s="60">
        <v>-4129109.12</v>
      </c>
      <c r="F187" s="22" t="s">
        <v>3</v>
      </c>
      <c r="G187" s="22" t="s">
        <v>689</v>
      </c>
      <c r="H187" s="22" t="s">
        <v>581</v>
      </c>
      <c r="I187" s="22" t="s">
        <v>492</v>
      </c>
      <c r="J187" s="22" t="s">
        <v>689</v>
      </c>
      <c r="K187" s="24">
        <v>256779411151</v>
      </c>
    </row>
    <row r="188" spans="1:11" hidden="1" x14ac:dyDescent="0.35">
      <c r="A188" s="22" t="s">
        <v>1045</v>
      </c>
      <c r="B188" s="22" t="s">
        <v>489</v>
      </c>
      <c r="C188" s="60">
        <v>0</v>
      </c>
      <c r="D188" s="60">
        <v>417286</v>
      </c>
      <c r="E188" s="60">
        <v>-4546395.12</v>
      </c>
      <c r="F188" s="22" t="s">
        <v>3</v>
      </c>
      <c r="G188" s="22" t="s">
        <v>690</v>
      </c>
      <c r="H188" s="22" t="s">
        <v>507</v>
      </c>
      <c r="I188" s="22" t="s">
        <v>492</v>
      </c>
      <c r="J188" s="22" t="s">
        <v>690</v>
      </c>
      <c r="K188" s="24">
        <v>256779412117</v>
      </c>
    </row>
    <row r="189" spans="1:11" hidden="1" x14ac:dyDescent="0.35">
      <c r="A189" s="22" t="s">
        <v>1045</v>
      </c>
      <c r="B189" s="22" t="s">
        <v>489</v>
      </c>
      <c r="C189" s="60">
        <v>0</v>
      </c>
      <c r="D189" s="60">
        <v>1972</v>
      </c>
      <c r="E189" s="60">
        <v>-4548367.12</v>
      </c>
      <c r="F189" s="22" t="s">
        <v>3</v>
      </c>
      <c r="G189" s="22" t="s">
        <v>691</v>
      </c>
      <c r="H189" s="22" t="s">
        <v>557</v>
      </c>
      <c r="I189" s="22" t="s">
        <v>492</v>
      </c>
      <c r="J189" s="22" t="s">
        <v>691</v>
      </c>
      <c r="K189" s="24">
        <v>25677941807</v>
      </c>
    </row>
    <row r="190" spans="1:11" hidden="1" x14ac:dyDescent="0.35">
      <c r="A190" s="22" t="s">
        <v>1045</v>
      </c>
      <c r="B190" s="22" t="s">
        <v>489</v>
      </c>
      <c r="C190" s="60">
        <v>0</v>
      </c>
      <c r="D190" s="60">
        <v>1584</v>
      </c>
      <c r="E190" s="60">
        <v>-4549951.12</v>
      </c>
      <c r="F190" s="22" t="s">
        <v>3</v>
      </c>
      <c r="G190" s="22" t="s">
        <v>692</v>
      </c>
      <c r="H190" s="22" t="s">
        <v>573</v>
      </c>
      <c r="I190" s="22" t="s">
        <v>492</v>
      </c>
      <c r="J190" s="22" t="s">
        <v>692</v>
      </c>
      <c r="K190" s="24">
        <v>256779412065</v>
      </c>
    </row>
    <row r="191" spans="1:11" hidden="1" x14ac:dyDescent="0.35">
      <c r="A191" s="22" t="s">
        <v>1045</v>
      </c>
      <c r="B191" s="22" t="s">
        <v>489</v>
      </c>
      <c r="C191" s="60">
        <v>0</v>
      </c>
      <c r="D191" s="60">
        <v>1256</v>
      </c>
      <c r="E191" s="60">
        <v>-4551207.12</v>
      </c>
      <c r="F191" s="22" t="s">
        <v>3</v>
      </c>
      <c r="G191" s="22" t="s">
        <v>693</v>
      </c>
      <c r="H191" s="22" t="s">
        <v>500</v>
      </c>
      <c r="I191" s="22" t="s">
        <v>492</v>
      </c>
      <c r="J191" s="22" t="s">
        <v>693</v>
      </c>
      <c r="K191" s="24">
        <v>256779411885</v>
      </c>
    </row>
    <row r="192" spans="1:11" hidden="1" x14ac:dyDescent="0.35">
      <c r="A192" s="22" t="s">
        <v>1045</v>
      </c>
      <c r="B192" s="22" t="s">
        <v>489</v>
      </c>
      <c r="C192" s="60">
        <v>0</v>
      </c>
      <c r="D192" s="60">
        <v>21549</v>
      </c>
      <c r="E192" s="60">
        <v>-4572756.12</v>
      </c>
      <c r="F192" s="22" t="s">
        <v>3</v>
      </c>
      <c r="G192" s="22" t="s">
        <v>694</v>
      </c>
      <c r="H192" s="22" t="s">
        <v>573</v>
      </c>
      <c r="I192" s="22" t="s">
        <v>492</v>
      </c>
      <c r="J192" s="22" t="s">
        <v>694</v>
      </c>
      <c r="K192" s="24">
        <v>256779412100</v>
      </c>
    </row>
    <row r="193" spans="1:11" hidden="1" x14ac:dyDescent="0.35">
      <c r="A193" s="22" t="s">
        <v>1045</v>
      </c>
      <c r="B193" s="22" t="s">
        <v>489</v>
      </c>
      <c r="C193" s="60">
        <v>0</v>
      </c>
      <c r="D193" s="60">
        <v>447</v>
      </c>
      <c r="E193" s="60">
        <v>-4573203.12</v>
      </c>
      <c r="F193" s="22" t="s">
        <v>3</v>
      </c>
      <c r="G193" s="22" t="s">
        <v>695</v>
      </c>
      <c r="H193" s="22" t="s">
        <v>500</v>
      </c>
      <c r="I193" s="22" t="s">
        <v>492</v>
      </c>
      <c r="J193" s="22" t="s">
        <v>695</v>
      </c>
      <c r="K193" s="24">
        <v>256779411886</v>
      </c>
    </row>
    <row r="194" spans="1:11" hidden="1" x14ac:dyDescent="0.35">
      <c r="A194" s="22" t="s">
        <v>1045</v>
      </c>
      <c r="B194" s="22" t="s">
        <v>489</v>
      </c>
      <c r="C194" s="60">
        <v>0</v>
      </c>
      <c r="D194" s="60">
        <v>12169</v>
      </c>
      <c r="E194" s="60">
        <v>-4585372.12</v>
      </c>
      <c r="F194" s="22" t="s">
        <v>3</v>
      </c>
      <c r="G194" s="22" t="s">
        <v>696</v>
      </c>
      <c r="H194" s="22" t="s">
        <v>697</v>
      </c>
      <c r="I194" s="22" t="s">
        <v>492</v>
      </c>
      <c r="J194" s="22" t="s">
        <v>696</v>
      </c>
      <c r="K194" s="24">
        <v>256779411917</v>
      </c>
    </row>
    <row r="195" spans="1:11" hidden="1" x14ac:dyDescent="0.35">
      <c r="A195" s="22" t="s">
        <v>1046</v>
      </c>
      <c r="B195" s="22" t="s">
        <v>489</v>
      </c>
      <c r="C195" s="60">
        <v>0</v>
      </c>
      <c r="D195" s="60">
        <v>34962</v>
      </c>
      <c r="E195" s="60">
        <v>-4620334.12</v>
      </c>
      <c r="F195" s="22" t="s">
        <v>3</v>
      </c>
      <c r="G195" s="22" t="s">
        <v>698</v>
      </c>
      <c r="H195" s="22" t="s">
        <v>491</v>
      </c>
      <c r="I195" s="22" t="s">
        <v>492</v>
      </c>
      <c r="J195" s="22" t="s">
        <v>698</v>
      </c>
      <c r="K195" s="24">
        <v>256779412161</v>
      </c>
    </row>
    <row r="196" spans="1:11" hidden="1" x14ac:dyDescent="0.35">
      <c r="A196" s="22" t="s">
        <v>1047</v>
      </c>
      <c r="B196" s="22" t="s">
        <v>489</v>
      </c>
      <c r="C196" s="60">
        <v>0</v>
      </c>
      <c r="D196" s="60">
        <v>2085</v>
      </c>
      <c r="E196" s="60">
        <v>-4622419.12</v>
      </c>
      <c r="F196" s="22" t="s">
        <v>3</v>
      </c>
      <c r="G196" s="22" t="s">
        <v>699</v>
      </c>
      <c r="H196" s="22" t="s">
        <v>500</v>
      </c>
      <c r="I196" s="22" t="s">
        <v>492</v>
      </c>
      <c r="J196" s="22" t="s">
        <v>699</v>
      </c>
      <c r="K196" s="24">
        <v>256779412655</v>
      </c>
    </row>
    <row r="197" spans="1:11" hidden="1" x14ac:dyDescent="0.35">
      <c r="A197" s="22" t="s">
        <v>1047</v>
      </c>
      <c r="B197" s="22" t="s">
        <v>489</v>
      </c>
      <c r="C197" s="60">
        <v>0</v>
      </c>
      <c r="D197" s="60">
        <v>3922</v>
      </c>
      <c r="E197" s="60">
        <v>-4626341.12</v>
      </c>
      <c r="F197" s="22" t="s">
        <v>3</v>
      </c>
      <c r="G197" s="22" t="s">
        <v>700</v>
      </c>
      <c r="H197" s="22" t="s">
        <v>500</v>
      </c>
      <c r="I197" s="22" t="s">
        <v>492</v>
      </c>
      <c r="J197" s="22" t="s">
        <v>700</v>
      </c>
      <c r="K197" s="24">
        <v>256779412613</v>
      </c>
    </row>
    <row r="198" spans="1:11" hidden="1" x14ac:dyDescent="0.35">
      <c r="A198" s="22" t="s">
        <v>1047</v>
      </c>
      <c r="B198" s="22" t="s">
        <v>489</v>
      </c>
      <c r="C198" s="60">
        <v>0</v>
      </c>
      <c r="D198" s="60">
        <v>14119</v>
      </c>
      <c r="E198" s="60">
        <v>-4640460.12</v>
      </c>
      <c r="F198" s="22" t="s">
        <v>3</v>
      </c>
      <c r="G198" s="22" t="s">
        <v>701</v>
      </c>
      <c r="H198" s="22" t="s">
        <v>557</v>
      </c>
      <c r="I198" s="22" t="s">
        <v>492</v>
      </c>
      <c r="J198" s="22" t="s">
        <v>701</v>
      </c>
      <c r="K198" s="24">
        <v>256779412468</v>
      </c>
    </row>
    <row r="199" spans="1:11" hidden="1" x14ac:dyDescent="0.35">
      <c r="A199" s="22" t="s">
        <v>1047</v>
      </c>
      <c r="B199" s="22" t="s">
        <v>489</v>
      </c>
      <c r="C199" s="60">
        <v>0</v>
      </c>
      <c r="D199" s="60">
        <v>1447</v>
      </c>
      <c r="E199" s="60">
        <v>-4641907.12</v>
      </c>
      <c r="F199" s="22" t="s">
        <v>3</v>
      </c>
      <c r="G199" s="22" t="s">
        <v>702</v>
      </c>
      <c r="H199" s="22" t="s">
        <v>559</v>
      </c>
      <c r="I199" s="22" t="s">
        <v>492</v>
      </c>
      <c r="J199" s="22" t="s">
        <v>702</v>
      </c>
      <c r="K199" s="24">
        <v>256779412675</v>
      </c>
    </row>
    <row r="200" spans="1:11" hidden="1" x14ac:dyDescent="0.35">
      <c r="A200" s="22" t="s">
        <v>1047</v>
      </c>
      <c r="B200" s="22" t="s">
        <v>489</v>
      </c>
      <c r="C200" s="60">
        <v>0</v>
      </c>
      <c r="D200" s="60">
        <v>43195</v>
      </c>
      <c r="E200" s="60">
        <v>-4685102.12</v>
      </c>
      <c r="F200" s="22" t="s">
        <v>3</v>
      </c>
      <c r="G200" s="22" t="s">
        <v>703</v>
      </c>
      <c r="H200" s="22" t="s">
        <v>704</v>
      </c>
      <c r="I200" s="22" t="s">
        <v>492</v>
      </c>
      <c r="J200" s="22" t="s">
        <v>703</v>
      </c>
      <c r="K200" s="24">
        <v>256779412683</v>
      </c>
    </row>
    <row r="201" spans="1:11" hidden="1" x14ac:dyDescent="0.35">
      <c r="A201" s="22" t="s">
        <v>1047</v>
      </c>
      <c r="B201" s="22" t="s">
        <v>489</v>
      </c>
      <c r="C201" s="60">
        <v>0</v>
      </c>
      <c r="D201" s="60">
        <v>10809</v>
      </c>
      <c r="E201" s="60">
        <v>-4695911.12</v>
      </c>
      <c r="F201" s="22" t="s">
        <v>3</v>
      </c>
      <c r="G201" s="22" t="s">
        <v>705</v>
      </c>
      <c r="H201" s="22" t="s">
        <v>557</v>
      </c>
      <c r="I201" s="22" t="s">
        <v>492</v>
      </c>
      <c r="J201" s="22" t="s">
        <v>705</v>
      </c>
      <c r="K201" s="24">
        <v>256779412461</v>
      </c>
    </row>
    <row r="202" spans="1:11" hidden="1" x14ac:dyDescent="0.35">
      <c r="A202" s="22" t="s">
        <v>1048</v>
      </c>
      <c r="B202" s="22" t="s">
        <v>489</v>
      </c>
      <c r="C202" s="60">
        <v>0</v>
      </c>
      <c r="D202" s="60">
        <v>1878</v>
      </c>
      <c r="E202" s="60">
        <v>-4697789.12</v>
      </c>
      <c r="F202" s="22" t="s">
        <v>3</v>
      </c>
      <c r="G202" s="22" t="s">
        <v>706</v>
      </c>
      <c r="H202" s="22" t="s">
        <v>500</v>
      </c>
      <c r="I202" s="22" t="s">
        <v>492</v>
      </c>
      <c r="J202" s="22" t="s">
        <v>706</v>
      </c>
      <c r="K202" s="24">
        <v>256779412926</v>
      </c>
    </row>
    <row r="203" spans="1:11" hidden="1" x14ac:dyDescent="0.35">
      <c r="A203" s="22" t="s">
        <v>1048</v>
      </c>
      <c r="B203" s="22" t="s">
        <v>489</v>
      </c>
      <c r="C203" s="60">
        <v>0</v>
      </c>
      <c r="D203" s="60">
        <v>13211</v>
      </c>
      <c r="E203" s="60">
        <v>-4711000.12</v>
      </c>
      <c r="F203" s="22" t="s">
        <v>3</v>
      </c>
      <c r="G203" s="22" t="s">
        <v>707</v>
      </c>
      <c r="H203" s="22" t="s">
        <v>500</v>
      </c>
      <c r="I203" s="22" t="s">
        <v>492</v>
      </c>
      <c r="J203" s="22" t="s">
        <v>707</v>
      </c>
      <c r="K203" s="24">
        <v>256779412950</v>
      </c>
    </row>
    <row r="204" spans="1:11" hidden="1" x14ac:dyDescent="0.35">
      <c r="A204" s="22" t="s">
        <v>1048</v>
      </c>
      <c r="B204" s="22" t="s">
        <v>489</v>
      </c>
      <c r="C204" s="60">
        <v>0</v>
      </c>
      <c r="D204" s="60">
        <v>27408</v>
      </c>
      <c r="E204" s="60">
        <v>-4738408.12</v>
      </c>
      <c r="F204" s="22" t="s">
        <v>3</v>
      </c>
      <c r="G204" s="22" t="s">
        <v>708</v>
      </c>
      <c r="H204" s="22" t="s">
        <v>581</v>
      </c>
      <c r="I204" s="22" t="s">
        <v>492</v>
      </c>
      <c r="J204" s="22" t="s">
        <v>708</v>
      </c>
      <c r="K204" s="24">
        <v>256779412941</v>
      </c>
    </row>
    <row r="205" spans="1:11" hidden="1" x14ac:dyDescent="0.35">
      <c r="A205" s="22" t="s">
        <v>1048</v>
      </c>
      <c r="B205" s="22" t="s">
        <v>489</v>
      </c>
      <c r="C205" s="60">
        <v>0</v>
      </c>
      <c r="D205" s="60">
        <v>6084</v>
      </c>
      <c r="E205" s="60">
        <v>-4744492.12</v>
      </c>
      <c r="F205" s="22" t="s">
        <v>3</v>
      </c>
      <c r="G205" s="22" t="s">
        <v>709</v>
      </c>
      <c r="H205" s="22" t="s">
        <v>697</v>
      </c>
      <c r="I205" s="22" t="s">
        <v>492</v>
      </c>
      <c r="J205" s="22" t="s">
        <v>709</v>
      </c>
      <c r="K205" s="24">
        <v>256779412692</v>
      </c>
    </row>
    <row r="206" spans="1:11" hidden="1" x14ac:dyDescent="0.35">
      <c r="A206" s="22" t="s">
        <v>1049</v>
      </c>
      <c r="B206" s="22" t="s">
        <v>489</v>
      </c>
      <c r="C206" s="60">
        <v>0</v>
      </c>
      <c r="D206" s="60">
        <v>7981</v>
      </c>
      <c r="E206" s="60">
        <v>-4752473.12</v>
      </c>
      <c r="F206" s="22" t="s">
        <v>3</v>
      </c>
      <c r="G206" s="22" t="s">
        <v>710</v>
      </c>
      <c r="H206" s="22" t="s">
        <v>573</v>
      </c>
      <c r="I206" s="22" t="s">
        <v>492</v>
      </c>
      <c r="J206" s="22" t="s">
        <v>710</v>
      </c>
      <c r="K206" s="24">
        <v>256779412777</v>
      </c>
    </row>
    <row r="207" spans="1:11" hidden="1" x14ac:dyDescent="0.35">
      <c r="A207" s="22" t="s">
        <v>1050</v>
      </c>
      <c r="B207" s="22" t="s">
        <v>489</v>
      </c>
      <c r="C207" s="60">
        <v>0</v>
      </c>
      <c r="D207" s="60">
        <v>15927</v>
      </c>
      <c r="E207" s="60">
        <v>-4768400.12</v>
      </c>
      <c r="F207" s="22" t="s">
        <v>3</v>
      </c>
      <c r="G207" s="22" t="s">
        <v>711</v>
      </c>
      <c r="H207" s="22" t="s">
        <v>557</v>
      </c>
      <c r="I207" s="22" t="s">
        <v>492</v>
      </c>
      <c r="J207" s="22" t="s">
        <v>711</v>
      </c>
      <c r="K207" s="24">
        <v>256779413163</v>
      </c>
    </row>
    <row r="208" spans="1:11" hidden="1" x14ac:dyDescent="0.35">
      <c r="A208" s="22" t="s">
        <v>1050</v>
      </c>
      <c r="B208" s="22" t="s">
        <v>489</v>
      </c>
      <c r="C208" s="60">
        <v>0</v>
      </c>
      <c r="D208" s="60">
        <v>35097</v>
      </c>
      <c r="E208" s="60">
        <v>-4803497.12</v>
      </c>
      <c r="F208" s="22" t="s">
        <v>3</v>
      </c>
      <c r="G208" s="22" t="s">
        <v>712</v>
      </c>
      <c r="H208" s="22" t="s">
        <v>491</v>
      </c>
      <c r="I208" s="22" t="s">
        <v>492</v>
      </c>
      <c r="J208" s="22" t="s">
        <v>712</v>
      </c>
      <c r="K208" s="24">
        <v>256779413127</v>
      </c>
    </row>
    <row r="209" spans="1:11" hidden="1" x14ac:dyDescent="0.35">
      <c r="A209" s="22" t="s">
        <v>1050</v>
      </c>
      <c r="B209" s="22" t="s">
        <v>489</v>
      </c>
      <c r="C209" s="60">
        <v>0</v>
      </c>
      <c r="D209" s="60">
        <v>11810</v>
      </c>
      <c r="E209" s="60">
        <v>-4815307.12</v>
      </c>
      <c r="F209" s="22" t="s">
        <v>3</v>
      </c>
      <c r="G209" s="22" t="s">
        <v>713</v>
      </c>
      <c r="H209" s="22" t="s">
        <v>500</v>
      </c>
      <c r="I209" s="22" t="s">
        <v>492</v>
      </c>
      <c r="J209" s="22" t="s">
        <v>713</v>
      </c>
      <c r="K209" s="24">
        <v>256779413172</v>
      </c>
    </row>
    <row r="210" spans="1:11" hidden="1" x14ac:dyDescent="0.35">
      <c r="A210" s="22" t="s">
        <v>1050</v>
      </c>
      <c r="B210" s="22" t="s">
        <v>489</v>
      </c>
      <c r="C210" s="60">
        <v>0</v>
      </c>
      <c r="D210" s="60">
        <v>3623</v>
      </c>
      <c r="E210" s="60">
        <v>-4818930.12</v>
      </c>
      <c r="F210" s="22" t="s">
        <v>3</v>
      </c>
      <c r="G210" s="22" t="s">
        <v>714</v>
      </c>
      <c r="H210" s="22" t="s">
        <v>573</v>
      </c>
      <c r="I210" s="22" t="s">
        <v>492</v>
      </c>
      <c r="J210" s="22" t="s">
        <v>714</v>
      </c>
      <c r="K210" s="24">
        <v>256779413243</v>
      </c>
    </row>
    <row r="211" spans="1:11" hidden="1" x14ac:dyDescent="0.35">
      <c r="A211" s="22" t="s">
        <v>1051</v>
      </c>
      <c r="B211" s="22" t="s">
        <v>489</v>
      </c>
      <c r="C211" s="60">
        <v>0</v>
      </c>
      <c r="D211" s="60">
        <v>1264</v>
      </c>
      <c r="E211" s="60">
        <v>-4820194.12</v>
      </c>
      <c r="F211" s="22" t="s">
        <v>3</v>
      </c>
      <c r="G211" s="22" t="s">
        <v>715</v>
      </c>
      <c r="H211" s="22" t="s">
        <v>500</v>
      </c>
      <c r="I211" s="22" t="s">
        <v>492</v>
      </c>
      <c r="J211" s="22" t="s">
        <v>715</v>
      </c>
      <c r="K211" s="24">
        <v>256779413357</v>
      </c>
    </row>
    <row r="212" spans="1:11" hidden="1" x14ac:dyDescent="0.35">
      <c r="A212" s="22" t="s">
        <v>1051</v>
      </c>
      <c r="B212" s="22" t="s">
        <v>489</v>
      </c>
      <c r="C212" s="60">
        <v>0</v>
      </c>
      <c r="D212" s="60">
        <v>11797</v>
      </c>
      <c r="E212" s="60">
        <v>-4831991.12</v>
      </c>
      <c r="F212" s="22" t="s">
        <v>3</v>
      </c>
      <c r="G212" s="22" t="s">
        <v>716</v>
      </c>
      <c r="H212" s="22" t="s">
        <v>608</v>
      </c>
      <c r="I212" s="22" t="s">
        <v>492</v>
      </c>
      <c r="J212" s="22" t="s">
        <v>716</v>
      </c>
      <c r="K212" s="24">
        <v>256779413283</v>
      </c>
    </row>
    <row r="213" spans="1:11" hidden="1" x14ac:dyDescent="0.35">
      <c r="A213" s="22" t="s">
        <v>1052</v>
      </c>
      <c r="B213" s="22" t="s">
        <v>489</v>
      </c>
      <c r="C213" s="60">
        <v>0</v>
      </c>
      <c r="D213" s="60">
        <v>1054</v>
      </c>
      <c r="E213" s="60">
        <v>-4833045.12</v>
      </c>
      <c r="F213" s="22" t="s">
        <v>3</v>
      </c>
      <c r="G213" s="22" t="s">
        <v>717</v>
      </c>
      <c r="H213" s="22" t="s">
        <v>500</v>
      </c>
      <c r="I213" s="22" t="s">
        <v>492</v>
      </c>
      <c r="J213" s="22" t="s">
        <v>717</v>
      </c>
      <c r="K213" s="24">
        <v>256779413486</v>
      </c>
    </row>
    <row r="214" spans="1:11" hidden="1" x14ac:dyDescent="0.35">
      <c r="A214" s="22" t="s">
        <v>1052</v>
      </c>
      <c r="B214" s="22" t="s">
        <v>489</v>
      </c>
      <c r="C214" s="60">
        <v>0</v>
      </c>
      <c r="D214" s="60">
        <v>12177</v>
      </c>
      <c r="E214" s="60">
        <v>-4845222.12</v>
      </c>
      <c r="F214" s="22" t="s">
        <v>3</v>
      </c>
      <c r="G214" s="22" t="s">
        <v>718</v>
      </c>
      <c r="H214" s="22" t="s">
        <v>573</v>
      </c>
      <c r="I214" s="22" t="s">
        <v>492</v>
      </c>
      <c r="J214" s="22" t="s">
        <v>718</v>
      </c>
      <c r="K214" s="24">
        <v>256779413837</v>
      </c>
    </row>
    <row r="215" spans="1:11" hidden="1" x14ac:dyDescent="0.35">
      <c r="A215" s="22" t="s">
        <v>1053</v>
      </c>
      <c r="B215" s="22" t="s">
        <v>489</v>
      </c>
      <c r="C215" s="60">
        <v>0</v>
      </c>
      <c r="D215" s="60">
        <v>3960</v>
      </c>
      <c r="E215" s="60">
        <v>-4849182.12</v>
      </c>
      <c r="F215" s="22" t="s">
        <v>3</v>
      </c>
      <c r="G215" s="22" t="s">
        <v>719</v>
      </c>
      <c r="H215" s="22" t="s">
        <v>557</v>
      </c>
      <c r="I215" s="22" t="s">
        <v>492</v>
      </c>
      <c r="J215" s="22" t="s">
        <v>719</v>
      </c>
      <c r="K215" s="24">
        <v>256779413405</v>
      </c>
    </row>
    <row r="216" spans="1:11" hidden="1" x14ac:dyDescent="0.35">
      <c r="A216" s="22" t="s">
        <v>1053</v>
      </c>
      <c r="B216" s="22" t="s">
        <v>489</v>
      </c>
      <c r="C216" s="60">
        <v>0</v>
      </c>
      <c r="D216" s="60">
        <v>7129</v>
      </c>
      <c r="E216" s="60">
        <v>-4856311.12</v>
      </c>
      <c r="F216" s="22" t="s">
        <v>3</v>
      </c>
      <c r="G216" s="22" t="s">
        <v>720</v>
      </c>
      <c r="H216" s="22" t="s">
        <v>557</v>
      </c>
      <c r="I216" s="22" t="s">
        <v>492</v>
      </c>
      <c r="J216" s="22" t="s">
        <v>720</v>
      </c>
      <c r="K216" s="24">
        <v>256779413404</v>
      </c>
    </row>
    <row r="217" spans="1:11" hidden="1" x14ac:dyDescent="0.35">
      <c r="A217" s="22" t="s">
        <v>1053</v>
      </c>
      <c r="B217" s="22" t="s">
        <v>489</v>
      </c>
      <c r="C217" s="60">
        <v>0</v>
      </c>
      <c r="D217" s="60">
        <v>990</v>
      </c>
      <c r="E217" s="60">
        <v>-4857301.12</v>
      </c>
      <c r="F217" s="22" t="s">
        <v>3</v>
      </c>
      <c r="G217" s="22" t="s">
        <v>721</v>
      </c>
      <c r="H217" s="22" t="s">
        <v>500</v>
      </c>
      <c r="I217" s="22" t="s">
        <v>492</v>
      </c>
      <c r="J217" s="22" t="s">
        <v>721</v>
      </c>
      <c r="K217" s="24">
        <v>256779413427</v>
      </c>
    </row>
    <row r="218" spans="1:11" hidden="1" x14ac:dyDescent="0.35">
      <c r="A218" s="22" t="s">
        <v>1053</v>
      </c>
      <c r="B218" s="22" t="s">
        <v>489</v>
      </c>
      <c r="C218" s="60">
        <v>0</v>
      </c>
      <c r="D218" s="60">
        <v>990</v>
      </c>
      <c r="E218" s="60">
        <v>-4858291.12</v>
      </c>
      <c r="F218" s="22" t="s">
        <v>3</v>
      </c>
      <c r="G218" s="22" t="s">
        <v>722</v>
      </c>
      <c r="H218" s="22" t="s">
        <v>500</v>
      </c>
      <c r="I218" s="22" t="s">
        <v>492</v>
      </c>
      <c r="J218" s="22" t="s">
        <v>722</v>
      </c>
      <c r="K218" s="24">
        <v>256779413428</v>
      </c>
    </row>
    <row r="219" spans="1:11" hidden="1" x14ac:dyDescent="0.35">
      <c r="A219" s="22" t="s">
        <v>1053</v>
      </c>
      <c r="B219" s="22" t="s">
        <v>489</v>
      </c>
      <c r="C219" s="60">
        <v>0</v>
      </c>
      <c r="D219" s="60">
        <v>601</v>
      </c>
      <c r="E219" s="60">
        <v>-4858892.12</v>
      </c>
      <c r="F219" s="22" t="s">
        <v>3</v>
      </c>
      <c r="G219" s="22" t="s">
        <v>723</v>
      </c>
      <c r="H219" s="22" t="s">
        <v>500</v>
      </c>
      <c r="I219" s="22" t="s">
        <v>492</v>
      </c>
      <c r="J219" s="22" t="s">
        <v>723</v>
      </c>
      <c r="K219" s="24">
        <v>256779413429</v>
      </c>
    </row>
    <row r="220" spans="1:11" hidden="1" x14ac:dyDescent="0.35">
      <c r="A220" s="22" t="s">
        <v>1053</v>
      </c>
      <c r="B220" s="22" t="s">
        <v>489</v>
      </c>
      <c r="C220" s="60">
        <v>0</v>
      </c>
      <c r="D220" s="60">
        <v>1201</v>
      </c>
      <c r="E220" s="60">
        <v>-4860093.12</v>
      </c>
      <c r="F220" s="22" t="s">
        <v>3</v>
      </c>
      <c r="G220" s="22" t="s">
        <v>724</v>
      </c>
      <c r="H220" s="22" t="s">
        <v>500</v>
      </c>
      <c r="I220" s="22" t="s">
        <v>492</v>
      </c>
      <c r="J220" s="22" t="s">
        <v>724</v>
      </c>
      <c r="K220" s="24">
        <v>256779413430</v>
      </c>
    </row>
    <row r="221" spans="1:11" hidden="1" x14ac:dyDescent="0.35">
      <c r="A221" s="22" t="s">
        <v>1054</v>
      </c>
      <c r="B221" s="22" t="s">
        <v>489</v>
      </c>
      <c r="C221" s="60">
        <v>0</v>
      </c>
      <c r="D221" s="60">
        <v>333696</v>
      </c>
      <c r="E221" s="60">
        <v>-5193789.12</v>
      </c>
      <c r="F221" s="22" t="s">
        <v>3</v>
      </c>
      <c r="G221" s="22" t="s">
        <v>725</v>
      </c>
      <c r="H221" s="22" t="s">
        <v>507</v>
      </c>
      <c r="I221" s="22" t="s">
        <v>492</v>
      </c>
      <c r="J221" s="22" t="s">
        <v>725</v>
      </c>
      <c r="K221" s="24">
        <v>256779413899</v>
      </c>
    </row>
    <row r="222" spans="1:11" x14ac:dyDescent="0.35">
      <c r="A222" s="22" t="s">
        <v>1055</v>
      </c>
      <c r="B222" s="22" t="s">
        <v>489</v>
      </c>
      <c r="C222" s="60">
        <v>177773</v>
      </c>
      <c r="D222" s="60">
        <v>0</v>
      </c>
      <c r="E222" s="60">
        <v>-5016016.12</v>
      </c>
      <c r="F222" s="22" t="s">
        <v>2</v>
      </c>
      <c r="G222" s="22" t="s">
        <v>727</v>
      </c>
      <c r="H222" s="22" t="s">
        <v>728</v>
      </c>
      <c r="I222" s="22" t="s">
        <v>492</v>
      </c>
      <c r="J222" s="22"/>
      <c r="K222" s="22"/>
    </row>
    <row r="223" spans="1:11" hidden="1" x14ac:dyDescent="0.35">
      <c r="A223" s="22" t="s">
        <v>1056</v>
      </c>
      <c r="B223" s="22" t="s">
        <v>489</v>
      </c>
      <c r="C223" s="60">
        <v>0</v>
      </c>
      <c r="D223" s="60">
        <v>9844</v>
      </c>
      <c r="E223" s="60">
        <v>-5025860.12</v>
      </c>
      <c r="F223" s="22" t="s">
        <v>3</v>
      </c>
      <c r="G223" s="22" t="s">
        <v>729</v>
      </c>
      <c r="H223" s="22" t="s">
        <v>500</v>
      </c>
      <c r="I223" s="22" t="s">
        <v>492</v>
      </c>
      <c r="J223" s="22" t="s">
        <v>729</v>
      </c>
      <c r="K223" s="24">
        <v>256779414165</v>
      </c>
    </row>
    <row r="224" spans="1:11" hidden="1" x14ac:dyDescent="0.35">
      <c r="A224" s="22" t="s">
        <v>1056</v>
      </c>
      <c r="B224" s="22" t="s">
        <v>489</v>
      </c>
      <c r="C224" s="60">
        <v>0</v>
      </c>
      <c r="D224" s="60">
        <v>8407</v>
      </c>
      <c r="E224" s="60">
        <v>-5034267.12</v>
      </c>
      <c r="F224" s="22" t="s">
        <v>3</v>
      </c>
      <c r="G224" s="22" t="s">
        <v>730</v>
      </c>
      <c r="H224" s="22" t="s">
        <v>500</v>
      </c>
      <c r="I224" s="22" t="s">
        <v>492</v>
      </c>
      <c r="J224" s="22" t="s">
        <v>730</v>
      </c>
      <c r="K224" s="24">
        <v>256779414216</v>
      </c>
    </row>
    <row r="225" spans="1:11" x14ac:dyDescent="0.35">
      <c r="A225" s="22" t="s">
        <v>1056</v>
      </c>
      <c r="B225" s="22" t="s">
        <v>489</v>
      </c>
      <c r="C225" s="60">
        <v>500946.52</v>
      </c>
      <c r="D225" s="60">
        <v>0</v>
      </c>
      <c r="E225" s="60">
        <v>-4533320.5999999996</v>
      </c>
      <c r="F225" s="22" t="s">
        <v>2</v>
      </c>
      <c r="G225" s="22" t="s">
        <v>731</v>
      </c>
      <c r="H225" s="22" t="s">
        <v>728</v>
      </c>
      <c r="I225" s="22" t="s">
        <v>492</v>
      </c>
      <c r="J225" s="22" t="s">
        <v>732</v>
      </c>
      <c r="K225" s="24">
        <v>246779410117</v>
      </c>
    </row>
    <row r="226" spans="1:11" hidden="1" x14ac:dyDescent="0.35">
      <c r="A226" s="22" t="s">
        <v>1056</v>
      </c>
      <c r="B226" s="22" t="s">
        <v>489</v>
      </c>
      <c r="C226" s="60">
        <v>0</v>
      </c>
      <c r="D226" s="60">
        <v>17313</v>
      </c>
      <c r="E226" s="60">
        <v>-4550633.5999999996</v>
      </c>
      <c r="F226" s="22" t="s">
        <v>3</v>
      </c>
      <c r="G226" s="22" t="s">
        <v>733</v>
      </c>
      <c r="H226" s="22" t="s">
        <v>697</v>
      </c>
      <c r="I226" s="22" t="s">
        <v>492</v>
      </c>
      <c r="J226" s="22" t="s">
        <v>733</v>
      </c>
      <c r="K226" s="24">
        <v>256779414288</v>
      </c>
    </row>
    <row r="227" spans="1:11" hidden="1" x14ac:dyDescent="0.35">
      <c r="A227" s="22" t="s">
        <v>1056</v>
      </c>
      <c r="B227" s="22" t="s">
        <v>489</v>
      </c>
      <c r="C227" s="60">
        <v>0</v>
      </c>
      <c r="D227" s="60">
        <v>41769</v>
      </c>
      <c r="E227" s="60">
        <v>-4592402.5999999996</v>
      </c>
      <c r="F227" s="22" t="s">
        <v>3</v>
      </c>
      <c r="G227" s="22" t="s">
        <v>734</v>
      </c>
      <c r="H227" s="22" t="s">
        <v>735</v>
      </c>
      <c r="I227" s="22" t="s">
        <v>492</v>
      </c>
      <c r="J227" s="22" t="s">
        <v>734</v>
      </c>
      <c r="K227" s="24">
        <v>256779414158</v>
      </c>
    </row>
    <row r="228" spans="1:11" hidden="1" x14ac:dyDescent="0.35">
      <c r="A228" s="22" t="s">
        <v>1057</v>
      </c>
      <c r="B228" s="22" t="s">
        <v>489</v>
      </c>
      <c r="C228" s="60">
        <v>0</v>
      </c>
      <c r="D228" s="60">
        <v>352792</v>
      </c>
      <c r="E228" s="60">
        <v>-4945194.5999999996</v>
      </c>
      <c r="F228" s="22" t="s">
        <v>3</v>
      </c>
      <c r="G228" s="22" t="s">
        <v>736</v>
      </c>
      <c r="H228" s="22" t="s">
        <v>507</v>
      </c>
      <c r="I228" s="22" t="s">
        <v>492</v>
      </c>
      <c r="J228" s="22" t="s">
        <v>736</v>
      </c>
      <c r="K228" s="24">
        <v>256779414242</v>
      </c>
    </row>
    <row r="229" spans="1:11" hidden="1" x14ac:dyDescent="0.35">
      <c r="A229" s="22" t="s">
        <v>1058</v>
      </c>
      <c r="B229" s="22" t="s">
        <v>489</v>
      </c>
      <c r="C229" s="60">
        <v>0</v>
      </c>
      <c r="D229" s="60">
        <v>35431</v>
      </c>
      <c r="E229" s="60">
        <v>-4980625.5999999996</v>
      </c>
      <c r="F229" s="22" t="s">
        <v>3</v>
      </c>
      <c r="G229" s="22" t="s">
        <v>737</v>
      </c>
      <c r="H229" s="22" t="s">
        <v>491</v>
      </c>
      <c r="I229" s="22" t="s">
        <v>492</v>
      </c>
      <c r="J229" s="22" t="s">
        <v>737</v>
      </c>
      <c r="K229" s="24">
        <v>256779414386</v>
      </c>
    </row>
    <row r="230" spans="1:11" x14ac:dyDescent="0.35">
      <c r="A230" s="22" t="s">
        <v>1059</v>
      </c>
      <c r="B230" s="22" t="s">
        <v>489</v>
      </c>
      <c r="C230" s="60">
        <v>700000</v>
      </c>
      <c r="D230" s="60">
        <v>0</v>
      </c>
      <c r="E230" s="60">
        <v>-4280625.5999999996</v>
      </c>
      <c r="F230" s="22" t="s">
        <v>2</v>
      </c>
      <c r="G230" s="22" t="s">
        <v>738</v>
      </c>
      <c r="H230" s="22" t="s">
        <v>728</v>
      </c>
      <c r="I230" s="22" t="s">
        <v>492</v>
      </c>
      <c r="J230" s="22"/>
      <c r="K230" s="24"/>
    </row>
    <row r="231" spans="1:11" x14ac:dyDescent="0.35">
      <c r="A231" s="22" t="s">
        <v>1060</v>
      </c>
      <c r="B231" s="22" t="s">
        <v>489</v>
      </c>
      <c r="C231" s="60">
        <v>700000</v>
      </c>
      <c r="D231" s="60">
        <v>0</v>
      </c>
      <c r="E231" s="60">
        <v>-3580625.6</v>
      </c>
      <c r="F231" s="22" t="s">
        <v>2</v>
      </c>
      <c r="G231" s="22" t="s">
        <v>739</v>
      </c>
      <c r="H231" s="22" t="s">
        <v>728</v>
      </c>
      <c r="I231" s="22" t="s">
        <v>492</v>
      </c>
      <c r="J231" s="22"/>
      <c r="K231" s="24"/>
    </row>
    <row r="232" spans="1:11" x14ac:dyDescent="0.35">
      <c r="A232" s="22" t="s">
        <v>1061</v>
      </c>
      <c r="B232" s="22" t="s">
        <v>489</v>
      </c>
      <c r="C232" s="60">
        <v>700000</v>
      </c>
      <c r="D232" s="60">
        <v>0</v>
      </c>
      <c r="E232" s="60">
        <v>-2880625.6</v>
      </c>
      <c r="F232" s="22" t="s">
        <v>2</v>
      </c>
      <c r="G232" s="22" t="s">
        <v>740</v>
      </c>
      <c r="H232" s="22" t="s">
        <v>728</v>
      </c>
      <c r="I232" s="22" t="s">
        <v>492</v>
      </c>
      <c r="J232" s="22"/>
      <c r="K232" s="24"/>
    </row>
    <row r="233" spans="1:11" x14ac:dyDescent="0.35">
      <c r="A233" s="22" t="s">
        <v>1062</v>
      </c>
      <c r="B233" s="22" t="s">
        <v>489</v>
      </c>
      <c r="C233" s="60">
        <v>700000</v>
      </c>
      <c r="D233" s="60">
        <v>0</v>
      </c>
      <c r="E233" s="60">
        <v>-2180625.6</v>
      </c>
      <c r="F233" s="22" t="s">
        <v>2</v>
      </c>
      <c r="G233" s="22" t="s">
        <v>741</v>
      </c>
      <c r="H233" s="22" t="s">
        <v>728</v>
      </c>
      <c r="I233" s="22" t="s">
        <v>492</v>
      </c>
      <c r="J233" s="22"/>
      <c r="K233" s="24"/>
    </row>
    <row r="234" spans="1:11" x14ac:dyDescent="0.35">
      <c r="A234" s="22" t="s">
        <v>1063</v>
      </c>
      <c r="B234" s="22" t="s">
        <v>489</v>
      </c>
      <c r="C234" s="60">
        <v>700000</v>
      </c>
      <c r="D234" s="60">
        <v>0</v>
      </c>
      <c r="E234" s="60">
        <v>-1480625.6</v>
      </c>
      <c r="F234" s="22" t="s">
        <v>2</v>
      </c>
      <c r="G234" s="22" t="s">
        <v>742</v>
      </c>
      <c r="H234" s="22" t="s">
        <v>728</v>
      </c>
      <c r="I234" s="22" t="s">
        <v>492</v>
      </c>
      <c r="J234" s="22"/>
      <c r="K234" s="24"/>
    </row>
    <row r="235" spans="1:11" hidden="1" x14ac:dyDescent="0.35">
      <c r="A235" s="22" t="s">
        <v>1063</v>
      </c>
      <c r="B235" s="22" t="s">
        <v>489</v>
      </c>
      <c r="C235" s="60">
        <v>0</v>
      </c>
      <c r="D235" s="60">
        <v>151725</v>
      </c>
      <c r="E235" s="60">
        <v>-1632350.6</v>
      </c>
      <c r="F235" s="22" t="s">
        <v>3</v>
      </c>
      <c r="G235" s="22" t="s">
        <v>743</v>
      </c>
      <c r="H235" s="22" t="s">
        <v>507</v>
      </c>
      <c r="I235" s="22" t="s">
        <v>492</v>
      </c>
      <c r="J235" s="22" t="s">
        <v>743</v>
      </c>
      <c r="K235" s="24">
        <v>246779410348</v>
      </c>
    </row>
    <row r="236" spans="1:11" hidden="1" x14ac:dyDescent="0.35">
      <c r="A236" s="22" t="s">
        <v>1064</v>
      </c>
      <c r="B236" s="22" t="s">
        <v>489</v>
      </c>
      <c r="C236" s="60">
        <v>19430</v>
      </c>
      <c r="D236" s="60">
        <v>0</v>
      </c>
      <c r="E236" s="60">
        <v>-1612920.6</v>
      </c>
      <c r="F236" s="22" t="s">
        <v>0</v>
      </c>
      <c r="G236" s="22" t="s">
        <v>744</v>
      </c>
      <c r="H236" s="22" t="s">
        <v>507</v>
      </c>
      <c r="I236" s="22" t="s">
        <v>492</v>
      </c>
      <c r="J236" s="22" t="s">
        <v>665</v>
      </c>
      <c r="K236" s="24">
        <v>246779413705</v>
      </c>
    </row>
    <row r="237" spans="1:11" hidden="1" x14ac:dyDescent="0.35">
      <c r="A237" s="22" t="s">
        <v>1064</v>
      </c>
      <c r="B237" s="22" t="s">
        <v>489</v>
      </c>
      <c r="C237" s="60">
        <v>18611</v>
      </c>
      <c r="D237" s="60">
        <v>0</v>
      </c>
      <c r="E237" s="60">
        <v>-1594309.6</v>
      </c>
      <c r="F237" s="22" t="s">
        <v>0</v>
      </c>
      <c r="G237" s="22" t="s">
        <v>745</v>
      </c>
      <c r="H237" s="22" t="s">
        <v>608</v>
      </c>
      <c r="I237" s="22" t="s">
        <v>492</v>
      </c>
      <c r="J237" s="22" t="s">
        <v>609</v>
      </c>
      <c r="K237" s="24">
        <v>246779413816</v>
      </c>
    </row>
    <row r="238" spans="1:11" hidden="1" x14ac:dyDescent="0.35">
      <c r="A238" s="22" t="s">
        <v>1064</v>
      </c>
      <c r="B238" s="22" t="s">
        <v>489</v>
      </c>
      <c r="C238" s="60">
        <v>31723</v>
      </c>
      <c r="D238" s="60">
        <v>0</v>
      </c>
      <c r="E238" s="60">
        <v>-1562586.6</v>
      </c>
      <c r="F238" s="22" t="s">
        <v>0</v>
      </c>
      <c r="G238" s="22" t="s">
        <v>746</v>
      </c>
      <c r="H238" s="22" t="s">
        <v>608</v>
      </c>
      <c r="I238" s="22" t="s">
        <v>492</v>
      </c>
      <c r="J238" s="22" t="s">
        <v>610</v>
      </c>
      <c r="K238" s="24">
        <v>246779413827</v>
      </c>
    </row>
    <row r="239" spans="1:11" hidden="1" x14ac:dyDescent="0.35">
      <c r="A239" s="22" t="s">
        <v>1064</v>
      </c>
      <c r="B239" s="22" t="s">
        <v>489</v>
      </c>
      <c r="C239" s="60">
        <v>17857</v>
      </c>
      <c r="D239" s="60">
        <v>0</v>
      </c>
      <c r="E239" s="60">
        <v>-1544729.6000000001</v>
      </c>
      <c r="F239" s="22" t="s">
        <v>0</v>
      </c>
      <c r="G239" s="22" t="s">
        <v>747</v>
      </c>
      <c r="H239" s="22" t="s">
        <v>608</v>
      </c>
      <c r="I239" s="22" t="s">
        <v>492</v>
      </c>
      <c r="J239" s="22" t="s">
        <v>638</v>
      </c>
      <c r="K239" s="24">
        <v>246779411339</v>
      </c>
    </row>
    <row r="240" spans="1:11" hidden="1" x14ac:dyDescent="0.35">
      <c r="A240" s="22" t="s">
        <v>1064</v>
      </c>
      <c r="B240" s="22" t="s">
        <v>489</v>
      </c>
      <c r="C240" s="60">
        <v>11798</v>
      </c>
      <c r="D240" s="60">
        <v>0</v>
      </c>
      <c r="E240" s="60">
        <v>-1532931.6</v>
      </c>
      <c r="F240" s="22" t="s">
        <v>0</v>
      </c>
      <c r="G240" s="22" t="s">
        <v>748</v>
      </c>
      <c r="H240" s="22" t="s">
        <v>608</v>
      </c>
      <c r="I240" s="22" t="s">
        <v>492</v>
      </c>
      <c r="J240" s="22" t="s">
        <v>716</v>
      </c>
      <c r="K240" s="24">
        <v>256779413283</v>
      </c>
    </row>
    <row r="241" spans="1:11" hidden="1" x14ac:dyDescent="0.35">
      <c r="A241" s="22" t="s">
        <v>1064</v>
      </c>
      <c r="B241" s="22" t="s">
        <v>489</v>
      </c>
      <c r="C241" s="60">
        <v>20874</v>
      </c>
      <c r="D241" s="60">
        <v>0</v>
      </c>
      <c r="E241" s="60">
        <v>-1512057.6</v>
      </c>
      <c r="F241" s="22" t="s">
        <v>0</v>
      </c>
      <c r="G241" s="22" t="s">
        <v>749</v>
      </c>
      <c r="H241" s="22" t="s">
        <v>608</v>
      </c>
      <c r="I241" s="22" t="s">
        <v>492</v>
      </c>
      <c r="J241" s="22" t="s">
        <v>607</v>
      </c>
      <c r="K241" s="24">
        <v>246779411326</v>
      </c>
    </row>
    <row r="242" spans="1:11" hidden="1" x14ac:dyDescent="0.35">
      <c r="A242" s="22" t="s">
        <v>1064</v>
      </c>
      <c r="B242" s="22" t="s">
        <v>489</v>
      </c>
      <c r="C242" s="60">
        <v>140649</v>
      </c>
      <c r="D242" s="60">
        <v>0</v>
      </c>
      <c r="E242" s="60">
        <v>-1371408.6</v>
      </c>
      <c r="F242" s="22" t="s">
        <v>0</v>
      </c>
      <c r="G242" s="22" t="s">
        <v>750</v>
      </c>
      <c r="H242" s="22" t="s">
        <v>507</v>
      </c>
      <c r="I242" s="22" t="s">
        <v>492</v>
      </c>
      <c r="J242" s="22" t="s">
        <v>679</v>
      </c>
      <c r="K242" s="24">
        <v>256779410010</v>
      </c>
    </row>
    <row r="243" spans="1:11" hidden="1" x14ac:dyDescent="0.35">
      <c r="A243" s="22" t="s">
        <v>1064</v>
      </c>
      <c r="B243" s="22" t="s">
        <v>489</v>
      </c>
      <c r="C243" s="60">
        <v>55272</v>
      </c>
      <c r="D243" s="60">
        <v>0</v>
      </c>
      <c r="E243" s="60">
        <v>-1316136.6000000001</v>
      </c>
      <c r="F243" s="22" t="s">
        <v>0</v>
      </c>
      <c r="G243" s="22" t="s">
        <v>751</v>
      </c>
      <c r="H243" s="22" t="s">
        <v>507</v>
      </c>
      <c r="I243" s="22" t="s">
        <v>492</v>
      </c>
      <c r="J243" s="22" t="s">
        <v>680</v>
      </c>
      <c r="K243" s="24">
        <v>256779410004</v>
      </c>
    </row>
    <row r="244" spans="1:11" hidden="1" x14ac:dyDescent="0.35">
      <c r="A244" s="22" t="s">
        <v>1064</v>
      </c>
      <c r="B244" s="22" t="s">
        <v>489</v>
      </c>
      <c r="C244" s="60">
        <v>4786</v>
      </c>
      <c r="D244" s="60">
        <v>0</v>
      </c>
      <c r="E244" s="60">
        <v>-1311350.6000000001</v>
      </c>
      <c r="F244" s="22" t="s">
        <v>0</v>
      </c>
      <c r="G244" s="22" t="s">
        <v>752</v>
      </c>
      <c r="H244" s="22" t="s">
        <v>507</v>
      </c>
      <c r="I244" s="22" t="s">
        <v>492</v>
      </c>
      <c r="J244" s="22" t="s">
        <v>752</v>
      </c>
      <c r="K244" s="24">
        <v>256779421381</v>
      </c>
    </row>
    <row r="245" spans="1:11" hidden="1" x14ac:dyDescent="0.35">
      <c r="A245" s="22" t="s">
        <v>1064</v>
      </c>
      <c r="B245" s="22" t="s">
        <v>489</v>
      </c>
      <c r="C245" s="60">
        <v>11955</v>
      </c>
      <c r="D245" s="60">
        <v>0</v>
      </c>
      <c r="E245" s="60">
        <v>-1299395.6000000001</v>
      </c>
      <c r="F245" s="22" t="s">
        <v>0</v>
      </c>
      <c r="G245" s="22" t="s">
        <v>753</v>
      </c>
      <c r="H245" s="22" t="s">
        <v>664</v>
      </c>
      <c r="I245" s="22" t="s">
        <v>492</v>
      </c>
      <c r="J245" s="22" t="s">
        <v>663</v>
      </c>
      <c r="K245" s="24">
        <v>246779413845</v>
      </c>
    </row>
    <row r="246" spans="1:11" hidden="1" x14ac:dyDescent="0.35">
      <c r="A246" s="22" t="s">
        <v>1064</v>
      </c>
      <c r="B246" s="22" t="s">
        <v>489</v>
      </c>
      <c r="C246" s="60">
        <v>0</v>
      </c>
      <c r="D246" s="60">
        <v>163631</v>
      </c>
      <c r="E246" s="60">
        <v>-1463026.6</v>
      </c>
      <c r="F246" s="22" t="s">
        <v>3</v>
      </c>
      <c r="G246" s="22" t="s">
        <v>754</v>
      </c>
      <c r="H246" s="22" t="s">
        <v>507</v>
      </c>
      <c r="I246" s="22" t="s">
        <v>492</v>
      </c>
      <c r="J246" s="22" t="s">
        <v>754</v>
      </c>
      <c r="K246" s="24">
        <v>246779413796</v>
      </c>
    </row>
    <row r="247" spans="1:11" hidden="1" x14ac:dyDescent="0.35">
      <c r="A247" s="22" t="s">
        <v>1064</v>
      </c>
      <c r="B247" s="22" t="s">
        <v>489</v>
      </c>
      <c r="C247" s="60">
        <v>12467</v>
      </c>
      <c r="D247" s="60">
        <v>0</v>
      </c>
      <c r="E247" s="60">
        <v>-1450559.6</v>
      </c>
      <c r="F247" s="22" t="s">
        <v>0</v>
      </c>
      <c r="G247" s="22" t="s">
        <v>755</v>
      </c>
      <c r="H247" s="22" t="s">
        <v>507</v>
      </c>
      <c r="I247" s="22" t="s">
        <v>492</v>
      </c>
      <c r="J247" s="22" t="s">
        <v>755</v>
      </c>
      <c r="K247" s="24">
        <v>256779421383</v>
      </c>
    </row>
    <row r="248" spans="1:11" hidden="1" x14ac:dyDescent="0.35">
      <c r="A248" s="22" t="s">
        <v>1064</v>
      </c>
      <c r="B248" s="22" t="s">
        <v>489</v>
      </c>
      <c r="C248" s="60">
        <v>6084</v>
      </c>
      <c r="D248" s="60">
        <v>0</v>
      </c>
      <c r="E248" s="60">
        <v>-1444475.6</v>
      </c>
      <c r="F248" s="22" t="s">
        <v>0</v>
      </c>
      <c r="G248" s="22" t="s">
        <v>756</v>
      </c>
      <c r="H248" s="22" t="s">
        <v>697</v>
      </c>
      <c r="I248" s="22" t="s">
        <v>492</v>
      </c>
      <c r="J248" s="22" t="s">
        <v>756</v>
      </c>
      <c r="K248" s="24">
        <v>256779421376</v>
      </c>
    </row>
    <row r="249" spans="1:11" hidden="1" x14ac:dyDescent="0.35">
      <c r="A249" s="22" t="s">
        <v>1064</v>
      </c>
      <c r="B249" s="22" t="s">
        <v>489</v>
      </c>
      <c r="C249" s="60">
        <v>12169</v>
      </c>
      <c r="D249" s="60">
        <v>0</v>
      </c>
      <c r="E249" s="60">
        <v>-1432306.6</v>
      </c>
      <c r="F249" s="22" t="s">
        <v>0</v>
      </c>
      <c r="G249" s="22" t="s">
        <v>757</v>
      </c>
      <c r="H249" s="22" t="s">
        <v>697</v>
      </c>
      <c r="I249" s="22" t="s">
        <v>492</v>
      </c>
      <c r="J249" s="22" t="s">
        <v>757</v>
      </c>
      <c r="K249" s="24">
        <v>256779421370</v>
      </c>
    </row>
    <row r="250" spans="1:11" hidden="1" x14ac:dyDescent="0.35">
      <c r="A250" s="22" t="s">
        <v>1064</v>
      </c>
      <c r="B250" s="22" t="s">
        <v>489</v>
      </c>
      <c r="C250" s="60">
        <v>114223</v>
      </c>
      <c r="D250" s="60">
        <v>0</v>
      </c>
      <c r="E250" s="60">
        <v>-1318083.6000000001</v>
      </c>
      <c r="F250" s="22" t="s">
        <v>0</v>
      </c>
      <c r="G250" s="22" t="s">
        <v>758</v>
      </c>
      <c r="H250" s="22" t="s">
        <v>507</v>
      </c>
      <c r="I250" s="22" t="s">
        <v>492</v>
      </c>
      <c r="J250" s="22" t="s">
        <v>758</v>
      </c>
      <c r="K250" s="24">
        <v>256779421367</v>
      </c>
    </row>
    <row r="251" spans="1:11" hidden="1" x14ac:dyDescent="0.35">
      <c r="A251" s="22" t="s">
        <v>1064</v>
      </c>
      <c r="B251" s="22" t="s">
        <v>489</v>
      </c>
      <c r="C251" s="60">
        <v>0</v>
      </c>
      <c r="D251" s="60">
        <v>31577</v>
      </c>
      <c r="E251" s="60">
        <v>-1349660.6</v>
      </c>
      <c r="F251" s="22" t="s">
        <v>3</v>
      </c>
      <c r="G251" s="22" t="s">
        <v>759</v>
      </c>
      <c r="H251" s="22" t="s">
        <v>507</v>
      </c>
      <c r="I251" s="22" t="s">
        <v>492</v>
      </c>
      <c r="J251" s="22" t="s">
        <v>759</v>
      </c>
      <c r="K251" s="24">
        <v>246779413702</v>
      </c>
    </row>
    <row r="252" spans="1:11" hidden="1" x14ac:dyDescent="0.35">
      <c r="A252" s="22" t="s">
        <v>1064</v>
      </c>
      <c r="B252" s="22" t="s">
        <v>489</v>
      </c>
      <c r="C252" s="60">
        <v>31577</v>
      </c>
      <c r="D252" s="60">
        <v>0</v>
      </c>
      <c r="E252" s="60">
        <v>-1318083.6000000001</v>
      </c>
      <c r="F252" s="22" t="s">
        <v>0</v>
      </c>
      <c r="G252" s="22" t="s">
        <v>760</v>
      </c>
      <c r="H252" s="22" t="s">
        <v>507</v>
      </c>
      <c r="I252" s="22" t="s">
        <v>492</v>
      </c>
      <c r="J252" s="22" t="s">
        <v>760</v>
      </c>
      <c r="K252" s="24">
        <v>256779421361</v>
      </c>
    </row>
    <row r="253" spans="1:11" hidden="1" x14ac:dyDescent="0.35">
      <c r="A253" s="22" t="s">
        <v>1064</v>
      </c>
      <c r="B253" s="22" t="s">
        <v>489</v>
      </c>
      <c r="C253" s="60">
        <v>17313</v>
      </c>
      <c r="D253" s="60">
        <v>330</v>
      </c>
      <c r="E253" s="60">
        <v>-1301100.6000000001</v>
      </c>
      <c r="F253" s="22" t="s">
        <v>1</v>
      </c>
      <c r="G253" s="22" t="s">
        <v>761</v>
      </c>
      <c r="H253" s="22" t="s">
        <v>697</v>
      </c>
      <c r="I253" s="22" t="s">
        <v>492</v>
      </c>
      <c r="J253" s="22" t="s">
        <v>762</v>
      </c>
      <c r="K253" s="24">
        <v>256779421379</v>
      </c>
    </row>
    <row r="254" spans="1:11" hidden="1" x14ac:dyDescent="0.35">
      <c r="A254" s="22" t="s">
        <v>1064</v>
      </c>
      <c r="B254" s="22" t="s">
        <v>489</v>
      </c>
      <c r="C254" s="60">
        <v>8696</v>
      </c>
      <c r="D254" s="60">
        <v>173</v>
      </c>
      <c r="E254" s="60">
        <v>-1292577.6000000001</v>
      </c>
      <c r="F254" s="22" t="s">
        <v>1</v>
      </c>
      <c r="G254" s="22" t="s">
        <v>763</v>
      </c>
      <c r="H254" s="22" t="s">
        <v>608</v>
      </c>
      <c r="I254" s="22" t="s">
        <v>492</v>
      </c>
      <c r="J254" s="22" t="s">
        <v>764</v>
      </c>
      <c r="K254" s="24">
        <v>256779421373</v>
      </c>
    </row>
    <row r="255" spans="1:11" x14ac:dyDescent="0.35">
      <c r="A255" s="22" t="s">
        <v>1065</v>
      </c>
      <c r="B255" s="22" t="s">
        <v>489</v>
      </c>
      <c r="C255" s="60">
        <v>700000</v>
      </c>
      <c r="D255" s="60">
        <v>0</v>
      </c>
      <c r="E255" s="60">
        <v>-592577.59999999963</v>
      </c>
      <c r="F255" s="22" t="s">
        <v>2</v>
      </c>
      <c r="G255" s="22" t="s">
        <v>765</v>
      </c>
      <c r="H255" s="22" t="s">
        <v>728</v>
      </c>
      <c r="I255" s="22" t="s">
        <v>492</v>
      </c>
      <c r="J255" s="22"/>
      <c r="K255" s="24"/>
    </row>
    <row r="256" spans="1:11" hidden="1" x14ac:dyDescent="0.35">
      <c r="A256" s="22" t="s">
        <v>1066</v>
      </c>
      <c r="B256" s="22" t="s">
        <v>489</v>
      </c>
      <c r="C256" s="60">
        <v>0</v>
      </c>
      <c r="D256" s="60">
        <v>9368</v>
      </c>
      <c r="E256" s="60">
        <v>-601945.59999999963</v>
      </c>
      <c r="F256" s="22" t="s">
        <v>3</v>
      </c>
      <c r="G256" s="22" t="s">
        <v>766</v>
      </c>
      <c r="H256" s="22" t="s">
        <v>557</v>
      </c>
      <c r="I256" s="22" t="s">
        <v>492</v>
      </c>
      <c r="J256" s="22" t="s">
        <v>766</v>
      </c>
      <c r="K256" s="24">
        <v>256779415945</v>
      </c>
    </row>
    <row r="257" spans="1:11" x14ac:dyDescent="0.35">
      <c r="A257" s="22" t="s">
        <v>1067</v>
      </c>
      <c r="B257" s="22" t="s">
        <v>489</v>
      </c>
      <c r="C257" s="60">
        <v>350672</v>
      </c>
      <c r="D257" s="60">
        <v>0</v>
      </c>
      <c r="E257" s="60">
        <v>-251273.5999999996</v>
      </c>
      <c r="F257" s="22" t="s">
        <v>2</v>
      </c>
      <c r="G257" s="22" t="s">
        <v>767</v>
      </c>
      <c r="H257" s="22" t="s">
        <v>728</v>
      </c>
      <c r="I257" s="22" t="s">
        <v>492</v>
      </c>
      <c r="J257" s="22"/>
      <c r="K257" s="24"/>
    </row>
    <row r="258" spans="1:11" hidden="1" x14ac:dyDescent="0.35">
      <c r="A258" s="22" t="s">
        <v>1067</v>
      </c>
      <c r="B258" s="22" t="s">
        <v>489</v>
      </c>
      <c r="C258" s="60">
        <v>0</v>
      </c>
      <c r="D258" s="60">
        <v>32007</v>
      </c>
      <c r="E258" s="60">
        <v>-283280.59999999963</v>
      </c>
      <c r="F258" s="22" t="s">
        <v>3</v>
      </c>
      <c r="G258" s="22" t="s">
        <v>768</v>
      </c>
      <c r="H258" s="22" t="s">
        <v>507</v>
      </c>
      <c r="I258" s="22" t="s">
        <v>492</v>
      </c>
      <c r="J258" s="22" t="s">
        <v>768</v>
      </c>
      <c r="K258" s="24">
        <v>256779415967</v>
      </c>
    </row>
    <row r="259" spans="1:11" hidden="1" x14ac:dyDescent="0.35">
      <c r="A259" s="22" t="s">
        <v>1067</v>
      </c>
      <c r="B259" s="22" t="s">
        <v>489</v>
      </c>
      <c r="C259" s="60">
        <v>0</v>
      </c>
      <c r="D259" s="60">
        <v>9348</v>
      </c>
      <c r="E259" s="60">
        <v>-292628.59999999963</v>
      </c>
      <c r="F259" s="22" t="s">
        <v>3</v>
      </c>
      <c r="G259" s="22" t="s">
        <v>769</v>
      </c>
      <c r="H259" s="22" t="s">
        <v>507</v>
      </c>
      <c r="I259" s="22" t="s">
        <v>492</v>
      </c>
      <c r="J259" s="22" t="s">
        <v>769</v>
      </c>
      <c r="K259" s="24">
        <v>256779415970</v>
      </c>
    </row>
    <row r="260" spans="1:11" hidden="1" x14ac:dyDescent="0.35">
      <c r="A260" s="22" t="s">
        <v>1067</v>
      </c>
      <c r="B260" s="22" t="s">
        <v>489</v>
      </c>
      <c r="C260" s="60">
        <v>0</v>
      </c>
      <c r="D260" s="60">
        <v>196</v>
      </c>
      <c r="E260" s="60">
        <v>-292824.59999999963</v>
      </c>
      <c r="F260" s="22" t="s">
        <v>3</v>
      </c>
      <c r="G260" s="22" t="s">
        <v>770</v>
      </c>
      <c r="H260" s="22" t="s">
        <v>573</v>
      </c>
      <c r="I260" s="22" t="s">
        <v>492</v>
      </c>
      <c r="J260" s="22" t="s">
        <v>770</v>
      </c>
      <c r="K260" s="24">
        <v>256779415995</v>
      </c>
    </row>
    <row r="261" spans="1:11" hidden="1" x14ac:dyDescent="0.35">
      <c r="A261" s="22" t="s">
        <v>1068</v>
      </c>
      <c r="B261" s="22" t="s">
        <v>489</v>
      </c>
      <c r="C261" s="60">
        <v>33376</v>
      </c>
      <c r="D261" s="60">
        <v>0</v>
      </c>
      <c r="E261" s="60">
        <v>-259448.5999999996</v>
      </c>
      <c r="F261" s="22" t="s">
        <v>0</v>
      </c>
      <c r="G261" s="22" t="s">
        <v>771</v>
      </c>
      <c r="H261" s="22" t="s">
        <v>608</v>
      </c>
      <c r="I261" s="22" t="s">
        <v>492</v>
      </c>
      <c r="J261" s="22" t="s">
        <v>646</v>
      </c>
      <c r="K261" s="24">
        <v>246779411300</v>
      </c>
    </row>
    <row r="262" spans="1:11" hidden="1" x14ac:dyDescent="0.35">
      <c r="A262" s="22" t="s">
        <v>1068</v>
      </c>
      <c r="B262" s="22" t="s">
        <v>489</v>
      </c>
      <c r="C262" s="60">
        <v>15778</v>
      </c>
      <c r="D262" s="60">
        <v>0</v>
      </c>
      <c r="E262" s="60">
        <v>-243670.5999999996</v>
      </c>
      <c r="F262" s="22" t="s">
        <v>0</v>
      </c>
      <c r="G262" s="22" t="s">
        <v>772</v>
      </c>
      <c r="H262" s="22" t="s">
        <v>507</v>
      </c>
      <c r="I262" s="22" t="s">
        <v>492</v>
      </c>
      <c r="J262" s="22" t="s">
        <v>772</v>
      </c>
      <c r="K262" s="24" t="s">
        <v>773</v>
      </c>
    </row>
    <row r="263" spans="1:11" hidden="1" x14ac:dyDescent="0.35">
      <c r="A263" s="22" t="s">
        <v>1068</v>
      </c>
      <c r="B263" s="22" t="s">
        <v>489</v>
      </c>
      <c r="C263" s="60">
        <v>0</v>
      </c>
      <c r="D263" s="60">
        <v>44602</v>
      </c>
      <c r="E263" s="60">
        <v>-288272.59999999963</v>
      </c>
      <c r="F263" s="22" t="s">
        <v>3</v>
      </c>
      <c r="G263" s="22" t="s">
        <v>774</v>
      </c>
      <c r="H263" s="22" t="s">
        <v>608</v>
      </c>
      <c r="I263" s="22" t="s">
        <v>492</v>
      </c>
      <c r="J263" s="22" t="s">
        <v>774</v>
      </c>
      <c r="K263" s="24">
        <v>246779411278</v>
      </c>
    </row>
    <row r="264" spans="1:11" hidden="1" x14ac:dyDescent="0.35">
      <c r="A264" s="22" t="s">
        <v>1068</v>
      </c>
      <c r="B264" s="22" t="s">
        <v>489</v>
      </c>
      <c r="C264" s="60">
        <v>36410</v>
      </c>
      <c r="D264" s="60">
        <v>0</v>
      </c>
      <c r="E264" s="60">
        <v>-251862.5999999996</v>
      </c>
      <c r="F264" s="22" t="s">
        <v>0</v>
      </c>
      <c r="G264" s="22" t="s">
        <v>775</v>
      </c>
      <c r="H264" s="22" t="s">
        <v>608</v>
      </c>
      <c r="I264" s="22" t="s">
        <v>492</v>
      </c>
      <c r="J264" s="22" t="s">
        <v>775</v>
      </c>
      <c r="K264" s="24" t="s">
        <v>776</v>
      </c>
    </row>
    <row r="265" spans="1:11" hidden="1" x14ac:dyDescent="0.35">
      <c r="A265" s="22" t="s">
        <v>1068</v>
      </c>
      <c r="B265" s="22" t="s">
        <v>489</v>
      </c>
      <c r="C265" s="60">
        <v>15401</v>
      </c>
      <c r="D265" s="60">
        <v>0</v>
      </c>
      <c r="E265" s="60">
        <v>-236461.5999999996</v>
      </c>
      <c r="F265" s="22" t="s">
        <v>0</v>
      </c>
      <c r="G265" s="22" t="s">
        <v>777</v>
      </c>
      <c r="H265" s="22" t="s">
        <v>491</v>
      </c>
      <c r="I265" s="22" t="s">
        <v>492</v>
      </c>
      <c r="J265" s="22" t="s">
        <v>777</v>
      </c>
      <c r="K265" s="24" t="s">
        <v>778</v>
      </c>
    </row>
    <row r="266" spans="1:11" hidden="1" x14ac:dyDescent="0.35">
      <c r="A266" s="22" t="s">
        <v>1068</v>
      </c>
      <c r="B266" s="22" t="s">
        <v>489</v>
      </c>
      <c r="C266" s="60">
        <v>0</v>
      </c>
      <c r="D266" s="60">
        <v>18367</v>
      </c>
      <c r="E266" s="60">
        <v>-254828.5999999996</v>
      </c>
      <c r="F266" s="22" t="s">
        <v>3</v>
      </c>
      <c r="G266" s="22" t="s">
        <v>779</v>
      </c>
      <c r="H266" s="22" t="s">
        <v>491</v>
      </c>
      <c r="I266" s="22" t="s">
        <v>492</v>
      </c>
      <c r="J266" s="22" t="s">
        <v>779</v>
      </c>
      <c r="K266" s="24">
        <v>246779413701</v>
      </c>
    </row>
    <row r="267" spans="1:11" hidden="1" x14ac:dyDescent="0.35">
      <c r="A267" s="22" t="s">
        <v>1069</v>
      </c>
      <c r="B267" s="22" t="s">
        <v>489</v>
      </c>
      <c r="C267" s="60">
        <v>0</v>
      </c>
      <c r="D267" s="60">
        <v>9124</v>
      </c>
      <c r="E267" s="60">
        <v>-263952.59999999963</v>
      </c>
      <c r="F267" s="22" t="s">
        <v>3</v>
      </c>
      <c r="G267" s="22" t="s">
        <v>780</v>
      </c>
      <c r="H267" s="22" t="s">
        <v>500</v>
      </c>
      <c r="I267" s="22" t="s">
        <v>492</v>
      </c>
      <c r="J267" s="22" t="s">
        <v>780</v>
      </c>
      <c r="K267" s="24">
        <v>256779416223</v>
      </c>
    </row>
    <row r="268" spans="1:11" hidden="1" x14ac:dyDescent="0.35">
      <c r="A268" s="22" t="s">
        <v>1069</v>
      </c>
      <c r="B268" s="22" t="s">
        <v>489</v>
      </c>
      <c r="C268" s="60">
        <v>0</v>
      </c>
      <c r="D268" s="60">
        <v>4755</v>
      </c>
      <c r="E268" s="60">
        <v>-268707.59999999963</v>
      </c>
      <c r="F268" s="22" t="s">
        <v>3</v>
      </c>
      <c r="G268" s="22" t="s">
        <v>781</v>
      </c>
      <c r="H268" s="22" t="s">
        <v>500</v>
      </c>
      <c r="I268" s="22" t="s">
        <v>492</v>
      </c>
      <c r="J268" s="22" t="s">
        <v>781</v>
      </c>
      <c r="K268" s="24">
        <v>256779416256</v>
      </c>
    </row>
    <row r="269" spans="1:11" hidden="1" x14ac:dyDescent="0.35">
      <c r="A269" s="22" t="s">
        <v>1069</v>
      </c>
      <c r="B269" s="22" t="s">
        <v>489</v>
      </c>
      <c r="C269" s="60">
        <v>0</v>
      </c>
      <c r="D269" s="60">
        <v>462828</v>
      </c>
      <c r="E269" s="60">
        <v>-731535.59999999963</v>
      </c>
      <c r="F269" s="22" t="s">
        <v>3</v>
      </c>
      <c r="G269" s="22" t="s">
        <v>782</v>
      </c>
      <c r="H269" s="22" t="s">
        <v>783</v>
      </c>
      <c r="I269" s="22" t="s">
        <v>492</v>
      </c>
      <c r="J269" s="22" t="s">
        <v>782</v>
      </c>
      <c r="K269" s="24">
        <v>256779416088</v>
      </c>
    </row>
    <row r="270" spans="1:11" hidden="1" x14ac:dyDescent="0.35">
      <c r="A270" s="22" t="s">
        <v>1070</v>
      </c>
      <c r="B270" s="22" t="s">
        <v>489</v>
      </c>
      <c r="C270" s="60">
        <v>0</v>
      </c>
      <c r="D270" s="60">
        <v>4790</v>
      </c>
      <c r="E270" s="60">
        <v>-736325.59999999963</v>
      </c>
      <c r="F270" s="22" t="s">
        <v>3</v>
      </c>
      <c r="G270" s="22" t="s">
        <v>784</v>
      </c>
      <c r="H270" s="22" t="s">
        <v>704</v>
      </c>
      <c r="I270" s="22" t="s">
        <v>492</v>
      </c>
      <c r="J270" s="22" t="s">
        <v>784</v>
      </c>
      <c r="K270" s="24">
        <v>256779416615</v>
      </c>
    </row>
    <row r="271" spans="1:11" hidden="1" x14ac:dyDescent="0.35">
      <c r="A271" s="22" t="s">
        <v>1070</v>
      </c>
      <c r="B271" s="22" t="s">
        <v>489</v>
      </c>
      <c r="C271" s="60">
        <v>0</v>
      </c>
      <c r="D271" s="60">
        <v>6981</v>
      </c>
      <c r="E271" s="60">
        <v>-743306.59999999963</v>
      </c>
      <c r="F271" s="22" t="s">
        <v>3</v>
      </c>
      <c r="G271" s="22" t="s">
        <v>785</v>
      </c>
      <c r="H271" s="22" t="s">
        <v>573</v>
      </c>
      <c r="I271" s="22" t="s">
        <v>492</v>
      </c>
      <c r="J271" s="22" t="s">
        <v>785</v>
      </c>
      <c r="K271" s="24">
        <v>256779416809</v>
      </c>
    </row>
    <row r="272" spans="1:11" hidden="1" x14ac:dyDescent="0.35">
      <c r="A272" s="22" t="s">
        <v>1070</v>
      </c>
      <c r="B272" s="22" t="s">
        <v>489</v>
      </c>
      <c r="C272" s="60">
        <v>0</v>
      </c>
      <c r="D272" s="60">
        <v>971</v>
      </c>
      <c r="E272" s="60">
        <v>-744277.59999999963</v>
      </c>
      <c r="F272" s="22" t="s">
        <v>3</v>
      </c>
      <c r="G272" s="22" t="s">
        <v>786</v>
      </c>
      <c r="H272" s="22" t="s">
        <v>787</v>
      </c>
      <c r="I272" s="22" t="s">
        <v>492</v>
      </c>
      <c r="J272" s="22" t="s">
        <v>786</v>
      </c>
      <c r="K272" s="24">
        <v>256779416878</v>
      </c>
    </row>
    <row r="273" spans="1:11" hidden="1" x14ac:dyDescent="0.35">
      <c r="A273" s="22" t="s">
        <v>1070</v>
      </c>
      <c r="B273" s="22" t="s">
        <v>489</v>
      </c>
      <c r="C273" s="60">
        <v>0</v>
      </c>
      <c r="D273" s="60">
        <v>11922</v>
      </c>
      <c r="E273" s="60">
        <v>-756199.59999999963</v>
      </c>
      <c r="F273" s="22" t="s">
        <v>3</v>
      </c>
      <c r="G273" s="22" t="s">
        <v>788</v>
      </c>
      <c r="H273" s="22" t="s">
        <v>789</v>
      </c>
      <c r="I273" s="22" t="s">
        <v>492</v>
      </c>
      <c r="J273" s="22" t="s">
        <v>788</v>
      </c>
      <c r="K273" s="24">
        <v>256779416844</v>
      </c>
    </row>
    <row r="274" spans="1:11" hidden="1" x14ac:dyDescent="0.35">
      <c r="A274" s="22" t="s">
        <v>1070</v>
      </c>
      <c r="B274" s="22" t="s">
        <v>489</v>
      </c>
      <c r="C274" s="60">
        <v>0</v>
      </c>
      <c r="D274" s="60">
        <v>1463</v>
      </c>
      <c r="E274" s="60">
        <v>-757662.59999999963</v>
      </c>
      <c r="F274" s="22" t="s">
        <v>3</v>
      </c>
      <c r="G274" s="22" t="s">
        <v>790</v>
      </c>
      <c r="H274" s="22" t="s">
        <v>791</v>
      </c>
      <c r="I274" s="22" t="s">
        <v>492</v>
      </c>
      <c r="J274" s="22" t="s">
        <v>790</v>
      </c>
      <c r="K274" s="24">
        <v>256779416603</v>
      </c>
    </row>
    <row r="275" spans="1:11" hidden="1" x14ac:dyDescent="0.35">
      <c r="A275" s="22" t="s">
        <v>1071</v>
      </c>
      <c r="B275" s="22" t="s">
        <v>489</v>
      </c>
      <c r="C275" s="60">
        <v>4786</v>
      </c>
      <c r="D275" s="60">
        <v>4786</v>
      </c>
      <c r="E275" s="60">
        <v>-757662.59999999963</v>
      </c>
      <c r="F275" s="22" t="s">
        <v>1</v>
      </c>
      <c r="G275" s="22" t="s">
        <v>793</v>
      </c>
      <c r="H275" s="22"/>
      <c r="I275" s="22" t="s">
        <v>492</v>
      </c>
      <c r="J275" s="22" t="s">
        <v>794</v>
      </c>
      <c r="K275" s="24">
        <v>246779410360</v>
      </c>
    </row>
    <row r="276" spans="1:11" hidden="1" x14ac:dyDescent="0.35">
      <c r="A276" s="22" t="s">
        <v>1071</v>
      </c>
      <c r="B276" s="22" t="s">
        <v>489</v>
      </c>
      <c r="C276" s="60">
        <v>15778</v>
      </c>
      <c r="D276" s="60">
        <v>15778</v>
      </c>
      <c r="E276" s="60">
        <v>-757662.59999999963</v>
      </c>
      <c r="F276" s="22" t="s">
        <v>1</v>
      </c>
      <c r="G276" s="22" t="s">
        <v>795</v>
      </c>
      <c r="H276" s="22"/>
      <c r="I276" s="22" t="s">
        <v>492</v>
      </c>
      <c r="J276" s="22" t="s">
        <v>796</v>
      </c>
      <c r="K276" s="24">
        <v>246779410348</v>
      </c>
    </row>
    <row r="277" spans="1:11" hidden="1" x14ac:dyDescent="0.35">
      <c r="A277" s="22" t="s">
        <v>1071</v>
      </c>
      <c r="B277" s="22" t="s">
        <v>489</v>
      </c>
      <c r="C277" s="60">
        <v>36410</v>
      </c>
      <c r="D277" s="60">
        <v>36410</v>
      </c>
      <c r="E277" s="60">
        <v>-757662.59999999963</v>
      </c>
      <c r="F277" s="22" t="s">
        <v>1</v>
      </c>
      <c r="G277" s="22" t="s">
        <v>797</v>
      </c>
      <c r="H277" s="22"/>
      <c r="I277" s="22" t="s">
        <v>492</v>
      </c>
      <c r="J277" s="22" t="s">
        <v>798</v>
      </c>
      <c r="K277" s="24">
        <v>246779411278</v>
      </c>
    </row>
    <row r="278" spans="1:11" hidden="1" x14ac:dyDescent="0.35">
      <c r="A278" s="22" t="s">
        <v>1071</v>
      </c>
      <c r="B278" s="22" t="s">
        <v>489</v>
      </c>
      <c r="C278" s="60">
        <v>15401</v>
      </c>
      <c r="D278" s="60">
        <v>15401</v>
      </c>
      <c r="E278" s="60">
        <v>-757662.59999999963</v>
      </c>
      <c r="F278" s="22" t="s">
        <v>1</v>
      </c>
      <c r="G278" s="22" t="s">
        <v>799</v>
      </c>
      <c r="H278" s="22"/>
      <c r="I278" s="22" t="s">
        <v>492</v>
      </c>
      <c r="J278" s="22" t="s">
        <v>800</v>
      </c>
      <c r="K278" s="24">
        <v>246779413701</v>
      </c>
    </row>
    <row r="279" spans="1:11" hidden="1" x14ac:dyDescent="0.35">
      <c r="A279" s="22" t="s">
        <v>1071</v>
      </c>
      <c r="B279" s="22" t="s">
        <v>489</v>
      </c>
      <c r="C279" s="60">
        <v>12467</v>
      </c>
      <c r="D279" s="60">
        <v>12467</v>
      </c>
      <c r="E279" s="60">
        <v>-757662.59999999963</v>
      </c>
      <c r="F279" s="22" t="s">
        <v>1</v>
      </c>
      <c r="G279" s="22" t="s">
        <v>801</v>
      </c>
      <c r="H279" s="22"/>
      <c r="I279" s="22" t="s">
        <v>492</v>
      </c>
      <c r="J279" s="22" t="s">
        <v>802</v>
      </c>
      <c r="K279" s="24">
        <v>246779413796</v>
      </c>
    </row>
    <row r="280" spans="1:11" hidden="1" x14ac:dyDescent="0.35">
      <c r="A280" s="22" t="s">
        <v>1071</v>
      </c>
      <c r="B280" s="22" t="s">
        <v>489</v>
      </c>
      <c r="C280" s="60">
        <v>6084</v>
      </c>
      <c r="D280" s="60">
        <v>6084</v>
      </c>
      <c r="E280" s="60">
        <v>-757662.59999999963</v>
      </c>
      <c r="F280" s="22" t="s">
        <v>1</v>
      </c>
      <c r="G280" s="22" t="s">
        <v>803</v>
      </c>
      <c r="H280" s="22"/>
      <c r="I280" s="22" t="s">
        <v>492</v>
      </c>
      <c r="J280" s="22" t="s">
        <v>804</v>
      </c>
      <c r="K280" s="24">
        <v>256779412692</v>
      </c>
    </row>
    <row r="281" spans="1:11" hidden="1" x14ac:dyDescent="0.35">
      <c r="A281" s="22" t="s">
        <v>1071</v>
      </c>
      <c r="B281" s="22" t="s">
        <v>489</v>
      </c>
      <c r="C281" s="60">
        <v>12169</v>
      </c>
      <c r="D281" s="60">
        <v>12169</v>
      </c>
      <c r="E281" s="60">
        <v>-757662.59999999963</v>
      </c>
      <c r="F281" s="22" t="s">
        <v>1</v>
      </c>
      <c r="G281" s="22" t="s">
        <v>805</v>
      </c>
      <c r="H281" s="22"/>
      <c r="I281" s="22" t="s">
        <v>492</v>
      </c>
      <c r="J281" s="22" t="s">
        <v>806</v>
      </c>
      <c r="K281" s="24">
        <v>256779411917</v>
      </c>
    </row>
    <row r="282" spans="1:11" hidden="1" x14ac:dyDescent="0.35">
      <c r="A282" s="22" t="s">
        <v>1071</v>
      </c>
      <c r="B282" s="22" t="s">
        <v>489</v>
      </c>
      <c r="C282" s="60">
        <v>114223</v>
      </c>
      <c r="D282" s="60">
        <v>114223</v>
      </c>
      <c r="E282" s="60">
        <v>-757662.59999999963</v>
      </c>
      <c r="F282" s="22" t="s">
        <v>1</v>
      </c>
      <c r="G282" s="22" t="s">
        <v>807</v>
      </c>
      <c r="H282" s="22"/>
      <c r="I282" s="22" t="s">
        <v>492</v>
      </c>
      <c r="J282" s="22" t="s">
        <v>808</v>
      </c>
      <c r="K282" s="24">
        <v>256779410220</v>
      </c>
    </row>
    <row r="283" spans="1:11" hidden="1" x14ac:dyDescent="0.35">
      <c r="A283" s="22" t="s">
        <v>1071</v>
      </c>
      <c r="B283" s="22" t="s">
        <v>489</v>
      </c>
      <c r="C283" s="60">
        <v>31577</v>
      </c>
      <c r="D283" s="60">
        <v>31577</v>
      </c>
      <c r="E283" s="60">
        <v>-757662.59999999963</v>
      </c>
      <c r="F283" s="22" t="s">
        <v>1</v>
      </c>
      <c r="G283" s="22" t="s">
        <v>809</v>
      </c>
      <c r="H283" s="22"/>
      <c r="I283" s="22" t="s">
        <v>492</v>
      </c>
      <c r="J283" s="22" t="s">
        <v>810</v>
      </c>
      <c r="K283" s="24">
        <v>246779413702</v>
      </c>
    </row>
    <row r="284" spans="1:11" x14ac:dyDescent="0.35">
      <c r="A284" s="22" t="s">
        <v>1072</v>
      </c>
      <c r="B284" s="22" t="s">
        <v>489</v>
      </c>
      <c r="C284" s="60">
        <v>500000</v>
      </c>
      <c r="D284" s="60">
        <v>0</v>
      </c>
      <c r="E284" s="60">
        <v>-257662.5999999996</v>
      </c>
      <c r="F284" s="22" t="s">
        <v>2</v>
      </c>
      <c r="G284" s="22" t="s">
        <v>811</v>
      </c>
      <c r="H284" s="22" t="s">
        <v>728</v>
      </c>
      <c r="I284" s="22" t="s">
        <v>492</v>
      </c>
      <c r="J284" s="22" t="s">
        <v>812</v>
      </c>
      <c r="K284" s="24">
        <v>256779414158</v>
      </c>
    </row>
    <row r="285" spans="1:11" x14ac:dyDescent="0.35">
      <c r="A285" s="22" t="s">
        <v>1073</v>
      </c>
      <c r="B285" s="22" t="s">
        <v>489</v>
      </c>
      <c r="C285" s="60">
        <v>108564</v>
      </c>
      <c r="D285" s="60">
        <v>0</v>
      </c>
      <c r="E285" s="60">
        <v>-149098.5999999996</v>
      </c>
      <c r="F285" s="22" t="s">
        <v>2</v>
      </c>
      <c r="G285" s="22" t="s">
        <v>813</v>
      </c>
      <c r="H285" s="22" t="s">
        <v>728</v>
      </c>
      <c r="I285" s="22" t="s">
        <v>492</v>
      </c>
      <c r="J285" s="22" t="s">
        <v>814</v>
      </c>
      <c r="K285" s="24">
        <v>256779414158</v>
      </c>
    </row>
    <row r="286" spans="1:11" x14ac:dyDescent="0.35">
      <c r="A286" s="22" t="s">
        <v>1074</v>
      </c>
      <c r="B286" s="22" t="s">
        <v>489</v>
      </c>
      <c r="C286" s="60">
        <v>500000</v>
      </c>
      <c r="D286" s="60">
        <v>0</v>
      </c>
      <c r="E286" s="60">
        <v>350901.40000000037</v>
      </c>
      <c r="F286" s="22" t="s">
        <v>2</v>
      </c>
      <c r="G286" s="22" t="s">
        <v>815</v>
      </c>
      <c r="H286" s="22" t="s">
        <v>728</v>
      </c>
      <c r="I286" s="22" t="s">
        <v>492</v>
      </c>
      <c r="J286" s="22"/>
      <c r="K286" s="24"/>
    </row>
    <row r="287" spans="1:11" x14ac:dyDescent="0.35">
      <c r="A287" s="22" t="s">
        <v>1075</v>
      </c>
      <c r="B287" s="22" t="s">
        <v>489</v>
      </c>
      <c r="C287" s="60">
        <v>300000</v>
      </c>
      <c r="D287" s="60">
        <v>0</v>
      </c>
      <c r="E287" s="60">
        <v>650901.40000000037</v>
      </c>
      <c r="F287" s="22" t="s">
        <v>2</v>
      </c>
      <c r="G287" s="22" t="s">
        <v>816</v>
      </c>
      <c r="H287" s="22" t="s">
        <v>728</v>
      </c>
      <c r="I287" s="22" t="s">
        <v>492</v>
      </c>
      <c r="J287" s="22"/>
      <c r="K287" s="24"/>
    </row>
    <row r="288" spans="1:11" x14ac:dyDescent="0.35">
      <c r="A288" s="22" t="s">
        <v>1076</v>
      </c>
      <c r="B288" s="22" t="s">
        <v>489</v>
      </c>
      <c r="C288" s="60">
        <v>500000</v>
      </c>
      <c r="D288" s="60">
        <v>0</v>
      </c>
      <c r="E288" s="60">
        <v>1150901.3999999999</v>
      </c>
      <c r="F288" s="22" t="s">
        <v>2</v>
      </c>
      <c r="G288" s="22" t="s">
        <v>817</v>
      </c>
      <c r="H288" s="22" t="s">
        <v>728</v>
      </c>
      <c r="I288" s="22" t="s">
        <v>492</v>
      </c>
      <c r="J288" s="22"/>
      <c r="K288" s="24"/>
    </row>
    <row r="289" spans="1:11" hidden="1" x14ac:dyDescent="0.35">
      <c r="A289" s="22" t="s">
        <v>1077</v>
      </c>
      <c r="B289" s="22" t="s">
        <v>489</v>
      </c>
      <c r="C289" s="60">
        <v>0</v>
      </c>
      <c r="D289" s="60">
        <v>16480.710999999999</v>
      </c>
      <c r="E289" s="60">
        <v>1134420.689</v>
      </c>
      <c r="F289" s="22" t="s">
        <v>3</v>
      </c>
      <c r="G289" s="22" t="s">
        <v>818</v>
      </c>
      <c r="H289" s="22" t="s">
        <v>507</v>
      </c>
      <c r="I289" s="22" t="s">
        <v>492</v>
      </c>
      <c r="J289" s="22" t="s">
        <v>818</v>
      </c>
      <c r="K289" s="24">
        <v>246779410327</v>
      </c>
    </row>
    <row r="290" spans="1:11" hidden="1" x14ac:dyDescent="0.35">
      <c r="A290" s="22" t="s">
        <v>1077</v>
      </c>
      <c r="B290" s="22" t="s">
        <v>489</v>
      </c>
      <c r="C290" s="60">
        <v>0</v>
      </c>
      <c r="D290" s="60">
        <v>29975.441999999999</v>
      </c>
      <c r="E290" s="60">
        <v>1104445.247</v>
      </c>
      <c r="F290" s="22" t="s">
        <v>3</v>
      </c>
      <c r="G290" s="22" t="s">
        <v>819</v>
      </c>
      <c r="H290" s="22" t="s">
        <v>507</v>
      </c>
      <c r="I290" s="22" t="s">
        <v>492</v>
      </c>
      <c r="J290" s="22" t="s">
        <v>819</v>
      </c>
      <c r="K290" s="24">
        <v>246779410333</v>
      </c>
    </row>
    <row r="291" spans="1:11" hidden="1" x14ac:dyDescent="0.35">
      <c r="A291" s="22" t="s">
        <v>1077</v>
      </c>
      <c r="B291" s="22" t="s">
        <v>489</v>
      </c>
      <c r="C291" s="60">
        <v>0</v>
      </c>
      <c r="D291" s="60">
        <v>144772.565</v>
      </c>
      <c r="E291" s="60">
        <v>959672.6820000005</v>
      </c>
      <c r="F291" s="22" t="s">
        <v>3</v>
      </c>
      <c r="G291" s="22" t="s">
        <v>820</v>
      </c>
      <c r="H291" s="22" t="s">
        <v>507</v>
      </c>
      <c r="I291" s="22" t="s">
        <v>492</v>
      </c>
      <c r="J291" s="22" t="s">
        <v>820</v>
      </c>
      <c r="K291" s="24">
        <v>246779410340</v>
      </c>
    </row>
    <row r="292" spans="1:11" hidden="1" x14ac:dyDescent="0.35">
      <c r="A292" s="22" t="s">
        <v>1077</v>
      </c>
      <c r="B292" s="22" t="s">
        <v>489</v>
      </c>
      <c r="C292" s="60">
        <v>0</v>
      </c>
      <c r="D292" s="60">
        <v>102103.25599999999</v>
      </c>
      <c r="E292" s="60">
        <v>857569.42600000044</v>
      </c>
      <c r="F292" s="22" t="s">
        <v>3</v>
      </c>
      <c r="G292" s="22" t="s">
        <v>821</v>
      </c>
      <c r="H292" s="22" t="s">
        <v>507</v>
      </c>
      <c r="I292" s="22" t="s">
        <v>492</v>
      </c>
      <c r="J292" s="22" t="s">
        <v>821</v>
      </c>
      <c r="K292" s="24">
        <v>246779410352</v>
      </c>
    </row>
    <row r="293" spans="1:11" hidden="1" x14ac:dyDescent="0.35">
      <c r="A293" s="22" t="s">
        <v>1077</v>
      </c>
      <c r="B293" s="22" t="s">
        <v>489</v>
      </c>
      <c r="C293" s="60">
        <v>0</v>
      </c>
      <c r="D293" s="60">
        <v>13859.78</v>
      </c>
      <c r="E293" s="60">
        <v>843709.64600000042</v>
      </c>
      <c r="F293" s="22" t="s">
        <v>3</v>
      </c>
      <c r="G293" s="22" t="s">
        <v>822</v>
      </c>
      <c r="H293" s="22" t="s">
        <v>507</v>
      </c>
      <c r="I293" s="22" t="s">
        <v>492</v>
      </c>
      <c r="J293" s="22" t="s">
        <v>822</v>
      </c>
      <c r="K293" s="24">
        <v>246779410338</v>
      </c>
    </row>
    <row r="294" spans="1:11" hidden="1" x14ac:dyDescent="0.35">
      <c r="A294" s="22" t="s">
        <v>1077</v>
      </c>
      <c r="B294" s="22" t="s">
        <v>489</v>
      </c>
      <c r="C294" s="60">
        <v>0</v>
      </c>
      <c r="D294" s="60">
        <v>44681.824999999997</v>
      </c>
      <c r="E294" s="60">
        <v>799027.82100000046</v>
      </c>
      <c r="F294" s="22" t="s">
        <v>3</v>
      </c>
      <c r="G294" s="22" t="s">
        <v>823</v>
      </c>
      <c r="H294" s="22" t="s">
        <v>507</v>
      </c>
      <c r="I294" s="22" t="s">
        <v>492</v>
      </c>
      <c r="J294" s="22" t="s">
        <v>823</v>
      </c>
      <c r="K294" s="24">
        <v>246779410339</v>
      </c>
    </row>
    <row r="295" spans="1:11" x14ac:dyDescent="0.35">
      <c r="A295" s="22" t="s">
        <v>1077</v>
      </c>
      <c r="B295" s="22" t="s">
        <v>489</v>
      </c>
      <c r="C295" s="60">
        <v>500000</v>
      </c>
      <c r="D295" s="60">
        <v>0</v>
      </c>
      <c r="E295" s="60">
        <v>1299027.821</v>
      </c>
      <c r="F295" s="22" t="s">
        <v>2</v>
      </c>
      <c r="G295" s="22" t="s">
        <v>824</v>
      </c>
      <c r="H295" s="22" t="s">
        <v>728</v>
      </c>
      <c r="I295" s="22" t="s">
        <v>492</v>
      </c>
      <c r="J295" s="22"/>
      <c r="K295" s="24"/>
    </row>
    <row r="296" spans="1:11" hidden="1" x14ac:dyDescent="0.35">
      <c r="A296" s="22" t="s">
        <v>1077</v>
      </c>
      <c r="B296" s="22" t="s">
        <v>489</v>
      </c>
      <c r="C296" s="60">
        <v>0</v>
      </c>
      <c r="D296" s="60">
        <v>2053.9</v>
      </c>
      <c r="E296" s="60">
        <v>1296973.921000001</v>
      </c>
      <c r="F296" s="22" t="s">
        <v>3</v>
      </c>
      <c r="G296" s="22" t="s">
        <v>825</v>
      </c>
      <c r="H296" s="22" t="s">
        <v>557</v>
      </c>
      <c r="I296" s="22" t="s">
        <v>492</v>
      </c>
      <c r="J296" s="22" t="s">
        <v>825</v>
      </c>
      <c r="K296" s="24">
        <v>256779411807</v>
      </c>
    </row>
    <row r="297" spans="1:11" hidden="1" x14ac:dyDescent="0.35">
      <c r="A297" s="22" t="s">
        <v>1078</v>
      </c>
      <c r="B297" s="22" t="s">
        <v>489</v>
      </c>
      <c r="C297" s="60">
        <v>0</v>
      </c>
      <c r="D297" s="60">
        <v>6064.0230000000001</v>
      </c>
      <c r="E297" s="60">
        <v>1290909.898000001</v>
      </c>
      <c r="F297" s="22" t="s">
        <v>3</v>
      </c>
      <c r="G297" s="22" t="s">
        <v>826</v>
      </c>
      <c r="H297" s="22" t="s">
        <v>573</v>
      </c>
      <c r="I297" s="22" t="s">
        <v>492</v>
      </c>
      <c r="J297" s="22" t="s">
        <v>826</v>
      </c>
      <c r="K297" s="24">
        <v>256779414743</v>
      </c>
    </row>
    <row r="298" spans="1:11" hidden="1" x14ac:dyDescent="0.35">
      <c r="A298" s="22" t="s">
        <v>1078</v>
      </c>
      <c r="B298" s="22" t="s">
        <v>489</v>
      </c>
      <c r="C298" s="60">
        <v>0</v>
      </c>
      <c r="D298" s="60">
        <v>1800.3510000000001</v>
      </c>
      <c r="E298" s="60">
        <v>1289109.547</v>
      </c>
      <c r="F298" s="22" t="s">
        <v>3</v>
      </c>
      <c r="G298" s="22" t="s">
        <v>827</v>
      </c>
      <c r="H298" s="22" t="s">
        <v>828</v>
      </c>
      <c r="I298" s="22" t="s">
        <v>492</v>
      </c>
      <c r="J298" s="22" t="s">
        <v>827</v>
      </c>
      <c r="K298" s="24">
        <v>256779414748</v>
      </c>
    </row>
    <row r="299" spans="1:11" hidden="1" x14ac:dyDescent="0.35">
      <c r="A299" s="22" t="s">
        <v>1078</v>
      </c>
      <c r="B299" s="22" t="s">
        <v>489</v>
      </c>
      <c r="C299" s="60">
        <v>0</v>
      </c>
      <c r="D299" s="60">
        <v>14610.374299999999</v>
      </c>
      <c r="E299" s="60">
        <v>1274499.1727</v>
      </c>
      <c r="F299" s="22" t="s">
        <v>3</v>
      </c>
      <c r="G299" s="22" t="s">
        <v>829</v>
      </c>
      <c r="H299" s="22" t="s">
        <v>500</v>
      </c>
      <c r="I299" s="22" t="s">
        <v>492</v>
      </c>
      <c r="J299" s="22" t="s">
        <v>829</v>
      </c>
      <c r="K299" s="24">
        <v>256779414758</v>
      </c>
    </row>
    <row r="300" spans="1:11" hidden="1" x14ac:dyDescent="0.35">
      <c r="A300" s="22" t="s">
        <v>1078</v>
      </c>
      <c r="B300" s="22" t="s">
        <v>489</v>
      </c>
      <c r="C300" s="60">
        <v>0</v>
      </c>
      <c r="D300" s="60">
        <v>45061.335200000001</v>
      </c>
      <c r="E300" s="60">
        <v>1229437.8374999999</v>
      </c>
      <c r="F300" s="22" t="s">
        <v>3</v>
      </c>
      <c r="G300" s="22" t="s">
        <v>830</v>
      </c>
      <c r="H300" s="22" t="s">
        <v>507</v>
      </c>
      <c r="I300" s="22" t="s">
        <v>492</v>
      </c>
      <c r="J300" s="22" t="s">
        <v>830</v>
      </c>
      <c r="K300" s="24">
        <v>256779414340</v>
      </c>
    </row>
    <row r="301" spans="1:11" hidden="1" x14ac:dyDescent="0.35">
      <c r="A301" s="22" t="s">
        <v>1078</v>
      </c>
      <c r="B301" s="22" t="s">
        <v>489</v>
      </c>
      <c r="C301" s="60">
        <v>0</v>
      </c>
      <c r="D301" s="60">
        <v>11782.0918</v>
      </c>
      <c r="E301" s="60">
        <v>1217655.7457000001</v>
      </c>
      <c r="F301" s="22" t="s">
        <v>3</v>
      </c>
      <c r="G301" s="22" t="s">
        <v>831</v>
      </c>
      <c r="H301" s="22" t="s">
        <v>608</v>
      </c>
      <c r="I301" s="22" t="s">
        <v>492</v>
      </c>
      <c r="J301" s="22" t="s">
        <v>831</v>
      </c>
      <c r="K301" s="24">
        <v>256779415939</v>
      </c>
    </row>
    <row r="302" spans="1:11" hidden="1" x14ac:dyDescent="0.35">
      <c r="A302" s="22" t="s">
        <v>1078</v>
      </c>
      <c r="B302" s="22" t="s">
        <v>489</v>
      </c>
      <c r="C302" s="60">
        <v>0</v>
      </c>
      <c r="D302" s="60">
        <v>2559.3798999999999</v>
      </c>
      <c r="E302" s="60">
        <v>1215096.3658</v>
      </c>
      <c r="F302" s="22" t="s">
        <v>3</v>
      </c>
      <c r="G302" s="22" t="s">
        <v>832</v>
      </c>
      <c r="H302" s="22" t="s">
        <v>573</v>
      </c>
      <c r="I302" s="22" t="s">
        <v>492</v>
      </c>
      <c r="J302" s="22" t="s">
        <v>832</v>
      </c>
      <c r="K302" s="24">
        <v>256779415771</v>
      </c>
    </row>
    <row r="303" spans="1:11" hidden="1" x14ac:dyDescent="0.35">
      <c r="A303" s="22" t="s">
        <v>1078</v>
      </c>
      <c r="B303" s="22" t="s">
        <v>489</v>
      </c>
      <c r="C303" s="60">
        <v>0</v>
      </c>
      <c r="D303" s="60">
        <v>148540.3572</v>
      </c>
      <c r="E303" s="60">
        <v>1066556.0086000001</v>
      </c>
      <c r="F303" s="22" t="s">
        <v>3</v>
      </c>
      <c r="G303" s="22" t="s">
        <v>833</v>
      </c>
      <c r="H303" s="22" t="s">
        <v>557</v>
      </c>
      <c r="I303" s="22" t="s">
        <v>492</v>
      </c>
      <c r="J303" s="22" t="s">
        <v>833</v>
      </c>
      <c r="K303" s="24">
        <v>256779415801</v>
      </c>
    </row>
    <row r="304" spans="1:11" hidden="1" x14ac:dyDescent="0.35">
      <c r="A304" s="22" t="s">
        <v>1078</v>
      </c>
      <c r="B304" s="22" t="s">
        <v>489</v>
      </c>
      <c r="C304" s="60">
        <v>0</v>
      </c>
      <c r="D304" s="60">
        <v>13522.7454</v>
      </c>
      <c r="E304" s="60">
        <v>1053033.2631999999</v>
      </c>
      <c r="F304" s="22" t="s">
        <v>3</v>
      </c>
      <c r="G304" s="22" t="s">
        <v>834</v>
      </c>
      <c r="H304" s="22" t="s">
        <v>704</v>
      </c>
      <c r="I304" s="22" t="s">
        <v>492</v>
      </c>
      <c r="J304" s="22" t="s">
        <v>834</v>
      </c>
      <c r="K304" s="24">
        <v>256779415456</v>
      </c>
    </row>
    <row r="305" spans="1:11" hidden="1" x14ac:dyDescent="0.35">
      <c r="A305" s="22" t="s">
        <v>1078</v>
      </c>
      <c r="B305" s="22" t="s">
        <v>489</v>
      </c>
      <c r="C305" s="60">
        <v>0</v>
      </c>
      <c r="D305" s="60">
        <v>8342.0650000000005</v>
      </c>
      <c r="E305" s="60">
        <v>1044691.1982</v>
      </c>
      <c r="F305" s="22" t="s">
        <v>3</v>
      </c>
      <c r="G305" s="22" t="s">
        <v>835</v>
      </c>
      <c r="H305" s="22" t="s">
        <v>836</v>
      </c>
      <c r="I305" s="22" t="s">
        <v>492</v>
      </c>
      <c r="J305" s="22" t="s">
        <v>835</v>
      </c>
      <c r="K305" s="24">
        <v>256779415444</v>
      </c>
    </row>
    <row r="306" spans="1:11" hidden="1" x14ac:dyDescent="0.35">
      <c r="A306" s="22" t="s">
        <v>1079</v>
      </c>
      <c r="B306" s="22" t="s">
        <v>489</v>
      </c>
      <c r="C306" s="60">
        <v>0</v>
      </c>
      <c r="D306" s="60">
        <v>2629.9005000000002</v>
      </c>
      <c r="E306" s="60">
        <v>1042061.2977</v>
      </c>
      <c r="F306" s="22" t="s">
        <v>3</v>
      </c>
      <c r="G306" s="22" t="s">
        <v>837</v>
      </c>
      <c r="H306" s="22" t="s">
        <v>838</v>
      </c>
      <c r="I306" s="22" t="s">
        <v>492</v>
      </c>
      <c r="J306" s="22" t="s">
        <v>837</v>
      </c>
      <c r="K306" s="24">
        <v>256779414968</v>
      </c>
    </row>
    <row r="307" spans="1:11" hidden="1" x14ac:dyDescent="0.35">
      <c r="A307" s="22" t="s">
        <v>1079</v>
      </c>
      <c r="B307" s="22" t="s">
        <v>489</v>
      </c>
      <c r="C307" s="60">
        <v>0</v>
      </c>
      <c r="D307" s="60">
        <v>201.24160000000001</v>
      </c>
      <c r="E307" s="60">
        <v>1041860.056100001</v>
      </c>
      <c r="F307" s="22" t="s">
        <v>3</v>
      </c>
      <c r="G307" s="22" t="s">
        <v>839</v>
      </c>
      <c r="H307" s="22" t="s">
        <v>573</v>
      </c>
      <c r="I307" s="22" t="s">
        <v>492</v>
      </c>
      <c r="J307" s="22" t="s">
        <v>839</v>
      </c>
      <c r="K307" s="24">
        <v>256779415263</v>
      </c>
    </row>
    <row r="308" spans="1:11" hidden="1" x14ac:dyDescent="0.35">
      <c r="A308" s="22" t="s">
        <v>1079</v>
      </c>
      <c r="B308" s="22" t="s">
        <v>489</v>
      </c>
      <c r="C308" s="60">
        <v>0</v>
      </c>
      <c r="D308" s="60">
        <v>257812.80850000001</v>
      </c>
      <c r="E308" s="60">
        <v>784047.24760000047</v>
      </c>
      <c r="F308" s="22" t="s">
        <v>3</v>
      </c>
      <c r="G308" s="22" t="s">
        <v>840</v>
      </c>
      <c r="H308" s="22" t="s">
        <v>841</v>
      </c>
      <c r="I308" s="22" t="s">
        <v>492</v>
      </c>
      <c r="J308" s="22" t="s">
        <v>840</v>
      </c>
      <c r="K308" s="24">
        <v>256779415198</v>
      </c>
    </row>
    <row r="309" spans="1:11" hidden="1" x14ac:dyDescent="0.35">
      <c r="A309" s="22" t="s">
        <v>1079</v>
      </c>
      <c r="B309" s="22" t="s">
        <v>489</v>
      </c>
      <c r="C309" s="60">
        <v>0</v>
      </c>
      <c r="D309" s="60">
        <v>552.98429999999996</v>
      </c>
      <c r="E309" s="60">
        <v>783494.26330000046</v>
      </c>
      <c r="F309" s="22" t="s">
        <v>3</v>
      </c>
      <c r="G309" s="22" t="s">
        <v>842</v>
      </c>
      <c r="H309" s="22" t="s">
        <v>843</v>
      </c>
      <c r="I309" s="22" t="s">
        <v>492</v>
      </c>
      <c r="J309" s="22" t="s">
        <v>842</v>
      </c>
      <c r="K309" s="24">
        <v>256779415048</v>
      </c>
    </row>
    <row r="310" spans="1:11" hidden="1" x14ac:dyDescent="0.35">
      <c r="A310" s="22" t="s">
        <v>1079</v>
      </c>
      <c r="B310" s="22" t="s">
        <v>489</v>
      </c>
      <c r="C310" s="60">
        <v>0</v>
      </c>
      <c r="D310" s="60">
        <v>4562.3355000000001</v>
      </c>
      <c r="E310" s="60">
        <v>778931.92780000041</v>
      </c>
      <c r="F310" s="22" t="s">
        <v>3</v>
      </c>
      <c r="G310" s="22" t="s">
        <v>844</v>
      </c>
      <c r="H310" s="22" t="s">
        <v>500</v>
      </c>
      <c r="I310" s="22" t="s">
        <v>492</v>
      </c>
      <c r="J310" s="22" t="s">
        <v>844</v>
      </c>
      <c r="K310" s="24">
        <v>256779414975</v>
      </c>
    </row>
    <row r="311" spans="1:11" hidden="1" x14ac:dyDescent="0.35">
      <c r="A311" s="22" t="s">
        <v>1079</v>
      </c>
      <c r="B311" s="22" t="s">
        <v>489</v>
      </c>
      <c r="C311" s="60">
        <v>0</v>
      </c>
      <c r="D311" s="60">
        <v>35324.775199999996</v>
      </c>
      <c r="E311" s="60">
        <v>743607.15260000038</v>
      </c>
      <c r="F311" s="22" t="s">
        <v>3</v>
      </c>
      <c r="G311" s="22" t="s">
        <v>845</v>
      </c>
      <c r="H311" s="22" t="s">
        <v>783</v>
      </c>
      <c r="I311" s="22" t="s">
        <v>492</v>
      </c>
      <c r="J311" s="22" t="s">
        <v>845</v>
      </c>
      <c r="K311" s="24">
        <v>256779414944</v>
      </c>
    </row>
    <row r="312" spans="1:11" hidden="1" x14ac:dyDescent="0.35">
      <c r="A312" s="22" t="s">
        <v>1079</v>
      </c>
      <c r="B312" s="22" t="s">
        <v>489</v>
      </c>
      <c r="C312" s="60">
        <v>0</v>
      </c>
      <c r="D312" s="60">
        <v>91401.512100000007</v>
      </c>
      <c r="E312" s="60">
        <v>652205.64050000033</v>
      </c>
      <c r="F312" s="22" t="s">
        <v>3</v>
      </c>
      <c r="G312" s="22" t="s">
        <v>846</v>
      </c>
      <c r="H312" s="22" t="s">
        <v>507</v>
      </c>
      <c r="I312" s="22" t="s">
        <v>492</v>
      </c>
      <c r="J312" s="22" t="s">
        <v>846</v>
      </c>
      <c r="K312" s="24">
        <v>256779414890</v>
      </c>
    </row>
    <row r="313" spans="1:11" hidden="1" x14ac:dyDescent="0.35">
      <c r="A313" s="22" t="s">
        <v>1079</v>
      </c>
      <c r="B313" s="22" t="s">
        <v>489</v>
      </c>
      <c r="C313" s="60">
        <v>0</v>
      </c>
      <c r="D313" s="60">
        <v>2642.8006</v>
      </c>
      <c r="E313" s="60">
        <v>649562.83990000037</v>
      </c>
      <c r="F313" s="22" t="s">
        <v>3</v>
      </c>
      <c r="G313" s="22" t="s">
        <v>847</v>
      </c>
      <c r="H313" s="22" t="s">
        <v>557</v>
      </c>
      <c r="I313" s="22" t="s">
        <v>492</v>
      </c>
      <c r="J313" s="22" t="s">
        <v>847</v>
      </c>
      <c r="K313" s="24">
        <v>256779414878</v>
      </c>
    </row>
    <row r="314" spans="1:11" hidden="1" x14ac:dyDescent="0.35">
      <c r="A314" s="22" t="s">
        <v>1079</v>
      </c>
      <c r="B314" s="22" t="s">
        <v>489</v>
      </c>
      <c r="C314" s="60">
        <v>0</v>
      </c>
      <c r="D314" s="60">
        <v>8595.7669999999998</v>
      </c>
      <c r="E314" s="60">
        <v>640967.07290000038</v>
      </c>
      <c r="F314" s="22" t="s">
        <v>3</v>
      </c>
      <c r="G314" s="22" t="s">
        <v>848</v>
      </c>
      <c r="H314" s="22" t="s">
        <v>500</v>
      </c>
      <c r="I314" s="22" t="s">
        <v>492</v>
      </c>
      <c r="J314" s="22" t="s">
        <v>848</v>
      </c>
      <c r="K314" s="24">
        <v>256779414829</v>
      </c>
    </row>
    <row r="315" spans="1:11" hidden="1" x14ac:dyDescent="0.35">
      <c r="A315" s="22" t="s">
        <v>1079</v>
      </c>
      <c r="B315" s="22" t="s">
        <v>489</v>
      </c>
      <c r="C315" s="60">
        <v>0</v>
      </c>
      <c r="D315" s="60">
        <v>1492.1116</v>
      </c>
      <c r="E315" s="60">
        <v>639474.96130000043</v>
      </c>
      <c r="F315" s="22" t="s">
        <v>3</v>
      </c>
      <c r="G315" s="22" t="s">
        <v>849</v>
      </c>
      <c r="H315" s="22" t="s">
        <v>850</v>
      </c>
      <c r="I315" s="22" t="s">
        <v>492</v>
      </c>
      <c r="J315" s="22" t="s">
        <v>849</v>
      </c>
      <c r="K315" s="24">
        <v>256779414768</v>
      </c>
    </row>
    <row r="316" spans="1:11" hidden="1" x14ac:dyDescent="0.35">
      <c r="A316" s="22" t="s">
        <v>1079</v>
      </c>
      <c r="B316" s="22" t="s">
        <v>489</v>
      </c>
      <c r="C316" s="60">
        <v>0</v>
      </c>
      <c r="D316" s="60">
        <v>23117.1535</v>
      </c>
      <c r="E316" s="60">
        <v>616357.80780000042</v>
      </c>
      <c r="F316" s="22" t="s">
        <v>3</v>
      </c>
      <c r="G316" s="22" t="s">
        <v>851</v>
      </c>
      <c r="H316" s="22" t="s">
        <v>852</v>
      </c>
      <c r="I316" s="22" t="s">
        <v>492</v>
      </c>
      <c r="J316" s="22" t="s">
        <v>851</v>
      </c>
      <c r="K316" s="24">
        <v>256779416544</v>
      </c>
    </row>
    <row r="317" spans="1:11" hidden="1" x14ac:dyDescent="0.35">
      <c r="A317" s="22" t="s">
        <v>1079</v>
      </c>
      <c r="B317" s="22" t="s">
        <v>489</v>
      </c>
      <c r="C317" s="60">
        <v>0</v>
      </c>
      <c r="D317" s="60">
        <v>21929.077600000001</v>
      </c>
      <c r="E317" s="60">
        <v>594428.73020000046</v>
      </c>
      <c r="F317" s="22" t="s">
        <v>3</v>
      </c>
      <c r="G317" s="22" t="s">
        <v>853</v>
      </c>
      <c r="H317" s="22" t="s">
        <v>852</v>
      </c>
      <c r="I317" s="22" t="s">
        <v>492</v>
      </c>
      <c r="J317" s="22" t="s">
        <v>853</v>
      </c>
      <c r="K317" s="24">
        <v>256779416546</v>
      </c>
    </row>
    <row r="318" spans="1:11" hidden="1" x14ac:dyDescent="0.35">
      <c r="A318" s="22" t="s">
        <v>1079</v>
      </c>
      <c r="B318" s="22" t="s">
        <v>489</v>
      </c>
      <c r="C318" s="60">
        <v>0</v>
      </c>
      <c r="D318" s="60">
        <v>9260.2821000000004</v>
      </c>
      <c r="E318" s="60">
        <v>585168.4481000005</v>
      </c>
      <c r="F318" s="22" t="s">
        <v>3</v>
      </c>
      <c r="G318" s="22" t="s">
        <v>854</v>
      </c>
      <c r="H318" s="22" t="s">
        <v>573</v>
      </c>
      <c r="I318" s="22" t="s">
        <v>492</v>
      </c>
      <c r="J318" s="22" t="s">
        <v>854</v>
      </c>
      <c r="K318" s="24">
        <v>256779416444</v>
      </c>
    </row>
    <row r="319" spans="1:11" hidden="1" x14ac:dyDescent="0.35">
      <c r="A319" s="22" t="s">
        <v>1079</v>
      </c>
      <c r="B319" s="22" t="s">
        <v>489</v>
      </c>
      <c r="C319" s="60">
        <v>0</v>
      </c>
      <c r="D319" s="60">
        <v>27395.431400000001</v>
      </c>
      <c r="E319" s="60">
        <v>557773.0167000005</v>
      </c>
      <c r="F319" s="22" t="s">
        <v>3</v>
      </c>
      <c r="G319" s="22" t="s">
        <v>855</v>
      </c>
      <c r="H319" s="22" t="s">
        <v>507</v>
      </c>
      <c r="I319" s="22" t="s">
        <v>492</v>
      </c>
      <c r="J319" s="22" t="s">
        <v>855</v>
      </c>
      <c r="K319" s="24">
        <v>256779416538</v>
      </c>
    </row>
    <row r="320" spans="1:11" hidden="1" x14ac:dyDescent="0.35">
      <c r="A320" s="22" t="s">
        <v>1079</v>
      </c>
      <c r="B320" s="22" t="s">
        <v>489</v>
      </c>
      <c r="C320" s="60">
        <v>0</v>
      </c>
      <c r="D320" s="60">
        <v>35336.871800000001</v>
      </c>
      <c r="E320" s="60">
        <v>522436.14490000048</v>
      </c>
      <c r="F320" s="22" t="s">
        <v>3</v>
      </c>
      <c r="G320" s="22" t="s">
        <v>856</v>
      </c>
      <c r="H320" s="22" t="s">
        <v>783</v>
      </c>
      <c r="I320" s="22" t="s">
        <v>492</v>
      </c>
      <c r="J320" s="22" t="s">
        <v>856</v>
      </c>
      <c r="K320" s="24">
        <v>256779416054</v>
      </c>
    </row>
    <row r="321" spans="1:11" hidden="1" x14ac:dyDescent="0.35">
      <c r="A321" s="22" t="s">
        <v>1079</v>
      </c>
      <c r="B321" s="22" t="s">
        <v>489</v>
      </c>
      <c r="C321" s="60">
        <v>0</v>
      </c>
      <c r="D321" s="60">
        <v>33482.010999999999</v>
      </c>
      <c r="E321" s="60">
        <v>488954.13390000048</v>
      </c>
      <c r="F321" s="22" t="s">
        <v>3</v>
      </c>
      <c r="G321" s="22" t="s">
        <v>857</v>
      </c>
      <c r="H321" s="22" t="s">
        <v>783</v>
      </c>
      <c r="I321" s="22" t="s">
        <v>492</v>
      </c>
      <c r="J321" s="22" t="s">
        <v>857</v>
      </c>
      <c r="K321" s="24">
        <v>256779417373</v>
      </c>
    </row>
    <row r="322" spans="1:11" hidden="1" x14ac:dyDescent="0.35">
      <c r="A322" s="22" t="s">
        <v>1079</v>
      </c>
      <c r="B322" s="22" t="s">
        <v>489</v>
      </c>
      <c r="C322" s="60">
        <v>0</v>
      </c>
      <c r="D322" s="60">
        <v>6432.3032999999996</v>
      </c>
      <c r="E322" s="60">
        <v>482521.83060000051</v>
      </c>
      <c r="F322" s="22" t="s">
        <v>3</v>
      </c>
      <c r="G322" s="22" t="s">
        <v>858</v>
      </c>
      <c r="H322" s="22" t="s">
        <v>561</v>
      </c>
      <c r="I322" s="22" t="s">
        <v>492</v>
      </c>
      <c r="J322" s="22" t="s">
        <v>858</v>
      </c>
      <c r="K322" s="24">
        <v>256779417566</v>
      </c>
    </row>
    <row r="323" spans="1:11" hidden="1" x14ac:dyDescent="0.35">
      <c r="A323" s="22" t="s">
        <v>1079</v>
      </c>
      <c r="B323" s="22" t="s">
        <v>489</v>
      </c>
      <c r="C323" s="60">
        <v>0</v>
      </c>
      <c r="D323" s="60">
        <v>6896.1292000000003</v>
      </c>
      <c r="E323" s="60">
        <v>475625.70140000043</v>
      </c>
      <c r="F323" s="22" t="s">
        <v>3</v>
      </c>
      <c r="G323" s="22" t="s">
        <v>859</v>
      </c>
      <c r="H323" s="22" t="s">
        <v>561</v>
      </c>
      <c r="I323" s="22" t="s">
        <v>492</v>
      </c>
      <c r="J323" s="22" t="s">
        <v>859</v>
      </c>
      <c r="K323" s="24">
        <v>256779417582</v>
      </c>
    </row>
    <row r="324" spans="1:11" hidden="1" x14ac:dyDescent="0.35">
      <c r="A324" s="22" t="s">
        <v>1079</v>
      </c>
      <c r="B324" s="22" t="s">
        <v>489</v>
      </c>
      <c r="C324" s="60">
        <v>0</v>
      </c>
      <c r="D324" s="60">
        <v>1028.2935</v>
      </c>
      <c r="E324" s="60">
        <v>474597.4079000004</v>
      </c>
      <c r="F324" s="22" t="s">
        <v>3</v>
      </c>
      <c r="G324" s="22" t="s">
        <v>860</v>
      </c>
      <c r="H324" s="22" t="s">
        <v>500</v>
      </c>
      <c r="I324" s="22" t="s">
        <v>492</v>
      </c>
      <c r="J324" s="22" t="s">
        <v>860</v>
      </c>
      <c r="K324" s="24">
        <v>256779417594</v>
      </c>
    </row>
    <row r="325" spans="1:11" hidden="1" x14ac:dyDescent="0.35">
      <c r="A325" s="22" t="s">
        <v>1079</v>
      </c>
      <c r="B325" s="22" t="s">
        <v>489</v>
      </c>
      <c r="C325" s="60">
        <v>0</v>
      </c>
      <c r="D325" s="60">
        <v>545.21420000000001</v>
      </c>
      <c r="E325" s="60">
        <v>474052.19370000041</v>
      </c>
      <c r="F325" s="22" t="s">
        <v>3</v>
      </c>
      <c r="G325" s="22" t="s">
        <v>861</v>
      </c>
      <c r="H325" s="22" t="s">
        <v>573</v>
      </c>
      <c r="I325" s="22" t="s">
        <v>492</v>
      </c>
      <c r="J325" s="22" t="s">
        <v>861</v>
      </c>
      <c r="K325" s="24">
        <v>256779417442</v>
      </c>
    </row>
    <row r="326" spans="1:11" hidden="1" x14ac:dyDescent="0.35">
      <c r="A326" s="22" t="s">
        <v>1079</v>
      </c>
      <c r="B326" s="22" t="s">
        <v>489</v>
      </c>
      <c r="C326" s="60">
        <v>0</v>
      </c>
      <c r="D326" s="60">
        <v>26724.251</v>
      </c>
      <c r="E326" s="60">
        <v>447327.94270000042</v>
      </c>
      <c r="F326" s="22" t="s">
        <v>3</v>
      </c>
      <c r="G326" s="22" t="s">
        <v>862</v>
      </c>
      <c r="H326" s="22" t="s">
        <v>500</v>
      </c>
      <c r="I326" s="22" t="s">
        <v>492</v>
      </c>
      <c r="J326" s="22" t="s">
        <v>862</v>
      </c>
      <c r="K326" s="24">
        <v>256779417525</v>
      </c>
    </row>
    <row r="327" spans="1:11" hidden="1" x14ac:dyDescent="0.35">
      <c r="A327" s="22" t="s">
        <v>1079</v>
      </c>
      <c r="B327" s="22" t="s">
        <v>489</v>
      </c>
      <c r="C327" s="60">
        <v>0</v>
      </c>
      <c r="D327" s="60">
        <v>29303.298299999999</v>
      </c>
      <c r="E327" s="60">
        <v>418024.6444000004</v>
      </c>
      <c r="F327" s="22" t="s">
        <v>3</v>
      </c>
      <c r="G327" s="22" t="s">
        <v>863</v>
      </c>
      <c r="H327" s="22" t="s">
        <v>852</v>
      </c>
      <c r="I327" s="22" t="s">
        <v>492</v>
      </c>
      <c r="J327" s="22" t="s">
        <v>863</v>
      </c>
      <c r="K327" s="24">
        <v>256779417410</v>
      </c>
    </row>
    <row r="328" spans="1:11" hidden="1" x14ac:dyDescent="0.35">
      <c r="A328" s="22" t="s">
        <v>1080</v>
      </c>
      <c r="B328" s="22" t="s">
        <v>489</v>
      </c>
      <c r="C328" s="60">
        <v>0</v>
      </c>
      <c r="D328" s="60">
        <v>42087.391600000003</v>
      </c>
      <c r="E328" s="60">
        <v>375937.25280000042</v>
      </c>
      <c r="F328" s="22" t="s">
        <v>3</v>
      </c>
      <c r="G328" s="22" t="s">
        <v>864</v>
      </c>
      <c r="H328" s="22" t="s">
        <v>507</v>
      </c>
      <c r="I328" s="22" t="s">
        <v>492</v>
      </c>
      <c r="J328" s="22" t="s">
        <v>864</v>
      </c>
      <c r="K328" s="24">
        <v>256779417489</v>
      </c>
    </row>
    <row r="329" spans="1:11" hidden="1" x14ac:dyDescent="0.35">
      <c r="A329" s="22" t="s">
        <v>1080</v>
      </c>
      <c r="B329" s="22" t="s">
        <v>489</v>
      </c>
      <c r="C329" s="60">
        <v>0</v>
      </c>
      <c r="D329" s="60">
        <v>36224.358800000002</v>
      </c>
      <c r="E329" s="60">
        <v>339712.89400000038</v>
      </c>
      <c r="F329" s="22" t="s">
        <v>3</v>
      </c>
      <c r="G329" s="22" t="s">
        <v>865</v>
      </c>
      <c r="H329" s="22" t="s">
        <v>783</v>
      </c>
      <c r="I329" s="22" t="s">
        <v>492</v>
      </c>
      <c r="J329" s="22" t="s">
        <v>865</v>
      </c>
      <c r="K329" s="24">
        <v>256779418036</v>
      </c>
    </row>
    <row r="330" spans="1:11" hidden="1" x14ac:dyDescent="0.35">
      <c r="A330" s="22" t="s">
        <v>1080</v>
      </c>
      <c r="B330" s="22" t="s">
        <v>489</v>
      </c>
      <c r="C330" s="60">
        <v>0</v>
      </c>
      <c r="D330" s="60">
        <v>38482.042500000003</v>
      </c>
      <c r="E330" s="60">
        <v>301230.8515000004</v>
      </c>
      <c r="F330" s="22" t="s">
        <v>3</v>
      </c>
      <c r="G330" s="22" t="s">
        <v>866</v>
      </c>
      <c r="H330" s="22" t="s">
        <v>561</v>
      </c>
      <c r="I330" s="22" t="s">
        <v>492</v>
      </c>
      <c r="J330" s="22" t="s">
        <v>866</v>
      </c>
      <c r="K330" s="24">
        <v>256779417939</v>
      </c>
    </row>
    <row r="331" spans="1:11" hidden="1" x14ac:dyDescent="0.35">
      <c r="A331" s="22" t="s">
        <v>1080</v>
      </c>
      <c r="B331" s="22" t="s">
        <v>489</v>
      </c>
      <c r="C331" s="60">
        <v>0</v>
      </c>
      <c r="D331" s="60">
        <v>679906.74129999999</v>
      </c>
      <c r="E331" s="60">
        <v>-378675.8897999996</v>
      </c>
      <c r="F331" s="22" t="s">
        <v>3</v>
      </c>
      <c r="G331" s="22" t="s">
        <v>867</v>
      </c>
      <c r="H331" s="22" t="s">
        <v>841</v>
      </c>
      <c r="I331" s="22" t="s">
        <v>492</v>
      </c>
      <c r="J331" s="22" t="s">
        <v>867</v>
      </c>
      <c r="K331" s="24">
        <v>256779418010</v>
      </c>
    </row>
    <row r="332" spans="1:11" hidden="1" x14ac:dyDescent="0.35">
      <c r="A332" s="22" t="s">
        <v>1080</v>
      </c>
      <c r="B332" s="22" t="s">
        <v>489</v>
      </c>
      <c r="C332" s="60">
        <v>0</v>
      </c>
      <c r="D332" s="60">
        <v>3487.4461000000001</v>
      </c>
      <c r="E332" s="60">
        <v>-382163.3358999996</v>
      </c>
      <c r="F332" s="22" t="s">
        <v>3</v>
      </c>
      <c r="G332" s="22" t="s">
        <v>868</v>
      </c>
      <c r="H332" s="22" t="s">
        <v>836</v>
      </c>
      <c r="I332" s="22" t="s">
        <v>492</v>
      </c>
      <c r="J332" s="22" t="s">
        <v>868</v>
      </c>
      <c r="K332" s="24">
        <v>256779416911</v>
      </c>
    </row>
    <row r="333" spans="1:11" hidden="1" x14ac:dyDescent="0.35">
      <c r="A333" s="22" t="s">
        <v>1080</v>
      </c>
      <c r="B333" s="22" t="s">
        <v>489</v>
      </c>
      <c r="C333" s="60">
        <v>0</v>
      </c>
      <c r="D333" s="60">
        <v>90131.008499999996</v>
      </c>
      <c r="E333" s="60">
        <v>-472294.34439999959</v>
      </c>
      <c r="F333" s="22" t="s">
        <v>3</v>
      </c>
      <c r="G333" s="22" t="s">
        <v>869</v>
      </c>
      <c r="H333" s="22" t="s">
        <v>836</v>
      </c>
      <c r="I333" s="22" t="s">
        <v>492</v>
      </c>
      <c r="J333" s="22" t="s">
        <v>869</v>
      </c>
      <c r="K333" s="24">
        <v>256779417286</v>
      </c>
    </row>
    <row r="334" spans="1:11" hidden="1" x14ac:dyDescent="0.35">
      <c r="A334" s="22" t="s">
        <v>1080</v>
      </c>
      <c r="B334" s="22" t="s">
        <v>489</v>
      </c>
      <c r="C334" s="60">
        <v>0</v>
      </c>
      <c r="D334" s="60">
        <v>4231.3179</v>
      </c>
      <c r="E334" s="60">
        <v>-476525.66229999962</v>
      </c>
      <c r="F334" s="22" t="s">
        <v>3</v>
      </c>
      <c r="G334" s="22" t="s">
        <v>870</v>
      </c>
      <c r="H334" s="22" t="s">
        <v>500</v>
      </c>
      <c r="I334" s="22" t="s">
        <v>492</v>
      </c>
      <c r="J334" s="22" t="s">
        <v>870</v>
      </c>
      <c r="K334" s="24">
        <v>256779417324</v>
      </c>
    </row>
    <row r="335" spans="1:11" hidden="1" x14ac:dyDescent="0.35">
      <c r="A335" s="22" t="s">
        <v>1080</v>
      </c>
      <c r="B335" s="22" t="s">
        <v>489</v>
      </c>
      <c r="C335" s="60">
        <v>0</v>
      </c>
      <c r="D335" s="60">
        <v>1233.9521</v>
      </c>
      <c r="E335" s="60">
        <v>-477759.61439999961</v>
      </c>
      <c r="F335" s="22" t="s">
        <v>3</v>
      </c>
      <c r="G335" s="22" t="s">
        <v>871</v>
      </c>
      <c r="H335" s="22" t="s">
        <v>500</v>
      </c>
      <c r="I335" s="22" t="s">
        <v>492</v>
      </c>
      <c r="J335" s="22" t="s">
        <v>871</v>
      </c>
      <c r="K335" s="24">
        <v>256779416948</v>
      </c>
    </row>
    <row r="336" spans="1:11" hidden="1" x14ac:dyDescent="0.35">
      <c r="A336" s="22" t="s">
        <v>1080</v>
      </c>
      <c r="B336" s="22" t="s">
        <v>489</v>
      </c>
      <c r="C336" s="60">
        <v>0</v>
      </c>
      <c r="D336" s="60">
        <v>1992.7012</v>
      </c>
      <c r="E336" s="60">
        <v>-479752.31559999962</v>
      </c>
      <c r="F336" s="22" t="s">
        <v>3</v>
      </c>
      <c r="G336" s="22" t="s">
        <v>872</v>
      </c>
      <c r="H336" s="22" t="s">
        <v>843</v>
      </c>
      <c r="I336" s="22" t="s">
        <v>492</v>
      </c>
      <c r="J336" s="22" t="s">
        <v>872</v>
      </c>
      <c r="K336" s="24">
        <v>256779417261</v>
      </c>
    </row>
    <row r="337" spans="1:11" hidden="1" x14ac:dyDescent="0.35">
      <c r="A337" s="22" t="s">
        <v>1080</v>
      </c>
      <c r="B337" s="22" t="s">
        <v>489</v>
      </c>
      <c r="C337" s="60">
        <v>0</v>
      </c>
      <c r="D337" s="60">
        <v>695663.66119999997</v>
      </c>
      <c r="E337" s="60">
        <v>-1175415.9768000001</v>
      </c>
      <c r="F337" s="22" t="s">
        <v>3</v>
      </c>
      <c r="G337" s="22" t="s">
        <v>873</v>
      </c>
      <c r="H337" s="22" t="s">
        <v>841</v>
      </c>
      <c r="I337" s="22" t="s">
        <v>492</v>
      </c>
      <c r="J337" s="22" t="s">
        <v>873</v>
      </c>
      <c r="K337" s="24">
        <v>256779417084</v>
      </c>
    </row>
    <row r="338" spans="1:11" hidden="1" x14ac:dyDescent="0.35">
      <c r="A338" s="22" t="s">
        <v>1080</v>
      </c>
      <c r="B338" s="22" t="s">
        <v>489</v>
      </c>
      <c r="C338" s="60">
        <v>0</v>
      </c>
      <c r="D338" s="60">
        <v>1247.0791999999999</v>
      </c>
      <c r="E338" s="60">
        <v>-1176663.0560000001</v>
      </c>
      <c r="F338" s="22" t="s">
        <v>3</v>
      </c>
      <c r="G338" s="22" t="s">
        <v>874</v>
      </c>
      <c r="H338" s="22" t="s">
        <v>573</v>
      </c>
      <c r="I338" s="22" t="s">
        <v>492</v>
      </c>
      <c r="J338" s="22" t="s">
        <v>874</v>
      </c>
      <c r="K338" s="24">
        <v>256779417160</v>
      </c>
    </row>
    <row r="339" spans="1:11" hidden="1" x14ac:dyDescent="0.35">
      <c r="A339" s="22" t="s">
        <v>1080</v>
      </c>
      <c r="B339" s="22" t="s">
        <v>489</v>
      </c>
      <c r="C339" s="60">
        <v>0</v>
      </c>
      <c r="D339" s="60">
        <v>59881.6803</v>
      </c>
      <c r="E339" s="60">
        <v>-1236544.7363</v>
      </c>
      <c r="F339" s="22" t="s">
        <v>3</v>
      </c>
      <c r="G339" s="22" t="s">
        <v>875</v>
      </c>
      <c r="H339" s="22" t="s">
        <v>876</v>
      </c>
      <c r="I339" s="22" t="s">
        <v>492</v>
      </c>
      <c r="J339" s="22" t="s">
        <v>875</v>
      </c>
      <c r="K339" s="24">
        <v>256779417166</v>
      </c>
    </row>
    <row r="340" spans="1:11" hidden="1" x14ac:dyDescent="0.35">
      <c r="A340" s="22" t="s">
        <v>1080</v>
      </c>
      <c r="B340" s="22" t="s">
        <v>489</v>
      </c>
      <c r="C340" s="60">
        <v>0</v>
      </c>
      <c r="D340" s="60">
        <v>58594.344499999999</v>
      </c>
      <c r="E340" s="60">
        <v>-1295139.0807999989</v>
      </c>
      <c r="F340" s="22" t="s">
        <v>3</v>
      </c>
      <c r="G340" s="22" t="s">
        <v>877</v>
      </c>
      <c r="H340" s="22" t="s">
        <v>507</v>
      </c>
      <c r="I340" s="22" t="s">
        <v>492</v>
      </c>
      <c r="J340" s="22" t="s">
        <v>877</v>
      </c>
      <c r="K340" s="24">
        <v>256779417173</v>
      </c>
    </row>
    <row r="341" spans="1:11" hidden="1" x14ac:dyDescent="0.35">
      <c r="A341" s="22" t="s">
        <v>1080</v>
      </c>
      <c r="B341" s="22" t="s">
        <v>489</v>
      </c>
      <c r="C341" s="60">
        <v>0</v>
      </c>
      <c r="D341" s="60">
        <v>991.79819999999995</v>
      </c>
      <c r="E341" s="60">
        <v>-1296130.878999999</v>
      </c>
      <c r="F341" s="22" t="s">
        <v>3</v>
      </c>
      <c r="G341" s="22" t="s">
        <v>878</v>
      </c>
      <c r="H341" s="22" t="s">
        <v>843</v>
      </c>
      <c r="I341" s="22" t="s">
        <v>492</v>
      </c>
      <c r="J341" s="22" t="s">
        <v>878</v>
      </c>
      <c r="K341" s="24">
        <v>256779419248</v>
      </c>
    </row>
    <row r="342" spans="1:11" hidden="1" x14ac:dyDescent="0.35">
      <c r="A342" s="22" t="s">
        <v>1080</v>
      </c>
      <c r="B342" s="22" t="s">
        <v>489</v>
      </c>
      <c r="C342" s="60">
        <v>0</v>
      </c>
      <c r="D342" s="60">
        <v>2793.2276000000002</v>
      </c>
      <c r="E342" s="60">
        <v>-1298924.1066000001</v>
      </c>
      <c r="F342" s="22" t="s">
        <v>3</v>
      </c>
      <c r="G342" s="22" t="s">
        <v>879</v>
      </c>
      <c r="H342" s="22" t="s">
        <v>573</v>
      </c>
      <c r="I342" s="22" t="s">
        <v>492</v>
      </c>
      <c r="J342" s="22" t="s">
        <v>879</v>
      </c>
      <c r="K342" s="24">
        <v>256779418819</v>
      </c>
    </row>
    <row r="343" spans="1:11" hidden="1" x14ac:dyDescent="0.35">
      <c r="A343" s="22" t="s">
        <v>1080</v>
      </c>
      <c r="B343" s="22" t="s">
        <v>489</v>
      </c>
      <c r="C343" s="60">
        <v>0</v>
      </c>
      <c r="D343" s="60">
        <v>529469.75580000004</v>
      </c>
      <c r="E343" s="60">
        <v>-1828393.8624</v>
      </c>
      <c r="F343" s="22" t="s">
        <v>3</v>
      </c>
      <c r="G343" s="22" t="s">
        <v>880</v>
      </c>
      <c r="H343" s="22" t="s">
        <v>841</v>
      </c>
      <c r="I343" s="22" t="s">
        <v>492</v>
      </c>
      <c r="J343" s="22" t="s">
        <v>880</v>
      </c>
      <c r="K343" s="24">
        <v>256779418869</v>
      </c>
    </row>
    <row r="344" spans="1:11" hidden="1" x14ac:dyDescent="0.35">
      <c r="A344" s="22" t="s">
        <v>1080</v>
      </c>
      <c r="B344" s="22" t="s">
        <v>489</v>
      </c>
      <c r="C344" s="60">
        <v>0</v>
      </c>
      <c r="D344" s="60">
        <v>9367.9609</v>
      </c>
      <c r="E344" s="60">
        <v>-1837761.8233</v>
      </c>
      <c r="F344" s="22" t="s">
        <v>3</v>
      </c>
      <c r="G344" s="22" t="s">
        <v>881</v>
      </c>
      <c r="H344" s="22" t="s">
        <v>561</v>
      </c>
      <c r="I344" s="22" t="s">
        <v>492</v>
      </c>
      <c r="J344" s="22" t="s">
        <v>881</v>
      </c>
      <c r="K344" s="24">
        <v>256779418897</v>
      </c>
    </row>
    <row r="345" spans="1:11" hidden="1" x14ac:dyDescent="0.35">
      <c r="A345" s="22" t="s">
        <v>1080</v>
      </c>
      <c r="B345" s="22" t="s">
        <v>489</v>
      </c>
      <c r="C345" s="60">
        <v>0</v>
      </c>
      <c r="D345" s="60">
        <v>3014.1161000000002</v>
      </c>
      <c r="E345" s="60">
        <v>-1840775.9394</v>
      </c>
      <c r="F345" s="22" t="s">
        <v>3</v>
      </c>
      <c r="G345" s="22" t="s">
        <v>882</v>
      </c>
      <c r="H345" s="22" t="s">
        <v>500</v>
      </c>
      <c r="I345" s="22" t="s">
        <v>492</v>
      </c>
      <c r="J345" s="22" t="s">
        <v>882</v>
      </c>
      <c r="K345" s="24">
        <v>256779418906</v>
      </c>
    </row>
    <row r="346" spans="1:11" hidden="1" x14ac:dyDescent="0.35">
      <c r="A346" s="22" t="s">
        <v>1080</v>
      </c>
      <c r="B346" s="22" t="s">
        <v>489</v>
      </c>
      <c r="C346" s="60">
        <v>0</v>
      </c>
      <c r="D346" s="60">
        <v>63274.437400000003</v>
      </c>
      <c r="E346" s="60">
        <v>-1904050.3768</v>
      </c>
      <c r="F346" s="22" t="s">
        <v>3</v>
      </c>
      <c r="G346" s="22" t="s">
        <v>883</v>
      </c>
      <c r="H346" s="22" t="s">
        <v>507</v>
      </c>
      <c r="I346" s="22" t="s">
        <v>492</v>
      </c>
      <c r="J346" s="22" t="s">
        <v>883</v>
      </c>
      <c r="K346" s="24">
        <v>256779419076</v>
      </c>
    </row>
    <row r="347" spans="1:11" hidden="1" x14ac:dyDescent="0.35">
      <c r="A347" s="22" t="s">
        <v>1080</v>
      </c>
      <c r="B347" s="22" t="s">
        <v>489</v>
      </c>
      <c r="C347" s="60">
        <v>0</v>
      </c>
      <c r="D347" s="60">
        <v>26716.949199999999</v>
      </c>
      <c r="E347" s="60">
        <v>-1930767.325999999</v>
      </c>
      <c r="F347" s="22" t="s">
        <v>3</v>
      </c>
      <c r="G347" s="22" t="s">
        <v>884</v>
      </c>
      <c r="H347" s="22" t="s">
        <v>852</v>
      </c>
      <c r="I347" s="22" t="s">
        <v>492</v>
      </c>
      <c r="J347" s="22" t="s">
        <v>884</v>
      </c>
      <c r="K347" s="24">
        <v>256779419069</v>
      </c>
    </row>
    <row r="348" spans="1:11" hidden="1" x14ac:dyDescent="0.35">
      <c r="A348" s="22" t="s">
        <v>1080</v>
      </c>
      <c r="B348" s="22" t="s">
        <v>489</v>
      </c>
      <c r="C348" s="60">
        <v>0</v>
      </c>
      <c r="D348" s="60">
        <v>5909.4276</v>
      </c>
      <c r="E348" s="60">
        <v>-1936676.753599999</v>
      </c>
      <c r="F348" s="22" t="s">
        <v>3</v>
      </c>
      <c r="G348" s="22" t="s">
        <v>885</v>
      </c>
      <c r="H348" s="22" t="s">
        <v>500</v>
      </c>
      <c r="I348" s="22" t="s">
        <v>492</v>
      </c>
      <c r="J348" s="22" t="s">
        <v>885</v>
      </c>
      <c r="K348" s="24">
        <v>256779419172</v>
      </c>
    </row>
    <row r="349" spans="1:11" hidden="1" x14ac:dyDescent="0.35">
      <c r="A349" s="22" t="s">
        <v>1080</v>
      </c>
      <c r="B349" s="22" t="s">
        <v>489</v>
      </c>
      <c r="C349" s="60">
        <v>0</v>
      </c>
      <c r="D349" s="60">
        <v>39821.534</v>
      </c>
      <c r="E349" s="60">
        <v>-1976498.287599999</v>
      </c>
      <c r="F349" s="22" t="s">
        <v>3</v>
      </c>
      <c r="G349" s="22" t="s">
        <v>886</v>
      </c>
      <c r="H349" s="22" t="s">
        <v>507</v>
      </c>
      <c r="I349" s="22" t="s">
        <v>492</v>
      </c>
      <c r="J349" s="22" t="s">
        <v>886</v>
      </c>
      <c r="K349" s="24">
        <v>256779419556</v>
      </c>
    </row>
    <row r="350" spans="1:11" hidden="1" x14ac:dyDescent="0.35">
      <c r="A350" s="22" t="s">
        <v>1080</v>
      </c>
      <c r="B350" s="22" t="s">
        <v>489</v>
      </c>
      <c r="C350" s="60">
        <v>0</v>
      </c>
      <c r="D350" s="60">
        <v>29234.726200000001</v>
      </c>
      <c r="E350" s="60">
        <v>-2005733.0137999989</v>
      </c>
      <c r="F350" s="22" t="s">
        <v>3</v>
      </c>
      <c r="G350" s="22" t="s">
        <v>887</v>
      </c>
      <c r="H350" s="22" t="s">
        <v>836</v>
      </c>
      <c r="I350" s="22" t="s">
        <v>492</v>
      </c>
      <c r="J350" s="22" t="s">
        <v>887</v>
      </c>
      <c r="K350" s="24">
        <v>256779419588</v>
      </c>
    </row>
    <row r="351" spans="1:11" hidden="1" x14ac:dyDescent="0.35">
      <c r="A351" s="22" t="s">
        <v>1080</v>
      </c>
      <c r="B351" s="22" t="s">
        <v>489</v>
      </c>
      <c r="C351" s="60">
        <v>0</v>
      </c>
      <c r="D351" s="60">
        <v>897.63459999999998</v>
      </c>
      <c r="E351" s="60">
        <v>-2006630.6483999989</v>
      </c>
      <c r="F351" s="22" t="s">
        <v>3</v>
      </c>
      <c r="G351" s="22" t="s">
        <v>888</v>
      </c>
      <c r="H351" s="22" t="s">
        <v>787</v>
      </c>
      <c r="I351" s="22" t="s">
        <v>492</v>
      </c>
      <c r="J351" s="22" t="s">
        <v>888</v>
      </c>
      <c r="K351" s="24">
        <v>256779419628</v>
      </c>
    </row>
    <row r="352" spans="1:11" hidden="1" x14ac:dyDescent="0.35">
      <c r="A352" s="22" t="s">
        <v>1081</v>
      </c>
      <c r="B352" s="22" t="s">
        <v>489</v>
      </c>
      <c r="C352" s="60">
        <v>0</v>
      </c>
      <c r="D352" s="60">
        <v>20693.117099999999</v>
      </c>
      <c r="E352" s="60">
        <v>-2027323.765499999</v>
      </c>
      <c r="F352" s="22" t="s">
        <v>3</v>
      </c>
      <c r="G352" s="22" t="s">
        <v>889</v>
      </c>
      <c r="H352" s="22" t="s">
        <v>573</v>
      </c>
      <c r="I352" s="22" t="s">
        <v>492</v>
      </c>
      <c r="J352" s="22" t="s">
        <v>889</v>
      </c>
      <c r="K352" s="24">
        <v>256779419465</v>
      </c>
    </row>
    <row r="353" spans="1:11" hidden="1" x14ac:dyDescent="0.35">
      <c r="A353" s="22" t="s">
        <v>1081</v>
      </c>
      <c r="B353" s="22" t="s">
        <v>489</v>
      </c>
      <c r="C353" s="60">
        <v>0</v>
      </c>
      <c r="D353" s="60">
        <v>14016.2999</v>
      </c>
      <c r="E353" s="60">
        <v>-2041340.065399999</v>
      </c>
      <c r="F353" s="22" t="s">
        <v>3</v>
      </c>
      <c r="G353" s="22" t="s">
        <v>890</v>
      </c>
      <c r="H353" s="22" t="s">
        <v>828</v>
      </c>
      <c r="I353" s="22" t="s">
        <v>492</v>
      </c>
      <c r="J353" s="22" t="s">
        <v>890</v>
      </c>
      <c r="K353" s="24">
        <v>256779419476</v>
      </c>
    </row>
    <row r="354" spans="1:11" hidden="1" x14ac:dyDescent="0.35">
      <c r="A354" s="22" t="s">
        <v>1081</v>
      </c>
      <c r="B354" s="22" t="s">
        <v>489</v>
      </c>
      <c r="C354" s="60">
        <v>0</v>
      </c>
      <c r="D354" s="60">
        <v>7761.8990000000003</v>
      </c>
      <c r="E354" s="60">
        <v>-2049101.964399999</v>
      </c>
      <c r="F354" s="22" t="s">
        <v>3</v>
      </c>
      <c r="G354" s="22" t="s">
        <v>891</v>
      </c>
      <c r="H354" s="22" t="s">
        <v>836</v>
      </c>
      <c r="I354" s="22" t="s">
        <v>492</v>
      </c>
      <c r="J354" s="22" t="s">
        <v>891</v>
      </c>
      <c r="K354" s="24">
        <v>256779419534</v>
      </c>
    </row>
    <row r="355" spans="1:11" hidden="1" x14ac:dyDescent="0.35">
      <c r="A355" s="22" t="s">
        <v>1081</v>
      </c>
      <c r="B355" s="22" t="s">
        <v>489</v>
      </c>
      <c r="C355" s="60">
        <v>0</v>
      </c>
      <c r="D355" s="60">
        <v>9417.2428</v>
      </c>
      <c r="E355" s="60">
        <v>-2058519.2071999989</v>
      </c>
      <c r="F355" s="22" t="s">
        <v>3</v>
      </c>
      <c r="G355" s="22" t="s">
        <v>892</v>
      </c>
      <c r="H355" s="22" t="s">
        <v>704</v>
      </c>
      <c r="I355" s="22" t="s">
        <v>492</v>
      </c>
      <c r="J355" s="22" t="s">
        <v>892</v>
      </c>
      <c r="K355" s="24">
        <v>256779419547</v>
      </c>
    </row>
    <row r="356" spans="1:11" hidden="1" x14ac:dyDescent="0.35">
      <c r="A356" s="22" t="s">
        <v>1081</v>
      </c>
      <c r="B356" s="22" t="s">
        <v>489</v>
      </c>
      <c r="C356" s="60">
        <v>0</v>
      </c>
      <c r="D356" s="60">
        <v>27787.070400000001</v>
      </c>
      <c r="E356" s="60">
        <v>-2086306.277599999</v>
      </c>
      <c r="F356" s="22" t="s">
        <v>3</v>
      </c>
      <c r="G356" s="22" t="s">
        <v>893</v>
      </c>
      <c r="H356" s="22" t="s">
        <v>876</v>
      </c>
      <c r="I356" s="22" t="s">
        <v>492</v>
      </c>
      <c r="J356" s="22" t="s">
        <v>893</v>
      </c>
      <c r="K356" s="24">
        <v>256779419364</v>
      </c>
    </row>
    <row r="357" spans="1:11" hidden="1" x14ac:dyDescent="0.35">
      <c r="A357" s="22" t="s">
        <v>1081</v>
      </c>
      <c r="B357" s="22" t="s">
        <v>489</v>
      </c>
      <c r="C357" s="60">
        <v>0</v>
      </c>
      <c r="D357" s="60">
        <v>11723.0177</v>
      </c>
      <c r="E357" s="60">
        <v>-2098029.295299999</v>
      </c>
      <c r="F357" s="22" t="s">
        <v>3</v>
      </c>
      <c r="G357" s="22" t="s">
        <v>894</v>
      </c>
      <c r="H357" s="22" t="s">
        <v>507</v>
      </c>
      <c r="I357" s="22" t="s">
        <v>492</v>
      </c>
      <c r="J357" s="22" t="s">
        <v>894</v>
      </c>
      <c r="K357" s="24">
        <v>256779413184</v>
      </c>
    </row>
    <row r="358" spans="1:11" hidden="1" x14ac:dyDescent="0.35">
      <c r="A358" s="22" t="s">
        <v>1082</v>
      </c>
      <c r="B358" s="22" t="s">
        <v>489</v>
      </c>
      <c r="C358" s="60">
        <v>0</v>
      </c>
      <c r="D358" s="60">
        <v>61159.633500000004</v>
      </c>
      <c r="E358" s="60">
        <v>-2159188.9287999989</v>
      </c>
      <c r="F358" s="22" t="s">
        <v>3</v>
      </c>
      <c r="G358" s="22" t="s">
        <v>895</v>
      </c>
      <c r="H358" s="22" t="s">
        <v>836</v>
      </c>
      <c r="I358" s="22" t="s">
        <v>492</v>
      </c>
      <c r="J358" s="22" t="s">
        <v>895</v>
      </c>
      <c r="K358" s="24">
        <v>256779419867</v>
      </c>
    </row>
    <row r="359" spans="1:11" hidden="1" x14ac:dyDescent="0.35">
      <c r="A359" s="22" t="s">
        <v>1082</v>
      </c>
      <c r="B359" s="22" t="s">
        <v>489</v>
      </c>
      <c r="C359" s="60">
        <v>0</v>
      </c>
      <c r="D359" s="60">
        <v>11115.014499999999</v>
      </c>
      <c r="E359" s="60">
        <v>-2170303.943299999</v>
      </c>
      <c r="F359" s="22" t="s">
        <v>3</v>
      </c>
      <c r="G359" s="22" t="s">
        <v>896</v>
      </c>
      <c r="H359" s="22" t="s">
        <v>500</v>
      </c>
      <c r="I359" s="22" t="s">
        <v>492</v>
      </c>
      <c r="J359" s="22" t="s">
        <v>896</v>
      </c>
      <c r="K359" s="24">
        <v>256779419916</v>
      </c>
    </row>
    <row r="360" spans="1:11" hidden="1" x14ac:dyDescent="0.35">
      <c r="A360" s="22" t="s">
        <v>1082</v>
      </c>
      <c r="B360" s="22" t="s">
        <v>489</v>
      </c>
      <c r="C360" s="60">
        <v>0</v>
      </c>
      <c r="D360" s="60">
        <v>10489.678599999999</v>
      </c>
      <c r="E360" s="60">
        <v>-2180793.6219000001</v>
      </c>
      <c r="F360" s="22" t="s">
        <v>3</v>
      </c>
      <c r="G360" s="22" t="s">
        <v>897</v>
      </c>
      <c r="H360" s="22" t="s">
        <v>852</v>
      </c>
      <c r="I360" s="22" t="s">
        <v>492</v>
      </c>
      <c r="J360" s="22" t="s">
        <v>897</v>
      </c>
      <c r="K360" s="24">
        <v>256779419933</v>
      </c>
    </row>
    <row r="361" spans="1:11" hidden="1" x14ac:dyDescent="0.35">
      <c r="A361" s="22" t="s">
        <v>1082</v>
      </c>
      <c r="B361" s="22" t="s">
        <v>489</v>
      </c>
      <c r="C361" s="60">
        <v>0</v>
      </c>
      <c r="D361" s="60">
        <v>28407.106800000001</v>
      </c>
      <c r="E361" s="60">
        <v>-2209200.7286999999</v>
      </c>
      <c r="F361" s="22" t="s">
        <v>3</v>
      </c>
      <c r="G361" s="22" t="s">
        <v>898</v>
      </c>
      <c r="H361" s="22" t="s">
        <v>507</v>
      </c>
      <c r="I361" s="22" t="s">
        <v>492</v>
      </c>
      <c r="J361" s="22" t="s">
        <v>898</v>
      </c>
      <c r="K361" s="24">
        <v>256779419795</v>
      </c>
    </row>
    <row r="362" spans="1:11" hidden="1" x14ac:dyDescent="0.35">
      <c r="A362" s="22" t="s">
        <v>1083</v>
      </c>
      <c r="B362" s="22" t="s">
        <v>489</v>
      </c>
      <c r="C362" s="60">
        <v>4048</v>
      </c>
      <c r="D362" s="60">
        <v>40195.392399999997</v>
      </c>
      <c r="E362" s="60">
        <v>-2245348.1211000001</v>
      </c>
      <c r="F362" s="22" t="s">
        <v>3</v>
      </c>
      <c r="G362" s="22" t="s">
        <v>899</v>
      </c>
      <c r="H362" s="22" t="s">
        <v>491</v>
      </c>
      <c r="I362" s="22" t="s">
        <v>492</v>
      </c>
      <c r="J362" s="22" t="s">
        <v>900</v>
      </c>
      <c r="K362" s="24">
        <v>256779418802</v>
      </c>
    </row>
    <row r="363" spans="1:11" hidden="1" x14ac:dyDescent="0.35">
      <c r="A363" s="22" t="s">
        <v>1083</v>
      </c>
      <c r="B363" s="22" t="s">
        <v>489</v>
      </c>
      <c r="C363" s="60">
        <v>0</v>
      </c>
      <c r="D363" s="60">
        <v>299.84859999999998</v>
      </c>
      <c r="E363" s="60">
        <v>-2245647.9696999998</v>
      </c>
      <c r="F363" s="22" t="s">
        <v>3</v>
      </c>
      <c r="G363" s="22" t="s">
        <v>901</v>
      </c>
      <c r="H363" s="22" t="s">
        <v>828</v>
      </c>
      <c r="I363" s="22" t="s">
        <v>492</v>
      </c>
      <c r="J363" s="22" t="s">
        <v>901</v>
      </c>
      <c r="K363" s="24">
        <v>256779418477</v>
      </c>
    </row>
    <row r="364" spans="1:11" hidden="1" x14ac:dyDescent="0.35">
      <c r="A364" s="22" t="s">
        <v>1083</v>
      </c>
      <c r="B364" s="22" t="s">
        <v>489</v>
      </c>
      <c r="C364" s="60">
        <v>7320</v>
      </c>
      <c r="D364" s="60">
        <v>73283.168300000005</v>
      </c>
      <c r="E364" s="60">
        <v>-2311611.1379999998</v>
      </c>
      <c r="F364" s="22" t="s">
        <v>3</v>
      </c>
      <c r="G364" s="22" t="s">
        <v>902</v>
      </c>
      <c r="H364" s="22" t="s">
        <v>507</v>
      </c>
      <c r="I364" s="22" t="s">
        <v>492</v>
      </c>
      <c r="J364" s="22" t="s">
        <v>903</v>
      </c>
      <c r="K364" s="24">
        <v>246779418620</v>
      </c>
    </row>
    <row r="365" spans="1:11" x14ac:dyDescent="0.35">
      <c r="A365" s="22" t="s">
        <v>1083</v>
      </c>
      <c r="B365" s="22" t="s">
        <v>489</v>
      </c>
      <c r="C365" s="60">
        <v>500000</v>
      </c>
      <c r="D365" s="60">
        <v>0</v>
      </c>
      <c r="E365" s="60">
        <v>-1811611.138</v>
      </c>
      <c r="F365" s="22" t="s">
        <v>2</v>
      </c>
      <c r="G365" s="22" t="s">
        <v>904</v>
      </c>
      <c r="H365" s="22" t="s">
        <v>728</v>
      </c>
      <c r="I365" s="22" t="s">
        <v>492</v>
      </c>
      <c r="J365" s="22"/>
      <c r="K365" s="24"/>
    </row>
    <row r="366" spans="1:11" hidden="1" x14ac:dyDescent="0.35">
      <c r="A366" s="22" t="s">
        <v>1083</v>
      </c>
      <c r="B366" s="22" t="s">
        <v>489</v>
      </c>
      <c r="C366" s="60">
        <v>6</v>
      </c>
      <c r="D366" s="60">
        <v>306</v>
      </c>
      <c r="E366" s="60">
        <v>-1811911.138</v>
      </c>
      <c r="F366" s="22" t="s">
        <v>3</v>
      </c>
      <c r="G366" s="22" t="s">
        <v>905</v>
      </c>
      <c r="H366" s="22" t="s">
        <v>828</v>
      </c>
      <c r="I366" s="22" t="s">
        <v>492</v>
      </c>
      <c r="J366" s="22" t="s">
        <v>906</v>
      </c>
      <c r="K366" s="24">
        <v>256779418492</v>
      </c>
    </row>
    <row r="367" spans="1:11" hidden="1" x14ac:dyDescent="0.35">
      <c r="A367" s="22" t="s">
        <v>1084</v>
      </c>
      <c r="B367" s="22" t="s">
        <v>489</v>
      </c>
      <c r="C367" s="60">
        <v>176</v>
      </c>
      <c r="D367" s="60">
        <v>7046.0609999999997</v>
      </c>
      <c r="E367" s="60">
        <v>-1818781.199</v>
      </c>
      <c r="F367" s="22" t="s">
        <v>3</v>
      </c>
      <c r="G367" s="22" t="s">
        <v>907</v>
      </c>
      <c r="H367" s="22" t="s">
        <v>500</v>
      </c>
      <c r="I367" s="22" t="s">
        <v>492</v>
      </c>
      <c r="J367" s="22" t="s">
        <v>908</v>
      </c>
      <c r="K367" s="24">
        <v>256779418437</v>
      </c>
    </row>
    <row r="368" spans="1:11" hidden="1" x14ac:dyDescent="0.35">
      <c r="A368" s="22" t="s">
        <v>1084</v>
      </c>
      <c r="B368" s="22" t="s">
        <v>489</v>
      </c>
      <c r="C368" s="60">
        <v>88</v>
      </c>
      <c r="D368" s="60">
        <v>2901.2856000000002</v>
      </c>
      <c r="E368" s="60">
        <v>-1821594.4846000001</v>
      </c>
      <c r="F368" s="22" t="s">
        <v>3</v>
      </c>
      <c r="G368" s="22" t="s">
        <v>909</v>
      </c>
      <c r="H368" s="22" t="s">
        <v>557</v>
      </c>
      <c r="I368" s="22" t="s">
        <v>492</v>
      </c>
      <c r="J368" s="22" t="s">
        <v>910</v>
      </c>
      <c r="K368" s="24">
        <v>256779418428</v>
      </c>
    </row>
    <row r="369" spans="1:11" hidden="1" x14ac:dyDescent="0.35">
      <c r="A369" s="22" t="s">
        <v>1084</v>
      </c>
      <c r="B369" s="22" t="s">
        <v>489</v>
      </c>
      <c r="C369" s="60">
        <v>0</v>
      </c>
      <c r="D369" s="60">
        <v>1036.08</v>
      </c>
      <c r="E369" s="60">
        <v>-1822630.5645999999</v>
      </c>
      <c r="F369" s="22" t="s">
        <v>3</v>
      </c>
      <c r="G369" s="22" t="s">
        <v>911</v>
      </c>
      <c r="H369" s="22" t="s">
        <v>500</v>
      </c>
      <c r="I369" s="22" t="s">
        <v>492</v>
      </c>
      <c r="J369" s="22" t="s">
        <v>911</v>
      </c>
      <c r="K369" s="24">
        <v>256779418351</v>
      </c>
    </row>
    <row r="370" spans="1:11" hidden="1" x14ac:dyDescent="0.35">
      <c r="A370" s="22" t="s">
        <v>1084</v>
      </c>
      <c r="B370" s="22" t="s">
        <v>489</v>
      </c>
      <c r="C370" s="60">
        <v>970</v>
      </c>
      <c r="D370" s="60">
        <v>46651.936999999998</v>
      </c>
      <c r="E370" s="60">
        <v>-1868312.5016000001</v>
      </c>
      <c r="F370" s="22" t="s">
        <v>3</v>
      </c>
      <c r="G370" s="22" t="s">
        <v>912</v>
      </c>
      <c r="H370" s="22" t="s">
        <v>573</v>
      </c>
      <c r="I370" s="22" t="s">
        <v>492</v>
      </c>
      <c r="J370" s="22" t="s">
        <v>913</v>
      </c>
      <c r="K370" s="24">
        <v>256779418103</v>
      </c>
    </row>
    <row r="371" spans="1:11" hidden="1" x14ac:dyDescent="0.35">
      <c r="A371" s="22" t="s">
        <v>1084</v>
      </c>
      <c r="B371" s="22" t="s">
        <v>489</v>
      </c>
      <c r="C371" s="60">
        <v>88</v>
      </c>
      <c r="D371" s="60">
        <v>6173.1630999999998</v>
      </c>
      <c r="E371" s="60">
        <v>-1874397.6647000001</v>
      </c>
      <c r="F371" s="22" t="s">
        <v>3</v>
      </c>
      <c r="G371" s="22" t="s">
        <v>914</v>
      </c>
      <c r="H371" s="22" t="s">
        <v>915</v>
      </c>
      <c r="I371" s="22" t="s">
        <v>492</v>
      </c>
      <c r="J371" s="22" t="s">
        <v>916</v>
      </c>
      <c r="K371" s="24">
        <v>256779418168</v>
      </c>
    </row>
    <row r="372" spans="1:11" hidden="1" x14ac:dyDescent="0.35">
      <c r="A372" s="22" t="s">
        <v>1084</v>
      </c>
      <c r="B372" s="22" t="s">
        <v>489</v>
      </c>
      <c r="C372" s="60">
        <v>6791</v>
      </c>
      <c r="D372" s="60">
        <v>68060.655499999993</v>
      </c>
      <c r="E372" s="60">
        <v>-1935667.3202</v>
      </c>
      <c r="F372" s="22" t="s">
        <v>3</v>
      </c>
      <c r="G372" s="22" t="s">
        <v>917</v>
      </c>
      <c r="H372" s="22" t="s">
        <v>507</v>
      </c>
      <c r="I372" s="22" t="s">
        <v>492</v>
      </c>
      <c r="J372" s="22" t="s">
        <v>918</v>
      </c>
      <c r="K372" s="24">
        <v>256779418094</v>
      </c>
    </row>
    <row r="373" spans="1:11" hidden="1" x14ac:dyDescent="0.35">
      <c r="A373" s="22" t="s">
        <v>1084</v>
      </c>
      <c r="B373" s="22" t="s">
        <v>489</v>
      </c>
      <c r="C373" s="60">
        <v>1058</v>
      </c>
      <c r="D373" s="60">
        <v>51397.291499999999</v>
      </c>
      <c r="E373" s="60">
        <v>-1986006.6117</v>
      </c>
      <c r="F373" s="22" t="s">
        <v>3</v>
      </c>
      <c r="G373" s="22" t="s">
        <v>919</v>
      </c>
      <c r="H373" s="22" t="s">
        <v>500</v>
      </c>
      <c r="I373" s="22" t="s">
        <v>492</v>
      </c>
      <c r="J373" s="22" t="s">
        <v>920</v>
      </c>
      <c r="K373" s="24">
        <v>256779417978</v>
      </c>
    </row>
    <row r="374" spans="1:11" hidden="1" x14ac:dyDescent="0.35">
      <c r="A374" s="22" t="s">
        <v>1084</v>
      </c>
      <c r="B374" s="22" t="s">
        <v>489</v>
      </c>
      <c r="C374" s="60">
        <v>10</v>
      </c>
      <c r="D374" s="60">
        <v>506</v>
      </c>
      <c r="E374" s="60">
        <v>-1986502.6117</v>
      </c>
      <c r="F374" s="22" t="s">
        <v>3</v>
      </c>
      <c r="G374" s="22" t="s">
        <v>921</v>
      </c>
      <c r="H374" s="22" t="s">
        <v>843</v>
      </c>
      <c r="I374" s="22" t="s">
        <v>492</v>
      </c>
      <c r="J374" s="22" t="s">
        <v>922</v>
      </c>
      <c r="K374" s="24">
        <v>256779418103</v>
      </c>
    </row>
    <row r="375" spans="1:11" hidden="1" x14ac:dyDescent="0.35">
      <c r="A375" s="22" t="s">
        <v>1085</v>
      </c>
      <c r="B375" s="22" t="s">
        <v>489</v>
      </c>
      <c r="C375" s="60">
        <v>1351</v>
      </c>
      <c r="D375" s="60">
        <v>67557</v>
      </c>
      <c r="E375" s="60">
        <v>-2052708.6117</v>
      </c>
      <c r="F375" s="22" t="s">
        <v>3</v>
      </c>
      <c r="G375" s="22" t="s">
        <v>923</v>
      </c>
      <c r="H375" s="22" t="s">
        <v>561</v>
      </c>
      <c r="I375" s="22" t="s">
        <v>492</v>
      </c>
      <c r="J375" s="22" t="s">
        <v>924</v>
      </c>
      <c r="K375" s="24">
        <v>256779416178</v>
      </c>
    </row>
    <row r="376" spans="1:11" hidden="1" x14ac:dyDescent="0.35">
      <c r="A376" s="22" t="s">
        <v>1085</v>
      </c>
      <c r="B376" s="22" t="s">
        <v>489</v>
      </c>
      <c r="C376" s="60">
        <v>16530</v>
      </c>
      <c r="D376" s="60">
        <v>16530</v>
      </c>
      <c r="E376" s="60">
        <v>-2052708.6117</v>
      </c>
      <c r="F376" s="22" t="s">
        <v>1</v>
      </c>
      <c r="G376" s="22" t="s">
        <v>925</v>
      </c>
      <c r="H376" s="22"/>
      <c r="I376" s="22" t="s">
        <v>492</v>
      </c>
      <c r="J376" s="22" t="s">
        <v>926</v>
      </c>
      <c r="K376" s="24">
        <v>256779414288</v>
      </c>
    </row>
    <row r="377" spans="1:11" hidden="1" x14ac:dyDescent="0.35">
      <c r="A377" s="22" t="s">
        <v>1085</v>
      </c>
      <c r="B377" s="22" t="s">
        <v>489</v>
      </c>
      <c r="C377" s="60">
        <v>453</v>
      </c>
      <c r="D377" s="60">
        <v>453</v>
      </c>
      <c r="E377" s="60">
        <v>-2052708.6117</v>
      </c>
      <c r="F377" s="22" t="s">
        <v>1</v>
      </c>
      <c r="G377" s="22" t="s">
        <v>927</v>
      </c>
      <c r="H377" s="22"/>
      <c r="I377" s="22" t="s">
        <v>492</v>
      </c>
      <c r="J377" s="22" t="s">
        <v>928</v>
      </c>
      <c r="K377" s="24">
        <v>256779417084</v>
      </c>
    </row>
    <row r="378" spans="1:11" hidden="1" x14ac:dyDescent="0.35">
      <c r="A378" s="22" t="s">
        <v>1085</v>
      </c>
      <c r="B378" s="22" t="s">
        <v>489</v>
      </c>
      <c r="C378" s="60">
        <v>8522</v>
      </c>
      <c r="D378" s="60">
        <v>8522</v>
      </c>
      <c r="E378" s="60">
        <v>-2052708.6117</v>
      </c>
      <c r="F378" s="22" t="s">
        <v>1</v>
      </c>
      <c r="G378" s="22" t="s">
        <v>929</v>
      </c>
      <c r="H378" s="22"/>
      <c r="I378" s="22" t="s">
        <v>492</v>
      </c>
      <c r="J378" s="22" t="s">
        <v>930</v>
      </c>
      <c r="K378" s="24">
        <v>246779411314</v>
      </c>
    </row>
    <row r="379" spans="1:11" hidden="1" x14ac:dyDescent="0.35">
      <c r="A379" s="22" t="s">
        <v>1086</v>
      </c>
      <c r="B379" s="22" t="s">
        <v>489</v>
      </c>
      <c r="C379" s="60">
        <v>4174</v>
      </c>
      <c r="D379" s="60">
        <v>41446.745000000003</v>
      </c>
      <c r="E379" s="60">
        <v>-2089981.3566999999</v>
      </c>
      <c r="F379" s="22" t="s">
        <v>3</v>
      </c>
      <c r="G379" s="22" t="s">
        <v>931</v>
      </c>
      <c r="H379" s="22" t="s">
        <v>783</v>
      </c>
      <c r="I379" s="22" t="s">
        <v>492</v>
      </c>
      <c r="J379" s="22" t="s">
        <v>932</v>
      </c>
      <c r="K379" s="24">
        <v>256779440041</v>
      </c>
    </row>
    <row r="380" spans="1:11" hidden="1" x14ac:dyDescent="0.35">
      <c r="A380" s="22" t="s">
        <v>1086</v>
      </c>
      <c r="B380" s="22" t="s">
        <v>489</v>
      </c>
      <c r="C380" s="60">
        <v>0</v>
      </c>
      <c r="D380" s="60">
        <v>1066.231</v>
      </c>
      <c r="E380" s="60">
        <v>-2091047.5877</v>
      </c>
      <c r="F380" s="22" t="s">
        <v>3</v>
      </c>
      <c r="G380" s="22" t="s">
        <v>933</v>
      </c>
      <c r="H380" s="22" t="s">
        <v>500</v>
      </c>
      <c r="I380" s="22" t="s">
        <v>492</v>
      </c>
      <c r="J380" s="22" t="s">
        <v>933</v>
      </c>
      <c r="K380" s="24">
        <v>256779440069</v>
      </c>
    </row>
    <row r="381" spans="1:11" hidden="1" x14ac:dyDescent="0.35">
      <c r="A381" s="22" t="s">
        <v>1087</v>
      </c>
      <c r="B381" s="22" t="s">
        <v>489</v>
      </c>
      <c r="C381" s="60">
        <v>181</v>
      </c>
      <c r="D381" s="60">
        <v>8983.0849999999991</v>
      </c>
      <c r="E381" s="60">
        <v>-2099849.6727</v>
      </c>
      <c r="F381" s="22" t="s">
        <v>3</v>
      </c>
      <c r="G381" s="22" t="s">
        <v>934</v>
      </c>
      <c r="H381" s="22" t="s">
        <v>935</v>
      </c>
      <c r="I381" s="22" t="s">
        <v>492</v>
      </c>
      <c r="J381" s="22" t="s">
        <v>936</v>
      </c>
      <c r="K381" s="24">
        <v>256779440118</v>
      </c>
    </row>
    <row r="382" spans="1:11" x14ac:dyDescent="0.35">
      <c r="A382" s="22" t="s">
        <v>1088</v>
      </c>
      <c r="B382" s="22" t="s">
        <v>489</v>
      </c>
      <c r="C382" s="60">
        <v>674751</v>
      </c>
      <c r="D382" s="60">
        <v>0</v>
      </c>
      <c r="E382" s="60">
        <v>-1425098.6727</v>
      </c>
      <c r="F382" s="22" t="s">
        <v>2</v>
      </c>
      <c r="G382" s="22" t="s">
        <v>937</v>
      </c>
      <c r="H382" s="22" t="s">
        <v>728</v>
      </c>
      <c r="I382" s="22" t="s">
        <v>492</v>
      </c>
      <c r="J382" s="22" t="s">
        <v>873</v>
      </c>
      <c r="K382" s="24">
        <v>256779417084</v>
      </c>
    </row>
    <row r="383" spans="1:11" hidden="1" x14ac:dyDescent="0.35">
      <c r="A383" s="22" t="s">
        <v>1089</v>
      </c>
      <c r="B383" s="22" t="s">
        <v>489</v>
      </c>
      <c r="C383" s="60">
        <v>90</v>
      </c>
      <c r="D383" s="60">
        <v>4904.3774000000003</v>
      </c>
      <c r="E383" s="60">
        <v>-1429913.0501000001</v>
      </c>
      <c r="F383" s="22" t="s">
        <v>3</v>
      </c>
      <c r="G383" s="22" t="s">
        <v>938</v>
      </c>
      <c r="H383" s="22" t="s">
        <v>939</v>
      </c>
      <c r="I383" s="22" t="s">
        <v>492</v>
      </c>
      <c r="J383" s="22" t="s">
        <v>940</v>
      </c>
      <c r="K383" s="24">
        <v>256779440383</v>
      </c>
    </row>
    <row r="384" spans="1:11" hidden="1" x14ac:dyDescent="0.35">
      <c r="A384" s="22" t="s">
        <v>1089</v>
      </c>
      <c r="B384" s="22" t="s">
        <v>489</v>
      </c>
      <c r="C384" s="60">
        <v>181</v>
      </c>
      <c r="D384" s="60">
        <v>8983.0846000000001</v>
      </c>
      <c r="E384" s="60">
        <v>-1438715.1347000001</v>
      </c>
      <c r="F384" s="22" t="s">
        <v>3</v>
      </c>
      <c r="G384" s="22" t="s">
        <v>941</v>
      </c>
      <c r="H384" s="22" t="s">
        <v>942</v>
      </c>
      <c r="I384" s="22" t="s">
        <v>492</v>
      </c>
      <c r="J384" s="22" t="s">
        <v>943</v>
      </c>
      <c r="K384" s="24">
        <v>256779440413</v>
      </c>
    </row>
    <row r="385" spans="1:11" hidden="1" x14ac:dyDescent="0.35">
      <c r="A385" s="22" t="s">
        <v>1089</v>
      </c>
      <c r="B385" s="22" t="s">
        <v>489</v>
      </c>
      <c r="C385" s="60">
        <v>91</v>
      </c>
      <c r="D385" s="60">
        <v>6141.7525999999998</v>
      </c>
      <c r="E385" s="60">
        <v>-1444765.8873000001</v>
      </c>
      <c r="F385" s="22" t="s">
        <v>3</v>
      </c>
      <c r="G385" s="22" t="s">
        <v>944</v>
      </c>
      <c r="H385" s="22" t="s">
        <v>500</v>
      </c>
      <c r="I385" s="22" t="s">
        <v>492</v>
      </c>
      <c r="J385" s="22" t="s">
        <v>945</v>
      </c>
      <c r="K385" s="24">
        <v>256779440429</v>
      </c>
    </row>
    <row r="386" spans="1:11" hidden="1" x14ac:dyDescent="0.35">
      <c r="A386" s="22" t="s">
        <v>1089</v>
      </c>
      <c r="B386" s="22" t="s">
        <v>489</v>
      </c>
      <c r="C386" s="60">
        <v>1815</v>
      </c>
      <c r="D386" s="60">
        <v>18211.378000000001</v>
      </c>
      <c r="E386" s="60">
        <v>-1461162.2653000001</v>
      </c>
      <c r="F386" s="22" t="s">
        <v>3</v>
      </c>
      <c r="G386" s="22" t="s">
        <v>946</v>
      </c>
      <c r="H386" s="22" t="s">
        <v>507</v>
      </c>
      <c r="I386" s="22" t="s">
        <v>492</v>
      </c>
      <c r="J386" s="22" t="s">
        <v>947</v>
      </c>
      <c r="K386" s="24">
        <v>256779440394</v>
      </c>
    </row>
    <row r="387" spans="1:11" hidden="1" x14ac:dyDescent="0.35">
      <c r="A387" s="22" t="s">
        <v>1089</v>
      </c>
      <c r="B387" s="22" t="s">
        <v>489</v>
      </c>
      <c r="C387" s="60">
        <v>1089</v>
      </c>
      <c r="D387" s="60">
        <v>11313.937</v>
      </c>
      <c r="E387" s="60">
        <v>-1471387.2023</v>
      </c>
      <c r="F387" s="22" t="s">
        <v>3</v>
      </c>
      <c r="G387" s="22" t="s">
        <v>948</v>
      </c>
      <c r="H387" s="22" t="s">
        <v>949</v>
      </c>
      <c r="I387" s="22" t="s">
        <v>492</v>
      </c>
      <c r="J387" s="22" t="s">
        <v>950</v>
      </c>
      <c r="K387" s="24">
        <v>256779440392</v>
      </c>
    </row>
    <row r="388" spans="1:11" hidden="1" x14ac:dyDescent="0.35">
      <c r="A388" s="22" t="s">
        <v>1090</v>
      </c>
      <c r="B388" s="22" t="s">
        <v>489</v>
      </c>
      <c r="C388" s="60">
        <v>181</v>
      </c>
      <c r="D388" s="60">
        <v>7063.8671999999997</v>
      </c>
      <c r="E388" s="60">
        <v>-1478270.0695</v>
      </c>
      <c r="F388" s="22" t="s">
        <v>3</v>
      </c>
      <c r="G388" s="22" t="s">
        <v>951</v>
      </c>
      <c r="H388" s="22" t="s">
        <v>559</v>
      </c>
      <c r="I388" s="22" t="s">
        <v>492</v>
      </c>
      <c r="J388" s="22" t="s">
        <v>952</v>
      </c>
      <c r="K388" s="24">
        <v>256779440210</v>
      </c>
    </row>
    <row r="389" spans="1:11" hidden="1" x14ac:dyDescent="0.35">
      <c r="A389" s="22" t="s">
        <v>1090</v>
      </c>
      <c r="B389" s="22" t="s">
        <v>489</v>
      </c>
      <c r="C389" s="60">
        <v>181</v>
      </c>
      <c r="D389" s="60">
        <v>11185.420599999999</v>
      </c>
      <c r="E389" s="60">
        <v>-1489274.4901000001</v>
      </c>
      <c r="F389" s="22" t="s">
        <v>3</v>
      </c>
      <c r="G389" s="22" t="s">
        <v>953</v>
      </c>
      <c r="H389" s="22" t="s">
        <v>949</v>
      </c>
      <c r="I389" s="22" t="s">
        <v>492</v>
      </c>
      <c r="J389" s="22" t="s">
        <v>954</v>
      </c>
      <c r="K389" s="24">
        <v>256779440122</v>
      </c>
    </row>
  </sheetData>
  <autoFilter ref="A1:K389" xr:uid="{E28B4ABF-4804-485E-9803-09ADF53F0B0A}">
    <filterColumn colId="7">
      <filters>
        <filter val="1395250393003 - Punjab National Bank - INR - SLSIPL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Payment Reco</vt:lpstr>
      <vt:lpstr>Sheet2</vt:lpstr>
      <vt:lpstr>Customer Data Vlookup</vt:lpstr>
      <vt:lpstr>Customer Data</vt:lpstr>
      <vt:lpstr>Ascendus Data</vt:lpstr>
      <vt:lpstr>Knock off entries difference</vt:lpstr>
      <vt:lpstr>Diffrence in Invoice value</vt:lpstr>
      <vt:lpstr>TDS to be recorded </vt:lpstr>
      <vt:lpstr>Invoice&amp;DN in Customer's ledger</vt:lpstr>
      <vt:lpstr>working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Thakkar</dc:creator>
  <cp:lastModifiedBy>Neuroy Gonsalves</cp:lastModifiedBy>
  <dcterms:created xsi:type="dcterms:W3CDTF">2026-02-18T13:25:31Z</dcterms:created>
  <dcterms:modified xsi:type="dcterms:W3CDTF">2026-03-10T14:05:22Z</dcterms:modified>
</cp:coreProperties>
</file>