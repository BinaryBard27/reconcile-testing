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1. SCOPE LOGISTICS SERVICES INDIA PVT\"/>
    </mc:Choice>
  </mc:AlternateContent>
  <xr:revisionPtr revIDLastSave="0" documentId="13_ncr:1_{FD3BB2A7-D8F3-4ED5-A962-73316C6506C0}" xr6:coauthVersionLast="47" xr6:coauthVersionMax="47" xr10:uidLastSave="{00000000-0000-0000-0000-000000000000}"/>
  <bookViews>
    <workbookView xWindow="-110" yWindow="-110" windowWidth="21820" windowHeight="14020" tabRatio="911" xr2:uid="{00000000-000D-0000-FFFF-FFFF00000000}"/>
  </bookViews>
  <sheets>
    <sheet name="Customer Ledger" sheetId="3" r:id="rId1"/>
    <sheet name="Ascendus Ledger" sheetId="2" r:id="rId2"/>
    <sheet name="TDS " sheetId="6" r:id="rId3"/>
    <sheet name="Invoices not in customers books" sheetId="5" r:id="rId4"/>
    <sheet name="Sheet4" sheetId="7" r:id="rId5"/>
  </sheets>
  <definedNames>
    <definedName name="_xlnm._FilterDatabase" localSheetId="1" hidden="1">'Ascendus Ledger'!$G$1:$AK$475</definedName>
    <definedName name="_xlnm._FilterDatabase" localSheetId="0" hidden="1">'Customer Ledger'!$A$1:$I$390</definedName>
    <definedName name="_xlnm._FilterDatabase" localSheetId="3" hidden="1">'Invoices not in customers books'!$A$1:$K$43</definedName>
    <definedName name="_xlnm._FilterDatabase" localSheetId="4" hidden="1">Sheet4!$A$1:$M$16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8" i="5" l="1"/>
  <c r="K32" i="5"/>
  <c r="K41" i="5"/>
  <c r="K22" i="5"/>
  <c r="K21" i="5"/>
  <c r="K38" i="5"/>
  <c r="K6" i="5"/>
  <c r="K7" i="5"/>
  <c r="K12" i="5"/>
  <c r="K19" i="5"/>
  <c r="K20" i="5"/>
  <c r="K15" i="5"/>
  <c r="K33" i="5"/>
  <c r="K34" i="5"/>
  <c r="K4" i="5"/>
  <c r="K43" i="5"/>
  <c r="K26" i="5"/>
  <c r="K13" i="5"/>
  <c r="K24" i="5"/>
  <c r="K35" i="5"/>
  <c r="K30" i="5"/>
  <c r="K5" i="5"/>
  <c r="K11" i="5"/>
  <c r="K2" i="5"/>
  <c r="K29" i="5"/>
  <c r="K42" i="5"/>
  <c r="K40" i="5"/>
  <c r="K31" i="5"/>
  <c r="K36" i="5"/>
  <c r="K37" i="5"/>
  <c r="K3" i="5"/>
  <c r="K14" i="5"/>
  <c r="K10" i="5"/>
  <c r="K16" i="5"/>
  <c r="K9" i="5"/>
  <c r="K8" i="5"/>
  <c r="K18" i="5"/>
  <c r="K23" i="5"/>
  <c r="K25" i="5"/>
  <c r="K39" i="5"/>
  <c r="K27" i="5"/>
  <c r="K17" i="5"/>
  <c r="Z475" i="2" a="1"/>
  <c r="Z475" i="2" s="1"/>
  <c r="Z474" i="2" a="1"/>
  <c r="Z474" i="2" s="1"/>
  <c r="Z473" i="2" a="1"/>
  <c r="Z473" i="2" s="1"/>
  <c r="Z472" i="2" a="1"/>
  <c r="Z472" i="2" s="1"/>
  <c r="Z471" i="2" a="1"/>
  <c r="Z471" i="2" s="1"/>
  <c r="Z470" i="2" a="1"/>
  <c r="Z470" i="2" s="1"/>
  <c r="Z469" i="2" a="1"/>
  <c r="Z469" i="2" s="1"/>
  <c r="Z468" i="2" a="1"/>
  <c r="Z468" i="2" s="1"/>
  <c r="Z467" i="2" a="1"/>
  <c r="Z467" i="2" s="1"/>
  <c r="Z466" i="2" a="1"/>
  <c r="Z466" i="2" s="1"/>
  <c r="Z465" i="2" a="1"/>
  <c r="Z465" i="2" s="1"/>
  <c r="Z464" i="2" a="1"/>
  <c r="Z464" i="2" s="1"/>
  <c r="Z463" i="2" a="1"/>
  <c r="Z463" i="2" s="1"/>
  <c r="Z462" i="2" a="1"/>
  <c r="Z462" i="2" s="1"/>
  <c r="Z461" i="2" a="1"/>
  <c r="Z461" i="2" s="1"/>
  <c r="Z460" i="2" a="1"/>
  <c r="Z460" i="2" s="1"/>
  <c r="Z459" i="2" a="1"/>
  <c r="Z459" i="2" s="1"/>
  <c r="Z458" i="2" a="1"/>
  <c r="Z458" i="2" s="1"/>
  <c r="Z457" i="2" a="1"/>
  <c r="Z457" i="2" s="1"/>
  <c r="Z456" i="2" a="1"/>
  <c r="Z456" i="2" s="1"/>
  <c r="Z455" i="2" a="1"/>
  <c r="Z455" i="2" s="1"/>
  <c r="Z454" i="2" a="1"/>
  <c r="Z454" i="2" s="1"/>
  <c r="Z453" i="2" a="1"/>
  <c r="Z453" i="2" s="1"/>
  <c r="Z452" i="2" a="1"/>
  <c r="Z452" i="2" s="1"/>
  <c r="Z451" i="2" a="1"/>
  <c r="Z451" i="2" s="1"/>
  <c r="Z450" i="2" a="1"/>
  <c r="Z450" i="2" s="1"/>
  <c r="Z449" i="2" a="1"/>
  <c r="Z449" i="2" s="1"/>
  <c r="Z448" i="2" a="1"/>
  <c r="Z448" i="2" s="1"/>
  <c r="Z447" i="2" a="1"/>
  <c r="Z447" i="2" s="1"/>
  <c r="Z446" i="2" a="1"/>
  <c r="Z446" i="2" s="1"/>
  <c r="Z445" i="2" a="1"/>
  <c r="Z445" i="2" s="1"/>
  <c r="Z444" i="2" a="1"/>
  <c r="Z444" i="2" s="1"/>
  <c r="Z443" i="2" a="1"/>
  <c r="Z443" i="2" s="1"/>
  <c r="Z442" i="2" a="1"/>
  <c r="Z442" i="2" s="1"/>
  <c r="Z441" i="2" a="1"/>
  <c r="Z441" i="2" s="1"/>
  <c r="Z440" i="2" a="1"/>
  <c r="Z440" i="2" s="1"/>
  <c r="Z439" i="2" a="1"/>
  <c r="Z439" i="2" s="1"/>
  <c r="Z438" i="2" a="1"/>
  <c r="Z438" i="2" s="1"/>
  <c r="Z437" i="2" a="1"/>
  <c r="Z437" i="2" s="1"/>
  <c r="Z436" i="2" a="1"/>
  <c r="Z436" i="2" s="1"/>
  <c r="Z435" i="2" a="1"/>
  <c r="Z435" i="2" s="1"/>
  <c r="Z434" i="2" a="1"/>
  <c r="Z434" i="2" s="1"/>
  <c r="Z433" i="2" a="1"/>
  <c r="Z433" i="2" s="1"/>
  <c r="Z432" i="2" a="1"/>
  <c r="Z432" i="2" s="1"/>
  <c r="Z431" i="2" a="1"/>
  <c r="Z431" i="2" s="1"/>
  <c r="Z430" i="2" a="1"/>
  <c r="Z430" i="2" s="1"/>
  <c r="Z429" i="2" a="1"/>
  <c r="Z429" i="2" s="1"/>
  <c r="Z428" i="2" a="1"/>
  <c r="Z428" i="2" s="1"/>
  <c r="Z427" i="2" a="1"/>
  <c r="Z427" i="2" s="1"/>
  <c r="Z426" i="2" a="1"/>
  <c r="Z426" i="2" s="1"/>
  <c r="Z425" i="2" a="1"/>
  <c r="Z425" i="2" s="1"/>
  <c r="Z424" i="2" a="1"/>
  <c r="Z424" i="2" s="1"/>
  <c r="Z423" i="2" a="1"/>
  <c r="Z423" i="2" s="1"/>
  <c r="Z422" i="2" a="1"/>
  <c r="Z422" i="2" s="1"/>
  <c r="Z421" i="2" a="1"/>
  <c r="Z421" i="2" s="1"/>
  <c r="Z420" i="2" a="1"/>
  <c r="Z420" i="2" s="1"/>
  <c r="Z419" i="2" a="1"/>
  <c r="Z419" i="2" s="1"/>
  <c r="Z418" i="2" a="1"/>
  <c r="Z418" i="2" s="1"/>
  <c r="Z417" i="2" a="1"/>
  <c r="Z417" i="2" s="1"/>
  <c r="Z416" i="2" a="1"/>
  <c r="Z416" i="2" s="1"/>
  <c r="Z415" i="2" a="1"/>
  <c r="Z415" i="2" s="1"/>
  <c r="Z414" i="2" a="1"/>
  <c r="Z414" i="2" s="1"/>
  <c r="Z413" i="2" a="1"/>
  <c r="Z413" i="2" s="1"/>
  <c r="Z412" i="2" a="1"/>
  <c r="Z412" i="2" s="1"/>
  <c r="Z411" i="2" a="1"/>
  <c r="Z411" i="2" s="1"/>
  <c r="Z410" i="2" a="1"/>
  <c r="Z410" i="2" s="1"/>
  <c r="Z409" i="2" a="1"/>
  <c r="Z409" i="2" s="1"/>
  <c r="Z408" i="2" a="1"/>
  <c r="Z408" i="2" s="1"/>
  <c r="Z407" i="2" a="1"/>
  <c r="Z407" i="2" s="1"/>
  <c r="Z406" i="2" a="1"/>
  <c r="Z406" i="2" s="1"/>
  <c r="Z405" i="2" a="1"/>
  <c r="Z405" i="2" s="1"/>
  <c r="Z404" i="2" a="1"/>
  <c r="Z404" i="2" s="1"/>
  <c r="Z403" i="2" a="1"/>
  <c r="Z403" i="2" s="1"/>
  <c r="Z402" i="2" a="1"/>
  <c r="Z402" i="2" s="1"/>
  <c r="Z401" i="2" a="1"/>
  <c r="Z401" i="2" s="1"/>
  <c r="Z400" i="2" a="1"/>
  <c r="Z400" i="2" s="1"/>
  <c r="Z399" i="2" a="1"/>
  <c r="Z399" i="2" s="1"/>
  <c r="Z398" i="2" a="1"/>
  <c r="Z398" i="2" s="1"/>
  <c r="Z397" i="2" a="1"/>
  <c r="Z397" i="2" s="1"/>
  <c r="Z396" i="2" a="1"/>
  <c r="Z396" i="2" s="1"/>
  <c r="Z395" i="2" a="1"/>
  <c r="Z395" i="2" s="1"/>
  <c r="Z394" i="2" a="1"/>
  <c r="Z394" i="2" s="1"/>
  <c r="Z393" i="2" a="1"/>
  <c r="Z393" i="2" s="1"/>
  <c r="Z392" i="2" a="1"/>
  <c r="Z392" i="2" s="1"/>
  <c r="Z391" i="2" a="1"/>
  <c r="Z391" i="2" s="1"/>
  <c r="Z390" i="2" a="1"/>
  <c r="Z390" i="2" s="1"/>
  <c r="Z389" i="2" a="1"/>
  <c r="Z389" i="2" s="1"/>
  <c r="Z388" i="2" a="1"/>
  <c r="Z388" i="2" s="1"/>
  <c r="Z387" i="2" a="1"/>
  <c r="Z387" i="2" s="1"/>
  <c r="Z386" i="2" a="1"/>
  <c r="Z386" i="2" s="1"/>
  <c r="Z385" i="2" a="1"/>
  <c r="Z385" i="2" s="1"/>
  <c r="Z384" i="2" a="1"/>
  <c r="Z384" i="2" s="1"/>
  <c r="Z383" i="2" a="1"/>
  <c r="Z383" i="2" s="1"/>
  <c r="Z382" i="2" a="1"/>
  <c r="Z382" i="2" s="1"/>
  <c r="Z381" i="2" a="1"/>
  <c r="Z381" i="2" s="1"/>
  <c r="Z380" i="2" a="1"/>
  <c r="Z380" i="2" s="1"/>
  <c r="Z379" i="2" a="1"/>
  <c r="Z379" i="2" s="1"/>
  <c r="Z378" i="2" a="1"/>
  <c r="Z378" i="2" s="1"/>
  <c r="Z377" i="2" a="1"/>
  <c r="Z377" i="2" s="1"/>
  <c r="Z376" i="2" a="1"/>
  <c r="Z376" i="2" s="1"/>
  <c r="Z375" i="2" a="1"/>
  <c r="Z375" i="2" s="1"/>
  <c r="Z374" i="2" a="1"/>
  <c r="Z374" i="2" s="1"/>
  <c r="Z373" i="2" a="1"/>
  <c r="Z373" i="2" s="1"/>
  <c r="Z372" i="2" a="1"/>
  <c r="Z372" i="2" s="1"/>
  <c r="Z371" i="2" a="1"/>
  <c r="Z371" i="2" s="1"/>
  <c r="Z370" i="2" a="1"/>
  <c r="Z370" i="2" s="1"/>
  <c r="Z369" i="2" a="1"/>
  <c r="Z369" i="2" s="1"/>
  <c r="Z368" i="2" a="1"/>
  <c r="Z368" i="2" s="1"/>
  <c r="Z367" i="2" a="1"/>
  <c r="Z367" i="2" s="1"/>
  <c r="Z366" i="2" a="1"/>
  <c r="Z366" i="2" s="1"/>
  <c r="Z365" i="2" a="1"/>
  <c r="Z365" i="2" s="1"/>
  <c r="Z364" i="2" a="1"/>
  <c r="Z364" i="2" s="1"/>
  <c r="Z363" i="2" a="1"/>
  <c r="Z363" i="2" s="1"/>
  <c r="Z362" i="2" a="1"/>
  <c r="Z362" i="2" s="1"/>
  <c r="Z361" i="2" a="1"/>
  <c r="Z361" i="2" s="1"/>
  <c r="Z360" i="2" a="1"/>
  <c r="Z360" i="2" s="1"/>
  <c r="Z359" i="2" a="1"/>
  <c r="Z359" i="2" s="1"/>
  <c r="Z358" i="2" a="1"/>
  <c r="Z358" i="2" s="1"/>
  <c r="Z357" i="2" a="1"/>
  <c r="Z357" i="2" s="1"/>
  <c r="Z356" i="2" a="1"/>
  <c r="Z356" i="2" s="1"/>
  <c r="Z355" i="2" a="1"/>
  <c r="Z355" i="2" s="1"/>
  <c r="Z354" i="2" a="1"/>
  <c r="Z354" i="2" s="1"/>
  <c r="Z353" i="2" a="1"/>
  <c r="Z353" i="2" s="1"/>
  <c r="Z352" i="2" a="1"/>
  <c r="Z352" i="2" s="1"/>
  <c r="Z351" i="2" a="1"/>
  <c r="Z351" i="2" s="1"/>
  <c r="Z350" i="2" a="1"/>
  <c r="Z350" i="2" s="1"/>
  <c r="Z349" i="2" a="1"/>
  <c r="Z349" i="2" s="1"/>
  <c r="Z348" i="2" a="1"/>
  <c r="Z348" i="2" s="1"/>
  <c r="Z347" i="2" a="1"/>
  <c r="Z347" i="2" s="1"/>
  <c r="Z346" i="2" a="1"/>
  <c r="Z346" i="2" s="1"/>
  <c r="Z345" i="2" a="1"/>
  <c r="Z345" i="2" s="1"/>
  <c r="Z344" i="2" a="1"/>
  <c r="Z344" i="2" s="1"/>
  <c r="Z343" i="2" a="1"/>
  <c r="Z343" i="2" s="1"/>
  <c r="Z342" i="2" a="1"/>
  <c r="Z342" i="2" s="1"/>
  <c r="Z341" i="2" a="1"/>
  <c r="Z341" i="2" s="1"/>
  <c r="Z340" i="2" a="1"/>
  <c r="Z340" i="2" s="1"/>
  <c r="Z339" i="2" a="1"/>
  <c r="Z339" i="2" s="1"/>
  <c r="Z338" i="2" a="1"/>
  <c r="Z338" i="2" s="1"/>
  <c r="Z337" i="2" a="1"/>
  <c r="Z337" i="2" s="1"/>
  <c r="Z336" i="2" a="1"/>
  <c r="Z336" i="2" s="1"/>
  <c r="Z335" i="2" a="1"/>
  <c r="Z335" i="2" s="1"/>
  <c r="Z334" i="2" a="1"/>
  <c r="Z334" i="2" s="1"/>
  <c r="Z333" i="2" a="1"/>
  <c r="Z333" i="2" s="1"/>
  <c r="Z332" i="2" a="1"/>
  <c r="Z332" i="2" s="1"/>
  <c r="Z331" i="2" a="1"/>
  <c r="Z331" i="2" s="1"/>
  <c r="Z330" i="2" a="1"/>
  <c r="Z330" i="2" s="1"/>
  <c r="Z329" i="2" a="1"/>
  <c r="Z329" i="2" s="1"/>
  <c r="Z328" i="2" a="1"/>
  <c r="Z328" i="2" s="1"/>
  <c r="Z327" i="2" a="1"/>
  <c r="Z327" i="2" s="1"/>
  <c r="Z326" i="2" a="1"/>
  <c r="Z326" i="2" s="1"/>
  <c r="Z325" i="2" a="1"/>
  <c r="Z325" i="2" s="1"/>
  <c r="Z324" i="2" a="1"/>
  <c r="Z324" i="2" s="1"/>
  <c r="Z323" i="2" a="1"/>
  <c r="Z323" i="2" s="1"/>
  <c r="Z322" i="2" a="1"/>
  <c r="Z322" i="2" s="1"/>
  <c r="Z321" i="2" a="1"/>
  <c r="Z321" i="2" s="1"/>
  <c r="Z320" i="2" a="1"/>
  <c r="Z320" i="2" s="1"/>
  <c r="Z319" i="2" a="1"/>
  <c r="Z319" i="2" s="1"/>
  <c r="Z318" i="2" a="1"/>
  <c r="Z318" i="2" s="1"/>
  <c r="Z317" i="2" a="1"/>
  <c r="Z317" i="2" s="1"/>
  <c r="Z316" i="2" a="1"/>
  <c r="Z316" i="2" s="1"/>
  <c r="Z315" i="2" a="1"/>
  <c r="Z315" i="2" s="1"/>
  <c r="Z314" i="2" a="1"/>
  <c r="Z314" i="2" s="1"/>
  <c r="Z313" i="2" a="1"/>
  <c r="Z313" i="2" s="1"/>
  <c r="Z312" i="2" a="1"/>
  <c r="Z312" i="2" s="1"/>
  <c r="Z311" i="2" a="1"/>
  <c r="Z311" i="2" s="1"/>
  <c r="Z310" i="2" a="1"/>
  <c r="Z310" i="2" s="1"/>
  <c r="Z309" i="2" a="1"/>
  <c r="Z309" i="2" s="1"/>
  <c r="Z308" i="2" a="1"/>
  <c r="Z308" i="2" s="1"/>
  <c r="Z307" i="2" a="1"/>
  <c r="Z307" i="2" s="1"/>
  <c r="Z306" i="2" a="1"/>
  <c r="Z306" i="2" s="1"/>
  <c r="Z305" i="2" a="1"/>
  <c r="Z305" i="2" s="1"/>
  <c r="Z304" i="2" a="1"/>
  <c r="Z304" i="2" s="1"/>
  <c r="Z303" i="2" a="1"/>
  <c r="Z303" i="2" s="1"/>
  <c r="Z302" i="2" a="1"/>
  <c r="Z302" i="2" s="1"/>
  <c r="Z301" i="2" a="1"/>
  <c r="Z301" i="2" s="1"/>
  <c r="Z300" i="2" a="1"/>
  <c r="Z300" i="2" s="1"/>
  <c r="Z299" i="2" a="1"/>
  <c r="Z299" i="2" s="1"/>
  <c r="Z298" i="2" a="1"/>
  <c r="Z298" i="2" s="1"/>
  <c r="Z297" i="2" a="1"/>
  <c r="Z297" i="2" s="1"/>
  <c r="Z296" i="2" a="1"/>
  <c r="Z296" i="2" s="1"/>
  <c r="Z295" i="2" a="1"/>
  <c r="Z295" i="2" s="1"/>
  <c r="Z294" i="2" a="1"/>
  <c r="Z294" i="2" s="1"/>
  <c r="Z293" i="2" a="1"/>
  <c r="Z293" i="2" s="1"/>
  <c r="Z292" i="2" a="1"/>
  <c r="Z292" i="2" s="1"/>
  <c r="Z291" i="2" a="1"/>
  <c r="Z291" i="2" s="1"/>
  <c r="Z290" i="2" a="1"/>
  <c r="Z290" i="2" s="1"/>
  <c r="Z289" i="2" a="1"/>
  <c r="Z289" i="2" s="1"/>
  <c r="Z288" i="2" a="1"/>
  <c r="Z288" i="2" s="1"/>
  <c r="Z287" i="2" a="1"/>
  <c r="Z287" i="2" s="1"/>
  <c r="Z286" i="2" a="1"/>
  <c r="Z286" i="2" s="1"/>
  <c r="Z285" i="2" a="1"/>
  <c r="Z285" i="2" s="1"/>
  <c r="Z284" i="2" a="1"/>
  <c r="Z284" i="2" s="1"/>
  <c r="Z283" i="2" a="1"/>
  <c r="Z283" i="2" s="1"/>
  <c r="Z282" i="2" a="1"/>
  <c r="Z282" i="2" s="1"/>
  <c r="Z281" i="2" a="1"/>
  <c r="Z281" i="2" s="1"/>
  <c r="Z280" i="2" a="1"/>
  <c r="Z280" i="2" s="1"/>
  <c r="Z279" i="2" a="1"/>
  <c r="Z279" i="2" s="1"/>
  <c r="Z278" i="2" a="1"/>
  <c r="Z278" i="2" s="1"/>
  <c r="Z277" i="2" a="1"/>
  <c r="Z277" i="2" s="1"/>
  <c r="Z276" i="2" a="1"/>
  <c r="Z276" i="2" s="1"/>
  <c r="Z275" i="2" a="1"/>
  <c r="Z275" i="2" s="1"/>
  <c r="Z274" i="2" a="1"/>
  <c r="Z274" i="2" s="1"/>
  <c r="Z273" i="2" a="1"/>
  <c r="Z273" i="2" s="1"/>
  <c r="Z272" i="2" a="1"/>
  <c r="Z272" i="2" s="1"/>
  <c r="Z271" i="2" a="1"/>
  <c r="Z271" i="2" s="1"/>
  <c r="Z270" i="2" a="1"/>
  <c r="Z270" i="2" s="1"/>
  <c r="Z269" i="2" a="1"/>
  <c r="Z269" i="2" s="1"/>
  <c r="Z268" i="2" a="1"/>
  <c r="Z268" i="2" s="1"/>
  <c r="Z267" i="2" a="1"/>
  <c r="Z267" i="2" s="1"/>
  <c r="Z266" i="2" a="1"/>
  <c r="Z266" i="2" s="1"/>
  <c r="Z265" i="2" a="1"/>
  <c r="Z265" i="2" s="1"/>
  <c r="Z264" i="2" a="1"/>
  <c r="Z264" i="2" s="1"/>
  <c r="Z263" i="2" a="1"/>
  <c r="Z263" i="2" s="1"/>
  <c r="Z262" i="2" a="1"/>
  <c r="Z262" i="2" s="1"/>
  <c r="Z261" i="2" a="1"/>
  <c r="Z261" i="2" s="1"/>
  <c r="Z260" i="2" a="1"/>
  <c r="Z260" i="2" s="1"/>
  <c r="Z259" i="2" a="1"/>
  <c r="Z259" i="2" s="1"/>
  <c r="Z258" i="2" a="1"/>
  <c r="Z258" i="2" s="1"/>
  <c r="Z257" i="2" a="1"/>
  <c r="Z257" i="2" s="1"/>
  <c r="Z256" i="2" a="1"/>
  <c r="Z256" i="2" s="1"/>
  <c r="Z255" i="2" a="1"/>
  <c r="Z255" i="2" s="1"/>
  <c r="Z254" i="2" a="1"/>
  <c r="Z254" i="2" s="1"/>
  <c r="Z253" i="2" a="1"/>
  <c r="Z253" i="2" s="1"/>
  <c r="Z252" i="2" a="1"/>
  <c r="Z252" i="2" s="1"/>
  <c r="Z251" i="2" a="1"/>
  <c r="Z251" i="2" s="1"/>
  <c r="Z250" i="2" a="1"/>
  <c r="Z250" i="2" s="1"/>
  <c r="Z249" i="2" a="1"/>
  <c r="Z249" i="2" s="1"/>
  <c r="Z248" i="2" a="1"/>
  <c r="Z248" i="2" s="1"/>
  <c r="Z247" i="2" a="1"/>
  <c r="Z247" i="2" s="1"/>
  <c r="Z246" i="2" a="1"/>
  <c r="Z246" i="2" s="1"/>
  <c r="Z245" i="2" a="1"/>
  <c r="Z245" i="2" s="1"/>
  <c r="Z244" i="2" a="1"/>
  <c r="Z244" i="2" s="1"/>
  <c r="Z243" i="2" a="1"/>
  <c r="Z243" i="2" s="1"/>
  <c r="Z242" i="2" a="1"/>
  <c r="Z242" i="2" s="1"/>
  <c r="Z241" i="2" a="1"/>
  <c r="Z241" i="2" s="1"/>
  <c r="Z240" i="2" a="1"/>
  <c r="Z240" i="2" s="1"/>
  <c r="Z239" i="2" a="1"/>
  <c r="Z239" i="2" s="1"/>
  <c r="Z238" i="2" a="1"/>
  <c r="Z238" i="2" s="1"/>
  <c r="Z237" i="2" a="1"/>
  <c r="Z237" i="2" s="1"/>
  <c r="Z236" i="2" a="1"/>
  <c r="Z236" i="2" s="1"/>
  <c r="Z235" i="2" a="1"/>
  <c r="Z235" i="2" s="1"/>
  <c r="Z234" i="2" a="1"/>
  <c r="Z234" i="2" s="1"/>
  <c r="Z233" i="2" a="1"/>
  <c r="Z233" i="2" s="1"/>
  <c r="Z232" i="2" a="1"/>
  <c r="Z232" i="2" s="1"/>
  <c r="Z231" i="2" a="1"/>
  <c r="Z231" i="2" s="1"/>
  <c r="Z230" i="2" a="1"/>
  <c r="Z230" i="2" s="1"/>
  <c r="Z229" i="2" a="1"/>
  <c r="Z229" i="2" s="1"/>
  <c r="Z228" i="2" a="1"/>
  <c r="Z228" i="2" s="1"/>
  <c r="Z227" i="2" a="1"/>
  <c r="Z227" i="2" s="1"/>
  <c r="Z226" i="2" a="1"/>
  <c r="Z226" i="2" s="1"/>
  <c r="Z225" i="2" a="1"/>
  <c r="Z225" i="2" s="1"/>
  <c r="Z224" i="2" a="1"/>
  <c r="Z224" i="2" s="1"/>
  <c r="Z223" i="2" a="1"/>
  <c r="Z223" i="2" s="1"/>
  <c r="Z222" i="2" a="1"/>
  <c r="Z222" i="2" s="1"/>
  <c r="Z221" i="2" a="1"/>
  <c r="Z221" i="2" s="1"/>
  <c r="Z220" i="2" a="1"/>
  <c r="Z220" i="2" s="1"/>
  <c r="Z219" i="2" a="1"/>
  <c r="Z219" i="2" s="1"/>
  <c r="Z218" i="2" a="1"/>
  <c r="Z218" i="2" s="1"/>
  <c r="Z217" i="2" a="1"/>
  <c r="Z217" i="2" s="1"/>
  <c r="Z216" i="2" a="1"/>
  <c r="Z216" i="2" s="1"/>
  <c r="Z215" i="2" a="1"/>
  <c r="Z215" i="2" s="1"/>
  <c r="Z214" i="2" a="1"/>
  <c r="Z214" i="2" s="1"/>
  <c r="Z213" i="2" a="1"/>
  <c r="Z213" i="2" s="1"/>
  <c r="Z212" i="2" a="1"/>
  <c r="Z212" i="2" s="1"/>
  <c r="Z211" i="2" a="1"/>
  <c r="Z211" i="2" s="1"/>
  <c r="Z210" i="2" a="1"/>
  <c r="Z210" i="2" s="1"/>
  <c r="Z209" i="2" a="1"/>
  <c r="Z209" i="2" s="1"/>
  <c r="Z208" i="2" a="1"/>
  <c r="Z208" i="2" s="1"/>
  <c r="Z207" i="2" a="1"/>
  <c r="Z207" i="2" s="1"/>
  <c r="Z206" i="2" a="1"/>
  <c r="Z206" i="2" s="1"/>
  <c r="Z205" i="2" a="1"/>
  <c r="Z205" i="2" s="1"/>
  <c r="Z204" i="2" a="1"/>
  <c r="Z204" i="2" s="1"/>
  <c r="Z203" i="2" a="1"/>
  <c r="Z203" i="2" s="1"/>
  <c r="Z202" i="2" a="1"/>
  <c r="Z202" i="2" s="1"/>
  <c r="Z201" i="2" a="1"/>
  <c r="Z201" i="2" s="1"/>
  <c r="Z200" i="2" a="1"/>
  <c r="Z200" i="2" s="1"/>
  <c r="Z199" i="2" a="1"/>
  <c r="Z199" i="2" s="1"/>
  <c r="Z198" i="2" a="1"/>
  <c r="Z198" i="2" s="1"/>
  <c r="Z197" i="2" a="1"/>
  <c r="Z197" i="2" s="1"/>
  <c r="Z196" i="2" a="1"/>
  <c r="Z196" i="2" s="1"/>
  <c r="Z195" i="2" a="1"/>
  <c r="Z195" i="2" s="1"/>
  <c r="Z194" i="2" a="1"/>
  <c r="Z194" i="2" s="1"/>
  <c r="Z193" i="2" a="1"/>
  <c r="Z193" i="2" s="1"/>
  <c r="Z192" i="2" a="1"/>
  <c r="Z192" i="2" s="1"/>
  <c r="Z191" i="2" a="1"/>
  <c r="Z191" i="2" s="1"/>
  <c r="Z190" i="2" a="1"/>
  <c r="Z190" i="2" s="1"/>
  <c r="Z189" i="2" a="1"/>
  <c r="Z189" i="2" s="1"/>
  <c r="Z188" i="2" a="1"/>
  <c r="Z188" i="2" s="1"/>
  <c r="Z187" i="2" a="1"/>
  <c r="Z187" i="2" s="1"/>
  <c r="Z186" i="2" a="1"/>
  <c r="Z186" i="2" s="1"/>
  <c r="Z185" i="2" a="1"/>
  <c r="Z185" i="2" s="1"/>
  <c r="Z184" i="2" a="1"/>
  <c r="Z184" i="2" s="1"/>
  <c r="Z183" i="2" a="1"/>
  <c r="Z183" i="2" s="1"/>
  <c r="Z182" i="2" a="1"/>
  <c r="Z182" i="2" s="1"/>
  <c r="Z181" i="2" a="1"/>
  <c r="Z181" i="2" s="1"/>
  <c r="Z180" i="2" a="1"/>
  <c r="Z180" i="2" s="1"/>
  <c r="Z179" i="2" a="1"/>
  <c r="Z179" i="2" s="1"/>
  <c r="Z178" i="2" a="1"/>
  <c r="Z178" i="2" s="1"/>
  <c r="Z177" i="2" a="1"/>
  <c r="Z177" i="2" s="1"/>
  <c r="Z176" i="2" a="1"/>
  <c r="Z176" i="2" s="1"/>
  <c r="Z175" i="2" a="1"/>
  <c r="Z175" i="2" s="1"/>
  <c r="Z174" i="2" a="1"/>
  <c r="Z174" i="2" s="1"/>
  <c r="Z173" i="2" a="1"/>
  <c r="Z173" i="2" s="1"/>
  <c r="Z172" i="2" a="1"/>
  <c r="Z172" i="2" s="1"/>
  <c r="Z171" i="2" a="1"/>
  <c r="Z171" i="2" s="1"/>
  <c r="Z170" i="2" a="1"/>
  <c r="Z170" i="2" s="1"/>
  <c r="Z169" i="2" a="1"/>
  <c r="Z169" i="2" s="1"/>
  <c r="Z168" i="2" a="1"/>
  <c r="Z168" i="2" s="1"/>
  <c r="Z167" i="2" a="1"/>
  <c r="Z167" i="2" s="1"/>
  <c r="Z166" i="2" a="1"/>
  <c r="Z166" i="2" s="1"/>
  <c r="Z165" i="2" a="1"/>
  <c r="Z165" i="2" s="1"/>
  <c r="Z164" i="2" a="1"/>
  <c r="Z164" i="2" s="1"/>
  <c r="Z163" i="2" a="1"/>
  <c r="Z163" i="2" s="1"/>
  <c r="Z162" i="2" a="1"/>
  <c r="Z162" i="2" s="1"/>
  <c r="Z161" i="2" a="1"/>
  <c r="Z161" i="2" s="1"/>
  <c r="Z160" i="2" a="1"/>
  <c r="Z160" i="2" s="1"/>
  <c r="Z159" i="2" a="1"/>
  <c r="Z159" i="2" s="1"/>
  <c r="Z158" i="2" a="1"/>
  <c r="Z158" i="2" s="1"/>
  <c r="Z157" i="2" a="1"/>
  <c r="Z157" i="2" s="1"/>
  <c r="Z156" i="2" a="1"/>
  <c r="Z156" i="2" s="1"/>
  <c r="Z155" i="2" a="1"/>
  <c r="Z155" i="2" s="1"/>
  <c r="Z154" i="2" a="1"/>
  <c r="Z154" i="2" s="1"/>
  <c r="Z153" i="2" a="1"/>
  <c r="Z153" i="2" s="1"/>
  <c r="Z152" i="2" a="1"/>
  <c r="Z152" i="2" s="1"/>
  <c r="Z151" i="2" a="1"/>
  <c r="Z151" i="2" s="1"/>
  <c r="Z150" i="2" a="1"/>
  <c r="Z150" i="2" s="1"/>
  <c r="Z149" i="2" a="1"/>
  <c r="Z149" i="2" s="1"/>
  <c r="Z148" i="2" a="1"/>
  <c r="Z148" i="2" s="1"/>
  <c r="Z147" i="2" a="1"/>
  <c r="Z147" i="2" s="1"/>
  <c r="Z146" i="2" a="1"/>
  <c r="Z146" i="2" s="1"/>
  <c r="Z145" i="2" a="1"/>
  <c r="Z145" i="2" s="1"/>
  <c r="Z144" i="2" a="1"/>
  <c r="Z144" i="2" s="1"/>
  <c r="Z143" i="2" a="1"/>
  <c r="Z143" i="2" s="1"/>
  <c r="Z142" i="2" a="1"/>
  <c r="Z142" i="2" s="1"/>
  <c r="Z141" i="2" a="1"/>
  <c r="Z141" i="2" s="1"/>
  <c r="Z140" i="2" a="1"/>
  <c r="Z140" i="2" s="1"/>
  <c r="Z139" i="2" a="1"/>
  <c r="Z139" i="2" s="1"/>
  <c r="Z138" i="2" a="1"/>
  <c r="Z138" i="2" s="1"/>
  <c r="Z137" i="2" a="1"/>
  <c r="Z137" i="2" s="1"/>
  <c r="Z136" i="2" a="1"/>
  <c r="Z136" i="2" s="1"/>
  <c r="Z135" i="2" a="1"/>
  <c r="Z135" i="2" s="1"/>
  <c r="Z134" i="2" a="1"/>
  <c r="Z134" i="2" s="1"/>
  <c r="Z133" i="2" a="1"/>
  <c r="Z133" i="2" s="1"/>
  <c r="Z132" i="2" a="1"/>
  <c r="Z132" i="2" s="1"/>
  <c r="Z131" i="2" a="1"/>
  <c r="Z131" i="2" s="1"/>
  <c r="Z130" i="2" a="1"/>
  <c r="Z130" i="2" s="1"/>
  <c r="Z129" i="2" a="1"/>
  <c r="Z129" i="2" s="1"/>
  <c r="Z128" i="2" a="1"/>
  <c r="Z128" i="2" s="1"/>
  <c r="Z127" i="2" a="1"/>
  <c r="Z127" i="2" s="1"/>
  <c r="Z126" i="2" a="1"/>
  <c r="Z126" i="2" s="1"/>
  <c r="Z125" i="2" a="1"/>
  <c r="Z125" i="2" s="1"/>
  <c r="Z124" i="2" a="1"/>
  <c r="Z124" i="2" s="1"/>
  <c r="Z123" i="2" a="1"/>
  <c r="Z123" i="2" s="1"/>
  <c r="Z122" i="2" a="1"/>
  <c r="Z122" i="2" s="1"/>
  <c r="Z121" i="2" a="1"/>
  <c r="Z121" i="2" s="1"/>
  <c r="Z120" i="2" a="1"/>
  <c r="Z120" i="2" s="1"/>
  <c r="Z119" i="2" a="1"/>
  <c r="Z119" i="2" s="1"/>
  <c r="Z118" i="2" a="1"/>
  <c r="Z118" i="2" s="1"/>
  <c r="Z117" i="2" a="1"/>
  <c r="Z117" i="2" s="1"/>
  <c r="Z116" i="2" a="1"/>
  <c r="Z116" i="2" s="1"/>
  <c r="Z115" i="2" a="1"/>
  <c r="Z115" i="2" s="1"/>
  <c r="Z114" i="2" a="1"/>
  <c r="Z114" i="2" s="1"/>
  <c r="Z113" i="2" a="1"/>
  <c r="Z113" i="2" s="1"/>
  <c r="Z112" i="2" a="1"/>
  <c r="Z112" i="2" s="1"/>
  <c r="Z111" i="2" a="1"/>
  <c r="Z111" i="2" s="1"/>
  <c r="Z110" i="2" a="1"/>
  <c r="Z110" i="2" s="1"/>
  <c r="Z109" i="2" a="1"/>
  <c r="Z109" i="2" s="1"/>
  <c r="Z108" i="2" a="1"/>
  <c r="Z108" i="2" s="1"/>
  <c r="Z107" i="2" a="1"/>
  <c r="Z107" i="2" s="1"/>
  <c r="Z106" i="2" a="1"/>
  <c r="Z106" i="2" s="1"/>
  <c r="Z105" i="2" a="1"/>
  <c r="Z105" i="2" s="1"/>
  <c r="Z104" i="2" a="1"/>
  <c r="Z104" i="2" s="1"/>
  <c r="Z103" i="2" a="1"/>
  <c r="Z103" i="2" s="1"/>
  <c r="Z102" i="2" a="1"/>
  <c r="Z102" i="2" s="1"/>
  <c r="Z101" i="2" a="1"/>
  <c r="Z101" i="2" s="1"/>
  <c r="Z100" i="2" a="1"/>
  <c r="Z100" i="2" s="1"/>
  <c r="Z99" i="2" a="1"/>
  <c r="Z99" i="2" s="1"/>
  <c r="Z98" i="2" a="1"/>
  <c r="Z98" i="2" s="1"/>
  <c r="Z97" i="2" a="1"/>
  <c r="Z97" i="2" s="1"/>
  <c r="Z96" i="2" a="1"/>
  <c r="Z96" i="2" s="1"/>
  <c r="Z95" i="2" a="1"/>
  <c r="Z95" i="2" s="1"/>
  <c r="Z94" i="2" a="1"/>
  <c r="Z94" i="2" s="1"/>
  <c r="Z93" i="2" a="1"/>
  <c r="Z93" i="2" s="1"/>
  <c r="Z92" i="2" a="1"/>
  <c r="Z92" i="2" s="1"/>
  <c r="Z91" i="2" a="1"/>
  <c r="Z91" i="2" s="1"/>
  <c r="Z90" i="2" a="1"/>
  <c r="Z90" i="2" s="1"/>
  <c r="Z89" i="2" a="1"/>
  <c r="Z89" i="2" s="1"/>
  <c r="Z88" i="2" a="1"/>
  <c r="Z88" i="2" s="1"/>
  <c r="Z87" i="2" a="1"/>
  <c r="Z87" i="2" s="1"/>
  <c r="Z86" i="2" a="1"/>
  <c r="Z86" i="2" s="1"/>
  <c r="Z85" i="2" a="1"/>
  <c r="Z85" i="2" s="1"/>
  <c r="Z84" i="2" a="1"/>
  <c r="Z84" i="2" s="1"/>
  <c r="Z83" i="2" a="1"/>
  <c r="Z83" i="2" s="1"/>
  <c r="Z82" i="2" a="1"/>
  <c r="Z82" i="2" s="1"/>
  <c r="Z81" i="2" a="1"/>
  <c r="Z81" i="2" s="1"/>
  <c r="Z80" i="2" a="1"/>
  <c r="Z80" i="2" s="1"/>
  <c r="Z79" i="2" a="1"/>
  <c r="Z79" i="2" s="1"/>
  <c r="Z78" i="2" a="1"/>
  <c r="Z78" i="2" s="1"/>
  <c r="Z77" i="2" a="1"/>
  <c r="Z77" i="2" s="1"/>
  <c r="Z76" i="2" a="1"/>
  <c r="Z76" i="2" s="1"/>
  <c r="Z75" i="2" a="1"/>
  <c r="Z75" i="2" s="1"/>
  <c r="Z74" i="2" a="1"/>
  <c r="Z74" i="2" s="1"/>
  <c r="Z73" i="2" a="1"/>
  <c r="Z73" i="2" s="1"/>
  <c r="Z72" i="2" a="1"/>
  <c r="Z72" i="2" s="1"/>
  <c r="Z71" i="2" a="1"/>
  <c r="Z71" i="2" s="1"/>
  <c r="Z70" i="2" a="1"/>
  <c r="Z70" i="2" s="1"/>
  <c r="Z69" i="2" a="1"/>
  <c r="Z69" i="2" s="1"/>
  <c r="Z68" i="2" a="1"/>
  <c r="Z68" i="2" s="1"/>
  <c r="Z67" i="2" a="1"/>
  <c r="Z67" i="2" s="1"/>
  <c r="Z66" i="2" a="1"/>
  <c r="Z66" i="2" s="1"/>
  <c r="Z65" i="2" a="1"/>
  <c r="Z65" i="2" s="1"/>
  <c r="Z64" i="2" a="1"/>
  <c r="Z64" i="2" s="1"/>
  <c r="Z63" i="2" a="1"/>
  <c r="Z63" i="2" s="1"/>
  <c r="Z62" i="2" a="1"/>
  <c r="Z62" i="2" s="1"/>
  <c r="Z61" i="2" a="1"/>
  <c r="Z61" i="2" s="1"/>
  <c r="Z60" i="2" a="1"/>
  <c r="Z60" i="2" s="1"/>
  <c r="Z59" i="2" a="1"/>
  <c r="Z59" i="2" s="1"/>
  <c r="Z58" i="2" a="1"/>
  <c r="Z58" i="2" s="1"/>
  <c r="Z57" i="2" a="1"/>
  <c r="Z57" i="2" s="1"/>
  <c r="Z56" i="2" a="1"/>
  <c r="Z56" i="2" s="1"/>
  <c r="Z55" i="2" a="1"/>
  <c r="Z55" i="2" s="1"/>
  <c r="Z54" i="2" a="1"/>
  <c r="Z54" i="2" s="1"/>
  <c r="Z53" i="2" a="1"/>
  <c r="Z53" i="2" s="1"/>
  <c r="Z52" i="2" a="1"/>
  <c r="Z52" i="2" s="1"/>
  <c r="Z51" i="2" a="1"/>
  <c r="Z51" i="2" s="1"/>
  <c r="Z50" i="2" a="1"/>
  <c r="Z50" i="2" s="1"/>
  <c r="Z49" i="2" a="1"/>
  <c r="Z49" i="2" s="1"/>
  <c r="Z48" i="2" a="1"/>
  <c r="Z48" i="2" s="1"/>
  <c r="Z47" i="2" a="1"/>
  <c r="Z47" i="2" s="1"/>
  <c r="Z46" i="2" a="1"/>
  <c r="Z46" i="2" s="1"/>
  <c r="Z45" i="2" a="1"/>
  <c r="Z45" i="2" s="1"/>
  <c r="Z44" i="2" a="1"/>
  <c r="Z44" i="2" s="1"/>
  <c r="Z43" i="2" a="1"/>
  <c r="Z43" i="2" s="1"/>
  <c r="Z42" i="2" a="1"/>
  <c r="Z42" i="2" s="1"/>
  <c r="Z41" i="2" a="1"/>
  <c r="Z41" i="2" s="1"/>
  <c r="Z40" i="2" a="1"/>
  <c r="Z40" i="2" s="1"/>
  <c r="Z39" i="2" a="1"/>
  <c r="Z39" i="2" s="1"/>
  <c r="Z38" i="2" a="1"/>
  <c r="Z38" i="2" s="1"/>
  <c r="Z37" i="2" a="1"/>
  <c r="Z37" i="2" s="1"/>
  <c r="Z36" i="2" a="1"/>
  <c r="Z36" i="2" s="1"/>
  <c r="Z35" i="2" a="1"/>
  <c r="Z35" i="2" s="1"/>
  <c r="Z34" i="2" a="1"/>
  <c r="Z34" i="2" s="1"/>
  <c r="Z33" i="2" a="1"/>
  <c r="Z33" i="2" s="1"/>
  <c r="Z32" i="2" a="1"/>
  <c r="Z32" i="2" s="1"/>
  <c r="Z31" i="2" a="1"/>
  <c r="Z31" i="2" s="1"/>
  <c r="Z30" i="2" a="1"/>
  <c r="Z30" i="2" s="1"/>
  <c r="Z29" i="2" a="1"/>
  <c r="Z29" i="2" s="1"/>
  <c r="Z28" i="2" a="1"/>
  <c r="Z28" i="2" s="1"/>
  <c r="Z27" i="2" a="1"/>
  <c r="Z27" i="2" s="1"/>
  <c r="Z26" i="2" a="1"/>
  <c r="Z26" i="2" s="1"/>
  <c r="Z25" i="2" a="1"/>
  <c r="Z25" i="2" s="1"/>
  <c r="Z24" i="2" a="1"/>
  <c r="Z24" i="2" s="1"/>
  <c r="Z23" i="2" a="1"/>
  <c r="Z23" i="2" s="1"/>
  <c r="Z22" i="2" a="1"/>
  <c r="Z22" i="2" s="1"/>
  <c r="Z21" i="2" a="1"/>
  <c r="Z21" i="2" s="1"/>
  <c r="Z20" i="2" a="1"/>
  <c r="Z20" i="2" s="1"/>
  <c r="Z19" i="2" a="1"/>
  <c r="Z19" i="2" s="1"/>
  <c r="Z18" i="2" a="1"/>
  <c r="Z18" i="2" s="1"/>
  <c r="Z17" i="2" a="1"/>
  <c r="Z17" i="2" s="1"/>
  <c r="Z16" i="2" a="1"/>
  <c r="Z16" i="2" s="1"/>
  <c r="Z15" i="2" a="1"/>
  <c r="Z15" i="2" s="1"/>
  <c r="Z14" i="2" a="1"/>
  <c r="Z14" i="2" s="1"/>
  <c r="Z13" i="2" a="1"/>
  <c r="Z13" i="2" s="1"/>
  <c r="Z12" i="2" a="1"/>
  <c r="Z12" i="2" s="1"/>
  <c r="Z11" i="2" a="1"/>
  <c r="Z11" i="2" s="1"/>
  <c r="Z10" i="2" a="1"/>
  <c r="Z10" i="2" s="1"/>
  <c r="Z9" i="2" a="1"/>
  <c r="Z9" i="2" s="1"/>
  <c r="Z8" i="2" a="1"/>
  <c r="Z8" i="2" s="1"/>
  <c r="Z7" i="2" a="1"/>
  <c r="Z7" i="2" s="1"/>
  <c r="Z6" i="2" a="1"/>
  <c r="Z6" i="2" s="1"/>
  <c r="Z5" i="2" a="1"/>
  <c r="Z5" i="2" s="1"/>
  <c r="Z4" i="2" a="1"/>
  <c r="Z4" i="2" s="1"/>
  <c r="Z3" i="2" a="1"/>
  <c r="Z3" i="2" s="1"/>
  <c r="Z2" i="2" a="1"/>
  <c r="Z2" i="2" s="1"/>
  <c r="Q362" i="3"/>
  <c r="P362" i="3"/>
  <c r="C390" i="3"/>
  <c r="B390" i="3"/>
  <c r="AB24" i="2" l="1"/>
  <c r="AC24" i="2" s="1"/>
  <c r="AD24" i="2" s="1"/>
  <c r="AB37" i="2"/>
  <c r="AC37" i="2" s="1"/>
  <c r="AD37" i="2" s="1"/>
  <c r="AB42" i="2"/>
  <c r="AC42" i="2" s="1"/>
  <c r="AD42" i="2" s="1"/>
  <c r="AB294" i="2"/>
  <c r="AC294" i="2" s="1"/>
  <c r="AD294" i="2" s="1"/>
  <c r="AB170" i="2"/>
  <c r="AC170" i="2" s="1"/>
  <c r="AD170" i="2" s="1"/>
  <c r="AB92" i="2"/>
  <c r="AC92" i="2" s="1"/>
  <c r="AD92" i="2" s="1"/>
  <c r="AB258" i="2"/>
  <c r="AC258" i="2" s="1"/>
  <c r="AD258" i="2" s="1"/>
  <c r="AB168" i="2"/>
  <c r="AC168" i="2" s="1"/>
  <c r="AD168" i="2" s="1"/>
  <c r="AB464" i="2"/>
  <c r="AC464" i="2" s="1"/>
  <c r="AD464" i="2" s="1"/>
  <c r="AB384" i="2"/>
  <c r="AC384" i="2" s="1"/>
  <c r="AD384" i="2" s="1"/>
  <c r="AB312" i="2"/>
  <c r="AC312" i="2" s="1"/>
  <c r="AD312" i="2" s="1"/>
  <c r="AB222" i="2"/>
  <c r="AC222" i="2" s="1"/>
  <c r="AD222" i="2" s="1"/>
  <c r="AB428" i="2"/>
  <c r="AC428" i="2" s="1"/>
  <c r="AD428" i="2" s="1"/>
  <c r="AB392" i="2"/>
  <c r="AC392" i="2" s="1"/>
  <c r="AD392" i="2" s="1"/>
  <c r="AB276" i="2"/>
  <c r="AC276" i="2" s="1"/>
  <c r="AD276" i="2" s="1"/>
  <c r="AB186" i="2"/>
  <c r="AC186" i="2" s="1"/>
  <c r="AD186" i="2" s="1"/>
  <c r="AB446" i="2"/>
  <c r="AC446" i="2" s="1"/>
  <c r="AD446" i="2" s="1"/>
  <c r="AB240" i="2"/>
  <c r="AC240" i="2" s="1"/>
  <c r="AD240" i="2" s="1"/>
  <c r="AB21" i="2"/>
  <c r="AC21" i="2" s="1"/>
  <c r="AD21" i="2" s="1"/>
  <c r="AB36" i="2"/>
  <c r="AC36" i="2" s="1"/>
  <c r="AD36" i="2" s="1"/>
  <c r="AB41" i="2"/>
  <c r="AC41" i="2" s="1"/>
  <c r="AD41" i="2" s="1"/>
  <c r="AB122" i="2"/>
  <c r="AC122" i="2" s="1"/>
  <c r="AD122" i="2" s="1"/>
  <c r="AB110" i="2"/>
  <c r="AC110" i="2" s="1"/>
  <c r="AD110" i="2" s="1"/>
  <c r="AB71" i="2"/>
  <c r="AC71" i="2" s="1"/>
  <c r="AD71" i="2" s="1"/>
  <c r="AB95" i="2"/>
  <c r="AC95" i="2" s="1"/>
  <c r="AD95" i="2" s="1"/>
  <c r="AB30" i="2"/>
  <c r="AC30" i="2" s="1"/>
  <c r="AD30" i="2" s="1"/>
  <c r="AB124" i="2"/>
  <c r="AC124" i="2" s="1"/>
  <c r="AD124" i="2" s="1"/>
  <c r="AB96" i="2"/>
  <c r="AC96" i="2" s="1"/>
  <c r="AD96" i="2" s="1"/>
  <c r="AB86" i="2"/>
  <c r="AC86" i="2" s="1"/>
  <c r="AD86" i="2" s="1"/>
  <c r="AB167" i="2"/>
  <c r="AC167" i="2" s="1"/>
  <c r="AD167" i="2" s="1"/>
  <c r="AB27" i="2"/>
  <c r="AC27" i="2" s="1"/>
  <c r="AD27" i="2" s="1"/>
  <c r="AB50" i="2"/>
  <c r="AC50" i="2" s="1"/>
  <c r="AD50" i="2" s="1"/>
  <c r="AB81" i="2"/>
  <c r="AC81" i="2" s="1"/>
  <c r="AD81" i="2" s="1"/>
  <c r="AB89" i="2"/>
  <c r="AC89" i="2" s="1"/>
  <c r="AD89" i="2" s="1"/>
  <c r="AB107" i="2"/>
  <c r="AC107" i="2" s="1"/>
  <c r="AD107" i="2" s="1"/>
  <c r="AB127" i="2"/>
  <c r="AC127" i="2" s="1"/>
  <c r="AD127" i="2" s="1"/>
  <c r="AB164" i="2"/>
  <c r="AC164" i="2" s="1"/>
  <c r="AD164" i="2" s="1"/>
  <c r="AB173" i="2"/>
  <c r="AC173" i="2" s="1"/>
  <c r="AD173" i="2" s="1"/>
  <c r="AB182" i="2"/>
  <c r="AC182" i="2" s="1"/>
  <c r="AD182" i="2" s="1"/>
  <c r="AB195" i="2"/>
  <c r="AC195" i="2" s="1"/>
  <c r="AD195" i="2" s="1"/>
  <c r="AB206" i="2"/>
  <c r="AC206" i="2" s="1"/>
  <c r="AD206" i="2" s="1"/>
  <c r="AB235" i="2"/>
  <c r="AC235" i="2" s="1"/>
  <c r="AD235" i="2" s="1"/>
  <c r="AB260" i="2"/>
  <c r="AC260" i="2" s="1"/>
  <c r="AD260" i="2" s="1"/>
  <c r="AB289" i="2"/>
  <c r="AC289" i="2" s="1"/>
  <c r="AD289" i="2" s="1"/>
  <c r="AB298" i="2"/>
  <c r="AC298" i="2" s="1"/>
  <c r="AD298" i="2" s="1"/>
  <c r="AB309" i="2"/>
  <c r="AC309" i="2" s="1"/>
  <c r="AD309" i="2" s="1"/>
  <c r="AB319" i="2"/>
  <c r="AC319" i="2" s="1"/>
  <c r="AD319" i="2" s="1"/>
  <c r="AB376" i="2"/>
  <c r="AC376" i="2" s="1"/>
  <c r="AD376" i="2" s="1"/>
  <c r="AB386" i="2"/>
  <c r="AC386" i="2" s="1"/>
  <c r="AD386" i="2" s="1"/>
  <c r="AB395" i="2"/>
  <c r="AC395" i="2" s="1"/>
  <c r="AD395" i="2" s="1"/>
  <c r="AB405" i="2"/>
  <c r="AC405" i="2" s="1"/>
  <c r="AD405" i="2" s="1"/>
  <c r="AB460" i="2"/>
  <c r="AC460" i="2" s="1"/>
  <c r="AD460" i="2" s="1"/>
  <c r="AB468" i="2"/>
  <c r="AC468" i="2" s="1"/>
  <c r="AD468" i="2" s="1"/>
  <c r="AB20" i="2"/>
  <c r="AC20" i="2" s="1"/>
  <c r="AD20" i="2" s="1"/>
  <c r="AB65" i="2"/>
  <c r="AC65" i="2" s="1"/>
  <c r="AD65" i="2" s="1"/>
  <c r="AB82" i="2"/>
  <c r="AC82" i="2" s="1"/>
  <c r="AD82" i="2" s="1"/>
  <c r="AB90" i="2"/>
  <c r="AC90" i="2" s="1"/>
  <c r="AD90" i="2" s="1"/>
  <c r="AB99" i="2"/>
  <c r="AC99" i="2" s="1"/>
  <c r="AD99" i="2" s="1"/>
  <c r="AB108" i="2"/>
  <c r="AC108" i="2" s="1"/>
  <c r="AD108" i="2" s="1"/>
  <c r="AB118" i="2"/>
  <c r="AC118" i="2" s="1"/>
  <c r="AD118" i="2" s="1"/>
  <c r="AB154" i="2"/>
  <c r="AC154" i="2" s="1"/>
  <c r="AD154" i="2" s="1"/>
  <c r="AB165" i="2"/>
  <c r="AC165" i="2" s="1"/>
  <c r="AD165" i="2" s="1"/>
  <c r="AB174" i="2"/>
  <c r="AC174" i="2" s="1"/>
  <c r="AD174" i="2" s="1"/>
  <c r="AB184" i="2"/>
  <c r="AC184" i="2" s="1"/>
  <c r="AD184" i="2" s="1"/>
  <c r="AB196" i="2"/>
  <c r="AC196" i="2" s="1"/>
  <c r="AD196" i="2" s="1"/>
  <c r="AB207" i="2"/>
  <c r="AC207" i="2" s="1"/>
  <c r="AD207" i="2" s="1"/>
  <c r="AB216" i="2"/>
  <c r="AC216" i="2" s="1"/>
  <c r="AD216" i="2" s="1"/>
  <c r="AB236" i="2"/>
  <c r="AC236" i="2" s="1"/>
  <c r="AD236" i="2" s="1"/>
  <c r="AB250" i="2"/>
  <c r="AC250" i="2" s="1"/>
  <c r="AD250" i="2" s="1"/>
  <c r="AB261" i="2"/>
  <c r="AC261" i="2" s="1"/>
  <c r="AD261" i="2" s="1"/>
  <c r="AB271" i="2"/>
  <c r="AC271" i="2" s="1"/>
  <c r="AD271" i="2" s="1"/>
  <c r="AB280" i="2"/>
  <c r="AC280" i="2" s="1"/>
  <c r="AD280" i="2" s="1"/>
  <c r="AB290" i="2"/>
  <c r="AC290" i="2" s="1"/>
  <c r="AD290" i="2" s="1"/>
  <c r="AB299" i="2"/>
  <c r="AC299" i="2" s="1"/>
  <c r="AD299" i="2" s="1"/>
  <c r="AB310" i="2"/>
  <c r="AC310" i="2" s="1"/>
  <c r="AD310" i="2" s="1"/>
  <c r="AB387" i="2"/>
  <c r="AC387" i="2" s="1"/>
  <c r="AD387" i="2" s="1"/>
  <c r="AB396" i="2"/>
  <c r="AC396" i="2" s="1"/>
  <c r="AD396" i="2" s="1"/>
  <c r="AB406" i="2"/>
  <c r="AC406" i="2" s="1"/>
  <c r="AD406" i="2" s="1"/>
  <c r="AB415" i="2"/>
  <c r="AC415" i="2" s="1"/>
  <c r="AD415" i="2" s="1"/>
  <c r="AB425" i="2"/>
  <c r="AC425" i="2" s="1"/>
  <c r="AD425" i="2" s="1"/>
  <c r="AB435" i="2"/>
  <c r="AC435" i="2" s="1"/>
  <c r="AD435" i="2" s="1"/>
  <c r="AB443" i="2"/>
  <c r="AC443" i="2" s="1"/>
  <c r="AD443" i="2" s="1"/>
  <c r="AB451" i="2"/>
  <c r="AC451" i="2" s="1"/>
  <c r="AD451" i="2" s="1"/>
  <c r="AB461" i="2"/>
  <c r="AC461" i="2" s="1"/>
  <c r="AD461" i="2" s="1"/>
  <c r="AB469" i="2"/>
  <c r="AC469" i="2" s="1"/>
  <c r="AD469" i="2" s="1"/>
  <c r="AB29" i="2"/>
  <c r="AC29" i="2" s="1"/>
  <c r="AD29" i="2" s="1"/>
  <c r="AB55" i="2"/>
  <c r="AC55" i="2" s="1"/>
  <c r="AD55" i="2" s="1"/>
  <c r="AB66" i="2"/>
  <c r="AC66" i="2" s="1"/>
  <c r="AD66" i="2" s="1"/>
  <c r="AB91" i="2"/>
  <c r="AC91" i="2" s="1"/>
  <c r="AD91" i="2" s="1"/>
  <c r="AB100" i="2"/>
  <c r="AC100" i="2" s="1"/>
  <c r="AD100" i="2" s="1"/>
  <c r="AB120" i="2"/>
  <c r="AC120" i="2" s="1"/>
  <c r="AD120" i="2" s="1"/>
  <c r="AB129" i="2"/>
  <c r="AC129" i="2" s="1"/>
  <c r="AD129" i="2" s="1"/>
  <c r="AB155" i="2"/>
  <c r="AC155" i="2" s="1"/>
  <c r="AD155" i="2" s="1"/>
  <c r="AB166" i="2"/>
  <c r="AC166" i="2" s="1"/>
  <c r="AD166" i="2" s="1"/>
  <c r="AB175" i="2"/>
  <c r="AC175" i="2" s="1"/>
  <c r="AD175" i="2" s="1"/>
  <c r="AB185" i="2"/>
  <c r="AC185" i="2" s="1"/>
  <c r="AD185" i="2" s="1"/>
  <c r="AB197" i="2"/>
  <c r="AC197" i="2" s="1"/>
  <c r="AD197" i="2" s="1"/>
  <c r="AB225" i="2"/>
  <c r="AC225" i="2" s="1"/>
  <c r="AD225" i="2" s="1"/>
  <c r="AB237" i="2"/>
  <c r="AC237" i="2" s="1"/>
  <c r="AD237" i="2" s="1"/>
  <c r="AB251" i="2"/>
  <c r="AC251" i="2" s="1"/>
  <c r="AD251" i="2" s="1"/>
  <c r="AB262" i="2"/>
  <c r="AC262" i="2" s="1"/>
  <c r="AD262" i="2" s="1"/>
  <c r="AB281" i="2"/>
  <c r="AC281" i="2" s="1"/>
  <c r="AD281" i="2" s="1"/>
  <c r="AB291" i="2"/>
  <c r="AC291" i="2" s="1"/>
  <c r="AD291" i="2" s="1"/>
  <c r="AB300" i="2"/>
  <c r="AC300" i="2" s="1"/>
  <c r="AD300" i="2" s="1"/>
  <c r="AB311" i="2"/>
  <c r="AC311" i="2" s="1"/>
  <c r="AD311" i="2" s="1"/>
  <c r="AB367" i="2"/>
  <c r="AC367" i="2" s="1"/>
  <c r="AD367" i="2" s="1"/>
  <c r="AB377" i="2"/>
  <c r="AC377" i="2" s="1"/>
  <c r="AD377" i="2" s="1"/>
  <c r="AB388" i="2"/>
  <c r="AC388" i="2" s="1"/>
  <c r="AD388" i="2" s="1"/>
  <c r="AB397" i="2"/>
  <c r="AC397" i="2" s="1"/>
  <c r="AD397" i="2" s="1"/>
  <c r="AB416" i="2"/>
  <c r="AC416" i="2" s="1"/>
  <c r="AD416" i="2" s="1"/>
  <c r="AB426" i="2"/>
  <c r="AC426" i="2" s="1"/>
  <c r="AD426" i="2" s="1"/>
  <c r="AB436" i="2"/>
  <c r="AC436" i="2" s="1"/>
  <c r="AD436" i="2" s="1"/>
  <c r="AB444" i="2"/>
  <c r="AC444" i="2" s="1"/>
  <c r="AD444" i="2" s="1"/>
  <c r="AB452" i="2"/>
  <c r="AC452" i="2" s="1"/>
  <c r="AD452" i="2" s="1"/>
  <c r="AB470" i="2"/>
  <c r="AC470" i="2" s="1"/>
  <c r="AD470" i="2" s="1"/>
  <c r="AB83" i="2"/>
  <c r="AC83" i="2" s="1"/>
  <c r="AD83" i="2" s="1"/>
  <c r="AB121" i="2"/>
  <c r="AC121" i="2" s="1"/>
  <c r="AD121" i="2" s="1"/>
  <c r="AB130" i="2"/>
  <c r="AC130" i="2" s="1"/>
  <c r="AD130" i="2" s="1"/>
  <c r="AB156" i="2"/>
  <c r="AC156" i="2" s="1"/>
  <c r="AD156" i="2" s="1"/>
  <c r="AB176" i="2"/>
  <c r="AC176" i="2" s="1"/>
  <c r="AD176" i="2" s="1"/>
  <c r="AB208" i="2"/>
  <c r="AC208" i="2" s="1"/>
  <c r="AD208" i="2" s="1"/>
  <c r="AB217" i="2"/>
  <c r="AC217" i="2" s="1"/>
  <c r="AD217" i="2" s="1"/>
  <c r="AB226" i="2"/>
  <c r="AC226" i="2" s="1"/>
  <c r="AD226" i="2" s="1"/>
  <c r="AB239" i="2"/>
  <c r="AC239" i="2" s="1"/>
  <c r="AD239" i="2" s="1"/>
  <c r="AB252" i="2"/>
  <c r="AC252" i="2" s="1"/>
  <c r="AD252" i="2" s="1"/>
  <c r="AB263" i="2"/>
  <c r="AC263" i="2" s="1"/>
  <c r="AD263" i="2" s="1"/>
  <c r="AB272" i="2"/>
  <c r="AC272" i="2" s="1"/>
  <c r="AD272" i="2" s="1"/>
  <c r="AB292" i="2"/>
  <c r="AC292" i="2" s="1"/>
  <c r="AD292" i="2" s="1"/>
  <c r="AB301" i="2"/>
  <c r="AC301" i="2" s="1"/>
  <c r="AD301" i="2" s="1"/>
  <c r="AB368" i="2"/>
  <c r="AC368" i="2" s="1"/>
  <c r="AD368" i="2" s="1"/>
  <c r="AB378" i="2"/>
  <c r="AC378" i="2" s="1"/>
  <c r="AD378" i="2" s="1"/>
  <c r="AB389" i="2"/>
  <c r="AC389" i="2" s="1"/>
  <c r="AD389" i="2" s="1"/>
  <c r="AB398" i="2"/>
  <c r="AC398" i="2" s="1"/>
  <c r="AD398" i="2" s="1"/>
  <c r="AB407" i="2"/>
  <c r="AC407" i="2" s="1"/>
  <c r="AD407" i="2" s="1"/>
  <c r="AB427" i="2"/>
  <c r="AC427" i="2" s="1"/>
  <c r="AD427" i="2" s="1"/>
  <c r="AB437" i="2"/>
  <c r="AC437" i="2" s="1"/>
  <c r="AD437" i="2" s="1"/>
  <c r="AB445" i="2"/>
  <c r="AC445" i="2" s="1"/>
  <c r="AD445" i="2" s="1"/>
  <c r="AB453" i="2"/>
  <c r="AC453" i="2" s="1"/>
  <c r="AD453" i="2" s="1"/>
  <c r="AB462" i="2"/>
  <c r="AC462" i="2" s="1"/>
  <c r="AD462" i="2" s="1"/>
  <c r="AB22" i="2"/>
  <c r="AC22" i="2" s="1"/>
  <c r="AD22" i="2" s="1"/>
  <c r="AB39" i="2"/>
  <c r="AC39" i="2" s="1"/>
  <c r="AD39" i="2" s="1"/>
  <c r="AB57" i="2"/>
  <c r="AC57" i="2" s="1"/>
  <c r="AD57" i="2" s="1"/>
  <c r="AB67" i="2"/>
  <c r="AC67" i="2" s="1"/>
  <c r="AD67" i="2" s="1"/>
  <c r="AB84" i="2"/>
  <c r="AC84" i="2" s="1"/>
  <c r="AD84" i="2" s="1"/>
  <c r="AB102" i="2"/>
  <c r="AC102" i="2" s="1"/>
  <c r="AD102" i="2" s="1"/>
  <c r="AB112" i="2"/>
  <c r="AC112" i="2" s="1"/>
  <c r="AD112" i="2" s="1"/>
  <c r="AB133" i="2"/>
  <c r="AC133" i="2" s="1"/>
  <c r="AD133" i="2" s="1"/>
  <c r="AB157" i="2"/>
  <c r="AC157" i="2" s="1"/>
  <c r="AD157" i="2" s="1"/>
  <c r="AB177" i="2"/>
  <c r="AC177" i="2" s="1"/>
  <c r="AD177" i="2" s="1"/>
  <c r="AB209" i="2"/>
  <c r="AC209" i="2" s="1"/>
  <c r="AD209" i="2" s="1"/>
  <c r="AB218" i="2"/>
  <c r="AC218" i="2" s="1"/>
  <c r="AD218" i="2" s="1"/>
  <c r="AB253" i="2"/>
  <c r="AC253" i="2" s="1"/>
  <c r="AD253" i="2" s="1"/>
  <c r="AB273" i="2"/>
  <c r="AC273" i="2" s="1"/>
  <c r="AD273" i="2" s="1"/>
  <c r="AB282" i="2"/>
  <c r="AC282" i="2" s="1"/>
  <c r="AD282" i="2" s="1"/>
  <c r="AB293" i="2"/>
  <c r="AC293" i="2" s="1"/>
  <c r="AD293" i="2" s="1"/>
  <c r="AB302" i="2"/>
  <c r="AC302" i="2" s="1"/>
  <c r="AD302" i="2" s="1"/>
  <c r="AB379" i="2"/>
  <c r="AC379" i="2" s="1"/>
  <c r="AD379" i="2" s="1"/>
  <c r="AB408" i="2"/>
  <c r="AC408" i="2" s="1"/>
  <c r="AD408" i="2" s="1"/>
  <c r="AB417" i="2"/>
  <c r="AC417" i="2" s="1"/>
  <c r="AD417" i="2" s="1"/>
  <c r="AB454" i="2"/>
  <c r="AC454" i="2" s="1"/>
  <c r="AD454" i="2" s="1"/>
  <c r="AB15" i="2"/>
  <c r="AC15" i="2" s="1"/>
  <c r="AD15" i="2" s="1"/>
  <c r="AB23" i="2"/>
  <c r="AC23" i="2" s="1"/>
  <c r="AD23" i="2" s="1"/>
  <c r="AB31" i="2"/>
  <c r="AC31" i="2" s="1"/>
  <c r="AD31" i="2" s="1"/>
  <c r="AB40" i="2"/>
  <c r="AC40" i="2" s="1"/>
  <c r="AD40" i="2" s="1"/>
  <c r="AB58" i="2"/>
  <c r="AC58" i="2" s="1"/>
  <c r="AD58" i="2" s="1"/>
  <c r="AB85" i="2"/>
  <c r="AC85" i="2" s="1"/>
  <c r="AD85" i="2" s="1"/>
  <c r="AB113" i="2"/>
  <c r="AC113" i="2" s="1"/>
  <c r="AD113" i="2" s="1"/>
  <c r="AB136" i="2"/>
  <c r="AC136" i="2" s="1"/>
  <c r="AD136" i="2" s="1"/>
  <c r="AB160" i="2"/>
  <c r="AC160" i="2" s="1"/>
  <c r="AD160" i="2" s="1"/>
  <c r="AB169" i="2"/>
  <c r="AC169" i="2" s="1"/>
  <c r="AD169" i="2" s="1"/>
  <c r="AB199" i="2"/>
  <c r="AC199" i="2" s="1"/>
  <c r="AD199" i="2" s="1"/>
  <c r="AB228" i="2"/>
  <c r="AC228" i="2" s="1"/>
  <c r="AD228" i="2" s="1"/>
  <c r="AB244" i="2"/>
  <c r="AC244" i="2" s="1"/>
  <c r="AD244" i="2" s="1"/>
  <c r="AB254" i="2"/>
  <c r="AC254" i="2" s="1"/>
  <c r="AD254" i="2" s="1"/>
  <c r="AB264" i="2"/>
  <c r="AC264" i="2" s="1"/>
  <c r="AD264" i="2" s="1"/>
  <c r="AB283" i="2"/>
  <c r="AC283" i="2" s="1"/>
  <c r="AD283" i="2" s="1"/>
  <c r="AB303" i="2"/>
  <c r="AC303" i="2" s="1"/>
  <c r="AD303" i="2" s="1"/>
  <c r="AB313" i="2"/>
  <c r="AC313" i="2" s="1"/>
  <c r="AD313" i="2" s="1"/>
  <c r="AB369" i="2"/>
  <c r="AC369" i="2" s="1"/>
  <c r="AD369" i="2" s="1"/>
  <c r="AB380" i="2"/>
  <c r="AC380" i="2" s="1"/>
  <c r="AD380" i="2" s="1"/>
  <c r="AB390" i="2"/>
  <c r="AC390" i="2" s="1"/>
  <c r="AD390" i="2" s="1"/>
  <c r="AB399" i="2"/>
  <c r="AC399" i="2" s="1"/>
  <c r="AD399" i="2" s="1"/>
  <c r="AB409" i="2"/>
  <c r="AC409" i="2" s="1"/>
  <c r="AD409" i="2" s="1"/>
  <c r="AB418" i="2"/>
  <c r="AC418" i="2" s="1"/>
  <c r="AD418" i="2" s="1"/>
  <c r="AB429" i="2"/>
  <c r="AC429" i="2" s="1"/>
  <c r="AD429" i="2" s="1"/>
  <c r="AB438" i="2"/>
  <c r="AC438" i="2" s="1"/>
  <c r="AD438" i="2" s="1"/>
  <c r="AB463" i="2"/>
  <c r="AC463" i="2" s="1"/>
  <c r="AD463" i="2" s="1"/>
  <c r="AB471" i="2"/>
  <c r="AC471" i="2" s="1"/>
  <c r="AD471" i="2" s="1"/>
  <c r="AB80" i="2"/>
  <c r="AC80" i="2" s="1"/>
  <c r="AD80" i="2" s="1"/>
  <c r="AB32" i="2"/>
  <c r="AC32" i="2" s="1"/>
  <c r="AD32" i="2" s="1"/>
  <c r="AB61" i="2"/>
  <c r="AC61" i="2" s="1"/>
  <c r="AD61" i="2" s="1"/>
  <c r="AB70" i="2"/>
  <c r="AC70" i="2" s="1"/>
  <c r="AD70" i="2" s="1"/>
  <c r="AB93" i="2"/>
  <c r="AC93" i="2" s="1"/>
  <c r="AD93" i="2" s="1"/>
  <c r="AB103" i="2"/>
  <c r="AC103" i="2" s="1"/>
  <c r="AD103" i="2" s="1"/>
  <c r="AB114" i="2"/>
  <c r="AC114" i="2" s="1"/>
  <c r="AD114" i="2" s="1"/>
  <c r="AB138" i="2"/>
  <c r="AC138" i="2" s="1"/>
  <c r="AD138" i="2" s="1"/>
  <c r="AB178" i="2"/>
  <c r="AC178" i="2" s="1"/>
  <c r="AD178" i="2" s="1"/>
  <c r="AB190" i="2"/>
  <c r="AC190" i="2" s="1"/>
  <c r="AD190" i="2" s="1"/>
  <c r="AB200" i="2"/>
  <c r="AC200" i="2" s="1"/>
  <c r="AD200" i="2" s="1"/>
  <c r="AB219" i="2"/>
  <c r="AC219" i="2" s="1"/>
  <c r="AD219" i="2" s="1"/>
  <c r="AB229" i="2"/>
  <c r="AC229" i="2" s="1"/>
  <c r="AD229" i="2" s="1"/>
  <c r="AB245" i="2"/>
  <c r="AC245" i="2" s="1"/>
  <c r="AD245" i="2" s="1"/>
  <c r="AB255" i="2"/>
  <c r="AC255" i="2" s="1"/>
  <c r="AD255" i="2" s="1"/>
  <c r="AB265" i="2"/>
  <c r="AC265" i="2" s="1"/>
  <c r="AD265" i="2" s="1"/>
  <c r="AB274" i="2"/>
  <c r="AC274" i="2" s="1"/>
  <c r="AD274" i="2" s="1"/>
  <c r="AB284" i="2"/>
  <c r="AC284" i="2" s="1"/>
  <c r="AD284" i="2" s="1"/>
  <c r="AB304" i="2"/>
  <c r="AC304" i="2" s="1"/>
  <c r="AD304" i="2" s="1"/>
  <c r="AB314" i="2"/>
  <c r="AC314" i="2" s="1"/>
  <c r="AD314" i="2" s="1"/>
  <c r="AB370" i="2"/>
  <c r="AC370" i="2" s="1"/>
  <c r="AD370" i="2" s="1"/>
  <c r="AB381" i="2"/>
  <c r="AC381" i="2" s="1"/>
  <c r="AD381" i="2" s="1"/>
  <c r="AB400" i="2"/>
  <c r="AC400" i="2" s="1"/>
  <c r="AD400" i="2" s="1"/>
  <c r="AB410" i="2"/>
  <c r="AC410" i="2" s="1"/>
  <c r="AD410" i="2" s="1"/>
  <c r="AB419" i="2"/>
  <c r="AC419" i="2" s="1"/>
  <c r="AD419" i="2" s="1"/>
  <c r="AB430" i="2"/>
  <c r="AC430" i="2" s="1"/>
  <c r="AD430" i="2" s="1"/>
  <c r="AB455" i="2"/>
  <c r="AC455" i="2" s="1"/>
  <c r="AD455" i="2" s="1"/>
  <c r="AB472" i="2"/>
  <c r="AC472" i="2" s="1"/>
  <c r="AD472" i="2" s="1"/>
  <c r="AB16" i="2"/>
  <c r="AC16" i="2" s="1"/>
  <c r="AD16" i="2" s="1"/>
  <c r="AB94" i="2"/>
  <c r="AC94" i="2" s="1"/>
  <c r="AD94" i="2" s="1"/>
  <c r="AB104" i="2"/>
  <c r="AC104" i="2" s="1"/>
  <c r="AD104" i="2" s="1"/>
  <c r="AB115" i="2"/>
  <c r="AC115" i="2" s="1"/>
  <c r="AD115" i="2" s="1"/>
  <c r="AB123" i="2"/>
  <c r="AC123" i="2" s="1"/>
  <c r="AD123" i="2" s="1"/>
  <c r="AB139" i="2"/>
  <c r="AC139" i="2" s="1"/>
  <c r="AD139" i="2" s="1"/>
  <c r="AB161" i="2"/>
  <c r="AC161" i="2" s="1"/>
  <c r="AD161" i="2" s="1"/>
  <c r="AB179" i="2"/>
  <c r="AC179" i="2" s="1"/>
  <c r="AD179" i="2" s="1"/>
  <c r="AB191" i="2"/>
  <c r="AC191" i="2" s="1"/>
  <c r="AD191" i="2" s="1"/>
  <c r="AB210" i="2"/>
  <c r="AC210" i="2" s="1"/>
  <c r="AD210" i="2" s="1"/>
  <c r="AB220" i="2"/>
  <c r="AC220" i="2" s="1"/>
  <c r="AD220" i="2" s="1"/>
  <c r="AB230" i="2"/>
  <c r="AC230" i="2" s="1"/>
  <c r="AD230" i="2" s="1"/>
  <c r="AB256" i="2"/>
  <c r="AC256" i="2" s="1"/>
  <c r="AD256" i="2" s="1"/>
  <c r="AB266" i="2"/>
  <c r="AC266" i="2" s="1"/>
  <c r="AD266" i="2" s="1"/>
  <c r="AB275" i="2"/>
  <c r="AC275" i="2" s="1"/>
  <c r="AD275" i="2" s="1"/>
  <c r="AB285" i="2"/>
  <c r="AC285" i="2" s="1"/>
  <c r="AD285" i="2" s="1"/>
  <c r="AB295" i="2"/>
  <c r="AC295" i="2" s="1"/>
  <c r="AD295" i="2" s="1"/>
  <c r="AB305" i="2"/>
  <c r="AC305" i="2" s="1"/>
  <c r="AD305" i="2" s="1"/>
  <c r="AB315" i="2"/>
  <c r="AC315" i="2" s="1"/>
  <c r="AD315" i="2" s="1"/>
  <c r="AB371" i="2"/>
  <c r="AC371" i="2" s="1"/>
  <c r="AD371" i="2" s="1"/>
  <c r="AB382" i="2"/>
  <c r="AC382" i="2" s="1"/>
  <c r="AD382" i="2" s="1"/>
  <c r="AB391" i="2"/>
  <c r="AC391" i="2" s="1"/>
  <c r="AD391" i="2" s="1"/>
  <c r="AB411" i="2"/>
  <c r="AC411" i="2" s="1"/>
  <c r="AD411" i="2" s="1"/>
  <c r="AB420" i="2"/>
  <c r="AC420" i="2" s="1"/>
  <c r="AD420" i="2" s="1"/>
  <c r="AB439" i="2"/>
  <c r="AC439" i="2" s="1"/>
  <c r="AD439" i="2" s="1"/>
  <c r="AB447" i="2"/>
  <c r="AC447" i="2" s="1"/>
  <c r="AD447" i="2" s="1"/>
  <c r="AB456" i="2"/>
  <c r="AC456" i="2" s="1"/>
  <c r="AD456" i="2" s="1"/>
  <c r="AB33" i="2"/>
  <c r="AC33" i="2" s="1"/>
  <c r="AD33" i="2" s="1"/>
  <c r="AB72" i="2"/>
  <c r="AC72" i="2" s="1"/>
  <c r="AD72" i="2" s="1"/>
  <c r="AB87" i="2"/>
  <c r="AC87" i="2" s="1"/>
  <c r="AD87" i="2" s="1"/>
  <c r="AB105" i="2"/>
  <c r="AC105" i="2" s="1"/>
  <c r="AD105" i="2" s="1"/>
  <c r="AB116" i="2"/>
  <c r="AC116" i="2" s="1"/>
  <c r="AD116" i="2" s="1"/>
  <c r="AB201" i="2"/>
  <c r="AC201" i="2" s="1"/>
  <c r="AD201" i="2" s="1"/>
  <c r="AB211" i="2"/>
  <c r="AC211" i="2" s="1"/>
  <c r="AD211" i="2" s="1"/>
  <c r="AB221" i="2"/>
  <c r="AC221" i="2" s="1"/>
  <c r="AD221" i="2" s="1"/>
  <c r="AB231" i="2"/>
  <c r="AC231" i="2" s="1"/>
  <c r="AD231" i="2" s="1"/>
  <c r="AB246" i="2"/>
  <c r="AC246" i="2" s="1"/>
  <c r="AD246" i="2" s="1"/>
  <c r="AB257" i="2"/>
  <c r="AC257" i="2" s="1"/>
  <c r="AD257" i="2" s="1"/>
  <c r="AB267" i="2"/>
  <c r="AC267" i="2" s="1"/>
  <c r="AD267" i="2" s="1"/>
  <c r="AB286" i="2"/>
  <c r="AC286" i="2" s="1"/>
  <c r="AD286" i="2" s="1"/>
  <c r="AB316" i="2"/>
  <c r="AC316" i="2" s="1"/>
  <c r="AD316" i="2" s="1"/>
  <c r="AB372" i="2"/>
  <c r="AC372" i="2" s="1"/>
  <c r="AD372" i="2" s="1"/>
  <c r="AB401" i="2"/>
  <c r="AC401" i="2" s="1"/>
  <c r="AD401" i="2" s="1"/>
  <c r="AB412" i="2"/>
  <c r="AC412" i="2" s="1"/>
  <c r="AD412" i="2" s="1"/>
  <c r="AB421" i="2"/>
  <c r="AC421" i="2" s="1"/>
  <c r="AD421" i="2" s="1"/>
  <c r="AB431" i="2"/>
  <c r="AC431" i="2" s="1"/>
  <c r="AD431" i="2" s="1"/>
  <c r="AB440" i="2"/>
  <c r="AC440" i="2" s="1"/>
  <c r="AD440" i="2" s="1"/>
  <c r="AB448" i="2"/>
  <c r="AC448" i="2" s="1"/>
  <c r="AD448" i="2" s="1"/>
  <c r="AB457" i="2"/>
  <c r="AC457" i="2" s="1"/>
  <c r="AD457" i="2" s="1"/>
  <c r="AB465" i="2"/>
  <c r="AC465" i="2" s="1"/>
  <c r="AD465" i="2" s="1"/>
  <c r="AB473" i="2"/>
  <c r="AC473" i="2" s="1"/>
  <c r="AD473" i="2" s="1"/>
  <c r="AB17" i="2"/>
  <c r="AC17" i="2" s="1"/>
  <c r="AD17" i="2" s="1"/>
  <c r="AB43" i="2"/>
  <c r="AC43" i="2" s="1"/>
  <c r="AD43" i="2" s="1"/>
  <c r="AB62" i="2"/>
  <c r="AC62" i="2" s="1"/>
  <c r="AD62" i="2" s="1"/>
  <c r="AB146" i="2"/>
  <c r="AC146" i="2" s="1"/>
  <c r="AD146" i="2" s="1"/>
  <c r="AB162" i="2"/>
  <c r="AC162" i="2" s="1"/>
  <c r="AD162" i="2" s="1"/>
  <c r="AB171" i="2"/>
  <c r="AC171" i="2" s="1"/>
  <c r="AD171" i="2" s="1"/>
  <c r="AB192" i="2"/>
  <c r="AC192" i="2" s="1"/>
  <c r="AD192" i="2" s="1"/>
  <c r="AB202" i="2"/>
  <c r="AC202" i="2" s="1"/>
  <c r="AD202" i="2" s="1"/>
  <c r="AB212" i="2"/>
  <c r="AC212" i="2" s="1"/>
  <c r="AD212" i="2" s="1"/>
  <c r="AB232" i="2"/>
  <c r="AC232" i="2" s="1"/>
  <c r="AD232" i="2" s="1"/>
  <c r="AB268" i="2"/>
  <c r="AC268" i="2" s="1"/>
  <c r="AD268" i="2" s="1"/>
  <c r="AB277" i="2"/>
  <c r="AC277" i="2" s="1"/>
  <c r="AD277" i="2" s="1"/>
  <c r="AB287" i="2"/>
  <c r="AC287" i="2" s="1"/>
  <c r="AD287" i="2" s="1"/>
  <c r="AB296" i="2"/>
  <c r="AC296" i="2" s="1"/>
  <c r="AD296" i="2" s="1"/>
  <c r="AB306" i="2"/>
  <c r="AC306" i="2" s="1"/>
  <c r="AD306" i="2" s="1"/>
  <c r="AB317" i="2"/>
  <c r="AC317" i="2" s="1"/>
  <c r="AD317" i="2" s="1"/>
  <c r="AB373" i="2"/>
  <c r="AC373" i="2" s="1"/>
  <c r="AD373" i="2" s="1"/>
  <c r="AB383" i="2"/>
  <c r="AC383" i="2" s="1"/>
  <c r="AD383" i="2" s="1"/>
  <c r="AB402" i="2"/>
  <c r="AC402" i="2" s="1"/>
  <c r="AD402" i="2" s="1"/>
  <c r="AB413" i="2"/>
  <c r="AC413" i="2" s="1"/>
  <c r="AD413" i="2" s="1"/>
  <c r="AB422" i="2"/>
  <c r="AC422" i="2" s="1"/>
  <c r="AD422" i="2" s="1"/>
  <c r="AB432" i="2"/>
  <c r="AC432" i="2" s="1"/>
  <c r="AD432" i="2" s="1"/>
  <c r="AB458" i="2"/>
  <c r="AC458" i="2" s="1"/>
  <c r="AD458" i="2" s="1"/>
  <c r="AB466" i="2"/>
  <c r="AC466" i="2" s="1"/>
  <c r="AD466" i="2" s="1"/>
  <c r="AB474" i="2"/>
  <c r="AC474" i="2" s="1"/>
  <c r="AD474" i="2" s="1"/>
  <c r="AB18" i="2"/>
  <c r="AC18" i="2" s="1"/>
  <c r="AD18" i="2" s="1"/>
  <c r="AB25" i="2"/>
  <c r="AC25" i="2" s="1"/>
  <c r="AD25" i="2" s="1"/>
  <c r="AB34" i="2"/>
  <c r="AC34" i="2" s="1"/>
  <c r="AD34" i="2" s="1"/>
  <c r="AB44" i="2"/>
  <c r="AC44" i="2" s="1"/>
  <c r="AD44" i="2" s="1"/>
  <c r="AB63" i="2"/>
  <c r="AC63" i="2" s="1"/>
  <c r="AD63" i="2" s="1"/>
  <c r="AB79" i="2"/>
  <c r="AC79" i="2" s="1"/>
  <c r="AD79" i="2" s="1"/>
  <c r="AB88" i="2"/>
  <c r="AC88" i="2" s="1"/>
  <c r="AD88" i="2" s="1"/>
  <c r="AB97" i="2"/>
  <c r="AC97" i="2" s="1"/>
  <c r="AD97" i="2" s="1"/>
  <c r="AB125" i="2"/>
  <c r="AC125" i="2" s="1"/>
  <c r="AD125" i="2" s="1"/>
  <c r="AB153" i="2"/>
  <c r="AC153" i="2" s="1"/>
  <c r="AD153" i="2" s="1"/>
  <c r="AB163" i="2"/>
  <c r="AC163" i="2" s="1"/>
  <c r="AD163" i="2" s="1"/>
  <c r="AB180" i="2"/>
  <c r="AC180" i="2" s="1"/>
  <c r="AD180" i="2" s="1"/>
  <c r="AB193" i="2"/>
  <c r="AC193" i="2" s="1"/>
  <c r="AD193" i="2" s="1"/>
  <c r="AB203" i="2"/>
  <c r="AC203" i="2" s="1"/>
  <c r="AD203" i="2" s="1"/>
  <c r="AB213" i="2"/>
  <c r="AC213" i="2" s="1"/>
  <c r="AD213" i="2" s="1"/>
  <c r="AB223" i="2"/>
  <c r="AC223" i="2" s="1"/>
  <c r="AD223" i="2" s="1"/>
  <c r="AB233" i="2"/>
  <c r="AC233" i="2" s="1"/>
  <c r="AD233" i="2" s="1"/>
  <c r="AB248" i="2"/>
  <c r="AC248" i="2" s="1"/>
  <c r="AD248" i="2" s="1"/>
  <c r="AB269" i="2"/>
  <c r="AC269" i="2" s="1"/>
  <c r="AD269" i="2" s="1"/>
  <c r="AB278" i="2"/>
  <c r="AC278" i="2" s="1"/>
  <c r="AD278" i="2" s="1"/>
  <c r="AB297" i="2"/>
  <c r="AC297" i="2" s="1"/>
  <c r="AD297" i="2" s="1"/>
  <c r="AB307" i="2"/>
  <c r="AC307" i="2" s="1"/>
  <c r="AD307" i="2" s="1"/>
  <c r="AB318" i="2"/>
  <c r="AC318" i="2" s="1"/>
  <c r="AD318" i="2" s="1"/>
  <c r="AB374" i="2"/>
  <c r="AC374" i="2" s="1"/>
  <c r="AD374" i="2" s="1"/>
  <c r="AB393" i="2"/>
  <c r="AC393" i="2" s="1"/>
  <c r="AD393" i="2" s="1"/>
  <c r="AB403" i="2"/>
  <c r="AC403" i="2" s="1"/>
  <c r="AD403" i="2" s="1"/>
  <c r="AB423" i="2"/>
  <c r="AC423" i="2" s="1"/>
  <c r="AD423" i="2" s="1"/>
  <c r="AB433" i="2"/>
  <c r="AC433" i="2" s="1"/>
  <c r="AD433" i="2" s="1"/>
  <c r="AB441" i="2"/>
  <c r="AC441" i="2" s="1"/>
  <c r="AD441" i="2" s="1"/>
  <c r="AB449" i="2"/>
  <c r="AC449" i="2" s="1"/>
  <c r="AD449" i="2" s="1"/>
  <c r="AB19" i="2"/>
  <c r="AC19" i="2" s="1"/>
  <c r="AD19" i="2" s="1"/>
  <c r="AB26" i="2"/>
  <c r="AC26" i="2" s="1"/>
  <c r="AD26" i="2" s="1"/>
  <c r="AB35" i="2"/>
  <c r="AC35" i="2" s="1"/>
  <c r="AD35" i="2" s="1"/>
  <c r="AB45" i="2"/>
  <c r="AC45" i="2" s="1"/>
  <c r="AD45" i="2" s="1"/>
  <c r="AB64" i="2"/>
  <c r="AC64" i="2" s="1"/>
  <c r="AD64" i="2" s="1"/>
  <c r="AB98" i="2"/>
  <c r="AC98" i="2" s="1"/>
  <c r="AD98" i="2" s="1"/>
  <c r="AB106" i="2"/>
  <c r="AC106" i="2" s="1"/>
  <c r="AD106" i="2" s="1"/>
  <c r="AB117" i="2"/>
  <c r="AC117" i="2" s="1"/>
  <c r="AD117" i="2" s="1"/>
  <c r="AB126" i="2"/>
  <c r="AC126" i="2" s="1"/>
  <c r="AD126" i="2" s="1"/>
  <c r="AB172" i="2"/>
  <c r="AC172" i="2" s="1"/>
  <c r="AD172" i="2" s="1"/>
  <c r="AB181" i="2"/>
  <c r="AC181" i="2" s="1"/>
  <c r="AD181" i="2" s="1"/>
  <c r="AB194" i="2"/>
  <c r="AC194" i="2" s="1"/>
  <c r="AD194" i="2" s="1"/>
  <c r="AB205" i="2"/>
  <c r="AC205" i="2" s="1"/>
  <c r="AD205" i="2" s="1"/>
  <c r="AB214" i="2"/>
  <c r="AC214" i="2" s="1"/>
  <c r="AD214" i="2" s="1"/>
  <c r="AB224" i="2"/>
  <c r="AC224" i="2" s="1"/>
  <c r="AD224" i="2" s="1"/>
  <c r="AB249" i="2"/>
  <c r="AC249" i="2" s="1"/>
  <c r="AD249" i="2" s="1"/>
  <c r="AB259" i="2"/>
  <c r="AC259" i="2" s="1"/>
  <c r="AD259" i="2" s="1"/>
  <c r="AB270" i="2"/>
  <c r="AC270" i="2" s="1"/>
  <c r="AD270" i="2" s="1"/>
  <c r="AB279" i="2"/>
  <c r="AC279" i="2" s="1"/>
  <c r="AD279" i="2" s="1"/>
  <c r="AB288" i="2"/>
  <c r="AC288" i="2" s="1"/>
  <c r="AD288" i="2" s="1"/>
  <c r="AB308" i="2"/>
  <c r="AC308" i="2" s="1"/>
  <c r="AD308" i="2" s="1"/>
  <c r="AB375" i="2"/>
  <c r="AC375" i="2" s="1"/>
  <c r="AD375" i="2" s="1"/>
  <c r="AB385" i="2"/>
  <c r="AC385" i="2" s="1"/>
  <c r="AD385" i="2" s="1"/>
  <c r="AB394" i="2"/>
  <c r="AC394" i="2" s="1"/>
  <c r="AD394" i="2" s="1"/>
  <c r="AB404" i="2"/>
  <c r="AC404" i="2" s="1"/>
  <c r="AD404" i="2" s="1"/>
  <c r="AB414" i="2"/>
  <c r="AC414" i="2" s="1"/>
  <c r="AD414" i="2" s="1"/>
  <c r="AB424" i="2"/>
  <c r="AC424" i="2" s="1"/>
  <c r="AD424" i="2" s="1"/>
  <c r="AB434" i="2"/>
  <c r="AC434" i="2" s="1"/>
  <c r="AD434" i="2" s="1"/>
  <c r="AB442" i="2"/>
  <c r="AC442" i="2" s="1"/>
  <c r="AD442" i="2" s="1"/>
  <c r="AB450" i="2"/>
  <c r="AC450" i="2" s="1"/>
  <c r="AD450" i="2" s="1"/>
  <c r="AB459" i="2"/>
  <c r="AC459" i="2" s="1"/>
  <c r="AD459" i="2" s="1"/>
  <c r="AB467" i="2"/>
  <c r="AC467" i="2" s="1"/>
  <c r="AD467" i="2" s="1"/>
  <c r="AB475" i="2"/>
  <c r="AC475" i="2" s="1"/>
  <c r="AD475" i="2" s="1"/>
  <c r="AB14" i="2"/>
  <c r="AC14" i="2" s="1"/>
  <c r="AD14" i="2" s="1"/>
  <c r="D390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<sst xmlns="http://schemas.openxmlformats.org/spreadsheetml/2006/main" count="11299" uniqueCount="892">
  <si>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</si>
  <si>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</si>
  <si>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</si>
  <si>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</si>
  <si>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</si>
  <si>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</si>
  <si>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</si>
  <si>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</si>
  <si>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</si>
  <si>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</si>
  <si>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</si>
  <si>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</si>
  <si>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</si>
  <si>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</si>
  <si>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</si>
  <si>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</si>
  <si>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</si>
  <si>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</si>
  <si>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</si>
  <si>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</si>
  <si>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</si>
  <si>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</si>
  <si>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</si>
  <si>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</si>
  <si>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</si>
  <si>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</si>
  <si>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</si>
  <si>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</si>
  <si>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</si>
  <si>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</si>
  <si>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</si>
  <si>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</si>
  <si>
    <t>6779</t>
  </si>
  <si>
    <t>100222332</t>
  </si>
  <si>
    <t>SCOPE LOGISTICS SERVICES INDIA PVT.</t>
  </si>
  <si>
    <t>2025</t>
  </si>
  <si>
    <t>7</t>
  </si>
  <si>
    <t>DG</t>
  </si>
  <si>
    <t>NA</t>
  </si>
  <si>
    <t>Trade Debtors (Ctrl)</t>
  </si>
  <si>
    <t/>
  </si>
  <si>
    <t>11</t>
  </si>
  <si>
    <t>USD</t>
  </si>
  <si>
    <t>INR</t>
  </si>
  <si>
    <t>O0</t>
  </si>
  <si>
    <t>1</t>
  </si>
  <si>
    <t>Credit Note raised against INV_246779410348</t>
  </si>
  <si>
    <t>DR</t>
  </si>
  <si>
    <t>Debit note Note raised against CN_256779421358</t>
  </si>
  <si>
    <t>Credit Note raised against INV_246779410360</t>
  </si>
  <si>
    <t>Debit note Note raised against CN_256779421359</t>
  </si>
  <si>
    <t>Credit Note raised against INV_246779413701</t>
  </si>
  <si>
    <t>Debit note Note raised against CN_256779421360</t>
  </si>
  <si>
    <t>Credit Note raised against INV_246779413796</t>
  </si>
  <si>
    <t>Debit note Note raised against CN_256779421363</t>
  </si>
  <si>
    <t>Credit Note raised against INV_246779413845</t>
  </si>
  <si>
    <t>Debit note Note raised against CN_256779421366</t>
  </si>
  <si>
    <t>Credit Note raised against INV_246779411278</t>
  </si>
  <si>
    <t>Debit note Note raised against CN_256779421371</t>
  </si>
  <si>
    <t>Credit Note raised against INV_246779413702</t>
  </si>
  <si>
    <t>Credit Note raised against INV_246779413705</t>
  </si>
  <si>
    <t>Credit Note raised against INV_246779413816</t>
  </si>
  <si>
    <t>Credit Note raised against INV_246779413827</t>
  </si>
  <si>
    <t>Credit Note raised against INV_256779410220</t>
  </si>
  <si>
    <t>Credit Note raised against INV_256779410004</t>
  </si>
  <si>
    <t>Credit Note raised against INV_256779410010</t>
  </si>
  <si>
    <t>Credit Note raised against INV_256779411917</t>
  </si>
  <si>
    <t>Credit Note raised against INV_246779411300</t>
  </si>
  <si>
    <t>Credit Note raised against INV_246779411314</t>
  </si>
  <si>
    <t>Credit Note raised against INV_246779411326</t>
  </si>
  <si>
    <t>Credit Note raised against INV_246779411339</t>
  </si>
  <si>
    <t>Credit Note raised against INV_256779412692</t>
  </si>
  <si>
    <t>Credit Note raised against INV_256779413283</t>
  </si>
  <si>
    <t>Credit Note raised against INV_256779413861</t>
  </si>
  <si>
    <t>Credit Note raised against INV_256779414288</t>
  </si>
  <si>
    <t>Credit note Note raised against INV_246779410348</t>
  </si>
  <si>
    <t>Credit note Note raised against INV_246779410360</t>
  </si>
  <si>
    <t>Credit note Note raised against INV_246779413701</t>
  </si>
  <si>
    <t>Credit note Note raised against INV_246779413796</t>
  </si>
  <si>
    <t>Credit note Note raised against INV_246779413845</t>
  </si>
  <si>
    <t>Credit note Note raised against INV_246779411278</t>
  </si>
  <si>
    <t>5</t>
  </si>
  <si>
    <t>Outbound chgs - 01 - 15 MAY 25</t>
  </si>
  <si>
    <t>VAS -1-15 May 25, Ex.rate 85.43</t>
  </si>
  <si>
    <t>Inbound chgs -01-15 MAY 25</t>
  </si>
  <si>
    <t>4</t>
  </si>
  <si>
    <t>Outbound Handling charges for Mar 25</t>
  </si>
  <si>
    <t>Loose loading Handling charges for Mar 25</t>
  </si>
  <si>
    <t>Inbound Handling charges for Mar 25</t>
  </si>
  <si>
    <t>MHE Charges for Mar 25</t>
  </si>
  <si>
    <t>Outbound Handling charges for Feb 2025</t>
  </si>
  <si>
    <t>VAS Activity -1 -15 Mar 25, Ex Rate. 87.01</t>
  </si>
  <si>
    <t>Fixed Rental charges for Feb 2025</t>
  </si>
  <si>
    <t>Fixed Rental charges for Jan 2025</t>
  </si>
  <si>
    <t>CY Longstanding container Ground Rent charges for</t>
  </si>
  <si>
    <t>10</t>
  </si>
  <si>
    <t>CY - CY Grd Rent Chgs - 01 - 15 OCT 25</t>
  </si>
  <si>
    <t>CY Ground rent Chgs - 01 - 15 Oct 25</t>
  </si>
  <si>
    <t>Inbound chgs - 01 - 15 OCT 25</t>
  </si>
  <si>
    <t>Outbound chgs - 01 - 15 Oct 25</t>
  </si>
  <si>
    <t>Fixed Storage Charges for April 2025</t>
  </si>
  <si>
    <t>Credit Note raised against 256779413861</t>
  </si>
  <si>
    <t>Scanning  Chgs - 01 - 15 May 25</t>
  </si>
  <si>
    <t>Credit note raised against 256779414459</t>
  </si>
  <si>
    <t>Credit note raised against 256779414476</t>
  </si>
  <si>
    <t>Credit Note raised against 256779413885</t>
  </si>
  <si>
    <t>InKPI-CODC-1-15 May 25-BOE9790661</t>
  </si>
  <si>
    <t>InKPI-CODC-1-15 May 25-BOE9862672</t>
  </si>
  <si>
    <t>OutKPI-CODC-1-15-MAY-25-9960786</t>
  </si>
  <si>
    <t>OutKPI-CODC-1-15-MAY-25-20045577</t>
  </si>
  <si>
    <t>VAS 1-15 April-25,Ex.Rate-85.69</t>
  </si>
  <si>
    <t>6</t>
  </si>
  <si>
    <t>CODC Out chgs - 01 - 15 Jun 25</t>
  </si>
  <si>
    <t>VAS  -1-15 Oct 2025</t>
  </si>
  <si>
    <t>3</t>
  </si>
  <si>
    <t>Fixed Storage Charges for Mar 2025</t>
  </si>
  <si>
    <t>HMMU6832693-Port SSR Shifting Jan 2025. Exch rate</t>
  </si>
  <si>
    <t>KOCU4372804-Port SSR Shifting Jan 2025. Exch rate</t>
  </si>
  <si>
    <t>TCNU8653352-Port SSR Shifting Jan 2025. Exch rate</t>
  </si>
  <si>
    <t>HDMU6860845-Port SSR Shifting Jan 2025. Exch rate</t>
  </si>
  <si>
    <t>EOLU8212240-Port SSR Shifting Jan 2025. Exch rate</t>
  </si>
  <si>
    <t>EOLU8605417-Port SSR Storage Feb 2025. Exch rate -</t>
  </si>
  <si>
    <t>VAS 1-15 June 25, Exch 86.10</t>
  </si>
  <si>
    <t>WEIGHMENT 1-15 June 25, Exch 86.10</t>
  </si>
  <si>
    <t>VAS-Nov 1-15, 2025</t>
  </si>
  <si>
    <t>Weighment-Nov 1-15, 2025</t>
  </si>
  <si>
    <t>CODC LCL Chgs -1-15 Nov 25</t>
  </si>
  <si>
    <t>CY Ground rent Chgs - 01 - 15 Nov 25</t>
  </si>
  <si>
    <t>CODC Out chgs -1-15 Nov 25</t>
  </si>
  <si>
    <t>LCL Chgs - 01 - 15 NOV 25</t>
  </si>
  <si>
    <t>Loose chgs - 01 - 15 Nov 25</t>
  </si>
  <si>
    <t>Inbound Handling charges for Feb 2025</t>
  </si>
  <si>
    <t>Inbound Handling charges for 31 Mar 2025</t>
  </si>
  <si>
    <t>Outbound Handling charges for 31 Mar 25</t>
  </si>
  <si>
    <t>Inbound Handling chgs for 31 Mar 25</t>
  </si>
  <si>
    <t>9</t>
  </si>
  <si>
    <t>CY - CY Grd Rent Chgs - 01 - 15 SEP 25</t>
  </si>
  <si>
    <t>CY Ground rent Chgs - 01 - 15 Sep 25</t>
  </si>
  <si>
    <t>Outbound chgs - 01 - 15 Sep 25</t>
  </si>
  <si>
    <t>Inbound chgs - 01 - 15 SEP 25</t>
  </si>
  <si>
    <t>CODC LCL Chgs -1-15 Sep 25</t>
  </si>
  <si>
    <t>12</t>
  </si>
  <si>
    <t>CY Ground rent Chgs - 16 - 30 Nov 25</t>
  </si>
  <si>
    <t>Outbound chgs - 16 - 30 Nov 25</t>
  </si>
  <si>
    <t>Credit Note against 246779413088</t>
  </si>
  <si>
    <t>Outbound chgs - 01 - 15 Apr 25</t>
  </si>
  <si>
    <t>LCL Chgs - 01 - 15 Apr 25</t>
  </si>
  <si>
    <t>Scanning Chgs - 01 - 15 Apr 25</t>
  </si>
  <si>
    <t>2</t>
  </si>
  <si>
    <t>CY-CY Ground Rent charges for Aug 2024</t>
  </si>
  <si>
    <t>Inbound Handling charges for Oct 2024</t>
  </si>
  <si>
    <t>Bond Stamp Paper Chgs 01 - 30 Sep 25</t>
  </si>
  <si>
    <t>O2</t>
  </si>
  <si>
    <t>Port SSR Charges - Shifting for Aug to D</t>
  </si>
  <si>
    <t>Intra - SEZ-16-30 Sept 25</t>
  </si>
  <si>
    <t>VAS-16-30 Sept 25</t>
  </si>
  <si>
    <t>VAS - 1-15 July 25</t>
  </si>
  <si>
    <t>Fixed Storage Charges fo MAY 2025</t>
  </si>
  <si>
    <t>CODC Inbound chgs - 16 - 30 Apr 25</t>
  </si>
  <si>
    <t>CODC Out chgs - 16 - 30 Apr 25</t>
  </si>
  <si>
    <t>CY Ground rent Chgs - 01 - 30 Apr 25</t>
  </si>
  <si>
    <t>VAS - 16-30 April 25, Ex.Rate-85.05</t>
  </si>
  <si>
    <t>CY - CY Grd Rent Chgs - 16 - 30 Nov 25</t>
  </si>
  <si>
    <t>PORT SSR Chgs Nov 25</t>
  </si>
  <si>
    <t>CODC Inbound chgs - 1-15 Oct 25</t>
  </si>
  <si>
    <t>CODC Out chgs -1-15 Oct 25</t>
  </si>
  <si>
    <t>Unit storage -1-31 May 25</t>
  </si>
  <si>
    <t>Unit Storage - 1-30 Sept 2025</t>
  </si>
  <si>
    <t>Inbound chgs - 16 - 30 SEP 25</t>
  </si>
  <si>
    <t>Outbound chgs - 16 - 30 Sep 25</t>
  </si>
  <si>
    <t>Fixed Storage Charges for October 2025</t>
  </si>
  <si>
    <t>CY Ground rent Chgs - 16 - 30 Sep 25</t>
  </si>
  <si>
    <t>PORT SSR Chgs Sep 25</t>
  </si>
  <si>
    <t>Unit-Storage-1-31 Aug 25</t>
  </si>
  <si>
    <t>2026</t>
  </si>
  <si>
    <t>Unit Storage - 1-30 Nov 2025</t>
  </si>
  <si>
    <t>Fixed Storage Charges for December 2025</t>
  </si>
  <si>
    <t>CY Ground rent Chgs - 01 - 15 Dec 25</t>
  </si>
  <si>
    <t>Credit note for Duplicate invoice -256779418492</t>
  </si>
  <si>
    <t>CODC Out chgs -1-15 Dec 25</t>
  </si>
  <si>
    <t>Outbound chgs - 01 - 15 Dec 25</t>
  </si>
  <si>
    <t>Gate IN Chgs - 01 - 15 NOV 25</t>
  </si>
  <si>
    <t>CY - CY Grd Rent Chgs - 01 - 15 Dec 25</t>
  </si>
  <si>
    <t>DZ</t>
  </si>
  <si>
    <t>GDNTMR6FG651</t>
  </si>
  <si>
    <t>CY - CY Grd Rent Chgs - 16 - 31 Dec 25</t>
  </si>
  <si>
    <t>PORT SSR Chgs Dec 25</t>
  </si>
  <si>
    <t>CY Ground rent Chgs - 16 - 31 Dec 25</t>
  </si>
  <si>
    <t>CODC LCL Chgs -16-31 DEC 25</t>
  </si>
  <si>
    <t>Outbound chgs - 16 - 31 Dec 25</t>
  </si>
  <si>
    <t>Unit Storage - 1-31 DEC 2025</t>
  </si>
  <si>
    <t>CODC Out chgs -16-31 DEC 25</t>
  </si>
  <si>
    <t>VAS-Dec 25 - 16-31</t>
  </si>
  <si>
    <t>Fixed Storage Charges for January 2026</t>
  </si>
  <si>
    <t>INTRA  -NOV 25,16-30</t>
  </si>
  <si>
    <t>CODC Out chgs -1-15 JAN 26</t>
  </si>
  <si>
    <t>CY - CY Grd Rent Chgs - 01 - 15 Jan 26</t>
  </si>
  <si>
    <t>CY Ground rent Chgs - 01 - 15 Jan 26</t>
  </si>
  <si>
    <t>Gate IN Chgs - 01 - 15 JAN 25</t>
  </si>
  <si>
    <t>Outbound chgs - 01 - 15 JAN 26</t>
  </si>
  <si>
    <t>VAS-1-15 Jan 2026</t>
  </si>
  <si>
    <t>GX4JNCFR8TSM</t>
  </si>
  <si>
    <t>VAS Activity Charges for the month of September, 2</t>
  </si>
  <si>
    <t>VAS Activity Charges for the month of October, 24</t>
  </si>
  <si>
    <t>VAS Activity Charges for the month of November, 24</t>
  </si>
  <si>
    <t>Fixed Storage Charges fo JUNE 2025</t>
  </si>
  <si>
    <t>VAS -1-15 Sept-25</t>
  </si>
  <si>
    <t>CY - CY Grd Rent Chgs - 01 - 15 Nov 25</t>
  </si>
  <si>
    <t>Transportation In Charges August 2024</t>
  </si>
  <si>
    <t>Inbound Handling for August 24</t>
  </si>
  <si>
    <t>LCL Charges August 2024</t>
  </si>
  <si>
    <t>Outbound Handling Charges Aug 2024</t>
  </si>
  <si>
    <t>8</t>
  </si>
  <si>
    <t>CY - CY Grd Rent Chgs - 01 - 15 JUL 25</t>
  </si>
  <si>
    <t>CY - CY Grd Rent Chgs - 16 - 15 JUL 25</t>
  </si>
  <si>
    <t>Credit note raised against 256779418075</t>
  </si>
  <si>
    <t>Inbound Handling charges for Dec 2024</t>
  </si>
  <si>
    <t>Outbound Handling charges for Dec 2024</t>
  </si>
  <si>
    <t>Loose loading Handling charges for Dec 2024</t>
  </si>
  <si>
    <t>GMCU3054268-Port SSR Shifting Mar 2025. Exch rate</t>
  </si>
  <si>
    <t>GMCU3054416-Port SSR Shifting Mar 2025. Exch rate</t>
  </si>
  <si>
    <t>BEAU2827340-Port SSR Shifting Mar 2025. Exch rate</t>
  </si>
  <si>
    <t>VAS Activity - Feb 25, Ex Rate. 87.40</t>
  </si>
  <si>
    <t>VAS Activity - Mar 25, 16-31, Ex Rate. 85.58</t>
  </si>
  <si>
    <t>Storage Charges Mar, 25</t>
  </si>
  <si>
    <t>Scanning charges for 01 to 31 Mar 25</t>
  </si>
  <si>
    <t>CY Ground rent Chgs - 01 - 31 May 25</t>
  </si>
  <si>
    <t>CY - CY Ground rent Chgs - 01 - 31 May 25</t>
  </si>
  <si>
    <t>VAS 16-31 May 25 Ex.85.48</t>
  </si>
  <si>
    <t>VAS Activity Charges for the month of August, 24</t>
  </si>
  <si>
    <t>CODC LCL Chgs - 16-31 Aug 25</t>
  </si>
  <si>
    <t>CODC Out chgs -16-31 Aug 25</t>
  </si>
  <si>
    <t>VAS -16-31 Aug 25</t>
  </si>
  <si>
    <t>CY - CY Grd Rent Chgs - 01 - 31 AUG 25</t>
  </si>
  <si>
    <t>CY Ground rent Chgs - 01 - 31 Aug 25</t>
  </si>
  <si>
    <t>PORT SSR Chgs Aug 25</t>
  </si>
  <si>
    <t>Bond Stamp Paper Chgs 01 - 31 Aug 25</t>
  </si>
  <si>
    <t>Inbound chgs - 16 - 31 AUG 25</t>
  </si>
  <si>
    <t>Outbound chgs - 16 - 31 Aug 25</t>
  </si>
  <si>
    <t>Fixed Storage Charges for September 2025</t>
  </si>
  <si>
    <t>CODC Inbound chgs - 01 - 15 Jun 25</t>
  </si>
  <si>
    <t>Outbound chgs - 01 - 15 Jun 25</t>
  </si>
  <si>
    <t>Inbound chgs - 16 - 30 JUN 25</t>
  </si>
  <si>
    <t>CY Ground rent Chgs - 01 - 30 June 25</t>
  </si>
  <si>
    <t>Fixed Storage Charges fo JULY 2025</t>
  </si>
  <si>
    <t>PORT SSR Chgs June 25</t>
  </si>
  <si>
    <t>Bond Stamp Paper Chgs</t>
  </si>
  <si>
    <t>Unit Storage - 1-30 June 25</t>
  </si>
  <si>
    <t>VAS - 16-30 June 25</t>
  </si>
  <si>
    <t>Fixed Storage Charges for November 2025</t>
  </si>
  <si>
    <t>VAS-16 -31 Oct 25</t>
  </si>
  <si>
    <t>Unit Storage - 1-31 Oct 2025</t>
  </si>
  <si>
    <t>CODC LCL Chgs -16-31 Oct 25</t>
  </si>
  <si>
    <t>CODC Out chgs -16-31 Oct 25</t>
  </si>
  <si>
    <t>CY - CY Grd Rent Chgs - 16 - 31 OCT 25</t>
  </si>
  <si>
    <t>CY Ground rent Chgs - 16 - 31 Oct 25</t>
  </si>
  <si>
    <t>Outbound chgs - 16 - 31 Oct 25</t>
  </si>
  <si>
    <t>PORT SSR Chgs Oct 25</t>
  </si>
  <si>
    <t>Bond Stamp Paper Chgs Oct 25</t>
  </si>
  <si>
    <t>Unit Storage - 1-31 July 25</t>
  </si>
  <si>
    <t>Inbound chgs - 16 - 31 JUL 25</t>
  </si>
  <si>
    <t>Outbound chgs - 16 - 31 Jul 25</t>
  </si>
  <si>
    <t>CODC Out chgs - 16 - 31 Jul 25</t>
  </si>
  <si>
    <t>VAS 16-31 July 25</t>
  </si>
  <si>
    <t>PORT SSR Chgs July 25</t>
  </si>
  <si>
    <t>CY Ground rent Chgs - 01 - 31 July 25</t>
  </si>
  <si>
    <t>CODC Inbound chgs - 16 - 31 May 25</t>
  </si>
  <si>
    <t>CODC Out chgs - 16 - 31 May 25</t>
  </si>
  <si>
    <t>PORT SSR Chgs - 16 - 31 May 25</t>
  </si>
  <si>
    <t>Outbound chgs - 16 - 31 MAY 25</t>
  </si>
  <si>
    <t>Scanning  Chgs - 16 - 31 May 25</t>
  </si>
  <si>
    <t>Credit note against 246779412237</t>
  </si>
  <si>
    <t>Credit note against 256779410291</t>
  </si>
  <si>
    <t>Credit note against 256779410250</t>
  </si>
  <si>
    <t>Outbound chgs - 16 - 30 Apr 25</t>
  </si>
  <si>
    <t>Scanning  Chgs - 16 - 31 Apr 25</t>
  </si>
  <si>
    <t>Storage Chgs - 01 - 31 Apr 25</t>
  </si>
  <si>
    <t>PORT SSR Chgs Apr &amp; June 25</t>
  </si>
  <si>
    <t>CODC Inbound chgs - 01 - 15 July 25</t>
  </si>
  <si>
    <t>CODC Out chgs - 01 - 15 July 25</t>
  </si>
  <si>
    <t>Inbound chgs - 01 - 15 JUL 25</t>
  </si>
  <si>
    <t>Scanning Charges for the month of August, 2024</t>
  </si>
  <si>
    <t>Scanning Charges for the month of December, 2024</t>
  </si>
  <si>
    <t>Scanning Charges for the month of November, 2024</t>
  </si>
  <si>
    <t>Scanning Charges for the month of October, 2024</t>
  </si>
  <si>
    <t>Scanning Charges for the month of September, 2024</t>
  </si>
  <si>
    <t>Outbound Handling charges for Jan 2025</t>
  </si>
  <si>
    <t>Ground Rent Jan 1-15</t>
  </si>
  <si>
    <t>Ground Rent Feb 1-15</t>
  </si>
  <si>
    <t>Ground Rent Jan 25</t>
  </si>
  <si>
    <t>Transportation Inbound Aug 24</t>
  </si>
  <si>
    <t>Inbound Handling charges for  Sep 2024</t>
  </si>
  <si>
    <t>LCL charges for Sep 2024</t>
  </si>
  <si>
    <t>Outbound Handling charges for Sep 2024</t>
  </si>
  <si>
    <t>Inbound Handling charges for Jan 2025</t>
  </si>
  <si>
    <t>Outbound Handling charges for Nov 2024</t>
  </si>
  <si>
    <t>Ground Rent Jan 16-31</t>
  </si>
  <si>
    <t>Ground Rent Feb 16-28</t>
  </si>
  <si>
    <t>Scanning Charges for the month of Feb 2025</t>
  </si>
  <si>
    <t>Scanning Charges for the month of Jan 2025</t>
  </si>
  <si>
    <t>Outbound Handling charges for Oct 2024</t>
  </si>
  <si>
    <t>Loose handling Charges for Nov 2024</t>
  </si>
  <si>
    <t>Fixed Rental charges for Sept 2024</t>
  </si>
  <si>
    <t>Fixed Rental charges for Aug 2024</t>
  </si>
  <si>
    <t>Fixed Rental charges for Nov 2024</t>
  </si>
  <si>
    <t>Fixed Rental charges for Dec 2024</t>
  </si>
  <si>
    <t>Fixed Rental charges for Oct 2024</t>
  </si>
  <si>
    <t>CODC LCL Chgs - 1-15 Aug 25</t>
  </si>
  <si>
    <t>CODC Out chgs - 1-15 Aug 25</t>
  </si>
  <si>
    <t>VAS-Aug 25- 1-15</t>
  </si>
  <si>
    <t>Inbound chgs - 01 - 15 AUG 25</t>
  </si>
  <si>
    <t>Loose chgs - 01 - 15 Aug 25</t>
  </si>
  <si>
    <t>CY Longstanding - March 25,16-31</t>
  </si>
  <si>
    <t>DY</t>
  </si>
  <si>
    <t>RBINR52025100994757493</t>
  </si>
  <si>
    <t>PUNBR52025101818263040</t>
  </si>
  <si>
    <t>PUNBR52025110118746241</t>
  </si>
  <si>
    <t>PUNBN62025121256541264</t>
  </si>
  <si>
    <t>CLD10FTGDCQ9</t>
  </si>
  <si>
    <t>CWDX5M1B7S9Y</t>
  </si>
  <si>
    <t>CYFC8Q39QKP6</t>
  </si>
  <si>
    <t>CWVJ4317QGG5</t>
  </si>
  <si>
    <t>CYFC8MGLSWHG</t>
  </si>
  <si>
    <t>D7GGNWM3YNBX</t>
  </si>
  <si>
    <t>PUNBN62025101050450380</t>
  </si>
  <si>
    <t>PUNBN62025053050253551</t>
  </si>
  <si>
    <t>RBINR52025060452948870</t>
  </si>
  <si>
    <t>PUNBN62025061353786918</t>
  </si>
  <si>
    <t>PUNBR52025102918605898</t>
  </si>
  <si>
    <t>KNOCK OFF ENTRY</t>
  </si>
  <si>
    <t>Port SSR Charges - Shifting for Aug to Dec,24.</t>
  </si>
  <si>
    <t>Outbound Handling for Sep 2024</t>
  </si>
  <si>
    <t>Outbound Handling for Nov 2024</t>
  </si>
  <si>
    <t>OutKPI-CODC-1-15-MAY-25-9762086</t>
  </si>
  <si>
    <t>OutKPI-CODC-1-15-MAY-25-9800875</t>
  </si>
  <si>
    <t>CODC Out chgs -1-15 Sep 25</t>
  </si>
  <si>
    <t>CODC Out chgs -16-30 Sep 25</t>
  </si>
  <si>
    <t>Outbound Handling for Oct 2024</t>
  </si>
  <si>
    <t>Outbound Handling for Dec 2024</t>
  </si>
  <si>
    <t>Storage Charges Feb, 25</t>
  </si>
  <si>
    <t>Storage Charges Jan, 25</t>
  </si>
  <si>
    <t>CY-CY Ground Rent charges for Sept 2024</t>
  </si>
  <si>
    <t>CY-CY Ground Rent charges for Oct 2024</t>
  </si>
  <si>
    <t>CY-CY Ground Rent charges for Nov 2024</t>
  </si>
  <si>
    <t>CY-CY Ground Rent charges for Dec 2024</t>
  </si>
  <si>
    <t>Storage for the month of Nov 2024</t>
  </si>
  <si>
    <t>Storage for the month of Dec 2024</t>
  </si>
  <si>
    <t>Inbound Handling charges for Aug 2024</t>
  </si>
  <si>
    <t>Inbound Handling charges for Sep 2024</t>
  </si>
  <si>
    <t>Inbound Handling charges for Nov 2024</t>
  </si>
  <si>
    <t>Storage Charges for the month of August, 2024</t>
  </si>
  <si>
    <t>Outbound Handling for Aug 2024</t>
  </si>
  <si>
    <t>Storage  for the month of Sept  2024</t>
  </si>
  <si>
    <t>Storage for the month of Oct 2024</t>
  </si>
  <si>
    <t>Fixed Storage Charges for August 2025</t>
  </si>
  <si>
    <t>Debit (INR)</t>
  </si>
  <si>
    <t>Credit (INR)</t>
  </si>
  <si>
    <t>Balance (INR)</t>
  </si>
  <si>
    <t>Voucher Subtype</t>
  </si>
  <si>
    <t>Voucher No</t>
  </si>
  <si>
    <t>Against Account</t>
  </si>
  <si>
    <t>Against Voucher</t>
  </si>
  <si>
    <t>Supplier Invoice No</t>
  </si>
  <si>
    <t>2025-02-20</t>
  </si>
  <si>
    <t>Purchase Invoice</t>
  </si>
  <si>
    <t>PU/25/SLS/OT/1560</t>
  </si>
  <si>
    <t>Fixed Storage Charges - ODC (Covered) - SLSIPL</t>
  </si>
  <si>
    <t>PU/25/SLS/OT/1561</t>
  </si>
  <si>
    <t>PU/25/SLS/OT/1562</t>
  </si>
  <si>
    <t>PU/25/SLS/OT/1563</t>
  </si>
  <si>
    <t>PU/25/SLS/OT/1564</t>
  </si>
  <si>
    <t>PU/25/SLS/OT/1565</t>
  </si>
  <si>
    <t>2025-03-03</t>
  </si>
  <si>
    <t>PU/25/SLS/OT/1672</t>
  </si>
  <si>
    <t>Handling Charges - Outbound (Exp) - SLSIPL</t>
  </si>
  <si>
    <t>PU/25/SLS/OT/1673</t>
  </si>
  <si>
    <t>PU/25/SLS/OT/1674</t>
  </si>
  <si>
    <t>PU/25/SLS/OT/1675</t>
  </si>
  <si>
    <t>PU/25/SLS/OT/1676</t>
  </si>
  <si>
    <t>PU/25/SLS/OT/1677</t>
  </si>
  <si>
    <t>PU/25/SLS/OT/1718</t>
  </si>
  <si>
    <t>Storage Charges - Cargo - SLSIPL</t>
  </si>
  <si>
    <t>PU/25/SLS/OT/1719</t>
  </si>
  <si>
    <t>PU/25/SLS/OT/1720</t>
  </si>
  <si>
    <t>PU/25/SLS/OT/1721</t>
  </si>
  <si>
    <t>PU/25/SLS/OT/1722</t>
  </si>
  <si>
    <t>PU/25/SLS/OT/1731</t>
  </si>
  <si>
    <t>PU/25/SLS/OT/1732</t>
  </si>
  <si>
    <t>PU/25/SLS/OT/1733</t>
  </si>
  <si>
    <t>PU/25/SLS/OT/1734</t>
  </si>
  <si>
    <t>PU/25/SLS/OT/1735</t>
  </si>
  <si>
    <t>PU/25/SLS/OT/1736</t>
  </si>
  <si>
    <t>PU/25/SLS/OT/1737</t>
  </si>
  <si>
    <t>PU/25/SLS/OT/1738</t>
  </si>
  <si>
    <t>PU/25/SLS/OT/1739</t>
  </si>
  <si>
    <t>PU/25/SLS/OT/1740</t>
  </si>
  <si>
    <t>PU/25/SLS/OT/1741</t>
  </si>
  <si>
    <t>PU/25/SLS/OT/1742</t>
  </si>
  <si>
    <t>PU/25/SLS/OT/1743</t>
  </si>
  <si>
    <t>PU/25/SLS/OT/1744</t>
  </si>
  <si>
    <t>2025-03-04</t>
  </si>
  <si>
    <t>PU/25/SLS/OT/1653</t>
  </si>
  <si>
    <t>PU/25/SLS/OT/1683</t>
  </si>
  <si>
    <t>PU/25/SLS/OT/1684</t>
  </si>
  <si>
    <t>PU/25/SLS/OT/1685</t>
  </si>
  <si>
    <t>PU/25/SLS/OT/1686</t>
  </si>
  <si>
    <t>PU/25/SLS/OT/1687</t>
  </si>
  <si>
    <t>PU/25/SLS/OT/1688</t>
  </si>
  <si>
    <t>PU/25/SLS/OT/1689</t>
  </si>
  <si>
    <t>PU/25/SLS/OT/1690</t>
  </si>
  <si>
    <t>PU/25/SLS/OT/1691</t>
  </si>
  <si>
    <t>PU/25/SLS/OT/1692</t>
  </si>
  <si>
    <t>PU/25/SLS/OT/1693</t>
  </si>
  <si>
    <t>PU/25/SLS/OT/1694</t>
  </si>
  <si>
    <t>PU/25/SLS/OT/1695</t>
  </si>
  <si>
    <t>PU/25/SLS/OT/1696</t>
  </si>
  <si>
    <t>PU/25/SLS/OT/1697</t>
  </si>
  <si>
    <t>PU/25/SLS/OT/1698</t>
  </si>
  <si>
    <t>PU/25/SLS/OT/1699</t>
  </si>
  <si>
    <t>PU/25/SLS/OT/1700</t>
  </si>
  <si>
    <t>PU/25/SLS/OT/1701</t>
  </si>
  <si>
    <t>PU/25/SLS/OT/1702</t>
  </si>
  <si>
    <t>PU/25/SLS/OT/1703</t>
  </si>
  <si>
    <t>PU/25/SLS/OT/1704</t>
  </si>
  <si>
    <t>PU/25/SLS/OT/1705</t>
  </si>
  <si>
    <t>PU/25/SLS/OT/1706</t>
  </si>
  <si>
    <t>PU/25/SLS/OT/1707</t>
  </si>
  <si>
    <t>PU/25/SLS/OT/1708</t>
  </si>
  <si>
    <t>PU/25/SLS/OT/1709</t>
  </si>
  <si>
    <t>PU/25/SLS/OT/1723</t>
  </si>
  <si>
    <t>PU/25/SLS/OT/1724</t>
  </si>
  <si>
    <t>2025-03-06</t>
  </si>
  <si>
    <t>PU/25/SLS/OT/1654</t>
  </si>
  <si>
    <t>Handling Charges - Inbound (Exp) - SLSIPL</t>
  </si>
  <si>
    <t>PU/25/SLS/OT/1678</t>
  </si>
  <si>
    <t>Handling Charges - Inbound (Exp) - SLSIPL,Gate In Charges Paid - SLSIPL</t>
  </si>
  <si>
    <t>PU/25/SLS/OT/1679</t>
  </si>
  <si>
    <t>Handling Charges - Inbound (Exp) - SLSIPL,Transportation Charges Paid - SLSIPL</t>
  </si>
  <si>
    <t>PU/25/SLS/OT/1680</t>
  </si>
  <si>
    <t>PU/25/SLS/OT/1681</t>
  </si>
  <si>
    <t>PU/25/SLS/OT/1682</t>
  </si>
  <si>
    <t>PU/25/SLS/OT/1716</t>
  </si>
  <si>
    <t>PU/25/SLS/OT/1717</t>
  </si>
  <si>
    <t>PU/25/SLS/OT/1745</t>
  </si>
  <si>
    <t>PU/25/SLS/OT/1746</t>
  </si>
  <si>
    <t>PU/25/SLS/OT/1747</t>
  </si>
  <si>
    <t>PU/25/SLS/OT/1748</t>
  </si>
  <si>
    <t>PU/25/SLS/OT/1749</t>
  </si>
  <si>
    <t>2025-03-17</t>
  </si>
  <si>
    <t>PU/25/SLS/OT/1863</t>
  </si>
  <si>
    <t>VOS Activity Charges Paid - SLSIPL</t>
  </si>
  <si>
    <t>PU/25/SLS/OT/1864</t>
  </si>
  <si>
    <t>PU/25/SLS/OT/1865</t>
  </si>
  <si>
    <t>PU/25/SLS/OT/1866</t>
  </si>
  <si>
    <t>2025-03-19</t>
  </si>
  <si>
    <t>PU/25/SLS/OT/1730</t>
  </si>
  <si>
    <t>2025-03-20</t>
  </si>
  <si>
    <t>PU/25/SLS/OT/1867</t>
  </si>
  <si>
    <t>Gate In Charges Paid - SLSIPL</t>
  </si>
  <si>
    <t>PU/25/SLS/OT/1868</t>
  </si>
  <si>
    <t>Gate In Charges Paid - SLSIPL,Handling Charges - Inbound (Exp) - SLSIPL</t>
  </si>
  <si>
    <t>PU/25/SLS/OT/1869</t>
  </si>
  <si>
    <t>PU/25/SLS/OT/1870</t>
  </si>
  <si>
    <t>PU/25/SLS/OT/1871</t>
  </si>
  <si>
    <t>PU/25/SLS/OT/1872</t>
  </si>
  <si>
    <t>PU/25/SLS/OT/1873</t>
  </si>
  <si>
    <t>PU/25/SLS/OT/1874</t>
  </si>
  <si>
    <t>PU/25/SLS/OT/1875</t>
  </si>
  <si>
    <t>PU/25/SLS/OT/1876</t>
  </si>
  <si>
    <t>PU/25/SLS/OT/1877</t>
  </si>
  <si>
    <t>PU/25/SLS/OT/1878</t>
  </si>
  <si>
    <t>PU/25/SLS/OT/1879</t>
  </si>
  <si>
    <t>PU/25/SLS/OT/1880</t>
  </si>
  <si>
    <t>PU/25/SLS/OT/1881</t>
  </si>
  <si>
    <t>2025-03-31</t>
  </si>
  <si>
    <t>PU/25/SLS/OT/1808</t>
  </si>
  <si>
    <t>PU/25/SLS/OT/1809</t>
  </si>
  <si>
    <t>PU/25/SLS/OT/1810</t>
  </si>
  <si>
    <t>PU/25/SLS/OT/1811</t>
  </si>
  <si>
    <t>PU/25/SLS/OT/1812</t>
  </si>
  <si>
    <t>PU/25/SLS/OT/1813</t>
  </si>
  <si>
    <t>PU/25/SLS/OT/1814</t>
  </si>
  <si>
    <t>PU/25/SLS/OT/1815</t>
  </si>
  <si>
    <t>PU/25/SLS/OT/1816</t>
  </si>
  <si>
    <t>PU/25/SLS/OT/1817</t>
  </si>
  <si>
    <t>PU/25/SLS/OT/1818</t>
  </si>
  <si>
    <t>PU/25/SLS/OT/1819</t>
  </si>
  <si>
    <t>PU/25/SLS/OT/1820</t>
  </si>
  <si>
    <t>Container Scanning Paid - SLSIPL</t>
  </si>
  <si>
    <t>PU/25/SLS/OT/1821</t>
  </si>
  <si>
    <t>PU/25/SLS/OT/1822</t>
  </si>
  <si>
    <t>PU/25/SLS/OT/1823</t>
  </si>
  <si>
    <t>PU/25/SLS/OT/1824</t>
  </si>
  <si>
    <t>PU/25/SLS/OT/1825</t>
  </si>
  <si>
    <t>PU/25/SLS/OT/1826</t>
  </si>
  <si>
    <t>PU/25/SLS/OT/1827</t>
  </si>
  <si>
    <t>PU/25/SLS/OT/1828</t>
  </si>
  <si>
    <t>PU/25/SLS/OT/1829</t>
  </si>
  <si>
    <t>PU/25/SLS/OT/1830</t>
  </si>
  <si>
    <t>PU/25/SLS/OT/1831</t>
  </si>
  <si>
    <t>PU/25/SLS/OT/1832</t>
  </si>
  <si>
    <t>PU/25/SLS/OT/1833</t>
  </si>
  <si>
    <t>PU/25/SLS/OT/1834</t>
  </si>
  <si>
    <t>PU/25/SLS/OT/1835</t>
  </si>
  <si>
    <t>PU/25/SLS/OT/1836</t>
  </si>
  <si>
    <t>PU/25/SLS/OT/1837</t>
  </si>
  <si>
    <t>PU/25/SLS/OT/1838</t>
  </si>
  <si>
    <t>PU/25/SLS/OT/1839</t>
  </si>
  <si>
    <t>PU/25/SLS/OT/1840</t>
  </si>
  <si>
    <t>PU/25/SLS/OT/1841</t>
  </si>
  <si>
    <t>PU/25/SLS/OT/1842</t>
  </si>
  <si>
    <t>PU/25/SLS/OT/1843</t>
  </si>
  <si>
    <t>PU/25/SLS/OT/1844</t>
  </si>
  <si>
    <t>PU/25/SLS/OT/1849</t>
  </si>
  <si>
    <t>PU/25/SLS/OT/1850</t>
  </si>
  <si>
    <t>PU/25/SLS/OT/1851</t>
  </si>
  <si>
    <t>PU/25/SLS/OT/1852</t>
  </si>
  <si>
    <t>PU/25/SLS/OT/1853</t>
  </si>
  <si>
    <t>PU/25/SLS/OT/1854</t>
  </si>
  <si>
    <t>PU/25/SLS/OT/1856</t>
  </si>
  <si>
    <t>PU/25/SLS/OT/1857</t>
  </si>
  <si>
    <t>PU/25/SLS/OT/1858</t>
  </si>
  <si>
    <t>PU/25/SLS/OT/1859</t>
  </si>
  <si>
    <t>PU/25/SLS/OT/1860</t>
  </si>
  <si>
    <t>PU/25/SLS/OT/1861</t>
  </si>
  <si>
    <t>PU/25/SLS/OT/1862</t>
  </si>
  <si>
    <t>PU/25/SLS/OT/1925</t>
  </si>
  <si>
    <t>2025-04-01</t>
  </si>
  <si>
    <t>PU/26/SLS/OT/0048</t>
  </si>
  <si>
    <t>PU/26/SLS/OT/0193</t>
  </si>
  <si>
    <t>PU/26/SLS/OT/0194</t>
  </si>
  <si>
    <t>PU/26/SLS/OT/0195</t>
  </si>
  <si>
    <t>PU/26/SLS/OT/0196</t>
  </si>
  <si>
    <t>PU/26/SLS/OT/0197</t>
  </si>
  <si>
    <t>PU/26/SLS/OT/0199</t>
  </si>
  <si>
    <t>PU/26/SLS/OT/0200</t>
  </si>
  <si>
    <t>PU/26/SLS/OT/0201</t>
  </si>
  <si>
    <t>PU/26/SLS/OT/0202</t>
  </si>
  <si>
    <t>PU/26/SLS/OT/0191</t>
  </si>
  <si>
    <t>PU/26/SLS/OT/0301-1</t>
  </si>
  <si>
    <t>PU/26/SLS/OT/0324</t>
  </si>
  <si>
    <t>PU/26/SLS/OT/0325</t>
  </si>
  <si>
    <t>PU/26/SLS/OT/0330-1</t>
  </si>
  <si>
    <t>PU/26/SLS/OT/0359</t>
  </si>
  <si>
    <t>PU/26/SLS/OT/0588</t>
  </si>
  <si>
    <t>Transportation Charges Paid - SLSIPL</t>
  </si>
  <si>
    <t>PU/26/SLS/OT/0590</t>
  </si>
  <si>
    <t>PU/26/SLS/OT/0790</t>
  </si>
  <si>
    <t>PU/26/SLS/OT/0780-2</t>
  </si>
  <si>
    <t>PU/26/SLS/OT/0785-1</t>
  </si>
  <si>
    <t>PU/26/SLS/OT/0784-1</t>
  </si>
  <si>
    <t>PU/26/SLS/OT/0591-1</t>
  </si>
  <si>
    <t>2025-04-03</t>
  </si>
  <si>
    <t>PU/26/SLS/OT/0046</t>
  </si>
  <si>
    <t>MHE Charges Paid - SLSIPL</t>
  </si>
  <si>
    <t>PU/26/SLS/OT/0047</t>
  </si>
  <si>
    <t>PU/26/SLS/OT/0323</t>
  </si>
  <si>
    <t>PU/26/SLS/OT/0326</t>
  </si>
  <si>
    <t>PU/26/SLS/OT/0332</t>
  </si>
  <si>
    <t>PU/26/SLS/OT/0338</t>
  </si>
  <si>
    <t>PU/26/SLS/OT/0331</t>
  </si>
  <si>
    <t>PU/26/SLS/OT/0612</t>
  </si>
  <si>
    <t>PU/26/SLS/OT/0613</t>
  </si>
  <si>
    <t>PU/26/SLS/OT/0611-1</t>
  </si>
  <si>
    <t>2025-04-04</t>
  </si>
  <si>
    <t>PU/26/SLS/OT/0044</t>
  </si>
  <si>
    <t>PU/26/SLS/OT/0045</t>
  </si>
  <si>
    <t>2025-04-15</t>
  </si>
  <si>
    <t>PU/26/SLS/OT/0205</t>
  </si>
  <si>
    <t>PU/26/SLS/OT/0209</t>
  </si>
  <si>
    <t>PU/26/SLS/OT/0210</t>
  </si>
  <si>
    <t>PU/26/SLS/OT/0211</t>
  </si>
  <si>
    <t>PU/26/SLS/OT/0212</t>
  </si>
  <si>
    <t>PU/26/SLS/OT/0339</t>
  </si>
  <si>
    <t>2025-04-16</t>
  </si>
  <si>
    <t>PU/26/SLS/OT/0043</t>
  </si>
  <si>
    <t>PU/26/SLS/OT/0190</t>
  </si>
  <si>
    <t>PU/26/SLS/OT/0192</t>
  </si>
  <si>
    <t>PU/26/SLS/OT/0198</t>
  </si>
  <si>
    <t>PU/26/SLS/OT/0333</t>
  </si>
  <si>
    <t>PU/26/SLS/OT/0336</t>
  </si>
  <si>
    <t>PU/26/SLS/OT/0587-1</t>
  </si>
  <si>
    <t>Scanning Charges - Inbound - SLSIPL</t>
  </si>
  <si>
    <t>2025-04-21</t>
  </si>
  <si>
    <t>PU/26/SLS/OT/0042</t>
  </si>
  <si>
    <t>2025-04-22</t>
  </si>
  <si>
    <t>PU/26/SLS/OT/0203</t>
  </si>
  <si>
    <t>PU/26/SLS/OT/0206</t>
  </si>
  <si>
    <t>PU/26/SLS/OT/0207</t>
  </si>
  <si>
    <t>PU/26/SLS/OT/0208</t>
  </si>
  <si>
    <t>PU/26/SLS/OT/0214</t>
  </si>
  <si>
    <t>Handling Charges - Outbound (Exp) - SLSIPL,MHE Charges Paid - SLSIPL</t>
  </si>
  <si>
    <t>PU/26/SLS/OT/0328-1</t>
  </si>
  <si>
    <t>2025-04-23</t>
  </si>
  <si>
    <t>PU/26/SLS/OT/0204</t>
  </si>
  <si>
    <t>PU/26/SLS/OT/0327</t>
  </si>
  <si>
    <t>PU/26/SLS/OT/0337-1</t>
  </si>
  <si>
    <t>PU/26/SLS/OT/0586-1</t>
  </si>
  <si>
    <t>2025-04-24</t>
  </si>
  <si>
    <t>PU/26/SLS/OT/0189</t>
  </si>
  <si>
    <t>2025-05-10</t>
  </si>
  <si>
    <t>PU/26/SLS/OT/0213</t>
  </si>
  <si>
    <t>PU/26/SLS/OT/0116</t>
  </si>
  <si>
    <t>PU/26/SLS/OT/0340</t>
  </si>
  <si>
    <t>PU/26/SLS/OT/0334</t>
  </si>
  <si>
    <t>2025-05-16</t>
  </si>
  <si>
    <t>PU/26/SLS/OT/0279</t>
  </si>
  <si>
    <t>PU/26/SLS/OT/0283</t>
  </si>
  <si>
    <t>2025-05-20</t>
  </si>
  <si>
    <t>PU/26/SLS/OT/0281</t>
  </si>
  <si>
    <t>PU/26/SLS/OT/0284</t>
  </si>
  <si>
    <t>2025-05-21</t>
  </si>
  <si>
    <t>PU/26/SLS/OT/0187</t>
  </si>
  <si>
    <t>PU/26/SLS/OT/0188</t>
  </si>
  <si>
    <t>PU/26/SLS/OT/0280</t>
  </si>
  <si>
    <t>PU/26/SLS/OT/0282</t>
  </si>
  <si>
    <t>PU/26/SLS/OT/0329</t>
  </si>
  <si>
    <t>PU/26/SLS/OT/0335</t>
  </si>
  <si>
    <t>2025-05-28</t>
  </si>
  <si>
    <t>PU/26/SLS/OT/0278</t>
  </si>
  <si>
    <t>2025-05-30</t>
  </si>
  <si>
    <t>Pay</t>
  </si>
  <si>
    <t>BP/26/SLS/0192</t>
  </si>
  <si>
    <t>1395250393003 - Punjab National Bank - INR - SLSIPL</t>
  </si>
  <si>
    <t>2025-06-04</t>
  </si>
  <si>
    <t>PU/26/SLS/OT/0358</t>
  </si>
  <si>
    <t>PU/26/SLS/OT/0360</t>
  </si>
  <si>
    <t>BP/25/SLS/1225-1</t>
  </si>
  <si>
    <t>PU/25/SLS/OT/1562, PU/25/SLS/OT/1720, PU/25/SLS/OT/1731, PU/25/SLS/OT/1721, PU/25/SLS/OT/1673</t>
  </si>
  <si>
    <t>PU/26/SLS/OT/0585</t>
  </si>
  <si>
    <t>PU/26/SLS/OT/0797</t>
  </si>
  <si>
    <t>Handling Charges - Inbound (Exp) - SLSIPL,LCL Movment - Gate in Charge - SLSIPL,Transportation Charges Paid - SLSIPL,Eempty Container Return Charges Paid - SLSIPL</t>
  </si>
  <si>
    <t>2025-06-07</t>
  </si>
  <si>
    <t>PU/26/SLS/OT/0285</t>
  </si>
  <si>
    <t>2025-06-10</t>
  </si>
  <si>
    <t>PU/26/SLS/OT/0357-1</t>
  </si>
  <si>
    <t>2025-06-13</t>
  </si>
  <si>
    <t>BP/26/SLS/0229</t>
  </si>
  <si>
    <t>2025-06-21</t>
  </si>
  <si>
    <t>BP/26/SLS/0259</t>
  </si>
  <si>
    <t>2025-06-30</t>
  </si>
  <si>
    <t>BP/26/SLS/0291</t>
  </si>
  <si>
    <t>2025-07-05</t>
  </si>
  <si>
    <t>BP/26/SLS/0300</t>
  </si>
  <si>
    <t>2025-07-11</t>
  </si>
  <si>
    <t>BP/26/SLS/0311</t>
  </si>
  <si>
    <t>PU/26/SLS/OT/0415-1</t>
  </si>
  <si>
    <t>2025-07-16</t>
  </si>
  <si>
    <t>Credit Note</t>
  </si>
  <si>
    <t>SLS26/MF/DN/0006</t>
  </si>
  <si>
    <t>SLS26/MF/DN/0008</t>
  </si>
  <si>
    <t>SLS26/MF/DN/0009</t>
  </si>
  <si>
    <t>SLS26/MF/DN/0011</t>
  </si>
  <si>
    <t>SLS26/MF/DN/0013</t>
  </si>
  <si>
    <t>SLS26/MF/DN/0014</t>
  </si>
  <si>
    <t>SLS26/MF/DN/0016</t>
  </si>
  <si>
    <t>SLS26/MF/DN/0017</t>
  </si>
  <si>
    <t>SLS26/MF/DN/0007-2</t>
  </si>
  <si>
    <t>SLS26/MF/DN/0004-1</t>
  </si>
  <si>
    <t>PU/26/SLS/OT/0614-1</t>
  </si>
  <si>
    <t>SLS26/MF/DN/0018-1</t>
  </si>
  <si>
    <t>SLS26/MF/DN/0002-1</t>
  </si>
  <si>
    <t>SLS26/MF/DN/0003-1</t>
  </si>
  <si>
    <t>SLS26/MF/DN/0015-1</t>
  </si>
  <si>
    <t>PU/26/SLS/OT/0589-2</t>
  </si>
  <si>
    <t>SLS26/MF/DN/0005-1</t>
  </si>
  <si>
    <t>Debit Note</t>
  </si>
  <si>
    <t>SLS26/MF/DN/0001-2</t>
  </si>
  <si>
    <t>SLS26/MF/DN/0001-2, SLS26/MF/DN/0001-2</t>
  </si>
  <si>
    <t>SLS26/MF/DN/0010-1</t>
  </si>
  <si>
    <t>SLS26/MF/DN/0010-1, SLS26/MF/DN/0010-1</t>
  </si>
  <si>
    <t>2025-07-19</t>
  </si>
  <si>
    <t>BP/26/SLS/0368</t>
  </si>
  <si>
    <t>2025-07-24</t>
  </si>
  <si>
    <t>PU/26/SLS/OT/0607</t>
  </si>
  <si>
    <t>2025-07-25</t>
  </si>
  <si>
    <t>BP/26/SLS/0394</t>
  </si>
  <si>
    <t>PU/26/SLS/OT/0608</t>
  </si>
  <si>
    <t>PU/26/SLS/OT/0609</t>
  </si>
  <si>
    <t>PU/26/SLS/OT/0610</t>
  </si>
  <si>
    <t>2025-07-31</t>
  </si>
  <si>
    <t>SLS26/MF/DN/0019</t>
  </si>
  <si>
    <t>SLS26/MF/DN/0020-1</t>
  </si>
  <si>
    <t>PU/26/SLS/OT/1009-1</t>
  </si>
  <si>
    <t>SLS26/MF/DN/0022-1</t>
  </si>
  <si>
    <t>SLS26/MF/DN/0021-1</t>
  </si>
  <si>
    <t>PU/26/SLS/OT/1008-1</t>
  </si>
  <si>
    <t>2025-08-08</t>
  </si>
  <si>
    <t>PU/26/SLS/OT/0798</t>
  </si>
  <si>
    <t>PU/26/SLS/OT/0800</t>
  </si>
  <si>
    <t>PU/26/SLS/OT/0796</t>
  </si>
  <si>
    <t>Storage Charges - SLSIPL</t>
  </si>
  <si>
    <t>2025-08-20</t>
  </si>
  <si>
    <t>PU/26/SLS/OT/0792</t>
  </si>
  <si>
    <t>PU/26/SLS/OT/0793</t>
  </si>
  <si>
    <t>PU/26/SLS/OT/0801</t>
  </si>
  <si>
    <t>Loose Loading Handling - SLSIPL</t>
  </si>
  <si>
    <t>PU/26/SLS/OT/0795</t>
  </si>
  <si>
    <t>Handling Charges - Inbound (Exp) - SLSIPL,Gate in Charges - Inbound - SLSIPL</t>
  </si>
  <si>
    <t>PU/26/SLS/OT/0794</t>
  </si>
  <si>
    <t>LCL Movment - Gate in Charge - SLSIPL,Handling Charges - Inbound (Exp) - SLSIPL</t>
  </si>
  <si>
    <t>2025-10-07</t>
  </si>
  <si>
    <t>SJ/25/GEA/1103</t>
  </si>
  <si>
    <t>PU/26/SLS/OT/0591-1, SLS26/MF/DN/0007-2</t>
  </si>
  <si>
    <t>SJ/25/GEA/1104</t>
  </si>
  <si>
    <t>PU/26/SLS/OT/0415-1, SLS26/MF/DN/0020-1</t>
  </si>
  <si>
    <t>SJ/25/GEA/1105</t>
  </si>
  <si>
    <t>PU/26/SLS/OT/1009-1, SLS26/MF/DN/0022-1</t>
  </si>
  <si>
    <t>SJ/25/GEA/1106</t>
  </si>
  <si>
    <t>PU/26/SLS/OT/1008-1, SLS26/MF/DN/0021-1</t>
  </si>
  <si>
    <t>SJ/25/GEA/1107</t>
  </si>
  <si>
    <t>PU/26/SLS/OT/0614-1, SLS26/MF/DN/0018-1</t>
  </si>
  <si>
    <t>SJ/25/GEA/1108</t>
  </si>
  <si>
    <t>PU/26/SLS/OT/0586-1, SLS26/MF/DN/0002-1</t>
  </si>
  <si>
    <t>SJ/25/GEA/1109</t>
  </si>
  <si>
    <t>PU/26/SLS/OT/0587-1, SLS26/MF/DN/0003-1</t>
  </si>
  <si>
    <t>SJ/25/GEA/1110</t>
  </si>
  <si>
    <t>PU/26/SLS/OT/0611-1, SLS26/MF/DN/0015-1</t>
  </si>
  <si>
    <t>SJ/25/GEA/1111</t>
  </si>
  <si>
    <t>PU/26/SLS/OT/0589-2, SLS26/MF/DN/0005-1</t>
  </si>
  <si>
    <t>2025-10-09</t>
  </si>
  <si>
    <t>BP/26/SLS/0710</t>
  </si>
  <si>
    <t>PU/26/SLS/OT/0797, PU/26/SLS/OT/0357-1, PU/26/SLS/OT/0610, PU/26/SLS/OT/0796, PU/26/SLS/OT/0794</t>
  </si>
  <si>
    <t>2025-10-10</t>
  </si>
  <si>
    <t>BP/26/SLS/0711</t>
  </si>
  <si>
    <t>PU/26/SLS/OT/0797, PU/26/SLS/OT/0607, PU/26/SLS/OT/0608, PU/26/SLS/OT/0609, PU/26/SLS/OT/0798, PU/26/SLS/OT/0800, PU/26/SLS/OT/0792, PU/26/SLS/OT/0793, PU/26/SLS/OT/0795, PU/26/SLS/OT/0801</t>
  </si>
  <si>
    <t>2025-10-18</t>
  </si>
  <si>
    <t>BP/26/SLS/0758</t>
  </si>
  <si>
    <t>2025-10-29</t>
  </si>
  <si>
    <t>BP/26/SLS/0765</t>
  </si>
  <si>
    <t>2025-11-01</t>
  </si>
  <si>
    <t>BP/26/SLS/0801</t>
  </si>
  <si>
    <t>2025-12-12</t>
  </si>
  <si>
    <t>PU/26/SLS/OT/1356</t>
  </si>
  <si>
    <t>PU/26/SLS/OT/1357</t>
  </si>
  <si>
    <t>PU/26/SLS/OT/1358</t>
  </si>
  <si>
    <t>PU/26/SLS/OT/1359</t>
  </si>
  <si>
    <t>PU/26/SLS/OT/1360</t>
  </si>
  <si>
    <t>PU/26/SLS/OT/1361</t>
  </si>
  <si>
    <t>BP/26/SLS/0958</t>
  </si>
  <si>
    <t>PU/26/SLS/OT/1362-1</t>
  </si>
  <si>
    <t>2025-12-15</t>
  </si>
  <si>
    <t>PU/26/SLS/OT/1365</t>
  </si>
  <si>
    <t>PU/26/SLS/OT/1366-1</t>
  </si>
  <si>
    <t>Weightment Charges Paid - SLSIPL</t>
  </si>
  <si>
    <t>PU/26/SLS/OT/1367</t>
  </si>
  <si>
    <t>PU/26/SLS/OT/1368</t>
  </si>
  <si>
    <t>PU/26/SLS/OT/1369-1</t>
  </si>
  <si>
    <t>PU/26/SLS/OT/1370</t>
  </si>
  <si>
    <t>PU/26/SLS/OT/1371</t>
  </si>
  <si>
    <t>PU/26/SLS/OT/1376</t>
  </si>
  <si>
    <t>PU/26/SLS/OT/1378</t>
  </si>
  <si>
    <t>Transportation Charges Paid - SLSIPL,Handling Charges - Inbound (Exp) - SLSIPL</t>
  </si>
  <si>
    <t>2025-12-16</t>
  </si>
  <si>
    <t>PU/26/SLS/OT/1379</t>
  </si>
  <si>
    <t>MHE Charges Paid - SLSIPL,Handling Charges - Inbound (Exp) - SLSIPL</t>
  </si>
  <si>
    <t>PU/26/SLS/OT/1380</t>
  </si>
  <si>
    <t>PU/26/SLS/OT/1381</t>
  </si>
  <si>
    <t>Storage Charges - Rack - SLSIPL</t>
  </si>
  <si>
    <t>PU/26/SLS/OT/1382</t>
  </si>
  <si>
    <t>Documentation Charges Paid - SLSIPL</t>
  </si>
  <si>
    <t>PU/26/SLS/OT/1383</t>
  </si>
  <si>
    <t>PU/26/SLS/OT/1384</t>
  </si>
  <si>
    <t>PU/26/SLS/OT/1385</t>
  </si>
  <si>
    <t>PU/26/SLS/OT/1386</t>
  </si>
  <si>
    <t>PU/26/SLS/OT/1387</t>
  </si>
  <si>
    <t>PU/26/SLS/OT/1388</t>
  </si>
  <si>
    <t>Handling Charges - Inbound (Exp) - SLSIPL,LCL Movment - Gate in Charge - SLSIPL</t>
  </si>
  <si>
    <t>PU/26/SLS/OT/1390</t>
  </si>
  <si>
    <t>Storage Charges - Cargo - SLSIPL,Transportation Charges Paid - SLSIPL</t>
  </si>
  <si>
    <t>PU/26/SLS/OT/1393</t>
  </si>
  <si>
    <t>PU/26/SLS/OT/1397</t>
  </si>
  <si>
    <t>PU/26/SLS/OT/1398</t>
  </si>
  <si>
    <t>PU/26/SLS/OT/1399</t>
  </si>
  <si>
    <t>PU/26/SLS/OT/1400</t>
  </si>
  <si>
    <t>PU/26/SLS/OT/1401</t>
  </si>
  <si>
    <t>PU/26/SLS/OT/1402</t>
  </si>
  <si>
    <t>PU/26/SLS/OT/1403</t>
  </si>
  <si>
    <t>PU/26/SLS/OT/1404</t>
  </si>
  <si>
    <t>PU/26/SLS/OT/1408</t>
  </si>
  <si>
    <t>PU/26/SLS/OT/1412</t>
  </si>
  <si>
    <t>2025-12-17</t>
  </si>
  <si>
    <t>PU/26/SLS/OT/1413</t>
  </si>
  <si>
    <t>PU/26/SLS/OT/1414</t>
  </si>
  <si>
    <t>PU/26/SLS/OT/1415</t>
  </si>
  <si>
    <t>PU/26/SLS/OT/1416</t>
  </si>
  <si>
    <t>PU/26/SLS/OT/1417</t>
  </si>
  <si>
    <t>PU/26/SLS/OT/1418</t>
  </si>
  <si>
    <t>PU/26/SLS/OT/1419</t>
  </si>
  <si>
    <t>PU/26/SLS/OT/1420</t>
  </si>
  <si>
    <t>PU/26/SLS/OT/1421</t>
  </si>
  <si>
    <t>PU/26/SLS/OT/1422</t>
  </si>
  <si>
    <t>PU/26/SLS/OT/1423</t>
  </si>
  <si>
    <t>PU/26/SLS/OT/1424</t>
  </si>
  <si>
    <t>Transportation Charges Paid - SLSIPL,Storage Charges - Cargo - SLSIPL</t>
  </si>
  <si>
    <t>PU/26/SLS/OT/1425</t>
  </si>
  <si>
    <t>PU/26/SLS/OT/1426</t>
  </si>
  <si>
    <t>PU/26/SLS/OT/1427</t>
  </si>
  <si>
    <t>PU/26/SLS/OT/1428</t>
  </si>
  <si>
    <t>PU/26/SLS/OT/1430</t>
  </si>
  <si>
    <t>PU/26/SLS/OT/1431</t>
  </si>
  <si>
    <t>PU/26/SLS/OT/1432</t>
  </si>
  <si>
    <t>PU/26/SLS/OT/1434</t>
  </si>
  <si>
    <t>PU/26/SLS/OT/1435</t>
  </si>
  <si>
    <t>PU/26/SLS/OT/1437</t>
  </si>
  <si>
    <t>PU/26/SLS/OT/1439</t>
  </si>
  <si>
    <t>PU/26/SLS/OT/1440</t>
  </si>
  <si>
    <t>2025-12-18</t>
  </si>
  <si>
    <t>PU/26/SLS/OT/1447</t>
  </si>
  <si>
    <t>PU/26/SLS/OT/1448</t>
  </si>
  <si>
    <t>PU/26/SLS/OT/1449</t>
  </si>
  <si>
    <t>PU/26/SLS/OT/1452</t>
  </si>
  <si>
    <t>PU/26/SLS/OT/1453</t>
  </si>
  <si>
    <t>PU/26/SLS/OT/1455</t>
  </si>
  <si>
    <t>2025-12-19</t>
  </si>
  <si>
    <t>PU/26/SLS/OT/1457</t>
  </si>
  <si>
    <t>PU/26/SLS/OT/1458</t>
  </si>
  <si>
    <t>PU/26/SLS/OT/1460-1</t>
  </si>
  <si>
    <t>PU/26/SLS/OT/1461</t>
  </si>
  <si>
    <t>2025-12-29</t>
  </si>
  <si>
    <t>PU/26/SLS/OT/1480</t>
  </si>
  <si>
    <t>PU/26/SLS/OT/1480, PU/26/SLS/OT/1480</t>
  </si>
  <si>
    <t>PU/26/SLS/OT/1485</t>
  </si>
  <si>
    <t>PU/26/SLS/OT/1487</t>
  </si>
  <si>
    <t>PU/26/SLS/OT/1487, PU/26/SLS/OT/1487</t>
  </si>
  <si>
    <t>BP/26/SLS/1015</t>
  </si>
  <si>
    <t>PU/26/SLS/OT/1484-1</t>
  </si>
  <si>
    <t>PU/26/SLS/OT/1484-1, PU/26/SLS/OT/1484-1</t>
  </si>
  <si>
    <t>2025-12-30</t>
  </si>
  <si>
    <t>PU/26/SLS/OT/1488</t>
  </si>
  <si>
    <t>PU/26/SLS/OT/1488, PU/26/SLS/OT/1488</t>
  </si>
  <si>
    <t>PU/26/SLS/OT/1489</t>
  </si>
  <si>
    <t>PU/26/SLS/OT/1489, PU/26/SLS/OT/1489</t>
  </si>
  <si>
    <t>PU/26/SLS/OT/1490</t>
  </si>
  <si>
    <t>PU/26/SLS/OT/1492</t>
  </si>
  <si>
    <t>PU/26/SLS/OT/1492, PU/26/SLS/OT/1492</t>
  </si>
  <si>
    <t>PU/26/SLS/OT/1493</t>
  </si>
  <si>
    <t>Intra SEZ Trf Expenses - SLSIPL</t>
  </si>
  <si>
    <t>PU/26/SLS/OT/1493, PU/26/SLS/OT/1493</t>
  </si>
  <si>
    <t>PU/26/SLS/OT/1494</t>
  </si>
  <si>
    <t>PU/26/SLS/OT/1494, PU/26/SLS/OT/1494</t>
  </si>
  <si>
    <t>PU/26/SLS/OT/1495</t>
  </si>
  <si>
    <t>PU/26/SLS/OT/1495, PU/26/SLS/OT/1495</t>
  </si>
  <si>
    <t>PU/26/SLS/OT/1491-1</t>
  </si>
  <si>
    <t>PU/26/SLS/OT/1491-1, PU/26/SLS/OT/1491-1</t>
  </si>
  <si>
    <t>2025-12-31</t>
  </si>
  <si>
    <t>PU/26/SLS/OT/1394-2</t>
  </si>
  <si>
    <t>PU/26/SLS/OT/1394-2, PU/26/SLS/OT/1394-2</t>
  </si>
  <si>
    <t>SJ/25/GEA/1376</t>
  </si>
  <si>
    <t>PU/26/SLS/OT/0585, SLS26/MF/DN/0001-2</t>
  </si>
  <si>
    <t>SJ/25/GEA/1377</t>
  </si>
  <si>
    <t>PU/26/SLS/OT/1422, SLS26/MF/DN/0001-2</t>
  </si>
  <si>
    <t>SJ/25/GEA/1378</t>
  </si>
  <si>
    <t>PU/25/SLS/OT/1856, SLS26/MF/DN/0010-1</t>
  </si>
  <si>
    <t>2026-01-16</t>
  </si>
  <si>
    <t>PU/26/SLS/OT/1553</t>
  </si>
  <si>
    <t>PU/26/SLS/OT/1553, PU/26/SLS/OT/1553</t>
  </si>
  <si>
    <t>PU/26/SLS/OT/1554</t>
  </si>
  <si>
    <t>2026-01-23</t>
  </si>
  <si>
    <t>PU/26/SLS/OT/1538</t>
  </si>
  <si>
    <t>Gate in Charges - Inbound - SLSIPL,Handling Charges - Inbound (Exp) - SLSIPL</t>
  </si>
  <si>
    <t>PU/26/SLS/OT/1538, PU/26/SLS/OT/1538</t>
  </si>
  <si>
    <t>2026-01-28</t>
  </si>
  <si>
    <t>BP/26/SLS/1165-1</t>
  </si>
  <si>
    <t>2026-02-04</t>
  </si>
  <si>
    <t>PU/26/SLS/OT/1636</t>
  </si>
  <si>
    <t>Handling Charges - Outbound (Exp) - SLSIPL,MHE CHARGES - SLSIPL</t>
  </si>
  <si>
    <t>PU/26/SLS/OT/1636, PU/26/SLS/OT/1636</t>
  </si>
  <si>
    <t>PU/26/SLS/OT/1637</t>
  </si>
  <si>
    <t>Handling Charges - Outbound (Exp) - SLSIPL,Gate In Charges Paid - SLSIPL</t>
  </si>
  <si>
    <t>PU/26/SLS/OT/1637, PU/26/SLS/OT/1637</t>
  </si>
  <si>
    <t>PU/26/SLS/OT/1638</t>
  </si>
  <si>
    <t>PU/26/SLS/OT/1638, PU/26/SLS/OT/1638</t>
  </si>
  <si>
    <t>PU/26/SLS/OT/1639</t>
  </si>
  <si>
    <t>PU/26/SLS/OT/1639, PU/26/SLS/OT/1639</t>
  </si>
  <si>
    <t>PU/26/SLS/OT/1640</t>
  </si>
  <si>
    <t>Storage Charges - Cargo - SLSIPL,Gate In Charges Paid - SLSIPL</t>
  </si>
  <si>
    <t>PU/26/SLS/OT/1640, PU/26/SLS/OT/1640</t>
  </si>
  <si>
    <t>2026-02-05</t>
  </si>
  <si>
    <t>PU/26/SLS/OT/1643</t>
  </si>
  <si>
    <t>PU/26/SLS/OT/1643, PU/26/SLS/OT/1643</t>
  </si>
  <si>
    <t>PU/26/SLS/OT/1646</t>
  </si>
  <si>
    <t>PU/26/SLS/OT/1646, PU/26/SLS/OT/1646</t>
  </si>
  <si>
    <t>Sum of Debit (INR)</t>
  </si>
  <si>
    <t>Sum of Credit (INR)</t>
  </si>
  <si>
    <t>Payment</t>
  </si>
  <si>
    <t>Debit</t>
  </si>
  <si>
    <t>Credit</t>
  </si>
  <si>
    <t>Net Amount</t>
  </si>
  <si>
    <t>TDS</t>
  </si>
  <si>
    <t>Rate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</si>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</sst>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0" borderId="0" xfId="0" applyNumberFormat="1" applyAlignment="1">
      <alignment vertical="top"/>
    </xf>
    <xf numFmtId="1" fontId="0" fillId="2" borderId="1" xfId="0" applyNumberFormat="1" applyFill="1" applyBorder="1" applyAlignment="1">
      <alignment vertical="top"/>
    </xf>
    <xf numFmtId="1" fontId="0" fillId="0" borderId="0" xfId="0" applyNumberFormat="1" applyAlignment="1">
      <alignment vertical="top"/>
    </xf>
    <xf numFmtId="1" fontId="0" fillId="3" borderId="1" xfId="0" applyNumberFormat="1" applyFill="1" applyBorder="1" applyAlignment="1">
      <alignment vertical="top"/>
    </xf>
    <xf numFmtId="1" fontId="0" fillId="4" borderId="1" xfId="0" applyNumberFormat="1" applyFill="1" applyBorder="1" applyAlignment="1">
      <alignment vertical="top"/>
    </xf>
    <xf numFmtId="1" fontId="0" fillId="0" borderId="0" xfId="0" applyNumberFormat="1"/>
    <xf numFmtId="0" fontId="0" fillId="3" borderId="1" xfId="0" applyNumberFormat="1" applyFill="1" applyBorder="1" applyAlignment="1">
      <alignment vertical="top"/>
    </xf>
    <xf numFmtId="0" fontId="0" fillId="3" borderId="0" xfId="0" applyFill="1" applyBorder="1" applyAlignment="1">
      <alignment vertical="top"/>
    </xf>
    <xf numFmtId="14" fontId="0" fillId="3" borderId="0" xfId="0" applyNumberFormat="1" applyFill="1" applyBorder="1" applyAlignment="1">
      <alignment horizontal="right" vertical="top"/>
    </xf>
    <xf numFmtId="0" fontId="0" fillId="0" borderId="0" xfId="0" applyBorder="1"/>
    <xf numFmtId="0" fontId="0" fillId="2" borderId="2" xfId="0" applyFill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0" fontId="0" fillId="0" borderId="0" xfId="0" applyAlignment="1"/>
    <xf numFmtId="0" fontId="2" fillId="0" borderId="1" xfId="0" applyFont="1" applyBorder="1" applyAlignment="1"/>
    <xf numFmtId="0" fontId="0" fillId="0" borderId="1" xfId="0" applyBorder="1" applyAlignment="1"/>
    <xf numFmtId="43" fontId="0" fillId="0" borderId="1" xfId="1" applyFont="1" applyBorder="1" applyAlignment="1"/>
    <xf numFmtId="1" fontId="0" fillId="0" borderId="1" xfId="0" applyNumberFormat="1" applyBorder="1" applyAlignment="1"/>
    <xf numFmtId="43" fontId="2" fillId="0" borderId="1" xfId="1" applyFont="1" applyBorder="1" applyAlignment="1"/>
    <xf numFmtId="43" fontId="0" fillId="0" borderId="0" xfId="1" applyFont="1"/>
    <xf numFmtId="1" fontId="0" fillId="0" borderId="1" xfId="0" pivotButton="1" applyNumberFormat="1" applyBorder="1"/>
    <xf numFmtId="1" fontId="0" fillId="0" borderId="1" xfId="0" applyNumberFormat="1" applyBorder="1"/>
    <xf numFmtId="1" fontId="0" fillId="0" borderId="0" xfId="0" applyNumberFormat="1" applyAlignment="1"/>
    <xf numFmtId="43" fontId="0" fillId="0" borderId="1" xfId="1" applyFont="1" applyBorder="1"/>
    <xf numFmtId="4" fontId="0" fillId="0" borderId="0" xfId="0" applyNumberFormat="1"/>
    <xf numFmtId="43" fontId="0" fillId="2" borderId="1" xfId="1" applyFont="1" applyFill="1" applyBorder="1" applyAlignment="1">
      <alignment vertical="top" wrapText="1"/>
    </xf>
    <xf numFmtId="43" fontId="0" fillId="2" borderId="1" xfId="1" applyFont="1" applyFill="1" applyBorder="1" applyAlignment="1">
      <alignment vertical="top"/>
    </xf>
    <xf numFmtId="43" fontId="0" fillId="0" borderId="1" xfId="1" applyFont="1" applyBorder="1" applyAlignment="1">
      <alignment horizontal="right" vertical="top"/>
    </xf>
    <xf numFmtId="43" fontId="0" fillId="0" borderId="1" xfId="1" applyFont="1" applyBorder="1" applyAlignment="1">
      <alignment vertical="top"/>
    </xf>
    <xf numFmtId="43" fontId="0" fillId="0" borderId="0" xfId="1" applyFont="1" applyAlignment="1">
      <alignment horizontal="right" vertical="top"/>
    </xf>
    <xf numFmtId="43" fontId="0" fillId="3" borderId="1" xfId="1" applyFont="1" applyFill="1" applyBorder="1" applyAlignment="1">
      <alignment horizontal="right" vertical="top"/>
    </xf>
    <xf numFmtId="43" fontId="0" fillId="4" borderId="1" xfId="1" applyFont="1" applyFill="1" applyBorder="1" applyAlignment="1">
      <alignment horizontal="right" vertical="top"/>
    </xf>
    <xf numFmtId="43" fontId="0" fillId="0" borderId="0" xfId="1" applyFont="1" applyAlignment="1">
      <alignment vertical="top"/>
    </xf>
    <xf numFmtId="43" fontId="0" fillId="3" borderId="1" xfId="1" applyFont="1" applyFill="1" applyBorder="1" applyAlignment="1">
      <alignment vertical="top"/>
    </xf>
    <xf numFmtId="43" fontId="0" fillId="4" borderId="1" xfId="1" applyFont="1" applyFill="1" applyBorder="1" applyAlignment="1">
      <alignment vertical="top"/>
    </xf>
    <xf numFmtId="9" fontId="0" fillId="2" borderId="1" xfId="2" applyFont="1" applyFill="1" applyBorder="1" applyAlignment="1">
      <alignment vertical="top"/>
    </xf>
    <xf numFmtId="9" fontId="0" fillId="0" borderId="1" xfId="2" applyFont="1" applyBorder="1" applyAlignment="1">
      <alignment vertical="top"/>
    </xf>
    <xf numFmtId="9" fontId="0" fillId="0" borderId="0" xfId="2" applyFont="1" applyAlignment="1">
      <alignment vertical="top"/>
    </xf>
    <xf numFmtId="9" fontId="0" fillId="3" borderId="1" xfId="2" applyFont="1" applyFill="1" applyBorder="1" applyAlignment="1">
      <alignment vertical="top"/>
    </xf>
    <xf numFmtId="9" fontId="0" fillId="4" borderId="1" xfId="2" applyFont="1" applyFill="1" applyBorder="1" applyAlignment="1">
      <alignment vertical="top"/>
    </xf>
    <xf numFmtId="9" fontId="0" fillId="0" borderId="0" xfId="2" applyFont="1"/>
    <xf numFmtId="0" fontId="0" fillId="5" borderId="0" xfId="0" applyFill="1"/>
    <xf numFmtId="43" fontId="0" fillId="0" borderId="0" xfId="0" applyNumberFormat="1"/>
    <xf numFmtId="0" fontId="0" fillId="0" borderId="0" xfId="0" applyFill="1"/>
    <xf numFmtId="1" fontId="2" fillId="0" borderId="1" xfId="0" applyNumberFormat="1" applyFont="1" applyBorder="1"/>
    <xf numFmtId="43" fontId="2" fillId="0" borderId="1" xfId="1" applyFont="1" applyBorder="1"/>
    <xf numFmtId="43" fontId="2" fillId="0" borderId="0" xfId="1" applyFont="1"/>
    <xf numFmtId="164" fontId="0" fillId="0" borderId="1" xfId="0" applyNumberFormat="1" applyBorder="1"/>
    <xf numFmtId="164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50"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_ * #,##0_ ;_ * \-#,##0_ ;_ * &quot;-&quot;??_ ;_ @_ "/>
    </dxf>
    <dxf>
      <numFmt numFmtId="164" formatCode="_ * #,##0_ ;_ * \-#,##0_ ;_ * &quot;-&quot;??_ ;_ @_ "/>
    </dxf>
    <dxf>
      <fill>
        <patternFill patternType="solid">
          <fgColor rgb="FFFFC7CE"/>
          <bgColor rgb="FF000000"/>
        </patternFill>
      </fill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135.580896064814" createdVersion="7" refreshedVersion="7" minRefreshableVersion="3" recordCount="388" xr:uid="{AE52BF79-FBD8-44B3-9349-2ED9C6869D2A}">
  <cacheSource type="worksheet">
    <worksheetSource ref="A1:I389" sheet="Customer Ledger"/>
  </cacheSource>
  <cacheFields count="9">
    <cacheField name="Posting Date" numFmtId="0">
      <sharedItems/>
    </cacheField>
    <cacheField name="Debit (INR)" numFmtId="43">
      <sharedItems containsSemiMixedTypes="0" containsString="0" containsNumber="1" minValue="0" maxValue="700000"/>
    </cacheField>
    <cacheField name="Credit (INR)" numFmtId="43">
      <sharedItems containsSemiMixedTypes="0" containsString="0" containsNumber="1" minValue="0" maxValue="695663.66119999997"/>
    </cacheField>
    <cacheField name="Balance (INR)" numFmtId="43">
      <sharedItems containsSemiMixedTypes="0" containsString="0" containsNumber="1" minValue="-5193789.12" maxValue="1299027.821"/>
    </cacheField>
    <cacheField name="Voucher Subtype" numFmtId="0">
      <sharedItems/>
    </cacheField>
    <cacheField name="Voucher No" numFmtId="0">
      <sharedItems/>
    </cacheField>
    <cacheField name="Against Account" numFmtId="0">
      <sharedItems containsBlank="1"/>
    </cacheField>
    <cacheField name="Against Voucher" numFmtId="0">
      <sharedItems containsBlank="1"/>
    </cacheField>
    <cacheField name="Supplier Invoice No" numFmtId="1">
      <sharedItems containsMixedTypes="1" containsNumber="1" containsInteger="1" minValue="25677941807" maxValue="256779440429" count="360">
        <n v="246779410049"/>
        <n v="246779410303"/>
        <n v="246779410117"/>
        <n v="246779410160"/>
        <n v="246779410203"/>
        <n v="246779410246"/>
        <n v="246779410613"/>
        <n v="246779410612"/>
        <n v="246779410611"/>
        <n v="246779410610"/>
        <n v="246779410608"/>
        <n v="246779410607"/>
        <n v="246779410404"/>
        <n v="246779410428"/>
        <n v="246779410379"/>
        <n v="246779410605"/>
        <n v="246779410606"/>
        <n v="246779410495"/>
        <n v="246779410494"/>
        <n v="246779410496"/>
        <n v="246779410497"/>
        <n v="246779410499"/>
        <n v="246779410500"/>
        <n v="246779410501"/>
        <n v="246779410502"/>
        <n v="246779410503"/>
        <n v="246779410504"/>
        <n v="246779410505"/>
        <n v="246779410506"/>
        <n v="246779410507"/>
        <n v="246779410508"/>
        <n v="246779410843"/>
        <n v="246779410686"/>
        <n v="246779410683"/>
        <n v="246779410759"/>
        <n v="246779410760"/>
        <n v="246779410761"/>
        <n v="246779410763"/>
        <n v="246779410762"/>
        <n v="246779410757"/>
        <n v="246779410765"/>
        <n v="246779410764"/>
        <n v="246779410766"/>
        <n v="246779410756"/>
        <n v="246779410758"/>
        <n v="246779410689"/>
        <n v="246779410693"/>
        <n v="246779410691"/>
        <n v="246779410684"/>
        <n v="246779410685"/>
        <n v="246779410690"/>
        <n v="246779410680"/>
        <n v="246779410681"/>
        <n v="246779410682"/>
        <n v="246779410678"/>
        <n v="246779410845"/>
        <n v="246779410841"/>
        <n v="246779410844"/>
        <n v="246779410842"/>
        <n v="246779410692"/>
        <n v="246779410679"/>
        <n v="246779411128"/>
        <n v="246779410970"/>
        <n v="246779410971"/>
        <n v="246779410974"/>
        <n v="246779410972"/>
        <n v="246779410973"/>
        <n v="246779410896"/>
        <n v="246779410874"/>
        <n v="246779411189"/>
        <n v="246779411188"/>
        <n v="246779411187"/>
        <n v="246779411186"/>
        <n v="246779411185"/>
        <n v="246779411758"/>
        <n v="246779411933"/>
        <n v="246779411934"/>
        <n v="246779411935"/>
        <n v="246779413000"/>
        <n v="246779414142"/>
        <n v="246779411051"/>
        <n v="246779411052"/>
        <n v="246779411053"/>
        <n v="246779411050"/>
        <n v="246779413782"/>
        <n v="246779413627"/>
        <n v="246779413628"/>
        <n v="246779413629"/>
        <n v="246779413690"/>
        <n v="246779413626"/>
        <n v="246779413625"/>
        <n v="246779413622"/>
        <n v="246779413623"/>
        <n v="246779413624"/>
        <n v="246779411054"/>
        <n v="246779411055"/>
        <n v="246779411248"/>
        <n v="246779411249"/>
        <n v="246779411250"/>
        <n v="246779411251"/>
        <n v="246779411252"/>
        <n v="246779414317"/>
        <n v="246779414141"/>
        <n v="246779414467"/>
        <n v="246779414603"/>
        <n v="246779411936"/>
        <n v="246779410348"/>
        <s v="Debit Note"/>
        <n v="246779410360"/>
        <n v="246779413753"/>
        <n v="246779413762"/>
        <n v="246779413745"/>
        <n v="246779413734"/>
        <n v="246779413736"/>
        <n v="246779413739"/>
        <n v="246779413742"/>
        <n v="246779413692"/>
        <n v="246779413693"/>
        <n v="246779413694"/>
        <n v="246779413695"/>
        <n v="246779413696"/>
        <n v="246779410846"/>
        <n v="246779410847"/>
        <n v="246779410849"/>
        <n v="246779410850"/>
        <n v="246779410851"/>
        <n v="246779410852"/>
        <n v="246779410853"/>
        <n v="246779410854"/>
        <n v="246779410855"/>
        <n v="246779414681"/>
        <n v="246779414734"/>
        <n v="246779414885"/>
        <n v="246779414221"/>
        <n v="246779413691"/>
        <n v="246779413772"/>
        <n v="246779411278"/>
        <n v="246779411619"/>
        <n v="246779411620"/>
        <n v="246779411755"/>
        <n v="246779411756"/>
        <n v="246779411759"/>
        <n v="246779411757"/>
        <n v="246779411448"/>
        <n v="246779413689"/>
        <n v="246779413740"/>
        <n v="246779413737"/>
        <n v="246779413735"/>
        <n v="246779413744"/>
        <n v="246779413733"/>
        <n v="246779413743"/>
        <n v="246779414680"/>
        <n v="246779413741"/>
        <n v="246779413933"/>
        <n v="246779410609"/>
        <n v="246779413738"/>
        <n v="246779410498"/>
        <n v="246779413704"/>
        <n v="246779410848"/>
        <n v="246779411300"/>
        <n v="246779410755"/>
        <n v="246779410072"/>
        <n v="246779410688"/>
        <n v="246779410687"/>
        <n v="246779411314"/>
        <n v="256779410157"/>
        <n v="256779410156"/>
        <n v="256779410166"/>
        <n v="256779410174"/>
        <n v="256779410201"/>
        <n v="256779410135"/>
        <n v="256779410134"/>
        <n v="246779411326"/>
        <n v="246779413701"/>
        <n v="256779410812"/>
        <n v="256779410795"/>
        <n v="256779411150"/>
        <n v="256779411148"/>
        <n v="256779411149"/>
        <n v="256779411564"/>
        <n v="256779411563"/>
        <n v="256779411151"/>
        <n v="256779412117"/>
        <n v="25677941807"/>
        <n v="256779412065"/>
        <n v="256779411885"/>
        <n v="256779412100"/>
        <n v="256779411886"/>
        <n v="246779411339"/>
        <n v="256779412161"/>
        <n v="256779412655"/>
        <n v="256779412613"/>
        <n v="256779412468"/>
        <n v="256779412675"/>
        <n v="256779412683"/>
        <n v="256779412461"/>
        <n v="256779412926"/>
        <n v="256779412950"/>
        <n v="256779412941"/>
        <n v="256779412777"/>
        <n v="256779413163"/>
        <n v="256779413127"/>
        <n v="256779413172"/>
        <n v="256779413243"/>
        <n v="256779413357"/>
        <n v="246779413702"/>
        <n v="256779413486"/>
        <n v="256779413837"/>
        <n v="256779413405"/>
        <n v="256779413404"/>
        <n v="256779413427"/>
        <n v="256779413428"/>
        <n v="256779413429"/>
        <n v="256779413430"/>
        <n v="256779413899"/>
        <s v="Payment"/>
        <n v="256779414165"/>
        <n v="256779414216"/>
        <n v="256779414158"/>
        <n v="256779414242"/>
        <n v="256779414386"/>
        <n v="246779413796"/>
        <n v="256779421384"/>
        <n v="246779413705"/>
        <n v="246779413845"/>
        <n v="256779410220"/>
        <n v="246779413816"/>
        <n v="246779413827"/>
        <n v="256779411917"/>
        <n v="256779421361"/>
        <n v="256779421362"/>
        <n v="256779421364"/>
        <n v="256779421365"/>
        <n v="256779421367"/>
        <n v="256779421368"/>
        <n v="256779421369"/>
        <n v="256779421370"/>
        <n v="256779421372"/>
        <n v="256779415945"/>
        <n v="256779415967"/>
        <n v="256779415970"/>
        <n v="256779415995"/>
        <n v="256779410004"/>
        <n v="256779421373"/>
        <n v="256779421374"/>
        <n v="256779421375"/>
        <n v="256779421376"/>
        <n v="256779410010"/>
        <n v="256779416223"/>
        <n v="256779416256"/>
        <n v="256779416088"/>
        <n v="256779416615"/>
        <n v="256779416809"/>
        <n v="256779416878"/>
        <n v="256779416844"/>
        <n v="256779416603"/>
        <n v="256779421377"/>
        <n v="256779412692"/>
        <n v="256779421379"/>
        <n v="256779421381"/>
        <n v="256779414288"/>
        <n v="256779421383"/>
        <n v="256779413283"/>
        <n v="256779421380"/>
        <n v="246779410327"/>
        <n v="246779410333"/>
        <n v="246779410340"/>
        <n v="246779410352"/>
        <n v="246779410338"/>
        <n v="246779410339"/>
        <n v="256779411807"/>
        <n v="256779414743"/>
        <n v="256779414748"/>
        <n v="256779414758"/>
        <n v="256779414340"/>
        <n v="256779415939"/>
        <n v="256779415771"/>
        <n v="256779415801"/>
        <n v="256779415456"/>
        <n v="256779415444"/>
        <n v="256779414968"/>
        <n v="256779415263"/>
        <n v="256779415198"/>
        <n v="256779415048"/>
        <n v="256779414975"/>
        <n v="256779414944"/>
        <n v="256779414890"/>
        <n v="256779414878"/>
        <n v="256779414829"/>
        <n v="256779414768"/>
        <n v="256779416544"/>
        <n v="256779416546"/>
        <n v="256779416444"/>
        <n v="256779416538"/>
        <n v="256779416054"/>
        <n v="256779417373"/>
        <n v="256779417566"/>
        <n v="256779417582"/>
        <n v="256779417594"/>
        <n v="256779417442"/>
        <n v="256779417525"/>
        <n v="256779417410"/>
        <n v="256779417489"/>
        <n v="256779418036"/>
        <n v="256779417939"/>
        <n v="256779418010"/>
        <n v="256779416911"/>
        <n v="256779417286"/>
        <n v="256779417324"/>
        <n v="256779416948"/>
        <n v="256779417261"/>
        <n v="256779417160"/>
        <n v="256779417166"/>
        <n v="256779417173"/>
        <n v="256779419248"/>
        <n v="256779418819"/>
        <n v="256779418869"/>
        <n v="256779418897"/>
        <n v="256779418906"/>
        <n v="256779419076"/>
        <n v="256779419069"/>
        <n v="256779419172"/>
        <n v="256779419556"/>
        <n v="256779419588"/>
        <n v="256779419628"/>
        <n v="256779419465"/>
        <n v="256779419476"/>
        <n v="256779419534"/>
        <n v="256779419547"/>
        <n v="256779419364"/>
        <n v="256779413184"/>
        <n v="256779419867"/>
        <n v="256779419916"/>
        <n v="256779419933"/>
        <n v="256779419795"/>
        <n v="256779418802"/>
        <n v="256779418477"/>
        <n v="246779418620"/>
        <n v="256779418492"/>
        <n v="256779418437"/>
        <n v="256779418428"/>
        <n v="256779418351"/>
        <n v="256779421385"/>
        <n v="256779418168"/>
        <n v="256779418094"/>
        <n v="256779417978"/>
        <n v="256779417084"/>
        <n v="256779416178"/>
        <n v="256779421382"/>
        <n v="256779418103"/>
        <n v="256779440041"/>
        <n v="256779440069"/>
        <n v="256779440118"/>
        <n v="256779440383"/>
        <n v="256779440413"/>
        <n v="256779440429"/>
        <n v="256779440394"/>
        <n v="256779440392"/>
        <n v="256779440210"/>
        <n v="2567794401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">
  <r>
    <s v="2025-02-20"/>
    <n v="0"/>
    <n v="35554.519999999997"/>
    <n v="-35554.519999999997"/>
    <s v="Purchase Invoice"/>
    <s v="PU/25/SLS/OT/1560"/>
    <s v="Fixed Storage Charges - ODC (Covered) - SLSIPL"/>
    <s v="PU/25/SLS/OT/1560"/>
    <x v="0"/>
  </r>
  <r>
    <s v="2025-02-20"/>
    <n v="0"/>
    <n v="35554.519999999997"/>
    <n v="-71109.039999999994"/>
    <s v="Purchase Invoice"/>
    <s v="PU/25/SLS/OT/1561"/>
    <s v="Fixed Storage Charges - ODC (Covered) - SLSIPL"/>
    <s v="PU/25/SLS/OT/1561"/>
    <x v="1"/>
  </r>
  <r>
    <s v="2025-02-20"/>
    <n v="0"/>
    <n v="35554.519999999997"/>
    <n v="-106663.56"/>
    <s v="Purchase Invoice"/>
    <s v="PU/25/SLS/OT/1562"/>
    <s v="Fixed Storage Charges - ODC (Covered) - SLSIPL"/>
    <s v="PU/25/SLS/OT/1562"/>
    <x v="2"/>
  </r>
  <r>
    <s v="2025-02-20"/>
    <n v="0"/>
    <n v="35554.519999999997"/>
    <n v="-142218.07999999999"/>
    <s v="Purchase Invoice"/>
    <s v="PU/25/SLS/OT/1563"/>
    <s v="Fixed Storage Charges - ODC (Covered) - SLSIPL"/>
    <s v="PU/25/SLS/OT/1563"/>
    <x v="3"/>
  </r>
  <r>
    <s v="2025-02-20"/>
    <n v="0"/>
    <n v="35554.519999999997"/>
    <n v="-177772.6"/>
    <s v="Purchase Invoice"/>
    <s v="PU/25/SLS/OT/1564"/>
    <s v="Fixed Storage Charges - ODC (Covered) - SLSIPL"/>
    <s v="PU/25/SLS/OT/1564"/>
    <x v="4"/>
  </r>
  <r>
    <s v="2025-02-20"/>
    <n v="0"/>
    <n v="35554.519999999997"/>
    <n v="-213327.12"/>
    <s v="Purchase Invoice"/>
    <s v="PU/25/SLS/OT/1565"/>
    <s v="Fixed Storage Charges - ODC (Covered) - SLSIPL"/>
    <s v="PU/25/SLS/OT/1565"/>
    <x v="5"/>
  </r>
  <r>
    <s v="2025-03-03"/>
    <n v="0"/>
    <n v="804"/>
    <n v="-214131.12"/>
    <s v="Purchase Invoice"/>
    <s v="PU/25/SLS/OT/1672"/>
    <s v="Handling Charges - Outbound (Exp) - SLSIPL"/>
    <s v="PU/25/SLS/OT/1672"/>
    <x v="6"/>
  </r>
  <r>
    <s v="2025-03-03"/>
    <n v="0"/>
    <n v="1004"/>
    <n v="-215135.12"/>
    <s v="Purchase Invoice"/>
    <s v="PU/25/SLS/OT/1673"/>
    <s v="Handling Charges - Outbound (Exp) - SLSIPL"/>
    <s v="PU/25/SLS/OT/1673"/>
    <x v="7"/>
  </r>
  <r>
    <s v="2025-03-03"/>
    <n v="0"/>
    <n v="402"/>
    <n v="-215537.12"/>
    <s v="Purchase Invoice"/>
    <s v="PU/25/SLS/OT/1674"/>
    <s v="Handling Charges - Outbound (Exp) - SLSIPL"/>
    <s v="PU/25/SLS/OT/1674"/>
    <x v="8"/>
  </r>
  <r>
    <s v="2025-03-03"/>
    <n v="0"/>
    <n v="201"/>
    <n v="-215738.12"/>
    <s v="Purchase Invoice"/>
    <s v="PU/25/SLS/OT/1675"/>
    <s v="Handling Charges - Outbound (Exp) - SLSIPL"/>
    <s v="PU/25/SLS/OT/1675"/>
    <x v="9"/>
  </r>
  <r>
    <s v="2025-03-03"/>
    <n v="0"/>
    <n v="804"/>
    <n v="-216542.12"/>
    <s v="Purchase Invoice"/>
    <s v="PU/25/SLS/OT/1676"/>
    <s v="Handling Charges - Outbound (Exp) - SLSIPL"/>
    <s v="PU/25/SLS/OT/1676"/>
    <x v="10"/>
  </r>
  <r>
    <s v="2025-03-03"/>
    <n v="0"/>
    <n v="402"/>
    <n v="-216944.12"/>
    <s v="Purchase Invoice"/>
    <s v="PU/25/SLS/OT/1677"/>
    <s v="Handling Charges - Outbound (Exp) - SLSIPL"/>
    <s v="PU/25/SLS/OT/1677"/>
    <x v="11"/>
  </r>
  <r>
    <s v="2025-03-03"/>
    <n v="0"/>
    <n v="580687"/>
    <n v="-797631.12"/>
    <s v="Purchase Invoice"/>
    <s v="PU/25/SLS/OT/1718"/>
    <s v="Storage Charges - Cargo - SLSIPL"/>
    <s v="PU/25/SLS/OT/1718"/>
    <x v="12"/>
  </r>
  <r>
    <s v="2025-03-03"/>
    <n v="0"/>
    <n v="340227"/>
    <n v="-1137858.1200000001"/>
    <s v="Purchase Invoice"/>
    <s v="PU/25/SLS/OT/1719"/>
    <s v="Storage Charges - Cargo - SLSIPL"/>
    <s v="PU/25/SLS/OT/1719"/>
    <x v="13"/>
  </r>
  <r>
    <s v="2025-03-03"/>
    <n v="0"/>
    <n v="460370"/>
    <n v="-1598228.12"/>
    <s v="Purchase Invoice"/>
    <s v="PU/25/SLS/OT/1720"/>
    <s v="Storage Charges - Cargo - SLSIPL"/>
    <s v="PU/25/SLS/OT/1720"/>
    <x v="14"/>
  </r>
  <r>
    <s v="2025-03-03"/>
    <n v="0"/>
    <n v="2009"/>
    <n v="-1600237.12"/>
    <s v="Purchase Invoice"/>
    <s v="PU/25/SLS/OT/1721"/>
    <s v="Handling Charges - Outbound (Exp) - SLSIPL"/>
    <s v="PU/25/SLS/OT/1721"/>
    <x v="15"/>
  </r>
  <r>
    <s v="2025-03-03"/>
    <n v="0"/>
    <n v="402"/>
    <n v="-1600639.12"/>
    <s v="Purchase Invoice"/>
    <s v="PU/25/SLS/OT/1722"/>
    <s v="Handling Charges - Outbound (Exp) - SLSIPL"/>
    <s v="PU/25/SLS/OT/1722"/>
    <x v="16"/>
  </r>
  <r>
    <s v="2025-03-03"/>
    <n v="0"/>
    <n v="2009"/>
    <n v="-1602648.12"/>
    <s v="Purchase Invoice"/>
    <s v="PU/25/SLS/OT/1731"/>
    <s v="Handling Charges - Outbound (Exp) - SLSIPL"/>
    <s v="PU/25/SLS/OT/1731"/>
    <x v="17"/>
  </r>
  <r>
    <s v="2025-03-03"/>
    <n v="0"/>
    <n v="201"/>
    <n v="-1602849.12"/>
    <s v="Purchase Invoice"/>
    <s v="PU/25/SLS/OT/1732"/>
    <s v="Handling Charges - Outbound (Exp) - SLSIPL"/>
    <s v="PU/25/SLS/OT/1732"/>
    <x v="18"/>
  </r>
  <r>
    <s v="2025-03-03"/>
    <n v="0"/>
    <n v="201"/>
    <n v="-1603050.12"/>
    <s v="Purchase Invoice"/>
    <s v="PU/25/SLS/OT/1733"/>
    <s v="Handling Charges - Outbound (Exp) - SLSIPL"/>
    <s v="PU/25/SLS/OT/1733"/>
    <x v="19"/>
  </r>
  <r>
    <s v="2025-03-03"/>
    <n v="0"/>
    <n v="201"/>
    <n v="-1603251.12"/>
    <s v="Purchase Invoice"/>
    <s v="PU/25/SLS/OT/1734"/>
    <s v="Handling Charges - Outbound (Exp) - SLSIPL"/>
    <s v="PU/25/SLS/OT/1734"/>
    <x v="20"/>
  </r>
  <r>
    <s v="2025-03-03"/>
    <n v="0"/>
    <n v="804"/>
    <n v="-1604055.12"/>
    <s v="Purchase Invoice"/>
    <s v="PU/25/SLS/OT/1735"/>
    <s v="Handling Charges - Outbound (Exp) - SLSIPL"/>
    <s v="PU/25/SLS/OT/1735"/>
    <x v="21"/>
  </r>
  <r>
    <s v="2025-03-03"/>
    <n v="0"/>
    <n v="201"/>
    <n v="-1604256.12"/>
    <s v="Purchase Invoice"/>
    <s v="PU/25/SLS/OT/1736"/>
    <s v="Handling Charges - Outbound (Exp) - SLSIPL"/>
    <s v="PU/25/SLS/OT/1736"/>
    <x v="22"/>
  </r>
  <r>
    <s v="2025-03-03"/>
    <n v="0"/>
    <n v="1607"/>
    <n v="-1605863.12"/>
    <s v="Purchase Invoice"/>
    <s v="PU/25/SLS/OT/1737"/>
    <s v="Handling Charges - Outbound (Exp) - SLSIPL"/>
    <s v="PU/25/SLS/OT/1737"/>
    <x v="23"/>
  </r>
  <r>
    <s v="2025-03-03"/>
    <n v="0"/>
    <n v="2009"/>
    <n v="-1607872.12"/>
    <s v="Purchase Invoice"/>
    <s v="PU/25/SLS/OT/1738"/>
    <s v="Handling Charges - Outbound (Exp) - SLSIPL"/>
    <s v="PU/25/SLS/OT/1738"/>
    <x v="24"/>
  </r>
  <r>
    <s v="2025-03-03"/>
    <n v="0"/>
    <n v="2009"/>
    <n v="-1609881.12"/>
    <s v="Purchase Invoice"/>
    <s v="PU/25/SLS/OT/1739"/>
    <s v="Handling Charges - Outbound (Exp) - SLSIPL"/>
    <s v="PU/25/SLS/OT/1739"/>
    <x v="25"/>
  </r>
  <r>
    <s v="2025-03-03"/>
    <n v="0"/>
    <n v="201"/>
    <n v="-1610082.12"/>
    <s v="Purchase Invoice"/>
    <s v="PU/25/SLS/OT/1740"/>
    <s v="Handling Charges - Outbound (Exp) - SLSIPL"/>
    <s v="PU/25/SLS/OT/1740"/>
    <x v="26"/>
  </r>
  <r>
    <s v="2025-03-03"/>
    <n v="0"/>
    <n v="603"/>
    <n v="-1610685.12"/>
    <s v="Purchase Invoice"/>
    <s v="PU/25/SLS/OT/1741"/>
    <s v="Handling Charges - Outbound (Exp) - SLSIPL"/>
    <s v="PU/25/SLS/OT/1741"/>
    <x v="27"/>
  </r>
  <r>
    <s v="2025-03-03"/>
    <n v="0"/>
    <n v="402"/>
    <n v="-1611087.12"/>
    <s v="Purchase Invoice"/>
    <s v="PU/25/SLS/OT/1742"/>
    <s v="Handling Charges - Outbound (Exp) - SLSIPL"/>
    <s v="PU/25/SLS/OT/1742"/>
    <x v="28"/>
  </r>
  <r>
    <s v="2025-03-03"/>
    <n v="0"/>
    <n v="402"/>
    <n v="-1611489.12"/>
    <s v="Purchase Invoice"/>
    <s v="PU/25/SLS/OT/1743"/>
    <s v="Handling Charges - Outbound (Exp) - SLSIPL"/>
    <s v="PU/25/SLS/OT/1743"/>
    <x v="29"/>
  </r>
  <r>
    <s v="2025-03-03"/>
    <n v="0"/>
    <n v="201"/>
    <n v="-1611690.12"/>
    <s v="Purchase Invoice"/>
    <s v="PU/25/SLS/OT/1744"/>
    <s v="Handling Charges - Outbound (Exp) - SLSIPL"/>
    <s v="PU/25/SLS/OT/1744"/>
    <x v="30"/>
  </r>
  <r>
    <s v="2025-03-04"/>
    <n v="0"/>
    <n v="403"/>
    <n v="-1612093.12"/>
    <s v="Purchase Invoice"/>
    <s v="PU/25/SLS/OT/1653"/>
    <s v="Handling Charges - Outbound (Exp) - SLSIPL"/>
    <s v="PU/25/SLS/OT/1653"/>
    <x v="31"/>
  </r>
  <r>
    <s v="2025-03-04"/>
    <n v="0"/>
    <n v="805"/>
    <n v="-1612898.12"/>
    <s v="Purchase Invoice"/>
    <s v="PU/25/SLS/OT/1683"/>
    <s v="Handling Charges - Outbound (Exp) - SLSIPL"/>
    <s v="PU/25/SLS/OT/1683"/>
    <x v="32"/>
  </r>
  <r>
    <s v="2025-03-04"/>
    <n v="0"/>
    <n v="201"/>
    <n v="-1613099.12"/>
    <s v="Purchase Invoice"/>
    <s v="PU/25/SLS/OT/1684"/>
    <s v="Handling Charges - Outbound (Exp) - SLSIPL"/>
    <s v="PU/25/SLS/OT/1684"/>
    <x v="33"/>
  </r>
  <r>
    <s v="2025-03-04"/>
    <n v="0"/>
    <n v="604"/>
    <n v="-1613703.12"/>
    <s v="Purchase Invoice"/>
    <s v="PU/25/SLS/OT/1685"/>
    <s v="Handling Charges - Outbound (Exp) - SLSIPL"/>
    <s v="PU/25/SLS/OT/1685"/>
    <x v="34"/>
  </r>
  <r>
    <s v="2025-03-04"/>
    <n v="0"/>
    <n v="1006"/>
    <n v="-1614709.12"/>
    <s v="Purchase Invoice"/>
    <s v="PU/25/SLS/OT/1686"/>
    <s v="Handling Charges - Outbound (Exp) - SLSIPL"/>
    <s v="PU/25/SLS/OT/1686"/>
    <x v="35"/>
  </r>
  <r>
    <s v="2025-03-04"/>
    <n v="0"/>
    <n v="1207"/>
    <n v="-1615916.12"/>
    <s v="Purchase Invoice"/>
    <s v="PU/25/SLS/OT/1687"/>
    <s v="Handling Charges - Outbound (Exp) - SLSIPL"/>
    <s v="PU/25/SLS/OT/1687"/>
    <x v="36"/>
  </r>
  <r>
    <s v="2025-03-04"/>
    <n v="0"/>
    <n v="201"/>
    <n v="-1616117.12"/>
    <s v="Purchase Invoice"/>
    <s v="PU/25/SLS/OT/1688"/>
    <s v="Handling Charges - Outbound (Exp) - SLSIPL"/>
    <s v="PU/25/SLS/OT/1688"/>
    <x v="37"/>
  </r>
  <r>
    <s v="2025-03-04"/>
    <n v="0"/>
    <n v="403"/>
    <n v="-1616520.12"/>
    <s v="Purchase Invoice"/>
    <s v="PU/25/SLS/OT/1689"/>
    <s v="Handling Charges - Outbound (Exp) - SLSIPL"/>
    <s v="PU/25/SLS/OT/1689"/>
    <x v="38"/>
  </r>
  <r>
    <s v="2025-03-04"/>
    <n v="0"/>
    <n v="403"/>
    <n v="-1616923.12"/>
    <s v="Purchase Invoice"/>
    <s v="PU/25/SLS/OT/1690"/>
    <s v="Handling Charges - Outbound (Exp) - SLSIPL"/>
    <s v="PU/25/SLS/OT/1690"/>
    <x v="39"/>
  </r>
  <r>
    <s v="2025-03-04"/>
    <n v="0"/>
    <n v="201"/>
    <n v="-1617124.12"/>
    <s v="Purchase Invoice"/>
    <s v="PU/25/SLS/OT/1691"/>
    <s v="Handling Charges - Outbound (Exp) - SLSIPL"/>
    <s v="PU/25/SLS/OT/1691"/>
    <x v="40"/>
  </r>
  <r>
    <s v="2025-03-04"/>
    <n v="0"/>
    <n v="201"/>
    <n v="-1617325.12"/>
    <s v="Purchase Invoice"/>
    <s v="PU/25/SLS/OT/1692"/>
    <s v="Handling Charges - Outbound (Exp) - SLSIPL"/>
    <s v="PU/25/SLS/OT/1692"/>
    <x v="41"/>
  </r>
  <r>
    <s v="2025-03-04"/>
    <n v="0"/>
    <n v="403"/>
    <n v="-1617728.12"/>
    <s v="Purchase Invoice"/>
    <s v="PU/25/SLS/OT/1693"/>
    <s v="Handling Charges - Outbound (Exp) - SLSIPL"/>
    <s v="PU/25/SLS/OT/1693"/>
    <x v="42"/>
  </r>
  <r>
    <s v="2025-03-04"/>
    <n v="0"/>
    <n v="403"/>
    <n v="-1618131.12"/>
    <s v="Purchase Invoice"/>
    <s v="PU/25/SLS/OT/1694"/>
    <s v="Handling Charges - Outbound (Exp) - SLSIPL"/>
    <s v="PU/25/SLS/OT/1694"/>
    <x v="43"/>
  </r>
  <r>
    <s v="2025-03-04"/>
    <n v="0"/>
    <n v="3219"/>
    <n v="-1621350.12"/>
    <s v="Purchase Invoice"/>
    <s v="PU/25/SLS/OT/1695"/>
    <s v="Handling Charges - Outbound (Exp) - SLSIPL"/>
    <s v="PU/25/SLS/OT/1695"/>
    <x v="44"/>
  </r>
  <r>
    <s v="2025-03-04"/>
    <n v="0"/>
    <n v="403"/>
    <n v="-1621753.12"/>
    <s v="Purchase Invoice"/>
    <s v="PU/25/SLS/OT/1696"/>
    <s v="Handling Charges - Outbound (Exp) - SLSIPL"/>
    <s v="PU/25/SLS/OT/1696"/>
    <x v="45"/>
  </r>
  <r>
    <s v="2025-03-04"/>
    <n v="0"/>
    <n v="805"/>
    <n v="-1622558.12"/>
    <s v="Purchase Invoice"/>
    <s v="PU/25/SLS/OT/1697"/>
    <s v="Handling Charges - Outbound (Exp) - SLSIPL"/>
    <s v="PU/25/SLS/OT/1697"/>
    <x v="46"/>
  </r>
  <r>
    <s v="2025-03-04"/>
    <n v="0"/>
    <n v="604"/>
    <n v="-1623162.12"/>
    <s v="Purchase Invoice"/>
    <s v="PU/25/SLS/OT/1698"/>
    <s v="Handling Charges - Outbound (Exp) - SLSIPL"/>
    <s v="PU/25/SLS/OT/1698"/>
    <x v="47"/>
  </r>
  <r>
    <s v="2025-03-04"/>
    <n v="0"/>
    <n v="604"/>
    <n v="-1623766.12"/>
    <s v="Purchase Invoice"/>
    <s v="PU/25/SLS/OT/1699"/>
    <s v="Handling Charges - Outbound (Exp) - SLSIPL"/>
    <s v="PU/25/SLS/OT/1699"/>
    <x v="48"/>
  </r>
  <r>
    <s v="2025-03-04"/>
    <n v="0"/>
    <n v="201"/>
    <n v="-1623967.12"/>
    <s v="Purchase Invoice"/>
    <s v="PU/25/SLS/OT/1700"/>
    <s v="Handling Charges - Outbound (Exp) - SLSIPL"/>
    <s v="PU/25/SLS/OT/1700"/>
    <x v="49"/>
  </r>
  <r>
    <s v="2025-03-04"/>
    <n v="0"/>
    <n v="3622"/>
    <n v="-1627589.12"/>
    <s v="Purchase Invoice"/>
    <s v="PU/25/SLS/OT/1701"/>
    <s v="Handling Charges - Outbound (Exp) - SLSIPL"/>
    <s v="PU/25/SLS/OT/1701"/>
    <x v="50"/>
  </r>
  <r>
    <s v="2025-03-04"/>
    <n v="0"/>
    <n v="1207"/>
    <n v="-1628796.12"/>
    <s v="Purchase Invoice"/>
    <s v="PU/25/SLS/OT/1702"/>
    <s v="Handling Charges - Outbound (Exp) - SLSIPL"/>
    <s v="PU/25/SLS/OT/1702"/>
    <x v="51"/>
  </r>
  <r>
    <s v="2025-03-04"/>
    <n v="0"/>
    <n v="201"/>
    <n v="-1628997.12"/>
    <s v="Purchase Invoice"/>
    <s v="PU/25/SLS/OT/1703"/>
    <s v="Handling Charges - Outbound (Exp) - SLSIPL"/>
    <s v="PU/25/SLS/OT/1703"/>
    <x v="52"/>
  </r>
  <r>
    <s v="2025-03-04"/>
    <n v="0"/>
    <n v="201"/>
    <n v="-1629198.12"/>
    <s v="Purchase Invoice"/>
    <s v="PU/25/SLS/OT/1704"/>
    <s v="Handling Charges - Outbound (Exp) - SLSIPL"/>
    <s v="PU/25/SLS/OT/1704"/>
    <x v="53"/>
  </r>
  <r>
    <s v="2025-03-04"/>
    <n v="0"/>
    <n v="201"/>
    <n v="-1629399.12"/>
    <s v="Purchase Invoice"/>
    <s v="PU/25/SLS/OT/1705"/>
    <s v="Handling Charges - Outbound (Exp) - SLSIPL"/>
    <s v="PU/25/SLS/OT/1705"/>
    <x v="54"/>
  </r>
  <r>
    <s v="2025-03-04"/>
    <n v="0"/>
    <n v="805"/>
    <n v="-1630204.12"/>
    <s v="Purchase Invoice"/>
    <s v="PU/25/SLS/OT/1706"/>
    <s v="Handling Charges - Outbound (Exp) - SLSIPL"/>
    <s v="PU/25/SLS/OT/1706"/>
    <x v="55"/>
  </r>
  <r>
    <s v="2025-03-04"/>
    <n v="0"/>
    <n v="604"/>
    <n v="-1630808.12"/>
    <s v="Purchase Invoice"/>
    <s v="PU/25/SLS/OT/1707"/>
    <s v="Handling Charges - Outbound (Exp) - SLSIPL"/>
    <s v="PU/25/SLS/OT/1707"/>
    <x v="56"/>
  </r>
  <r>
    <s v="2025-03-04"/>
    <n v="0"/>
    <n v="403"/>
    <n v="-1631211.12"/>
    <s v="Purchase Invoice"/>
    <s v="PU/25/SLS/OT/1708"/>
    <s v="Handling Charges - Outbound (Exp) - SLSIPL"/>
    <s v="PU/25/SLS/OT/1708"/>
    <x v="57"/>
  </r>
  <r>
    <s v="2025-03-04"/>
    <n v="0"/>
    <n v="403"/>
    <n v="-1631614.12"/>
    <s v="Purchase Invoice"/>
    <s v="PU/25/SLS/OT/1709"/>
    <s v="Handling Charges - Outbound (Exp) - SLSIPL"/>
    <s v="PU/25/SLS/OT/1709"/>
    <x v="58"/>
  </r>
  <r>
    <s v="2025-03-04"/>
    <n v="0"/>
    <n v="805"/>
    <n v="-1632419.12"/>
    <s v="Purchase Invoice"/>
    <s v="PU/25/SLS/OT/1723"/>
    <s v="Handling Charges - Outbound (Exp) - SLSIPL"/>
    <s v="PU/25/SLS/OT/1723"/>
    <x v="59"/>
  </r>
  <r>
    <s v="2025-03-04"/>
    <n v="0"/>
    <n v="201"/>
    <n v="-1632620.12"/>
    <s v="Purchase Invoice"/>
    <s v="PU/25/SLS/OT/1724"/>
    <s v="Handling Charges - Outbound (Exp) - SLSIPL"/>
    <s v="PU/25/SLS/OT/1724"/>
    <x v="60"/>
  </r>
  <r>
    <s v="2025-03-06"/>
    <n v="0"/>
    <n v="2406"/>
    <n v="-1635026.12"/>
    <s v="Purchase Invoice"/>
    <s v="PU/25/SLS/OT/1654"/>
    <s v="Handling Charges - Inbound (Exp) - SLSIPL"/>
    <s v="PU/25/SLS/OT/1654"/>
    <x v="61"/>
  </r>
  <r>
    <s v="2025-03-06"/>
    <n v="0"/>
    <n v="1882"/>
    <n v="-1636908.12"/>
    <s v="Purchase Invoice"/>
    <s v="PU/25/SLS/OT/1678"/>
    <s v="Handling Charges - Inbound (Exp) - SLSIPL,Gate In Charges Paid - SLSIPL"/>
    <s v="PU/25/SLS/OT/1678"/>
    <x v="62"/>
  </r>
  <r>
    <s v="2025-03-06"/>
    <n v="0"/>
    <n v="36538"/>
    <n v="-1673446.12"/>
    <s v="Purchase Invoice"/>
    <s v="PU/25/SLS/OT/1679"/>
    <s v="Handling Charges - Inbound (Exp) - SLSIPL,Transportation Charges Paid - SLSIPL"/>
    <s v="PU/25/SLS/OT/1679"/>
    <x v="63"/>
  </r>
  <r>
    <s v="2025-03-06"/>
    <n v="0"/>
    <n v="401"/>
    <n v="-1673847.12"/>
    <s v="Purchase Invoice"/>
    <s v="PU/25/SLS/OT/1680"/>
    <s v="Handling Charges - Inbound (Exp) - SLSIPL"/>
    <s v="PU/25/SLS/OT/1680"/>
    <x v="64"/>
  </r>
  <r>
    <s v="2025-03-06"/>
    <n v="0"/>
    <n v="1481"/>
    <n v="-1675328.12"/>
    <s v="Purchase Invoice"/>
    <s v="PU/25/SLS/OT/1681"/>
    <s v="Handling Charges - Inbound (Exp) - SLSIPL,Gate In Charges Paid - SLSIPL"/>
    <s v="PU/25/SLS/OT/1681"/>
    <x v="65"/>
  </r>
  <r>
    <s v="2025-03-06"/>
    <n v="0"/>
    <n v="2884"/>
    <n v="-1678212.12"/>
    <s v="Purchase Invoice"/>
    <s v="PU/25/SLS/OT/1682"/>
    <s v="Handling Charges - Inbound (Exp) - SLSIPL,Gate In Charges Paid - SLSIPL"/>
    <s v="PU/25/SLS/OT/1682"/>
    <x v="66"/>
  </r>
  <r>
    <s v="2025-03-06"/>
    <n v="0"/>
    <n v="357094"/>
    <n v="-2035306.12"/>
    <s v="Purchase Invoice"/>
    <s v="PU/25/SLS/OT/1716"/>
    <s v="Storage Charges - Cargo - SLSIPL"/>
    <s v="PU/25/SLS/OT/1716"/>
    <x v="67"/>
  </r>
  <r>
    <s v="2025-03-06"/>
    <n v="0"/>
    <n v="241385"/>
    <n v="-2276691.12"/>
    <s v="Purchase Invoice"/>
    <s v="PU/25/SLS/OT/1717"/>
    <s v="Storage Charges - Cargo - SLSIPL"/>
    <s v="PU/25/SLS/OT/1717"/>
    <x v="68"/>
  </r>
  <r>
    <s v="2025-03-06"/>
    <n v="0"/>
    <n v="2004"/>
    <n v="-2278695.12"/>
    <s v="Purchase Invoice"/>
    <s v="PU/25/SLS/OT/1745"/>
    <s v="Handling Charges - Inbound (Exp) - SLSIPL"/>
    <s v="PU/25/SLS/OT/1745"/>
    <x v="69"/>
  </r>
  <r>
    <s v="2025-03-06"/>
    <n v="0"/>
    <n v="2004"/>
    <n v="-2280699.12"/>
    <s v="Purchase Invoice"/>
    <s v="PU/25/SLS/OT/1746"/>
    <s v="Handling Charges - Inbound (Exp) - SLSIPL"/>
    <s v="PU/25/SLS/OT/1746"/>
    <x v="70"/>
  </r>
  <r>
    <s v="2025-03-06"/>
    <n v="0"/>
    <n v="2004"/>
    <n v="-2282703.12"/>
    <s v="Purchase Invoice"/>
    <s v="PU/25/SLS/OT/1747"/>
    <s v="Handling Charges - Inbound (Exp) - SLSIPL"/>
    <s v="PU/25/SLS/OT/1747"/>
    <x v="71"/>
  </r>
  <r>
    <s v="2025-03-06"/>
    <n v="0"/>
    <n v="2004"/>
    <n v="-2284707.12"/>
    <s v="Purchase Invoice"/>
    <s v="PU/25/SLS/OT/1748"/>
    <s v="Handling Charges - Inbound (Exp) - SLSIPL"/>
    <s v="PU/25/SLS/OT/1748"/>
    <x v="72"/>
  </r>
  <r>
    <s v="2025-03-06"/>
    <n v="0"/>
    <n v="2004"/>
    <n v="-2286711.12"/>
    <s v="Purchase Invoice"/>
    <s v="PU/25/SLS/OT/1749"/>
    <s v="Handling Charges - Inbound (Exp) - SLSIPL"/>
    <s v="PU/25/SLS/OT/1749"/>
    <x v="73"/>
  </r>
  <r>
    <s v="2025-03-17"/>
    <n v="0"/>
    <n v="1842"/>
    <n v="-2288553.12"/>
    <s v="Purchase Invoice"/>
    <s v="PU/25/SLS/OT/1863"/>
    <s v="VOS Activity Charges Paid - SLSIPL"/>
    <s v="PU/25/SLS/OT/1863"/>
    <x v="74"/>
  </r>
  <r>
    <s v="2025-03-17"/>
    <n v="0"/>
    <n v="576"/>
    <n v="-2289129.12"/>
    <s v="Purchase Invoice"/>
    <s v="PU/25/SLS/OT/1864"/>
    <s v="VOS Activity Charges Paid - SLSIPL"/>
    <s v="PU/25/SLS/OT/1864"/>
    <x v="75"/>
  </r>
  <r>
    <s v="2025-03-17"/>
    <n v="0"/>
    <n v="336"/>
    <n v="-2289465.12"/>
    <s v="Purchase Invoice"/>
    <s v="PU/25/SLS/OT/1865"/>
    <s v="VOS Activity Charges Paid - SLSIPL"/>
    <s v="PU/25/SLS/OT/1865"/>
    <x v="76"/>
  </r>
  <r>
    <s v="2025-03-17"/>
    <n v="0"/>
    <n v="576"/>
    <n v="-2290041.12"/>
    <s v="Purchase Invoice"/>
    <s v="PU/25/SLS/OT/1866"/>
    <s v="VOS Activity Charges Paid - SLSIPL"/>
    <s v="PU/25/SLS/OT/1866"/>
    <x v="77"/>
  </r>
  <r>
    <s v="2025-03-19"/>
    <n v="0"/>
    <n v="35488"/>
    <n v="-2325529.12"/>
    <s v="Purchase Invoice"/>
    <s v="PU/25/SLS/OT/1730"/>
    <s v="Fixed Storage Charges - ODC (Covered) - SLSIPL"/>
    <s v="PU/25/SLS/OT/1730"/>
    <x v="78"/>
  </r>
  <r>
    <s v="2025-03-20"/>
    <n v="0"/>
    <n v="1268"/>
    <n v="-2326797.12"/>
    <s v="Purchase Invoice"/>
    <s v="PU/25/SLS/OT/1867"/>
    <s v="Gate In Charges Paid - SLSIPL"/>
    <s v="PU/25/SLS/OT/1867"/>
    <x v="79"/>
  </r>
  <r>
    <s v="2025-03-20"/>
    <n v="0"/>
    <n v="1408"/>
    <n v="-2328205.12"/>
    <s v="Purchase Invoice"/>
    <s v="PU/25/SLS/OT/1868"/>
    <s v="Gate In Charges Paid - SLSIPL,Handling Charges - Inbound (Exp) - SLSIPL"/>
    <s v="PU/25/SLS/OT/1868"/>
    <x v="80"/>
  </r>
  <r>
    <s v="2025-03-20"/>
    <n v="0"/>
    <n v="381"/>
    <n v="-2328586.12"/>
    <s v="Purchase Invoice"/>
    <s v="PU/25/SLS/OT/1869"/>
    <s v="Handling Charges - Inbound (Exp) - SLSIPL"/>
    <s v="PU/25/SLS/OT/1869"/>
    <x v="81"/>
  </r>
  <r>
    <s v="2025-03-20"/>
    <n v="0"/>
    <n v="1981"/>
    <n v="-2330567.12"/>
    <s v="Purchase Invoice"/>
    <s v="PU/25/SLS/OT/1870"/>
    <s v="Gate In Charges Paid - SLSIPL,Handling Charges - Inbound (Exp) - SLSIPL"/>
    <s v="PU/25/SLS/OT/1870"/>
    <x v="82"/>
  </r>
  <r>
    <s v="2025-03-20"/>
    <n v="0"/>
    <n v="1907"/>
    <n v="-2332474.12"/>
    <s v="Purchase Invoice"/>
    <s v="PU/25/SLS/OT/1871"/>
    <s v="Handling Charges - Inbound (Exp) - SLSIPL"/>
    <s v="PU/25/SLS/OT/1871"/>
    <x v="83"/>
  </r>
  <r>
    <s v="2025-03-20"/>
    <n v="0"/>
    <n v="596"/>
    <n v="-2333070.12"/>
    <s v="Purchase Invoice"/>
    <s v="PU/25/SLS/OT/1872"/>
    <s v="Handling Charges - Outbound (Exp) - SLSIPL"/>
    <s v="PU/25/SLS/OT/1872"/>
    <x v="84"/>
  </r>
  <r>
    <s v="2025-03-20"/>
    <n v="0"/>
    <n v="3578"/>
    <n v="-2336648.12"/>
    <s v="Purchase Invoice"/>
    <s v="PU/25/SLS/OT/1873"/>
    <s v="Handling Charges - Outbound (Exp) - SLSIPL"/>
    <s v="PU/25/SLS/OT/1873"/>
    <x v="85"/>
  </r>
  <r>
    <s v="2025-03-20"/>
    <n v="0"/>
    <n v="198"/>
    <n v="-2336846.12"/>
    <s v="Purchase Invoice"/>
    <s v="PU/25/SLS/OT/1874"/>
    <s v="Handling Charges - Outbound (Exp) - SLSIPL"/>
    <s v="PU/25/SLS/OT/1874"/>
    <x v="86"/>
  </r>
  <r>
    <s v="2025-03-20"/>
    <n v="0"/>
    <n v="397"/>
    <n v="-2337243.12"/>
    <s v="Purchase Invoice"/>
    <s v="PU/25/SLS/OT/1875"/>
    <s v="Handling Charges - Outbound (Exp) - SLSIPL"/>
    <s v="PU/25/SLS/OT/1875"/>
    <x v="87"/>
  </r>
  <r>
    <s v="2025-03-20"/>
    <n v="0"/>
    <n v="198"/>
    <n v="-2337441.12"/>
    <s v="Purchase Invoice"/>
    <s v="PU/25/SLS/OT/1876"/>
    <s v="Handling Charges - Outbound (Exp) - SLSIPL"/>
    <s v="PU/25/SLS/OT/1876"/>
    <x v="88"/>
  </r>
  <r>
    <s v="2025-03-20"/>
    <n v="0"/>
    <n v="7156"/>
    <n v="-2344597.12"/>
    <s v="Purchase Invoice"/>
    <s v="PU/25/SLS/OT/1877"/>
    <s v="Handling Charges - Outbound (Exp) - SLSIPL"/>
    <s v="PU/25/SLS/OT/1877"/>
    <x v="89"/>
  </r>
  <r>
    <s v="2025-03-20"/>
    <n v="0"/>
    <n v="198"/>
    <n v="-2344795.12"/>
    <s v="Purchase Invoice"/>
    <s v="PU/25/SLS/OT/1878"/>
    <s v="Handling Charges - Outbound (Exp) - SLSIPL"/>
    <s v="PU/25/SLS/OT/1878"/>
    <x v="90"/>
  </r>
  <r>
    <s v="2025-03-20"/>
    <n v="0"/>
    <n v="1590"/>
    <n v="-2346385.12"/>
    <s v="Purchase Invoice"/>
    <s v="PU/25/SLS/OT/1879"/>
    <s v="Handling Charges - Outbound (Exp) - SLSIPL"/>
    <s v="PU/25/SLS/OT/1879"/>
    <x v="91"/>
  </r>
  <r>
    <s v="2025-03-20"/>
    <n v="0"/>
    <n v="198"/>
    <n v="-2346583.12"/>
    <s v="Purchase Invoice"/>
    <s v="PU/25/SLS/OT/1880"/>
    <s v="Handling Charges - Outbound (Exp) - SLSIPL"/>
    <s v="PU/25/SLS/OT/1880"/>
    <x v="92"/>
  </r>
  <r>
    <s v="2025-03-20"/>
    <n v="0"/>
    <n v="596"/>
    <n v="-2347179.12"/>
    <s v="Purchase Invoice"/>
    <s v="PU/25/SLS/OT/1881"/>
    <s v="Handling Charges - Outbound (Exp) - SLSIPL"/>
    <s v="PU/25/SLS/OT/1881"/>
    <x v="93"/>
  </r>
  <r>
    <s v="2025-03-31"/>
    <n v="0"/>
    <n v="4387"/>
    <n v="-2351566.12"/>
    <s v="Purchase Invoice"/>
    <s v="PU/25/SLS/OT/1808"/>
    <s v="Handling Charges - Inbound (Exp) - SLSIPL"/>
    <s v="PU/25/SLS/OT/1808"/>
    <x v="94"/>
  </r>
  <r>
    <s v="2025-03-31"/>
    <n v="0"/>
    <n v="1408"/>
    <n v="-2352974.12"/>
    <s v="Purchase Invoice"/>
    <s v="PU/25/SLS/OT/1809"/>
    <s v="Handling Charges - Inbound (Exp) - SLSIPL,Gate In Charges Paid - SLSIPL"/>
    <s v="PU/25/SLS/OT/1809"/>
    <x v="95"/>
  </r>
  <r>
    <s v="2025-03-31"/>
    <n v="0"/>
    <n v="3434"/>
    <n v="-2356408.12"/>
    <s v="Purchase Invoice"/>
    <s v="PU/25/SLS/OT/1810"/>
    <s v="Handling Charges - Inbound (Exp) - SLSIPL"/>
    <s v="PU/25/SLS/OT/1810"/>
    <x v="96"/>
  </r>
  <r>
    <s v="2025-03-31"/>
    <n v="0"/>
    <n v="13737"/>
    <n v="-2370145.12"/>
    <s v="Purchase Invoice"/>
    <s v="PU/25/SLS/OT/1811"/>
    <s v="Handling Charges - Inbound (Exp) - SLSIPL"/>
    <s v="PU/25/SLS/OT/1811"/>
    <x v="97"/>
  </r>
  <r>
    <s v="2025-03-31"/>
    <n v="0"/>
    <n v="1599"/>
    <n v="-2371744.12"/>
    <s v="Purchase Invoice"/>
    <s v="PU/25/SLS/OT/1812"/>
    <s v="Handling Charges - Inbound (Exp) - SLSIPL,Gate In Charges Paid - SLSIPL"/>
    <s v="PU/25/SLS/OT/1812"/>
    <x v="98"/>
  </r>
  <r>
    <s v="2025-03-31"/>
    <n v="0"/>
    <n v="1599"/>
    <n v="-2373343.12"/>
    <s v="Purchase Invoice"/>
    <s v="PU/25/SLS/OT/1813"/>
    <s v="Handling Charges - Inbound (Exp) - SLSIPL,Gate In Charges Paid - SLSIPL"/>
    <s v="PU/25/SLS/OT/1813"/>
    <x v="99"/>
  </r>
  <r>
    <s v="2025-03-31"/>
    <n v="0"/>
    <n v="1907"/>
    <n v="-2375250.12"/>
    <s v="Purchase Invoice"/>
    <s v="PU/25/SLS/OT/1814"/>
    <s v="Handling Charges - Inbound (Exp) - SLSIPL"/>
    <s v="PU/25/SLS/OT/1814"/>
    <x v="100"/>
  </r>
  <r>
    <s v="2025-03-31"/>
    <n v="0"/>
    <n v="1907"/>
    <n v="-2377157.12"/>
    <s v="Purchase Invoice"/>
    <s v="PU/25/SLS/OT/1815"/>
    <s v="Handling Charges - Inbound (Exp) - SLSIPL"/>
    <s v="PU/25/SLS/OT/1815"/>
    <x v="101"/>
  </r>
  <r>
    <s v="2025-03-31"/>
    <n v="0"/>
    <n v="4652"/>
    <n v="-2381809.12"/>
    <s v="Purchase Invoice"/>
    <s v="PU/25/SLS/OT/1816"/>
    <s v="Handling Charges - Inbound (Exp) - SLSIPL"/>
    <s v="PU/25/SLS/OT/1816"/>
    <x v="102"/>
  </r>
  <r>
    <s v="2025-03-31"/>
    <n v="0"/>
    <n v="2674"/>
    <n v="-2384483.12"/>
    <s v="Purchase Invoice"/>
    <s v="PU/25/SLS/OT/1817"/>
    <s v="Handling Charges - Inbound (Exp) - SLSIPL"/>
    <s v="PU/25/SLS/OT/1817"/>
    <x v="103"/>
  </r>
  <r>
    <s v="2025-03-31"/>
    <n v="0"/>
    <n v="34760"/>
    <n v="-2419243.12"/>
    <s v="Purchase Invoice"/>
    <s v="PU/25/SLS/OT/1818"/>
    <s v="Handling Charges - Outbound (Exp) - SLSIPL"/>
    <s v="PU/25/SLS/OT/1818"/>
    <x v="104"/>
  </r>
  <r>
    <s v="2025-03-31"/>
    <n v="0"/>
    <n v="480"/>
    <n v="-2419723.12"/>
    <s v="Purchase Invoice"/>
    <s v="PU/25/SLS/OT/1819"/>
    <s v="VOS Activity Charges Paid - SLSIPL"/>
    <s v="PU/25/SLS/OT/1819"/>
    <x v="105"/>
  </r>
  <r>
    <s v="2025-07-11"/>
    <n v="0"/>
    <n v="151725"/>
    <n v="-1632350.6"/>
    <s v="Purchase Invoice"/>
    <s v="PU/26/SLS/OT/0415-1"/>
    <s v="Storage Charges - Cargo - SLSIPL"/>
    <s v="PU/26/SLS/OT/0415-1"/>
    <x v="106"/>
  </r>
  <r>
    <s v="2025-10-07"/>
    <n v="15778"/>
    <n v="15778"/>
    <n v="-757662.59999999963"/>
    <s v="Debit Note"/>
    <s v="SJ/25/GEA/1104"/>
    <m/>
    <s v="PU/26/SLS/OT/0415-1, SLS26/MF/DN/0020-1"/>
    <x v="107"/>
  </r>
  <r>
    <s v="2025-04-01"/>
    <n v="0"/>
    <n v="59624"/>
    <n v="-3015382.12"/>
    <s v="Purchase Invoice"/>
    <s v="PU/26/SLS/OT/0591-1"/>
    <s v="Storage Charges - Cargo - SLSIPL"/>
    <s v="PU/26/SLS/OT/0591-1"/>
    <x v="108"/>
  </r>
  <r>
    <s v="2025-03-31"/>
    <n v="0"/>
    <n v="31723"/>
    <n v="-2522653.12"/>
    <s v="Purchase Invoice"/>
    <s v="PU/25/SLS/OT/1823"/>
    <s v="Container Scanning Paid - SLSIPL"/>
    <s v="PU/25/SLS/OT/1823"/>
    <x v="109"/>
  </r>
  <r>
    <s v="2025-03-31"/>
    <n v="0"/>
    <n v="191"/>
    <n v="-2522844.12"/>
    <s v="Purchase Invoice"/>
    <s v="PU/25/SLS/OT/1824"/>
    <s v="Handling Charges - Outbound (Exp) - SLSIPL"/>
    <s v="PU/25/SLS/OT/1824"/>
    <x v="110"/>
  </r>
  <r>
    <s v="2025-03-31"/>
    <n v="0"/>
    <n v="3064"/>
    <n v="-2525908.12"/>
    <s v="Purchase Invoice"/>
    <s v="PU/25/SLS/OT/1825"/>
    <s v="Handling Charges - Outbound (Exp) - SLSIPL"/>
    <s v="PU/25/SLS/OT/1825"/>
    <x v="111"/>
  </r>
  <r>
    <s v="2025-03-31"/>
    <n v="0"/>
    <n v="3448"/>
    <n v="-2529356.12"/>
    <s v="Purchase Invoice"/>
    <s v="PU/25/SLS/OT/1826"/>
    <s v="Handling Charges - Outbound (Exp) - SLSIPL"/>
    <s v="PU/25/SLS/OT/1826"/>
    <x v="112"/>
  </r>
  <r>
    <s v="2025-03-31"/>
    <n v="0"/>
    <n v="6513"/>
    <n v="-2535869.12"/>
    <s v="Purchase Invoice"/>
    <s v="PU/25/SLS/OT/1827"/>
    <s v="Handling Charges - Outbound (Exp) - SLSIPL"/>
    <s v="PU/25/SLS/OT/1827"/>
    <x v="113"/>
  </r>
  <r>
    <s v="2025-03-31"/>
    <n v="0"/>
    <n v="1724"/>
    <n v="-2537593.12"/>
    <s v="Purchase Invoice"/>
    <s v="PU/25/SLS/OT/1828"/>
    <s v="Handling Charges - Outbound (Exp) - SLSIPL"/>
    <s v="PU/25/SLS/OT/1828"/>
    <x v="114"/>
  </r>
  <r>
    <s v="2025-03-31"/>
    <n v="0"/>
    <n v="1149"/>
    <n v="-2538742.12"/>
    <s v="Purchase Invoice"/>
    <s v="PU/25/SLS/OT/1829"/>
    <s v="Handling Charges - Outbound (Exp) - SLSIPL"/>
    <s v="PU/25/SLS/OT/1829"/>
    <x v="115"/>
  </r>
  <r>
    <s v="2025-03-31"/>
    <n v="0"/>
    <n v="191"/>
    <n v="-2538933.12"/>
    <s v="Purchase Invoice"/>
    <s v="PU/25/SLS/OT/1830"/>
    <s v="Handling Charges - Outbound (Exp) - SLSIPL"/>
    <s v="PU/25/SLS/OT/1830"/>
    <x v="116"/>
  </r>
  <r>
    <s v="2025-03-31"/>
    <n v="0"/>
    <n v="6896"/>
    <n v="-2545829.12"/>
    <s v="Purchase Invoice"/>
    <s v="PU/25/SLS/OT/1831"/>
    <s v="Handling Charges - Outbound (Exp) - SLSIPL"/>
    <s v="PU/25/SLS/OT/1831"/>
    <x v="117"/>
  </r>
  <r>
    <s v="2025-03-31"/>
    <n v="0"/>
    <n v="3448"/>
    <n v="-2549277.12"/>
    <s v="Purchase Invoice"/>
    <s v="PU/25/SLS/OT/1832"/>
    <s v="Handling Charges - Outbound (Exp) - SLSIPL"/>
    <s v="PU/25/SLS/OT/1832"/>
    <x v="118"/>
  </r>
  <r>
    <s v="2025-03-31"/>
    <n v="0"/>
    <n v="191"/>
    <n v="-2549468.12"/>
    <s v="Purchase Invoice"/>
    <s v="PU/25/SLS/OT/1833"/>
    <s v="Handling Charges - Outbound (Exp) - SLSIPL"/>
    <s v="PU/25/SLS/OT/1833"/>
    <x v="119"/>
  </r>
  <r>
    <s v="2025-03-31"/>
    <n v="0"/>
    <n v="382"/>
    <n v="-2549850.12"/>
    <s v="Purchase Invoice"/>
    <s v="PU/25/SLS/OT/1834"/>
    <s v="Handling Charges - Outbound (Exp) - SLSIPL"/>
    <s v="PU/25/SLS/OT/1834"/>
    <x v="120"/>
  </r>
  <r>
    <s v="2025-03-31"/>
    <n v="0"/>
    <n v="381"/>
    <n v="-2550231.12"/>
    <s v="Purchase Invoice"/>
    <s v="PU/25/SLS/OT/1835"/>
    <s v="Handling Charges - Outbound (Exp) - SLSIPL"/>
    <s v="PU/25/SLS/OT/1835"/>
    <x v="121"/>
  </r>
  <r>
    <s v="2025-03-31"/>
    <n v="0"/>
    <n v="1528"/>
    <n v="-2551759.12"/>
    <s v="Purchase Invoice"/>
    <s v="PU/25/SLS/OT/1836"/>
    <s v="Handling Charges - Outbound (Exp) - SLSIPL"/>
    <s v="PU/25/SLS/OT/1836"/>
    <x v="122"/>
  </r>
  <r>
    <s v="2025-03-31"/>
    <n v="0"/>
    <n v="3436"/>
    <n v="-2555195.12"/>
    <s v="Purchase Invoice"/>
    <s v="PU/25/SLS/OT/1837"/>
    <s v="Handling Charges - Outbound (Exp) - SLSIPL"/>
    <s v="PU/25/SLS/OT/1837"/>
    <x v="123"/>
  </r>
  <r>
    <s v="2025-03-31"/>
    <n v="0"/>
    <n v="763"/>
    <n v="-2555958.12"/>
    <s v="Purchase Invoice"/>
    <s v="PU/25/SLS/OT/1838"/>
    <s v="Handling Charges - Outbound (Exp) - SLSIPL"/>
    <s v="PU/25/SLS/OT/1838"/>
    <x v="124"/>
  </r>
  <r>
    <s v="2025-03-31"/>
    <n v="0"/>
    <n v="381"/>
    <n v="-2556339.12"/>
    <s v="Purchase Invoice"/>
    <s v="PU/25/SLS/OT/1839"/>
    <s v="Handling Charges - Outbound (Exp) - SLSIPL"/>
    <s v="PU/25/SLS/OT/1839"/>
    <x v="125"/>
  </r>
  <r>
    <s v="2025-03-31"/>
    <n v="0"/>
    <n v="381"/>
    <n v="-2556720.12"/>
    <s v="Purchase Invoice"/>
    <s v="PU/25/SLS/OT/1840"/>
    <s v="Handling Charges - Outbound (Exp) - SLSIPL"/>
    <s v="PU/25/SLS/OT/1840"/>
    <x v="126"/>
  </r>
  <r>
    <s v="2025-03-31"/>
    <n v="0"/>
    <n v="190"/>
    <n v="-2556910.12"/>
    <s v="Purchase Invoice"/>
    <s v="PU/25/SLS/OT/1841"/>
    <s v="Handling Charges - Outbound (Exp) - SLSIPL"/>
    <s v="PU/25/SLS/OT/1841"/>
    <x v="127"/>
  </r>
  <r>
    <s v="2025-03-31"/>
    <n v="0"/>
    <n v="1145"/>
    <n v="-2558055.12"/>
    <s v="Purchase Invoice"/>
    <s v="PU/25/SLS/OT/1842"/>
    <s v="Handling Charges - Outbound (Exp) - SLSIPL"/>
    <s v="PU/25/SLS/OT/1842"/>
    <x v="128"/>
  </r>
  <r>
    <s v="2025-03-31"/>
    <n v="0"/>
    <n v="1527"/>
    <n v="-2559582.12"/>
    <s v="Purchase Invoice"/>
    <s v="PU/25/SLS/OT/1843"/>
    <s v="Handling Charges - Outbound (Exp) - SLSIPL"/>
    <s v="PU/25/SLS/OT/1843"/>
    <x v="129"/>
  </r>
  <r>
    <s v="2025-03-31"/>
    <n v="0"/>
    <n v="1268"/>
    <n v="-2560850.12"/>
    <s v="Purchase Invoice"/>
    <s v="PU/25/SLS/OT/1844"/>
    <s v="Handling Charges - Outbound (Exp) - SLSIPL"/>
    <s v="PU/25/SLS/OT/1844"/>
    <x v="130"/>
  </r>
  <r>
    <s v="2025-03-31"/>
    <n v="0"/>
    <n v="211"/>
    <n v="-2561061.12"/>
    <s v="Purchase Invoice"/>
    <s v="PU/25/SLS/OT/1849"/>
    <s v="Handling Charges - Inbound (Exp) - SLSIPL"/>
    <s v="PU/25/SLS/OT/1849"/>
    <x v="131"/>
  </r>
  <r>
    <s v="2025-03-31"/>
    <n v="0"/>
    <n v="211"/>
    <n v="-2561272.12"/>
    <s v="Purchase Invoice"/>
    <s v="PU/25/SLS/OT/1850"/>
    <s v="Handling Charges - Outbound (Exp) - SLSIPL"/>
    <s v="PU/25/SLS/OT/1850"/>
    <x v="132"/>
  </r>
  <r>
    <s v="2025-03-31"/>
    <n v="0"/>
    <n v="17701"/>
    <n v="-2578973.12"/>
    <s v="Purchase Invoice"/>
    <s v="PU/25/SLS/OT/1851"/>
    <s v="Handling Charges - Outbound (Exp) - SLSIPL"/>
    <s v="PU/25/SLS/OT/1851"/>
    <x v="133"/>
  </r>
  <r>
    <s v="2025-03-31"/>
    <n v="0"/>
    <n v="596"/>
    <n v="-2579569.12"/>
    <s v="Purchase Invoice"/>
    <s v="PU/25/SLS/OT/1852"/>
    <s v="Handling Charges - Outbound (Exp) - SLSIPL"/>
    <s v="PU/25/SLS/OT/1852"/>
    <x v="134"/>
  </r>
  <r>
    <s v="2025-03-31"/>
    <n v="0"/>
    <n v="994"/>
    <n v="-2580563.12"/>
    <s v="Purchase Invoice"/>
    <s v="PU/25/SLS/OT/1853"/>
    <s v="Handling Charges - Outbound (Exp) - SLSIPL"/>
    <s v="PU/25/SLS/OT/1853"/>
    <x v="135"/>
  </r>
  <r>
    <s v="2025-10-07"/>
    <n v="4786"/>
    <n v="4786"/>
    <n v="-757662.59999999963"/>
    <s v="Debit Note"/>
    <s v="SJ/25/GEA/1103"/>
    <m/>
    <s v="PU/26/SLS/OT/0591-1, SLS26/MF/DN/0007-2"/>
    <x v="107"/>
  </r>
  <r>
    <s v="2025-07-31"/>
    <n v="0"/>
    <n v="44602"/>
    <n v="-288272.59999999963"/>
    <s v="Purchase Invoice"/>
    <s v="PU/26/SLS/OT/1009-1"/>
    <s v="Container Scanning Paid - SLSIPL"/>
    <s v="PU/26/SLS/OT/1009-1"/>
    <x v="136"/>
  </r>
  <r>
    <s v="2025-03-31"/>
    <n v="0"/>
    <n v="143412"/>
    <n v="-2750354.12"/>
    <s v="Purchase Invoice"/>
    <s v="PU/25/SLS/OT/1857"/>
    <s v="VOS Activity Charges Paid - SLSIPL"/>
    <s v="PU/25/SLS/OT/1857"/>
    <x v="137"/>
  </r>
  <r>
    <s v="2025-03-31"/>
    <n v="0"/>
    <n v="5816"/>
    <n v="-2756170.12"/>
    <s v="Purchase Invoice"/>
    <s v="PU/25/SLS/OT/1858"/>
    <s v="VOS Activity Charges Paid - SLSIPL"/>
    <s v="PU/25/SLS/OT/1858"/>
    <x v="138"/>
  </r>
  <r>
    <s v="2025-03-31"/>
    <n v="0"/>
    <n v="5816"/>
    <n v="-2761986.12"/>
    <s v="Purchase Invoice"/>
    <s v="PU/25/SLS/OT/1859"/>
    <s v="VOS Activity Charges Paid - SLSIPL"/>
    <s v="PU/25/SLS/OT/1859"/>
    <x v="139"/>
  </r>
  <r>
    <s v="2025-03-31"/>
    <n v="0"/>
    <n v="4339"/>
    <n v="-2766325.12"/>
    <s v="Purchase Invoice"/>
    <s v="PU/25/SLS/OT/1860"/>
    <s v="VOS Activity Charges Paid - SLSIPL"/>
    <s v="PU/25/SLS/OT/1860"/>
    <x v="140"/>
  </r>
  <r>
    <s v="2025-03-31"/>
    <n v="0"/>
    <n v="6761"/>
    <n v="-2773086.12"/>
    <s v="Purchase Invoice"/>
    <s v="PU/25/SLS/OT/1861"/>
    <s v="VOS Activity Charges Paid - SLSIPL"/>
    <s v="PU/25/SLS/OT/1861"/>
    <x v="141"/>
  </r>
  <r>
    <s v="2025-03-31"/>
    <n v="0"/>
    <n v="3110"/>
    <n v="-2776196.12"/>
    <s v="Purchase Invoice"/>
    <s v="PU/25/SLS/OT/1862"/>
    <s v="VOS Activity Charges Paid - SLSIPL"/>
    <s v="PU/25/SLS/OT/1862"/>
    <x v="142"/>
  </r>
  <r>
    <s v="2025-10-07"/>
    <n v="36410"/>
    <n v="36410"/>
    <n v="-757662.59999999963"/>
    <s v="Debit Note"/>
    <s v="SJ/25/GEA/1105"/>
    <m/>
    <s v="PU/26/SLS/OT/1009-1, SLS26/MF/DN/0022-1"/>
    <x v="107"/>
  </r>
  <r>
    <s v="2025-04-01"/>
    <n v="0"/>
    <n v="1161"/>
    <n v="-2810733.12"/>
    <s v="Purchase Invoice"/>
    <s v="PU/26/SLS/OT/0048"/>
    <s v="VOS Activity Charges Paid - SLSIPL"/>
    <s v="PU/26/SLS/OT/0048"/>
    <x v="143"/>
  </r>
  <r>
    <s v="2025-04-01"/>
    <n v="0"/>
    <n v="1591"/>
    <n v="-2812324.12"/>
    <s v="Purchase Invoice"/>
    <s v="PU/26/SLS/OT/0193"/>
    <s v="Handling Charges - Outbound (Exp) - SLSIPL"/>
    <s v="PU/26/SLS/OT/0193"/>
    <x v="144"/>
  </r>
  <r>
    <s v="2025-04-01"/>
    <n v="0"/>
    <n v="574"/>
    <n v="-2812898.12"/>
    <s v="Purchase Invoice"/>
    <s v="PU/26/SLS/OT/0194"/>
    <s v="Handling Charges - Outbound (Exp) - SLSIPL"/>
    <s v="PU/26/SLS/OT/0194"/>
    <x v="145"/>
  </r>
  <r>
    <s v="2025-04-01"/>
    <n v="0"/>
    <n v="574"/>
    <n v="-2813472.12"/>
    <s v="Purchase Invoice"/>
    <s v="PU/26/SLS/OT/0195"/>
    <s v="Handling Charges - Outbound (Exp) - SLSIPL"/>
    <s v="PU/26/SLS/OT/0195"/>
    <x v="146"/>
  </r>
  <r>
    <s v="2025-04-01"/>
    <n v="0"/>
    <n v="6896"/>
    <n v="-2820368.12"/>
    <s v="Purchase Invoice"/>
    <s v="PU/26/SLS/OT/0196"/>
    <s v="Handling Charges - Outbound (Exp) - SLSIPL"/>
    <s v="PU/26/SLS/OT/0196"/>
    <x v="147"/>
  </r>
  <r>
    <s v="2025-04-01"/>
    <n v="0"/>
    <n v="191"/>
    <n v="-2820559.12"/>
    <s v="Purchase Invoice"/>
    <s v="PU/26/SLS/OT/0197"/>
    <s v="Handling Charges - Outbound (Exp) - SLSIPL"/>
    <s v="PU/26/SLS/OT/0197"/>
    <x v="148"/>
  </r>
  <r>
    <s v="2025-04-01"/>
    <n v="0"/>
    <n v="191"/>
    <n v="-2820750.12"/>
    <s v="Purchase Invoice"/>
    <s v="PU/26/SLS/OT/0199"/>
    <s v="Handling Charges - Outbound (Exp) - SLSIPL"/>
    <s v="PU/26/SLS/OT/0199"/>
    <x v="149"/>
  </r>
  <r>
    <s v="2025-04-01"/>
    <n v="0"/>
    <n v="383"/>
    <n v="-2821133.12"/>
    <s v="Purchase Invoice"/>
    <s v="PU/26/SLS/OT/0200"/>
    <s v="Handling Charges - Outbound (Exp) - SLSIPL"/>
    <s v="PU/26/SLS/OT/0200"/>
    <x v="150"/>
  </r>
  <r>
    <s v="2025-04-01"/>
    <n v="0"/>
    <n v="383"/>
    <n v="-2821516.12"/>
    <s v="Purchase Invoice"/>
    <s v="PU/26/SLS/OT/0201"/>
    <s v="Handling Charges - Outbound (Exp) - SLSIPL"/>
    <s v="PU/26/SLS/OT/0201"/>
    <x v="151"/>
  </r>
  <r>
    <s v="2025-04-01"/>
    <n v="0"/>
    <n v="6895"/>
    <n v="-2828411.12"/>
    <s v="Purchase Invoice"/>
    <s v="PU/26/SLS/OT/0202"/>
    <s v="Handling Charges - Outbound (Exp) - SLSIPL"/>
    <s v="PU/26/SLS/OT/0202"/>
    <x v="152"/>
  </r>
  <r>
    <s v="2025-04-01"/>
    <n v="0"/>
    <n v="846"/>
    <n v="-2829257.12"/>
    <s v="Purchase Invoice"/>
    <s v="PU/26/SLS/OT/0191"/>
    <s v="Handling Charges - Inbound (Exp) - SLSIPL"/>
    <s v="PU/26/SLS/OT/0191"/>
    <x v="153"/>
  </r>
  <r>
    <s v="2025-04-01"/>
    <n v="0"/>
    <n v="3203"/>
    <n v="-2832460.12"/>
    <s v="Purchase Invoice"/>
    <s v="PU/26/SLS/OT/0301-1"/>
    <s v="Handling Charges - Outbound (Exp) - SLSIPL"/>
    <s v="PU/26/SLS/OT/0301-1"/>
    <x v="154"/>
  </r>
  <r>
    <s v="2025-04-01"/>
    <n v="0"/>
    <n v="3603"/>
    <n v="-2836063.12"/>
    <s v="Purchase Invoice"/>
    <s v="PU/26/SLS/OT/0324"/>
    <s v="Handling Charges - Outbound (Exp) - SLSIPL"/>
    <s v="PU/26/SLS/OT/0324"/>
    <x v="155"/>
  </r>
  <r>
    <s v="2025-04-01"/>
    <n v="0"/>
    <n v="200"/>
    <n v="-2836263.12"/>
    <s v="Purchase Invoice"/>
    <s v="PU/26/SLS/OT/0325"/>
    <s v="Handling Charges - Outbound (Exp) - SLSIPL"/>
    <s v="PU/26/SLS/OT/0325"/>
    <x v="156"/>
  </r>
  <r>
    <s v="2025-04-01"/>
    <n v="0"/>
    <n v="13011"/>
    <n v="-2849274.12"/>
    <s v="Purchase Invoice"/>
    <s v="PU/26/SLS/OT/0330-1"/>
    <s v="Storage Charges - Cargo - SLSIPL"/>
    <s v="PU/26/SLS/OT/0330-1"/>
    <x v="157"/>
  </r>
  <r>
    <s v="2025-04-01"/>
    <n v="0"/>
    <n v="200"/>
    <n v="-2849474.12"/>
    <s v="Purchase Invoice"/>
    <s v="PU/26/SLS/OT/0359"/>
    <s v="Handling Charges - Outbound (Exp) - SLSIPL"/>
    <s v="PU/26/SLS/OT/0359"/>
    <x v="158"/>
  </r>
  <r>
    <s v="2025-03-31"/>
    <n v="0"/>
    <n v="33376"/>
    <n v="-2809572.12"/>
    <s v="Purchase Invoice"/>
    <s v="PU/25/SLS/OT/1925"/>
    <s v="Container Scanning Paid - SLSIPL"/>
    <s v="PU/25/SLS/OT/1925"/>
    <x v="159"/>
  </r>
  <r>
    <s v="2025-12-31"/>
    <n v="8522"/>
    <n v="8522"/>
    <n v="-2052708.6117"/>
    <s v="Debit Note"/>
    <s v="SJ/25/GEA/1378"/>
    <m/>
    <s v="PU/25/SLS/OT/1856, SLS26/MF/DN/0010-1"/>
    <x v="107"/>
  </r>
  <r>
    <s v="2025-04-01"/>
    <n v="0"/>
    <n v="3594"/>
    <n v="-2917685.12"/>
    <s v="Purchase Invoice"/>
    <s v="PU/26/SLS/OT/0790"/>
    <s v="Handling Charges - Outbound (Exp) - SLSIPL"/>
    <s v="PU/26/SLS/OT/0790"/>
    <x v="160"/>
  </r>
  <r>
    <s v="2025-04-01"/>
    <n v="0"/>
    <n v="35477"/>
    <n v="-2953162.12"/>
    <s v="Purchase Invoice"/>
    <s v="PU/26/SLS/OT/0780-2"/>
    <s v="Fixed Storage Charges - ODC (Covered) - SLSIPL"/>
    <s v="PU/26/SLS/OT/0780-2"/>
    <x v="161"/>
  </r>
  <r>
    <s v="2025-04-01"/>
    <n v="0"/>
    <n v="799"/>
    <n v="-2953961.12"/>
    <s v="Purchase Invoice"/>
    <s v="PU/26/SLS/OT/0785-1"/>
    <s v="Handling Charges - Outbound (Exp) - SLSIPL"/>
    <s v="PU/26/SLS/OT/0785-1"/>
    <x v="162"/>
  </r>
  <r>
    <s v="2025-04-01"/>
    <n v="0"/>
    <n v="1797"/>
    <n v="-2955758.12"/>
    <s v="Purchase Invoice"/>
    <s v="PU/26/SLS/OT/0784-1"/>
    <s v="Handling Charges - Outbound (Exp) - SLSIPL"/>
    <s v="PU/26/SLS/OT/0784-1"/>
    <x v="163"/>
  </r>
  <r>
    <s v="2025-03-31"/>
    <n v="0"/>
    <n v="8522"/>
    <n v="-2606942.12"/>
    <s v="Purchase Invoice"/>
    <s v="PU/25/SLS/OT/1856"/>
    <s v="Container Scanning Paid - SLSIPL"/>
    <s v="PU/25/SLS/OT/1856"/>
    <x v="164"/>
  </r>
  <r>
    <s v="2025-04-03"/>
    <n v="0"/>
    <n v="2883"/>
    <n v="-3018265.12"/>
    <s v="Purchase Invoice"/>
    <s v="PU/26/SLS/OT/0046"/>
    <s v="MHE Charges Paid - SLSIPL"/>
    <s v="PU/26/SLS/OT/0046"/>
    <x v="165"/>
  </r>
  <r>
    <s v="2025-04-03"/>
    <n v="0"/>
    <n v="4913"/>
    <n v="-3023178.12"/>
    <s v="Purchase Invoice"/>
    <s v="PU/26/SLS/OT/0047"/>
    <s v="Handling Charges - Inbound (Exp) - SLSIPL"/>
    <s v="PU/26/SLS/OT/0047"/>
    <x v="166"/>
  </r>
  <r>
    <s v="2025-04-03"/>
    <n v="0"/>
    <n v="13011"/>
    <n v="-3036189.12"/>
    <s v="Purchase Invoice"/>
    <s v="PU/26/SLS/OT/0323"/>
    <s v="Handling Charges - Outbound (Exp) - SLSIPL"/>
    <s v="PU/26/SLS/OT/0323"/>
    <x v="167"/>
  </r>
  <r>
    <s v="2025-04-03"/>
    <n v="0"/>
    <n v="6205"/>
    <n v="-3042394.12"/>
    <s v="Purchase Invoice"/>
    <s v="PU/26/SLS/OT/0326"/>
    <s v="Handling Charges - Outbound (Exp) - SLSIPL"/>
    <s v="PU/26/SLS/OT/0326"/>
    <x v="168"/>
  </r>
  <r>
    <s v="2025-04-03"/>
    <n v="0"/>
    <n v="2937"/>
    <n v="-3045331.12"/>
    <s v="Purchase Invoice"/>
    <s v="PU/26/SLS/OT/0332"/>
    <s v="VOS Activity Charges Paid - SLSIPL"/>
    <s v="PU/26/SLS/OT/0332"/>
    <x v="169"/>
  </r>
  <r>
    <s v="2025-04-03"/>
    <n v="0"/>
    <n v="319"/>
    <n v="-3045650.12"/>
    <s v="Purchase Invoice"/>
    <s v="PU/26/SLS/OT/0338"/>
    <s v="Gate In Charges Paid - SLSIPL"/>
    <s v="PU/26/SLS/OT/0338"/>
    <x v="170"/>
  </r>
  <r>
    <s v="2025-04-03"/>
    <n v="0"/>
    <n v="639"/>
    <n v="-3046289.12"/>
    <s v="Purchase Invoice"/>
    <s v="PU/26/SLS/OT/0331"/>
    <s v="Handling Charges - Inbound (Exp) - SLSIPL"/>
    <s v="PU/26/SLS/OT/0331"/>
    <x v="171"/>
  </r>
  <r>
    <s v="2025-10-07"/>
    <n v="15401"/>
    <n v="15401"/>
    <n v="-757662.59999999963"/>
    <s v="Debit Note"/>
    <s v="SJ/25/GEA/1106"/>
    <m/>
    <s v="PU/26/SLS/OT/1008-1, SLS26/MF/DN/0021-1"/>
    <x v="107"/>
  </r>
  <r>
    <s v="2025-03-31"/>
    <n v="0"/>
    <n v="20874"/>
    <n v="-2440597.12"/>
    <s v="Purchase Invoice"/>
    <s v="PU/25/SLS/OT/1820"/>
    <s v="Container Scanning Paid - SLSIPL"/>
    <s v="PU/25/SLS/OT/1820"/>
    <x v="172"/>
  </r>
  <r>
    <s v="2025-07-31"/>
    <n v="0"/>
    <n v="18367"/>
    <n v="-254828.5999999996"/>
    <s v="Purchase Invoice"/>
    <s v="PU/26/SLS/OT/1008-1"/>
    <s v="Fixed Storage Charges - ODC (Covered) - SLSIPL"/>
    <s v="PU/26/SLS/OT/1008-1"/>
    <x v="173"/>
  </r>
  <r>
    <s v="2025-04-04"/>
    <n v="0"/>
    <n v="331566"/>
    <n v="-3687999.12"/>
    <s v="Purchase Invoice"/>
    <s v="PU/26/SLS/OT/0044"/>
    <s v="Storage Charges - Cargo - SLSIPL"/>
    <s v="PU/26/SLS/OT/0044"/>
    <x v="174"/>
  </r>
  <r>
    <s v="2025-04-04"/>
    <n v="0"/>
    <n v="384955"/>
    <n v="-4072954.12"/>
    <s v="Purchase Invoice"/>
    <s v="PU/26/SLS/OT/0045"/>
    <s v="Storage Charges - Cargo - SLSIPL"/>
    <s v="PU/26/SLS/OT/0045"/>
    <x v="175"/>
  </r>
  <r>
    <s v="2025-04-15"/>
    <n v="0"/>
    <n v="13328"/>
    <n v="-4086282.12"/>
    <s v="Purchase Invoice"/>
    <s v="PU/26/SLS/OT/0205"/>
    <s v="Handling Charges - Outbound (Exp) - SLSIPL"/>
    <s v="PU/26/SLS/OT/0205"/>
    <x v="176"/>
  </r>
  <r>
    <s v="2025-04-15"/>
    <n v="0"/>
    <n v="25546"/>
    <n v="-4111828.12"/>
    <s v="Purchase Invoice"/>
    <s v="PU/26/SLS/OT/0209"/>
    <s v="Handling Charges - Inbound (Exp) - SLSIPL,Transportation Charges Paid - SLSIPL"/>
    <s v="PU/26/SLS/OT/0209"/>
    <x v="177"/>
  </r>
  <r>
    <s v="2025-04-15"/>
    <n v="0"/>
    <n v="2664"/>
    <n v="-4114492.12"/>
    <s v="Purchase Invoice"/>
    <s v="PU/26/SLS/OT/0210"/>
    <s v="Handling Charges - Inbound (Exp) - SLSIPL"/>
    <s v="PU/26/SLS/OT/0210"/>
    <x v="178"/>
  </r>
  <r>
    <s v="2025-04-15"/>
    <n v="0"/>
    <n v="790"/>
    <n v="-4115282.12"/>
    <s v="Purchase Invoice"/>
    <s v="PU/26/SLS/OT/0211"/>
    <s v="Handling Charges - Inbound (Exp) - SLSIPL"/>
    <s v="PU/26/SLS/OT/0211"/>
    <x v="179"/>
  </r>
  <r>
    <s v="2025-04-15"/>
    <n v="0"/>
    <n v="198"/>
    <n v="-4115480.12"/>
    <s v="Purchase Invoice"/>
    <s v="PU/26/SLS/OT/0212"/>
    <s v="Handling Charges - Outbound (Exp) - SLSIPL"/>
    <s v="PU/26/SLS/OT/0212"/>
    <x v="180"/>
  </r>
  <r>
    <s v="2025-04-15"/>
    <n v="0"/>
    <n v="13629"/>
    <n v="-4129109.12"/>
    <s v="Purchase Invoice"/>
    <s v="PU/26/SLS/OT/0339"/>
    <s v="Gate In Charges Paid - SLSIPL,Handling Charges - Inbound (Exp) - SLSIPL"/>
    <s v="PU/26/SLS/OT/0339"/>
    <x v="181"/>
  </r>
  <r>
    <s v="2025-04-16"/>
    <n v="0"/>
    <n v="417286"/>
    <n v="-4546395.12"/>
    <s v="Purchase Invoice"/>
    <s v="PU/26/SLS/OT/0043"/>
    <s v="Storage Charges - Cargo - SLSIPL"/>
    <s v="PU/26/SLS/OT/0043"/>
    <x v="182"/>
  </r>
  <r>
    <s v="2025-04-16"/>
    <n v="0"/>
    <n v="1972"/>
    <n v="-4548367.12"/>
    <s v="Purchase Invoice"/>
    <s v="PU/26/SLS/OT/0190"/>
    <s v="Handling Charges - Inbound (Exp) - SLSIPL"/>
    <s v="PU/26/SLS/OT/0190"/>
    <x v="183"/>
  </r>
  <r>
    <s v="2025-04-16"/>
    <n v="0"/>
    <n v="1584"/>
    <n v="-4549951.12"/>
    <s v="Purchase Invoice"/>
    <s v="PU/26/SLS/OT/0192"/>
    <s v="VOS Activity Charges Paid - SLSIPL"/>
    <s v="PU/26/SLS/OT/0192"/>
    <x v="184"/>
  </r>
  <r>
    <s v="2025-04-16"/>
    <n v="0"/>
    <n v="1256"/>
    <n v="-4551207.12"/>
    <s v="Purchase Invoice"/>
    <s v="PU/26/SLS/OT/0198"/>
    <s v="Handling Charges - Outbound (Exp) - SLSIPL"/>
    <s v="PU/26/SLS/OT/0198"/>
    <x v="185"/>
  </r>
  <r>
    <s v="2025-04-16"/>
    <n v="0"/>
    <n v="21549"/>
    <n v="-4572756.12"/>
    <s v="Purchase Invoice"/>
    <s v="PU/26/SLS/OT/0333"/>
    <s v="VOS Activity Charges Paid - SLSIPL"/>
    <s v="PU/26/SLS/OT/0333"/>
    <x v="186"/>
  </r>
  <r>
    <s v="2025-04-16"/>
    <n v="0"/>
    <n v="447"/>
    <n v="-4573203.12"/>
    <s v="Purchase Invoice"/>
    <s v="PU/26/SLS/OT/0336"/>
    <s v="Handling Charges - Outbound (Exp) - SLSIPL"/>
    <s v="PU/26/SLS/OT/0336"/>
    <x v="187"/>
  </r>
  <r>
    <s v="2025-03-31"/>
    <n v="0"/>
    <n v="17857"/>
    <n v="-2598420.12"/>
    <s v="Purchase Invoice"/>
    <s v="PU/25/SLS/OT/1854"/>
    <s v="Container Scanning Paid - SLSIPL"/>
    <s v="PU/25/SLS/OT/1854"/>
    <x v="188"/>
  </r>
  <r>
    <s v="2025-04-21"/>
    <n v="0"/>
    <n v="34962"/>
    <n v="-4620334.12"/>
    <s v="Purchase Invoice"/>
    <s v="PU/26/SLS/OT/0042"/>
    <s v="Fixed Storage Charges - ODC (Covered) - SLSIPL"/>
    <s v="PU/26/SLS/OT/0042"/>
    <x v="189"/>
  </r>
  <r>
    <s v="2025-04-22"/>
    <n v="0"/>
    <n v="2085"/>
    <n v="-4622419.12"/>
    <s v="Purchase Invoice"/>
    <s v="PU/26/SLS/OT/0203"/>
    <s v="Handling Charges - Outbound (Exp) - SLSIPL"/>
    <s v="PU/26/SLS/OT/0203"/>
    <x v="190"/>
  </r>
  <r>
    <s v="2025-04-22"/>
    <n v="0"/>
    <n v="3922"/>
    <n v="-4626341.12"/>
    <s v="Purchase Invoice"/>
    <s v="PU/26/SLS/OT/0206"/>
    <s v="Handling Charges - Outbound (Exp) - SLSIPL"/>
    <s v="PU/26/SLS/OT/0206"/>
    <x v="191"/>
  </r>
  <r>
    <s v="2025-04-22"/>
    <n v="0"/>
    <n v="14119"/>
    <n v="-4640460.12"/>
    <s v="Purchase Invoice"/>
    <s v="PU/26/SLS/OT/0207"/>
    <s v="Handling Charges - Inbound (Exp) - SLSIPL"/>
    <s v="PU/26/SLS/OT/0207"/>
    <x v="192"/>
  </r>
  <r>
    <s v="2025-04-22"/>
    <n v="0"/>
    <n v="1447"/>
    <n v="-4641907.12"/>
    <s v="Purchase Invoice"/>
    <s v="PU/26/SLS/OT/0208"/>
    <s v="Handling Charges - Inbound (Exp) - SLSIPL,Gate In Charges Paid - SLSIPL"/>
    <s v="PU/26/SLS/OT/0208"/>
    <x v="193"/>
  </r>
  <r>
    <s v="2025-04-22"/>
    <n v="0"/>
    <n v="43195"/>
    <n v="-4685102.12"/>
    <s v="Purchase Invoice"/>
    <s v="PU/26/SLS/OT/0214"/>
    <s v="Handling Charges - Outbound (Exp) - SLSIPL,MHE Charges Paid - SLSIPL"/>
    <s v="PU/26/SLS/OT/0214"/>
    <x v="194"/>
  </r>
  <r>
    <s v="2025-04-22"/>
    <n v="0"/>
    <n v="10809"/>
    <n v="-4695911.12"/>
    <s v="Purchase Invoice"/>
    <s v="PU/26/SLS/OT/0328-1"/>
    <s v="Handling Charges - Inbound (Exp) - SLSIPL"/>
    <s v="PU/26/SLS/OT/0328-1"/>
    <x v="195"/>
  </r>
  <r>
    <s v="2025-04-23"/>
    <n v="0"/>
    <n v="1878"/>
    <n v="-4697789.12"/>
    <s v="Purchase Invoice"/>
    <s v="PU/26/SLS/OT/0204"/>
    <s v="Handling Charges - Outbound (Exp) - SLSIPL"/>
    <s v="PU/26/SLS/OT/0204"/>
    <x v="196"/>
  </r>
  <r>
    <s v="2025-04-23"/>
    <n v="0"/>
    <n v="13211"/>
    <n v="-4711000.12"/>
    <s v="Purchase Invoice"/>
    <s v="PU/26/SLS/OT/0327"/>
    <s v="Handling Charges - Outbound (Exp) - SLSIPL"/>
    <s v="PU/26/SLS/OT/0327"/>
    <x v="197"/>
  </r>
  <r>
    <s v="2025-04-23"/>
    <n v="0"/>
    <n v="27408"/>
    <n v="-4738408.12"/>
    <s v="Purchase Invoice"/>
    <s v="PU/26/SLS/OT/0337-1"/>
    <s v="Gate In Charges Paid - SLSIPL,Handling Charges - Inbound (Exp) - SLSIPL"/>
    <s v="PU/26/SLS/OT/0337-1"/>
    <x v="198"/>
  </r>
  <r>
    <s v="2025-10-07"/>
    <n v="31577"/>
    <n v="31577"/>
    <n v="-757662.59999999963"/>
    <s v="Debit Note"/>
    <s v="SJ/25/GEA/1111"/>
    <m/>
    <s v="PU/26/SLS/OT/0589-2, SLS26/MF/DN/0005-1"/>
    <x v="107"/>
  </r>
  <r>
    <s v="2025-04-24"/>
    <n v="0"/>
    <n v="7981"/>
    <n v="-4752473.12"/>
    <s v="Purchase Invoice"/>
    <s v="PU/26/SLS/OT/0189"/>
    <s v="VOS Activity Charges Paid - SLSIPL"/>
    <s v="PU/26/SLS/OT/0189"/>
    <x v="199"/>
  </r>
  <r>
    <s v="2025-05-10"/>
    <n v="0"/>
    <n v="15927"/>
    <n v="-4768400.12"/>
    <s v="Purchase Invoice"/>
    <s v="PU/26/SLS/OT/0213"/>
    <s v="Handling Charges - Inbound (Exp) - SLSIPL"/>
    <s v="PU/26/SLS/OT/0213"/>
    <x v="200"/>
  </r>
  <r>
    <s v="2025-05-10"/>
    <n v="0"/>
    <n v="35097"/>
    <n v="-4803497.12"/>
    <s v="Purchase Invoice"/>
    <s v="PU/26/SLS/OT/0116"/>
    <s v="Fixed Storage Charges - ODC (Covered) - SLSIPL"/>
    <s v="PU/26/SLS/OT/0116"/>
    <x v="201"/>
  </r>
  <r>
    <s v="2025-05-10"/>
    <n v="0"/>
    <n v="11810"/>
    <n v="-4815307.12"/>
    <s v="Purchase Invoice"/>
    <s v="PU/26/SLS/OT/0340"/>
    <s v="Handling Charges - Outbound (Exp) - SLSIPL"/>
    <s v="PU/26/SLS/OT/0340"/>
    <x v="202"/>
  </r>
  <r>
    <s v="2025-05-10"/>
    <n v="0"/>
    <n v="3623"/>
    <n v="-4818930.12"/>
    <s v="Purchase Invoice"/>
    <s v="PU/26/SLS/OT/0334"/>
    <s v="VOS Activity Charges Paid - SLSIPL"/>
    <s v="PU/26/SLS/OT/0334"/>
    <x v="203"/>
  </r>
  <r>
    <s v="2025-05-16"/>
    <n v="0"/>
    <n v="1264"/>
    <n v="-4820194.12"/>
    <s v="Purchase Invoice"/>
    <s v="PU/26/SLS/OT/0279"/>
    <s v="Handling Charges - Outbound (Exp) - SLSIPL"/>
    <s v="PU/26/SLS/OT/0279"/>
    <x v="204"/>
  </r>
  <r>
    <s v="2025-07-16"/>
    <n v="0"/>
    <n v="31577"/>
    <n v="-1349660.6"/>
    <s v="Purchase Invoice"/>
    <s v="PU/26/SLS/OT/0589-2"/>
    <s v="Storage Charges - Cargo - SLSIPL"/>
    <s v="PU/26/SLS/OT/0589-2"/>
    <x v="205"/>
  </r>
  <r>
    <s v="2025-05-20"/>
    <n v="0"/>
    <n v="1054"/>
    <n v="-4833045.12"/>
    <s v="Purchase Invoice"/>
    <s v="PU/26/SLS/OT/0281"/>
    <s v="Handling Charges - Outbound (Exp) - SLSIPL"/>
    <s v="PU/26/SLS/OT/0281"/>
    <x v="206"/>
  </r>
  <r>
    <s v="2025-05-20"/>
    <n v="0"/>
    <n v="12177"/>
    <n v="-4845222.12"/>
    <s v="Purchase Invoice"/>
    <s v="PU/26/SLS/OT/0284"/>
    <s v="VOS Activity Charges Paid - SLSIPL"/>
    <s v="PU/26/SLS/OT/0284"/>
    <x v="207"/>
  </r>
  <r>
    <s v="2025-05-21"/>
    <n v="0"/>
    <n v="3960"/>
    <n v="-4849182.12"/>
    <s v="Purchase Invoice"/>
    <s v="PU/26/SLS/OT/0187"/>
    <s v="Handling Charges - Inbound (Exp) - SLSIPL"/>
    <s v="PU/26/SLS/OT/0187"/>
    <x v="208"/>
  </r>
  <r>
    <s v="2025-05-21"/>
    <n v="0"/>
    <n v="7129"/>
    <n v="-4856311.12"/>
    <s v="Purchase Invoice"/>
    <s v="PU/26/SLS/OT/0188"/>
    <s v="Handling Charges - Inbound (Exp) - SLSIPL"/>
    <s v="PU/26/SLS/OT/0188"/>
    <x v="209"/>
  </r>
  <r>
    <s v="2025-05-21"/>
    <n v="0"/>
    <n v="990"/>
    <n v="-4857301.12"/>
    <s v="Purchase Invoice"/>
    <s v="PU/26/SLS/OT/0280"/>
    <s v="Handling Charges - Outbound (Exp) - SLSIPL"/>
    <s v="PU/26/SLS/OT/0280"/>
    <x v="210"/>
  </r>
  <r>
    <s v="2025-05-21"/>
    <n v="0"/>
    <n v="990"/>
    <n v="-4858291.12"/>
    <s v="Purchase Invoice"/>
    <s v="PU/26/SLS/OT/0282"/>
    <s v="Handling Charges - Outbound (Exp) - SLSIPL"/>
    <s v="PU/26/SLS/OT/0282"/>
    <x v="211"/>
  </r>
  <r>
    <s v="2025-05-21"/>
    <n v="0"/>
    <n v="601"/>
    <n v="-4858892.12"/>
    <s v="Purchase Invoice"/>
    <s v="PU/26/SLS/OT/0329"/>
    <s v="Handling Charges - Outbound (Exp) - SLSIPL"/>
    <s v="PU/26/SLS/OT/0329"/>
    <x v="212"/>
  </r>
  <r>
    <s v="2025-05-21"/>
    <n v="0"/>
    <n v="1201"/>
    <n v="-4860093.12"/>
    <s v="Purchase Invoice"/>
    <s v="PU/26/SLS/OT/0335"/>
    <s v="Handling Charges - Outbound (Exp) - SLSIPL"/>
    <s v="PU/26/SLS/OT/0335"/>
    <x v="213"/>
  </r>
  <r>
    <s v="2025-05-28"/>
    <n v="0"/>
    <n v="333696"/>
    <n v="-5193789.12"/>
    <s v="Purchase Invoice"/>
    <s v="PU/26/SLS/OT/0278"/>
    <s v="Storage Charges - Cargo - SLSIPL"/>
    <s v="PU/26/SLS/OT/0278"/>
    <x v="214"/>
  </r>
  <r>
    <s v="2025-05-30"/>
    <n v="177773"/>
    <n v="0"/>
    <n v="-5016016.12"/>
    <s v="Pay"/>
    <s v="BP/26/SLS/0192"/>
    <s v="1395250393003 - Punjab National Bank - INR - SLSIPL"/>
    <m/>
    <x v="215"/>
  </r>
  <r>
    <s v="2025-06-04"/>
    <n v="0"/>
    <n v="9844"/>
    <n v="-5025860.12"/>
    <s v="Purchase Invoice"/>
    <s v="PU/26/SLS/OT/0358"/>
    <s v="Handling Charges - Outbound (Exp) - SLSIPL"/>
    <s v="PU/26/SLS/OT/0358"/>
    <x v="216"/>
  </r>
  <r>
    <s v="2025-06-04"/>
    <n v="0"/>
    <n v="8407"/>
    <n v="-5034267.12"/>
    <s v="Purchase Invoice"/>
    <s v="PU/26/SLS/OT/0360"/>
    <s v="Handling Charges - Outbound (Exp) - SLSIPL"/>
    <s v="PU/26/SLS/OT/0360"/>
    <x v="217"/>
  </r>
  <r>
    <s v="2025-06-04"/>
    <n v="500946.52"/>
    <n v="0"/>
    <n v="-4533320.5999999996"/>
    <s v="Pay"/>
    <s v="BP/25/SLS/1225-1"/>
    <s v="1395250393003 - Punjab National Bank - INR - SLSIPL"/>
    <s v="PU/25/SLS/OT/1562, PU/25/SLS/OT/1720, PU/25/SLS/OT/1731, PU/25/SLS/OT/1721, PU/25/SLS/OT/1673"/>
    <x v="215"/>
  </r>
  <r>
    <s v="2025-10-07"/>
    <n v="12467"/>
    <n v="12467"/>
    <n v="-757662.59999999963"/>
    <s v="Debit Note"/>
    <s v="SJ/25/GEA/1107"/>
    <m/>
    <s v="PU/26/SLS/OT/0614-1, SLS26/MF/DN/0018-1"/>
    <x v="107"/>
  </r>
  <r>
    <s v="2025-06-04"/>
    <n v="0"/>
    <n v="41769"/>
    <n v="-4592402.5999999996"/>
    <s v="Purchase Invoice"/>
    <s v="PU/26/SLS/OT/0797"/>
    <s v="Handling Charges - Inbound (Exp) - SLSIPL,LCL Movment - Gate in Charge - SLSIPL,Transportation Charges Paid - SLSIPL,Eempty Container Return Charges Paid - SLSIPL"/>
    <s v="PU/26/SLS/OT/0797"/>
    <x v="218"/>
  </r>
  <r>
    <s v="2025-06-07"/>
    <n v="0"/>
    <n v="352792"/>
    <n v="-4945194.5999999996"/>
    <s v="Purchase Invoice"/>
    <s v="PU/26/SLS/OT/0285"/>
    <s v="Storage Charges - Cargo - SLSIPL"/>
    <s v="PU/26/SLS/OT/0285"/>
    <x v="219"/>
  </r>
  <r>
    <s v="2025-06-10"/>
    <n v="0"/>
    <n v="35431"/>
    <n v="-4980625.5999999996"/>
    <s v="Purchase Invoice"/>
    <s v="PU/26/SLS/OT/0357-1"/>
    <s v="Fixed Storage Charges - ODC (Covered) - SLSIPL"/>
    <s v="PU/26/SLS/OT/0357-1"/>
    <x v="220"/>
  </r>
  <r>
    <s v="2025-06-13"/>
    <n v="700000"/>
    <n v="0"/>
    <n v="-4280625.5999999996"/>
    <s v="Pay"/>
    <s v="BP/26/SLS/0229"/>
    <s v="1395250393003 - Punjab National Bank - INR - SLSIPL"/>
    <m/>
    <x v="215"/>
  </r>
  <r>
    <s v="2025-06-21"/>
    <n v="700000"/>
    <n v="0"/>
    <n v="-3580625.6"/>
    <s v="Pay"/>
    <s v="BP/26/SLS/0259"/>
    <s v="1395250393003 - Punjab National Bank - INR - SLSIPL"/>
    <m/>
    <x v="215"/>
  </r>
  <r>
    <s v="2025-06-30"/>
    <n v="700000"/>
    <n v="0"/>
    <n v="-2880625.6"/>
    <s v="Pay"/>
    <s v="BP/26/SLS/0291"/>
    <s v="1395250393003 - Punjab National Bank - INR - SLSIPL"/>
    <m/>
    <x v="215"/>
  </r>
  <r>
    <s v="2025-07-05"/>
    <n v="700000"/>
    <n v="0"/>
    <n v="-2180625.6"/>
    <s v="Pay"/>
    <s v="BP/26/SLS/0300"/>
    <s v="1395250393003 - Punjab National Bank - INR - SLSIPL"/>
    <m/>
    <x v="215"/>
  </r>
  <r>
    <s v="2025-07-11"/>
    <n v="700000"/>
    <n v="0"/>
    <n v="-1480625.6"/>
    <s v="Pay"/>
    <s v="BP/26/SLS/0311"/>
    <s v="1395250393003 - Punjab National Bank - INR - SLSIPL"/>
    <m/>
    <x v="215"/>
  </r>
  <r>
    <s v="2025-07-16"/>
    <n v="0"/>
    <n v="163631"/>
    <n v="-1463026.6"/>
    <s v="Purchase Invoice"/>
    <s v="PU/26/SLS/OT/0614-1"/>
    <s v="Storage Charges - Cargo - SLSIPL"/>
    <s v="PU/26/SLS/OT/0614-1"/>
    <x v="221"/>
  </r>
  <r>
    <s v="2025-07-16"/>
    <n v="11955"/>
    <n v="0"/>
    <n v="-1299395.6000000001"/>
    <s v="Credit Note"/>
    <s v="SLS26/MF/DN/0004-1"/>
    <s v="Transportation Charges Paid - SLSIPL"/>
    <s v="PU/26/SLS/OT/0588"/>
    <x v="222"/>
  </r>
  <r>
    <s v="2025-04-01"/>
    <n v="0"/>
    <n v="19429"/>
    <n v="-2914091.12"/>
    <s v="Purchase Invoice"/>
    <s v="PU/26/SLS/OT/0590"/>
    <s v="Storage Charges - Cargo - SLSIPL"/>
    <s v="PU/26/SLS/OT/0590"/>
    <x v="223"/>
  </r>
  <r>
    <s v="2025-04-01"/>
    <n v="0"/>
    <n v="45188"/>
    <n v="-2894662.12"/>
    <s v="Purchase Invoice"/>
    <s v="PU/26/SLS/OT/0588"/>
    <s v="Transportation Charges Paid - SLSIPL"/>
    <s v="PU/26/SLS/OT/0588"/>
    <x v="224"/>
  </r>
  <r>
    <s v="2025-10-07"/>
    <n v="114223"/>
    <n v="114223"/>
    <n v="-757662.59999999963"/>
    <s v="Debit Note"/>
    <s v="SJ/25/GEA/1110"/>
    <m/>
    <s v="PU/26/SLS/OT/0611-1, SLS26/MF/DN/0015-1"/>
    <x v="107"/>
  </r>
  <r>
    <s v="2025-04-03"/>
    <n v="0"/>
    <n v="114223"/>
    <n v="-3356433.12"/>
    <s v="Purchase Invoice"/>
    <s v="PU/26/SLS/OT/0611-1"/>
    <s v="Storage Charges - Cargo - SLSIPL"/>
    <s v="PU/26/SLS/OT/0611-1"/>
    <x v="225"/>
  </r>
  <r>
    <s v="2025-03-31"/>
    <n v="0"/>
    <n v="18610"/>
    <n v="-2459207.12"/>
    <s v="Purchase Invoice"/>
    <s v="PU/25/SLS/OT/1821"/>
    <s v="Container Scanning Paid - SLSIPL"/>
    <s v="PU/25/SLS/OT/1821"/>
    <x v="226"/>
  </r>
  <r>
    <s v="2025-10-07"/>
    <n v="12169"/>
    <n v="12169"/>
    <n v="-757662.59999999963"/>
    <s v="Debit Note"/>
    <s v="SJ/25/GEA/1109"/>
    <m/>
    <s v="PU/26/SLS/OT/0587-1, SLS26/MF/DN/0003-1"/>
    <x v="107"/>
  </r>
  <r>
    <s v="2025-03-31"/>
    <n v="0"/>
    <n v="31723"/>
    <n v="-2490930.12"/>
    <s v="Purchase Invoice"/>
    <s v="PU/25/SLS/OT/1822"/>
    <s v="Container Scanning Paid - SLSIPL"/>
    <s v="PU/25/SLS/OT/1822"/>
    <x v="227"/>
  </r>
  <r>
    <s v="2025-04-16"/>
    <n v="0"/>
    <n v="12169"/>
    <n v="-4585372.12"/>
    <s v="Purchase Invoice"/>
    <s v="PU/26/SLS/OT/0587-1"/>
    <s v="Scanning Charges - Inbound - SLSIPL"/>
    <s v="PU/26/SLS/OT/0587-1"/>
    <x v="228"/>
  </r>
  <r>
    <s v="2025-07-16"/>
    <n v="31577"/>
    <n v="0"/>
    <n v="-1318083.6000000001"/>
    <s v="Credit Note"/>
    <s v="SLS26/MF/DN/0005-1"/>
    <s v="Storage Charges - Cargo - SLSIPL"/>
    <s v="SLS26/MF/DN/0005-1"/>
    <x v="229"/>
  </r>
  <r>
    <s v="2025-10-07"/>
    <n v="6084"/>
    <n v="6084"/>
    <n v="-757662.59999999963"/>
    <s v="Debit Note"/>
    <s v="SJ/25/GEA/1108"/>
    <m/>
    <s v="PU/26/SLS/OT/0586-1, SLS26/MF/DN/0002-1"/>
    <x v="107"/>
  </r>
  <r>
    <s v="2025-07-16"/>
    <n v="19430"/>
    <n v="0"/>
    <n v="-1612920.6"/>
    <s v="Credit Note"/>
    <s v="SLS26/MF/DN/0006"/>
    <s v="Storage Charges - Cargo - SLSIPL"/>
    <s v="PU/26/SLS/OT/0590"/>
    <x v="230"/>
  </r>
  <r>
    <s v="2025-07-16"/>
    <n v="18611"/>
    <n v="0"/>
    <n v="-1594309.6"/>
    <s v="Credit Note"/>
    <s v="SLS26/MF/DN/0008"/>
    <s v="Container Scanning Paid - SLSIPL"/>
    <s v="PU/25/SLS/OT/1821"/>
    <x v="231"/>
  </r>
  <r>
    <s v="2025-07-16"/>
    <n v="31723"/>
    <n v="0"/>
    <n v="-1562586.6"/>
    <s v="Credit Note"/>
    <s v="SLS26/MF/DN/0009"/>
    <s v="Container Scanning Paid - SLSIPL"/>
    <s v="PU/25/SLS/OT/1822"/>
    <x v="232"/>
  </r>
  <r>
    <s v="2025-07-16"/>
    <n v="114223"/>
    <n v="0"/>
    <n v="-1318083.6000000001"/>
    <s v="Credit Note"/>
    <s v="SLS26/MF/DN/0015-1"/>
    <s v="Storage Charges - Cargo - SLSIPL"/>
    <s v="SLS26/MF/DN/0015-1"/>
    <x v="233"/>
  </r>
  <r>
    <s v="2025-07-16"/>
    <n v="55272"/>
    <n v="0"/>
    <n v="-1316136.6000000001"/>
    <s v="Credit Note"/>
    <s v="SLS26/MF/DN/0017"/>
    <s v="Storage Charges - Cargo - SLSIPL"/>
    <s v="PU/26/SLS/OT/0613"/>
    <x v="234"/>
  </r>
  <r>
    <s v="2025-07-16"/>
    <n v="140649"/>
    <n v="0"/>
    <n v="-1371408.6"/>
    <s v="Credit Note"/>
    <s v="SLS26/MF/DN/0016"/>
    <s v="Storage Charges - Cargo - SLSIPL"/>
    <s v="PU/26/SLS/OT/0612"/>
    <x v="235"/>
  </r>
  <r>
    <s v="2025-07-16"/>
    <n v="12169"/>
    <n v="0"/>
    <n v="-1432306.6"/>
    <s v="Credit Note"/>
    <s v="SLS26/MF/DN/0003-1"/>
    <s v="Scanning Charges - Inbound - SLSIPL"/>
    <s v="SLS26/MF/DN/0003-1"/>
    <x v="236"/>
  </r>
  <r>
    <s v="2025-07-31"/>
    <n v="33376"/>
    <n v="0"/>
    <n v="-259448.5999999996"/>
    <s v="Credit Note"/>
    <s v="SLS26/MF/DN/0019"/>
    <s v="Container Scanning Paid - SLSIPL"/>
    <s v="PU/25/SLS/OT/1925"/>
    <x v="237"/>
  </r>
  <r>
    <s v="2025-07-19"/>
    <n v="700000"/>
    <n v="0"/>
    <n v="-592577.59999999963"/>
    <s v="Pay"/>
    <s v="BP/26/SLS/0368"/>
    <s v="1395250393003 - Punjab National Bank - INR - SLSIPL"/>
    <m/>
    <x v="215"/>
  </r>
  <r>
    <s v="2025-07-24"/>
    <n v="0"/>
    <n v="9368"/>
    <n v="-601945.59999999963"/>
    <s v="Purchase Invoice"/>
    <s v="PU/26/SLS/OT/0607"/>
    <s v="Handling Charges - Inbound (Exp) - SLSIPL"/>
    <s v="PU/26/SLS/OT/0607"/>
    <x v="238"/>
  </r>
  <r>
    <s v="2025-07-25"/>
    <n v="350672"/>
    <n v="0"/>
    <n v="-251273.5999999996"/>
    <s v="Pay"/>
    <s v="BP/26/SLS/0394"/>
    <s v="1395250393003 - Punjab National Bank - INR - SLSIPL"/>
    <m/>
    <x v="215"/>
  </r>
  <r>
    <s v="2025-07-25"/>
    <n v="0"/>
    <n v="32007"/>
    <n v="-283280.59999999963"/>
    <s v="Purchase Invoice"/>
    <s v="PU/26/SLS/OT/0608"/>
    <s v="Storage Charges - Cargo - SLSIPL"/>
    <s v="PU/26/SLS/OT/0608"/>
    <x v="239"/>
  </r>
  <r>
    <s v="2025-07-25"/>
    <n v="0"/>
    <n v="9348"/>
    <n v="-292628.59999999963"/>
    <s v="Purchase Invoice"/>
    <s v="PU/26/SLS/OT/0609"/>
    <s v="Storage Charges - Cargo - SLSIPL"/>
    <s v="PU/26/SLS/OT/0609"/>
    <x v="240"/>
  </r>
  <r>
    <s v="2025-07-25"/>
    <n v="0"/>
    <n v="196"/>
    <n v="-292824.59999999963"/>
    <s v="Purchase Invoice"/>
    <s v="PU/26/SLS/OT/0610"/>
    <s v="VOS Activity Charges Paid - SLSIPL"/>
    <s v="PU/26/SLS/OT/0610"/>
    <x v="241"/>
  </r>
  <r>
    <s v="2025-04-03"/>
    <n v="0"/>
    <n v="55272"/>
    <n v="-3242210.12"/>
    <s v="Purchase Invoice"/>
    <s v="PU/26/SLS/OT/0613"/>
    <s v="Storage Charges - Cargo - SLSIPL"/>
    <s v="PU/26/SLS/OT/0613"/>
    <x v="242"/>
  </r>
  <r>
    <s v="2025-07-16"/>
    <n v="8696"/>
    <n v="173"/>
    <n v="-1292577.6000000001"/>
    <s v="Debit Note"/>
    <s v="SLS26/MF/DN/0010-1"/>
    <s v="Container Scanning Paid - SLSIPL"/>
    <s v="SLS26/MF/DN/0010-1, SLS26/MF/DN/0010-1"/>
    <x v="243"/>
  </r>
  <r>
    <s v="2025-07-16"/>
    <n v="20874"/>
    <n v="0"/>
    <n v="-1512057.6"/>
    <s v="Credit Note"/>
    <s v="SLS26/MF/DN/0014"/>
    <s v="Container Scanning Paid - SLSIPL"/>
    <s v="PU/25/SLS/OT/1820"/>
    <x v="244"/>
  </r>
  <r>
    <s v="2025-07-16"/>
    <n v="17857"/>
    <n v="0"/>
    <n v="-1544729.6000000001"/>
    <s v="Credit Note"/>
    <s v="SLS26/MF/DN/0011"/>
    <s v="Container Scanning Paid - SLSIPL"/>
    <s v="PU/25/SLS/OT/1854"/>
    <x v="245"/>
  </r>
  <r>
    <s v="2025-07-16"/>
    <n v="6084"/>
    <n v="0"/>
    <n v="-1444475.6"/>
    <s v="Credit Note"/>
    <s v="SLS26/MF/DN/0002-1"/>
    <s v="Scanning Charges - Inbound - SLSIPL"/>
    <s v="SLS26/MF/DN/0002-1"/>
    <x v="246"/>
  </r>
  <r>
    <s v="2025-04-03"/>
    <n v="0"/>
    <n v="140649"/>
    <n v="-3186938.12"/>
    <s v="Purchase Invoice"/>
    <s v="PU/26/SLS/OT/0612"/>
    <s v="Storage Charges - Cargo - SLSIPL"/>
    <s v="PU/26/SLS/OT/0612"/>
    <x v="247"/>
  </r>
  <r>
    <s v="2025-08-08"/>
    <n v="0"/>
    <n v="9124"/>
    <n v="-263952.59999999963"/>
    <s v="Purchase Invoice"/>
    <s v="PU/26/SLS/OT/0798"/>
    <s v="Handling Charges - Outbound (Exp) - SLSIPL"/>
    <s v="PU/26/SLS/OT/0798"/>
    <x v="248"/>
  </r>
  <r>
    <s v="2025-08-08"/>
    <n v="0"/>
    <n v="4755"/>
    <n v="-268707.59999999963"/>
    <s v="Purchase Invoice"/>
    <s v="PU/26/SLS/OT/0800"/>
    <s v="Handling Charges - Outbound (Exp) - SLSIPL"/>
    <s v="PU/26/SLS/OT/0800"/>
    <x v="249"/>
  </r>
  <r>
    <s v="2025-08-08"/>
    <n v="0"/>
    <n v="462828"/>
    <n v="-731535.59999999963"/>
    <s v="Purchase Invoice"/>
    <s v="PU/26/SLS/OT/0796"/>
    <s v="Storage Charges - SLSIPL"/>
    <s v="PU/26/SLS/OT/0796"/>
    <x v="250"/>
  </r>
  <r>
    <s v="2025-08-20"/>
    <n v="0"/>
    <n v="4790"/>
    <n v="-736325.59999999963"/>
    <s v="Purchase Invoice"/>
    <s v="PU/26/SLS/OT/0792"/>
    <s v="Handling Charges - Outbound (Exp) - SLSIPL,MHE Charges Paid - SLSIPL"/>
    <s v="PU/26/SLS/OT/0792"/>
    <x v="251"/>
  </r>
  <r>
    <s v="2025-08-20"/>
    <n v="0"/>
    <n v="6981"/>
    <n v="-743306.59999999963"/>
    <s v="Purchase Invoice"/>
    <s v="PU/26/SLS/OT/0793"/>
    <s v="VOS Activity Charges Paid - SLSIPL"/>
    <s v="PU/26/SLS/OT/0793"/>
    <x v="252"/>
  </r>
  <r>
    <s v="2025-08-20"/>
    <n v="0"/>
    <n v="971"/>
    <n v="-744277.59999999963"/>
    <s v="Purchase Invoice"/>
    <s v="PU/26/SLS/OT/0801"/>
    <s v="Loose Loading Handling - SLSIPL"/>
    <s v="PU/26/SLS/OT/0801"/>
    <x v="253"/>
  </r>
  <r>
    <s v="2025-08-20"/>
    <n v="0"/>
    <n v="11922"/>
    <n v="-756199.59999999963"/>
    <s v="Purchase Invoice"/>
    <s v="PU/26/SLS/OT/0795"/>
    <s v="Handling Charges - Inbound (Exp) - SLSIPL,Gate in Charges - Inbound - SLSIPL"/>
    <s v="PU/26/SLS/OT/0795"/>
    <x v="254"/>
  </r>
  <r>
    <s v="2025-08-20"/>
    <n v="0"/>
    <n v="1463"/>
    <n v="-757662.59999999963"/>
    <s v="Purchase Invoice"/>
    <s v="PU/26/SLS/OT/0794"/>
    <s v="LCL Movment - Gate in Charge - SLSIPL,Handling Charges - Inbound (Exp) - SLSIPL"/>
    <s v="PU/26/SLS/OT/0794"/>
    <x v="255"/>
  </r>
  <r>
    <s v="2025-07-16"/>
    <n v="11798"/>
    <n v="0"/>
    <n v="-1532931.6"/>
    <s v="Credit Note"/>
    <s v="SLS26/MF/DN/0013"/>
    <s v="Container Scanning Paid - SLSIPL"/>
    <s v="PU/26/SLS/OT/0283"/>
    <x v="256"/>
  </r>
  <r>
    <s v="2025-04-23"/>
    <n v="0"/>
    <n v="6084"/>
    <n v="-4744492.12"/>
    <s v="Purchase Invoice"/>
    <s v="PU/26/SLS/OT/0586-1"/>
    <s v="Scanning Charges - Inbound - SLSIPL"/>
    <s v="PU/26/SLS/OT/0586-1"/>
    <x v="257"/>
  </r>
  <r>
    <s v="2025-07-16"/>
    <n v="17313"/>
    <n v="330"/>
    <n v="-1301100.6000000001"/>
    <s v="Debit Note"/>
    <s v="SLS26/MF/DN/0001-2"/>
    <s v="Scanning Charges - Inbound - SLSIPL"/>
    <s v="SLS26/MF/DN/0001-2, SLS26/MF/DN/0001-2"/>
    <x v="258"/>
  </r>
  <r>
    <s v="2025-12-31"/>
    <n v="16530"/>
    <n v="16530"/>
    <n v="-2052708.6117"/>
    <s v="Debit Note"/>
    <s v="SJ/25/GEA/1376"/>
    <m/>
    <s v="PU/26/SLS/OT/0585, SLS26/MF/DN/0001-2"/>
    <x v="107"/>
  </r>
  <r>
    <s v="2025-07-16"/>
    <n v="4786"/>
    <n v="0"/>
    <n v="-1311350.6000000001"/>
    <s v="Credit Note"/>
    <s v="SLS26/MF/DN/0007-2"/>
    <s v="Storage Charges - Cargo - SLSIPL"/>
    <s v="SLS26/MF/DN/0007-2"/>
    <x v="259"/>
  </r>
  <r>
    <s v="2025-06-04"/>
    <n v="0"/>
    <n v="17313"/>
    <n v="-4550633.5999999996"/>
    <s v="Purchase Invoice"/>
    <s v="PU/26/SLS/OT/0585"/>
    <s v="Scanning Charges - Inbound - SLSIPL"/>
    <s v="PU/26/SLS/OT/0585"/>
    <x v="260"/>
  </r>
  <r>
    <s v="2025-07-16"/>
    <n v="12467"/>
    <n v="0"/>
    <n v="-1450559.6"/>
    <s v="Credit Note"/>
    <s v="SLS26/MF/DN/0018-1"/>
    <s v="Storage Charges - Cargo - SLSIPL"/>
    <s v="SLS26/MF/DN/0018-1"/>
    <x v="261"/>
  </r>
  <r>
    <s v="2025-05-16"/>
    <n v="0"/>
    <n v="11797"/>
    <n v="-4831991.12"/>
    <s v="Purchase Invoice"/>
    <s v="PU/26/SLS/OT/0283"/>
    <s v="Container Scanning Paid - SLSIPL"/>
    <s v="PU/26/SLS/OT/0283"/>
    <x v="262"/>
  </r>
  <r>
    <s v="2025-07-31"/>
    <n v="15778"/>
    <n v="0"/>
    <n v="-243670.5999999996"/>
    <s v="Credit Note"/>
    <s v="SLS26/MF/DN/0020-1"/>
    <s v="Storage Charges - Cargo - SLSIPL"/>
    <s v="SLS26/MF/DN/0020-1"/>
    <x v="263"/>
  </r>
  <r>
    <s v="2025-10-09"/>
    <n v="500000"/>
    <n v="0"/>
    <n v="-257662.5999999996"/>
    <s v="Pay"/>
    <s v="BP/26/SLS/0710"/>
    <s v="1395250393003 - Punjab National Bank - INR - SLSIPL"/>
    <s v="PU/26/SLS/OT/0797, PU/26/SLS/OT/0357-1, PU/26/SLS/OT/0610, PU/26/SLS/OT/0796, PU/26/SLS/OT/0794"/>
    <x v="215"/>
  </r>
  <r>
    <s v="2025-10-10"/>
    <n v="108564"/>
    <n v="0"/>
    <n v="-149098.5999999996"/>
    <s v="Pay"/>
    <s v="BP/26/SLS/0711"/>
    <s v="1395250393003 - Punjab National Bank - INR - SLSIPL"/>
    <s v="PU/26/SLS/OT/0797, PU/26/SLS/OT/0607, PU/26/SLS/OT/0608, PU/26/SLS/OT/0609, PU/26/SLS/OT/0798, PU/26/SLS/OT/0800, PU/26/SLS/OT/0792, PU/26/SLS/OT/0793, PU/26/SLS/OT/0795, PU/26/SLS/OT/0801"/>
    <x v="215"/>
  </r>
  <r>
    <s v="2025-10-18"/>
    <n v="500000"/>
    <n v="0"/>
    <n v="350901.40000000037"/>
    <s v="Pay"/>
    <s v="BP/26/SLS/0758"/>
    <s v="1395250393003 - Punjab National Bank - INR - SLSIPL"/>
    <m/>
    <x v="215"/>
  </r>
  <r>
    <s v="2025-10-29"/>
    <n v="300000"/>
    <n v="0"/>
    <n v="650901.40000000037"/>
    <s v="Pay"/>
    <s v="BP/26/SLS/0765"/>
    <s v="1395250393003 - Punjab National Bank - INR - SLSIPL"/>
    <m/>
    <x v="215"/>
  </r>
  <r>
    <s v="2025-11-01"/>
    <n v="500000"/>
    <n v="0"/>
    <n v="1150901.3999999999"/>
    <s v="Pay"/>
    <s v="BP/26/SLS/0801"/>
    <s v="1395250393003 - Punjab National Bank - INR - SLSIPL"/>
    <m/>
    <x v="215"/>
  </r>
  <r>
    <s v="2025-12-12"/>
    <n v="0"/>
    <n v="16480.710999999999"/>
    <n v="1134420.689"/>
    <s v="Purchase Invoice"/>
    <s v="PU/26/SLS/OT/1356"/>
    <s v="Storage Charges - Cargo - SLSIPL"/>
    <s v="PU/26/SLS/OT/1356"/>
    <x v="264"/>
  </r>
  <r>
    <s v="2025-12-12"/>
    <n v="0"/>
    <n v="29975.441999999999"/>
    <n v="1104445.247"/>
    <s v="Purchase Invoice"/>
    <s v="PU/26/SLS/OT/1357"/>
    <s v="Storage Charges - Cargo - SLSIPL"/>
    <s v="PU/26/SLS/OT/1357"/>
    <x v="265"/>
  </r>
  <r>
    <s v="2025-12-12"/>
    <n v="0"/>
    <n v="144772.565"/>
    <n v="959672.6820000005"/>
    <s v="Purchase Invoice"/>
    <s v="PU/26/SLS/OT/1358"/>
    <s v="Storage Charges - Cargo - SLSIPL"/>
    <s v="PU/26/SLS/OT/1358"/>
    <x v="266"/>
  </r>
  <r>
    <s v="2025-12-12"/>
    <n v="0"/>
    <n v="102103.25599999999"/>
    <n v="857569.42600000044"/>
    <s v="Purchase Invoice"/>
    <s v="PU/26/SLS/OT/1359"/>
    <s v="Storage Charges - Cargo - SLSIPL"/>
    <s v="PU/26/SLS/OT/1359"/>
    <x v="267"/>
  </r>
  <r>
    <s v="2025-12-12"/>
    <n v="0"/>
    <n v="13859.78"/>
    <n v="843709.64600000042"/>
    <s v="Purchase Invoice"/>
    <s v="PU/26/SLS/OT/1360"/>
    <s v="Storage Charges - Cargo - SLSIPL"/>
    <s v="PU/26/SLS/OT/1360"/>
    <x v="268"/>
  </r>
  <r>
    <s v="2025-12-12"/>
    <n v="0"/>
    <n v="44681.824999999997"/>
    <n v="799027.82100000046"/>
    <s v="Purchase Invoice"/>
    <s v="PU/26/SLS/OT/1361"/>
    <s v="Storage Charges - Cargo - SLSIPL"/>
    <s v="PU/26/SLS/OT/1361"/>
    <x v="269"/>
  </r>
  <r>
    <s v="2025-12-12"/>
    <n v="500000"/>
    <n v="0"/>
    <n v="1299027.821"/>
    <s v="Pay"/>
    <s v="BP/26/SLS/0958"/>
    <s v="1395250393003 - Punjab National Bank - INR - SLSIPL"/>
    <m/>
    <x v="215"/>
  </r>
  <r>
    <s v="2025-12-12"/>
    <n v="0"/>
    <n v="2053.9"/>
    <n v="1296973.921000001"/>
    <s v="Purchase Invoice"/>
    <s v="PU/26/SLS/OT/1362-1"/>
    <s v="Handling Charges - Inbound (Exp) - SLSIPL"/>
    <s v="PU/26/SLS/OT/1362-1"/>
    <x v="270"/>
  </r>
  <r>
    <s v="2025-12-15"/>
    <n v="0"/>
    <n v="6064.0230000000001"/>
    <n v="1290909.898000001"/>
    <s v="Purchase Invoice"/>
    <s v="PU/26/SLS/OT/1365"/>
    <s v="VOS Activity Charges Paid - SLSIPL"/>
    <s v="PU/26/SLS/OT/1365"/>
    <x v="271"/>
  </r>
  <r>
    <s v="2025-12-15"/>
    <n v="0"/>
    <n v="1800.3510000000001"/>
    <n v="1289109.547"/>
    <s v="Purchase Invoice"/>
    <s v="PU/26/SLS/OT/1366-1"/>
    <s v="Weightment Charges Paid - SLSIPL"/>
    <s v="PU/26/SLS/OT/1366-1"/>
    <x v="272"/>
  </r>
  <r>
    <s v="2025-12-15"/>
    <n v="0"/>
    <n v="14610.374299999999"/>
    <n v="1274499.1727"/>
    <s v="Purchase Invoice"/>
    <s v="PU/26/SLS/OT/1367"/>
    <s v="Handling Charges - Outbound (Exp) - SLSIPL"/>
    <s v="PU/26/SLS/OT/1367"/>
    <x v="273"/>
  </r>
  <r>
    <s v="2025-12-15"/>
    <n v="0"/>
    <n v="45061.335200000001"/>
    <n v="1229437.8374999999"/>
    <s v="Purchase Invoice"/>
    <s v="PU/26/SLS/OT/1368"/>
    <s v="Storage Charges - Cargo - SLSIPL"/>
    <s v="PU/26/SLS/OT/1368"/>
    <x v="274"/>
  </r>
  <r>
    <s v="2025-12-15"/>
    <n v="0"/>
    <n v="11782.0918"/>
    <n v="1217655.7457000001"/>
    <s v="Purchase Invoice"/>
    <s v="PU/26/SLS/OT/1369-1"/>
    <s v="Container Scanning Paid - SLSIPL"/>
    <s v="PU/26/SLS/OT/1369-1"/>
    <x v="275"/>
  </r>
  <r>
    <s v="2025-12-15"/>
    <n v="0"/>
    <n v="2559.3798999999999"/>
    <n v="1215096.3658"/>
    <s v="Purchase Invoice"/>
    <s v="PU/26/SLS/OT/1370"/>
    <s v="VOS Activity Charges Paid - SLSIPL"/>
    <s v="PU/26/SLS/OT/1370"/>
    <x v="276"/>
  </r>
  <r>
    <s v="2025-12-15"/>
    <n v="0"/>
    <n v="148540.3572"/>
    <n v="1066556.0086000001"/>
    <s v="Purchase Invoice"/>
    <s v="PU/26/SLS/OT/1371"/>
    <s v="Handling Charges - Inbound (Exp) - SLSIPL"/>
    <s v="PU/26/SLS/OT/1371"/>
    <x v="277"/>
  </r>
  <r>
    <s v="2025-12-15"/>
    <n v="0"/>
    <n v="13522.7454"/>
    <n v="1053033.2631999999"/>
    <s v="Purchase Invoice"/>
    <s v="PU/26/SLS/OT/1376"/>
    <s v="Handling Charges - Outbound (Exp) - SLSIPL,MHE Charges Paid - SLSIPL"/>
    <s v="PU/26/SLS/OT/1376"/>
    <x v="278"/>
  </r>
  <r>
    <s v="2025-12-15"/>
    <n v="0"/>
    <n v="8342.0650000000005"/>
    <n v="1044691.1982"/>
    <s v="Purchase Invoice"/>
    <s v="PU/26/SLS/OT/1378"/>
    <s v="Transportation Charges Paid - SLSIPL,Handling Charges - Inbound (Exp) - SLSIPL"/>
    <s v="PU/26/SLS/OT/1378"/>
    <x v="279"/>
  </r>
  <r>
    <s v="2025-12-16"/>
    <n v="0"/>
    <n v="2629.9005000000002"/>
    <n v="1042061.2977"/>
    <s v="Purchase Invoice"/>
    <s v="PU/26/SLS/OT/1379"/>
    <s v="MHE Charges Paid - SLSIPL,Handling Charges - Inbound (Exp) - SLSIPL"/>
    <s v="PU/26/SLS/OT/1379"/>
    <x v="280"/>
  </r>
  <r>
    <s v="2025-12-16"/>
    <n v="0"/>
    <n v="201.24160000000001"/>
    <n v="1041860.056100001"/>
    <s v="Purchase Invoice"/>
    <s v="PU/26/SLS/OT/1380"/>
    <s v="VOS Activity Charges Paid - SLSIPL"/>
    <s v="PU/26/SLS/OT/1380"/>
    <x v="281"/>
  </r>
  <r>
    <s v="2025-12-16"/>
    <n v="0"/>
    <n v="257812.80850000001"/>
    <n v="784047.24760000047"/>
    <s v="Purchase Invoice"/>
    <s v="PU/26/SLS/OT/1381"/>
    <s v="Storage Charges - Rack - SLSIPL"/>
    <s v="PU/26/SLS/OT/1381"/>
    <x v="282"/>
  </r>
  <r>
    <s v="2025-12-16"/>
    <n v="0"/>
    <n v="552.98429999999996"/>
    <n v="783494.26330000046"/>
    <s v="Purchase Invoice"/>
    <s v="PU/26/SLS/OT/1382"/>
    <s v="Documentation Charges Paid - SLSIPL"/>
    <s v="PU/26/SLS/OT/1382"/>
    <x v="283"/>
  </r>
  <r>
    <s v="2025-12-16"/>
    <n v="0"/>
    <n v="4562.3355000000001"/>
    <n v="778931.92780000041"/>
    <s v="Purchase Invoice"/>
    <s v="PU/26/SLS/OT/1383"/>
    <s v="Handling Charges - Outbound (Exp) - SLSIPL"/>
    <s v="PU/26/SLS/OT/1383"/>
    <x v="284"/>
  </r>
  <r>
    <s v="2025-12-16"/>
    <n v="0"/>
    <n v="35324.775199999996"/>
    <n v="743607.15260000038"/>
    <s v="Purchase Invoice"/>
    <s v="PU/26/SLS/OT/1384"/>
    <s v="Storage Charges - SLSIPL"/>
    <s v="PU/26/SLS/OT/1384"/>
    <x v="285"/>
  </r>
  <r>
    <s v="2025-12-16"/>
    <n v="0"/>
    <n v="91401.512100000007"/>
    <n v="652205.64050000033"/>
    <s v="Purchase Invoice"/>
    <s v="PU/26/SLS/OT/1385"/>
    <s v="Storage Charges - Cargo - SLSIPL"/>
    <s v="PU/26/SLS/OT/1385"/>
    <x v="286"/>
  </r>
  <r>
    <s v="2025-12-16"/>
    <n v="0"/>
    <n v="2642.8006"/>
    <n v="649562.83990000037"/>
    <s v="Purchase Invoice"/>
    <s v="PU/26/SLS/OT/1386"/>
    <s v="Handling Charges - Inbound (Exp) - SLSIPL"/>
    <s v="PU/26/SLS/OT/1386"/>
    <x v="287"/>
  </r>
  <r>
    <s v="2025-12-16"/>
    <n v="0"/>
    <n v="8595.7669999999998"/>
    <n v="640967.07290000038"/>
    <s v="Purchase Invoice"/>
    <s v="PU/26/SLS/OT/1387"/>
    <s v="Handling Charges - Outbound (Exp) - SLSIPL"/>
    <s v="PU/26/SLS/OT/1387"/>
    <x v="288"/>
  </r>
  <r>
    <s v="2025-12-16"/>
    <n v="0"/>
    <n v="1492.1116"/>
    <n v="639474.96130000043"/>
    <s v="Purchase Invoice"/>
    <s v="PU/26/SLS/OT/1388"/>
    <s v="Handling Charges - Inbound (Exp) - SLSIPL,LCL Movment - Gate in Charge - SLSIPL"/>
    <s v="PU/26/SLS/OT/1388"/>
    <x v="289"/>
  </r>
  <r>
    <s v="2025-12-16"/>
    <n v="0"/>
    <n v="23117.1535"/>
    <n v="616357.80780000042"/>
    <s v="Purchase Invoice"/>
    <s v="PU/26/SLS/OT/1390"/>
    <s v="Storage Charges - Cargo - SLSIPL,Transportation Charges Paid - SLSIPL"/>
    <s v="PU/26/SLS/OT/1390"/>
    <x v="290"/>
  </r>
  <r>
    <s v="2025-12-16"/>
    <n v="0"/>
    <n v="21929.077600000001"/>
    <n v="594428.73020000046"/>
    <s v="Purchase Invoice"/>
    <s v="PU/26/SLS/OT/1393"/>
    <s v="Storage Charges - Cargo - SLSIPL,Transportation Charges Paid - SLSIPL"/>
    <s v="PU/26/SLS/OT/1393"/>
    <x v="291"/>
  </r>
  <r>
    <s v="2025-12-16"/>
    <n v="0"/>
    <n v="9260.2821000000004"/>
    <n v="585168.4481000005"/>
    <s v="Purchase Invoice"/>
    <s v="PU/26/SLS/OT/1397"/>
    <s v="VOS Activity Charges Paid - SLSIPL"/>
    <s v="PU/26/SLS/OT/1397"/>
    <x v="292"/>
  </r>
  <r>
    <s v="2025-12-16"/>
    <n v="0"/>
    <n v="27395.431400000001"/>
    <n v="557773.0167000005"/>
    <s v="Purchase Invoice"/>
    <s v="PU/26/SLS/OT/1398"/>
    <s v="Storage Charges - Cargo - SLSIPL"/>
    <s v="PU/26/SLS/OT/1398"/>
    <x v="293"/>
  </r>
  <r>
    <s v="2025-12-16"/>
    <n v="0"/>
    <n v="35336.871800000001"/>
    <n v="522436.14490000048"/>
    <s v="Purchase Invoice"/>
    <s v="PU/26/SLS/OT/1399"/>
    <s v="Storage Charges - SLSIPL"/>
    <s v="PU/26/SLS/OT/1399"/>
    <x v="294"/>
  </r>
  <r>
    <s v="2025-12-16"/>
    <n v="0"/>
    <n v="33482.010999999999"/>
    <n v="488954.13390000048"/>
    <s v="Purchase Invoice"/>
    <s v="PU/26/SLS/OT/1400"/>
    <s v="Storage Charges - SLSIPL"/>
    <s v="PU/26/SLS/OT/1400"/>
    <x v="295"/>
  </r>
  <r>
    <s v="2025-12-16"/>
    <n v="0"/>
    <n v="6432.3032999999996"/>
    <n v="482521.83060000051"/>
    <s v="Purchase Invoice"/>
    <s v="PU/26/SLS/OT/1401"/>
    <s v="Handling Charges - Inbound (Exp) - SLSIPL,Transportation Charges Paid - SLSIPL"/>
    <s v="PU/26/SLS/OT/1401"/>
    <x v="296"/>
  </r>
  <r>
    <s v="2025-12-16"/>
    <n v="0"/>
    <n v="6896.1292000000003"/>
    <n v="475625.70140000043"/>
    <s v="Purchase Invoice"/>
    <s v="PU/26/SLS/OT/1402"/>
    <s v="Handling Charges - Inbound (Exp) - SLSIPL,Transportation Charges Paid - SLSIPL"/>
    <s v="PU/26/SLS/OT/1402"/>
    <x v="297"/>
  </r>
  <r>
    <s v="2025-12-16"/>
    <n v="0"/>
    <n v="1028.2935"/>
    <n v="474597.4079000004"/>
    <s v="Purchase Invoice"/>
    <s v="PU/26/SLS/OT/1403"/>
    <s v="Handling Charges - Outbound (Exp) - SLSIPL"/>
    <s v="PU/26/SLS/OT/1403"/>
    <x v="298"/>
  </r>
  <r>
    <s v="2025-12-16"/>
    <n v="0"/>
    <n v="545.21420000000001"/>
    <n v="474052.19370000041"/>
    <s v="Purchase Invoice"/>
    <s v="PU/26/SLS/OT/1404"/>
    <s v="VOS Activity Charges Paid - SLSIPL"/>
    <s v="PU/26/SLS/OT/1404"/>
    <x v="299"/>
  </r>
  <r>
    <s v="2025-12-16"/>
    <n v="0"/>
    <n v="26724.251"/>
    <n v="447327.94270000042"/>
    <s v="Purchase Invoice"/>
    <s v="PU/26/SLS/OT/1408"/>
    <s v="Handling Charges - Outbound (Exp) - SLSIPL"/>
    <s v="PU/26/SLS/OT/1408"/>
    <x v="300"/>
  </r>
  <r>
    <s v="2025-12-16"/>
    <n v="0"/>
    <n v="29303.298299999999"/>
    <n v="418024.6444000004"/>
    <s v="Purchase Invoice"/>
    <s v="PU/26/SLS/OT/1412"/>
    <s v="Storage Charges - Cargo - SLSIPL,Transportation Charges Paid - SLSIPL"/>
    <s v="PU/26/SLS/OT/1412"/>
    <x v="301"/>
  </r>
  <r>
    <s v="2025-12-17"/>
    <n v="0"/>
    <n v="42087.391600000003"/>
    <n v="375937.25280000042"/>
    <s v="Purchase Invoice"/>
    <s v="PU/26/SLS/OT/1413"/>
    <s v="Storage Charges - Cargo - SLSIPL"/>
    <s v="PU/26/SLS/OT/1413"/>
    <x v="302"/>
  </r>
  <r>
    <s v="2025-12-17"/>
    <n v="0"/>
    <n v="36224.358800000002"/>
    <n v="339712.89400000038"/>
    <s v="Purchase Invoice"/>
    <s v="PU/26/SLS/OT/1414"/>
    <s v="Storage Charges - SLSIPL"/>
    <s v="PU/26/SLS/OT/1414"/>
    <x v="303"/>
  </r>
  <r>
    <s v="2025-12-17"/>
    <n v="0"/>
    <n v="38482.042500000003"/>
    <n v="301230.8515000004"/>
    <s v="Purchase Invoice"/>
    <s v="PU/26/SLS/OT/1415"/>
    <s v="Handling Charges - Inbound (Exp) - SLSIPL,Transportation Charges Paid - SLSIPL"/>
    <s v="PU/26/SLS/OT/1415"/>
    <x v="304"/>
  </r>
  <r>
    <s v="2025-12-17"/>
    <n v="0"/>
    <n v="679906.74129999999"/>
    <n v="-378675.8897999996"/>
    <s v="Purchase Invoice"/>
    <s v="PU/26/SLS/OT/1416"/>
    <s v="Storage Charges - Rack - SLSIPL"/>
    <s v="PU/26/SLS/OT/1416"/>
    <x v="305"/>
  </r>
  <r>
    <s v="2025-12-17"/>
    <n v="0"/>
    <n v="3487.4461000000001"/>
    <n v="-382163.3358999996"/>
    <s v="Purchase Invoice"/>
    <s v="PU/26/SLS/OT/1417"/>
    <s v="Transportation Charges Paid - SLSIPL,Handling Charges - Inbound (Exp) - SLSIPL"/>
    <s v="PU/26/SLS/OT/1417"/>
    <x v="306"/>
  </r>
  <r>
    <s v="2025-12-17"/>
    <n v="0"/>
    <n v="90131.008499999996"/>
    <n v="-472294.34439999959"/>
    <s v="Purchase Invoice"/>
    <s v="PU/26/SLS/OT/1418"/>
    <s v="Transportation Charges Paid - SLSIPL,Handling Charges - Inbound (Exp) - SLSIPL"/>
    <s v="PU/26/SLS/OT/1418"/>
    <x v="307"/>
  </r>
  <r>
    <s v="2025-12-17"/>
    <n v="0"/>
    <n v="4231.3179"/>
    <n v="-476525.66229999962"/>
    <s v="Purchase Invoice"/>
    <s v="PU/26/SLS/OT/1419"/>
    <s v="Handling Charges - Outbound (Exp) - SLSIPL"/>
    <s v="PU/26/SLS/OT/1419"/>
    <x v="308"/>
  </r>
  <r>
    <s v="2025-12-17"/>
    <n v="0"/>
    <n v="1233.9521"/>
    <n v="-477759.61439999961"/>
    <s v="Purchase Invoice"/>
    <s v="PU/26/SLS/OT/1420"/>
    <s v="Handling Charges - Outbound (Exp) - SLSIPL"/>
    <s v="PU/26/SLS/OT/1420"/>
    <x v="309"/>
  </r>
  <r>
    <s v="2025-12-17"/>
    <n v="0"/>
    <n v="1992.7012"/>
    <n v="-479752.31559999962"/>
    <s v="Purchase Invoice"/>
    <s v="PU/26/SLS/OT/1421"/>
    <s v="Documentation Charges Paid - SLSIPL"/>
    <s v="PU/26/SLS/OT/1421"/>
    <x v="310"/>
  </r>
  <r>
    <s v="2025-12-31"/>
    <n v="453"/>
    <n v="453"/>
    <n v="-2052708.6117"/>
    <s v="Debit Note"/>
    <s v="SJ/25/GEA/1377"/>
    <m/>
    <s v="PU/26/SLS/OT/1422, SLS26/MF/DN/0001-2"/>
    <x v="107"/>
  </r>
  <r>
    <s v="2025-12-17"/>
    <n v="0"/>
    <n v="1247.0791999999999"/>
    <n v="-1176663.0560000001"/>
    <s v="Purchase Invoice"/>
    <s v="PU/26/SLS/OT/1423"/>
    <s v="VOS Activity Charges Paid - SLSIPL"/>
    <s v="PU/26/SLS/OT/1423"/>
    <x v="311"/>
  </r>
  <r>
    <s v="2025-12-17"/>
    <n v="0"/>
    <n v="59881.6803"/>
    <n v="-1236544.7363"/>
    <s v="Purchase Invoice"/>
    <s v="PU/26/SLS/OT/1424"/>
    <s v="Transportation Charges Paid - SLSIPL,Storage Charges - Cargo - SLSIPL"/>
    <s v="PU/26/SLS/OT/1424"/>
    <x v="312"/>
  </r>
  <r>
    <s v="2025-12-17"/>
    <n v="0"/>
    <n v="58594.344499999999"/>
    <n v="-1295139.0807999989"/>
    <s v="Purchase Invoice"/>
    <s v="PU/26/SLS/OT/1425"/>
    <s v="Storage Charges - Cargo - SLSIPL"/>
    <s v="PU/26/SLS/OT/1425"/>
    <x v="313"/>
  </r>
  <r>
    <s v="2025-12-17"/>
    <n v="0"/>
    <n v="991.79819999999995"/>
    <n v="-1296130.878999999"/>
    <s v="Purchase Invoice"/>
    <s v="PU/26/SLS/OT/1426"/>
    <s v="Documentation Charges Paid - SLSIPL"/>
    <s v="PU/26/SLS/OT/1426"/>
    <x v="314"/>
  </r>
  <r>
    <s v="2025-12-17"/>
    <n v="0"/>
    <n v="2793.2276000000002"/>
    <n v="-1298924.1066000001"/>
    <s v="Purchase Invoice"/>
    <s v="PU/26/SLS/OT/1427"/>
    <s v="VOS Activity Charges Paid - SLSIPL"/>
    <s v="PU/26/SLS/OT/1427"/>
    <x v="315"/>
  </r>
  <r>
    <s v="2025-12-17"/>
    <n v="0"/>
    <n v="529469.75580000004"/>
    <n v="-1828393.8624"/>
    <s v="Purchase Invoice"/>
    <s v="PU/26/SLS/OT/1428"/>
    <s v="Storage Charges - Rack - SLSIPL"/>
    <s v="PU/26/SLS/OT/1428"/>
    <x v="316"/>
  </r>
  <r>
    <s v="2025-12-17"/>
    <n v="0"/>
    <n v="9367.9609"/>
    <n v="-1837761.8233"/>
    <s v="Purchase Invoice"/>
    <s v="PU/26/SLS/OT/1430"/>
    <s v="Handling Charges - Inbound (Exp) - SLSIPL,Transportation Charges Paid - SLSIPL"/>
    <s v="PU/26/SLS/OT/1430"/>
    <x v="317"/>
  </r>
  <r>
    <s v="2025-12-17"/>
    <n v="0"/>
    <n v="3014.1161000000002"/>
    <n v="-1840775.9394"/>
    <s v="Purchase Invoice"/>
    <s v="PU/26/SLS/OT/1431"/>
    <s v="Handling Charges - Outbound (Exp) - SLSIPL"/>
    <s v="PU/26/SLS/OT/1431"/>
    <x v="318"/>
  </r>
  <r>
    <s v="2025-12-17"/>
    <n v="0"/>
    <n v="63274.437400000003"/>
    <n v="-1904050.3768"/>
    <s v="Purchase Invoice"/>
    <s v="PU/26/SLS/OT/1432"/>
    <s v="Storage Charges - Cargo - SLSIPL"/>
    <s v="PU/26/SLS/OT/1432"/>
    <x v="319"/>
  </r>
  <r>
    <s v="2025-12-17"/>
    <n v="0"/>
    <n v="26716.949199999999"/>
    <n v="-1930767.325999999"/>
    <s v="Purchase Invoice"/>
    <s v="PU/26/SLS/OT/1434"/>
    <s v="Storage Charges - Cargo - SLSIPL,Transportation Charges Paid - SLSIPL"/>
    <s v="PU/26/SLS/OT/1434"/>
    <x v="320"/>
  </r>
  <r>
    <s v="2025-12-17"/>
    <n v="0"/>
    <n v="5909.4276"/>
    <n v="-1936676.753599999"/>
    <s v="Purchase Invoice"/>
    <s v="PU/26/SLS/OT/1435"/>
    <s v="Handling Charges - Outbound (Exp) - SLSIPL"/>
    <s v="PU/26/SLS/OT/1435"/>
    <x v="321"/>
  </r>
  <r>
    <s v="2025-12-17"/>
    <n v="0"/>
    <n v="39821.534"/>
    <n v="-1976498.287599999"/>
    <s v="Purchase Invoice"/>
    <s v="PU/26/SLS/OT/1437"/>
    <s v="Storage Charges - Cargo - SLSIPL"/>
    <s v="PU/26/SLS/OT/1437"/>
    <x v="322"/>
  </r>
  <r>
    <s v="2025-12-17"/>
    <n v="0"/>
    <n v="29234.726200000001"/>
    <n v="-2005733.0137999989"/>
    <s v="Purchase Invoice"/>
    <s v="PU/26/SLS/OT/1439"/>
    <s v="Transportation Charges Paid - SLSIPL,Handling Charges - Inbound (Exp) - SLSIPL"/>
    <s v="PU/26/SLS/OT/1439"/>
    <x v="323"/>
  </r>
  <r>
    <s v="2025-12-17"/>
    <n v="0"/>
    <n v="897.63459999999998"/>
    <n v="-2006630.6483999989"/>
    <s v="Purchase Invoice"/>
    <s v="PU/26/SLS/OT/1440"/>
    <s v="Loose Loading Handling - SLSIPL"/>
    <s v="PU/26/SLS/OT/1440"/>
    <x v="324"/>
  </r>
  <r>
    <s v="2025-12-18"/>
    <n v="0"/>
    <n v="20693.117099999999"/>
    <n v="-2027323.765499999"/>
    <s v="Purchase Invoice"/>
    <s v="PU/26/SLS/OT/1447"/>
    <s v="VOS Activity Charges Paid - SLSIPL"/>
    <s v="PU/26/SLS/OT/1447"/>
    <x v="325"/>
  </r>
  <r>
    <s v="2025-12-18"/>
    <n v="0"/>
    <n v="14016.2999"/>
    <n v="-2041340.065399999"/>
    <s v="Purchase Invoice"/>
    <s v="PU/26/SLS/OT/1448"/>
    <s v="Weightment Charges Paid - SLSIPL"/>
    <s v="PU/26/SLS/OT/1448"/>
    <x v="326"/>
  </r>
  <r>
    <s v="2025-12-18"/>
    <n v="0"/>
    <n v="7761.8990000000003"/>
    <n v="-2049101.964399999"/>
    <s v="Purchase Invoice"/>
    <s v="PU/26/SLS/OT/1449"/>
    <s v="Transportation Charges Paid - SLSIPL,Handling Charges - Inbound (Exp) - SLSIPL"/>
    <s v="PU/26/SLS/OT/1449"/>
    <x v="327"/>
  </r>
  <r>
    <s v="2025-12-18"/>
    <n v="0"/>
    <n v="9417.2428"/>
    <n v="-2058519.2071999989"/>
    <s v="Purchase Invoice"/>
    <s v="PU/26/SLS/OT/1452"/>
    <s v="Handling Charges - Outbound (Exp) - SLSIPL,MHE Charges Paid - SLSIPL"/>
    <s v="PU/26/SLS/OT/1452"/>
    <x v="328"/>
  </r>
  <r>
    <s v="2025-12-18"/>
    <n v="0"/>
    <n v="27787.070400000001"/>
    <n v="-2086306.277599999"/>
    <s v="Purchase Invoice"/>
    <s v="PU/26/SLS/OT/1453"/>
    <s v="Transportation Charges Paid - SLSIPL,Storage Charges - Cargo - SLSIPL"/>
    <s v="PU/26/SLS/OT/1453"/>
    <x v="329"/>
  </r>
  <r>
    <s v="2025-12-18"/>
    <n v="0"/>
    <n v="11723.0177"/>
    <n v="-2098029.295299999"/>
    <s v="Purchase Invoice"/>
    <s v="PU/26/SLS/OT/1455"/>
    <s v="Storage Charges - Cargo - SLSIPL"/>
    <s v="PU/26/SLS/OT/1455"/>
    <x v="330"/>
  </r>
  <r>
    <s v="2025-12-19"/>
    <n v="0"/>
    <n v="61159.633500000004"/>
    <n v="-2159188.9287999989"/>
    <s v="Purchase Invoice"/>
    <s v="PU/26/SLS/OT/1457"/>
    <s v="Transportation Charges Paid - SLSIPL,Handling Charges - Inbound (Exp) - SLSIPL"/>
    <s v="PU/26/SLS/OT/1457"/>
    <x v="331"/>
  </r>
  <r>
    <s v="2025-12-19"/>
    <n v="0"/>
    <n v="11115.014499999999"/>
    <n v="-2170303.943299999"/>
    <s v="Purchase Invoice"/>
    <s v="PU/26/SLS/OT/1458"/>
    <s v="Handling Charges - Outbound (Exp) - SLSIPL"/>
    <s v="PU/26/SLS/OT/1458"/>
    <x v="332"/>
  </r>
  <r>
    <s v="2025-12-19"/>
    <n v="0"/>
    <n v="10489.678599999999"/>
    <n v="-2180793.6219000001"/>
    <s v="Purchase Invoice"/>
    <s v="PU/26/SLS/OT/1460-1"/>
    <s v="Storage Charges - Cargo - SLSIPL,Transportation Charges Paid - SLSIPL"/>
    <s v="PU/26/SLS/OT/1460-1"/>
    <x v="333"/>
  </r>
  <r>
    <s v="2025-12-19"/>
    <n v="0"/>
    <n v="28407.106800000001"/>
    <n v="-2209200.7286999999"/>
    <s v="Purchase Invoice"/>
    <s v="PU/26/SLS/OT/1461"/>
    <s v="Storage Charges - Cargo - SLSIPL"/>
    <s v="PU/26/SLS/OT/1461"/>
    <x v="334"/>
  </r>
  <r>
    <s v="2025-12-29"/>
    <n v="4048"/>
    <n v="40195.392399999997"/>
    <n v="-2245348.1211000001"/>
    <s v="Purchase Invoice"/>
    <s v="PU/26/SLS/OT/1480"/>
    <s v="Fixed Storage Charges - ODC (Covered) - SLSIPL"/>
    <s v="PU/26/SLS/OT/1480, PU/26/SLS/OT/1480"/>
    <x v="335"/>
  </r>
  <r>
    <s v="2025-12-29"/>
    <n v="0"/>
    <n v="299.84859999999998"/>
    <n v="-2245647.9696999998"/>
    <s v="Purchase Invoice"/>
    <s v="PU/26/SLS/OT/1485"/>
    <s v="Weightment Charges Paid - SLSIPL"/>
    <s v="PU/26/SLS/OT/1485"/>
    <x v="336"/>
  </r>
  <r>
    <s v="2025-12-29"/>
    <n v="7320"/>
    <n v="73283.168300000005"/>
    <n v="-2311611.1379999998"/>
    <s v="Purchase Invoice"/>
    <s v="PU/26/SLS/OT/1487"/>
    <s v="Storage Charges - Cargo - SLSIPL"/>
    <s v="PU/26/SLS/OT/1487, PU/26/SLS/OT/1487"/>
    <x v="337"/>
  </r>
  <r>
    <s v="2025-12-29"/>
    <n v="500000"/>
    <n v="0"/>
    <n v="-1811611.138"/>
    <s v="Pay"/>
    <s v="BP/26/SLS/1015"/>
    <s v="1395250393003 - Punjab National Bank - INR - SLSIPL"/>
    <m/>
    <x v="215"/>
  </r>
  <r>
    <s v="2025-12-29"/>
    <n v="6"/>
    <n v="306"/>
    <n v="-1811911.138"/>
    <s v="Purchase Invoice"/>
    <s v="PU/26/SLS/OT/1484-1"/>
    <s v="Weightment Charges Paid - SLSIPL"/>
    <s v="PU/26/SLS/OT/1484-1, PU/26/SLS/OT/1484-1"/>
    <x v="338"/>
  </r>
  <r>
    <s v="2025-12-30"/>
    <n v="176"/>
    <n v="7046.0609999999997"/>
    <n v="-1818781.199"/>
    <s v="Purchase Invoice"/>
    <s v="PU/26/SLS/OT/1488"/>
    <s v="Handling Charges - Outbound (Exp) - SLSIPL"/>
    <s v="PU/26/SLS/OT/1488, PU/26/SLS/OT/1488"/>
    <x v="339"/>
  </r>
  <r>
    <s v="2025-12-30"/>
    <n v="88"/>
    <n v="2901.2856000000002"/>
    <n v="-1821594.4846000001"/>
    <s v="Purchase Invoice"/>
    <s v="PU/26/SLS/OT/1489"/>
    <s v="Handling Charges - Inbound (Exp) - SLSIPL"/>
    <s v="PU/26/SLS/OT/1489, PU/26/SLS/OT/1489"/>
    <x v="340"/>
  </r>
  <r>
    <s v="2025-12-30"/>
    <n v="0"/>
    <n v="1036.08"/>
    <n v="-1822630.5645999999"/>
    <s v="Purchase Invoice"/>
    <s v="PU/26/SLS/OT/1490"/>
    <s v="Handling Charges - Outbound (Exp) - SLSIPL"/>
    <s v="PU/26/SLS/OT/1490"/>
    <x v="341"/>
  </r>
  <r>
    <s v="2025-07-31"/>
    <n v="36410"/>
    <n v="0"/>
    <n v="-251862.5999999996"/>
    <s v="Credit Note"/>
    <s v="SLS26/MF/DN/0022-1"/>
    <s v="Container Scanning Paid - SLSIPL"/>
    <s v="SLS26/MF/DN/0022-1"/>
    <x v="342"/>
  </r>
  <r>
    <s v="2025-12-30"/>
    <n v="88"/>
    <n v="6173.1630999999998"/>
    <n v="-1874397.6647000001"/>
    <s v="Purchase Invoice"/>
    <s v="PU/26/SLS/OT/1493"/>
    <s v="Intra SEZ Trf Expenses - SLSIPL"/>
    <s v="PU/26/SLS/OT/1493, PU/26/SLS/OT/1493"/>
    <x v="343"/>
  </r>
  <r>
    <s v="2025-12-30"/>
    <n v="6791"/>
    <n v="68060.655499999993"/>
    <n v="-1935667.3202"/>
    <s v="Purchase Invoice"/>
    <s v="PU/26/SLS/OT/1494"/>
    <s v="Storage Charges - Cargo - SLSIPL"/>
    <s v="PU/26/SLS/OT/1494, PU/26/SLS/OT/1494"/>
    <x v="344"/>
  </r>
  <r>
    <s v="2025-12-30"/>
    <n v="1058"/>
    <n v="51397.291499999999"/>
    <n v="-1986006.6117"/>
    <s v="Purchase Invoice"/>
    <s v="PU/26/SLS/OT/1495"/>
    <s v="Handling Charges - Outbound (Exp) - SLSIPL"/>
    <s v="PU/26/SLS/OT/1495, PU/26/SLS/OT/1495"/>
    <x v="345"/>
  </r>
  <r>
    <s v="2025-12-17"/>
    <n v="0"/>
    <n v="695663.66119999997"/>
    <n v="-1175415.9768000001"/>
    <s v="Purchase Invoice"/>
    <s v="PU/26/SLS/OT/1422"/>
    <s v="Storage Charges - Rack - SLSIPL"/>
    <s v="PU/26/SLS/OT/1422"/>
    <x v="346"/>
  </r>
  <r>
    <s v="2025-12-31"/>
    <n v="1351"/>
    <n v="67557"/>
    <n v="-2052708.6117"/>
    <s v="Purchase Invoice"/>
    <s v="PU/26/SLS/OT/1394-2"/>
    <s v="Handling Charges - Inbound (Exp) - SLSIPL,Transportation Charges Paid - SLSIPL"/>
    <s v="PU/26/SLS/OT/1394-2, PU/26/SLS/OT/1394-2"/>
    <x v="347"/>
  </r>
  <r>
    <s v="2025-07-31"/>
    <n v="15401"/>
    <n v="0"/>
    <n v="-236461.5999999996"/>
    <s v="Credit Note"/>
    <s v="SLS26/MF/DN/0021-1"/>
    <s v="Fixed Storage Charges - ODC (Covered) - SLSIPL"/>
    <s v="SLS26/MF/DN/0021-1"/>
    <x v="348"/>
  </r>
  <r>
    <s v="2025-12-30"/>
    <n v="970"/>
    <n v="46651.936999999998"/>
    <n v="-1868312.5016000001"/>
    <s v="Purchase Invoice"/>
    <s v="PU/26/SLS/OT/1492"/>
    <s v="VOS Activity Charges Paid - SLSIPL"/>
    <s v="PU/26/SLS/OT/1492, PU/26/SLS/OT/1492"/>
    <x v="349"/>
  </r>
  <r>
    <s v="2025-12-30"/>
    <n v="10"/>
    <n v="506"/>
    <n v="-1986502.6117"/>
    <s v="Purchase Invoice"/>
    <s v="PU/26/SLS/OT/1491-1"/>
    <s v="Documentation Charges Paid - SLSIPL"/>
    <s v="PU/26/SLS/OT/1491-1, PU/26/SLS/OT/1491-1"/>
    <x v="349"/>
  </r>
  <r>
    <s v="2026-01-16"/>
    <n v="4174"/>
    <n v="41446.745000000003"/>
    <n v="-2089981.3566999999"/>
    <s v="Purchase Invoice"/>
    <s v="PU/26/SLS/OT/1553"/>
    <s v="Storage Charges - SLSIPL"/>
    <s v="PU/26/SLS/OT/1553, PU/26/SLS/OT/1553"/>
    <x v="350"/>
  </r>
  <r>
    <s v="2026-01-16"/>
    <n v="0"/>
    <n v="1066.231"/>
    <n v="-2091047.5877"/>
    <s v="Purchase Invoice"/>
    <s v="PU/26/SLS/OT/1554"/>
    <s v="Handling Charges - Outbound (Exp) - SLSIPL"/>
    <s v="PU/26/SLS/OT/1554"/>
    <x v="351"/>
  </r>
  <r>
    <s v="2026-01-23"/>
    <n v="181"/>
    <n v="8983.0849999999991"/>
    <n v="-2099849.6727"/>
    <s v="Purchase Invoice"/>
    <s v="PU/26/SLS/OT/1538"/>
    <s v="Gate in Charges - Inbound - SLSIPL,Handling Charges - Inbound (Exp) - SLSIPL"/>
    <s v="PU/26/SLS/OT/1538, PU/26/SLS/OT/1538"/>
    <x v="352"/>
  </r>
  <r>
    <s v="2026-01-28"/>
    <n v="674751"/>
    <n v="0"/>
    <n v="-1425098.6727"/>
    <s v="Pay"/>
    <s v="BP/26/SLS/1165-1"/>
    <s v="1395250393003 - Punjab National Bank - INR - SLSIPL"/>
    <s v="PU/26/SLS/OT/1422"/>
    <x v="215"/>
  </r>
  <r>
    <s v="2026-02-04"/>
    <n v="90"/>
    <n v="4904.3774000000003"/>
    <n v="-1429913.0501000001"/>
    <s v="Purchase Invoice"/>
    <s v="PU/26/SLS/OT/1636"/>
    <s v="Handling Charges - Outbound (Exp) - SLSIPL,MHE CHARGES - SLSIPL"/>
    <s v="PU/26/SLS/OT/1636, PU/26/SLS/OT/1636"/>
    <x v="353"/>
  </r>
  <r>
    <s v="2026-02-04"/>
    <n v="181"/>
    <n v="8983.0846000000001"/>
    <n v="-1438715.1347000001"/>
    <s v="Purchase Invoice"/>
    <s v="PU/26/SLS/OT/1637"/>
    <s v="Handling Charges - Outbound (Exp) - SLSIPL,Gate In Charges Paid - SLSIPL"/>
    <s v="PU/26/SLS/OT/1637, PU/26/SLS/OT/1637"/>
    <x v="354"/>
  </r>
  <r>
    <s v="2026-02-04"/>
    <n v="91"/>
    <n v="6141.7525999999998"/>
    <n v="-1444765.8873000001"/>
    <s v="Purchase Invoice"/>
    <s v="PU/26/SLS/OT/1638"/>
    <s v="Handling Charges - Outbound (Exp) - SLSIPL"/>
    <s v="PU/26/SLS/OT/1638, PU/26/SLS/OT/1638"/>
    <x v="355"/>
  </r>
  <r>
    <s v="2026-02-04"/>
    <n v="1815"/>
    <n v="18211.378000000001"/>
    <n v="-1461162.2653000001"/>
    <s v="Purchase Invoice"/>
    <s v="PU/26/SLS/OT/1639"/>
    <s v="Storage Charges - Cargo - SLSIPL"/>
    <s v="PU/26/SLS/OT/1639, PU/26/SLS/OT/1639"/>
    <x v="356"/>
  </r>
  <r>
    <s v="2026-02-04"/>
    <n v="1089"/>
    <n v="11313.937"/>
    <n v="-1471387.2023"/>
    <s v="Purchase Invoice"/>
    <s v="PU/26/SLS/OT/1640"/>
    <s v="Storage Charges - Cargo - SLSIPL,Gate In Charges Paid - SLSIPL"/>
    <s v="PU/26/SLS/OT/1640, PU/26/SLS/OT/1640"/>
    <x v="357"/>
  </r>
  <r>
    <s v="2026-02-05"/>
    <n v="181"/>
    <n v="7063.8671999999997"/>
    <n v="-1478270.0695"/>
    <s v="Purchase Invoice"/>
    <s v="PU/26/SLS/OT/1643"/>
    <s v="Handling Charges - Inbound (Exp) - SLSIPL,Gate In Charges Paid - SLSIPL"/>
    <s v="PU/26/SLS/OT/1643, PU/26/SLS/OT/1643"/>
    <x v="358"/>
  </r>
  <r>
    <s v="2026-02-05"/>
    <n v="181"/>
    <n v="11185.420599999999"/>
    <n v="-1489274.4901000001"/>
    <s v="Purchase Invoice"/>
    <s v="PU/26/SLS/OT/1646"/>
    <s v="Storage Charges - Cargo - SLSIPL,Gate In Charges Paid - SLSIPL"/>
    <s v="PU/26/SLS/OT/1646, PU/26/SLS/OT/1646"/>
    <x v="3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1AF65-052E-42BE-A16D-E7FDB587E0B8}" name="PivotTable2" cacheId="3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K1:M361" firstHeaderRow="0" firstDataRow="1" firstDataCol="1"/>
  <pivotFields count="9">
    <pivotField compact="0" outline="0" showAll="0" defaultSubtotal="0"/>
    <pivotField dataField="1" compact="0" numFmtId="43" outline="0" showAll="0" defaultSubtotal="0"/>
    <pivotField dataField="1"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360">
        <item x="183"/>
        <item x="0"/>
        <item x="161"/>
        <item x="2"/>
        <item x="3"/>
        <item x="4"/>
        <item x="5"/>
        <item x="1"/>
        <item x="264"/>
        <item x="265"/>
        <item x="268"/>
        <item x="269"/>
        <item x="266"/>
        <item x="106"/>
        <item x="267"/>
        <item x="108"/>
        <item x="14"/>
        <item x="12"/>
        <item x="13"/>
        <item x="18"/>
        <item x="17"/>
        <item x="19"/>
        <item x="20"/>
        <item x="156"/>
        <item x="21"/>
        <item x="22"/>
        <item x="23"/>
        <item x="24"/>
        <item x="25"/>
        <item x="26"/>
        <item x="27"/>
        <item x="28"/>
        <item x="29"/>
        <item x="30"/>
        <item x="15"/>
        <item x="16"/>
        <item x="11"/>
        <item x="10"/>
        <item x="154"/>
        <item x="9"/>
        <item x="8"/>
        <item x="7"/>
        <item x="6"/>
        <item x="54"/>
        <item x="60"/>
        <item x="51"/>
        <item x="52"/>
        <item x="53"/>
        <item x="33"/>
        <item x="48"/>
        <item x="49"/>
        <item x="32"/>
        <item x="163"/>
        <item x="162"/>
        <item x="45"/>
        <item x="50"/>
        <item x="47"/>
        <item x="59"/>
        <item x="46"/>
        <item x="160"/>
        <item x="43"/>
        <item x="39"/>
        <item x="44"/>
        <item x="34"/>
        <item x="35"/>
        <item x="36"/>
        <item x="38"/>
        <item x="37"/>
        <item x="41"/>
        <item x="40"/>
        <item x="42"/>
        <item x="56"/>
        <item x="58"/>
        <item x="31"/>
        <item x="57"/>
        <item x="55"/>
        <item x="121"/>
        <item x="122"/>
        <item x="158"/>
        <item x="123"/>
        <item x="124"/>
        <item x="125"/>
        <item x="126"/>
        <item x="127"/>
        <item x="128"/>
        <item x="129"/>
        <item x="68"/>
        <item x="67"/>
        <item x="62"/>
        <item x="63"/>
        <item x="65"/>
        <item x="66"/>
        <item x="64"/>
        <item x="83"/>
        <item x="80"/>
        <item x="81"/>
        <item x="82"/>
        <item x="94"/>
        <item x="95"/>
        <item x="61"/>
        <item x="73"/>
        <item x="72"/>
        <item x="71"/>
        <item x="70"/>
        <item x="69"/>
        <item x="96"/>
        <item x="97"/>
        <item x="98"/>
        <item x="99"/>
        <item x="100"/>
        <item x="136"/>
        <item x="159"/>
        <item x="164"/>
        <item x="172"/>
        <item x="188"/>
        <item x="143"/>
        <item x="137"/>
        <item x="138"/>
        <item x="139"/>
        <item x="140"/>
        <item x="142"/>
        <item x="74"/>
        <item x="141"/>
        <item x="75"/>
        <item x="76"/>
        <item x="77"/>
        <item x="105"/>
        <item x="78"/>
        <item x="91"/>
        <item x="92"/>
        <item x="93"/>
        <item x="90"/>
        <item x="89"/>
        <item x="85"/>
        <item x="86"/>
        <item x="87"/>
        <item x="144"/>
        <item x="88"/>
        <item x="134"/>
        <item x="116"/>
        <item x="117"/>
        <item x="118"/>
        <item x="119"/>
        <item x="120"/>
        <item x="173"/>
        <item x="205"/>
        <item x="157"/>
        <item x="223"/>
        <item x="149"/>
        <item x="112"/>
        <item x="147"/>
        <item x="113"/>
        <item x="146"/>
        <item x="155"/>
        <item x="114"/>
        <item x="145"/>
        <item x="152"/>
        <item x="115"/>
        <item x="150"/>
        <item x="148"/>
        <item x="111"/>
        <item x="109"/>
        <item x="110"/>
        <item x="135"/>
        <item x="84"/>
        <item x="221"/>
        <item x="226"/>
        <item x="227"/>
        <item x="224"/>
        <item x="153"/>
        <item x="102"/>
        <item x="79"/>
        <item x="133"/>
        <item x="101"/>
        <item x="103"/>
        <item x="104"/>
        <item x="151"/>
        <item x="130"/>
        <item x="131"/>
        <item x="132"/>
        <item x="337"/>
        <item x="242"/>
        <item x="247"/>
        <item x="171"/>
        <item x="170"/>
        <item x="166"/>
        <item x="165"/>
        <item x="167"/>
        <item x="168"/>
        <item x="169"/>
        <item x="225"/>
        <item x="175"/>
        <item x="174"/>
        <item x="177"/>
        <item x="178"/>
        <item x="176"/>
        <item x="181"/>
        <item x="180"/>
        <item x="179"/>
        <item x="270"/>
        <item x="185"/>
        <item x="187"/>
        <item x="228"/>
        <item x="184"/>
        <item x="186"/>
        <item x="182"/>
        <item x="189"/>
        <item x="195"/>
        <item x="192"/>
        <item x="191"/>
        <item x="190"/>
        <item x="193"/>
        <item x="194"/>
        <item x="257"/>
        <item x="199"/>
        <item x="196"/>
        <item x="198"/>
        <item x="197"/>
        <item x="201"/>
        <item x="200"/>
        <item x="202"/>
        <item x="330"/>
        <item x="203"/>
        <item x="262"/>
        <item x="204"/>
        <item x="209"/>
        <item x="208"/>
        <item x="210"/>
        <item x="211"/>
        <item x="212"/>
        <item x="213"/>
        <item x="206"/>
        <item x="207"/>
        <item x="214"/>
        <item x="218"/>
        <item x="216"/>
        <item x="217"/>
        <item x="219"/>
        <item x="260"/>
        <item x="274"/>
        <item x="220"/>
        <item x="271"/>
        <item x="272"/>
        <item x="273"/>
        <item x="289"/>
        <item x="288"/>
        <item x="287"/>
        <item x="286"/>
        <item x="285"/>
        <item x="280"/>
        <item x="284"/>
        <item x="283"/>
        <item x="282"/>
        <item x="281"/>
        <item x="279"/>
        <item x="278"/>
        <item x="276"/>
        <item x="277"/>
        <item x="275"/>
        <item x="238"/>
        <item x="239"/>
        <item x="240"/>
        <item x="241"/>
        <item x="294"/>
        <item x="250"/>
        <item x="347"/>
        <item x="248"/>
        <item x="249"/>
        <item x="292"/>
        <item x="293"/>
        <item x="290"/>
        <item x="291"/>
        <item x="255"/>
        <item x="251"/>
        <item x="252"/>
        <item x="254"/>
        <item x="253"/>
        <item x="306"/>
        <item x="309"/>
        <item x="346"/>
        <item x="311"/>
        <item x="312"/>
        <item x="313"/>
        <item x="310"/>
        <item x="307"/>
        <item x="308"/>
        <item x="295"/>
        <item x="301"/>
        <item x="299"/>
        <item x="302"/>
        <item x="300"/>
        <item x="296"/>
        <item x="297"/>
        <item x="298"/>
        <item x="304"/>
        <item x="345"/>
        <item x="305"/>
        <item x="303"/>
        <item x="344"/>
        <item x="349"/>
        <item x="343"/>
        <item x="341"/>
        <item x="340"/>
        <item x="339"/>
        <item x="336"/>
        <item x="338"/>
        <item x="335"/>
        <item x="315"/>
        <item x="316"/>
        <item x="317"/>
        <item x="318"/>
        <item x="320"/>
        <item x="319"/>
        <item x="321"/>
        <item x="314"/>
        <item x="329"/>
        <item x="325"/>
        <item x="326"/>
        <item x="327"/>
        <item x="328"/>
        <item x="322"/>
        <item x="323"/>
        <item x="324"/>
        <item x="334"/>
        <item x="331"/>
        <item x="332"/>
        <item x="333"/>
        <item x="229"/>
        <item x="230"/>
        <item x="231"/>
        <item x="232"/>
        <item x="233"/>
        <item x="234"/>
        <item x="235"/>
        <item x="236"/>
        <item x="237"/>
        <item x="243"/>
        <item x="244"/>
        <item x="245"/>
        <item x="246"/>
        <item x="256"/>
        <item x="258"/>
        <item x="263"/>
        <item x="259"/>
        <item x="348"/>
        <item x="261"/>
        <item x="222"/>
        <item x="342"/>
        <item x="350"/>
        <item x="351"/>
        <item x="352"/>
        <item x="359"/>
        <item x="358"/>
        <item x="353"/>
        <item x="357"/>
        <item x="356"/>
        <item x="354"/>
        <item x="355"/>
        <item x="107"/>
        <item x="215"/>
      </items>
    </pivotField>
  </pivotFields>
  <rowFields count="1">
    <field x="8"/>
  </rowFields>
  <rowItems count="3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</rowItems>
  <colFields count="1">
    <field x="-2"/>
  </colFields>
  <colItems count="2">
    <i>
      <x/>
    </i>
    <i i="1">
      <x v="1"/>
    </i>
  </colItems>
  <dataFields count="2">
    <dataField name="Sum of Debit (INR)" fld="1" baseField="0" baseItem="0"/>
    <dataField name="Sum of Credit (INR)" fld="2" baseField="0" baseItem="0"/>
  </dataFields>
  <formats count="24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8" type="button" dataOnly="0" labelOnly="1" outline="0" axis="axisRow" fieldPosition="0"/>
    </format>
    <format dxfId="46">
      <pivotArea dataOnly="0" labelOnly="1" outline="0" fieldPosition="0">
        <references count="1">
          <reference field="8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5">
      <pivotArea dataOnly="0" labelOnly="1" outline="0" fieldPosition="0">
        <references count="1">
          <reference field="8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4">
      <pivotArea dataOnly="0" labelOnly="1" outline="0" fieldPosition="0">
        <references count="1">
          <reference field="8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43">
      <pivotArea dataOnly="0" labelOnly="1" outline="0" fieldPosition="0">
        <references count="1">
          <reference field="8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42">
      <pivotArea dataOnly="0" labelOnly="1" outline="0" fieldPosition="0">
        <references count="1">
          <reference field="8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41">
      <pivotArea dataOnly="0" labelOnly="1" outline="0" fieldPosition="0">
        <references count="1">
          <reference field="8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40">
      <pivotArea dataOnly="0" labelOnly="1" outline="0" fieldPosition="0">
        <references count="1">
          <reference field="8" count="45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31"/>
            <x v="334"/>
            <x v="336"/>
            <x v="339"/>
            <x v="341"/>
            <x v="343"/>
            <x v="345"/>
            <x v="348"/>
            <x v="349"/>
            <x v="350"/>
            <x v="351"/>
            <x v="352"/>
            <x v="353"/>
            <x v="354"/>
            <x v="355"/>
            <x v="356"/>
            <x v="357"/>
          </reference>
        </references>
      </pivotArea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">
      <pivotArea dataOnly="0" labelOnly="1" outline="0" fieldPosition="0">
        <references count="1">
          <reference field="8" count="47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1"/>
            <x v="334"/>
            <x v="336"/>
            <x v="339"/>
            <x v="341"/>
            <x v="343"/>
            <x v="345"/>
            <x v="348"/>
            <x v="349"/>
            <x v="350"/>
            <x v="351"/>
            <x v="352"/>
            <x v="353"/>
            <x v="354"/>
            <x v="355"/>
            <x v="356"/>
            <x v="357"/>
          </reference>
        </references>
      </pivotArea>
    </format>
    <format dxfId="37">
      <pivotArea dataOnly="0" labelOnly="1" outline="0" fieldPosition="0">
        <references count="1">
          <reference field="8" count="10">
            <x v="330"/>
            <x v="332"/>
            <x v="333"/>
            <x v="335"/>
            <x v="337"/>
            <x v="338"/>
            <x v="340"/>
            <x v="346"/>
            <x v="358"/>
            <x v="359"/>
          </reference>
        </references>
      </pivotArea>
    </format>
    <format dxfId="36">
      <pivotArea field="8" type="button" dataOnly="0" labelOnly="1" outline="0" axis="axisRow" fieldPosition="0"/>
    </format>
    <format dxfId="35">
      <pivotArea dataOnly="0" labelOnly="1" outline="0" fieldPosition="0">
        <references count="1">
          <reference field="8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4">
      <pivotArea dataOnly="0" labelOnly="1" outline="0" fieldPosition="0">
        <references count="1">
          <reference field="8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3">
      <pivotArea dataOnly="0" labelOnly="1" outline="0" fieldPosition="0">
        <references count="1">
          <reference field="8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2">
      <pivotArea dataOnly="0" labelOnly="1" outline="0" fieldPosition="0">
        <references count="1">
          <reference field="8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1">
      <pivotArea dataOnly="0" labelOnly="1" outline="0" fieldPosition="0">
        <references count="1">
          <reference field="8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0">
      <pivotArea dataOnly="0" labelOnly="1" outline="0" fieldPosition="0">
        <references count="1">
          <reference field="8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9">
      <pivotArea dataOnly="0" labelOnly="1" outline="0" fieldPosition="0">
        <references count="1">
          <reference field="8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8">
      <pivotArea dataOnly="0" labelOnly="1" outline="0" fieldPosition="0">
        <references count="1">
          <reference field="8" count="10">
            <x v="350"/>
            <x v="351"/>
            <x v="352"/>
            <x v="353"/>
            <x v="354"/>
            <x v="355"/>
            <x v="356"/>
            <x v="357"/>
            <x v="358"/>
            <x v="359"/>
          </reference>
        </references>
      </pivotArea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A0B3-7F3C-4031-9DDE-2C6E7C79C18D}">
  <dimension ref="A1:Q390"/>
  <sheetViews>
    <sheetView tabSelected="1" topLeftCell="C1" zoomScale="70" zoomScaleNormal="70" workbookViewId="0">
      <selection activeCell="O362" sqref="O362"/>
    </sheetView>
  </sheetViews>
  <sheetFormatPr defaultRowHeight="14.5" x14ac:dyDescent="0.35"/>
  <cols>
    <col min="1" max="1" width="11.1796875" bestFit="1" customWidth="1"/>
    <col min="2" max="2" width="12.36328125" style="34" bestFit="1" customWidth="1"/>
    <col min="3" max="3" width="14" style="34" bestFit="1" customWidth="1"/>
    <col min="4" max="4" width="13" style="34" bestFit="1" customWidth="1"/>
    <col min="5" max="5" width="15" bestFit="1" customWidth="1"/>
    <col min="6" max="6" width="19.1796875" bestFit="1" customWidth="1"/>
    <col min="7" max="7" width="43.26953125" customWidth="1"/>
    <col min="8" max="8" width="19.08984375" hidden="1" customWidth="1"/>
    <col min="9" max="9" width="26" bestFit="1" customWidth="1"/>
    <col min="11" max="11" width="20.08984375" style="17" bestFit="1" customWidth="1"/>
    <col min="12" max="12" width="17.36328125" style="34" bestFit="1" customWidth="1"/>
    <col min="13" max="13" width="17.90625" style="34" bestFit="1" customWidth="1"/>
    <col min="15" max="15" width="17" style="17" bestFit="1" customWidth="1"/>
    <col min="16" max="16" width="17.26953125" style="34" bestFit="1" customWidth="1"/>
    <col min="17" max="17" width="17.81640625" style="34" bestFit="1" customWidth="1"/>
  </cols>
  <sheetData>
    <row r="1" spans="1:17" x14ac:dyDescent="0.35">
      <c r="A1" s="30" t="s">
        <v>5</v>
      </c>
      <c r="B1" s="31" t="s">
        <v>355</v>
      </c>
      <c r="C1" s="31" t="s">
        <v>356</v>
      </c>
      <c r="D1" s="31" t="s">
        <v>357</v>
      </c>
      <c r="E1" s="30" t="s">
        <v>358</v>
      </c>
      <c r="F1" s="30" t="s">
        <v>359</v>
      </c>
      <c r="G1" s="30" t="s">
        <v>360</v>
      </c>
      <c r="H1" s="30" t="s">
        <v>361</v>
      </c>
      <c r="I1" s="30" t="s">
        <v>362</v>
      </c>
      <c r="K1" s="35" t="s">
        <v>362</v>
      </c>
      <c r="L1" s="62" t="s">
        <v>883</v>
      </c>
      <c r="M1" s="62" t="s">
        <v>884</v>
      </c>
      <c r="O1" s="59" t="s">
        <v>362</v>
      </c>
      <c r="P1" s="60" t="s">
        <v>883</v>
      </c>
      <c r="Q1" s="60" t="s">
        <v>884</v>
      </c>
    </row>
    <row r="2" spans="1:17" x14ac:dyDescent="0.35">
      <c r="A2" s="30" t="s">
        <v>363</v>
      </c>
      <c r="B2" s="31">
        <v>0</v>
      </c>
      <c r="C2" s="31">
        <v>35554.519999999997</v>
      </c>
      <c r="D2" s="31">
        <v>-35554.519999999997</v>
      </c>
      <c r="E2" s="30" t="s">
        <v>364</v>
      </c>
      <c r="F2" s="30" t="s">
        <v>365</v>
      </c>
      <c r="G2" s="30" t="s">
        <v>366</v>
      </c>
      <c r="H2" s="30" t="s">
        <v>365</v>
      </c>
      <c r="I2" s="32">
        <v>246779410049</v>
      </c>
      <c r="K2" s="36">
        <v>25677941807</v>
      </c>
      <c r="L2" s="62">
        <v>0</v>
      </c>
      <c r="M2" s="62">
        <v>1972</v>
      </c>
      <c r="O2" s="36">
        <v>25677941807</v>
      </c>
      <c r="P2" s="38">
        <v>0</v>
      </c>
      <c r="Q2" s="38">
        <v>1972</v>
      </c>
    </row>
    <row r="3" spans="1:17" x14ac:dyDescent="0.35">
      <c r="A3" s="30" t="s">
        <v>363</v>
      </c>
      <c r="B3" s="31">
        <v>0</v>
      </c>
      <c r="C3" s="31">
        <v>35554.519999999997</v>
      </c>
      <c r="D3" s="31">
        <v>-71109.039999999994</v>
      </c>
      <c r="E3" s="30" t="s">
        <v>364</v>
      </c>
      <c r="F3" s="30" t="s">
        <v>367</v>
      </c>
      <c r="G3" s="30" t="s">
        <v>366</v>
      </c>
      <c r="H3" s="30" t="s">
        <v>367</v>
      </c>
      <c r="I3" s="32">
        <v>246779410303</v>
      </c>
      <c r="K3" s="36">
        <v>246779410049</v>
      </c>
      <c r="L3" s="62">
        <v>0</v>
      </c>
      <c r="M3" s="62">
        <v>35554.519999999997</v>
      </c>
      <c r="O3" s="36">
        <v>246779410049</v>
      </c>
      <c r="P3" s="38">
        <v>0</v>
      </c>
      <c r="Q3" s="38">
        <v>35554.519999999997</v>
      </c>
    </row>
    <row r="4" spans="1:17" x14ac:dyDescent="0.35">
      <c r="A4" s="30" t="s">
        <v>363</v>
      </c>
      <c r="B4" s="31">
        <v>0</v>
      </c>
      <c r="C4" s="31">
        <v>35554.519999999997</v>
      </c>
      <c r="D4" s="31">
        <v>-106663.56</v>
      </c>
      <c r="E4" s="30" t="s">
        <v>364</v>
      </c>
      <c r="F4" s="30" t="s">
        <v>368</v>
      </c>
      <c r="G4" s="30" t="s">
        <v>366</v>
      </c>
      <c r="H4" s="30" t="s">
        <v>368</v>
      </c>
      <c r="I4" s="32">
        <v>246779410117</v>
      </c>
      <c r="K4" s="36">
        <v>246779410072</v>
      </c>
      <c r="L4" s="62">
        <v>0</v>
      </c>
      <c r="M4" s="62">
        <v>35477</v>
      </c>
      <c r="O4" s="36">
        <v>246779410072</v>
      </c>
      <c r="P4" s="38">
        <v>0</v>
      </c>
      <c r="Q4" s="38">
        <v>35477</v>
      </c>
    </row>
    <row r="5" spans="1:17" x14ac:dyDescent="0.35">
      <c r="A5" s="30" t="s">
        <v>363</v>
      </c>
      <c r="B5" s="31">
        <v>0</v>
      </c>
      <c r="C5" s="31">
        <v>35554.519999999997</v>
      </c>
      <c r="D5" s="31">
        <v>-142218.07999999999</v>
      </c>
      <c r="E5" s="30" t="s">
        <v>364</v>
      </c>
      <c r="F5" s="30" t="s">
        <v>369</v>
      </c>
      <c r="G5" s="30" t="s">
        <v>366</v>
      </c>
      <c r="H5" s="30" t="s">
        <v>369</v>
      </c>
      <c r="I5" s="32">
        <v>246779410160</v>
      </c>
      <c r="K5" s="36">
        <v>246779410117</v>
      </c>
      <c r="L5" s="62">
        <v>0</v>
      </c>
      <c r="M5" s="62">
        <v>35554.519999999997</v>
      </c>
      <c r="O5" s="36">
        <v>246779410117</v>
      </c>
      <c r="P5" s="38">
        <v>0</v>
      </c>
      <c r="Q5" s="38">
        <v>35554.519999999997</v>
      </c>
    </row>
    <row r="6" spans="1:17" x14ac:dyDescent="0.35">
      <c r="A6" s="30" t="s">
        <v>363</v>
      </c>
      <c r="B6" s="31">
        <v>0</v>
      </c>
      <c r="C6" s="31">
        <v>35554.519999999997</v>
      </c>
      <c r="D6" s="31">
        <v>-177772.6</v>
      </c>
      <c r="E6" s="30" t="s">
        <v>364</v>
      </c>
      <c r="F6" s="30" t="s">
        <v>370</v>
      </c>
      <c r="G6" s="30" t="s">
        <v>366</v>
      </c>
      <c r="H6" s="30" t="s">
        <v>370</v>
      </c>
      <c r="I6" s="32">
        <v>246779410203</v>
      </c>
      <c r="K6" s="36">
        <v>246779410160</v>
      </c>
      <c r="L6" s="62">
        <v>0</v>
      </c>
      <c r="M6" s="62">
        <v>35554.519999999997</v>
      </c>
      <c r="O6" s="36">
        <v>246779410160</v>
      </c>
      <c r="P6" s="38">
        <v>0</v>
      </c>
      <c r="Q6" s="38">
        <v>35554.519999999997</v>
      </c>
    </row>
    <row r="7" spans="1:17" x14ac:dyDescent="0.35">
      <c r="A7" s="30" t="s">
        <v>363</v>
      </c>
      <c r="B7" s="31">
        <v>0</v>
      </c>
      <c r="C7" s="31">
        <v>35554.519999999997</v>
      </c>
      <c r="D7" s="31">
        <v>-213327.12</v>
      </c>
      <c r="E7" s="30" t="s">
        <v>364</v>
      </c>
      <c r="F7" s="30" t="s">
        <v>371</v>
      </c>
      <c r="G7" s="30" t="s">
        <v>366</v>
      </c>
      <c r="H7" s="30" t="s">
        <v>371</v>
      </c>
      <c r="I7" s="32">
        <v>246779410246</v>
      </c>
      <c r="K7" s="36">
        <v>246779410203</v>
      </c>
      <c r="L7" s="62">
        <v>0</v>
      </c>
      <c r="M7" s="62">
        <v>35554.519999999997</v>
      </c>
      <c r="O7" s="36">
        <v>246779410203</v>
      </c>
      <c r="P7" s="38">
        <v>0</v>
      </c>
      <c r="Q7" s="38">
        <v>35554.519999999997</v>
      </c>
    </row>
    <row r="8" spans="1:17" x14ac:dyDescent="0.35">
      <c r="A8" s="30" t="s">
        <v>372</v>
      </c>
      <c r="B8" s="31">
        <v>0</v>
      </c>
      <c r="C8" s="31">
        <v>804</v>
      </c>
      <c r="D8" s="31">
        <v>-214131.12</v>
      </c>
      <c r="E8" s="30" t="s">
        <v>364</v>
      </c>
      <c r="F8" s="30" t="s">
        <v>373</v>
      </c>
      <c r="G8" s="30" t="s">
        <v>374</v>
      </c>
      <c r="H8" s="30" t="s">
        <v>373</v>
      </c>
      <c r="I8" s="32">
        <v>246779410613</v>
      </c>
      <c r="K8" s="36">
        <v>246779410246</v>
      </c>
      <c r="L8" s="62">
        <v>0</v>
      </c>
      <c r="M8" s="62">
        <v>35554.519999999997</v>
      </c>
      <c r="O8" s="36">
        <v>246779410246</v>
      </c>
      <c r="P8" s="38">
        <v>0</v>
      </c>
      <c r="Q8" s="38">
        <v>35554.519999999997</v>
      </c>
    </row>
    <row r="9" spans="1:17" x14ac:dyDescent="0.35">
      <c r="A9" s="30" t="s">
        <v>372</v>
      </c>
      <c r="B9" s="31">
        <v>0</v>
      </c>
      <c r="C9" s="31">
        <v>1004</v>
      </c>
      <c r="D9" s="31">
        <v>-215135.12</v>
      </c>
      <c r="E9" s="30" t="s">
        <v>364</v>
      </c>
      <c r="F9" s="30" t="s">
        <v>375</v>
      </c>
      <c r="G9" s="30" t="s">
        <v>374</v>
      </c>
      <c r="H9" s="30" t="s">
        <v>375</v>
      </c>
      <c r="I9" s="32">
        <v>246779410612</v>
      </c>
      <c r="K9" s="36">
        <v>246779410303</v>
      </c>
      <c r="L9" s="62">
        <v>0</v>
      </c>
      <c r="M9" s="62">
        <v>35554.519999999997</v>
      </c>
      <c r="O9" s="36">
        <v>246779410303</v>
      </c>
      <c r="P9" s="38">
        <v>0</v>
      </c>
      <c r="Q9" s="38">
        <v>35554.519999999997</v>
      </c>
    </row>
    <row r="10" spans="1:17" x14ac:dyDescent="0.35">
      <c r="A10" s="30" t="s">
        <v>372</v>
      </c>
      <c r="B10" s="31">
        <v>0</v>
      </c>
      <c r="C10" s="31">
        <v>402</v>
      </c>
      <c r="D10" s="31">
        <v>-215537.12</v>
      </c>
      <c r="E10" s="30" t="s">
        <v>364</v>
      </c>
      <c r="F10" s="30" t="s">
        <v>376</v>
      </c>
      <c r="G10" s="30" t="s">
        <v>374</v>
      </c>
      <c r="H10" s="30" t="s">
        <v>376</v>
      </c>
      <c r="I10" s="32">
        <v>246779410611</v>
      </c>
      <c r="K10" s="36">
        <v>246779410327</v>
      </c>
      <c r="L10" s="62">
        <v>0</v>
      </c>
      <c r="M10" s="62">
        <v>16480.710999999999</v>
      </c>
      <c r="O10" s="36">
        <v>246779410327</v>
      </c>
      <c r="P10" s="38">
        <v>0</v>
      </c>
      <c r="Q10" s="38">
        <v>16480.710999999999</v>
      </c>
    </row>
    <row r="11" spans="1:17" x14ac:dyDescent="0.35">
      <c r="A11" s="30" t="s">
        <v>372</v>
      </c>
      <c r="B11" s="31">
        <v>0</v>
      </c>
      <c r="C11" s="31">
        <v>201</v>
      </c>
      <c r="D11" s="31">
        <v>-215738.12</v>
      </c>
      <c r="E11" s="30" t="s">
        <v>364</v>
      </c>
      <c r="F11" s="30" t="s">
        <v>377</v>
      </c>
      <c r="G11" s="30" t="s">
        <v>374</v>
      </c>
      <c r="H11" s="30" t="s">
        <v>377</v>
      </c>
      <c r="I11" s="32">
        <v>246779410610</v>
      </c>
      <c r="K11" s="36">
        <v>246779410333</v>
      </c>
      <c r="L11" s="62">
        <v>0</v>
      </c>
      <c r="M11" s="62">
        <v>29975.441999999999</v>
      </c>
      <c r="O11" s="36">
        <v>246779410333</v>
      </c>
      <c r="P11" s="38">
        <v>0</v>
      </c>
      <c r="Q11" s="38">
        <v>29975.441999999999</v>
      </c>
    </row>
    <row r="12" spans="1:17" x14ac:dyDescent="0.35">
      <c r="A12" s="30" t="s">
        <v>372</v>
      </c>
      <c r="B12" s="31">
        <v>0</v>
      </c>
      <c r="C12" s="31">
        <v>804</v>
      </c>
      <c r="D12" s="31">
        <v>-216542.12</v>
      </c>
      <c r="E12" s="30" t="s">
        <v>364</v>
      </c>
      <c r="F12" s="30" t="s">
        <v>378</v>
      </c>
      <c r="G12" s="30" t="s">
        <v>374</v>
      </c>
      <c r="H12" s="30" t="s">
        <v>378</v>
      </c>
      <c r="I12" s="32">
        <v>246779410608</v>
      </c>
      <c r="K12" s="36">
        <v>246779410338</v>
      </c>
      <c r="L12" s="62">
        <v>0</v>
      </c>
      <c r="M12" s="62">
        <v>13859.78</v>
      </c>
      <c r="O12" s="36">
        <v>246779410338</v>
      </c>
      <c r="P12" s="38">
        <v>0</v>
      </c>
      <c r="Q12" s="38">
        <v>13859.78</v>
      </c>
    </row>
    <row r="13" spans="1:17" x14ac:dyDescent="0.35">
      <c r="A13" s="30" t="s">
        <v>372</v>
      </c>
      <c r="B13" s="31">
        <v>0</v>
      </c>
      <c r="C13" s="31">
        <v>402</v>
      </c>
      <c r="D13" s="31">
        <v>-216944.12</v>
      </c>
      <c r="E13" s="30" t="s">
        <v>364</v>
      </c>
      <c r="F13" s="30" t="s">
        <v>379</v>
      </c>
      <c r="G13" s="30" t="s">
        <v>374</v>
      </c>
      <c r="H13" s="30" t="s">
        <v>379</v>
      </c>
      <c r="I13" s="32">
        <v>246779410607</v>
      </c>
      <c r="K13" s="36">
        <v>246779410339</v>
      </c>
      <c r="L13" s="62">
        <v>0</v>
      </c>
      <c r="M13" s="62">
        <v>44681.824999999997</v>
      </c>
      <c r="O13" s="36">
        <v>246779410339</v>
      </c>
      <c r="P13" s="38">
        <v>0</v>
      </c>
      <c r="Q13" s="38">
        <v>44681.824999999997</v>
      </c>
    </row>
    <row r="14" spans="1:17" x14ac:dyDescent="0.35">
      <c r="A14" s="30" t="s">
        <v>372</v>
      </c>
      <c r="B14" s="31">
        <v>0</v>
      </c>
      <c r="C14" s="31">
        <v>580687</v>
      </c>
      <c r="D14" s="31">
        <v>-797631.12</v>
      </c>
      <c r="E14" s="30" t="s">
        <v>364</v>
      </c>
      <c r="F14" s="30" t="s">
        <v>380</v>
      </c>
      <c r="G14" s="30" t="s">
        <v>381</v>
      </c>
      <c r="H14" s="30" t="s">
        <v>380</v>
      </c>
      <c r="I14" s="32">
        <v>246779410404</v>
      </c>
      <c r="K14" s="36">
        <v>246779410340</v>
      </c>
      <c r="L14" s="62">
        <v>0</v>
      </c>
      <c r="M14" s="62">
        <v>144772.565</v>
      </c>
      <c r="O14" s="36">
        <v>246779410340</v>
      </c>
      <c r="P14" s="38">
        <v>0</v>
      </c>
      <c r="Q14" s="38">
        <v>144772.565</v>
      </c>
    </row>
    <row r="15" spans="1:17" x14ac:dyDescent="0.35">
      <c r="A15" s="30" t="s">
        <v>372</v>
      </c>
      <c r="B15" s="31">
        <v>0</v>
      </c>
      <c r="C15" s="31">
        <v>340227</v>
      </c>
      <c r="D15" s="31">
        <v>-1137858.1200000001</v>
      </c>
      <c r="E15" s="30" t="s">
        <v>364</v>
      </c>
      <c r="F15" s="30" t="s">
        <v>382</v>
      </c>
      <c r="G15" s="30" t="s">
        <v>381</v>
      </c>
      <c r="H15" s="30" t="s">
        <v>382</v>
      </c>
      <c r="I15" s="32">
        <v>246779410428</v>
      </c>
      <c r="K15" s="36">
        <v>246779410348</v>
      </c>
      <c r="L15" s="62">
        <v>0</v>
      </c>
      <c r="M15" s="62">
        <v>151725</v>
      </c>
      <c r="O15" s="36">
        <v>246779410348</v>
      </c>
      <c r="P15" s="38">
        <v>0</v>
      </c>
      <c r="Q15" s="38">
        <v>151725</v>
      </c>
    </row>
    <row r="16" spans="1:17" x14ac:dyDescent="0.35">
      <c r="A16" s="30" t="s">
        <v>372</v>
      </c>
      <c r="B16" s="31">
        <v>0</v>
      </c>
      <c r="C16" s="31">
        <v>460370</v>
      </c>
      <c r="D16" s="31">
        <v>-1598228.12</v>
      </c>
      <c r="E16" s="30" t="s">
        <v>364</v>
      </c>
      <c r="F16" s="30" t="s">
        <v>383</v>
      </c>
      <c r="G16" s="30" t="s">
        <v>381</v>
      </c>
      <c r="H16" s="30" t="s">
        <v>383</v>
      </c>
      <c r="I16" s="32">
        <v>246779410379</v>
      </c>
      <c r="K16" s="36">
        <v>246779410352</v>
      </c>
      <c r="L16" s="62">
        <v>0</v>
      </c>
      <c r="M16" s="62">
        <v>102103.25599999999</v>
      </c>
      <c r="O16" s="36">
        <v>246779410352</v>
      </c>
      <c r="P16" s="38">
        <v>0</v>
      </c>
      <c r="Q16" s="38">
        <v>102103.25599999999</v>
      </c>
    </row>
    <row r="17" spans="1:17" x14ac:dyDescent="0.35">
      <c r="A17" s="30" t="s">
        <v>372</v>
      </c>
      <c r="B17" s="31">
        <v>0</v>
      </c>
      <c r="C17" s="31">
        <v>2009</v>
      </c>
      <c r="D17" s="31">
        <v>-1600237.12</v>
      </c>
      <c r="E17" s="30" t="s">
        <v>364</v>
      </c>
      <c r="F17" s="30" t="s">
        <v>384</v>
      </c>
      <c r="G17" s="30" t="s">
        <v>374</v>
      </c>
      <c r="H17" s="30" t="s">
        <v>384</v>
      </c>
      <c r="I17" s="32">
        <v>246779410605</v>
      </c>
      <c r="K17" s="36">
        <v>246779410360</v>
      </c>
      <c r="L17" s="62">
        <v>0</v>
      </c>
      <c r="M17" s="62">
        <v>59624</v>
      </c>
      <c r="O17" s="36">
        <v>246779410360</v>
      </c>
      <c r="P17" s="38">
        <v>0</v>
      </c>
      <c r="Q17" s="38">
        <v>59624</v>
      </c>
    </row>
    <row r="18" spans="1:17" x14ac:dyDescent="0.35">
      <c r="A18" s="30" t="s">
        <v>372</v>
      </c>
      <c r="B18" s="31">
        <v>0</v>
      </c>
      <c r="C18" s="31">
        <v>402</v>
      </c>
      <c r="D18" s="31">
        <v>-1600639.12</v>
      </c>
      <c r="E18" s="30" t="s">
        <v>364</v>
      </c>
      <c r="F18" s="30" t="s">
        <v>385</v>
      </c>
      <c r="G18" s="30" t="s">
        <v>374</v>
      </c>
      <c r="H18" s="30" t="s">
        <v>385</v>
      </c>
      <c r="I18" s="32">
        <v>246779410606</v>
      </c>
      <c r="K18" s="36">
        <v>246779410379</v>
      </c>
      <c r="L18" s="62">
        <v>0</v>
      </c>
      <c r="M18" s="62">
        <v>460370</v>
      </c>
      <c r="O18" s="36">
        <v>246779410379</v>
      </c>
      <c r="P18" s="38">
        <v>0</v>
      </c>
      <c r="Q18" s="38">
        <v>460370</v>
      </c>
    </row>
    <row r="19" spans="1:17" x14ac:dyDescent="0.35">
      <c r="A19" s="30" t="s">
        <v>372</v>
      </c>
      <c r="B19" s="31">
        <v>0</v>
      </c>
      <c r="C19" s="31">
        <v>2009</v>
      </c>
      <c r="D19" s="31">
        <v>-1602648.12</v>
      </c>
      <c r="E19" s="30" t="s">
        <v>364</v>
      </c>
      <c r="F19" s="30" t="s">
        <v>386</v>
      </c>
      <c r="G19" s="30" t="s">
        <v>374</v>
      </c>
      <c r="H19" s="30" t="s">
        <v>386</v>
      </c>
      <c r="I19" s="32">
        <v>246779410495</v>
      </c>
      <c r="K19" s="36">
        <v>246779410404</v>
      </c>
      <c r="L19" s="62">
        <v>0</v>
      </c>
      <c r="M19" s="62">
        <v>580687</v>
      </c>
      <c r="O19" s="36">
        <v>246779410404</v>
      </c>
      <c r="P19" s="38">
        <v>0</v>
      </c>
      <c r="Q19" s="38">
        <v>580687</v>
      </c>
    </row>
    <row r="20" spans="1:17" x14ac:dyDescent="0.35">
      <c r="A20" s="30" t="s">
        <v>372</v>
      </c>
      <c r="B20" s="31">
        <v>0</v>
      </c>
      <c r="C20" s="31">
        <v>201</v>
      </c>
      <c r="D20" s="31">
        <v>-1602849.12</v>
      </c>
      <c r="E20" s="30" t="s">
        <v>364</v>
      </c>
      <c r="F20" s="30" t="s">
        <v>387</v>
      </c>
      <c r="G20" s="30" t="s">
        <v>374</v>
      </c>
      <c r="H20" s="30" t="s">
        <v>387</v>
      </c>
      <c r="I20" s="32">
        <v>246779410494</v>
      </c>
      <c r="K20" s="36">
        <v>246779410428</v>
      </c>
      <c r="L20" s="62">
        <v>0</v>
      </c>
      <c r="M20" s="62">
        <v>340227</v>
      </c>
      <c r="O20" s="36">
        <v>246779410428</v>
      </c>
      <c r="P20" s="38">
        <v>0</v>
      </c>
      <c r="Q20" s="38">
        <v>340227</v>
      </c>
    </row>
    <row r="21" spans="1:17" x14ac:dyDescent="0.35">
      <c r="A21" s="30" t="s">
        <v>372</v>
      </c>
      <c r="B21" s="31">
        <v>0</v>
      </c>
      <c r="C21" s="31">
        <v>201</v>
      </c>
      <c r="D21" s="31">
        <v>-1603050.12</v>
      </c>
      <c r="E21" s="30" t="s">
        <v>364</v>
      </c>
      <c r="F21" s="30" t="s">
        <v>388</v>
      </c>
      <c r="G21" s="30" t="s">
        <v>374</v>
      </c>
      <c r="H21" s="30" t="s">
        <v>388</v>
      </c>
      <c r="I21" s="32">
        <v>246779410496</v>
      </c>
      <c r="K21" s="36">
        <v>246779410494</v>
      </c>
      <c r="L21" s="62">
        <v>0</v>
      </c>
      <c r="M21" s="62">
        <v>201</v>
      </c>
      <c r="O21" s="36">
        <v>246779410494</v>
      </c>
      <c r="P21" s="38">
        <v>0</v>
      </c>
      <c r="Q21" s="38">
        <v>201</v>
      </c>
    </row>
    <row r="22" spans="1:17" x14ac:dyDescent="0.35">
      <c r="A22" s="30" t="s">
        <v>372</v>
      </c>
      <c r="B22" s="31">
        <v>0</v>
      </c>
      <c r="C22" s="31">
        <v>201</v>
      </c>
      <c r="D22" s="31">
        <v>-1603251.12</v>
      </c>
      <c r="E22" s="30" t="s">
        <v>364</v>
      </c>
      <c r="F22" s="30" t="s">
        <v>389</v>
      </c>
      <c r="G22" s="30" t="s">
        <v>374</v>
      </c>
      <c r="H22" s="30" t="s">
        <v>389</v>
      </c>
      <c r="I22" s="32">
        <v>246779410497</v>
      </c>
      <c r="K22" s="36">
        <v>246779410495</v>
      </c>
      <c r="L22" s="62">
        <v>0</v>
      </c>
      <c r="M22" s="62">
        <v>2009</v>
      </c>
      <c r="O22" s="36">
        <v>246779410495</v>
      </c>
      <c r="P22" s="38">
        <v>0</v>
      </c>
      <c r="Q22" s="38">
        <v>2009</v>
      </c>
    </row>
    <row r="23" spans="1:17" x14ac:dyDescent="0.35">
      <c r="A23" s="30" t="s">
        <v>372</v>
      </c>
      <c r="B23" s="31">
        <v>0</v>
      </c>
      <c r="C23" s="31">
        <v>804</v>
      </c>
      <c r="D23" s="31">
        <v>-1604055.12</v>
      </c>
      <c r="E23" s="30" t="s">
        <v>364</v>
      </c>
      <c r="F23" s="30" t="s">
        <v>390</v>
      </c>
      <c r="G23" s="30" t="s">
        <v>374</v>
      </c>
      <c r="H23" s="30" t="s">
        <v>390</v>
      </c>
      <c r="I23" s="32">
        <v>246779410499</v>
      </c>
      <c r="K23" s="36">
        <v>246779410496</v>
      </c>
      <c r="L23" s="62">
        <v>0</v>
      </c>
      <c r="M23" s="62">
        <v>201</v>
      </c>
      <c r="O23" s="36">
        <v>246779410496</v>
      </c>
      <c r="P23" s="38">
        <v>0</v>
      </c>
      <c r="Q23" s="38">
        <v>201</v>
      </c>
    </row>
    <row r="24" spans="1:17" x14ac:dyDescent="0.35">
      <c r="A24" s="30" t="s">
        <v>372</v>
      </c>
      <c r="B24" s="31">
        <v>0</v>
      </c>
      <c r="C24" s="31">
        <v>201</v>
      </c>
      <c r="D24" s="31">
        <v>-1604256.12</v>
      </c>
      <c r="E24" s="30" t="s">
        <v>364</v>
      </c>
      <c r="F24" s="30" t="s">
        <v>391</v>
      </c>
      <c r="G24" s="30" t="s">
        <v>374</v>
      </c>
      <c r="H24" s="30" t="s">
        <v>391</v>
      </c>
      <c r="I24" s="32">
        <v>246779410500</v>
      </c>
      <c r="K24" s="36">
        <v>246779410497</v>
      </c>
      <c r="L24" s="62">
        <v>0</v>
      </c>
      <c r="M24" s="62">
        <v>201</v>
      </c>
      <c r="O24" s="36">
        <v>246779410497</v>
      </c>
      <c r="P24" s="38">
        <v>0</v>
      </c>
      <c r="Q24" s="38">
        <v>201</v>
      </c>
    </row>
    <row r="25" spans="1:17" x14ac:dyDescent="0.35">
      <c r="A25" s="30" t="s">
        <v>372</v>
      </c>
      <c r="B25" s="31">
        <v>0</v>
      </c>
      <c r="C25" s="31">
        <v>1607</v>
      </c>
      <c r="D25" s="31">
        <v>-1605863.12</v>
      </c>
      <c r="E25" s="30" t="s">
        <v>364</v>
      </c>
      <c r="F25" s="30" t="s">
        <v>392</v>
      </c>
      <c r="G25" s="30" t="s">
        <v>374</v>
      </c>
      <c r="H25" s="30" t="s">
        <v>392</v>
      </c>
      <c r="I25" s="32">
        <v>246779410501</v>
      </c>
      <c r="K25" s="36">
        <v>246779410498</v>
      </c>
      <c r="L25" s="62">
        <v>0</v>
      </c>
      <c r="M25" s="62">
        <v>200</v>
      </c>
      <c r="O25" s="36">
        <v>246779410498</v>
      </c>
      <c r="P25" s="38">
        <v>0</v>
      </c>
      <c r="Q25" s="38">
        <v>200</v>
      </c>
    </row>
    <row r="26" spans="1:17" x14ac:dyDescent="0.35">
      <c r="A26" s="30" t="s">
        <v>372</v>
      </c>
      <c r="B26" s="31">
        <v>0</v>
      </c>
      <c r="C26" s="31">
        <v>2009</v>
      </c>
      <c r="D26" s="31">
        <v>-1607872.12</v>
      </c>
      <c r="E26" s="30" t="s">
        <v>364</v>
      </c>
      <c r="F26" s="30" t="s">
        <v>393</v>
      </c>
      <c r="G26" s="30" t="s">
        <v>374</v>
      </c>
      <c r="H26" s="30" t="s">
        <v>393</v>
      </c>
      <c r="I26" s="32">
        <v>246779410502</v>
      </c>
      <c r="K26" s="36">
        <v>246779410499</v>
      </c>
      <c r="L26" s="62">
        <v>0</v>
      </c>
      <c r="M26" s="62">
        <v>804</v>
      </c>
      <c r="O26" s="36">
        <v>246779410499</v>
      </c>
      <c r="P26" s="38">
        <v>0</v>
      </c>
      <c r="Q26" s="38">
        <v>804</v>
      </c>
    </row>
    <row r="27" spans="1:17" x14ac:dyDescent="0.35">
      <c r="A27" s="30" t="s">
        <v>372</v>
      </c>
      <c r="B27" s="31">
        <v>0</v>
      </c>
      <c r="C27" s="31">
        <v>2009</v>
      </c>
      <c r="D27" s="31">
        <v>-1609881.12</v>
      </c>
      <c r="E27" s="30" t="s">
        <v>364</v>
      </c>
      <c r="F27" s="30" t="s">
        <v>394</v>
      </c>
      <c r="G27" s="30" t="s">
        <v>374</v>
      </c>
      <c r="H27" s="30" t="s">
        <v>394</v>
      </c>
      <c r="I27" s="32">
        <v>246779410503</v>
      </c>
      <c r="K27" s="36">
        <v>246779410500</v>
      </c>
      <c r="L27" s="62">
        <v>0</v>
      </c>
      <c r="M27" s="62">
        <v>201</v>
      </c>
      <c r="O27" s="36">
        <v>246779410500</v>
      </c>
      <c r="P27" s="38">
        <v>0</v>
      </c>
      <c r="Q27" s="38">
        <v>201</v>
      </c>
    </row>
    <row r="28" spans="1:17" x14ac:dyDescent="0.35">
      <c r="A28" s="30" t="s">
        <v>372</v>
      </c>
      <c r="B28" s="31">
        <v>0</v>
      </c>
      <c r="C28" s="31">
        <v>201</v>
      </c>
      <c r="D28" s="31">
        <v>-1610082.12</v>
      </c>
      <c r="E28" s="30" t="s">
        <v>364</v>
      </c>
      <c r="F28" s="30" t="s">
        <v>395</v>
      </c>
      <c r="G28" s="30" t="s">
        <v>374</v>
      </c>
      <c r="H28" s="30" t="s">
        <v>395</v>
      </c>
      <c r="I28" s="32">
        <v>246779410504</v>
      </c>
      <c r="K28" s="36">
        <v>246779410501</v>
      </c>
      <c r="L28" s="62">
        <v>0</v>
      </c>
      <c r="M28" s="62">
        <v>1607</v>
      </c>
      <c r="O28" s="36">
        <v>246779410501</v>
      </c>
      <c r="P28" s="38">
        <v>0</v>
      </c>
      <c r="Q28" s="38">
        <v>1607</v>
      </c>
    </row>
    <row r="29" spans="1:17" x14ac:dyDescent="0.35">
      <c r="A29" s="30" t="s">
        <v>372</v>
      </c>
      <c r="B29" s="31">
        <v>0</v>
      </c>
      <c r="C29" s="31">
        <v>603</v>
      </c>
      <c r="D29" s="31">
        <v>-1610685.12</v>
      </c>
      <c r="E29" s="30" t="s">
        <v>364</v>
      </c>
      <c r="F29" s="30" t="s">
        <v>396</v>
      </c>
      <c r="G29" s="30" t="s">
        <v>374</v>
      </c>
      <c r="H29" s="30" t="s">
        <v>396</v>
      </c>
      <c r="I29" s="32">
        <v>246779410505</v>
      </c>
      <c r="K29" s="36">
        <v>246779410502</v>
      </c>
      <c r="L29" s="62">
        <v>0</v>
      </c>
      <c r="M29" s="62">
        <v>2009</v>
      </c>
      <c r="O29" s="36">
        <v>246779410502</v>
      </c>
      <c r="P29" s="38">
        <v>0</v>
      </c>
      <c r="Q29" s="38">
        <v>2009</v>
      </c>
    </row>
    <row r="30" spans="1:17" x14ac:dyDescent="0.35">
      <c r="A30" s="30" t="s">
        <v>372</v>
      </c>
      <c r="B30" s="31">
        <v>0</v>
      </c>
      <c r="C30" s="31">
        <v>402</v>
      </c>
      <c r="D30" s="31">
        <v>-1611087.12</v>
      </c>
      <c r="E30" s="30" t="s">
        <v>364</v>
      </c>
      <c r="F30" s="30" t="s">
        <v>397</v>
      </c>
      <c r="G30" s="30" t="s">
        <v>374</v>
      </c>
      <c r="H30" s="30" t="s">
        <v>397</v>
      </c>
      <c r="I30" s="32">
        <v>246779410506</v>
      </c>
      <c r="K30" s="36">
        <v>246779410503</v>
      </c>
      <c r="L30" s="62">
        <v>0</v>
      </c>
      <c r="M30" s="62">
        <v>2009</v>
      </c>
      <c r="O30" s="36">
        <v>246779410503</v>
      </c>
      <c r="P30" s="38">
        <v>0</v>
      </c>
      <c r="Q30" s="38">
        <v>2009</v>
      </c>
    </row>
    <row r="31" spans="1:17" x14ac:dyDescent="0.35">
      <c r="A31" s="30" t="s">
        <v>372</v>
      </c>
      <c r="B31" s="31">
        <v>0</v>
      </c>
      <c r="C31" s="31">
        <v>402</v>
      </c>
      <c r="D31" s="31">
        <v>-1611489.12</v>
      </c>
      <c r="E31" s="30" t="s">
        <v>364</v>
      </c>
      <c r="F31" s="30" t="s">
        <v>398</v>
      </c>
      <c r="G31" s="30" t="s">
        <v>374</v>
      </c>
      <c r="H31" s="30" t="s">
        <v>398</v>
      </c>
      <c r="I31" s="32">
        <v>246779410507</v>
      </c>
      <c r="K31" s="36">
        <v>246779410504</v>
      </c>
      <c r="L31" s="62">
        <v>0</v>
      </c>
      <c r="M31" s="62">
        <v>201</v>
      </c>
      <c r="O31" s="36">
        <v>246779410504</v>
      </c>
      <c r="P31" s="38">
        <v>0</v>
      </c>
      <c r="Q31" s="38">
        <v>201</v>
      </c>
    </row>
    <row r="32" spans="1:17" x14ac:dyDescent="0.35">
      <c r="A32" s="30" t="s">
        <v>372</v>
      </c>
      <c r="B32" s="31">
        <v>0</v>
      </c>
      <c r="C32" s="31">
        <v>201</v>
      </c>
      <c r="D32" s="31">
        <v>-1611690.12</v>
      </c>
      <c r="E32" s="30" t="s">
        <v>364</v>
      </c>
      <c r="F32" s="30" t="s">
        <v>399</v>
      </c>
      <c r="G32" s="30" t="s">
        <v>374</v>
      </c>
      <c r="H32" s="30" t="s">
        <v>399</v>
      </c>
      <c r="I32" s="32">
        <v>246779410508</v>
      </c>
      <c r="K32" s="36">
        <v>246779410505</v>
      </c>
      <c r="L32" s="62">
        <v>0</v>
      </c>
      <c r="M32" s="62">
        <v>603</v>
      </c>
      <c r="O32" s="36">
        <v>246779410505</v>
      </c>
      <c r="P32" s="38">
        <v>0</v>
      </c>
      <c r="Q32" s="38">
        <v>603</v>
      </c>
    </row>
    <row r="33" spans="1:17" x14ac:dyDescent="0.35">
      <c r="A33" s="30" t="s">
        <v>400</v>
      </c>
      <c r="B33" s="31">
        <v>0</v>
      </c>
      <c r="C33" s="31">
        <v>403</v>
      </c>
      <c r="D33" s="31">
        <v>-1612093.12</v>
      </c>
      <c r="E33" s="30" t="s">
        <v>364</v>
      </c>
      <c r="F33" s="30" t="s">
        <v>401</v>
      </c>
      <c r="G33" s="30" t="s">
        <v>374</v>
      </c>
      <c r="H33" s="30" t="s">
        <v>401</v>
      </c>
      <c r="I33" s="32">
        <v>246779410843</v>
      </c>
      <c r="K33" s="36">
        <v>246779410506</v>
      </c>
      <c r="L33" s="62">
        <v>0</v>
      </c>
      <c r="M33" s="62">
        <v>402</v>
      </c>
      <c r="O33" s="36">
        <v>246779410506</v>
      </c>
      <c r="P33" s="38">
        <v>0</v>
      </c>
      <c r="Q33" s="38">
        <v>402</v>
      </c>
    </row>
    <row r="34" spans="1:17" x14ac:dyDescent="0.35">
      <c r="A34" s="30" t="s">
        <v>400</v>
      </c>
      <c r="B34" s="31">
        <v>0</v>
      </c>
      <c r="C34" s="31">
        <v>805</v>
      </c>
      <c r="D34" s="31">
        <v>-1612898.12</v>
      </c>
      <c r="E34" s="30" t="s">
        <v>364</v>
      </c>
      <c r="F34" s="30" t="s">
        <v>402</v>
      </c>
      <c r="G34" s="30" t="s">
        <v>374</v>
      </c>
      <c r="H34" s="30" t="s">
        <v>402</v>
      </c>
      <c r="I34" s="32">
        <v>246779410686</v>
      </c>
      <c r="K34" s="36">
        <v>246779410507</v>
      </c>
      <c r="L34" s="62">
        <v>0</v>
      </c>
      <c r="M34" s="62">
        <v>402</v>
      </c>
      <c r="O34" s="36">
        <v>246779410507</v>
      </c>
      <c r="P34" s="38">
        <v>0</v>
      </c>
      <c r="Q34" s="38">
        <v>402</v>
      </c>
    </row>
    <row r="35" spans="1:17" x14ac:dyDescent="0.35">
      <c r="A35" s="30" t="s">
        <v>400</v>
      </c>
      <c r="B35" s="31">
        <v>0</v>
      </c>
      <c r="C35" s="31">
        <v>201</v>
      </c>
      <c r="D35" s="31">
        <v>-1613099.12</v>
      </c>
      <c r="E35" s="30" t="s">
        <v>364</v>
      </c>
      <c r="F35" s="30" t="s">
        <v>403</v>
      </c>
      <c r="G35" s="30" t="s">
        <v>374</v>
      </c>
      <c r="H35" s="30" t="s">
        <v>403</v>
      </c>
      <c r="I35" s="32">
        <v>246779410683</v>
      </c>
      <c r="K35" s="36">
        <v>246779410508</v>
      </c>
      <c r="L35" s="62">
        <v>0</v>
      </c>
      <c r="M35" s="62">
        <v>201</v>
      </c>
      <c r="O35" s="36">
        <v>246779410508</v>
      </c>
      <c r="P35" s="38">
        <v>0</v>
      </c>
      <c r="Q35" s="38">
        <v>201</v>
      </c>
    </row>
    <row r="36" spans="1:17" x14ac:dyDescent="0.35">
      <c r="A36" s="30" t="s">
        <v>400</v>
      </c>
      <c r="B36" s="31">
        <v>0</v>
      </c>
      <c r="C36" s="31">
        <v>604</v>
      </c>
      <c r="D36" s="31">
        <v>-1613703.12</v>
      </c>
      <c r="E36" s="30" t="s">
        <v>364</v>
      </c>
      <c r="F36" s="30" t="s">
        <v>404</v>
      </c>
      <c r="G36" s="30" t="s">
        <v>374</v>
      </c>
      <c r="H36" s="30" t="s">
        <v>404</v>
      </c>
      <c r="I36" s="32">
        <v>246779410759</v>
      </c>
      <c r="K36" s="36">
        <v>246779410605</v>
      </c>
      <c r="L36" s="62">
        <v>0</v>
      </c>
      <c r="M36" s="62">
        <v>2009</v>
      </c>
      <c r="O36" s="36">
        <v>246779410605</v>
      </c>
      <c r="P36" s="38">
        <v>0</v>
      </c>
      <c r="Q36" s="38">
        <v>2009</v>
      </c>
    </row>
    <row r="37" spans="1:17" x14ac:dyDescent="0.35">
      <c r="A37" s="30" t="s">
        <v>400</v>
      </c>
      <c r="B37" s="31">
        <v>0</v>
      </c>
      <c r="C37" s="31">
        <v>1006</v>
      </c>
      <c r="D37" s="31">
        <v>-1614709.12</v>
      </c>
      <c r="E37" s="30" t="s">
        <v>364</v>
      </c>
      <c r="F37" s="30" t="s">
        <v>405</v>
      </c>
      <c r="G37" s="30" t="s">
        <v>374</v>
      </c>
      <c r="H37" s="30" t="s">
        <v>405</v>
      </c>
      <c r="I37" s="32">
        <v>246779410760</v>
      </c>
      <c r="K37" s="36">
        <v>246779410606</v>
      </c>
      <c r="L37" s="62">
        <v>0</v>
      </c>
      <c r="M37" s="62">
        <v>402</v>
      </c>
      <c r="O37" s="36">
        <v>246779410606</v>
      </c>
      <c r="P37" s="38">
        <v>0</v>
      </c>
      <c r="Q37" s="38">
        <v>402</v>
      </c>
    </row>
    <row r="38" spans="1:17" x14ac:dyDescent="0.35">
      <c r="A38" s="30" t="s">
        <v>400</v>
      </c>
      <c r="B38" s="31">
        <v>0</v>
      </c>
      <c r="C38" s="31">
        <v>1207</v>
      </c>
      <c r="D38" s="31">
        <v>-1615916.12</v>
      </c>
      <c r="E38" s="30" t="s">
        <v>364</v>
      </c>
      <c r="F38" s="30" t="s">
        <v>406</v>
      </c>
      <c r="G38" s="30" t="s">
        <v>374</v>
      </c>
      <c r="H38" s="30" t="s">
        <v>406</v>
      </c>
      <c r="I38" s="32">
        <v>246779410761</v>
      </c>
      <c r="K38" s="36">
        <v>246779410607</v>
      </c>
      <c r="L38" s="62">
        <v>0</v>
      </c>
      <c r="M38" s="62">
        <v>402</v>
      </c>
      <c r="O38" s="36">
        <v>246779410607</v>
      </c>
      <c r="P38" s="38">
        <v>0</v>
      </c>
      <c r="Q38" s="38">
        <v>402</v>
      </c>
    </row>
    <row r="39" spans="1:17" x14ac:dyDescent="0.35">
      <c r="A39" s="30" t="s">
        <v>400</v>
      </c>
      <c r="B39" s="31">
        <v>0</v>
      </c>
      <c r="C39" s="31">
        <v>201</v>
      </c>
      <c r="D39" s="31">
        <v>-1616117.12</v>
      </c>
      <c r="E39" s="30" t="s">
        <v>364</v>
      </c>
      <c r="F39" s="30" t="s">
        <v>407</v>
      </c>
      <c r="G39" s="30" t="s">
        <v>374</v>
      </c>
      <c r="H39" s="30" t="s">
        <v>407</v>
      </c>
      <c r="I39" s="32">
        <v>246779410763</v>
      </c>
      <c r="K39" s="36">
        <v>246779410608</v>
      </c>
      <c r="L39" s="62">
        <v>0</v>
      </c>
      <c r="M39" s="62">
        <v>804</v>
      </c>
      <c r="O39" s="36">
        <v>246779410608</v>
      </c>
      <c r="P39" s="38">
        <v>0</v>
      </c>
      <c r="Q39" s="38">
        <v>804</v>
      </c>
    </row>
    <row r="40" spans="1:17" x14ac:dyDescent="0.35">
      <c r="A40" s="30" t="s">
        <v>400</v>
      </c>
      <c r="B40" s="31">
        <v>0</v>
      </c>
      <c r="C40" s="31">
        <v>403</v>
      </c>
      <c r="D40" s="31">
        <v>-1616520.12</v>
      </c>
      <c r="E40" s="30" t="s">
        <v>364</v>
      </c>
      <c r="F40" s="30" t="s">
        <v>408</v>
      </c>
      <c r="G40" s="30" t="s">
        <v>374</v>
      </c>
      <c r="H40" s="30" t="s">
        <v>408</v>
      </c>
      <c r="I40" s="32">
        <v>246779410762</v>
      </c>
      <c r="K40" s="36">
        <v>246779410609</v>
      </c>
      <c r="L40" s="62">
        <v>0</v>
      </c>
      <c r="M40" s="62">
        <v>3203</v>
      </c>
      <c r="O40" s="36">
        <v>246779410609</v>
      </c>
      <c r="P40" s="38">
        <v>0</v>
      </c>
      <c r="Q40" s="38">
        <v>3203</v>
      </c>
    </row>
    <row r="41" spans="1:17" x14ac:dyDescent="0.35">
      <c r="A41" s="30" t="s">
        <v>400</v>
      </c>
      <c r="B41" s="31">
        <v>0</v>
      </c>
      <c r="C41" s="31">
        <v>403</v>
      </c>
      <c r="D41" s="31">
        <v>-1616923.12</v>
      </c>
      <c r="E41" s="30" t="s">
        <v>364</v>
      </c>
      <c r="F41" s="30" t="s">
        <v>409</v>
      </c>
      <c r="G41" s="30" t="s">
        <v>374</v>
      </c>
      <c r="H41" s="30" t="s">
        <v>409</v>
      </c>
      <c r="I41" s="32">
        <v>246779410757</v>
      </c>
      <c r="K41" s="36">
        <v>246779410610</v>
      </c>
      <c r="L41" s="62">
        <v>0</v>
      </c>
      <c r="M41" s="62">
        <v>201</v>
      </c>
      <c r="O41" s="36">
        <v>246779410610</v>
      </c>
      <c r="P41" s="38">
        <v>0</v>
      </c>
      <c r="Q41" s="38">
        <v>201</v>
      </c>
    </row>
    <row r="42" spans="1:17" x14ac:dyDescent="0.35">
      <c r="A42" s="30" t="s">
        <v>400</v>
      </c>
      <c r="B42" s="31">
        <v>0</v>
      </c>
      <c r="C42" s="31">
        <v>201</v>
      </c>
      <c r="D42" s="31">
        <v>-1617124.12</v>
      </c>
      <c r="E42" s="30" t="s">
        <v>364</v>
      </c>
      <c r="F42" s="30" t="s">
        <v>410</v>
      </c>
      <c r="G42" s="30" t="s">
        <v>374</v>
      </c>
      <c r="H42" s="30" t="s">
        <v>410</v>
      </c>
      <c r="I42" s="32">
        <v>246779410765</v>
      </c>
      <c r="K42" s="36">
        <v>246779410611</v>
      </c>
      <c r="L42" s="62">
        <v>0</v>
      </c>
      <c r="M42" s="62">
        <v>402</v>
      </c>
      <c r="O42" s="36">
        <v>246779410611</v>
      </c>
      <c r="P42" s="38">
        <v>0</v>
      </c>
      <c r="Q42" s="38">
        <v>402</v>
      </c>
    </row>
    <row r="43" spans="1:17" x14ac:dyDescent="0.35">
      <c r="A43" s="30" t="s">
        <v>400</v>
      </c>
      <c r="B43" s="31">
        <v>0</v>
      </c>
      <c r="C43" s="31">
        <v>201</v>
      </c>
      <c r="D43" s="31">
        <v>-1617325.12</v>
      </c>
      <c r="E43" s="30" t="s">
        <v>364</v>
      </c>
      <c r="F43" s="30" t="s">
        <v>411</v>
      </c>
      <c r="G43" s="30" t="s">
        <v>374</v>
      </c>
      <c r="H43" s="30" t="s">
        <v>411</v>
      </c>
      <c r="I43" s="32">
        <v>246779410764</v>
      </c>
      <c r="K43" s="36">
        <v>246779410612</v>
      </c>
      <c r="L43" s="62">
        <v>0</v>
      </c>
      <c r="M43" s="62">
        <v>1004</v>
      </c>
      <c r="O43" s="36">
        <v>246779410612</v>
      </c>
      <c r="P43" s="38">
        <v>0</v>
      </c>
      <c r="Q43" s="38">
        <v>1004</v>
      </c>
    </row>
    <row r="44" spans="1:17" x14ac:dyDescent="0.35">
      <c r="A44" s="30" t="s">
        <v>400</v>
      </c>
      <c r="B44" s="31">
        <v>0</v>
      </c>
      <c r="C44" s="31">
        <v>403</v>
      </c>
      <c r="D44" s="31">
        <v>-1617728.12</v>
      </c>
      <c r="E44" s="30" t="s">
        <v>364</v>
      </c>
      <c r="F44" s="30" t="s">
        <v>412</v>
      </c>
      <c r="G44" s="30" t="s">
        <v>374</v>
      </c>
      <c r="H44" s="30" t="s">
        <v>412</v>
      </c>
      <c r="I44" s="32">
        <v>246779410766</v>
      </c>
      <c r="K44" s="36">
        <v>246779410613</v>
      </c>
      <c r="L44" s="62">
        <v>0</v>
      </c>
      <c r="M44" s="62">
        <v>804</v>
      </c>
      <c r="O44" s="36">
        <v>246779410613</v>
      </c>
      <c r="P44" s="38">
        <v>0</v>
      </c>
      <c r="Q44" s="38">
        <v>804</v>
      </c>
    </row>
    <row r="45" spans="1:17" x14ac:dyDescent="0.35">
      <c r="A45" s="30" t="s">
        <v>400</v>
      </c>
      <c r="B45" s="31">
        <v>0</v>
      </c>
      <c r="C45" s="31">
        <v>403</v>
      </c>
      <c r="D45" s="31">
        <v>-1618131.12</v>
      </c>
      <c r="E45" s="30" t="s">
        <v>364</v>
      </c>
      <c r="F45" s="30" t="s">
        <v>413</v>
      </c>
      <c r="G45" s="30" t="s">
        <v>374</v>
      </c>
      <c r="H45" s="30" t="s">
        <v>413</v>
      </c>
      <c r="I45" s="32">
        <v>246779410756</v>
      </c>
      <c r="K45" s="36">
        <v>246779410678</v>
      </c>
      <c r="L45" s="62">
        <v>0</v>
      </c>
      <c r="M45" s="62">
        <v>201</v>
      </c>
      <c r="O45" s="36">
        <v>246779410678</v>
      </c>
      <c r="P45" s="38">
        <v>0</v>
      </c>
      <c r="Q45" s="38">
        <v>201</v>
      </c>
    </row>
    <row r="46" spans="1:17" x14ac:dyDescent="0.35">
      <c r="A46" s="30" t="s">
        <v>400</v>
      </c>
      <c r="B46" s="31">
        <v>0</v>
      </c>
      <c r="C46" s="31">
        <v>3219</v>
      </c>
      <c r="D46" s="31">
        <v>-1621350.12</v>
      </c>
      <c r="E46" s="30" t="s">
        <v>364</v>
      </c>
      <c r="F46" s="30" t="s">
        <v>414</v>
      </c>
      <c r="G46" s="30" t="s">
        <v>374</v>
      </c>
      <c r="H46" s="30" t="s">
        <v>414</v>
      </c>
      <c r="I46" s="32">
        <v>246779410758</v>
      </c>
      <c r="K46" s="36">
        <v>246779410679</v>
      </c>
      <c r="L46" s="62">
        <v>0</v>
      </c>
      <c r="M46" s="62">
        <v>201</v>
      </c>
      <c r="O46" s="36">
        <v>246779410679</v>
      </c>
      <c r="P46" s="38">
        <v>0</v>
      </c>
      <c r="Q46" s="38">
        <v>201</v>
      </c>
    </row>
    <row r="47" spans="1:17" x14ac:dyDescent="0.35">
      <c r="A47" s="30" t="s">
        <v>400</v>
      </c>
      <c r="B47" s="31">
        <v>0</v>
      </c>
      <c r="C47" s="31">
        <v>403</v>
      </c>
      <c r="D47" s="31">
        <v>-1621753.12</v>
      </c>
      <c r="E47" s="30" t="s">
        <v>364</v>
      </c>
      <c r="F47" s="30" t="s">
        <v>415</v>
      </c>
      <c r="G47" s="30" t="s">
        <v>374</v>
      </c>
      <c r="H47" s="30" t="s">
        <v>415</v>
      </c>
      <c r="I47" s="32">
        <v>246779410689</v>
      </c>
      <c r="K47" s="36">
        <v>246779410680</v>
      </c>
      <c r="L47" s="62">
        <v>0</v>
      </c>
      <c r="M47" s="62">
        <v>1207</v>
      </c>
      <c r="O47" s="36">
        <v>246779410680</v>
      </c>
      <c r="P47" s="38">
        <v>0</v>
      </c>
      <c r="Q47" s="38">
        <v>1207</v>
      </c>
    </row>
    <row r="48" spans="1:17" x14ac:dyDescent="0.35">
      <c r="A48" s="30" t="s">
        <v>400</v>
      </c>
      <c r="B48" s="31">
        <v>0</v>
      </c>
      <c r="C48" s="31">
        <v>805</v>
      </c>
      <c r="D48" s="31">
        <v>-1622558.12</v>
      </c>
      <c r="E48" s="30" t="s">
        <v>364</v>
      </c>
      <c r="F48" s="30" t="s">
        <v>416</v>
      </c>
      <c r="G48" s="30" t="s">
        <v>374</v>
      </c>
      <c r="H48" s="30" t="s">
        <v>416</v>
      </c>
      <c r="I48" s="32">
        <v>246779410693</v>
      </c>
      <c r="K48" s="36">
        <v>246779410681</v>
      </c>
      <c r="L48" s="62">
        <v>0</v>
      </c>
      <c r="M48" s="62">
        <v>201</v>
      </c>
      <c r="O48" s="36">
        <v>246779410681</v>
      </c>
      <c r="P48" s="38">
        <v>0</v>
      </c>
      <c r="Q48" s="38">
        <v>201</v>
      </c>
    </row>
    <row r="49" spans="1:17" x14ac:dyDescent="0.35">
      <c r="A49" s="30" t="s">
        <v>400</v>
      </c>
      <c r="B49" s="31">
        <v>0</v>
      </c>
      <c r="C49" s="31">
        <v>604</v>
      </c>
      <c r="D49" s="31">
        <v>-1623162.12</v>
      </c>
      <c r="E49" s="30" t="s">
        <v>364</v>
      </c>
      <c r="F49" s="30" t="s">
        <v>417</v>
      </c>
      <c r="G49" s="30" t="s">
        <v>374</v>
      </c>
      <c r="H49" s="30" t="s">
        <v>417</v>
      </c>
      <c r="I49" s="32">
        <v>246779410691</v>
      </c>
      <c r="K49" s="36">
        <v>246779410682</v>
      </c>
      <c r="L49" s="62">
        <v>0</v>
      </c>
      <c r="M49" s="62">
        <v>201</v>
      </c>
      <c r="O49" s="36">
        <v>246779410682</v>
      </c>
      <c r="P49" s="38">
        <v>0</v>
      </c>
      <c r="Q49" s="38">
        <v>201</v>
      </c>
    </row>
    <row r="50" spans="1:17" x14ac:dyDescent="0.35">
      <c r="A50" s="30" t="s">
        <v>400</v>
      </c>
      <c r="B50" s="31">
        <v>0</v>
      </c>
      <c r="C50" s="31">
        <v>604</v>
      </c>
      <c r="D50" s="31">
        <v>-1623766.12</v>
      </c>
      <c r="E50" s="30" t="s">
        <v>364</v>
      </c>
      <c r="F50" s="30" t="s">
        <v>418</v>
      </c>
      <c r="G50" s="30" t="s">
        <v>374</v>
      </c>
      <c r="H50" s="30" t="s">
        <v>418</v>
      </c>
      <c r="I50" s="32">
        <v>246779410684</v>
      </c>
      <c r="K50" s="36">
        <v>246779410683</v>
      </c>
      <c r="L50" s="62">
        <v>0</v>
      </c>
      <c r="M50" s="62">
        <v>201</v>
      </c>
      <c r="O50" s="36">
        <v>246779410683</v>
      </c>
      <c r="P50" s="38">
        <v>0</v>
      </c>
      <c r="Q50" s="38">
        <v>201</v>
      </c>
    </row>
    <row r="51" spans="1:17" x14ac:dyDescent="0.35">
      <c r="A51" s="30" t="s">
        <v>400</v>
      </c>
      <c r="B51" s="31">
        <v>0</v>
      </c>
      <c r="C51" s="31">
        <v>201</v>
      </c>
      <c r="D51" s="31">
        <v>-1623967.12</v>
      </c>
      <c r="E51" s="30" t="s">
        <v>364</v>
      </c>
      <c r="F51" s="30" t="s">
        <v>419</v>
      </c>
      <c r="G51" s="30" t="s">
        <v>374</v>
      </c>
      <c r="H51" s="30" t="s">
        <v>419</v>
      </c>
      <c r="I51" s="32">
        <v>246779410685</v>
      </c>
      <c r="K51" s="36">
        <v>246779410684</v>
      </c>
      <c r="L51" s="62">
        <v>0</v>
      </c>
      <c r="M51" s="62">
        <v>604</v>
      </c>
      <c r="O51" s="36">
        <v>246779410684</v>
      </c>
      <c r="P51" s="38">
        <v>0</v>
      </c>
      <c r="Q51" s="38">
        <v>604</v>
      </c>
    </row>
    <row r="52" spans="1:17" x14ac:dyDescent="0.35">
      <c r="A52" s="30" t="s">
        <v>400</v>
      </c>
      <c r="B52" s="31">
        <v>0</v>
      </c>
      <c r="C52" s="31">
        <v>3622</v>
      </c>
      <c r="D52" s="31">
        <v>-1627589.12</v>
      </c>
      <c r="E52" s="30" t="s">
        <v>364</v>
      </c>
      <c r="F52" s="30" t="s">
        <v>420</v>
      </c>
      <c r="G52" s="30" t="s">
        <v>374</v>
      </c>
      <c r="H52" s="30" t="s">
        <v>420</v>
      </c>
      <c r="I52" s="32">
        <v>246779410690</v>
      </c>
      <c r="K52" s="36">
        <v>246779410685</v>
      </c>
      <c r="L52" s="62">
        <v>0</v>
      </c>
      <c r="M52" s="62">
        <v>201</v>
      </c>
      <c r="O52" s="36">
        <v>246779410685</v>
      </c>
      <c r="P52" s="38">
        <v>0</v>
      </c>
      <c r="Q52" s="38">
        <v>201</v>
      </c>
    </row>
    <row r="53" spans="1:17" x14ac:dyDescent="0.35">
      <c r="A53" s="30" t="s">
        <v>400</v>
      </c>
      <c r="B53" s="31">
        <v>0</v>
      </c>
      <c r="C53" s="31">
        <v>1207</v>
      </c>
      <c r="D53" s="31">
        <v>-1628796.12</v>
      </c>
      <c r="E53" s="30" t="s">
        <v>364</v>
      </c>
      <c r="F53" s="30" t="s">
        <v>421</v>
      </c>
      <c r="G53" s="30" t="s">
        <v>374</v>
      </c>
      <c r="H53" s="30" t="s">
        <v>421</v>
      </c>
      <c r="I53" s="32">
        <v>246779410680</v>
      </c>
      <c r="K53" s="36">
        <v>246779410686</v>
      </c>
      <c r="L53" s="62">
        <v>0</v>
      </c>
      <c r="M53" s="62">
        <v>805</v>
      </c>
      <c r="O53" s="36">
        <v>246779410686</v>
      </c>
      <c r="P53" s="38">
        <v>0</v>
      </c>
      <c r="Q53" s="38">
        <v>805</v>
      </c>
    </row>
    <row r="54" spans="1:17" x14ac:dyDescent="0.35">
      <c r="A54" s="30" t="s">
        <v>400</v>
      </c>
      <c r="B54" s="31">
        <v>0</v>
      </c>
      <c r="C54" s="31">
        <v>201</v>
      </c>
      <c r="D54" s="31">
        <v>-1628997.12</v>
      </c>
      <c r="E54" s="30" t="s">
        <v>364</v>
      </c>
      <c r="F54" s="30" t="s">
        <v>422</v>
      </c>
      <c r="G54" s="30" t="s">
        <v>374</v>
      </c>
      <c r="H54" s="30" t="s">
        <v>422</v>
      </c>
      <c r="I54" s="32">
        <v>246779410681</v>
      </c>
      <c r="K54" s="36">
        <v>246779410687</v>
      </c>
      <c r="L54" s="62">
        <v>0</v>
      </c>
      <c r="M54" s="62">
        <v>1797</v>
      </c>
      <c r="O54" s="36">
        <v>246779410687</v>
      </c>
      <c r="P54" s="38">
        <v>0</v>
      </c>
      <c r="Q54" s="38">
        <v>1797</v>
      </c>
    </row>
    <row r="55" spans="1:17" x14ac:dyDescent="0.35">
      <c r="A55" s="30" t="s">
        <v>400</v>
      </c>
      <c r="B55" s="31">
        <v>0</v>
      </c>
      <c r="C55" s="31">
        <v>201</v>
      </c>
      <c r="D55" s="31">
        <v>-1629198.12</v>
      </c>
      <c r="E55" s="30" t="s">
        <v>364</v>
      </c>
      <c r="F55" s="30" t="s">
        <v>423</v>
      </c>
      <c r="G55" s="30" t="s">
        <v>374</v>
      </c>
      <c r="H55" s="30" t="s">
        <v>423</v>
      </c>
      <c r="I55" s="32">
        <v>246779410682</v>
      </c>
      <c r="K55" s="36">
        <v>246779410688</v>
      </c>
      <c r="L55" s="62">
        <v>0</v>
      </c>
      <c r="M55" s="62">
        <v>799</v>
      </c>
      <c r="O55" s="36">
        <v>246779410688</v>
      </c>
      <c r="P55" s="38">
        <v>0</v>
      </c>
      <c r="Q55" s="38">
        <v>799</v>
      </c>
    </row>
    <row r="56" spans="1:17" x14ac:dyDescent="0.35">
      <c r="A56" s="30" t="s">
        <v>400</v>
      </c>
      <c r="B56" s="31">
        <v>0</v>
      </c>
      <c r="C56" s="31">
        <v>201</v>
      </c>
      <c r="D56" s="31">
        <v>-1629399.12</v>
      </c>
      <c r="E56" s="30" t="s">
        <v>364</v>
      </c>
      <c r="F56" s="30" t="s">
        <v>424</v>
      </c>
      <c r="G56" s="30" t="s">
        <v>374</v>
      </c>
      <c r="H56" s="30" t="s">
        <v>424</v>
      </c>
      <c r="I56" s="32">
        <v>246779410678</v>
      </c>
      <c r="K56" s="36">
        <v>246779410689</v>
      </c>
      <c r="L56" s="62">
        <v>0</v>
      </c>
      <c r="M56" s="62">
        <v>403</v>
      </c>
      <c r="O56" s="36">
        <v>246779410689</v>
      </c>
      <c r="P56" s="38">
        <v>0</v>
      </c>
      <c r="Q56" s="38">
        <v>403</v>
      </c>
    </row>
    <row r="57" spans="1:17" x14ac:dyDescent="0.35">
      <c r="A57" s="30" t="s">
        <v>400</v>
      </c>
      <c r="B57" s="31">
        <v>0</v>
      </c>
      <c r="C57" s="31">
        <v>805</v>
      </c>
      <c r="D57" s="31">
        <v>-1630204.12</v>
      </c>
      <c r="E57" s="30" t="s">
        <v>364</v>
      </c>
      <c r="F57" s="30" t="s">
        <v>425</v>
      </c>
      <c r="G57" s="30" t="s">
        <v>374</v>
      </c>
      <c r="H57" s="30" t="s">
        <v>425</v>
      </c>
      <c r="I57" s="32">
        <v>246779410845</v>
      </c>
      <c r="K57" s="36">
        <v>246779410690</v>
      </c>
      <c r="L57" s="62">
        <v>0</v>
      </c>
      <c r="M57" s="62">
        <v>3622</v>
      </c>
      <c r="O57" s="36">
        <v>246779410690</v>
      </c>
      <c r="P57" s="38">
        <v>0</v>
      </c>
      <c r="Q57" s="38">
        <v>3622</v>
      </c>
    </row>
    <row r="58" spans="1:17" x14ac:dyDescent="0.35">
      <c r="A58" s="30" t="s">
        <v>400</v>
      </c>
      <c r="B58" s="31">
        <v>0</v>
      </c>
      <c r="C58" s="31">
        <v>604</v>
      </c>
      <c r="D58" s="31">
        <v>-1630808.12</v>
      </c>
      <c r="E58" s="30" t="s">
        <v>364</v>
      </c>
      <c r="F58" s="30" t="s">
        <v>426</v>
      </c>
      <c r="G58" s="30" t="s">
        <v>374</v>
      </c>
      <c r="H58" s="30" t="s">
        <v>426</v>
      </c>
      <c r="I58" s="32">
        <v>246779410841</v>
      </c>
      <c r="K58" s="36">
        <v>246779410691</v>
      </c>
      <c r="L58" s="62">
        <v>0</v>
      </c>
      <c r="M58" s="62">
        <v>604</v>
      </c>
      <c r="O58" s="36">
        <v>246779410691</v>
      </c>
      <c r="P58" s="38">
        <v>0</v>
      </c>
      <c r="Q58" s="38">
        <v>604</v>
      </c>
    </row>
    <row r="59" spans="1:17" x14ac:dyDescent="0.35">
      <c r="A59" s="30" t="s">
        <v>400</v>
      </c>
      <c r="B59" s="31">
        <v>0</v>
      </c>
      <c r="C59" s="31">
        <v>403</v>
      </c>
      <c r="D59" s="31">
        <v>-1631211.12</v>
      </c>
      <c r="E59" s="30" t="s">
        <v>364</v>
      </c>
      <c r="F59" s="30" t="s">
        <v>427</v>
      </c>
      <c r="G59" s="30" t="s">
        <v>374</v>
      </c>
      <c r="H59" s="30" t="s">
        <v>427</v>
      </c>
      <c r="I59" s="32">
        <v>246779410844</v>
      </c>
      <c r="K59" s="36">
        <v>246779410692</v>
      </c>
      <c r="L59" s="62">
        <v>0</v>
      </c>
      <c r="M59" s="62">
        <v>805</v>
      </c>
      <c r="O59" s="36">
        <v>246779410692</v>
      </c>
      <c r="P59" s="38">
        <v>0</v>
      </c>
      <c r="Q59" s="38">
        <v>805</v>
      </c>
    </row>
    <row r="60" spans="1:17" x14ac:dyDescent="0.35">
      <c r="A60" s="30" t="s">
        <v>400</v>
      </c>
      <c r="B60" s="31">
        <v>0</v>
      </c>
      <c r="C60" s="31">
        <v>403</v>
      </c>
      <c r="D60" s="31">
        <v>-1631614.12</v>
      </c>
      <c r="E60" s="30" t="s">
        <v>364</v>
      </c>
      <c r="F60" s="30" t="s">
        <v>428</v>
      </c>
      <c r="G60" s="30" t="s">
        <v>374</v>
      </c>
      <c r="H60" s="30" t="s">
        <v>428</v>
      </c>
      <c r="I60" s="32">
        <v>246779410842</v>
      </c>
      <c r="K60" s="36">
        <v>246779410693</v>
      </c>
      <c r="L60" s="62">
        <v>0</v>
      </c>
      <c r="M60" s="62">
        <v>805</v>
      </c>
      <c r="O60" s="36">
        <v>246779410693</v>
      </c>
      <c r="P60" s="38">
        <v>0</v>
      </c>
      <c r="Q60" s="38">
        <v>805</v>
      </c>
    </row>
    <row r="61" spans="1:17" x14ac:dyDescent="0.35">
      <c r="A61" s="30" t="s">
        <v>400</v>
      </c>
      <c r="B61" s="31">
        <v>0</v>
      </c>
      <c r="C61" s="31">
        <v>805</v>
      </c>
      <c r="D61" s="31">
        <v>-1632419.12</v>
      </c>
      <c r="E61" s="30" t="s">
        <v>364</v>
      </c>
      <c r="F61" s="30" t="s">
        <v>429</v>
      </c>
      <c r="G61" s="30" t="s">
        <v>374</v>
      </c>
      <c r="H61" s="30" t="s">
        <v>429</v>
      </c>
      <c r="I61" s="32">
        <v>246779410692</v>
      </c>
      <c r="K61" s="36">
        <v>246779410755</v>
      </c>
      <c r="L61" s="62">
        <v>0</v>
      </c>
      <c r="M61" s="62">
        <v>3594</v>
      </c>
      <c r="O61" s="36">
        <v>246779410755</v>
      </c>
      <c r="P61" s="38">
        <v>0</v>
      </c>
      <c r="Q61" s="38">
        <v>3594</v>
      </c>
    </row>
    <row r="62" spans="1:17" x14ac:dyDescent="0.35">
      <c r="A62" s="30" t="s">
        <v>400</v>
      </c>
      <c r="B62" s="31">
        <v>0</v>
      </c>
      <c r="C62" s="31">
        <v>201</v>
      </c>
      <c r="D62" s="31">
        <v>-1632620.12</v>
      </c>
      <c r="E62" s="30" t="s">
        <v>364</v>
      </c>
      <c r="F62" s="30" t="s">
        <v>430</v>
      </c>
      <c r="G62" s="30" t="s">
        <v>374</v>
      </c>
      <c r="H62" s="30" t="s">
        <v>430</v>
      </c>
      <c r="I62" s="32">
        <v>246779410679</v>
      </c>
      <c r="K62" s="36">
        <v>246779410756</v>
      </c>
      <c r="L62" s="62">
        <v>0</v>
      </c>
      <c r="M62" s="62">
        <v>403</v>
      </c>
      <c r="O62" s="36">
        <v>246779410756</v>
      </c>
      <c r="P62" s="38">
        <v>0</v>
      </c>
      <c r="Q62" s="38">
        <v>403</v>
      </c>
    </row>
    <row r="63" spans="1:17" x14ac:dyDescent="0.35">
      <c r="A63" s="30" t="s">
        <v>431</v>
      </c>
      <c r="B63" s="31">
        <v>0</v>
      </c>
      <c r="C63" s="31">
        <v>2406</v>
      </c>
      <c r="D63" s="31">
        <v>-1635026.12</v>
      </c>
      <c r="E63" s="30" t="s">
        <v>364</v>
      </c>
      <c r="F63" s="30" t="s">
        <v>432</v>
      </c>
      <c r="G63" s="30" t="s">
        <v>433</v>
      </c>
      <c r="H63" s="30" t="s">
        <v>432</v>
      </c>
      <c r="I63" s="32">
        <v>246779411128</v>
      </c>
      <c r="K63" s="36">
        <v>246779410757</v>
      </c>
      <c r="L63" s="62">
        <v>0</v>
      </c>
      <c r="M63" s="62">
        <v>403</v>
      </c>
      <c r="O63" s="36">
        <v>246779410757</v>
      </c>
      <c r="P63" s="38">
        <v>0</v>
      </c>
      <c r="Q63" s="38">
        <v>403</v>
      </c>
    </row>
    <row r="64" spans="1:17" x14ac:dyDescent="0.35">
      <c r="A64" s="30" t="s">
        <v>431</v>
      </c>
      <c r="B64" s="31">
        <v>0</v>
      </c>
      <c r="C64" s="31">
        <v>1882</v>
      </c>
      <c r="D64" s="31">
        <v>-1636908.12</v>
      </c>
      <c r="E64" s="30" t="s">
        <v>364</v>
      </c>
      <c r="F64" s="30" t="s">
        <v>434</v>
      </c>
      <c r="G64" s="30" t="s">
        <v>435</v>
      </c>
      <c r="H64" s="30" t="s">
        <v>434</v>
      </c>
      <c r="I64" s="32">
        <v>246779410970</v>
      </c>
      <c r="K64" s="36">
        <v>246779410758</v>
      </c>
      <c r="L64" s="62">
        <v>0</v>
      </c>
      <c r="M64" s="62">
        <v>3219</v>
      </c>
      <c r="O64" s="36">
        <v>246779410758</v>
      </c>
      <c r="P64" s="38">
        <v>0</v>
      </c>
      <c r="Q64" s="38">
        <v>3219</v>
      </c>
    </row>
    <row r="65" spans="1:17" x14ac:dyDescent="0.35">
      <c r="A65" s="30" t="s">
        <v>431</v>
      </c>
      <c r="B65" s="31">
        <v>0</v>
      </c>
      <c r="C65" s="31">
        <v>36538</v>
      </c>
      <c r="D65" s="31">
        <v>-1673446.12</v>
      </c>
      <c r="E65" s="30" t="s">
        <v>364</v>
      </c>
      <c r="F65" s="30" t="s">
        <v>436</v>
      </c>
      <c r="G65" s="30" t="s">
        <v>437</v>
      </c>
      <c r="H65" s="30" t="s">
        <v>436</v>
      </c>
      <c r="I65" s="32">
        <v>246779410971</v>
      </c>
      <c r="K65" s="36">
        <v>246779410759</v>
      </c>
      <c r="L65" s="62">
        <v>0</v>
      </c>
      <c r="M65" s="62">
        <v>604</v>
      </c>
      <c r="O65" s="36">
        <v>246779410759</v>
      </c>
      <c r="P65" s="38">
        <v>0</v>
      </c>
      <c r="Q65" s="38">
        <v>604</v>
      </c>
    </row>
    <row r="66" spans="1:17" x14ac:dyDescent="0.35">
      <c r="A66" s="30" t="s">
        <v>431</v>
      </c>
      <c r="B66" s="31">
        <v>0</v>
      </c>
      <c r="C66" s="31">
        <v>401</v>
      </c>
      <c r="D66" s="31">
        <v>-1673847.12</v>
      </c>
      <c r="E66" s="30" t="s">
        <v>364</v>
      </c>
      <c r="F66" s="30" t="s">
        <v>438</v>
      </c>
      <c r="G66" s="30" t="s">
        <v>433</v>
      </c>
      <c r="H66" s="30" t="s">
        <v>438</v>
      </c>
      <c r="I66" s="32">
        <v>246779410974</v>
      </c>
      <c r="K66" s="36">
        <v>246779410760</v>
      </c>
      <c r="L66" s="62">
        <v>0</v>
      </c>
      <c r="M66" s="62">
        <v>1006</v>
      </c>
      <c r="O66" s="36">
        <v>246779410760</v>
      </c>
      <c r="P66" s="38">
        <v>0</v>
      </c>
      <c r="Q66" s="38">
        <v>1006</v>
      </c>
    </row>
    <row r="67" spans="1:17" x14ac:dyDescent="0.35">
      <c r="A67" s="30" t="s">
        <v>431</v>
      </c>
      <c r="B67" s="31">
        <v>0</v>
      </c>
      <c r="C67" s="31">
        <v>1481</v>
      </c>
      <c r="D67" s="31">
        <v>-1675328.12</v>
      </c>
      <c r="E67" s="30" t="s">
        <v>364</v>
      </c>
      <c r="F67" s="30" t="s">
        <v>439</v>
      </c>
      <c r="G67" s="30" t="s">
        <v>435</v>
      </c>
      <c r="H67" s="30" t="s">
        <v>439</v>
      </c>
      <c r="I67" s="32">
        <v>246779410972</v>
      </c>
      <c r="K67" s="36">
        <v>246779410761</v>
      </c>
      <c r="L67" s="62">
        <v>0</v>
      </c>
      <c r="M67" s="62">
        <v>1207</v>
      </c>
      <c r="O67" s="36">
        <v>246779410761</v>
      </c>
      <c r="P67" s="38">
        <v>0</v>
      </c>
      <c r="Q67" s="38">
        <v>1207</v>
      </c>
    </row>
    <row r="68" spans="1:17" x14ac:dyDescent="0.35">
      <c r="A68" s="30" t="s">
        <v>431</v>
      </c>
      <c r="B68" s="31">
        <v>0</v>
      </c>
      <c r="C68" s="31">
        <v>2884</v>
      </c>
      <c r="D68" s="31">
        <v>-1678212.12</v>
      </c>
      <c r="E68" s="30" t="s">
        <v>364</v>
      </c>
      <c r="F68" s="30" t="s">
        <v>440</v>
      </c>
      <c r="G68" s="30" t="s">
        <v>435</v>
      </c>
      <c r="H68" s="30" t="s">
        <v>440</v>
      </c>
      <c r="I68" s="32">
        <v>246779410973</v>
      </c>
      <c r="K68" s="36">
        <v>246779410762</v>
      </c>
      <c r="L68" s="62">
        <v>0</v>
      </c>
      <c r="M68" s="62">
        <v>403</v>
      </c>
      <c r="O68" s="36">
        <v>246779410762</v>
      </c>
      <c r="P68" s="38">
        <v>0</v>
      </c>
      <c r="Q68" s="38">
        <v>403</v>
      </c>
    </row>
    <row r="69" spans="1:17" x14ac:dyDescent="0.35">
      <c r="A69" s="30" t="s">
        <v>431</v>
      </c>
      <c r="B69" s="31">
        <v>0</v>
      </c>
      <c r="C69" s="31">
        <v>357094</v>
      </c>
      <c r="D69" s="31">
        <v>-2035306.12</v>
      </c>
      <c r="E69" s="30" t="s">
        <v>364</v>
      </c>
      <c r="F69" s="30" t="s">
        <v>441</v>
      </c>
      <c r="G69" s="30" t="s">
        <v>381</v>
      </c>
      <c r="H69" s="30" t="s">
        <v>441</v>
      </c>
      <c r="I69" s="32">
        <v>246779410896</v>
      </c>
      <c r="K69" s="36">
        <v>246779410763</v>
      </c>
      <c r="L69" s="62">
        <v>0</v>
      </c>
      <c r="M69" s="62">
        <v>201</v>
      </c>
      <c r="O69" s="36">
        <v>246779410763</v>
      </c>
      <c r="P69" s="38">
        <v>0</v>
      </c>
      <c r="Q69" s="38">
        <v>201</v>
      </c>
    </row>
    <row r="70" spans="1:17" x14ac:dyDescent="0.35">
      <c r="A70" s="30" t="s">
        <v>431</v>
      </c>
      <c r="B70" s="31">
        <v>0</v>
      </c>
      <c r="C70" s="31">
        <v>241385</v>
      </c>
      <c r="D70" s="31">
        <v>-2276691.12</v>
      </c>
      <c r="E70" s="30" t="s">
        <v>364</v>
      </c>
      <c r="F70" s="30" t="s">
        <v>442</v>
      </c>
      <c r="G70" s="30" t="s">
        <v>381</v>
      </c>
      <c r="H70" s="30" t="s">
        <v>442</v>
      </c>
      <c r="I70" s="32">
        <v>246779410874</v>
      </c>
      <c r="K70" s="36">
        <v>246779410764</v>
      </c>
      <c r="L70" s="62">
        <v>0</v>
      </c>
      <c r="M70" s="62">
        <v>201</v>
      </c>
      <c r="O70" s="36">
        <v>246779410764</v>
      </c>
      <c r="P70" s="38">
        <v>0</v>
      </c>
      <c r="Q70" s="38">
        <v>201</v>
      </c>
    </row>
    <row r="71" spans="1:17" x14ac:dyDescent="0.35">
      <c r="A71" s="30" t="s">
        <v>431</v>
      </c>
      <c r="B71" s="31">
        <v>0</v>
      </c>
      <c r="C71" s="31">
        <v>2004</v>
      </c>
      <c r="D71" s="31">
        <v>-2278695.12</v>
      </c>
      <c r="E71" s="30" t="s">
        <v>364</v>
      </c>
      <c r="F71" s="30" t="s">
        <v>443</v>
      </c>
      <c r="G71" s="30" t="s">
        <v>433</v>
      </c>
      <c r="H71" s="30" t="s">
        <v>443</v>
      </c>
      <c r="I71" s="32">
        <v>246779411189</v>
      </c>
      <c r="K71" s="36">
        <v>246779410765</v>
      </c>
      <c r="L71" s="62">
        <v>0</v>
      </c>
      <c r="M71" s="62">
        <v>201</v>
      </c>
      <c r="O71" s="36">
        <v>246779410765</v>
      </c>
      <c r="P71" s="38">
        <v>0</v>
      </c>
      <c r="Q71" s="38">
        <v>201</v>
      </c>
    </row>
    <row r="72" spans="1:17" x14ac:dyDescent="0.35">
      <c r="A72" s="30" t="s">
        <v>431</v>
      </c>
      <c r="B72" s="31">
        <v>0</v>
      </c>
      <c r="C72" s="31">
        <v>2004</v>
      </c>
      <c r="D72" s="31">
        <v>-2280699.12</v>
      </c>
      <c r="E72" s="30" t="s">
        <v>364</v>
      </c>
      <c r="F72" s="30" t="s">
        <v>444</v>
      </c>
      <c r="G72" s="30" t="s">
        <v>433</v>
      </c>
      <c r="H72" s="30" t="s">
        <v>444</v>
      </c>
      <c r="I72" s="32">
        <v>246779411188</v>
      </c>
      <c r="K72" s="36">
        <v>246779410766</v>
      </c>
      <c r="L72" s="62">
        <v>0</v>
      </c>
      <c r="M72" s="62">
        <v>403</v>
      </c>
      <c r="O72" s="36">
        <v>246779410766</v>
      </c>
      <c r="P72" s="38">
        <v>0</v>
      </c>
      <c r="Q72" s="38">
        <v>403</v>
      </c>
    </row>
    <row r="73" spans="1:17" x14ac:dyDescent="0.35">
      <c r="A73" s="30" t="s">
        <v>431</v>
      </c>
      <c r="B73" s="31">
        <v>0</v>
      </c>
      <c r="C73" s="31">
        <v>2004</v>
      </c>
      <c r="D73" s="31">
        <v>-2282703.12</v>
      </c>
      <c r="E73" s="30" t="s">
        <v>364</v>
      </c>
      <c r="F73" s="30" t="s">
        <v>445</v>
      </c>
      <c r="G73" s="30" t="s">
        <v>433</v>
      </c>
      <c r="H73" s="30" t="s">
        <v>445</v>
      </c>
      <c r="I73" s="32">
        <v>246779411187</v>
      </c>
      <c r="K73" s="36">
        <v>246779410841</v>
      </c>
      <c r="L73" s="62">
        <v>0</v>
      </c>
      <c r="M73" s="62">
        <v>604</v>
      </c>
      <c r="O73" s="36">
        <v>246779410841</v>
      </c>
      <c r="P73" s="38">
        <v>0</v>
      </c>
      <c r="Q73" s="38">
        <v>604</v>
      </c>
    </row>
    <row r="74" spans="1:17" x14ac:dyDescent="0.35">
      <c r="A74" s="30" t="s">
        <v>431</v>
      </c>
      <c r="B74" s="31">
        <v>0</v>
      </c>
      <c r="C74" s="31">
        <v>2004</v>
      </c>
      <c r="D74" s="31">
        <v>-2284707.12</v>
      </c>
      <c r="E74" s="30" t="s">
        <v>364</v>
      </c>
      <c r="F74" s="30" t="s">
        <v>446</v>
      </c>
      <c r="G74" s="30" t="s">
        <v>433</v>
      </c>
      <c r="H74" s="30" t="s">
        <v>446</v>
      </c>
      <c r="I74" s="32">
        <v>246779411186</v>
      </c>
      <c r="K74" s="36">
        <v>246779410842</v>
      </c>
      <c r="L74" s="62">
        <v>0</v>
      </c>
      <c r="M74" s="62">
        <v>403</v>
      </c>
      <c r="O74" s="36">
        <v>246779410842</v>
      </c>
      <c r="P74" s="38">
        <v>0</v>
      </c>
      <c r="Q74" s="38">
        <v>403</v>
      </c>
    </row>
    <row r="75" spans="1:17" x14ac:dyDescent="0.35">
      <c r="A75" s="30" t="s">
        <v>431</v>
      </c>
      <c r="B75" s="31">
        <v>0</v>
      </c>
      <c r="C75" s="31">
        <v>2004</v>
      </c>
      <c r="D75" s="31">
        <v>-2286711.12</v>
      </c>
      <c r="E75" s="30" t="s">
        <v>364</v>
      </c>
      <c r="F75" s="30" t="s">
        <v>447</v>
      </c>
      <c r="G75" s="30" t="s">
        <v>433</v>
      </c>
      <c r="H75" s="30" t="s">
        <v>447</v>
      </c>
      <c r="I75" s="32">
        <v>246779411185</v>
      </c>
      <c r="K75" s="36">
        <v>246779410843</v>
      </c>
      <c r="L75" s="62">
        <v>0</v>
      </c>
      <c r="M75" s="62">
        <v>403</v>
      </c>
      <c r="O75" s="36">
        <v>246779410843</v>
      </c>
      <c r="P75" s="38">
        <v>0</v>
      </c>
      <c r="Q75" s="38">
        <v>403</v>
      </c>
    </row>
    <row r="76" spans="1:17" x14ac:dyDescent="0.35">
      <c r="A76" s="30" t="s">
        <v>448</v>
      </c>
      <c r="B76" s="31">
        <v>0</v>
      </c>
      <c r="C76" s="31">
        <v>1842</v>
      </c>
      <c r="D76" s="31">
        <v>-2288553.12</v>
      </c>
      <c r="E76" s="30" t="s">
        <v>364</v>
      </c>
      <c r="F76" s="30" t="s">
        <v>449</v>
      </c>
      <c r="G76" s="30" t="s">
        <v>450</v>
      </c>
      <c r="H76" s="30" t="s">
        <v>449</v>
      </c>
      <c r="I76" s="32">
        <v>246779411758</v>
      </c>
      <c r="K76" s="36">
        <v>246779410844</v>
      </c>
      <c r="L76" s="62">
        <v>0</v>
      </c>
      <c r="M76" s="62">
        <v>403</v>
      </c>
      <c r="O76" s="36">
        <v>246779410844</v>
      </c>
      <c r="P76" s="38">
        <v>0</v>
      </c>
      <c r="Q76" s="38">
        <v>403</v>
      </c>
    </row>
    <row r="77" spans="1:17" x14ac:dyDescent="0.35">
      <c r="A77" s="30" t="s">
        <v>448</v>
      </c>
      <c r="B77" s="31">
        <v>0</v>
      </c>
      <c r="C77" s="31">
        <v>576</v>
      </c>
      <c r="D77" s="31">
        <v>-2289129.12</v>
      </c>
      <c r="E77" s="30" t="s">
        <v>364</v>
      </c>
      <c r="F77" s="30" t="s">
        <v>451</v>
      </c>
      <c r="G77" s="30" t="s">
        <v>450</v>
      </c>
      <c r="H77" s="30" t="s">
        <v>451</v>
      </c>
      <c r="I77" s="32">
        <v>246779411933</v>
      </c>
      <c r="K77" s="36">
        <v>246779410845</v>
      </c>
      <c r="L77" s="62">
        <v>0</v>
      </c>
      <c r="M77" s="62">
        <v>805</v>
      </c>
      <c r="O77" s="36">
        <v>246779410845</v>
      </c>
      <c r="P77" s="38">
        <v>0</v>
      </c>
      <c r="Q77" s="38">
        <v>805</v>
      </c>
    </row>
    <row r="78" spans="1:17" x14ac:dyDescent="0.35">
      <c r="A78" s="30" t="s">
        <v>448</v>
      </c>
      <c r="B78" s="31">
        <v>0</v>
      </c>
      <c r="C78" s="31">
        <v>336</v>
      </c>
      <c r="D78" s="31">
        <v>-2289465.12</v>
      </c>
      <c r="E78" s="30" t="s">
        <v>364</v>
      </c>
      <c r="F78" s="30" t="s">
        <v>452</v>
      </c>
      <c r="G78" s="30" t="s">
        <v>450</v>
      </c>
      <c r="H78" s="30" t="s">
        <v>452</v>
      </c>
      <c r="I78" s="32">
        <v>246779411934</v>
      </c>
      <c r="K78" s="36">
        <v>246779410846</v>
      </c>
      <c r="L78" s="62">
        <v>0</v>
      </c>
      <c r="M78" s="62">
        <v>381</v>
      </c>
      <c r="O78" s="36">
        <v>246779410846</v>
      </c>
      <c r="P78" s="38">
        <v>0</v>
      </c>
      <c r="Q78" s="38">
        <v>381</v>
      </c>
    </row>
    <row r="79" spans="1:17" x14ac:dyDescent="0.35">
      <c r="A79" s="30" t="s">
        <v>448</v>
      </c>
      <c r="B79" s="31">
        <v>0</v>
      </c>
      <c r="C79" s="31">
        <v>576</v>
      </c>
      <c r="D79" s="31">
        <v>-2290041.12</v>
      </c>
      <c r="E79" s="30" t="s">
        <v>364</v>
      </c>
      <c r="F79" s="30" t="s">
        <v>453</v>
      </c>
      <c r="G79" s="30" t="s">
        <v>450</v>
      </c>
      <c r="H79" s="30" t="s">
        <v>453</v>
      </c>
      <c r="I79" s="32">
        <v>246779411935</v>
      </c>
      <c r="K79" s="36">
        <v>246779410847</v>
      </c>
      <c r="L79" s="62">
        <v>0</v>
      </c>
      <c r="M79" s="62">
        <v>1528</v>
      </c>
      <c r="O79" s="36">
        <v>246779410847</v>
      </c>
      <c r="P79" s="38">
        <v>0</v>
      </c>
      <c r="Q79" s="38">
        <v>1528</v>
      </c>
    </row>
    <row r="80" spans="1:17" x14ac:dyDescent="0.35">
      <c r="A80" s="30" t="s">
        <v>454</v>
      </c>
      <c r="B80" s="31">
        <v>0</v>
      </c>
      <c r="C80" s="31">
        <v>35488</v>
      </c>
      <c r="D80" s="31">
        <v>-2325529.12</v>
      </c>
      <c r="E80" s="30" t="s">
        <v>364</v>
      </c>
      <c r="F80" s="30" t="s">
        <v>455</v>
      </c>
      <c r="G80" s="30" t="s">
        <v>366</v>
      </c>
      <c r="H80" s="30" t="s">
        <v>455</v>
      </c>
      <c r="I80" s="32">
        <v>246779413000</v>
      </c>
      <c r="K80" s="36">
        <v>246779410848</v>
      </c>
      <c r="L80" s="62">
        <v>0</v>
      </c>
      <c r="M80" s="62">
        <v>200</v>
      </c>
      <c r="O80" s="36">
        <v>246779410848</v>
      </c>
      <c r="P80" s="38">
        <v>0</v>
      </c>
      <c r="Q80" s="38">
        <v>200</v>
      </c>
    </row>
    <row r="81" spans="1:17" x14ac:dyDescent="0.35">
      <c r="A81" s="30" t="s">
        <v>456</v>
      </c>
      <c r="B81" s="31">
        <v>0</v>
      </c>
      <c r="C81" s="31">
        <v>1268</v>
      </c>
      <c r="D81" s="31">
        <v>-2326797.12</v>
      </c>
      <c r="E81" s="30" t="s">
        <v>364</v>
      </c>
      <c r="F81" s="30" t="s">
        <v>457</v>
      </c>
      <c r="G81" s="30" t="s">
        <v>458</v>
      </c>
      <c r="H81" s="30" t="s">
        <v>457</v>
      </c>
      <c r="I81" s="32">
        <v>246779414142</v>
      </c>
      <c r="K81" s="36">
        <v>246779410849</v>
      </c>
      <c r="L81" s="62">
        <v>0</v>
      </c>
      <c r="M81" s="62">
        <v>3436</v>
      </c>
      <c r="O81" s="36">
        <v>246779410849</v>
      </c>
      <c r="P81" s="38">
        <v>0</v>
      </c>
      <c r="Q81" s="38">
        <v>3436</v>
      </c>
    </row>
    <row r="82" spans="1:17" x14ac:dyDescent="0.35">
      <c r="A82" s="30" t="s">
        <v>456</v>
      </c>
      <c r="B82" s="31">
        <v>0</v>
      </c>
      <c r="C82" s="31">
        <v>1408</v>
      </c>
      <c r="D82" s="31">
        <v>-2328205.12</v>
      </c>
      <c r="E82" s="30" t="s">
        <v>364</v>
      </c>
      <c r="F82" s="30" t="s">
        <v>459</v>
      </c>
      <c r="G82" s="30" t="s">
        <v>460</v>
      </c>
      <c r="H82" s="30" t="s">
        <v>459</v>
      </c>
      <c r="I82" s="32">
        <v>246779411051</v>
      </c>
      <c r="K82" s="36">
        <v>246779410850</v>
      </c>
      <c r="L82" s="62">
        <v>0</v>
      </c>
      <c r="M82" s="62">
        <v>763</v>
      </c>
      <c r="O82" s="36">
        <v>246779410850</v>
      </c>
      <c r="P82" s="38">
        <v>0</v>
      </c>
      <c r="Q82" s="38">
        <v>763</v>
      </c>
    </row>
    <row r="83" spans="1:17" x14ac:dyDescent="0.35">
      <c r="A83" s="30" t="s">
        <v>456</v>
      </c>
      <c r="B83" s="31">
        <v>0</v>
      </c>
      <c r="C83" s="31">
        <v>381</v>
      </c>
      <c r="D83" s="31">
        <v>-2328586.12</v>
      </c>
      <c r="E83" s="30" t="s">
        <v>364</v>
      </c>
      <c r="F83" s="30" t="s">
        <v>461</v>
      </c>
      <c r="G83" s="30" t="s">
        <v>433</v>
      </c>
      <c r="H83" s="30" t="s">
        <v>461</v>
      </c>
      <c r="I83" s="32">
        <v>246779411052</v>
      </c>
      <c r="K83" s="36">
        <v>246779410851</v>
      </c>
      <c r="L83" s="62">
        <v>0</v>
      </c>
      <c r="M83" s="62">
        <v>381</v>
      </c>
      <c r="O83" s="36">
        <v>246779410851</v>
      </c>
      <c r="P83" s="38">
        <v>0</v>
      </c>
      <c r="Q83" s="38">
        <v>381</v>
      </c>
    </row>
    <row r="84" spans="1:17" x14ac:dyDescent="0.35">
      <c r="A84" s="30" t="s">
        <v>456</v>
      </c>
      <c r="B84" s="31">
        <v>0</v>
      </c>
      <c r="C84" s="31">
        <v>1981</v>
      </c>
      <c r="D84" s="31">
        <v>-2330567.12</v>
      </c>
      <c r="E84" s="30" t="s">
        <v>364</v>
      </c>
      <c r="F84" s="30" t="s">
        <v>462</v>
      </c>
      <c r="G84" s="30" t="s">
        <v>460</v>
      </c>
      <c r="H84" s="30" t="s">
        <v>462</v>
      </c>
      <c r="I84" s="32">
        <v>246779411053</v>
      </c>
      <c r="K84" s="36">
        <v>246779410852</v>
      </c>
      <c r="L84" s="62">
        <v>0</v>
      </c>
      <c r="M84" s="62">
        <v>381</v>
      </c>
      <c r="O84" s="36">
        <v>246779410852</v>
      </c>
      <c r="P84" s="38">
        <v>0</v>
      </c>
      <c r="Q84" s="38">
        <v>381</v>
      </c>
    </row>
    <row r="85" spans="1:17" x14ac:dyDescent="0.35">
      <c r="A85" s="30" t="s">
        <v>456</v>
      </c>
      <c r="B85" s="31">
        <v>0</v>
      </c>
      <c r="C85" s="31">
        <v>1907</v>
      </c>
      <c r="D85" s="31">
        <v>-2332474.12</v>
      </c>
      <c r="E85" s="30" t="s">
        <v>364</v>
      </c>
      <c r="F85" s="30" t="s">
        <v>463</v>
      </c>
      <c r="G85" s="30" t="s">
        <v>433</v>
      </c>
      <c r="H85" s="30" t="s">
        <v>463</v>
      </c>
      <c r="I85" s="32">
        <v>246779411050</v>
      </c>
      <c r="K85" s="36">
        <v>246779410853</v>
      </c>
      <c r="L85" s="62">
        <v>0</v>
      </c>
      <c r="M85" s="62">
        <v>190</v>
      </c>
      <c r="O85" s="36">
        <v>246779410853</v>
      </c>
      <c r="P85" s="38">
        <v>0</v>
      </c>
      <c r="Q85" s="38">
        <v>190</v>
      </c>
    </row>
    <row r="86" spans="1:17" x14ac:dyDescent="0.35">
      <c r="A86" s="30" t="s">
        <v>456</v>
      </c>
      <c r="B86" s="31">
        <v>0</v>
      </c>
      <c r="C86" s="31">
        <v>596</v>
      </c>
      <c r="D86" s="31">
        <v>-2333070.12</v>
      </c>
      <c r="E86" s="30" t="s">
        <v>364</v>
      </c>
      <c r="F86" s="30" t="s">
        <v>464</v>
      </c>
      <c r="G86" s="30" t="s">
        <v>374</v>
      </c>
      <c r="H86" s="30" t="s">
        <v>464</v>
      </c>
      <c r="I86" s="32">
        <v>246779413782</v>
      </c>
      <c r="K86" s="36">
        <v>246779410854</v>
      </c>
      <c r="L86" s="62">
        <v>0</v>
      </c>
      <c r="M86" s="62">
        <v>1145</v>
      </c>
      <c r="O86" s="36">
        <v>246779410854</v>
      </c>
      <c r="P86" s="38">
        <v>0</v>
      </c>
      <c r="Q86" s="38">
        <v>1145</v>
      </c>
    </row>
    <row r="87" spans="1:17" x14ac:dyDescent="0.35">
      <c r="A87" s="30" t="s">
        <v>456</v>
      </c>
      <c r="B87" s="31">
        <v>0</v>
      </c>
      <c r="C87" s="31">
        <v>3578</v>
      </c>
      <c r="D87" s="31">
        <v>-2336648.12</v>
      </c>
      <c r="E87" s="30" t="s">
        <v>364</v>
      </c>
      <c r="F87" s="30" t="s">
        <v>465</v>
      </c>
      <c r="G87" s="30" t="s">
        <v>374</v>
      </c>
      <c r="H87" s="30" t="s">
        <v>465</v>
      </c>
      <c r="I87" s="32">
        <v>246779413627</v>
      </c>
      <c r="K87" s="36">
        <v>246779410855</v>
      </c>
      <c r="L87" s="62">
        <v>0</v>
      </c>
      <c r="M87" s="62">
        <v>1527</v>
      </c>
      <c r="O87" s="36">
        <v>246779410855</v>
      </c>
      <c r="P87" s="38">
        <v>0</v>
      </c>
      <c r="Q87" s="38">
        <v>1527</v>
      </c>
    </row>
    <row r="88" spans="1:17" x14ac:dyDescent="0.35">
      <c r="A88" s="30" t="s">
        <v>456</v>
      </c>
      <c r="B88" s="31">
        <v>0</v>
      </c>
      <c r="C88" s="31">
        <v>198</v>
      </c>
      <c r="D88" s="31">
        <v>-2336846.12</v>
      </c>
      <c r="E88" s="30" t="s">
        <v>364</v>
      </c>
      <c r="F88" s="30" t="s">
        <v>466</v>
      </c>
      <c r="G88" s="30" t="s">
        <v>374</v>
      </c>
      <c r="H88" s="30" t="s">
        <v>466</v>
      </c>
      <c r="I88" s="32">
        <v>246779413628</v>
      </c>
      <c r="K88" s="36">
        <v>246779410874</v>
      </c>
      <c r="L88" s="62">
        <v>0</v>
      </c>
      <c r="M88" s="62">
        <v>241385</v>
      </c>
      <c r="O88" s="36">
        <v>246779410874</v>
      </c>
      <c r="P88" s="38">
        <v>0</v>
      </c>
      <c r="Q88" s="38">
        <v>241385</v>
      </c>
    </row>
    <row r="89" spans="1:17" x14ac:dyDescent="0.35">
      <c r="A89" s="30" t="s">
        <v>456</v>
      </c>
      <c r="B89" s="31">
        <v>0</v>
      </c>
      <c r="C89" s="31">
        <v>397</v>
      </c>
      <c r="D89" s="31">
        <v>-2337243.12</v>
      </c>
      <c r="E89" s="30" t="s">
        <v>364</v>
      </c>
      <c r="F89" s="30" t="s">
        <v>467</v>
      </c>
      <c r="G89" s="30" t="s">
        <v>374</v>
      </c>
      <c r="H89" s="30" t="s">
        <v>467</v>
      </c>
      <c r="I89" s="32">
        <v>246779413629</v>
      </c>
      <c r="K89" s="36">
        <v>246779410896</v>
      </c>
      <c r="L89" s="62">
        <v>0</v>
      </c>
      <c r="M89" s="62">
        <v>357094</v>
      </c>
      <c r="O89" s="36">
        <v>246779410896</v>
      </c>
      <c r="P89" s="38">
        <v>0</v>
      </c>
      <c r="Q89" s="38">
        <v>357094</v>
      </c>
    </row>
    <row r="90" spans="1:17" x14ac:dyDescent="0.35">
      <c r="A90" s="30" t="s">
        <v>456</v>
      </c>
      <c r="B90" s="31">
        <v>0</v>
      </c>
      <c r="C90" s="31">
        <v>198</v>
      </c>
      <c r="D90" s="31">
        <v>-2337441.12</v>
      </c>
      <c r="E90" s="30" t="s">
        <v>364</v>
      </c>
      <c r="F90" s="30" t="s">
        <v>468</v>
      </c>
      <c r="G90" s="30" t="s">
        <v>374</v>
      </c>
      <c r="H90" s="30" t="s">
        <v>468</v>
      </c>
      <c r="I90" s="32">
        <v>246779413690</v>
      </c>
      <c r="K90" s="36">
        <v>246779410970</v>
      </c>
      <c r="L90" s="62">
        <v>0</v>
      </c>
      <c r="M90" s="62">
        <v>1882</v>
      </c>
      <c r="O90" s="36">
        <v>246779410970</v>
      </c>
      <c r="P90" s="38">
        <v>0</v>
      </c>
      <c r="Q90" s="38">
        <v>1882</v>
      </c>
    </row>
    <row r="91" spans="1:17" x14ac:dyDescent="0.35">
      <c r="A91" s="30" t="s">
        <v>456</v>
      </c>
      <c r="B91" s="31">
        <v>0</v>
      </c>
      <c r="C91" s="31">
        <v>7156</v>
      </c>
      <c r="D91" s="31">
        <v>-2344597.12</v>
      </c>
      <c r="E91" s="30" t="s">
        <v>364</v>
      </c>
      <c r="F91" s="30" t="s">
        <v>469</v>
      </c>
      <c r="G91" s="30" t="s">
        <v>374</v>
      </c>
      <c r="H91" s="30" t="s">
        <v>469</v>
      </c>
      <c r="I91" s="32">
        <v>246779413626</v>
      </c>
      <c r="K91" s="36">
        <v>246779410971</v>
      </c>
      <c r="L91" s="62">
        <v>0</v>
      </c>
      <c r="M91" s="62">
        <v>36538</v>
      </c>
      <c r="O91" s="36">
        <v>246779410971</v>
      </c>
      <c r="P91" s="38">
        <v>0</v>
      </c>
      <c r="Q91" s="38">
        <v>36538</v>
      </c>
    </row>
    <row r="92" spans="1:17" x14ac:dyDescent="0.35">
      <c r="A92" s="30" t="s">
        <v>456</v>
      </c>
      <c r="B92" s="31">
        <v>0</v>
      </c>
      <c r="C92" s="31">
        <v>198</v>
      </c>
      <c r="D92" s="31">
        <v>-2344795.12</v>
      </c>
      <c r="E92" s="30" t="s">
        <v>364</v>
      </c>
      <c r="F92" s="30" t="s">
        <v>470</v>
      </c>
      <c r="G92" s="30" t="s">
        <v>374</v>
      </c>
      <c r="H92" s="30" t="s">
        <v>470</v>
      </c>
      <c r="I92" s="32">
        <v>246779413625</v>
      </c>
      <c r="K92" s="36">
        <v>246779410972</v>
      </c>
      <c r="L92" s="62">
        <v>0</v>
      </c>
      <c r="M92" s="62">
        <v>1481</v>
      </c>
      <c r="O92" s="36">
        <v>246779410972</v>
      </c>
      <c r="P92" s="38">
        <v>0</v>
      </c>
      <c r="Q92" s="38">
        <v>1481</v>
      </c>
    </row>
    <row r="93" spans="1:17" x14ac:dyDescent="0.35">
      <c r="A93" s="30" t="s">
        <v>456</v>
      </c>
      <c r="B93" s="31">
        <v>0</v>
      </c>
      <c r="C93" s="31">
        <v>1590</v>
      </c>
      <c r="D93" s="31">
        <v>-2346385.12</v>
      </c>
      <c r="E93" s="30" t="s">
        <v>364</v>
      </c>
      <c r="F93" s="30" t="s">
        <v>471</v>
      </c>
      <c r="G93" s="30" t="s">
        <v>374</v>
      </c>
      <c r="H93" s="30" t="s">
        <v>471</v>
      </c>
      <c r="I93" s="32">
        <v>246779413622</v>
      </c>
      <c r="K93" s="36">
        <v>246779410973</v>
      </c>
      <c r="L93" s="62">
        <v>0</v>
      </c>
      <c r="M93" s="62">
        <v>2884</v>
      </c>
      <c r="O93" s="36">
        <v>246779410973</v>
      </c>
      <c r="P93" s="38">
        <v>0</v>
      </c>
      <c r="Q93" s="38">
        <v>2884</v>
      </c>
    </row>
    <row r="94" spans="1:17" x14ac:dyDescent="0.35">
      <c r="A94" s="30" t="s">
        <v>456</v>
      </c>
      <c r="B94" s="31">
        <v>0</v>
      </c>
      <c r="C94" s="31">
        <v>198</v>
      </c>
      <c r="D94" s="31">
        <v>-2346583.12</v>
      </c>
      <c r="E94" s="30" t="s">
        <v>364</v>
      </c>
      <c r="F94" s="30" t="s">
        <v>472</v>
      </c>
      <c r="G94" s="30" t="s">
        <v>374</v>
      </c>
      <c r="H94" s="30" t="s">
        <v>472</v>
      </c>
      <c r="I94" s="32">
        <v>246779413623</v>
      </c>
      <c r="K94" s="36">
        <v>246779410974</v>
      </c>
      <c r="L94" s="62">
        <v>0</v>
      </c>
      <c r="M94" s="62">
        <v>401</v>
      </c>
      <c r="O94" s="36">
        <v>246779410974</v>
      </c>
      <c r="P94" s="38">
        <v>0</v>
      </c>
      <c r="Q94" s="38">
        <v>401</v>
      </c>
    </row>
    <row r="95" spans="1:17" x14ac:dyDescent="0.35">
      <c r="A95" s="30" t="s">
        <v>456</v>
      </c>
      <c r="B95" s="31">
        <v>0</v>
      </c>
      <c r="C95" s="31">
        <v>596</v>
      </c>
      <c r="D95" s="31">
        <v>-2347179.12</v>
      </c>
      <c r="E95" s="30" t="s">
        <v>364</v>
      </c>
      <c r="F95" s="30" t="s">
        <v>473</v>
      </c>
      <c r="G95" s="30" t="s">
        <v>374</v>
      </c>
      <c r="H95" s="30" t="s">
        <v>473</v>
      </c>
      <c r="I95" s="32">
        <v>246779413624</v>
      </c>
      <c r="K95" s="36">
        <v>246779411050</v>
      </c>
      <c r="L95" s="62">
        <v>0</v>
      </c>
      <c r="M95" s="62">
        <v>1907</v>
      </c>
      <c r="O95" s="36">
        <v>246779411050</v>
      </c>
      <c r="P95" s="38">
        <v>0</v>
      </c>
      <c r="Q95" s="38">
        <v>1907</v>
      </c>
    </row>
    <row r="96" spans="1:17" x14ac:dyDescent="0.35">
      <c r="A96" s="30" t="s">
        <v>474</v>
      </c>
      <c r="B96" s="31">
        <v>0</v>
      </c>
      <c r="C96" s="31">
        <v>4387</v>
      </c>
      <c r="D96" s="31">
        <v>-2351566.12</v>
      </c>
      <c r="E96" s="30" t="s">
        <v>364</v>
      </c>
      <c r="F96" s="30" t="s">
        <v>475</v>
      </c>
      <c r="G96" s="30" t="s">
        <v>433</v>
      </c>
      <c r="H96" s="30" t="s">
        <v>475</v>
      </c>
      <c r="I96" s="32">
        <v>246779411054</v>
      </c>
      <c r="K96" s="36">
        <v>246779411051</v>
      </c>
      <c r="L96" s="62">
        <v>0</v>
      </c>
      <c r="M96" s="62">
        <v>1408</v>
      </c>
      <c r="O96" s="36">
        <v>246779411051</v>
      </c>
      <c r="P96" s="38">
        <v>0</v>
      </c>
      <c r="Q96" s="38">
        <v>1408</v>
      </c>
    </row>
    <row r="97" spans="1:17" x14ac:dyDescent="0.35">
      <c r="A97" s="30" t="s">
        <v>474</v>
      </c>
      <c r="B97" s="31">
        <v>0</v>
      </c>
      <c r="C97" s="31">
        <v>1408</v>
      </c>
      <c r="D97" s="31">
        <v>-2352974.12</v>
      </c>
      <c r="E97" s="30" t="s">
        <v>364</v>
      </c>
      <c r="F97" s="30" t="s">
        <v>476</v>
      </c>
      <c r="G97" s="30" t="s">
        <v>435</v>
      </c>
      <c r="H97" s="30" t="s">
        <v>476</v>
      </c>
      <c r="I97" s="32">
        <v>246779411055</v>
      </c>
      <c r="K97" s="36">
        <v>246779411052</v>
      </c>
      <c r="L97" s="62">
        <v>0</v>
      </c>
      <c r="M97" s="62">
        <v>381</v>
      </c>
      <c r="O97" s="36">
        <v>246779411052</v>
      </c>
      <c r="P97" s="38">
        <v>0</v>
      </c>
      <c r="Q97" s="38">
        <v>381</v>
      </c>
    </row>
    <row r="98" spans="1:17" x14ac:dyDescent="0.35">
      <c r="A98" s="30" t="s">
        <v>474</v>
      </c>
      <c r="B98" s="31">
        <v>0</v>
      </c>
      <c r="C98" s="31">
        <v>3434</v>
      </c>
      <c r="D98" s="31">
        <v>-2356408.12</v>
      </c>
      <c r="E98" s="30" t="s">
        <v>364</v>
      </c>
      <c r="F98" s="30" t="s">
        <v>477</v>
      </c>
      <c r="G98" s="30" t="s">
        <v>433</v>
      </c>
      <c r="H98" s="30" t="s">
        <v>477</v>
      </c>
      <c r="I98" s="32">
        <v>246779411248</v>
      </c>
      <c r="K98" s="36">
        <v>246779411053</v>
      </c>
      <c r="L98" s="62">
        <v>0</v>
      </c>
      <c r="M98" s="62">
        <v>1981</v>
      </c>
      <c r="O98" s="36">
        <v>246779411053</v>
      </c>
      <c r="P98" s="38">
        <v>0</v>
      </c>
      <c r="Q98" s="38">
        <v>1981</v>
      </c>
    </row>
    <row r="99" spans="1:17" x14ac:dyDescent="0.35">
      <c r="A99" s="30" t="s">
        <v>474</v>
      </c>
      <c r="B99" s="31">
        <v>0</v>
      </c>
      <c r="C99" s="31">
        <v>13737</v>
      </c>
      <c r="D99" s="31">
        <v>-2370145.12</v>
      </c>
      <c r="E99" s="30" t="s">
        <v>364</v>
      </c>
      <c r="F99" s="30" t="s">
        <v>478</v>
      </c>
      <c r="G99" s="30" t="s">
        <v>433</v>
      </c>
      <c r="H99" s="30" t="s">
        <v>478</v>
      </c>
      <c r="I99" s="32">
        <v>246779411249</v>
      </c>
      <c r="K99" s="36">
        <v>246779411054</v>
      </c>
      <c r="L99" s="62">
        <v>0</v>
      </c>
      <c r="M99" s="62">
        <v>4387</v>
      </c>
      <c r="O99" s="36">
        <v>246779411054</v>
      </c>
      <c r="P99" s="38">
        <v>0</v>
      </c>
      <c r="Q99" s="38">
        <v>4387</v>
      </c>
    </row>
    <row r="100" spans="1:17" x14ac:dyDescent="0.35">
      <c r="A100" s="30" t="s">
        <v>474</v>
      </c>
      <c r="B100" s="31">
        <v>0</v>
      </c>
      <c r="C100" s="31">
        <v>1599</v>
      </c>
      <c r="D100" s="31">
        <v>-2371744.12</v>
      </c>
      <c r="E100" s="30" t="s">
        <v>364</v>
      </c>
      <c r="F100" s="30" t="s">
        <v>479</v>
      </c>
      <c r="G100" s="30" t="s">
        <v>435</v>
      </c>
      <c r="H100" s="30" t="s">
        <v>479</v>
      </c>
      <c r="I100" s="32">
        <v>246779411250</v>
      </c>
      <c r="K100" s="36">
        <v>246779411055</v>
      </c>
      <c r="L100" s="62">
        <v>0</v>
      </c>
      <c r="M100" s="62">
        <v>1408</v>
      </c>
      <c r="O100" s="36">
        <v>246779411055</v>
      </c>
      <c r="P100" s="38">
        <v>0</v>
      </c>
      <c r="Q100" s="38">
        <v>1408</v>
      </c>
    </row>
    <row r="101" spans="1:17" x14ac:dyDescent="0.35">
      <c r="A101" s="30" t="s">
        <v>474</v>
      </c>
      <c r="B101" s="31">
        <v>0</v>
      </c>
      <c r="C101" s="31">
        <v>1599</v>
      </c>
      <c r="D101" s="31">
        <v>-2373343.12</v>
      </c>
      <c r="E101" s="30" t="s">
        <v>364</v>
      </c>
      <c r="F101" s="30" t="s">
        <v>480</v>
      </c>
      <c r="G101" s="30" t="s">
        <v>435</v>
      </c>
      <c r="H101" s="30" t="s">
        <v>480</v>
      </c>
      <c r="I101" s="32">
        <v>246779411251</v>
      </c>
      <c r="K101" s="36">
        <v>246779411128</v>
      </c>
      <c r="L101" s="62">
        <v>0</v>
      </c>
      <c r="M101" s="62">
        <v>2406</v>
      </c>
      <c r="O101" s="36">
        <v>246779411128</v>
      </c>
      <c r="P101" s="38">
        <v>0</v>
      </c>
      <c r="Q101" s="38">
        <v>2406</v>
      </c>
    </row>
    <row r="102" spans="1:17" x14ac:dyDescent="0.35">
      <c r="A102" s="30" t="s">
        <v>474</v>
      </c>
      <c r="B102" s="31">
        <v>0</v>
      </c>
      <c r="C102" s="31">
        <v>1907</v>
      </c>
      <c r="D102" s="31">
        <v>-2375250.12</v>
      </c>
      <c r="E102" s="30" t="s">
        <v>364</v>
      </c>
      <c r="F102" s="30" t="s">
        <v>481</v>
      </c>
      <c r="G102" s="30" t="s">
        <v>433</v>
      </c>
      <c r="H102" s="30" t="s">
        <v>481</v>
      </c>
      <c r="I102" s="32">
        <v>246779411252</v>
      </c>
      <c r="K102" s="36">
        <v>246779411185</v>
      </c>
      <c r="L102" s="62">
        <v>0</v>
      </c>
      <c r="M102" s="62">
        <v>2004</v>
      </c>
      <c r="O102" s="36">
        <v>246779411185</v>
      </c>
      <c r="P102" s="38">
        <v>0</v>
      </c>
      <c r="Q102" s="38">
        <v>2004</v>
      </c>
    </row>
    <row r="103" spans="1:17" x14ac:dyDescent="0.35">
      <c r="A103" s="30" t="s">
        <v>474</v>
      </c>
      <c r="B103" s="31">
        <v>0</v>
      </c>
      <c r="C103" s="31">
        <v>1907</v>
      </c>
      <c r="D103" s="31">
        <v>-2377157.12</v>
      </c>
      <c r="E103" s="30" t="s">
        <v>364</v>
      </c>
      <c r="F103" s="30" t="s">
        <v>482</v>
      </c>
      <c r="G103" s="30" t="s">
        <v>433</v>
      </c>
      <c r="H103" s="30" t="s">
        <v>482</v>
      </c>
      <c r="I103" s="32">
        <v>246779414317</v>
      </c>
      <c r="K103" s="36">
        <v>246779411186</v>
      </c>
      <c r="L103" s="62">
        <v>0</v>
      </c>
      <c r="M103" s="62">
        <v>2004</v>
      </c>
      <c r="O103" s="36">
        <v>246779411186</v>
      </c>
      <c r="P103" s="38">
        <v>0</v>
      </c>
      <c r="Q103" s="38">
        <v>2004</v>
      </c>
    </row>
    <row r="104" spans="1:17" x14ac:dyDescent="0.35">
      <c r="A104" s="30" t="s">
        <v>474</v>
      </c>
      <c r="B104" s="31">
        <v>0</v>
      </c>
      <c r="C104" s="31">
        <v>4652</v>
      </c>
      <c r="D104" s="31">
        <v>-2381809.12</v>
      </c>
      <c r="E104" s="30" t="s">
        <v>364</v>
      </c>
      <c r="F104" s="30" t="s">
        <v>483</v>
      </c>
      <c r="G104" s="30" t="s">
        <v>433</v>
      </c>
      <c r="H104" s="30" t="s">
        <v>483</v>
      </c>
      <c r="I104" s="32">
        <v>246779414141</v>
      </c>
      <c r="K104" s="36">
        <v>246779411187</v>
      </c>
      <c r="L104" s="62">
        <v>0</v>
      </c>
      <c r="M104" s="62">
        <v>2004</v>
      </c>
      <c r="O104" s="36">
        <v>246779411187</v>
      </c>
      <c r="P104" s="38">
        <v>0</v>
      </c>
      <c r="Q104" s="38">
        <v>2004</v>
      </c>
    </row>
    <row r="105" spans="1:17" x14ac:dyDescent="0.35">
      <c r="A105" s="30" t="s">
        <v>474</v>
      </c>
      <c r="B105" s="31">
        <v>0</v>
      </c>
      <c r="C105" s="31">
        <v>2674</v>
      </c>
      <c r="D105" s="31">
        <v>-2384483.12</v>
      </c>
      <c r="E105" s="30" t="s">
        <v>364</v>
      </c>
      <c r="F105" s="30" t="s">
        <v>484</v>
      </c>
      <c r="G105" s="30" t="s">
        <v>433</v>
      </c>
      <c r="H105" s="30" t="s">
        <v>484</v>
      </c>
      <c r="I105" s="32">
        <v>246779414467</v>
      </c>
      <c r="K105" s="36">
        <v>246779411188</v>
      </c>
      <c r="L105" s="62">
        <v>0</v>
      </c>
      <c r="M105" s="62">
        <v>2004</v>
      </c>
      <c r="O105" s="36">
        <v>246779411188</v>
      </c>
      <c r="P105" s="38">
        <v>0</v>
      </c>
      <c r="Q105" s="38">
        <v>2004</v>
      </c>
    </row>
    <row r="106" spans="1:17" x14ac:dyDescent="0.35">
      <c r="A106" s="30" t="s">
        <v>474</v>
      </c>
      <c r="B106" s="31">
        <v>0</v>
      </c>
      <c r="C106" s="31">
        <v>34760</v>
      </c>
      <c r="D106" s="31">
        <v>-2419243.12</v>
      </c>
      <c r="E106" s="30" t="s">
        <v>364</v>
      </c>
      <c r="F106" s="30" t="s">
        <v>485</v>
      </c>
      <c r="G106" s="30" t="s">
        <v>374</v>
      </c>
      <c r="H106" s="30" t="s">
        <v>485</v>
      </c>
      <c r="I106" s="32">
        <v>246779414603</v>
      </c>
      <c r="K106" s="36">
        <v>246779411189</v>
      </c>
      <c r="L106" s="62">
        <v>0</v>
      </c>
      <c r="M106" s="62">
        <v>2004</v>
      </c>
      <c r="O106" s="36">
        <v>246779411189</v>
      </c>
      <c r="P106" s="38">
        <v>0</v>
      </c>
      <c r="Q106" s="38">
        <v>2004</v>
      </c>
    </row>
    <row r="107" spans="1:17" x14ac:dyDescent="0.35">
      <c r="A107" s="30" t="s">
        <v>474</v>
      </c>
      <c r="B107" s="31">
        <v>0</v>
      </c>
      <c r="C107" s="31">
        <v>480</v>
      </c>
      <c r="D107" s="31">
        <v>-2419723.12</v>
      </c>
      <c r="E107" s="30" t="s">
        <v>364</v>
      </c>
      <c r="F107" s="30" t="s">
        <v>486</v>
      </c>
      <c r="G107" s="30" t="s">
        <v>450</v>
      </c>
      <c r="H107" s="30" t="s">
        <v>486</v>
      </c>
      <c r="I107" s="32">
        <v>246779411936</v>
      </c>
      <c r="K107" s="36">
        <v>246779411248</v>
      </c>
      <c r="L107" s="62">
        <v>0</v>
      </c>
      <c r="M107" s="62">
        <v>3434</v>
      </c>
      <c r="O107" s="36">
        <v>246779411248</v>
      </c>
      <c r="P107" s="38">
        <v>0</v>
      </c>
      <c r="Q107" s="38">
        <v>3434</v>
      </c>
    </row>
    <row r="108" spans="1:17" x14ac:dyDescent="0.35">
      <c r="A108" s="30" t="s">
        <v>644</v>
      </c>
      <c r="B108" s="31">
        <v>0</v>
      </c>
      <c r="C108" s="31">
        <v>151725</v>
      </c>
      <c r="D108" s="31">
        <v>-1632350.6</v>
      </c>
      <c r="E108" s="30" t="s">
        <v>364</v>
      </c>
      <c r="F108" s="30" t="s">
        <v>646</v>
      </c>
      <c r="G108" s="30" t="s">
        <v>381</v>
      </c>
      <c r="H108" s="30" t="s">
        <v>646</v>
      </c>
      <c r="I108" s="32">
        <v>246779410348</v>
      </c>
      <c r="K108" s="36">
        <v>246779411249</v>
      </c>
      <c r="L108" s="62">
        <v>0</v>
      </c>
      <c r="M108" s="62">
        <v>13737</v>
      </c>
      <c r="O108" s="36">
        <v>246779411249</v>
      </c>
      <c r="P108" s="38">
        <v>0</v>
      </c>
      <c r="Q108" s="38">
        <v>13737</v>
      </c>
    </row>
    <row r="109" spans="1:17" x14ac:dyDescent="0.35">
      <c r="A109" s="30" t="s">
        <v>701</v>
      </c>
      <c r="B109" s="31">
        <v>15778</v>
      </c>
      <c r="C109" s="31">
        <v>15778</v>
      </c>
      <c r="D109" s="31">
        <v>-757662.59999999963</v>
      </c>
      <c r="E109" s="30" t="s">
        <v>666</v>
      </c>
      <c r="F109" s="30" t="s">
        <v>704</v>
      </c>
      <c r="G109" s="30"/>
      <c r="H109" s="30" t="s">
        <v>705</v>
      </c>
      <c r="I109" s="32" t="s">
        <v>666</v>
      </c>
      <c r="K109" s="36">
        <v>246779411250</v>
      </c>
      <c r="L109" s="62">
        <v>0</v>
      </c>
      <c r="M109" s="62">
        <v>1599</v>
      </c>
      <c r="O109" s="36">
        <v>246779411250</v>
      </c>
      <c r="P109" s="38">
        <v>0</v>
      </c>
      <c r="Q109" s="38">
        <v>1599</v>
      </c>
    </row>
    <row r="110" spans="1:17" x14ac:dyDescent="0.35">
      <c r="A110" s="30" t="s">
        <v>527</v>
      </c>
      <c r="B110" s="31">
        <v>0</v>
      </c>
      <c r="C110" s="31">
        <v>59624</v>
      </c>
      <c r="D110" s="31">
        <v>-3015382.12</v>
      </c>
      <c r="E110" s="30" t="s">
        <v>364</v>
      </c>
      <c r="F110" s="30" t="s">
        <v>551</v>
      </c>
      <c r="G110" s="30" t="s">
        <v>381</v>
      </c>
      <c r="H110" s="30" t="s">
        <v>551</v>
      </c>
      <c r="I110" s="32">
        <v>246779410360</v>
      </c>
      <c r="K110" s="36">
        <v>246779411251</v>
      </c>
      <c r="L110" s="62">
        <v>0</v>
      </c>
      <c r="M110" s="62">
        <v>1599</v>
      </c>
      <c r="O110" s="36">
        <v>246779411251</v>
      </c>
      <c r="P110" s="38">
        <v>0</v>
      </c>
      <c r="Q110" s="38">
        <v>1599</v>
      </c>
    </row>
    <row r="111" spans="1:17" x14ac:dyDescent="0.35">
      <c r="A111" s="30" t="s">
        <v>474</v>
      </c>
      <c r="B111" s="31">
        <v>0</v>
      </c>
      <c r="C111" s="31">
        <v>31723</v>
      </c>
      <c r="D111" s="31">
        <v>-2522653.12</v>
      </c>
      <c r="E111" s="30" t="s">
        <v>364</v>
      </c>
      <c r="F111" s="30" t="s">
        <v>491</v>
      </c>
      <c r="G111" s="30" t="s">
        <v>488</v>
      </c>
      <c r="H111" s="30" t="s">
        <v>491</v>
      </c>
      <c r="I111" s="32">
        <v>246779413753</v>
      </c>
      <c r="K111" s="36">
        <v>246779411252</v>
      </c>
      <c r="L111" s="62">
        <v>0</v>
      </c>
      <c r="M111" s="62">
        <v>1907</v>
      </c>
      <c r="O111" s="36">
        <v>246779411252</v>
      </c>
      <c r="P111" s="38">
        <v>0</v>
      </c>
      <c r="Q111" s="38">
        <v>1907</v>
      </c>
    </row>
    <row r="112" spans="1:17" x14ac:dyDescent="0.35">
      <c r="A112" s="30" t="s">
        <v>474</v>
      </c>
      <c r="B112" s="31">
        <v>0</v>
      </c>
      <c r="C112" s="31">
        <v>191</v>
      </c>
      <c r="D112" s="31">
        <v>-2522844.12</v>
      </c>
      <c r="E112" s="30" t="s">
        <v>364</v>
      </c>
      <c r="F112" s="30" t="s">
        <v>492</v>
      </c>
      <c r="G112" s="30" t="s">
        <v>374</v>
      </c>
      <c r="H112" s="30" t="s">
        <v>492</v>
      </c>
      <c r="I112" s="32">
        <v>246779413762</v>
      </c>
      <c r="K112" s="36">
        <v>246779411278</v>
      </c>
      <c r="L112" s="62">
        <v>0</v>
      </c>
      <c r="M112" s="62">
        <v>44602</v>
      </c>
      <c r="O112" s="36">
        <v>246779411278</v>
      </c>
      <c r="P112" s="38">
        <v>0</v>
      </c>
      <c r="Q112" s="38">
        <v>44602</v>
      </c>
    </row>
    <row r="113" spans="1:17" x14ac:dyDescent="0.35">
      <c r="A113" s="30" t="s">
        <v>474</v>
      </c>
      <c r="B113" s="31">
        <v>0</v>
      </c>
      <c r="C113" s="31">
        <v>3064</v>
      </c>
      <c r="D113" s="31">
        <v>-2525908.12</v>
      </c>
      <c r="E113" s="30" t="s">
        <v>364</v>
      </c>
      <c r="F113" s="30" t="s">
        <v>493</v>
      </c>
      <c r="G113" s="30" t="s">
        <v>374</v>
      </c>
      <c r="H113" s="30" t="s">
        <v>493</v>
      </c>
      <c r="I113" s="32">
        <v>246779413745</v>
      </c>
      <c r="K113" s="36">
        <v>246779411300</v>
      </c>
      <c r="L113" s="62">
        <v>0</v>
      </c>
      <c r="M113" s="62">
        <v>33376</v>
      </c>
      <c r="O113" s="36">
        <v>246779411300</v>
      </c>
      <c r="P113" s="38">
        <v>0</v>
      </c>
      <c r="Q113" s="38">
        <v>33376</v>
      </c>
    </row>
    <row r="114" spans="1:17" x14ac:dyDescent="0.35">
      <c r="A114" s="30" t="s">
        <v>474</v>
      </c>
      <c r="B114" s="31">
        <v>0</v>
      </c>
      <c r="C114" s="31">
        <v>3448</v>
      </c>
      <c r="D114" s="31">
        <v>-2529356.12</v>
      </c>
      <c r="E114" s="30" t="s">
        <v>364</v>
      </c>
      <c r="F114" s="30" t="s">
        <v>494</v>
      </c>
      <c r="G114" s="30" t="s">
        <v>374</v>
      </c>
      <c r="H114" s="30" t="s">
        <v>494</v>
      </c>
      <c r="I114" s="32">
        <v>246779413734</v>
      </c>
      <c r="K114" s="36">
        <v>246779411314</v>
      </c>
      <c r="L114" s="62">
        <v>0</v>
      </c>
      <c r="M114" s="62">
        <v>8522</v>
      </c>
      <c r="O114" s="36">
        <v>246779411314</v>
      </c>
      <c r="P114" s="38">
        <v>0</v>
      </c>
      <c r="Q114" s="38">
        <v>8522</v>
      </c>
    </row>
    <row r="115" spans="1:17" x14ac:dyDescent="0.35">
      <c r="A115" s="30" t="s">
        <v>474</v>
      </c>
      <c r="B115" s="31">
        <v>0</v>
      </c>
      <c r="C115" s="31">
        <v>6513</v>
      </c>
      <c r="D115" s="31">
        <v>-2535869.12</v>
      </c>
      <c r="E115" s="30" t="s">
        <v>364</v>
      </c>
      <c r="F115" s="30" t="s">
        <v>495</v>
      </c>
      <c r="G115" s="30" t="s">
        <v>374</v>
      </c>
      <c r="H115" s="30" t="s">
        <v>495</v>
      </c>
      <c r="I115" s="32">
        <v>246779413736</v>
      </c>
      <c r="K115" s="36">
        <v>246779411326</v>
      </c>
      <c r="L115" s="62">
        <v>0</v>
      </c>
      <c r="M115" s="62">
        <v>20874</v>
      </c>
      <c r="O115" s="36">
        <v>246779411326</v>
      </c>
      <c r="P115" s="38">
        <v>0</v>
      </c>
      <c r="Q115" s="38">
        <v>20874</v>
      </c>
    </row>
    <row r="116" spans="1:17" x14ac:dyDescent="0.35">
      <c r="A116" s="30" t="s">
        <v>474</v>
      </c>
      <c r="B116" s="31">
        <v>0</v>
      </c>
      <c r="C116" s="31">
        <v>1724</v>
      </c>
      <c r="D116" s="31">
        <v>-2537593.12</v>
      </c>
      <c r="E116" s="30" t="s">
        <v>364</v>
      </c>
      <c r="F116" s="30" t="s">
        <v>496</v>
      </c>
      <c r="G116" s="30" t="s">
        <v>374</v>
      </c>
      <c r="H116" s="30" t="s">
        <v>496</v>
      </c>
      <c r="I116" s="32">
        <v>246779413739</v>
      </c>
      <c r="K116" s="36">
        <v>246779411339</v>
      </c>
      <c r="L116" s="62">
        <v>0</v>
      </c>
      <c r="M116" s="62">
        <v>17857</v>
      </c>
      <c r="O116" s="36">
        <v>246779411339</v>
      </c>
      <c r="P116" s="38">
        <v>0</v>
      </c>
      <c r="Q116" s="38">
        <v>17857</v>
      </c>
    </row>
    <row r="117" spans="1:17" x14ac:dyDescent="0.35">
      <c r="A117" s="30" t="s">
        <v>474</v>
      </c>
      <c r="B117" s="31">
        <v>0</v>
      </c>
      <c r="C117" s="31">
        <v>1149</v>
      </c>
      <c r="D117" s="31">
        <v>-2538742.12</v>
      </c>
      <c r="E117" s="30" t="s">
        <v>364</v>
      </c>
      <c r="F117" s="30" t="s">
        <v>497</v>
      </c>
      <c r="G117" s="30" t="s">
        <v>374</v>
      </c>
      <c r="H117" s="30" t="s">
        <v>497</v>
      </c>
      <c r="I117" s="32">
        <v>246779413742</v>
      </c>
      <c r="K117" s="36">
        <v>246779411448</v>
      </c>
      <c r="L117" s="62">
        <v>0</v>
      </c>
      <c r="M117" s="62">
        <v>1161</v>
      </c>
      <c r="O117" s="36">
        <v>246779411448</v>
      </c>
      <c r="P117" s="38">
        <v>0</v>
      </c>
      <c r="Q117" s="38">
        <v>1161</v>
      </c>
    </row>
    <row r="118" spans="1:17" x14ac:dyDescent="0.35">
      <c r="A118" s="30" t="s">
        <v>474</v>
      </c>
      <c r="B118" s="31">
        <v>0</v>
      </c>
      <c r="C118" s="31">
        <v>191</v>
      </c>
      <c r="D118" s="31">
        <v>-2538933.12</v>
      </c>
      <c r="E118" s="30" t="s">
        <v>364</v>
      </c>
      <c r="F118" s="30" t="s">
        <v>498</v>
      </c>
      <c r="G118" s="30" t="s">
        <v>374</v>
      </c>
      <c r="H118" s="30" t="s">
        <v>498</v>
      </c>
      <c r="I118" s="32">
        <v>246779413692</v>
      </c>
      <c r="K118" s="36">
        <v>246779411619</v>
      </c>
      <c r="L118" s="62">
        <v>0</v>
      </c>
      <c r="M118" s="62">
        <v>143412</v>
      </c>
      <c r="O118" s="36">
        <v>246779411619</v>
      </c>
      <c r="P118" s="38">
        <v>0</v>
      </c>
      <c r="Q118" s="38">
        <v>143412</v>
      </c>
    </row>
    <row r="119" spans="1:17" x14ac:dyDescent="0.35">
      <c r="A119" s="30" t="s">
        <v>474</v>
      </c>
      <c r="B119" s="31">
        <v>0</v>
      </c>
      <c r="C119" s="31">
        <v>6896</v>
      </c>
      <c r="D119" s="31">
        <v>-2545829.12</v>
      </c>
      <c r="E119" s="30" t="s">
        <v>364</v>
      </c>
      <c r="F119" s="30" t="s">
        <v>499</v>
      </c>
      <c r="G119" s="30" t="s">
        <v>374</v>
      </c>
      <c r="H119" s="30" t="s">
        <v>499</v>
      </c>
      <c r="I119" s="32">
        <v>246779413693</v>
      </c>
      <c r="K119" s="36">
        <v>246779411620</v>
      </c>
      <c r="L119" s="62">
        <v>0</v>
      </c>
      <c r="M119" s="62">
        <v>5816</v>
      </c>
      <c r="O119" s="36">
        <v>246779411620</v>
      </c>
      <c r="P119" s="38">
        <v>0</v>
      </c>
      <c r="Q119" s="38">
        <v>5816</v>
      </c>
    </row>
    <row r="120" spans="1:17" x14ac:dyDescent="0.35">
      <c r="A120" s="30" t="s">
        <v>474</v>
      </c>
      <c r="B120" s="31">
        <v>0</v>
      </c>
      <c r="C120" s="31">
        <v>3448</v>
      </c>
      <c r="D120" s="31">
        <v>-2549277.12</v>
      </c>
      <c r="E120" s="30" t="s">
        <v>364</v>
      </c>
      <c r="F120" s="30" t="s">
        <v>500</v>
      </c>
      <c r="G120" s="30" t="s">
        <v>374</v>
      </c>
      <c r="H120" s="30" t="s">
        <v>500</v>
      </c>
      <c r="I120" s="32">
        <v>246779413694</v>
      </c>
      <c r="K120" s="36">
        <v>246779411755</v>
      </c>
      <c r="L120" s="62">
        <v>0</v>
      </c>
      <c r="M120" s="62">
        <v>5816</v>
      </c>
      <c r="O120" s="36">
        <v>246779411755</v>
      </c>
      <c r="P120" s="38">
        <v>0</v>
      </c>
      <c r="Q120" s="38">
        <v>5816</v>
      </c>
    </row>
    <row r="121" spans="1:17" x14ac:dyDescent="0.35">
      <c r="A121" s="30" t="s">
        <v>474</v>
      </c>
      <c r="B121" s="31">
        <v>0</v>
      </c>
      <c r="C121" s="31">
        <v>191</v>
      </c>
      <c r="D121" s="31">
        <v>-2549468.12</v>
      </c>
      <c r="E121" s="30" t="s">
        <v>364</v>
      </c>
      <c r="F121" s="30" t="s">
        <v>501</v>
      </c>
      <c r="G121" s="30" t="s">
        <v>374</v>
      </c>
      <c r="H121" s="30" t="s">
        <v>501</v>
      </c>
      <c r="I121" s="32">
        <v>246779413695</v>
      </c>
      <c r="K121" s="36">
        <v>246779411756</v>
      </c>
      <c r="L121" s="62">
        <v>0</v>
      </c>
      <c r="M121" s="62">
        <v>4339</v>
      </c>
      <c r="O121" s="36">
        <v>246779411756</v>
      </c>
      <c r="P121" s="38">
        <v>0</v>
      </c>
      <c r="Q121" s="38">
        <v>4339</v>
      </c>
    </row>
    <row r="122" spans="1:17" x14ac:dyDescent="0.35">
      <c r="A122" s="30" t="s">
        <v>474</v>
      </c>
      <c r="B122" s="31">
        <v>0</v>
      </c>
      <c r="C122" s="31">
        <v>382</v>
      </c>
      <c r="D122" s="31">
        <v>-2549850.12</v>
      </c>
      <c r="E122" s="30" t="s">
        <v>364</v>
      </c>
      <c r="F122" s="30" t="s">
        <v>502</v>
      </c>
      <c r="G122" s="30" t="s">
        <v>374</v>
      </c>
      <c r="H122" s="30" t="s">
        <v>502</v>
      </c>
      <c r="I122" s="32">
        <v>246779413696</v>
      </c>
      <c r="K122" s="36">
        <v>246779411757</v>
      </c>
      <c r="L122" s="62">
        <v>0</v>
      </c>
      <c r="M122" s="62">
        <v>3110</v>
      </c>
      <c r="O122" s="36">
        <v>246779411757</v>
      </c>
      <c r="P122" s="38">
        <v>0</v>
      </c>
      <c r="Q122" s="38">
        <v>3110</v>
      </c>
    </row>
    <row r="123" spans="1:17" x14ac:dyDescent="0.35">
      <c r="A123" s="30" t="s">
        <v>474</v>
      </c>
      <c r="B123" s="31">
        <v>0</v>
      </c>
      <c r="C123" s="31">
        <v>381</v>
      </c>
      <c r="D123" s="31">
        <v>-2550231.12</v>
      </c>
      <c r="E123" s="30" t="s">
        <v>364</v>
      </c>
      <c r="F123" s="30" t="s">
        <v>503</v>
      </c>
      <c r="G123" s="30" t="s">
        <v>374</v>
      </c>
      <c r="H123" s="30" t="s">
        <v>503</v>
      </c>
      <c r="I123" s="32">
        <v>246779410846</v>
      </c>
      <c r="K123" s="36">
        <v>246779411758</v>
      </c>
      <c r="L123" s="62">
        <v>0</v>
      </c>
      <c r="M123" s="62">
        <v>1842</v>
      </c>
      <c r="O123" s="36">
        <v>246779411758</v>
      </c>
      <c r="P123" s="38">
        <v>0</v>
      </c>
      <c r="Q123" s="38">
        <v>1842</v>
      </c>
    </row>
    <row r="124" spans="1:17" x14ac:dyDescent="0.35">
      <c r="A124" s="30" t="s">
        <v>474</v>
      </c>
      <c r="B124" s="31">
        <v>0</v>
      </c>
      <c r="C124" s="31">
        <v>1528</v>
      </c>
      <c r="D124" s="31">
        <v>-2551759.12</v>
      </c>
      <c r="E124" s="30" t="s">
        <v>364</v>
      </c>
      <c r="F124" s="30" t="s">
        <v>504</v>
      </c>
      <c r="G124" s="30" t="s">
        <v>374</v>
      </c>
      <c r="H124" s="30" t="s">
        <v>504</v>
      </c>
      <c r="I124" s="32">
        <v>246779410847</v>
      </c>
      <c r="K124" s="36">
        <v>246779411759</v>
      </c>
      <c r="L124" s="62">
        <v>0</v>
      </c>
      <c r="M124" s="62">
        <v>6761</v>
      </c>
      <c r="O124" s="36">
        <v>246779411759</v>
      </c>
      <c r="P124" s="38">
        <v>0</v>
      </c>
      <c r="Q124" s="38">
        <v>6761</v>
      </c>
    </row>
    <row r="125" spans="1:17" x14ac:dyDescent="0.35">
      <c r="A125" s="30" t="s">
        <v>474</v>
      </c>
      <c r="B125" s="31">
        <v>0</v>
      </c>
      <c r="C125" s="31">
        <v>3436</v>
      </c>
      <c r="D125" s="31">
        <v>-2555195.12</v>
      </c>
      <c r="E125" s="30" t="s">
        <v>364</v>
      </c>
      <c r="F125" s="30" t="s">
        <v>505</v>
      </c>
      <c r="G125" s="30" t="s">
        <v>374</v>
      </c>
      <c r="H125" s="30" t="s">
        <v>505</v>
      </c>
      <c r="I125" s="32">
        <v>246779410849</v>
      </c>
      <c r="K125" s="36">
        <v>246779411933</v>
      </c>
      <c r="L125" s="62">
        <v>0</v>
      </c>
      <c r="M125" s="62">
        <v>576</v>
      </c>
      <c r="O125" s="36">
        <v>246779411933</v>
      </c>
      <c r="P125" s="38">
        <v>0</v>
      </c>
      <c r="Q125" s="38">
        <v>576</v>
      </c>
    </row>
    <row r="126" spans="1:17" x14ac:dyDescent="0.35">
      <c r="A126" s="30" t="s">
        <v>474</v>
      </c>
      <c r="B126" s="31">
        <v>0</v>
      </c>
      <c r="C126" s="31">
        <v>763</v>
      </c>
      <c r="D126" s="31">
        <v>-2555958.12</v>
      </c>
      <c r="E126" s="30" t="s">
        <v>364</v>
      </c>
      <c r="F126" s="30" t="s">
        <v>506</v>
      </c>
      <c r="G126" s="30" t="s">
        <v>374</v>
      </c>
      <c r="H126" s="30" t="s">
        <v>506</v>
      </c>
      <c r="I126" s="32">
        <v>246779410850</v>
      </c>
      <c r="K126" s="36">
        <v>246779411934</v>
      </c>
      <c r="L126" s="62">
        <v>0</v>
      </c>
      <c r="M126" s="62">
        <v>336</v>
      </c>
      <c r="O126" s="36">
        <v>246779411934</v>
      </c>
      <c r="P126" s="38">
        <v>0</v>
      </c>
      <c r="Q126" s="38">
        <v>336</v>
      </c>
    </row>
    <row r="127" spans="1:17" x14ac:dyDescent="0.35">
      <c r="A127" s="30" t="s">
        <v>474</v>
      </c>
      <c r="B127" s="31">
        <v>0</v>
      </c>
      <c r="C127" s="31">
        <v>381</v>
      </c>
      <c r="D127" s="31">
        <v>-2556339.12</v>
      </c>
      <c r="E127" s="30" t="s">
        <v>364</v>
      </c>
      <c r="F127" s="30" t="s">
        <v>507</v>
      </c>
      <c r="G127" s="30" t="s">
        <v>374</v>
      </c>
      <c r="H127" s="30" t="s">
        <v>507</v>
      </c>
      <c r="I127" s="32">
        <v>246779410851</v>
      </c>
      <c r="K127" s="36">
        <v>246779411935</v>
      </c>
      <c r="L127" s="62">
        <v>0</v>
      </c>
      <c r="M127" s="62">
        <v>576</v>
      </c>
      <c r="O127" s="36">
        <v>246779411935</v>
      </c>
      <c r="P127" s="38">
        <v>0</v>
      </c>
      <c r="Q127" s="38">
        <v>576</v>
      </c>
    </row>
    <row r="128" spans="1:17" x14ac:dyDescent="0.35">
      <c r="A128" s="30" t="s">
        <v>474</v>
      </c>
      <c r="B128" s="31">
        <v>0</v>
      </c>
      <c r="C128" s="31">
        <v>381</v>
      </c>
      <c r="D128" s="31">
        <v>-2556720.12</v>
      </c>
      <c r="E128" s="30" t="s">
        <v>364</v>
      </c>
      <c r="F128" s="30" t="s">
        <v>508</v>
      </c>
      <c r="G128" s="30" t="s">
        <v>374</v>
      </c>
      <c r="H128" s="30" t="s">
        <v>508</v>
      </c>
      <c r="I128" s="32">
        <v>246779410852</v>
      </c>
      <c r="K128" s="36">
        <v>246779411936</v>
      </c>
      <c r="L128" s="62">
        <v>0</v>
      </c>
      <c r="M128" s="62">
        <v>480</v>
      </c>
      <c r="O128" s="36">
        <v>246779411936</v>
      </c>
      <c r="P128" s="38">
        <v>0</v>
      </c>
      <c r="Q128" s="38">
        <v>480</v>
      </c>
    </row>
    <row r="129" spans="1:17" x14ac:dyDescent="0.35">
      <c r="A129" s="30" t="s">
        <v>474</v>
      </c>
      <c r="B129" s="31">
        <v>0</v>
      </c>
      <c r="C129" s="31">
        <v>190</v>
      </c>
      <c r="D129" s="31">
        <v>-2556910.12</v>
      </c>
      <c r="E129" s="30" t="s">
        <v>364</v>
      </c>
      <c r="F129" s="30" t="s">
        <v>509</v>
      </c>
      <c r="G129" s="30" t="s">
        <v>374</v>
      </c>
      <c r="H129" s="30" t="s">
        <v>509</v>
      </c>
      <c r="I129" s="32">
        <v>246779410853</v>
      </c>
      <c r="K129" s="36">
        <v>246779413000</v>
      </c>
      <c r="L129" s="62">
        <v>0</v>
      </c>
      <c r="M129" s="62">
        <v>35488</v>
      </c>
      <c r="O129" s="36">
        <v>246779413000</v>
      </c>
      <c r="P129" s="38">
        <v>0</v>
      </c>
      <c r="Q129" s="38">
        <v>35488</v>
      </c>
    </row>
    <row r="130" spans="1:17" x14ac:dyDescent="0.35">
      <c r="A130" s="30" t="s">
        <v>474</v>
      </c>
      <c r="B130" s="31">
        <v>0</v>
      </c>
      <c r="C130" s="31">
        <v>1145</v>
      </c>
      <c r="D130" s="31">
        <v>-2558055.12</v>
      </c>
      <c r="E130" s="30" t="s">
        <v>364</v>
      </c>
      <c r="F130" s="30" t="s">
        <v>510</v>
      </c>
      <c r="G130" s="30" t="s">
        <v>374</v>
      </c>
      <c r="H130" s="30" t="s">
        <v>510</v>
      </c>
      <c r="I130" s="32">
        <v>246779410854</v>
      </c>
      <c r="K130" s="36">
        <v>246779413622</v>
      </c>
      <c r="L130" s="62">
        <v>0</v>
      </c>
      <c r="M130" s="62">
        <v>1590</v>
      </c>
      <c r="O130" s="36">
        <v>246779413622</v>
      </c>
      <c r="P130" s="38">
        <v>0</v>
      </c>
      <c r="Q130" s="38">
        <v>1590</v>
      </c>
    </row>
    <row r="131" spans="1:17" x14ac:dyDescent="0.35">
      <c r="A131" s="30" t="s">
        <v>474</v>
      </c>
      <c r="B131" s="31">
        <v>0</v>
      </c>
      <c r="C131" s="31">
        <v>1527</v>
      </c>
      <c r="D131" s="31">
        <v>-2559582.12</v>
      </c>
      <c r="E131" s="30" t="s">
        <v>364</v>
      </c>
      <c r="F131" s="30" t="s">
        <v>511</v>
      </c>
      <c r="G131" s="30" t="s">
        <v>374</v>
      </c>
      <c r="H131" s="30" t="s">
        <v>511</v>
      </c>
      <c r="I131" s="32">
        <v>246779410855</v>
      </c>
      <c r="K131" s="36">
        <v>246779413623</v>
      </c>
      <c r="L131" s="62">
        <v>0</v>
      </c>
      <c r="M131" s="62">
        <v>198</v>
      </c>
      <c r="O131" s="36">
        <v>246779413623</v>
      </c>
      <c r="P131" s="38">
        <v>0</v>
      </c>
      <c r="Q131" s="38">
        <v>198</v>
      </c>
    </row>
    <row r="132" spans="1:17" x14ac:dyDescent="0.35">
      <c r="A132" s="30" t="s">
        <v>474</v>
      </c>
      <c r="B132" s="31">
        <v>0</v>
      </c>
      <c r="C132" s="31">
        <v>1268</v>
      </c>
      <c r="D132" s="31">
        <v>-2560850.12</v>
      </c>
      <c r="E132" s="30" t="s">
        <v>364</v>
      </c>
      <c r="F132" s="30" t="s">
        <v>512</v>
      </c>
      <c r="G132" s="30" t="s">
        <v>374</v>
      </c>
      <c r="H132" s="30" t="s">
        <v>512</v>
      </c>
      <c r="I132" s="32">
        <v>246779414681</v>
      </c>
      <c r="K132" s="36">
        <v>246779413624</v>
      </c>
      <c r="L132" s="62">
        <v>0</v>
      </c>
      <c r="M132" s="62">
        <v>596</v>
      </c>
      <c r="O132" s="36">
        <v>246779413624</v>
      </c>
      <c r="P132" s="38">
        <v>0</v>
      </c>
      <c r="Q132" s="38">
        <v>596</v>
      </c>
    </row>
    <row r="133" spans="1:17" x14ac:dyDescent="0.35">
      <c r="A133" s="30" t="s">
        <v>474</v>
      </c>
      <c r="B133" s="31">
        <v>0</v>
      </c>
      <c r="C133" s="31">
        <v>211</v>
      </c>
      <c r="D133" s="31">
        <v>-2561061.12</v>
      </c>
      <c r="E133" s="30" t="s">
        <v>364</v>
      </c>
      <c r="F133" s="30" t="s">
        <v>513</v>
      </c>
      <c r="G133" s="30" t="s">
        <v>433</v>
      </c>
      <c r="H133" s="30" t="s">
        <v>513</v>
      </c>
      <c r="I133" s="32">
        <v>246779414734</v>
      </c>
      <c r="K133" s="36">
        <v>246779413625</v>
      </c>
      <c r="L133" s="62">
        <v>0</v>
      </c>
      <c r="M133" s="62">
        <v>198</v>
      </c>
      <c r="O133" s="36">
        <v>246779413625</v>
      </c>
      <c r="P133" s="38">
        <v>0</v>
      </c>
      <c r="Q133" s="38">
        <v>198</v>
      </c>
    </row>
    <row r="134" spans="1:17" x14ac:dyDescent="0.35">
      <c r="A134" s="30" t="s">
        <v>474</v>
      </c>
      <c r="B134" s="31">
        <v>0</v>
      </c>
      <c r="C134" s="31">
        <v>211</v>
      </c>
      <c r="D134" s="31">
        <v>-2561272.12</v>
      </c>
      <c r="E134" s="30" t="s">
        <v>364</v>
      </c>
      <c r="F134" s="30" t="s">
        <v>514</v>
      </c>
      <c r="G134" s="30" t="s">
        <v>374</v>
      </c>
      <c r="H134" s="30" t="s">
        <v>514</v>
      </c>
      <c r="I134" s="32">
        <v>246779414885</v>
      </c>
      <c r="K134" s="36">
        <v>246779413626</v>
      </c>
      <c r="L134" s="62">
        <v>0</v>
      </c>
      <c r="M134" s="62">
        <v>7156</v>
      </c>
      <c r="O134" s="36">
        <v>246779413626</v>
      </c>
      <c r="P134" s="38">
        <v>0</v>
      </c>
      <c r="Q134" s="38">
        <v>7156</v>
      </c>
    </row>
    <row r="135" spans="1:17" x14ac:dyDescent="0.35">
      <c r="A135" s="30" t="s">
        <v>474</v>
      </c>
      <c r="B135" s="31">
        <v>0</v>
      </c>
      <c r="C135" s="31">
        <v>17701</v>
      </c>
      <c r="D135" s="31">
        <v>-2578973.12</v>
      </c>
      <c r="E135" s="30" t="s">
        <v>364</v>
      </c>
      <c r="F135" s="30" t="s">
        <v>515</v>
      </c>
      <c r="G135" s="30" t="s">
        <v>374</v>
      </c>
      <c r="H135" s="30" t="s">
        <v>515</v>
      </c>
      <c r="I135" s="32">
        <v>246779414221</v>
      </c>
      <c r="K135" s="36">
        <v>246779413627</v>
      </c>
      <c r="L135" s="62">
        <v>0</v>
      </c>
      <c r="M135" s="62">
        <v>3578</v>
      </c>
      <c r="O135" s="36">
        <v>246779413627</v>
      </c>
      <c r="P135" s="38">
        <v>0</v>
      </c>
      <c r="Q135" s="38">
        <v>3578</v>
      </c>
    </row>
    <row r="136" spans="1:17" x14ac:dyDescent="0.35">
      <c r="A136" s="30" t="s">
        <v>474</v>
      </c>
      <c r="B136" s="31">
        <v>0</v>
      </c>
      <c r="C136" s="31">
        <v>596</v>
      </c>
      <c r="D136" s="31">
        <v>-2579569.12</v>
      </c>
      <c r="E136" s="30" t="s">
        <v>364</v>
      </c>
      <c r="F136" s="30" t="s">
        <v>516</v>
      </c>
      <c r="G136" s="30" t="s">
        <v>374</v>
      </c>
      <c r="H136" s="30" t="s">
        <v>516</v>
      </c>
      <c r="I136" s="32">
        <v>246779413691</v>
      </c>
      <c r="K136" s="36">
        <v>246779413628</v>
      </c>
      <c r="L136" s="62">
        <v>0</v>
      </c>
      <c r="M136" s="62">
        <v>198</v>
      </c>
      <c r="O136" s="36">
        <v>246779413628</v>
      </c>
      <c r="P136" s="38">
        <v>0</v>
      </c>
      <c r="Q136" s="38">
        <v>198</v>
      </c>
    </row>
    <row r="137" spans="1:17" x14ac:dyDescent="0.35">
      <c r="A137" s="30" t="s">
        <v>474</v>
      </c>
      <c r="B137" s="31">
        <v>0</v>
      </c>
      <c r="C137" s="31">
        <v>994</v>
      </c>
      <c r="D137" s="31">
        <v>-2580563.12</v>
      </c>
      <c r="E137" s="30" t="s">
        <v>364</v>
      </c>
      <c r="F137" s="30" t="s">
        <v>517</v>
      </c>
      <c r="G137" s="30" t="s">
        <v>374</v>
      </c>
      <c r="H137" s="30" t="s">
        <v>517</v>
      </c>
      <c r="I137" s="32">
        <v>246779413772</v>
      </c>
      <c r="K137" s="36">
        <v>246779413629</v>
      </c>
      <c r="L137" s="62">
        <v>0</v>
      </c>
      <c r="M137" s="62">
        <v>397</v>
      </c>
      <c r="O137" s="36">
        <v>246779413629</v>
      </c>
      <c r="P137" s="38">
        <v>0</v>
      </c>
      <c r="Q137" s="38">
        <v>397</v>
      </c>
    </row>
    <row r="138" spans="1:17" x14ac:dyDescent="0.35">
      <c r="A138" s="30" t="s">
        <v>701</v>
      </c>
      <c r="B138" s="31">
        <v>4786</v>
      </c>
      <c r="C138" s="31">
        <v>4786</v>
      </c>
      <c r="D138" s="31">
        <v>-757662.59999999963</v>
      </c>
      <c r="E138" s="30" t="s">
        <v>666</v>
      </c>
      <c r="F138" s="30" t="s">
        <v>702</v>
      </c>
      <c r="G138" s="30"/>
      <c r="H138" s="30" t="s">
        <v>703</v>
      </c>
      <c r="I138" s="32" t="s">
        <v>666</v>
      </c>
      <c r="K138" s="36">
        <v>246779413689</v>
      </c>
      <c r="L138" s="62">
        <v>0</v>
      </c>
      <c r="M138" s="62">
        <v>1591</v>
      </c>
      <c r="O138" s="36">
        <v>246779413689</v>
      </c>
      <c r="P138" s="38">
        <v>0</v>
      </c>
      <c r="Q138" s="38">
        <v>1591</v>
      </c>
    </row>
    <row r="139" spans="1:17" x14ac:dyDescent="0.35">
      <c r="A139" s="30" t="s">
        <v>680</v>
      </c>
      <c r="B139" s="31">
        <v>0</v>
      </c>
      <c r="C139" s="31">
        <v>44602</v>
      </c>
      <c r="D139" s="31">
        <v>-288272.59999999963</v>
      </c>
      <c r="E139" s="30" t="s">
        <v>364</v>
      </c>
      <c r="F139" s="30" t="s">
        <v>683</v>
      </c>
      <c r="G139" s="30" t="s">
        <v>488</v>
      </c>
      <c r="H139" s="30" t="s">
        <v>683</v>
      </c>
      <c r="I139" s="32">
        <v>246779411278</v>
      </c>
      <c r="K139" s="36">
        <v>246779413690</v>
      </c>
      <c r="L139" s="62">
        <v>0</v>
      </c>
      <c r="M139" s="62">
        <v>198</v>
      </c>
      <c r="O139" s="36">
        <v>246779413690</v>
      </c>
      <c r="P139" s="38">
        <v>0</v>
      </c>
      <c r="Q139" s="38">
        <v>198</v>
      </c>
    </row>
    <row r="140" spans="1:17" x14ac:dyDescent="0.35">
      <c r="A140" s="30" t="s">
        <v>474</v>
      </c>
      <c r="B140" s="31">
        <v>0</v>
      </c>
      <c r="C140" s="31">
        <v>143412</v>
      </c>
      <c r="D140" s="31">
        <v>-2750354.12</v>
      </c>
      <c r="E140" s="30" t="s">
        <v>364</v>
      </c>
      <c r="F140" s="30" t="s">
        <v>520</v>
      </c>
      <c r="G140" s="30" t="s">
        <v>450</v>
      </c>
      <c r="H140" s="30" t="s">
        <v>520</v>
      </c>
      <c r="I140" s="32">
        <v>246779411619</v>
      </c>
      <c r="K140" s="36">
        <v>246779413691</v>
      </c>
      <c r="L140" s="62">
        <v>0</v>
      </c>
      <c r="M140" s="62">
        <v>596</v>
      </c>
      <c r="O140" s="36">
        <v>246779413691</v>
      </c>
      <c r="P140" s="38">
        <v>0</v>
      </c>
      <c r="Q140" s="38">
        <v>596</v>
      </c>
    </row>
    <row r="141" spans="1:17" x14ac:dyDescent="0.35">
      <c r="A141" s="30" t="s">
        <v>474</v>
      </c>
      <c r="B141" s="31">
        <v>0</v>
      </c>
      <c r="C141" s="31">
        <v>5816</v>
      </c>
      <c r="D141" s="31">
        <v>-2756170.12</v>
      </c>
      <c r="E141" s="30" t="s">
        <v>364</v>
      </c>
      <c r="F141" s="30" t="s">
        <v>521</v>
      </c>
      <c r="G141" s="30" t="s">
        <v>450</v>
      </c>
      <c r="H141" s="30" t="s">
        <v>521</v>
      </c>
      <c r="I141" s="32">
        <v>246779411620</v>
      </c>
      <c r="K141" s="36">
        <v>246779413692</v>
      </c>
      <c r="L141" s="62">
        <v>0</v>
      </c>
      <c r="M141" s="62">
        <v>191</v>
      </c>
      <c r="O141" s="36">
        <v>246779413692</v>
      </c>
      <c r="P141" s="38">
        <v>0</v>
      </c>
      <c r="Q141" s="38">
        <v>191</v>
      </c>
    </row>
    <row r="142" spans="1:17" x14ac:dyDescent="0.35">
      <c r="A142" s="30" t="s">
        <v>474</v>
      </c>
      <c r="B142" s="31">
        <v>0</v>
      </c>
      <c r="C142" s="31">
        <v>5816</v>
      </c>
      <c r="D142" s="31">
        <v>-2761986.12</v>
      </c>
      <c r="E142" s="30" t="s">
        <v>364</v>
      </c>
      <c r="F142" s="30" t="s">
        <v>522</v>
      </c>
      <c r="G142" s="30" t="s">
        <v>450</v>
      </c>
      <c r="H142" s="30" t="s">
        <v>522</v>
      </c>
      <c r="I142" s="32">
        <v>246779411755</v>
      </c>
      <c r="K142" s="36">
        <v>246779413693</v>
      </c>
      <c r="L142" s="62">
        <v>0</v>
      </c>
      <c r="M142" s="62">
        <v>6896</v>
      </c>
      <c r="O142" s="36">
        <v>246779413693</v>
      </c>
      <c r="P142" s="38">
        <v>0</v>
      </c>
      <c r="Q142" s="38">
        <v>6896</v>
      </c>
    </row>
    <row r="143" spans="1:17" x14ac:dyDescent="0.35">
      <c r="A143" s="30" t="s">
        <v>474</v>
      </c>
      <c r="B143" s="31">
        <v>0</v>
      </c>
      <c r="C143" s="31">
        <v>4339</v>
      </c>
      <c r="D143" s="31">
        <v>-2766325.12</v>
      </c>
      <c r="E143" s="30" t="s">
        <v>364</v>
      </c>
      <c r="F143" s="30" t="s">
        <v>523</v>
      </c>
      <c r="G143" s="30" t="s">
        <v>450</v>
      </c>
      <c r="H143" s="30" t="s">
        <v>523</v>
      </c>
      <c r="I143" s="32">
        <v>246779411756</v>
      </c>
      <c r="K143" s="36">
        <v>246779413694</v>
      </c>
      <c r="L143" s="62">
        <v>0</v>
      </c>
      <c r="M143" s="62">
        <v>3448</v>
      </c>
      <c r="O143" s="36">
        <v>246779413694</v>
      </c>
      <c r="P143" s="38">
        <v>0</v>
      </c>
      <c r="Q143" s="38">
        <v>3448</v>
      </c>
    </row>
    <row r="144" spans="1:17" x14ac:dyDescent="0.35">
      <c r="A144" s="30" t="s">
        <v>474</v>
      </c>
      <c r="B144" s="31">
        <v>0</v>
      </c>
      <c r="C144" s="31">
        <v>6761</v>
      </c>
      <c r="D144" s="31">
        <v>-2773086.12</v>
      </c>
      <c r="E144" s="30" t="s">
        <v>364</v>
      </c>
      <c r="F144" s="30" t="s">
        <v>524</v>
      </c>
      <c r="G144" s="30" t="s">
        <v>450</v>
      </c>
      <c r="H144" s="30" t="s">
        <v>524</v>
      </c>
      <c r="I144" s="32">
        <v>246779411759</v>
      </c>
      <c r="K144" s="36">
        <v>246779413695</v>
      </c>
      <c r="L144" s="62">
        <v>0</v>
      </c>
      <c r="M144" s="62">
        <v>191</v>
      </c>
      <c r="O144" s="36">
        <v>246779413695</v>
      </c>
      <c r="P144" s="38">
        <v>0</v>
      </c>
      <c r="Q144" s="38">
        <v>191</v>
      </c>
    </row>
    <row r="145" spans="1:17" x14ac:dyDescent="0.35">
      <c r="A145" s="30" t="s">
        <v>474</v>
      </c>
      <c r="B145" s="31">
        <v>0</v>
      </c>
      <c r="C145" s="31">
        <v>3110</v>
      </c>
      <c r="D145" s="31">
        <v>-2776196.12</v>
      </c>
      <c r="E145" s="30" t="s">
        <v>364</v>
      </c>
      <c r="F145" s="30" t="s">
        <v>525</v>
      </c>
      <c r="G145" s="30" t="s">
        <v>450</v>
      </c>
      <c r="H145" s="30" t="s">
        <v>525</v>
      </c>
      <c r="I145" s="32">
        <v>246779411757</v>
      </c>
      <c r="K145" s="36">
        <v>246779413696</v>
      </c>
      <c r="L145" s="62">
        <v>0</v>
      </c>
      <c r="M145" s="62">
        <v>382</v>
      </c>
      <c r="O145" s="36">
        <v>246779413696</v>
      </c>
      <c r="P145" s="38">
        <v>0</v>
      </c>
      <c r="Q145" s="38">
        <v>382</v>
      </c>
    </row>
    <row r="146" spans="1:17" x14ac:dyDescent="0.35">
      <c r="A146" s="30" t="s">
        <v>701</v>
      </c>
      <c r="B146" s="31">
        <v>36410</v>
      </c>
      <c r="C146" s="31">
        <v>36410</v>
      </c>
      <c r="D146" s="31">
        <v>-757662.59999999963</v>
      </c>
      <c r="E146" s="30" t="s">
        <v>666</v>
      </c>
      <c r="F146" s="30" t="s">
        <v>706</v>
      </c>
      <c r="G146" s="30"/>
      <c r="H146" s="30" t="s">
        <v>707</v>
      </c>
      <c r="I146" s="32" t="s">
        <v>666</v>
      </c>
      <c r="K146" s="36">
        <v>246779413701</v>
      </c>
      <c r="L146" s="62">
        <v>0</v>
      </c>
      <c r="M146" s="62">
        <v>18367</v>
      </c>
      <c r="O146" s="36">
        <v>246779413701</v>
      </c>
      <c r="P146" s="38">
        <v>0</v>
      </c>
      <c r="Q146" s="38">
        <v>18367</v>
      </c>
    </row>
    <row r="147" spans="1:17" x14ac:dyDescent="0.35">
      <c r="A147" s="30" t="s">
        <v>527</v>
      </c>
      <c r="B147" s="31">
        <v>0</v>
      </c>
      <c r="C147" s="31">
        <v>1161</v>
      </c>
      <c r="D147" s="31">
        <v>-2810733.12</v>
      </c>
      <c r="E147" s="30" t="s">
        <v>364</v>
      </c>
      <c r="F147" s="30" t="s">
        <v>528</v>
      </c>
      <c r="G147" s="30" t="s">
        <v>450</v>
      </c>
      <c r="H147" s="30" t="s">
        <v>528</v>
      </c>
      <c r="I147" s="32">
        <v>246779411448</v>
      </c>
      <c r="J147" s="28"/>
      <c r="K147" s="36">
        <v>246779413702</v>
      </c>
      <c r="L147" s="62">
        <v>0</v>
      </c>
      <c r="M147" s="62">
        <v>31577</v>
      </c>
      <c r="O147" s="36">
        <v>246779413702</v>
      </c>
      <c r="P147" s="38">
        <v>0</v>
      </c>
      <c r="Q147" s="38">
        <v>31577</v>
      </c>
    </row>
    <row r="148" spans="1:17" x14ac:dyDescent="0.35">
      <c r="A148" s="30" t="s">
        <v>527</v>
      </c>
      <c r="B148" s="31">
        <v>0</v>
      </c>
      <c r="C148" s="31">
        <v>1591</v>
      </c>
      <c r="D148" s="31">
        <v>-2812324.12</v>
      </c>
      <c r="E148" s="30" t="s">
        <v>364</v>
      </c>
      <c r="F148" s="30" t="s">
        <v>529</v>
      </c>
      <c r="G148" s="30" t="s">
        <v>374</v>
      </c>
      <c r="H148" s="30" t="s">
        <v>529</v>
      </c>
      <c r="I148" s="32">
        <v>246779413689</v>
      </c>
      <c r="J148" s="28"/>
      <c r="K148" s="36">
        <v>246779413704</v>
      </c>
      <c r="L148" s="62">
        <v>0</v>
      </c>
      <c r="M148" s="62">
        <v>13011</v>
      </c>
      <c r="O148" s="36">
        <v>246779413704</v>
      </c>
      <c r="P148" s="38">
        <v>0</v>
      </c>
      <c r="Q148" s="38">
        <v>13011</v>
      </c>
    </row>
    <row r="149" spans="1:17" x14ac:dyDescent="0.35">
      <c r="A149" s="30" t="s">
        <v>527</v>
      </c>
      <c r="B149" s="31">
        <v>0</v>
      </c>
      <c r="C149" s="31">
        <v>574</v>
      </c>
      <c r="D149" s="31">
        <v>-2812898.12</v>
      </c>
      <c r="E149" s="30" t="s">
        <v>364</v>
      </c>
      <c r="F149" s="30" t="s">
        <v>530</v>
      </c>
      <c r="G149" s="30" t="s">
        <v>374</v>
      </c>
      <c r="H149" s="30" t="s">
        <v>530</v>
      </c>
      <c r="I149" s="32">
        <v>246779413740</v>
      </c>
      <c r="J149" s="28"/>
      <c r="K149" s="36">
        <v>246779413705</v>
      </c>
      <c r="L149" s="62">
        <v>0</v>
      </c>
      <c r="M149" s="62">
        <v>19429</v>
      </c>
      <c r="O149" s="36">
        <v>246779413705</v>
      </c>
      <c r="P149" s="38">
        <v>0</v>
      </c>
      <c r="Q149" s="38">
        <v>19429</v>
      </c>
    </row>
    <row r="150" spans="1:17" x14ac:dyDescent="0.35">
      <c r="A150" s="30" t="s">
        <v>527</v>
      </c>
      <c r="B150" s="31">
        <v>0</v>
      </c>
      <c r="C150" s="31">
        <v>574</v>
      </c>
      <c r="D150" s="31">
        <v>-2813472.12</v>
      </c>
      <c r="E150" s="30" t="s">
        <v>364</v>
      </c>
      <c r="F150" s="30" t="s">
        <v>531</v>
      </c>
      <c r="G150" s="30" t="s">
        <v>374</v>
      </c>
      <c r="H150" s="30" t="s">
        <v>531</v>
      </c>
      <c r="I150" s="32">
        <v>246779413737</v>
      </c>
      <c r="J150" s="28"/>
      <c r="K150" s="36">
        <v>246779413733</v>
      </c>
      <c r="L150" s="62">
        <v>0</v>
      </c>
      <c r="M150" s="62">
        <v>191</v>
      </c>
      <c r="O150" s="36">
        <v>246779413733</v>
      </c>
      <c r="P150" s="38">
        <v>0</v>
      </c>
      <c r="Q150" s="38">
        <v>191</v>
      </c>
    </row>
    <row r="151" spans="1:17" x14ac:dyDescent="0.35">
      <c r="A151" s="30" t="s">
        <v>527</v>
      </c>
      <c r="B151" s="31">
        <v>0</v>
      </c>
      <c r="C151" s="31">
        <v>6896</v>
      </c>
      <c r="D151" s="31">
        <v>-2820368.12</v>
      </c>
      <c r="E151" s="30" t="s">
        <v>364</v>
      </c>
      <c r="F151" s="30" t="s">
        <v>532</v>
      </c>
      <c r="G151" s="30" t="s">
        <v>374</v>
      </c>
      <c r="H151" s="30" t="s">
        <v>532</v>
      </c>
      <c r="I151" s="32">
        <v>246779413735</v>
      </c>
      <c r="J151" s="28"/>
      <c r="K151" s="36">
        <v>246779413734</v>
      </c>
      <c r="L151" s="62">
        <v>0</v>
      </c>
      <c r="M151" s="62">
        <v>3448</v>
      </c>
      <c r="O151" s="36">
        <v>246779413734</v>
      </c>
      <c r="P151" s="38">
        <v>0</v>
      </c>
      <c r="Q151" s="38">
        <v>3448</v>
      </c>
    </row>
    <row r="152" spans="1:17" x14ac:dyDescent="0.35">
      <c r="A152" s="30" t="s">
        <v>527</v>
      </c>
      <c r="B152" s="31">
        <v>0</v>
      </c>
      <c r="C152" s="31">
        <v>191</v>
      </c>
      <c r="D152" s="31">
        <v>-2820559.12</v>
      </c>
      <c r="E152" s="30" t="s">
        <v>364</v>
      </c>
      <c r="F152" s="30" t="s">
        <v>533</v>
      </c>
      <c r="G152" s="30" t="s">
        <v>374</v>
      </c>
      <c r="H152" s="30" t="s">
        <v>533</v>
      </c>
      <c r="I152" s="32">
        <v>246779413744</v>
      </c>
      <c r="J152" s="28"/>
      <c r="K152" s="36">
        <v>246779413735</v>
      </c>
      <c r="L152" s="62">
        <v>0</v>
      </c>
      <c r="M152" s="62">
        <v>6896</v>
      </c>
      <c r="O152" s="36">
        <v>246779413735</v>
      </c>
      <c r="P152" s="38">
        <v>0</v>
      </c>
      <c r="Q152" s="38">
        <v>6896</v>
      </c>
    </row>
    <row r="153" spans="1:17" x14ac:dyDescent="0.35">
      <c r="A153" s="30" t="s">
        <v>527</v>
      </c>
      <c r="B153" s="31">
        <v>0</v>
      </c>
      <c r="C153" s="31">
        <v>191</v>
      </c>
      <c r="D153" s="31">
        <v>-2820750.12</v>
      </c>
      <c r="E153" s="30" t="s">
        <v>364</v>
      </c>
      <c r="F153" s="30" t="s">
        <v>534</v>
      </c>
      <c r="G153" s="30" t="s">
        <v>374</v>
      </c>
      <c r="H153" s="30" t="s">
        <v>534</v>
      </c>
      <c r="I153" s="32">
        <v>246779413733</v>
      </c>
      <c r="J153" s="28"/>
      <c r="K153" s="36">
        <v>246779413736</v>
      </c>
      <c r="L153" s="62">
        <v>0</v>
      </c>
      <c r="M153" s="62">
        <v>6513</v>
      </c>
      <c r="O153" s="36">
        <v>246779413736</v>
      </c>
      <c r="P153" s="38">
        <v>0</v>
      </c>
      <c r="Q153" s="38">
        <v>6513</v>
      </c>
    </row>
    <row r="154" spans="1:17" x14ac:dyDescent="0.35">
      <c r="A154" s="30" t="s">
        <v>527</v>
      </c>
      <c r="B154" s="31">
        <v>0</v>
      </c>
      <c r="C154" s="31">
        <v>383</v>
      </c>
      <c r="D154" s="31">
        <v>-2821133.12</v>
      </c>
      <c r="E154" s="30" t="s">
        <v>364</v>
      </c>
      <c r="F154" s="30" t="s">
        <v>535</v>
      </c>
      <c r="G154" s="30" t="s">
        <v>374</v>
      </c>
      <c r="H154" s="30" t="s">
        <v>535</v>
      </c>
      <c r="I154" s="32">
        <v>246779413743</v>
      </c>
      <c r="J154" s="28"/>
      <c r="K154" s="36">
        <v>246779413737</v>
      </c>
      <c r="L154" s="62">
        <v>0</v>
      </c>
      <c r="M154" s="62">
        <v>574</v>
      </c>
      <c r="O154" s="36">
        <v>246779413737</v>
      </c>
      <c r="P154" s="38">
        <v>0</v>
      </c>
      <c r="Q154" s="38">
        <v>574</v>
      </c>
    </row>
    <row r="155" spans="1:17" x14ac:dyDescent="0.35">
      <c r="A155" s="30" t="s">
        <v>527</v>
      </c>
      <c r="B155" s="31">
        <v>0</v>
      </c>
      <c r="C155" s="31">
        <v>383</v>
      </c>
      <c r="D155" s="31">
        <v>-2821516.12</v>
      </c>
      <c r="E155" s="30" t="s">
        <v>364</v>
      </c>
      <c r="F155" s="30" t="s">
        <v>536</v>
      </c>
      <c r="G155" s="30" t="s">
        <v>374</v>
      </c>
      <c r="H155" s="30" t="s">
        <v>536</v>
      </c>
      <c r="I155" s="32">
        <v>246779414680</v>
      </c>
      <c r="J155" s="28"/>
      <c r="K155" s="36">
        <v>246779413738</v>
      </c>
      <c r="L155" s="62">
        <v>0</v>
      </c>
      <c r="M155" s="62">
        <v>3603</v>
      </c>
      <c r="O155" s="36">
        <v>246779413738</v>
      </c>
      <c r="P155" s="38">
        <v>0</v>
      </c>
      <c r="Q155" s="38">
        <v>3603</v>
      </c>
    </row>
    <row r="156" spans="1:17" x14ac:dyDescent="0.35">
      <c r="A156" s="30" t="s">
        <v>527</v>
      </c>
      <c r="B156" s="31">
        <v>0</v>
      </c>
      <c r="C156" s="31">
        <v>6895</v>
      </c>
      <c r="D156" s="31">
        <v>-2828411.12</v>
      </c>
      <c r="E156" s="30" t="s">
        <v>364</v>
      </c>
      <c r="F156" s="30" t="s">
        <v>537</v>
      </c>
      <c r="G156" s="30" t="s">
        <v>374</v>
      </c>
      <c r="H156" s="30" t="s">
        <v>537</v>
      </c>
      <c r="I156" s="32">
        <v>246779413741</v>
      </c>
      <c r="J156" s="28"/>
      <c r="K156" s="36">
        <v>246779413739</v>
      </c>
      <c r="L156" s="62">
        <v>0</v>
      </c>
      <c r="M156" s="62">
        <v>1724</v>
      </c>
      <c r="O156" s="36">
        <v>246779413739</v>
      </c>
      <c r="P156" s="38">
        <v>0</v>
      </c>
      <c r="Q156" s="38">
        <v>1724</v>
      </c>
    </row>
    <row r="157" spans="1:17" x14ac:dyDescent="0.35">
      <c r="A157" s="30" t="s">
        <v>527</v>
      </c>
      <c r="B157" s="31">
        <v>0</v>
      </c>
      <c r="C157" s="31">
        <v>846</v>
      </c>
      <c r="D157" s="31">
        <v>-2829257.12</v>
      </c>
      <c r="E157" s="30" t="s">
        <v>364</v>
      </c>
      <c r="F157" s="30" t="s">
        <v>538</v>
      </c>
      <c r="G157" s="30" t="s">
        <v>433</v>
      </c>
      <c r="H157" s="30" t="s">
        <v>538</v>
      </c>
      <c r="I157" s="32">
        <v>246779413933</v>
      </c>
      <c r="J157" s="28"/>
      <c r="K157" s="36">
        <v>246779413740</v>
      </c>
      <c r="L157" s="62">
        <v>0</v>
      </c>
      <c r="M157" s="62">
        <v>574</v>
      </c>
      <c r="O157" s="36">
        <v>246779413740</v>
      </c>
      <c r="P157" s="38">
        <v>0</v>
      </c>
      <c r="Q157" s="38">
        <v>574</v>
      </c>
    </row>
    <row r="158" spans="1:17" x14ac:dyDescent="0.35">
      <c r="A158" s="30" t="s">
        <v>527</v>
      </c>
      <c r="B158" s="31">
        <v>0</v>
      </c>
      <c r="C158" s="31">
        <v>3203</v>
      </c>
      <c r="D158" s="31">
        <v>-2832460.12</v>
      </c>
      <c r="E158" s="30" t="s">
        <v>364</v>
      </c>
      <c r="F158" s="30" t="s">
        <v>539</v>
      </c>
      <c r="G158" s="30" t="s">
        <v>374</v>
      </c>
      <c r="H158" s="30" t="s">
        <v>539</v>
      </c>
      <c r="I158" s="32">
        <v>246779410609</v>
      </c>
      <c r="J158" s="28"/>
      <c r="K158" s="36">
        <v>246779413741</v>
      </c>
      <c r="L158" s="62">
        <v>0</v>
      </c>
      <c r="M158" s="62">
        <v>6895</v>
      </c>
      <c r="O158" s="36">
        <v>246779413741</v>
      </c>
      <c r="P158" s="38">
        <v>0</v>
      </c>
      <c r="Q158" s="38">
        <v>6895</v>
      </c>
    </row>
    <row r="159" spans="1:17" x14ac:dyDescent="0.35">
      <c r="A159" s="30" t="s">
        <v>527</v>
      </c>
      <c r="B159" s="31">
        <v>0</v>
      </c>
      <c r="C159" s="31">
        <v>3603</v>
      </c>
      <c r="D159" s="31">
        <v>-2836063.12</v>
      </c>
      <c r="E159" s="30" t="s">
        <v>364</v>
      </c>
      <c r="F159" s="30" t="s">
        <v>540</v>
      </c>
      <c r="G159" s="30" t="s">
        <v>374</v>
      </c>
      <c r="H159" s="30" t="s">
        <v>540</v>
      </c>
      <c r="I159" s="32">
        <v>246779413738</v>
      </c>
      <c r="J159" s="28"/>
      <c r="K159" s="36">
        <v>246779413742</v>
      </c>
      <c r="L159" s="62">
        <v>0</v>
      </c>
      <c r="M159" s="62">
        <v>1149</v>
      </c>
      <c r="O159" s="36">
        <v>246779413742</v>
      </c>
      <c r="P159" s="38">
        <v>0</v>
      </c>
      <c r="Q159" s="38">
        <v>1149</v>
      </c>
    </row>
    <row r="160" spans="1:17" x14ac:dyDescent="0.35">
      <c r="A160" s="30" t="s">
        <v>527</v>
      </c>
      <c r="B160" s="31">
        <v>0</v>
      </c>
      <c r="C160" s="31">
        <v>200</v>
      </c>
      <c r="D160" s="31">
        <v>-2836263.12</v>
      </c>
      <c r="E160" s="30" t="s">
        <v>364</v>
      </c>
      <c r="F160" s="30" t="s">
        <v>541</v>
      </c>
      <c r="G160" s="30" t="s">
        <v>374</v>
      </c>
      <c r="H160" s="30" t="s">
        <v>541</v>
      </c>
      <c r="I160" s="32">
        <v>246779410498</v>
      </c>
      <c r="J160" s="28"/>
      <c r="K160" s="36">
        <v>246779413743</v>
      </c>
      <c r="L160" s="62">
        <v>0</v>
      </c>
      <c r="M160" s="62">
        <v>383</v>
      </c>
      <c r="O160" s="36">
        <v>246779413743</v>
      </c>
      <c r="P160" s="38">
        <v>0</v>
      </c>
      <c r="Q160" s="38">
        <v>383</v>
      </c>
    </row>
    <row r="161" spans="1:17" x14ac:dyDescent="0.35">
      <c r="A161" s="30" t="s">
        <v>527</v>
      </c>
      <c r="B161" s="31">
        <v>0</v>
      </c>
      <c r="C161" s="31">
        <v>13011</v>
      </c>
      <c r="D161" s="31">
        <v>-2849274.12</v>
      </c>
      <c r="E161" s="30" t="s">
        <v>364</v>
      </c>
      <c r="F161" s="30" t="s">
        <v>542</v>
      </c>
      <c r="G161" s="30" t="s">
        <v>381</v>
      </c>
      <c r="H161" s="30" t="s">
        <v>542</v>
      </c>
      <c r="I161" s="32">
        <v>246779413704</v>
      </c>
      <c r="J161" s="28"/>
      <c r="K161" s="36">
        <v>246779413744</v>
      </c>
      <c r="L161" s="62">
        <v>0</v>
      </c>
      <c r="M161" s="62">
        <v>191</v>
      </c>
      <c r="O161" s="36">
        <v>246779413744</v>
      </c>
      <c r="P161" s="38">
        <v>0</v>
      </c>
      <c r="Q161" s="38">
        <v>191</v>
      </c>
    </row>
    <row r="162" spans="1:17" x14ac:dyDescent="0.35">
      <c r="A162" s="30" t="s">
        <v>527</v>
      </c>
      <c r="B162" s="31">
        <v>0</v>
      </c>
      <c r="C162" s="31">
        <v>200</v>
      </c>
      <c r="D162" s="31">
        <v>-2849474.12</v>
      </c>
      <c r="E162" s="30" t="s">
        <v>364</v>
      </c>
      <c r="F162" s="30" t="s">
        <v>543</v>
      </c>
      <c r="G162" s="30" t="s">
        <v>374</v>
      </c>
      <c r="H162" s="30" t="s">
        <v>543</v>
      </c>
      <c r="I162" s="32">
        <v>246779410848</v>
      </c>
      <c r="J162" s="28"/>
      <c r="K162" s="36">
        <v>246779413745</v>
      </c>
      <c r="L162" s="62">
        <v>0</v>
      </c>
      <c r="M162" s="62">
        <v>3064</v>
      </c>
      <c r="O162" s="36">
        <v>246779413745</v>
      </c>
      <c r="P162" s="38">
        <v>0</v>
      </c>
      <c r="Q162" s="38">
        <v>3064</v>
      </c>
    </row>
    <row r="163" spans="1:17" x14ac:dyDescent="0.35">
      <c r="A163" s="30" t="s">
        <v>474</v>
      </c>
      <c r="B163" s="31">
        <v>0</v>
      </c>
      <c r="C163" s="31">
        <v>33376</v>
      </c>
      <c r="D163" s="31">
        <v>-2809572.12</v>
      </c>
      <c r="E163" s="30" t="s">
        <v>364</v>
      </c>
      <c r="F163" s="30" t="s">
        <v>526</v>
      </c>
      <c r="G163" s="30" t="s">
        <v>488</v>
      </c>
      <c r="H163" s="30" t="s">
        <v>526</v>
      </c>
      <c r="I163" s="32">
        <v>246779411300</v>
      </c>
      <c r="J163" s="28"/>
      <c r="K163" s="36">
        <v>246779413753</v>
      </c>
      <c r="L163" s="62">
        <v>0</v>
      </c>
      <c r="M163" s="62">
        <v>31723</v>
      </c>
      <c r="O163" s="36">
        <v>246779413753</v>
      </c>
      <c r="P163" s="38">
        <v>0</v>
      </c>
      <c r="Q163" s="38">
        <v>31723</v>
      </c>
    </row>
    <row r="164" spans="1:17" x14ac:dyDescent="0.35">
      <c r="A164" s="30" t="s">
        <v>845</v>
      </c>
      <c r="B164" s="31">
        <v>8522</v>
      </c>
      <c r="C164" s="31">
        <v>8522</v>
      </c>
      <c r="D164" s="31">
        <v>-2052708.6117</v>
      </c>
      <c r="E164" s="30" t="s">
        <v>666</v>
      </c>
      <c r="F164" s="30" t="s">
        <v>852</v>
      </c>
      <c r="G164" s="30"/>
      <c r="H164" s="30" t="s">
        <v>853</v>
      </c>
      <c r="I164" s="32" t="s">
        <v>666</v>
      </c>
      <c r="J164" s="28"/>
      <c r="K164" s="36">
        <v>246779413762</v>
      </c>
      <c r="L164" s="62">
        <v>0</v>
      </c>
      <c r="M164" s="62">
        <v>191</v>
      </c>
      <c r="O164" s="36">
        <v>246779413762</v>
      </c>
      <c r="P164" s="38">
        <v>0</v>
      </c>
      <c r="Q164" s="38">
        <v>191</v>
      </c>
    </row>
    <row r="165" spans="1:17" x14ac:dyDescent="0.35">
      <c r="A165" s="30" t="s">
        <v>527</v>
      </c>
      <c r="B165" s="31">
        <v>0</v>
      </c>
      <c r="C165" s="31">
        <v>3594</v>
      </c>
      <c r="D165" s="31">
        <v>-2917685.12</v>
      </c>
      <c r="E165" s="30" t="s">
        <v>364</v>
      </c>
      <c r="F165" s="30" t="s">
        <v>547</v>
      </c>
      <c r="G165" s="30" t="s">
        <v>374</v>
      </c>
      <c r="H165" s="30" t="s">
        <v>547</v>
      </c>
      <c r="I165" s="32">
        <v>246779410755</v>
      </c>
      <c r="J165" s="28"/>
      <c r="K165" s="36">
        <v>246779413772</v>
      </c>
      <c r="L165" s="62">
        <v>0</v>
      </c>
      <c r="M165" s="62">
        <v>994</v>
      </c>
      <c r="O165" s="36">
        <v>246779413772</v>
      </c>
      <c r="P165" s="38">
        <v>0</v>
      </c>
      <c r="Q165" s="38">
        <v>994</v>
      </c>
    </row>
    <row r="166" spans="1:17" x14ac:dyDescent="0.35">
      <c r="A166" s="30" t="s">
        <v>527</v>
      </c>
      <c r="B166" s="31">
        <v>0</v>
      </c>
      <c r="C166" s="31">
        <v>35477</v>
      </c>
      <c r="D166" s="31">
        <v>-2953162.12</v>
      </c>
      <c r="E166" s="30" t="s">
        <v>364</v>
      </c>
      <c r="F166" s="30" t="s">
        <v>548</v>
      </c>
      <c r="G166" s="30" t="s">
        <v>366</v>
      </c>
      <c r="H166" s="30" t="s">
        <v>548</v>
      </c>
      <c r="I166" s="32">
        <v>246779410072</v>
      </c>
      <c r="J166" s="28"/>
      <c r="K166" s="36">
        <v>246779413782</v>
      </c>
      <c r="L166" s="62">
        <v>0</v>
      </c>
      <c r="M166" s="62">
        <v>596</v>
      </c>
      <c r="O166" s="36">
        <v>246779413782</v>
      </c>
      <c r="P166" s="38">
        <v>0</v>
      </c>
      <c r="Q166" s="38">
        <v>596</v>
      </c>
    </row>
    <row r="167" spans="1:17" x14ac:dyDescent="0.35">
      <c r="A167" s="30" t="s">
        <v>527</v>
      </c>
      <c r="B167" s="31">
        <v>0</v>
      </c>
      <c r="C167" s="31">
        <v>799</v>
      </c>
      <c r="D167" s="31">
        <v>-2953961.12</v>
      </c>
      <c r="E167" s="30" t="s">
        <v>364</v>
      </c>
      <c r="F167" s="30" t="s">
        <v>549</v>
      </c>
      <c r="G167" s="30" t="s">
        <v>374</v>
      </c>
      <c r="H167" s="30" t="s">
        <v>549</v>
      </c>
      <c r="I167" s="32">
        <v>246779410688</v>
      </c>
      <c r="J167" s="28"/>
      <c r="K167" s="36">
        <v>246779413796</v>
      </c>
      <c r="L167" s="62">
        <v>0</v>
      </c>
      <c r="M167" s="62">
        <v>163631</v>
      </c>
      <c r="O167" s="36">
        <v>246779413796</v>
      </c>
      <c r="P167" s="38">
        <v>0</v>
      </c>
      <c r="Q167" s="38">
        <v>163631</v>
      </c>
    </row>
    <row r="168" spans="1:17" x14ac:dyDescent="0.35">
      <c r="A168" s="30" t="s">
        <v>527</v>
      </c>
      <c r="B168" s="31">
        <v>0</v>
      </c>
      <c r="C168" s="31">
        <v>1797</v>
      </c>
      <c r="D168" s="31">
        <v>-2955758.12</v>
      </c>
      <c r="E168" s="30" t="s">
        <v>364</v>
      </c>
      <c r="F168" s="30" t="s">
        <v>550</v>
      </c>
      <c r="G168" s="30" t="s">
        <v>374</v>
      </c>
      <c r="H168" s="30" t="s">
        <v>550</v>
      </c>
      <c r="I168" s="32">
        <v>246779410687</v>
      </c>
      <c r="J168" s="28"/>
      <c r="K168" s="36">
        <v>246779413816</v>
      </c>
      <c r="L168" s="62">
        <v>0</v>
      </c>
      <c r="M168" s="62">
        <v>18610</v>
      </c>
      <c r="O168" s="36">
        <v>246779413816</v>
      </c>
      <c r="P168" s="38">
        <v>0</v>
      </c>
      <c r="Q168" s="38">
        <v>18610</v>
      </c>
    </row>
    <row r="169" spans="1:17" x14ac:dyDescent="0.35">
      <c r="A169" s="30" t="s">
        <v>474</v>
      </c>
      <c r="B169" s="31">
        <v>0</v>
      </c>
      <c r="C169" s="31">
        <v>8522</v>
      </c>
      <c r="D169" s="31">
        <v>-2606942.12</v>
      </c>
      <c r="E169" s="30" t="s">
        <v>364</v>
      </c>
      <c r="F169" s="30" t="s">
        <v>519</v>
      </c>
      <c r="G169" s="30" t="s">
        <v>488</v>
      </c>
      <c r="H169" s="30" t="s">
        <v>519</v>
      </c>
      <c r="I169" s="32">
        <v>246779411314</v>
      </c>
      <c r="J169" s="28"/>
      <c r="K169" s="36">
        <v>246779413827</v>
      </c>
      <c r="L169" s="62">
        <v>0</v>
      </c>
      <c r="M169" s="62">
        <v>31723</v>
      </c>
      <c r="O169" s="36">
        <v>246779413827</v>
      </c>
      <c r="P169" s="38">
        <v>0</v>
      </c>
      <c r="Q169" s="38">
        <v>31723</v>
      </c>
    </row>
    <row r="170" spans="1:17" x14ac:dyDescent="0.35">
      <c r="A170" s="30" t="s">
        <v>552</v>
      </c>
      <c r="B170" s="31">
        <v>0</v>
      </c>
      <c r="C170" s="31">
        <v>2883</v>
      </c>
      <c r="D170" s="31">
        <v>-3018265.12</v>
      </c>
      <c r="E170" s="30" t="s">
        <v>364</v>
      </c>
      <c r="F170" s="30" t="s">
        <v>553</v>
      </c>
      <c r="G170" s="30" t="s">
        <v>554</v>
      </c>
      <c r="H170" s="30" t="s">
        <v>553</v>
      </c>
      <c r="I170" s="32">
        <v>256779410157</v>
      </c>
      <c r="J170" s="28"/>
      <c r="K170" s="36">
        <v>246779413845</v>
      </c>
      <c r="L170" s="62">
        <v>0</v>
      </c>
      <c r="M170" s="62">
        <v>45188</v>
      </c>
      <c r="O170" s="36">
        <v>246779413845</v>
      </c>
      <c r="P170" s="38">
        <v>0</v>
      </c>
      <c r="Q170" s="38">
        <v>45188</v>
      </c>
    </row>
    <row r="171" spans="1:17" x14ac:dyDescent="0.35">
      <c r="A171" s="30" t="s">
        <v>552</v>
      </c>
      <c r="B171" s="31">
        <v>0</v>
      </c>
      <c r="C171" s="31">
        <v>4913</v>
      </c>
      <c r="D171" s="31">
        <v>-3023178.12</v>
      </c>
      <c r="E171" s="30" t="s">
        <v>364</v>
      </c>
      <c r="F171" s="30" t="s">
        <v>555</v>
      </c>
      <c r="G171" s="30" t="s">
        <v>433</v>
      </c>
      <c r="H171" s="30" t="s">
        <v>555</v>
      </c>
      <c r="I171" s="32">
        <v>256779410156</v>
      </c>
      <c r="J171" s="28"/>
      <c r="K171" s="36">
        <v>246779413933</v>
      </c>
      <c r="L171" s="62">
        <v>0</v>
      </c>
      <c r="M171" s="62">
        <v>846</v>
      </c>
      <c r="O171" s="36">
        <v>246779413933</v>
      </c>
      <c r="P171" s="38">
        <v>0</v>
      </c>
      <c r="Q171" s="38">
        <v>846</v>
      </c>
    </row>
    <row r="172" spans="1:17" x14ac:dyDescent="0.35">
      <c r="A172" s="30" t="s">
        <v>552</v>
      </c>
      <c r="B172" s="31">
        <v>0</v>
      </c>
      <c r="C172" s="31">
        <v>13011</v>
      </c>
      <c r="D172" s="31">
        <v>-3036189.12</v>
      </c>
      <c r="E172" s="30" t="s">
        <v>364</v>
      </c>
      <c r="F172" s="30" t="s">
        <v>556</v>
      </c>
      <c r="G172" s="30" t="s">
        <v>374</v>
      </c>
      <c r="H172" s="30" t="s">
        <v>556</v>
      </c>
      <c r="I172" s="32">
        <v>256779410166</v>
      </c>
      <c r="J172" s="28"/>
      <c r="K172" s="36">
        <v>246779414141</v>
      </c>
      <c r="L172" s="62">
        <v>0</v>
      </c>
      <c r="M172" s="62">
        <v>4652</v>
      </c>
      <c r="O172" s="36">
        <v>246779414141</v>
      </c>
      <c r="P172" s="38">
        <v>0</v>
      </c>
      <c r="Q172" s="38">
        <v>4652</v>
      </c>
    </row>
    <row r="173" spans="1:17" x14ac:dyDescent="0.35">
      <c r="A173" s="30" t="s">
        <v>552</v>
      </c>
      <c r="B173" s="31">
        <v>0</v>
      </c>
      <c r="C173" s="31">
        <v>6205</v>
      </c>
      <c r="D173" s="31">
        <v>-3042394.12</v>
      </c>
      <c r="E173" s="30" t="s">
        <v>364</v>
      </c>
      <c r="F173" s="30" t="s">
        <v>557</v>
      </c>
      <c r="G173" s="30" t="s">
        <v>374</v>
      </c>
      <c r="H173" s="30" t="s">
        <v>557</v>
      </c>
      <c r="I173" s="32">
        <v>256779410174</v>
      </c>
      <c r="J173" s="28"/>
      <c r="K173" s="36">
        <v>246779414142</v>
      </c>
      <c r="L173" s="62">
        <v>0</v>
      </c>
      <c r="M173" s="62">
        <v>1268</v>
      </c>
      <c r="O173" s="36">
        <v>246779414142</v>
      </c>
      <c r="P173" s="38">
        <v>0</v>
      </c>
      <c r="Q173" s="38">
        <v>1268</v>
      </c>
    </row>
    <row r="174" spans="1:17" x14ac:dyDescent="0.35">
      <c r="A174" s="30" t="s">
        <v>552</v>
      </c>
      <c r="B174" s="31">
        <v>0</v>
      </c>
      <c r="C174" s="31">
        <v>2937</v>
      </c>
      <c r="D174" s="31">
        <v>-3045331.12</v>
      </c>
      <c r="E174" s="30" t="s">
        <v>364</v>
      </c>
      <c r="F174" s="30" t="s">
        <v>558</v>
      </c>
      <c r="G174" s="30" t="s">
        <v>450</v>
      </c>
      <c r="H174" s="30" t="s">
        <v>558</v>
      </c>
      <c r="I174" s="32">
        <v>256779410201</v>
      </c>
      <c r="J174" s="28"/>
      <c r="K174" s="36">
        <v>246779414221</v>
      </c>
      <c r="L174" s="62">
        <v>0</v>
      </c>
      <c r="M174" s="62">
        <v>17701</v>
      </c>
      <c r="O174" s="36">
        <v>246779414221</v>
      </c>
      <c r="P174" s="38">
        <v>0</v>
      </c>
      <c r="Q174" s="38">
        <v>17701</v>
      </c>
    </row>
    <row r="175" spans="1:17" x14ac:dyDescent="0.35">
      <c r="A175" s="30" t="s">
        <v>552</v>
      </c>
      <c r="B175" s="31">
        <v>0</v>
      </c>
      <c r="C175" s="31">
        <v>319</v>
      </c>
      <c r="D175" s="31">
        <v>-3045650.12</v>
      </c>
      <c r="E175" s="30" t="s">
        <v>364</v>
      </c>
      <c r="F175" s="30" t="s">
        <v>559</v>
      </c>
      <c r="G175" s="30" t="s">
        <v>458</v>
      </c>
      <c r="H175" s="30" t="s">
        <v>559</v>
      </c>
      <c r="I175" s="32">
        <v>256779410135</v>
      </c>
      <c r="J175" s="28"/>
      <c r="K175" s="36">
        <v>246779414317</v>
      </c>
      <c r="L175" s="62">
        <v>0</v>
      </c>
      <c r="M175" s="62">
        <v>1907</v>
      </c>
      <c r="O175" s="36">
        <v>246779414317</v>
      </c>
      <c r="P175" s="38">
        <v>0</v>
      </c>
      <c r="Q175" s="38">
        <v>1907</v>
      </c>
    </row>
    <row r="176" spans="1:17" x14ac:dyDescent="0.35">
      <c r="A176" s="30" t="s">
        <v>552</v>
      </c>
      <c r="B176" s="31">
        <v>0</v>
      </c>
      <c r="C176" s="31">
        <v>639</v>
      </c>
      <c r="D176" s="31">
        <v>-3046289.12</v>
      </c>
      <c r="E176" s="30" t="s">
        <v>364</v>
      </c>
      <c r="F176" s="30" t="s">
        <v>560</v>
      </c>
      <c r="G176" s="30" t="s">
        <v>433</v>
      </c>
      <c r="H176" s="30" t="s">
        <v>560</v>
      </c>
      <c r="I176" s="32">
        <v>256779410134</v>
      </c>
      <c r="J176" s="28"/>
      <c r="K176" s="36">
        <v>246779414467</v>
      </c>
      <c r="L176" s="62">
        <v>0</v>
      </c>
      <c r="M176" s="62">
        <v>2674</v>
      </c>
      <c r="O176" s="36">
        <v>246779414467</v>
      </c>
      <c r="P176" s="38">
        <v>0</v>
      </c>
      <c r="Q176" s="38">
        <v>2674</v>
      </c>
    </row>
    <row r="177" spans="1:17" x14ac:dyDescent="0.35">
      <c r="A177" s="30" t="s">
        <v>701</v>
      </c>
      <c r="B177" s="31">
        <v>15401</v>
      </c>
      <c r="C177" s="31">
        <v>15401</v>
      </c>
      <c r="D177" s="31">
        <v>-757662.59999999963</v>
      </c>
      <c r="E177" s="30" t="s">
        <v>666</v>
      </c>
      <c r="F177" s="30" t="s">
        <v>708</v>
      </c>
      <c r="G177" s="30"/>
      <c r="H177" s="30" t="s">
        <v>709</v>
      </c>
      <c r="I177" s="32" t="s">
        <v>666</v>
      </c>
      <c r="J177" s="28"/>
      <c r="K177" s="36">
        <v>246779414603</v>
      </c>
      <c r="L177" s="62">
        <v>0</v>
      </c>
      <c r="M177" s="62">
        <v>34760</v>
      </c>
      <c r="O177" s="36">
        <v>246779414603</v>
      </c>
      <c r="P177" s="38">
        <v>0</v>
      </c>
      <c r="Q177" s="38">
        <v>34760</v>
      </c>
    </row>
    <row r="178" spans="1:17" x14ac:dyDescent="0.35">
      <c r="A178" s="30" t="s">
        <v>474</v>
      </c>
      <c r="B178" s="31">
        <v>0</v>
      </c>
      <c r="C178" s="31">
        <v>20874</v>
      </c>
      <c r="D178" s="31">
        <v>-2440597.12</v>
      </c>
      <c r="E178" s="30" t="s">
        <v>364</v>
      </c>
      <c r="F178" s="30" t="s">
        <v>487</v>
      </c>
      <c r="G178" s="30" t="s">
        <v>488</v>
      </c>
      <c r="H178" s="30" t="s">
        <v>487</v>
      </c>
      <c r="I178" s="32">
        <v>246779411326</v>
      </c>
      <c r="J178" s="28"/>
      <c r="K178" s="36">
        <v>246779414680</v>
      </c>
      <c r="L178" s="62">
        <v>0</v>
      </c>
      <c r="M178" s="62">
        <v>383</v>
      </c>
      <c r="O178" s="36">
        <v>246779414680</v>
      </c>
      <c r="P178" s="38">
        <v>0</v>
      </c>
      <c r="Q178" s="38">
        <v>383</v>
      </c>
    </row>
    <row r="179" spans="1:17" x14ac:dyDescent="0.35">
      <c r="A179" s="30" t="s">
        <v>680</v>
      </c>
      <c r="B179" s="31">
        <v>0</v>
      </c>
      <c r="C179" s="31">
        <v>18367</v>
      </c>
      <c r="D179" s="31">
        <v>-254828.5999999996</v>
      </c>
      <c r="E179" s="30" t="s">
        <v>364</v>
      </c>
      <c r="F179" s="30" t="s">
        <v>686</v>
      </c>
      <c r="G179" s="30" t="s">
        <v>366</v>
      </c>
      <c r="H179" s="30" t="s">
        <v>686</v>
      </c>
      <c r="I179" s="32">
        <v>246779413701</v>
      </c>
      <c r="J179" s="28"/>
      <c r="K179" s="36">
        <v>246779414681</v>
      </c>
      <c r="L179" s="62">
        <v>0</v>
      </c>
      <c r="M179" s="62">
        <v>1268</v>
      </c>
      <c r="O179" s="36">
        <v>246779414681</v>
      </c>
      <c r="P179" s="38">
        <v>0</v>
      </c>
      <c r="Q179" s="38">
        <v>1268</v>
      </c>
    </row>
    <row r="180" spans="1:17" x14ac:dyDescent="0.35">
      <c r="A180" s="30" t="s">
        <v>564</v>
      </c>
      <c r="B180" s="31">
        <v>0</v>
      </c>
      <c r="C180" s="31">
        <v>331566</v>
      </c>
      <c r="D180" s="31">
        <v>-3687999.12</v>
      </c>
      <c r="E180" s="30" t="s">
        <v>364</v>
      </c>
      <c r="F180" s="30" t="s">
        <v>565</v>
      </c>
      <c r="G180" s="30" t="s">
        <v>381</v>
      </c>
      <c r="H180" s="30" t="s">
        <v>565</v>
      </c>
      <c r="I180" s="32">
        <v>256779410812</v>
      </c>
      <c r="J180" s="28"/>
      <c r="K180" s="36">
        <v>246779414734</v>
      </c>
      <c r="L180" s="62">
        <v>0</v>
      </c>
      <c r="M180" s="62">
        <v>211</v>
      </c>
      <c r="O180" s="36">
        <v>246779414734</v>
      </c>
      <c r="P180" s="38">
        <v>0</v>
      </c>
      <c r="Q180" s="38">
        <v>211</v>
      </c>
    </row>
    <row r="181" spans="1:17" x14ac:dyDescent="0.35">
      <c r="A181" s="30" t="s">
        <v>564</v>
      </c>
      <c r="B181" s="31">
        <v>0</v>
      </c>
      <c r="C181" s="31">
        <v>384955</v>
      </c>
      <c r="D181" s="31">
        <v>-4072954.12</v>
      </c>
      <c r="E181" s="30" t="s">
        <v>364</v>
      </c>
      <c r="F181" s="30" t="s">
        <v>566</v>
      </c>
      <c r="G181" s="30" t="s">
        <v>381</v>
      </c>
      <c r="H181" s="30" t="s">
        <v>566</v>
      </c>
      <c r="I181" s="32">
        <v>256779410795</v>
      </c>
      <c r="J181" s="28"/>
      <c r="K181" s="36">
        <v>246779414885</v>
      </c>
      <c r="L181" s="62">
        <v>0</v>
      </c>
      <c r="M181" s="62">
        <v>211</v>
      </c>
      <c r="O181" s="36">
        <v>246779414885</v>
      </c>
      <c r="P181" s="38">
        <v>0</v>
      </c>
      <c r="Q181" s="38">
        <v>211</v>
      </c>
    </row>
    <row r="182" spans="1:17" x14ac:dyDescent="0.35">
      <c r="A182" s="30" t="s">
        <v>567</v>
      </c>
      <c r="B182" s="31">
        <v>0</v>
      </c>
      <c r="C182" s="31">
        <v>13328</v>
      </c>
      <c r="D182" s="31">
        <v>-4086282.12</v>
      </c>
      <c r="E182" s="30" t="s">
        <v>364</v>
      </c>
      <c r="F182" s="30" t="s">
        <v>568</v>
      </c>
      <c r="G182" s="30" t="s">
        <v>374</v>
      </c>
      <c r="H182" s="30" t="s">
        <v>568</v>
      </c>
      <c r="I182" s="32">
        <v>256779411150</v>
      </c>
      <c r="J182" s="28"/>
      <c r="K182" s="36">
        <v>246779418620</v>
      </c>
      <c r="L182" s="62">
        <v>7320</v>
      </c>
      <c r="M182" s="62">
        <v>73283.168300000005</v>
      </c>
      <c r="O182" s="36">
        <v>246779418620</v>
      </c>
      <c r="P182" s="38">
        <v>7320</v>
      </c>
      <c r="Q182" s="38">
        <v>73283.168300000005</v>
      </c>
    </row>
    <row r="183" spans="1:17" x14ac:dyDescent="0.35">
      <c r="A183" s="30" t="s">
        <v>567</v>
      </c>
      <c r="B183" s="31">
        <v>0</v>
      </c>
      <c r="C183" s="31">
        <v>25546</v>
      </c>
      <c r="D183" s="31">
        <v>-4111828.12</v>
      </c>
      <c r="E183" s="30" t="s">
        <v>364</v>
      </c>
      <c r="F183" s="30" t="s">
        <v>569</v>
      </c>
      <c r="G183" s="30" t="s">
        <v>437</v>
      </c>
      <c r="H183" s="30" t="s">
        <v>569</v>
      </c>
      <c r="I183" s="32">
        <v>256779411148</v>
      </c>
      <c r="J183" s="28"/>
      <c r="K183" s="36">
        <v>256779410004</v>
      </c>
      <c r="L183" s="62">
        <v>0</v>
      </c>
      <c r="M183" s="62">
        <v>55272</v>
      </c>
      <c r="O183" s="36">
        <v>256779410004</v>
      </c>
      <c r="P183" s="38">
        <v>0</v>
      </c>
      <c r="Q183" s="38">
        <v>55272</v>
      </c>
    </row>
    <row r="184" spans="1:17" x14ac:dyDescent="0.35">
      <c r="A184" s="30" t="s">
        <v>567</v>
      </c>
      <c r="B184" s="31">
        <v>0</v>
      </c>
      <c r="C184" s="31">
        <v>2664</v>
      </c>
      <c r="D184" s="31">
        <v>-4114492.12</v>
      </c>
      <c r="E184" s="30" t="s">
        <v>364</v>
      </c>
      <c r="F184" s="30" t="s">
        <v>570</v>
      </c>
      <c r="G184" s="30" t="s">
        <v>433</v>
      </c>
      <c r="H184" s="30" t="s">
        <v>570</v>
      </c>
      <c r="I184" s="32">
        <v>256779411149</v>
      </c>
      <c r="J184" s="28"/>
      <c r="K184" s="36">
        <v>256779410010</v>
      </c>
      <c r="L184" s="62">
        <v>0</v>
      </c>
      <c r="M184" s="62">
        <v>140649</v>
      </c>
      <c r="O184" s="36">
        <v>256779410010</v>
      </c>
      <c r="P184" s="38">
        <v>0</v>
      </c>
      <c r="Q184" s="38">
        <v>140649</v>
      </c>
    </row>
    <row r="185" spans="1:17" x14ac:dyDescent="0.35">
      <c r="A185" s="30" t="s">
        <v>567</v>
      </c>
      <c r="B185" s="31">
        <v>0</v>
      </c>
      <c r="C185" s="31">
        <v>790</v>
      </c>
      <c r="D185" s="31">
        <v>-4115282.12</v>
      </c>
      <c r="E185" s="30" t="s">
        <v>364</v>
      </c>
      <c r="F185" s="30" t="s">
        <v>571</v>
      </c>
      <c r="G185" s="30" t="s">
        <v>433</v>
      </c>
      <c r="H185" s="30" t="s">
        <v>571</v>
      </c>
      <c r="I185" s="32">
        <v>256779411564</v>
      </c>
      <c r="J185" s="28"/>
      <c r="K185" s="36">
        <v>256779410134</v>
      </c>
      <c r="L185" s="62">
        <v>0</v>
      </c>
      <c r="M185" s="62">
        <v>639</v>
      </c>
      <c r="O185" s="36">
        <v>256779410134</v>
      </c>
      <c r="P185" s="38">
        <v>0</v>
      </c>
      <c r="Q185" s="38">
        <v>639</v>
      </c>
    </row>
    <row r="186" spans="1:17" x14ac:dyDescent="0.35">
      <c r="A186" s="30" t="s">
        <v>567</v>
      </c>
      <c r="B186" s="31">
        <v>0</v>
      </c>
      <c r="C186" s="31">
        <v>198</v>
      </c>
      <c r="D186" s="31">
        <v>-4115480.12</v>
      </c>
      <c r="E186" s="30" t="s">
        <v>364</v>
      </c>
      <c r="F186" s="30" t="s">
        <v>572</v>
      </c>
      <c r="G186" s="30" t="s">
        <v>374</v>
      </c>
      <c r="H186" s="30" t="s">
        <v>572</v>
      </c>
      <c r="I186" s="32">
        <v>256779411563</v>
      </c>
      <c r="J186" s="28"/>
      <c r="K186" s="36">
        <v>256779410135</v>
      </c>
      <c r="L186" s="62">
        <v>0</v>
      </c>
      <c r="M186" s="62">
        <v>319</v>
      </c>
      <c r="O186" s="36">
        <v>256779410135</v>
      </c>
      <c r="P186" s="38">
        <v>0</v>
      </c>
      <c r="Q186" s="38">
        <v>319</v>
      </c>
    </row>
    <row r="187" spans="1:17" x14ac:dyDescent="0.35">
      <c r="A187" s="30" t="s">
        <v>567</v>
      </c>
      <c r="B187" s="31">
        <v>0</v>
      </c>
      <c r="C187" s="31">
        <v>13629</v>
      </c>
      <c r="D187" s="31">
        <v>-4129109.12</v>
      </c>
      <c r="E187" s="30" t="s">
        <v>364</v>
      </c>
      <c r="F187" s="30" t="s">
        <v>573</v>
      </c>
      <c r="G187" s="30" t="s">
        <v>460</v>
      </c>
      <c r="H187" s="30" t="s">
        <v>573</v>
      </c>
      <c r="I187" s="32">
        <v>256779411151</v>
      </c>
      <c r="J187" s="28"/>
      <c r="K187" s="36">
        <v>256779410156</v>
      </c>
      <c r="L187" s="62">
        <v>0</v>
      </c>
      <c r="M187" s="62">
        <v>4913</v>
      </c>
      <c r="O187" s="36">
        <v>256779410156</v>
      </c>
      <c r="P187" s="38">
        <v>0</v>
      </c>
      <c r="Q187" s="38">
        <v>4913</v>
      </c>
    </row>
    <row r="188" spans="1:17" x14ac:dyDescent="0.35">
      <c r="A188" s="30" t="s">
        <v>574</v>
      </c>
      <c r="B188" s="31">
        <v>0</v>
      </c>
      <c r="C188" s="31">
        <v>417286</v>
      </c>
      <c r="D188" s="31">
        <v>-4546395.12</v>
      </c>
      <c r="E188" s="30" t="s">
        <v>364</v>
      </c>
      <c r="F188" s="30" t="s">
        <v>575</v>
      </c>
      <c r="G188" s="30" t="s">
        <v>381</v>
      </c>
      <c r="H188" s="30" t="s">
        <v>575</v>
      </c>
      <c r="I188" s="32">
        <v>256779412117</v>
      </c>
      <c r="J188" s="28"/>
      <c r="K188" s="36">
        <v>256779410157</v>
      </c>
      <c r="L188" s="62">
        <v>0</v>
      </c>
      <c r="M188" s="62">
        <v>2883</v>
      </c>
      <c r="O188" s="36">
        <v>256779410157</v>
      </c>
      <c r="P188" s="38">
        <v>0</v>
      </c>
      <c r="Q188" s="38">
        <v>2883</v>
      </c>
    </row>
    <row r="189" spans="1:17" x14ac:dyDescent="0.35">
      <c r="A189" s="30" t="s">
        <v>574</v>
      </c>
      <c r="B189" s="31">
        <v>0</v>
      </c>
      <c r="C189" s="31">
        <v>1972</v>
      </c>
      <c r="D189" s="31">
        <v>-4548367.12</v>
      </c>
      <c r="E189" s="30" t="s">
        <v>364</v>
      </c>
      <c r="F189" s="30" t="s">
        <v>576</v>
      </c>
      <c r="G189" s="30" t="s">
        <v>433</v>
      </c>
      <c r="H189" s="30" t="s">
        <v>576</v>
      </c>
      <c r="I189" s="32">
        <v>25677941807</v>
      </c>
      <c r="J189" s="28"/>
      <c r="K189" s="36">
        <v>256779410166</v>
      </c>
      <c r="L189" s="62">
        <v>0</v>
      </c>
      <c r="M189" s="62">
        <v>13011</v>
      </c>
      <c r="O189" s="36">
        <v>256779410166</v>
      </c>
      <c r="P189" s="38">
        <v>0</v>
      </c>
      <c r="Q189" s="38">
        <v>13011</v>
      </c>
    </row>
    <row r="190" spans="1:17" x14ac:dyDescent="0.35">
      <c r="A190" s="30" t="s">
        <v>574</v>
      </c>
      <c r="B190" s="31">
        <v>0</v>
      </c>
      <c r="C190" s="31">
        <v>1584</v>
      </c>
      <c r="D190" s="31">
        <v>-4549951.12</v>
      </c>
      <c r="E190" s="30" t="s">
        <v>364</v>
      </c>
      <c r="F190" s="30" t="s">
        <v>577</v>
      </c>
      <c r="G190" s="30" t="s">
        <v>450</v>
      </c>
      <c r="H190" s="30" t="s">
        <v>577</v>
      </c>
      <c r="I190" s="32">
        <v>256779412065</v>
      </c>
      <c r="J190" s="28"/>
      <c r="K190" s="36">
        <v>256779410174</v>
      </c>
      <c r="L190" s="62">
        <v>0</v>
      </c>
      <c r="M190" s="62">
        <v>6205</v>
      </c>
      <c r="O190" s="36">
        <v>256779410174</v>
      </c>
      <c r="P190" s="38">
        <v>0</v>
      </c>
      <c r="Q190" s="38">
        <v>6205</v>
      </c>
    </row>
    <row r="191" spans="1:17" x14ac:dyDescent="0.35">
      <c r="A191" s="30" t="s">
        <v>574</v>
      </c>
      <c r="B191" s="31">
        <v>0</v>
      </c>
      <c r="C191" s="31">
        <v>1256</v>
      </c>
      <c r="D191" s="31">
        <v>-4551207.12</v>
      </c>
      <c r="E191" s="30" t="s">
        <v>364</v>
      </c>
      <c r="F191" s="30" t="s">
        <v>578</v>
      </c>
      <c r="G191" s="30" t="s">
        <v>374</v>
      </c>
      <c r="H191" s="30" t="s">
        <v>578</v>
      </c>
      <c r="I191" s="32">
        <v>256779411885</v>
      </c>
      <c r="J191" s="28"/>
      <c r="K191" s="36">
        <v>256779410201</v>
      </c>
      <c r="L191" s="62">
        <v>0</v>
      </c>
      <c r="M191" s="62">
        <v>2937</v>
      </c>
      <c r="O191" s="36">
        <v>256779410201</v>
      </c>
      <c r="P191" s="38">
        <v>0</v>
      </c>
      <c r="Q191" s="38">
        <v>2937</v>
      </c>
    </row>
    <row r="192" spans="1:17" x14ac:dyDescent="0.35">
      <c r="A192" s="30" t="s">
        <v>574</v>
      </c>
      <c r="B192" s="31">
        <v>0</v>
      </c>
      <c r="C192" s="31">
        <v>21549</v>
      </c>
      <c r="D192" s="31">
        <v>-4572756.12</v>
      </c>
      <c r="E192" s="30" t="s">
        <v>364</v>
      </c>
      <c r="F192" s="30" t="s">
        <v>579</v>
      </c>
      <c r="G192" s="30" t="s">
        <v>450</v>
      </c>
      <c r="H192" s="30" t="s">
        <v>579</v>
      </c>
      <c r="I192" s="32">
        <v>256779412100</v>
      </c>
      <c r="J192" s="28"/>
      <c r="K192" s="36">
        <v>256779410220</v>
      </c>
      <c r="L192" s="62">
        <v>0</v>
      </c>
      <c r="M192" s="62">
        <v>114223</v>
      </c>
      <c r="O192" s="36">
        <v>256779410220</v>
      </c>
      <c r="P192" s="38">
        <v>0</v>
      </c>
      <c r="Q192" s="38">
        <v>114223</v>
      </c>
    </row>
    <row r="193" spans="1:17" x14ac:dyDescent="0.35">
      <c r="A193" s="30" t="s">
        <v>574</v>
      </c>
      <c r="B193" s="31">
        <v>0</v>
      </c>
      <c r="C193" s="31">
        <v>447</v>
      </c>
      <c r="D193" s="31">
        <v>-4573203.12</v>
      </c>
      <c r="E193" s="30" t="s">
        <v>364</v>
      </c>
      <c r="F193" s="30" t="s">
        <v>580</v>
      </c>
      <c r="G193" s="30" t="s">
        <v>374</v>
      </c>
      <c r="H193" s="30" t="s">
        <v>580</v>
      </c>
      <c r="I193" s="32">
        <v>256779411886</v>
      </c>
      <c r="J193" s="28"/>
      <c r="K193" s="36">
        <v>256779410795</v>
      </c>
      <c r="L193" s="62">
        <v>0</v>
      </c>
      <c r="M193" s="62">
        <v>384955</v>
      </c>
      <c r="O193" s="36">
        <v>256779410795</v>
      </c>
      <c r="P193" s="38">
        <v>0</v>
      </c>
      <c r="Q193" s="38">
        <v>384955</v>
      </c>
    </row>
    <row r="194" spans="1:17" x14ac:dyDescent="0.35">
      <c r="A194" s="30" t="s">
        <v>474</v>
      </c>
      <c r="B194" s="31">
        <v>0</v>
      </c>
      <c r="C194" s="31">
        <v>17857</v>
      </c>
      <c r="D194" s="31">
        <v>-2598420.12</v>
      </c>
      <c r="E194" s="30" t="s">
        <v>364</v>
      </c>
      <c r="F194" s="30" t="s">
        <v>518</v>
      </c>
      <c r="G194" s="30" t="s">
        <v>488</v>
      </c>
      <c r="H194" s="30" t="s">
        <v>518</v>
      </c>
      <c r="I194" s="32">
        <v>246779411339</v>
      </c>
      <c r="J194" s="28"/>
      <c r="K194" s="36">
        <v>256779410812</v>
      </c>
      <c r="L194" s="62">
        <v>0</v>
      </c>
      <c r="M194" s="62">
        <v>331566</v>
      </c>
      <c r="O194" s="36">
        <v>256779410812</v>
      </c>
      <c r="P194" s="38">
        <v>0</v>
      </c>
      <c r="Q194" s="38">
        <v>331566</v>
      </c>
    </row>
    <row r="195" spans="1:17" x14ac:dyDescent="0.35">
      <c r="A195" s="30" t="s">
        <v>583</v>
      </c>
      <c r="B195" s="31">
        <v>0</v>
      </c>
      <c r="C195" s="31">
        <v>34962</v>
      </c>
      <c r="D195" s="31">
        <v>-4620334.12</v>
      </c>
      <c r="E195" s="30" t="s">
        <v>364</v>
      </c>
      <c r="F195" s="30" t="s">
        <v>584</v>
      </c>
      <c r="G195" s="30" t="s">
        <v>366</v>
      </c>
      <c r="H195" s="30" t="s">
        <v>584</v>
      </c>
      <c r="I195" s="32">
        <v>256779412161</v>
      </c>
      <c r="J195" s="28"/>
      <c r="K195" s="36">
        <v>256779411148</v>
      </c>
      <c r="L195" s="62">
        <v>0</v>
      </c>
      <c r="M195" s="62">
        <v>25546</v>
      </c>
      <c r="O195" s="36">
        <v>256779411148</v>
      </c>
      <c r="P195" s="38">
        <v>0</v>
      </c>
      <c r="Q195" s="38">
        <v>25546</v>
      </c>
    </row>
    <row r="196" spans="1:17" x14ac:dyDescent="0.35">
      <c r="A196" s="30" t="s">
        <v>585</v>
      </c>
      <c r="B196" s="31">
        <v>0</v>
      </c>
      <c r="C196" s="31">
        <v>2085</v>
      </c>
      <c r="D196" s="31">
        <v>-4622419.12</v>
      </c>
      <c r="E196" s="30" t="s">
        <v>364</v>
      </c>
      <c r="F196" s="30" t="s">
        <v>586</v>
      </c>
      <c r="G196" s="30" t="s">
        <v>374</v>
      </c>
      <c r="H196" s="30" t="s">
        <v>586</v>
      </c>
      <c r="I196" s="32">
        <v>256779412655</v>
      </c>
      <c r="J196" s="28"/>
      <c r="K196" s="36">
        <v>256779411149</v>
      </c>
      <c r="L196" s="62">
        <v>0</v>
      </c>
      <c r="M196" s="62">
        <v>2664</v>
      </c>
      <c r="O196" s="36">
        <v>256779411149</v>
      </c>
      <c r="P196" s="38">
        <v>0</v>
      </c>
      <c r="Q196" s="38">
        <v>2664</v>
      </c>
    </row>
    <row r="197" spans="1:17" x14ac:dyDescent="0.35">
      <c r="A197" s="30" t="s">
        <v>585</v>
      </c>
      <c r="B197" s="31">
        <v>0</v>
      </c>
      <c r="C197" s="31">
        <v>3922</v>
      </c>
      <c r="D197" s="31">
        <v>-4626341.12</v>
      </c>
      <c r="E197" s="30" t="s">
        <v>364</v>
      </c>
      <c r="F197" s="30" t="s">
        <v>587</v>
      </c>
      <c r="G197" s="30" t="s">
        <v>374</v>
      </c>
      <c r="H197" s="30" t="s">
        <v>587</v>
      </c>
      <c r="I197" s="32">
        <v>256779412613</v>
      </c>
      <c r="J197" s="28"/>
      <c r="K197" s="36">
        <v>256779411150</v>
      </c>
      <c r="L197" s="62">
        <v>0</v>
      </c>
      <c r="M197" s="62">
        <v>13328</v>
      </c>
      <c r="O197" s="36">
        <v>256779411150</v>
      </c>
      <c r="P197" s="38">
        <v>0</v>
      </c>
      <c r="Q197" s="38">
        <v>13328</v>
      </c>
    </row>
    <row r="198" spans="1:17" x14ac:dyDescent="0.35">
      <c r="A198" s="30" t="s">
        <v>585</v>
      </c>
      <c r="B198" s="31">
        <v>0</v>
      </c>
      <c r="C198" s="31">
        <v>14119</v>
      </c>
      <c r="D198" s="31">
        <v>-4640460.12</v>
      </c>
      <c r="E198" s="30" t="s">
        <v>364</v>
      </c>
      <c r="F198" s="30" t="s">
        <v>588</v>
      </c>
      <c r="G198" s="30" t="s">
        <v>433</v>
      </c>
      <c r="H198" s="30" t="s">
        <v>588</v>
      </c>
      <c r="I198" s="32">
        <v>256779412468</v>
      </c>
      <c r="J198" s="28"/>
      <c r="K198" s="36">
        <v>256779411151</v>
      </c>
      <c r="L198" s="62">
        <v>0</v>
      </c>
      <c r="M198" s="62">
        <v>13629</v>
      </c>
      <c r="O198" s="36">
        <v>256779411151</v>
      </c>
      <c r="P198" s="38">
        <v>0</v>
      </c>
      <c r="Q198" s="38">
        <v>13629</v>
      </c>
    </row>
    <row r="199" spans="1:17" x14ac:dyDescent="0.35">
      <c r="A199" s="30" t="s">
        <v>585</v>
      </c>
      <c r="B199" s="31">
        <v>0</v>
      </c>
      <c r="C199" s="31">
        <v>1447</v>
      </c>
      <c r="D199" s="31">
        <v>-4641907.12</v>
      </c>
      <c r="E199" s="30" t="s">
        <v>364</v>
      </c>
      <c r="F199" s="30" t="s">
        <v>589</v>
      </c>
      <c r="G199" s="30" t="s">
        <v>435</v>
      </c>
      <c r="H199" s="30" t="s">
        <v>589</v>
      </c>
      <c r="I199" s="32">
        <v>256779412675</v>
      </c>
      <c r="J199" s="28"/>
      <c r="K199" s="36">
        <v>256779411563</v>
      </c>
      <c r="L199" s="62">
        <v>0</v>
      </c>
      <c r="M199" s="62">
        <v>198</v>
      </c>
      <c r="O199" s="36">
        <v>256779411563</v>
      </c>
      <c r="P199" s="38">
        <v>0</v>
      </c>
      <c r="Q199" s="38">
        <v>198</v>
      </c>
    </row>
    <row r="200" spans="1:17" x14ac:dyDescent="0.35">
      <c r="A200" s="30" t="s">
        <v>585</v>
      </c>
      <c r="B200" s="31">
        <v>0</v>
      </c>
      <c r="C200" s="31">
        <v>43195</v>
      </c>
      <c r="D200" s="31">
        <v>-4685102.12</v>
      </c>
      <c r="E200" s="30" t="s">
        <v>364</v>
      </c>
      <c r="F200" s="30" t="s">
        <v>590</v>
      </c>
      <c r="G200" s="30" t="s">
        <v>591</v>
      </c>
      <c r="H200" s="30" t="s">
        <v>590</v>
      </c>
      <c r="I200" s="32">
        <v>256779412683</v>
      </c>
      <c r="J200" s="28"/>
      <c r="K200" s="36">
        <v>256779411564</v>
      </c>
      <c r="L200" s="62">
        <v>0</v>
      </c>
      <c r="M200" s="62">
        <v>790</v>
      </c>
      <c r="O200" s="36">
        <v>256779411564</v>
      </c>
      <c r="P200" s="38">
        <v>0</v>
      </c>
      <c r="Q200" s="38">
        <v>790</v>
      </c>
    </row>
    <row r="201" spans="1:17" x14ac:dyDescent="0.35">
      <c r="A201" s="30" t="s">
        <v>585</v>
      </c>
      <c r="B201" s="31">
        <v>0</v>
      </c>
      <c r="C201" s="31">
        <v>10809</v>
      </c>
      <c r="D201" s="31">
        <v>-4695911.12</v>
      </c>
      <c r="E201" s="30" t="s">
        <v>364</v>
      </c>
      <c r="F201" s="30" t="s">
        <v>592</v>
      </c>
      <c r="G201" s="30" t="s">
        <v>433</v>
      </c>
      <c r="H201" s="30" t="s">
        <v>592</v>
      </c>
      <c r="I201" s="32">
        <v>256779412461</v>
      </c>
      <c r="J201" s="28"/>
      <c r="K201" s="36">
        <v>256779411807</v>
      </c>
      <c r="L201" s="62">
        <v>0</v>
      </c>
      <c r="M201" s="62">
        <v>2053.9</v>
      </c>
      <c r="O201" s="36">
        <v>256779411807</v>
      </c>
      <c r="P201" s="38">
        <v>0</v>
      </c>
      <c r="Q201" s="38">
        <v>2053.9</v>
      </c>
    </row>
    <row r="202" spans="1:17" x14ac:dyDescent="0.35">
      <c r="A202" s="30" t="s">
        <v>593</v>
      </c>
      <c r="B202" s="31">
        <v>0</v>
      </c>
      <c r="C202" s="31">
        <v>1878</v>
      </c>
      <c r="D202" s="31">
        <v>-4697789.12</v>
      </c>
      <c r="E202" s="30" t="s">
        <v>364</v>
      </c>
      <c r="F202" s="30" t="s">
        <v>594</v>
      </c>
      <c r="G202" s="30" t="s">
        <v>374</v>
      </c>
      <c r="H202" s="30" t="s">
        <v>594</v>
      </c>
      <c r="I202" s="32">
        <v>256779412926</v>
      </c>
      <c r="J202" s="28"/>
      <c r="K202" s="36">
        <v>256779411885</v>
      </c>
      <c r="L202" s="62">
        <v>0</v>
      </c>
      <c r="M202" s="62">
        <v>1256</v>
      </c>
      <c r="O202" s="36">
        <v>256779411885</v>
      </c>
      <c r="P202" s="38">
        <v>0</v>
      </c>
      <c r="Q202" s="38">
        <v>1256</v>
      </c>
    </row>
    <row r="203" spans="1:17" x14ac:dyDescent="0.35">
      <c r="A203" s="30" t="s">
        <v>593</v>
      </c>
      <c r="B203" s="31">
        <v>0</v>
      </c>
      <c r="C203" s="31">
        <v>13211</v>
      </c>
      <c r="D203" s="31">
        <v>-4711000.12</v>
      </c>
      <c r="E203" s="30" t="s">
        <v>364</v>
      </c>
      <c r="F203" s="30" t="s">
        <v>595</v>
      </c>
      <c r="G203" s="30" t="s">
        <v>374</v>
      </c>
      <c r="H203" s="30" t="s">
        <v>595</v>
      </c>
      <c r="I203" s="32">
        <v>256779412950</v>
      </c>
      <c r="J203" s="28"/>
      <c r="K203" s="36">
        <v>256779411886</v>
      </c>
      <c r="L203" s="62">
        <v>0</v>
      </c>
      <c r="M203" s="62">
        <v>447</v>
      </c>
      <c r="O203" s="36">
        <v>256779411886</v>
      </c>
      <c r="P203" s="38">
        <v>0</v>
      </c>
      <c r="Q203" s="38">
        <v>447</v>
      </c>
    </row>
    <row r="204" spans="1:17" x14ac:dyDescent="0.35">
      <c r="A204" s="30" t="s">
        <v>593</v>
      </c>
      <c r="B204" s="31">
        <v>0</v>
      </c>
      <c r="C204" s="31">
        <v>27408</v>
      </c>
      <c r="D204" s="31">
        <v>-4738408.12</v>
      </c>
      <c r="E204" s="30" t="s">
        <v>364</v>
      </c>
      <c r="F204" s="30" t="s">
        <v>596</v>
      </c>
      <c r="G204" s="30" t="s">
        <v>460</v>
      </c>
      <c r="H204" s="30" t="s">
        <v>596</v>
      </c>
      <c r="I204" s="32">
        <v>256779412941</v>
      </c>
      <c r="J204" s="28"/>
      <c r="K204" s="36">
        <v>256779411917</v>
      </c>
      <c r="L204" s="62">
        <v>0</v>
      </c>
      <c r="M204" s="62">
        <v>12169</v>
      </c>
      <c r="O204" s="36">
        <v>256779411917</v>
      </c>
      <c r="P204" s="38">
        <v>0</v>
      </c>
      <c r="Q204" s="38">
        <v>12169</v>
      </c>
    </row>
    <row r="205" spans="1:17" x14ac:dyDescent="0.35">
      <c r="A205" s="30" t="s">
        <v>701</v>
      </c>
      <c r="B205" s="31">
        <v>31577</v>
      </c>
      <c r="C205" s="31">
        <v>31577</v>
      </c>
      <c r="D205" s="31">
        <v>-757662.59999999963</v>
      </c>
      <c r="E205" s="30" t="s">
        <v>666</v>
      </c>
      <c r="F205" s="30" t="s">
        <v>718</v>
      </c>
      <c r="G205" s="30"/>
      <c r="H205" s="30" t="s">
        <v>719</v>
      </c>
      <c r="I205" s="32" t="s">
        <v>666</v>
      </c>
      <c r="J205" s="28"/>
      <c r="K205" s="36">
        <v>256779412065</v>
      </c>
      <c r="L205" s="62">
        <v>0</v>
      </c>
      <c r="M205" s="62">
        <v>1584</v>
      </c>
      <c r="O205" s="36">
        <v>256779412065</v>
      </c>
      <c r="P205" s="38">
        <v>0</v>
      </c>
      <c r="Q205" s="38">
        <v>1584</v>
      </c>
    </row>
    <row r="206" spans="1:17" x14ac:dyDescent="0.35">
      <c r="A206" s="30" t="s">
        <v>598</v>
      </c>
      <c r="B206" s="31">
        <v>0</v>
      </c>
      <c r="C206" s="31">
        <v>7981</v>
      </c>
      <c r="D206" s="31">
        <v>-4752473.12</v>
      </c>
      <c r="E206" s="30" t="s">
        <v>364</v>
      </c>
      <c r="F206" s="30" t="s">
        <v>599</v>
      </c>
      <c r="G206" s="30" t="s">
        <v>450</v>
      </c>
      <c r="H206" s="30" t="s">
        <v>599</v>
      </c>
      <c r="I206" s="32">
        <v>256779412777</v>
      </c>
      <c r="J206" s="28"/>
      <c r="K206" s="36">
        <v>256779412100</v>
      </c>
      <c r="L206" s="62">
        <v>0</v>
      </c>
      <c r="M206" s="62">
        <v>21549</v>
      </c>
      <c r="O206" s="36">
        <v>256779412100</v>
      </c>
      <c r="P206" s="38">
        <v>0</v>
      </c>
      <c r="Q206" s="38">
        <v>21549</v>
      </c>
    </row>
    <row r="207" spans="1:17" x14ac:dyDescent="0.35">
      <c r="A207" s="30" t="s">
        <v>600</v>
      </c>
      <c r="B207" s="31">
        <v>0</v>
      </c>
      <c r="C207" s="31">
        <v>15927</v>
      </c>
      <c r="D207" s="31">
        <v>-4768400.12</v>
      </c>
      <c r="E207" s="30" t="s">
        <v>364</v>
      </c>
      <c r="F207" s="30" t="s">
        <v>601</v>
      </c>
      <c r="G207" s="30" t="s">
        <v>433</v>
      </c>
      <c r="H207" s="30" t="s">
        <v>601</v>
      </c>
      <c r="I207" s="32">
        <v>256779413163</v>
      </c>
      <c r="J207" s="28"/>
      <c r="K207" s="36">
        <v>256779412117</v>
      </c>
      <c r="L207" s="62">
        <v>0</v>
      </c>
      <c r="M207" s="62">
        <v>417286</v>
      </c>
      <c r="O207" s="36">
        <v>256779412117</v>
      </c>
      <c r="P207" s="38">
        <v>0</v>
      </c>
      <c r="Q207" s="38">
        <v>417286</v>
      </c>
    </row>
    <row r="208" spans="1:17" x14ac:dyDescent="0.35">
      <c r="A208" s="30" t="s">
        <v>600</v>
      </c>
      <c r="B208" s="31">
        <v>0</v>
      </c>
      <c r="C208" s="31">
        <v>35097</v>
      </c>
      <c r="D208" s="31">
        <v>-4803497.12</v>
      </c>
      <c r="E208" s="30" t="s">
        <v>364</v>
      </c>
      <c r="F208" s="30" t="s">
        <v>602</v>
      </c>
      <c r="G208" s="30" t="s">
        <v>366</v>
      </c>
      <c r="H208" s="30" t="s">
        <v>602</v>
      </c>
      <c r="I208" s="32">
        <v>256779413127</v>
      </c>
      <c r="J208" s="28"/>
      <c r="K208" s="36">
        <v>256779412161</v>
      </c>
      <c r="L208" s="62">
        <v>0</v>
      </c>
      <c r="M208" s="62">
        <v>34962</v>
      </c>
      <c r="O208" s="36">
        <v>256779412161</v>
      </c>
      <c r="P208" s="38">
        <v>0</v>
      </c>
      <c r="Q208" s="38">
        <v>34962</v>
      </c>
    </row>
    <row r="209" spans="1:17" x14ac:dyDescent="0.35">
      <c r="A209" s="30" t="s">
        <v>600</v>
      </c>
      <c r="B209" s="31">
        <v>0</v>
      </c>
      <c r="C209" s="31">
        <v>11810</v>
      </c>
      <c r="D209" s="31">
        <v>-4815307.12</v>
      </c>
      <c r="E209" s="30" t="s">
        <v>364</v>
      </c>
      <c r="F209" s="30" t="s">
        <v>603</v>
      </c>
      <c r="G209" s="30" t="s">
        <v>374</v>
      </c>
      <c r="H209" s="30" t="s">
        <v>603</v>
      </c>
      <c r="I209" s="32">
        <v>256779413172</v>
      </c>
      <c r="J209" s="28"/>
      <c r="K209" s="36">
        <v>256779412461</v>
      </c>
      <c r="L209" s="62">
        <v>0</v>
      </c>
      <c r="M209" s="62">
        <v>10809</v>
      </c>
      <c r="O209" s="36">
        <v>256779412461</v>
      </c>
      <c r="P209" s="38">
        <v>0</v>
      </c>
      <c r="Q209" s="38">
        <v>10809</v>
      </c>
    </row>
    <row r="210" spans="1:17" x14ac:dyDescent="0.35">
      <c r="A210" s="30" t="s">
        <v>600</v>
      </c>
      <c r="B210" s="31">
        <v>0</v>
      </c>
      <c r="C210" s="31">
        <v>3623</v>
      </c>
      <c r="D210" s="31">
        <v>-4818930.12</v>
      </c>
      <c r="E210" s="30" t="s">
        <v>364</v>
      </c>
      <c r="F210" s="30" t="s">
        <v>604</v>
      </c>
      <c r="G210" s="30" t="s">
        <v>450</v>
      </c>
      <c r="H210" s="30" t="s">
        <v>604</v>
      </c>
      <c r="I210" s="32">
        <v>256779413243</v>
      </c>
      <c r="J210" s="28"/>
      <c r="K210" s="36">
        <v>256779412468</v>
      </c>
      <c r="L210" s="62">
        <v>0</v>
      </c>
      <c r="M210" s="62">
        <v>14119</v>
      </c>
      <c r="O210" s="36">
        <v>256779412468</v>
      </c>
      <c r="P210" s="38">
        <v>0</v>
      </c>
      <c r="Q210" s="38">
        <v>14119</v>
      </c>
    </row>
    <row r="211" spans="1:17" x14ac:dyDescent="0.35">
      <c r="A211" s="30" t="s">
        <v>605</v>
      </c>
      <c r="B211" s="31">
        <v>0</v>
      </c>
      <c r="C211" s="31">
        <v>1264</v>
      </c>
      <c r="D211" s="31">
        <v>-4820194.12</v>
      </c>
      <c r="E211" s="30" t="s">
        <v>364</v>
      </c>
      <c r="F211" s="30" t="s">
        <v>606</v>
      </c>
      <c r="G211" s="30" t="s">
        <v>374</v>
      </c>
      <c r="H211" s="30" t="s">
        <v>606</v>
      </c>
      <c r="I211" s="32">
        <v>256779413357</v>
      </c>
      <c r="J211" s="28"/>
      <c r="K211" s="36">
        <v>256779412613</v>
      </c>
      <c r="L211" s="62">
        <v>0</v>
      </c>
      <c r="M211" s="62">
        <v>3922</v>
      </c>
      <c r="O211" s="36">
        <v>256779412613</v>
      </c>
      <c r="P211" s="38">
        <v>0</v>
      </c>
      <c r="Q211" s="38">
        <v>3922</v>
      </c>
    </row>
    <row r="212" spans="1:17" x14ac:dyDescent="0.35">
      <c r="A212" s="30" t="s">
        <v>647</v>
      </c>
      <c r="B212" s="31">
        <v>0</v>
      </c>
      <c r="C212" s="31">
        <v>31577</v>
      </c>
      <c r="D212" s="31">
        <v>-1349660.6</v>
      </c>
      <c r="E212" s="30" t="s">
        <v>364</v>
      </c>
      <c r="F212" s="30" t="s">
        <v>664</v>
      </c>
      <c r="G212" s="30" t="s">
        <v>381</v>
      </c>
      <c r="H212" s="30" t="s">
        <v>664</v>
      </c>
      <c r="I212" s="32">
        <v>246779413702</v>
      </c>
      <c r="J212" s="28"/>
      <c r="K212" s="36">
        <v>256779412655</v>
      </c>
      <c r="L212" s="62">
        <v>0</v>
      </c>
      <c r="M212" s="62">
        <v>2085</v>
      </c>
      <c r="O212" s="36">
        <v>256779412655</v>
      </c>
      <c r="P212" s="38">
        <v>0</v>
      </c>
      <c r="Q212" s="38">
        <v>2085</v>
      </c>
    </row>
    <row r="213" spans="1:17" x14ac:dyDescent="0.35">
      <c r="A213" s="30" t="s">
        <v>608</v>
      </c>
      <c r="B213" s="31">
        <v>0</v>
      </c>
      <c r="C213" s="31">
        <v>1054</v>
      </c>
      <c r="D213" s="31">
        <v>-4833045.12</v>
      </c>
      <c r="E213" s="30" t="s">
        <v>364</v>
      </c>
      <c r="F213" s="30" t="s">
        <v>609</v>
      </c>
      <c r="G213" s="30" t="s">
        <v>374</v>
      </c>
      <c r="H213" s="30" t="s">
        <v>609</v>
      </c>
      <c r="I213" s="32">
        <v>256779413486</v>
      </c>
      <c r="J213" s="28"/>
      <c r="K213" s="36">
        <v>256779412675</v>
      </c>
      <c r="L213" s="62">
        <v>0</v>
      </c>
      <c r="M213" s="62">
        <v>1447</v>
      </c>
      <c r="O213" s="36">
        <v>256779412675</v>
      </c>
      <c r="P213" s="38">
        <v>0</v>
      </c>
      <c r="Q213" s="38">
        <v>1447</v>
      </c>
    </row>
    <row r="214" spans="1:17" x14ac:dyDescent="0.35">
      <c r="A214" s="30" t="s">
        <v>608</v>
      </c>
      <c r="B214" s="31">
        <v>0</v>
      </c>
      <c r="C214" s="31">
        <v>12177</v>
      </c>
      <c r="D214" s="31">
        <v>-4845222.12</v>
      </c>
      <c r="E214" s="30" t="s">
        <v>364</v>
      </c>
      <c r="F214" s="30" t="s">
        <v>610</v>
      </c>
      <c r="G214" s="30" t="s">
        <v>450</v>
      </c>
      <c r="H214" s="30" t="s">
        <v>610</v>
      </c>
      <c r="I214" s="32">
        <v>256779413837</v>
      </c>
      <c r="J214" s="28"/>
      <c r="K214" s="36">
        <v>256779412683</v>
      </c>
      <c r="L214" s="62">
        <v>0</v>
      </c>
      <c r="M214" s="62">
        <v>43195</v>
      </c>
      <c r="O214" s="36">
        <v>256779412683</v>
      </c>
      <c r="P214" s="38">
        <v>0</v>
      </c>
      <c r="Q214" s="38">
        <v>43195</v>
      </c>
    </row>
    <row r="215" spans="1:17" x14ac:dyDescent="0.35">
      <c r="A215" s="30" t="s">
        <v>611</v>
      </c>
      <c r="B215" s="31">
        <v>0</v>
      </c>
      <c r="C215" s="31">
        <v>3960</v>
      </c>
      <c r="D215" s="31">
        <v>-4849182.12</v>
      </c>
      <c r="E215" s="30" t="s">
        <v>364</v>
      </c>
      <c r="F215" s="30" t="s">
        <v>612</v>
      </c>
      <c r="G215" s="30" t="s">
        <v>433</v>
      </c>
      <c r="H215" s="30" t="s">
        <v>612</v>
      </c>
      <c r="I215" s="32">
        <v>256779413405</v>
      </c>
      <c r="J215" s="28"/>
      <c r="K215" s="36">
        <v>256779412692</v>
      </c>
      <c r="L215" s="62">
        <v>0</v>
      </c>
      <c r="M215" s="62">
        <v>6084</v>
      </c>
      <c r="O215" s="36">
        <v>256779412692</v>
      </c>
      <c r="P215" s="38">
        <v>0</v>
      </c>
      <c r="Q215" s="38">
        <v>6084</v>
      </c>
    </row>
    <row r="216" spans="1:17" x14ac:dyDescent="0.35">
      <c r="A216" s="30" t="s">
        <v>611</v>
      </c>
      <c r="B216" s="31">
        <v>0</v>
      </c>
      <c r="C216" s="31">
        <v>7129</v>
      </c>
      <c r="D216" s="31">
        <v>-4856311.12</v>
      </c>
      <c r="E216" s="30" t="s">
        <v>364</v>
      </c>
      <c r="F216" s="30" t="s">
        <v>613</v>
      </c>
      <c r="G216" s="30" t="s">
        <v>433</v>
      </c>
      <c r="H216" s="30" t="s">
        <v>613</v>
      </c>
      <c r="I216" s="32">
        <v>256779413404</v>
      </c>
      <c r="J216" s="28"/>
      <c r="K216" s="36">
        <v>256779412777</v>
      </c>
      <c r="L216" s="62">
        <v>0</v>
      </c>
      <c r="M216" s="62">
        <v>7981</v>
      </c>
      <c r="O216" s="36">
        <v>256779412777</v>
      </c>
      <c r="P216" s="38">
        <v>0</v>
      </c>
      <c r="Q216" s="38">
        <v>7981</v>
      </c>
    </row>
    <row r="217" spans="1:17" x14ac:dyDescent="0.35">
      <c r="A217" s="30" t="s">
        <v>611</v>
      </c>
      <c r="B217" s="31">
        <v>0</v>
      </c>
      <c r="C217" s="31">
        <v>990</v>
      </c>
      <c r="D217" s="31">
        <v>-4857301.12</v>
      </c>
      <c r="E217" s="30" t="s">
        <v>364</v>
      </c>
      <c r="F217" s="30" t="s">
        <v>614</v>
      </c>
      <c r="G217" s="30" t="s">
        <v>374</v>
      </c>
      <c r="H217" s="30" t="s">
        <v>614</v>
      </c>
      <c r="I217" s="32">
        <v>256779413427</v>
      </c>
      <c r="J217" s="28"/>
      <c r="K217" s="36">
        <v>256779412926</v>
      </c>
      <c r="L217" s="62">
        <v>0</v>
      </c>
      <c r="M217" s="62">
        <v>1878</v>
      </c>
      <c r="O217" s="36">
        <v>256779412926</v>
      </c>
      <c r="P217" s="38">
        <v>0</v>
      </c>
      <c r="Q217" s="38">
        <v>1878</v>
      </c>
    </row>
    <row r="218" spans="1:17" x14ac:dyDescent="0.35">
      <c r="A218" s="30" t="s">
        <v>611</v>
      </c>
      <c r="B218" s="31">
        <v>0</v>
      </c>
      <c r="C218" s="31">
        <v>990</v>
      </c>
      <c r="D218" s="31">
        <v>-4858291.12</v>
      </c>
      <c r="E218" s="30" t="s">
        <v>364</v>
      </c>
      <c r="F218" s="30" t="s">
        <v>615</v>
      </c>
      <c r="G218" s="30" t="s">
        <v>374</v>
      </c>
      <c r="H218" s="30" t="s">
        <v>615</v>
      </c>
      <c r="I218" s="32">
        <v>256779413428</v>
      </c>
      <c r="J218" s="28"/>
      <c r="K218" s="36">
        <v>256779412941</v>
      </c>
      <c r="L218" s="62">
        <v>0</v>
      </c>
      <c r="M218" s="62">
        <v>27408</v>
      </c>
      <c r="O218" s="36">
        <v>256779412941</v>
      </c>
      <c r="P218" s="38">
        <v>0</v>
      </c>
      <c r="Q218" s="38">
        <v>27408</v>
      </c>
    </row>
    <row r="219" spans="1:17" x14ac:dyDescent="0.35">
      <c r="A219" s="30" t="s">
        <v>611</v>
      </c>
      <c r="B219" s="31">
        <v>0</v>
      </c>
      <c r="C219" s="31">
        <v>601</v>
      </c>
      <c r="D219" s="31">
        <v>-4858892.12</v>
      </c>
      <c r="E219" s="30" t="s">
        <v>364</v>
      </c>
      <c r="F219" s="30" t="s">
        <v>616</v>
      </c>
      <c r="G219" s="30" t="s">
        <v>374</v>
      </c>
      <c r="H219" s="30" t="s">
        <v>616</v>
      </c>
      <c r="I219" s="32">
        <v>256779413429</v>
      </c>
      <c r="J219" s="28"/>
      <c r="K219" s="36">
        <v>256779412950</v>
      </c>
      <c r="L219" s="62">
        <v>0</v>
      </c>
      <c r="M219" s="62">
        <v>13211</v>
      </c>
      <c r="O219" s="36">
        <v>256779412950</v>
      </c>
      <c r="P219" s="38">
        <v>0</v>
      </c>
      <c r="Q219" s="38">
        <v>13211</v>
      </c>
    </row>
    <row r="220" spans="1:17" x14ac:dyDescent="0.35">
      <c r="A220" s="30" t="s">
        <v>611</v>
      </c>
      <c r="B220" s="31">
        <v>0</v>
      </c>
      <c r="C220" s="31">
        <v>1201</v>
      </c>
      <c r="D220" s="31">
        <v>-4860093.12</v>
      </c>
      <c r="E220" s="30" t="s">
        <v>364</v>
      </c>
      <c r="F220" s="30" t="s">
        <v>617</v>
      </c>
      <c r="G220" s="30" t="s">
        <v>374</v>
      </c>
      <c r="H220" s="30" t="s">
        <v>617</v>
      </c>
      <c r="I220" s="32">
        <v>256779413430</v>
      </c>
      <c r="J220" s="28"/>
      <c r="K220" s="36">
        <v>256779413127</v>
      </c>
      <c r="L220" s="62">
        <v>0</v>
      </c>
      <c r="M220" s="62">
        <v>35097</v>
      </c>
      <c r="O220" s="36">
        <v>256779413127</v>
      </c>
      <c r="P220" s="38">
        <v>0</v>
      </c>
      <c r="Q220" s="38">
        <v>35097</v>
      </c>
    </row>
    <row r="221" spans="1:17" x14ac:dyDescent="0.35">
      <c r="A221" s="30" t="s">
        <v>618</v>
      </c>
      <c r="B221" s="31">
        <v>0</v>
      </c>
      <c r="C221" s="31">
        <v>333696</v>
      </c>
      <c r="D221" s="31">
        <v>-5193789.12</v>
      </c>
      <c r="E221" s="30" t="s">
        <v>364</v>
      </c>
      <c r="F221" s="30" t="s">
        <v>619</v>
      </c>
      <c r="G221" s="30" t="s">
        <v>381</v>
      </c>
      <c r="H221" s="30" t="s">
        <v>619</v>
      </c>
      <c r="I221" s="32">
        <v>256779413899</v>
      </c>
      <c r="J221" s="28"/>
      <c r="K221" s="36">
        <v>256779413163</v>
      </c>
      <c r="L221" s="62">
        <v>0</v>
      </c>
      <c r="M221" s="62">
        <v>15927</v>
      </c>
      <c r="O221" s="36">
        <v>256779413163</v>
      </c>
      <c r="P221" s="38">
        <v>0</v>
      </c>
      <c r="Q221" s="38">
        <v>15927</v>
      </c>
    </row>
    <row r="222" spans="1:17" x14ac:dyDescent="0.35">
      <c r="A222" s="30" t="s">
        <v>620</v>
      </c>
      <c r="B222" s="31">
        <v>177773</v>
      </c>
      <c r="C222" s="31">
        <v>0</v>
      </c>
      <c r="D222" s="31">
        <v>-5016016.12</v>
      </c>
      <c r="E222" s="30" t="s">
        <v>621</v>
      </c>
      <c r="F222" s="30" t="s">
        <v>622</v>
      </c>
      <c r="G222" s="30" t="s">
        <v>623</v>
      </c>
      <c r="H222" s="30"/>
      <c r="I222" s="32" t="s">
        <v>885</v>
      </c>
      <c r="J222" s="28"/>
      <c r="K222" s="36">
        <v>256779413172</v>
      </c>
      <c r="L222" s="62">
        <v>0</v>
      </c>
      <c r="M222" s="62">
        <v>11810</v>
      </c>
      <c r="O222" s="36">
        <v>256779413172</v>
      </c>
      <c r="P222" s="38">
        <v>0</v>
      </c>
      <c r="Q222" s="38">
        <v>11810</v>
      </c>
    </row>
    <row r="223" spans="1:17" x14ac:dyDescent="0.35">
      <c r="A223" s="30" t="s">
        <v>624</v>
      </c>
      <c r="B223" s="31">
        <v>0</v>
      </c>
      <c r="C223" s="31">
        <v>9844</v>
      </c>
      <c r="D223" s="31">
        <v>-5025860.12</v>
      </c>
      <c r="E223" s="30" t="s">
        <v>364</v>
      </c>
      <c r="F223" s="30" t="s">
        <v>625</v>
      </c>
      <c r="G223" s="30" t="s">
        <v>374</v>
      </c>
      <c r="H223" s="30" t="s">
        <v>625</v>
      </c>
      <c r="I223" s="32">
        <v>256779414165</v>
      </c>
      <c r="J223" s="28"/>
      <c r="K223" s="36">
        <v>256779413184</v>
      </c>
      <c r="L223" s="62">
        <v>0</v>
      </c>
      <c r="M223" s="62">
        <v>11723.0177</v>
      </c>
      <c r="O223" s="36">
        <v>256779413184</v>
      </c>
      <c r="P223" s="38">
        <v>0</v>
      </c>
      <c r="Q223" s="38">
        <v>11723.0177</v>
      </c>
    </row>
    <row r="224" spans="1:17" x14ac:dyDescent="0.35">
      <c r="A224" s="30" t="s">
        <v>624</v>
      </c>
      <c r="B224" s="31">
        <v>0</v>
      </c>
      <c r="C224" s="31">
        <v>8407</v>
      </c>
      <c r="D224" s="31">
        <v>-5034267.12</v>
      </c>
      <c r="E224" s="30" t="s">
        <v>364</v>
      </c>
      <c r="F224" s="30" t="s">
        <v>626</v>
      </c>
      <c r="G224" s="30" t="s">
        <v>374</v>
      </c>
      <c r="H224" s="30" t="s">
        <v>626</v>
      </c>
      <c r="I224" s="32">
        <v>256779414216</v>
      </c>
      <c r="J224" s="28"/>
      <c r="K224" s="36">
        <v>256779413243</v>
      </c>
      <c r="L224" s="62">
        <v>0</v>
      </c>
      <c r="M224" s="62">
        <v>3623</v>
      </c>
      <c r="O224" s="36">
        <v>256779413243</v>
      </c>
      <c r="P224" s="38">
        <v>0</v>
      </c>
      <c r="Q224" s="38">
        <v>3623</v>
      </c>
    </row>
    <row r="225" spans="1:17" x14ac:dyDescent="0.35">
      <c r="A225" s="30" t="s">
        <v>624</v>
      </c>
      <c r="B225" s="31">
        <v>500946.52</v>
      </c>
      <c r="C225" s="31">
        <v>0</v>
      </c>
      <c r="D225" s="31">
        <v>-4533320.5999999996</v>
      </c>
      <c r="E225" s="30" t="s">
        <v>621</v>
      </c>
      <c r="F225" s="30" t="s">
        <v>627</v>
      </c>
      <c r="G225" s="30" t="s">
        <v>623</v>
      </c>
      <c r="H225" s="30" t="s">
        <v>628</v>
      </c>
      <c r="I225" s="32" t="s">
        <v>885</v>
      </c>
      <c r="J225" s="28"/>
      <c r="K225" s="36">
        <v>256779413283</v>
      </c>
      <c r="L225" s="62">
        <v>0</v>
      </c>
      <c r="M225" s="62">
        <v>11797</v>
      </c>
      <c r="O225" s="36">
        <v>256779413283</v>
      </c>
      <c r="P225" s="38">
        <v>0</v>
      </c>
      <c r="Q225" s="38">
        <v>11797</v>
      </c>
    </row>
    <row r="226" spans="1:17" x14ac:dyDescent="0.35">
      <c r="A226" s="30" t="s">
        <v>701</v>
      </c>
      <c r="B226" s="31">
        <v>12467</v>
      </c>
      <c r="C226" s="31">
        <v>12467</v>
      </c>
      <c r="D226" s="31">
        <v>-757662.59999999963</v>
      </c>
      <c r="E226" s="30" t="s">
        <v>666</v>
      </c>
      <c r="F226" s="30" t="s">
        <v>710</v>
      </c>
      <c r="G226" s="30"/>
      <c r="H226" s="30" t="s">
        <v>711</v>
      </c>
      <c r="I226" s="32" t="s">
        <v>666</v>
      </c>
      <c r="J226" s="28"/>
      <c r="K226" s="36">
        <v>256779413357</v>
      </c>
      <c r="L226" s="62">
        <v>0</v>
      </c>
      <c r="M226" s="62">
        <v>1264</v>
      </c>
      <c r="O226" s="36">
        <v>256779413357</v>
      </c>
      <c r="P226" s="38">
        <v>0</v>
      </c>
      <c r="Q226" s="38">
        <v>1264</v>
      </c>
    </row>
    <row r="227" spans="1:17" x14ac:dyDescent="0.35">
      <c r="A227" s="30" t="s">
        <v>624</v>
      </c>
      <c r="B227" s="31">
        <v>0</v>
      </c>
      <c r="C227" s="31">
        <v>41769</v>
      </c>
      <c r="D227" s="31">
        <v>-4592402.5999999996</v>
      </c>
      <c r="E227" s="30" t="s">
        <v>364</v>
      </c>
      <c r="F227" s="30" t="s">
        <v>630</v>
      </c>
      <c r="G227" s="30" t="s">
        <v>631</v>
      </c>
      <c r="H227" s="30" t="s">
        <v>630</v>
      </c>
      <c r="I227" s="32">
        <v>256779414158</v>
      </c>
      <c r="J227" s="28"/>
      <c r="K227" s="36">
        <v>256779413404</v>
      </c>
      <c r="L227" s="62">
        <v>0</v>
      </c>
      <c r="M227" s="62">
        <v>7129</v>
      </c>
      <c r="O227" s="36">
        <v>256779413404</v>
      </c>
      <c r="P227" s="38">
        <v>0</v>
      </c>
      <c r="Q227" s="38">
        <v>7129</v>
      </c>
    </row>
    <row r="228" spans="1:17" x14ac:dyDescent="0.35">
      <c r="A228" s="30" t="s">
        <v>632</v>
      </c>
      <c r="B228" s="31">
        <v>0</v>
      </c>
      <c r="C228" s="31">
        <v>352792</v>
      </c>
      <c r="D228" s="31">
        <v>-4945194.5999999996</v>
      </c>
      <c r="E228" s="30" t="s">
        <v>364</v>
      </c>
      <c r="F228" s="30" t="s">
        <v>633</v>
      </c>
      <c r="G228" s="30" t="s">
        <v>381</v>
      </c>
      <c r="H228" s="30" t="s">
        <v>633</v>
      </c>
      <c r="I228" s="32">
        <v>256779414242</v>
      </c>
      <c r="J228" s="28"/>
      <c r="K228" s="36">
        <v>256779413405</v>
      </c>
      <c r="L228" s="62">
        <v>0</v>
      </c>
      <c r="M228" s="62">
        <v>3960</v>
      </c>
      <c r="O228" s="36">
        <v>256779413405</v>
      </c>
      <c r="P228" s="38">
        <v>0</v>
      </c>
      <c r="Q228" s="38">
        <v>3960</v>
      </c>
    </row>
    <row r="229" spans="1:17" x14ac:dyDescent="0.35">
      <c r="A229" s="30" t="s">
        <v>634</v>
      </c>
      <c r="B229" s="31">
        <v>0</v>
      </c>
      <c r="C229" s="31">
        <v>35431</v>
      </c>
      <c r="D229" s="31">
        <v>-4980625.5999999996</v>
      </c>
      <c r="E229" s="30" t="s">
        <v>364</v>
      </c>
      <c r="F229" s="30" t="s">
        <v>635</v>
      </c>
      <c r="G229" s="30" t="s">
        <v>366</v>
      </c>
      <c r="H229" s="30" t="s">
        <v>635</v>
      </c>
      <c r="I229" s="32">
        <v>256779414386</v>
      </c>
      <c r="J229" s="28"/>
      <c r="K229" s="36">
        <v>256779413427</v>
      </c>
      <c r="L229" s="62">
        <v>0</v>
      </c>
      <c r="M229" s="62">
        <v>990</v>
      </c>
      <c r="O229" s="36">
        <v>256779413427</v>
      </c>
      <c r="P229" s="38">
        <v>0</v>
      </c>
      <c r="Q229" s="38">
        <v>990</v>
      </c>
    </row>
    <row r="230" spans="1:17" x14ac:dyDescent="0.35">
      <c r="A230" s="30" t="s">
        <v>636</v>
      </c>
      <c r="B230" s="31">
        <v>700000</v>
      </c>
      <c r="C230" s="31">
        <v>0</v>
      </c>
      <c r="D230" s="31">
        <v>-4280625.5999999996</v>
      </c>
      <c r="E230" s="30" t="s">
        <v>621</v>
      </c>
      <c r="F230" s="30" t="s">
        <v>637</v>
      </c>
      <c r="G230" s="30" t="s">
        <v>623</v>
      </c>
      <c r="H230" s="30"/>
      <c r="I230" s="32" t="s">
        <v>885</v>
      </c>
      <c r="J230" s="28"/>
      <c r="K230" s="36">
        <v>256779413428</v>
      </c>
      <c r="L230" s="62">
        <v>0</v>
      </c>
      <c r="M230" s="62">
        <v>990</v>
      </c>
      <c r="O230" s="36">
        <v>256779413428</v>
      </c>
      <c r="P230" s="38">
        <v>0</v>
      </c>
      <c r="Q230" s="38">
        <v>990</v>
      </c>
    </row>
    <row r="231" spans="1:17" x14ac:dyDescent="0.35">
      <c r="A231" s="30" t="s">
        <v>638</v>
      </c>
      <c r="B231" s="31">
        <v>700000</v>
      </c>
      <c r="C231" s="31">
        <v>0</v>
      </c>
      <c r="D231" s="31">
        <v>-3580625.6</v>
      </c>
      <c r="E231" s="30" t="s">
        <v>621</v>
      </c>
      <c r="F231" s="30" t="s">
        <v>639</v>
      </c>
      <c r="G231" s="30" t="s">
        <v>623</v>
      </c>
      <c r="H231" s="30"/>
      <c r="I231" s="32" t="s">
        <v>885</v>
      </c>
      <c r="J231" s="28"/>
      <c r="K231" s="36">
        <v>256779413429</v>
      </c>
      <c r="L231" s="62">
        <v>0</v>
      </c>
      <c r="M231" s="62">
        <v>601</v>
      </c>
      <c r="O231" s="36">
        <v>256779413429</v>
      </c>
      <c r="P231" s="38">
        <v>0</v>
      </c>
      <c r="Q231" s="38">
        <v>601</v>
      </c>
    </row>
    <row r="232" spans="1:17" x14ac:dyDescent="0.35">
      <c r="A232" s="30" t="s">
        <v>640</v>
      </c>
      <c r="B232" s="31">
        <v>700000</v>
      </c>
      <c r="C232" s="31">
        <v>0</v>
      </c>
      <c r="D232" s="31">
        <v>-2880625.6</v>
      </c>
      <c r="E232" s="30" t="s">
        <v>621</v>
      </c>
      <c r="F232" s="30" t="s">
        <v>641</v>
      </c>
      <c r="G232" s="30" t="s">
        <v>623</v>
      </c>
      <c r="H232" s="30"/>
      <c r="I232" s="32" t="s">
        <v>885</v>
      </c>
      <c r="J232" s="28"/>
      <c r="K232" s="36">
        <v>256779413430</v>
      </c>
      <c r="L232" s="62">
        <v>0</v>
      </c>
      <c r="M232" s="62">
        <v>1201</v>
      </c>
      <c r="O232" s="36">
        <v>256779413430</v>
      </c>
      <c r="P232" s="38">
        <v>0</v>
      </c>
      <c r="Q232" s="38">
        <v>1201</v>
      </c>
    </row>
    <row r="233" spans="1:17" x14ac:dyDescent="0.35">
      <c r="A233" s="30" t="s">
        <v>642</v>
      </c>
      <c r="B233" s="31">
        <v>700000</v>
      </c>
      <c r="C233" s="31">
        <v>0</v>
      </c>
      <c r="D233" s="31">
        <v>-2180625.6</v>
      </c>
      <c r="E233" s="30" t="s">
        <v>621</v>
      </c>
      <c r="F233" s="30" t="s">
        <v>643</v>
      </c>
      <c r="G233" s="30" t="s">
        <v>623</v>
      </c>
      <c r="H233" s="30"/>
      <c r="I233" s="32" t="s">
        <v>885</v>
      </c>
      <c r="J233" s="28"/>
      <c r="K233" s="36">
        <v>256779413486</v>
      </c>
      <c r="L233" s="62">
        <v>0</v>
      </c>
      <c r="M233" s="62">
        <v>1054</v>
      </c>
      <c r="O233" s="36">
        <v>256779413486</v>
      </c>
      <c r="P233" s="38">
        <v>0</v>
      </c>
      <c r="Q233" s="38">
        <v>1054</v>
      </c>
    </row>
    <row r="234" spans="1:17" x14ac:dyDescent="0.35">
      <c r="A234" s="30" t="s">
        <v>644</v>
      </c>
      <c r="B234" s="31">
        <v>700000</v>
      </c>
      <c r="C234" s="31">
        <v>0</v>
      </c>
      <c r="D234" s="31">
        <v>-1480625.6</v>
      </c>
      <c r="E234" s="30" t="s">
        <v>621</v>
      </c>
      <c r="F234" s="30" t="s">
        <v>645</v>
      </c>
      <c r="G234" s="30" t="s">
        <v>623</v>
      </c>
      <c r="H234" s="30"/>
      <c r="I234" s="32" t="s">
        <v>885</v>
      </c>
      <c r="J234" s="28"/>
      <c r="K234" s="36">
        <v>256779413837</v>
      </c>
      <c r="L234" s="62">
        <v>0</v>
      </c>
      <c r="M234" s="62">
        <v>12177</v>
      </c>
      <c r="O234" s="36">
        <v>256779413837</v>
      </c>
      <c r="P234" s="38">
        <v>0</v>
      </c>
      <c r="Q234" s="38">
        <v>12177</v>
      </c>
    </row>
    <row r="235" spans="1:17" x14ac:dyDescent="0.35">
      <c r="A235" s="30" t="s">
        <v>647</v>
      </c>
      <c r="B235" s="31">
        <v>0</v>
      </c>
      <c r="C235" s="31">
        <v>163631</v>
      </c>
      <c r="D235" s="31">
        <v>-1463026.6</v>
      </c>
      <c r="E235" s="30" t="s">
        <v>364</v>
      </c>
      <c r="F235" s="30" t="s">
        <v>659</v>
      </c>
      <c r="G235" s="30" t="s">
        <v>381</v>
      </c>
      <c r="H235" s="30" t="s">
        <v>659</v>
      </c>
      <c r="I235" s="32">
        <v>246779413796</v>
      </c>
      <c r="J235" s="28"/>
      <c r="K235" s="36">
        <v>256779413899</v>
      </c>
      <c r="L235" s="62">
        <v>0</v>
      </c>
      <c r="M235" s="62">
        <v>333696</v>
      </c>
      <c r="O235" s="36">
        <v>256779413899</v>
      </c>
      <c r="P235" s="38">
        <v>0</v>
      </c>
      <c r="Q235" s="38">
        <v>333696</v>
      </c>
    </row>
    <row r="236" spans="1:17" x14ac:dyDescent="0.35">
      <c r="A236" s="30" t="s">
        <v>647</v>
      </c>
      <c r="B236" s="31">
        <v>11955</v>
      </c>
      <c r="C236" s="31">
        <v>0</v>
      </c>
      <c r="D236" s="31">
        <v>-1299395.6000000001</v>
      </c>
      <c r="E236" s="30" t="s">
        <v>648</v>
      </c>
      <c r="F236" s="30" t="s">
        <v>658</v>
      </c>
      <c r="G236" s="30" t="s">
        <v>545</v>
      </c>
      <c r="H236" s="30" t="s">
        <v>544</v>
      </c>
      <c r="I236" s="26">
        <v>256779421384</v>
      </c>
      <c r="J236" s="28"/>
      <c r="K236" s="36">
        <v>256779414158</v>
      </c>
      <c r="L236" s="62">
        <v>0</v>
      </c>
      <c r="M236" s="62">
        <v>41769</v>
      </c>
      <c r="O236" s="36">
        <v>256779414158</v>
      </c>
      <c r="P236" s="38">
        <v>0</v>
      </c>
      <c r="Q236" s="38">
        <v>41769</v>
      </c>
    </row>
    <row r="237" spans="1:17" x14ac:dyDescent="0.35">
      <c r="A237" s="30" t="s">
        <v>527</v>
      </c>
      <c r="B237" s="31">
        <v>0</v>
      </c>
      <c r="C237" s="31">
        <v>19429</v>
      </c>
      <c r="D237" s="31">
        <v>-2914091.12</v>
      </c>
      <c r="E237" s="30" t="s">
        <v>364</v>
      </c>
      <c r="F237" s="30" t="s">
        <v>546</v>
      </c>
      <c r="G237" s="30" t="s">
        <v>381</v>
      </c>
      <c r="H237" s="30" t="s">
        <v>546</v>
      </c>
      <c r="I237" s="32">
        <v>246779413705</v>
      </c>
      <c r="J237" s="28"/>
      <c r="K237" s="36">
        <v>256779414165</v>
      </c>
      <c r="L237" s="62">
        <v>0</v>
      </c>
      <c r="M237" s="62">
        <v>9844</v>
      </c>
      <c r="O237" s="36">
        <v>256779414165</v>
      </c>
      <c r="P237" s="38">
        <v>0</v>
      </c>
      <c r="Q237" s="38">
        <v>9844</v>
      </c>
    </row>
    <row r="238" spans="1:17" x14ac:dyDescent="0.35">
      <c r="A238" s="30" t="s">
        <v>527</v>
      </c>
      <c r="B238" s="31">
        <v>0</v>
      </c>
      <c r="C238" s="31">
        <v>45188</v>
      </c>
      <c r="D238" s="31">
        <v>-2894662.12</v>
      </c>
      <c r="E238" s="30" t="s">
        <v>364</v>
      </c>
      <c r="F238" s="30" t="s">
        <v>544</v>
      </c>
      <c r="G238" s="30" t="s">
        <v>545</v>
      </c>
      <c r="H238" s="30" t="s">
        <v>544</v>
      </c>
      <c r="I238" s="32">
        <v>246779413845</v>
      </c>
      <c r="J238" s="28"/>
      <c r="K238" s="36">
        <v>256779414216</v>
      </c>
      <c r="L238" s="62">
        <v>0</v>
      </c>
      <c r="M238" s="62">
        <v>8407</v>
      </c>
      <c r="O238" s="36">
        <v>256779414216</v>
      </c>
      <c r="P238" s="38">
        <v>0</v>
      </c>
      <c r="Q238" s="38">
        <v>8407</v>
      </c>
    </row>
    <row r="239" spans="1:17" x14ac:dyDescent="0.35">
      <c r="A239" s="30" t="s">
        <v>701</v>
      </c>
      <c r="B239" s="31">
        <v>114223</v>
      </c>
      <c r="C239" s="31">
        <v>114223</v>
      </c>
      <c r="D239" s="31">
        <v>-757662.59999999963</v>
      </c>
      <c r="E239" s="30" t="s">
        <v>666</v>
      </c>
      <c r="F239" s="30" t="s">
        <v>716</v>
      </c>
      <c r="G239" s="30"/>
      <c r="H239" s="30" t="s">
        <v>717</v>
      </c>
      <c r="I239" s="32" t="s">
        <v>666</v>
      </c>
      <c r="J239" s="28"/>
      <c r="K239" s="36">
        <v>256779414242</v>
      </c>
      <c r="L239" s="62">
        <v>0</v>
      </c>
      <c r="M239" s="62">
        <v>352792</v>
      </c>
      <c r="O239" s="36">
        <v>256779414242</v>
      </c>
      <c r="P239" s="38">
        <v>0</v>
      </c>
      <c r="Q239" s="38">
        <v>352792</v>
      </c>
    </row>
    <row r="240" spans="1:17" x14ac:dyDescent="0.35">
      <c r="A240" s="30" t="s">
        <v>552</v>
      </c>
      <c r="B240" s="31">
        <v>0</v>
      </c>
      <c r="C240" s="31">
        <v>114223</v>
      </c>
      <c r="D240" s="31">
        <v>-3356433.12</v>
      </c>
      <c r="E240" s="30" t="s">
        <v>364</v>
      </c>
      <c r="F240" s="30" t="s">
        <v>563</v>
      </c>
      <c r="G240" s="30" t="s">
        <v>381</v>
      </c>
      <c r="H240" s="30" t="s">
        <v>563</v>
      </c>
      <c r="I240" s="32">
        <v>256779410220</v>
      </c>
      <c r="J240" s="28"/>
      <c r="K240" s="36">
        <v>256779414288</v>
      </c>
      <c r="L240" s="62">
        <v>0</v>
      </c>
      <c r="M240" s="62">
        <v>17313</v>
      </c>
      <c r="O240" s="36">
        <v>256779414288</v>
      </c>
      <c r="P240" s="38">
        <v>0</v>
      </c>
      <c r="Q240" s="38">
        <v>17313</v>
      </c>
    </row>
    <row r="241" spans="1:17" x14ac:dyDescent="0.35">
      <c r="A241" s="30" t="s">
        <v>474</v>
      </c>
      <c r="B241" s="31">
        <v>0</v>
      </c>
      <c r="C241" s="31">
        <v>18610</v>
      </c>
      <c r="D241" s="31">
        <v>-2459207.12</v>
      </c>
      <c r="E241" s="30" t="s">
        <v>364</v>
      </c>
      <c r="F241" s="30" t="s">
        <v>489</v>
      </c>
      <c r="G241" s="30" t="s">
        <v>488</v>
      </c>
      <c r="H241" s="30" t="s">
        <v>489</v>
      </c>
      <c r="I241" s="32">
        <v>246779413816</v>
      </c>
      <c r="J241" s="28"/>
      <c r="K241" s="36">
        <v>256779414340</v>
      </c>
      <c r="L241" s="62">
        <v>0</v>
      </c>
      <c r="M241" s="62">
        <v>45061.335200000001</v>
      </c>
      <c r="O241" s="36">
        <v>256779414340</v>
      </c>
      <c r="P241" s="38">
        <v>0</v>
      </c>
      <c r="Q241" s="38">
        <v>45061.335200000001</v>
      </c>
    </row>
    <row r="242" spans="1:17" x14ac:dyDescent="0.35">
      <c r="A242" s="30" t="s">
        <v>701</v>
      </c>
      <c r="B242" s="31">
        <v>12169</v>
      </c>
      <c r="C242" s="31">
        <v>12169</v>
      </c>
      <c r="D242" s="31">
        <v>-757662.59999999963</v>
      </c>
      <c r="E242" s="30" t="s">
        <v>666</v>
      </c>
      <c r="F242" s="30" t="s">
        <v>714</v>
      </c>
      <c r="G242" s="30"/>
      <c r="H242" s="30" t="s">
        <v>715</v>
      </c>
      <c r="I242" s="32" t="s">
        <v>666</v>
      </c>
      <c r="J242" s="28"/>
      <c r="K242" s="36">
        <v>256779414386</v>
      </c>
      <c r="L242" s="62">
        <v>0</v>
      </c>
      <c r="M242" s="62">
        <v>35431</v>
      </c>
      <c r="O242" s="36">
        <v>256779414386</v>
      </c>
      <c r="P242" s="38">
        <v>0</v>
      </c>
      <c r="Q242" s="38">
        <v>35431</v>
      </c>
    </row>
    <row r="243" spans="1:17" x14ac:dyDescent="0.35">
      <c r="A243" s="30" t="s">
        <v>474</v>
      </c>
      <c r="B243" s="31">
        <v>0</v>
      </c>
      <c r="C243" s="31">
        <v>31723</v>
      </c>
      <c r="D243" s="31">
        <v>-2490930.12</v>
      </c>
      <c r="E243" s="30" t="s">
        <v>364</v>
      </c>
      <c r="F243" s="30" t="s">
        <v>490</v>
      </c>
      <c r="G243" s="30" t="s">
        <v>488</v>
      </c>
      <c r="H243" s="30" t="s">
        <v>490</v>
      </c>
      <c r="I243" s="32">
        <v>246779413827</v>
      </c>
      <c r="J243" s="28"/>
      <c r="K243" s="36">
        <v>256779414743</v>
      </c>
      <c r="L243" s="62">
        <v>0</v>
      </c>
      <c r="M243" s="62">
        <v>6064.0230000000001</v>
      </c>
      <c r="O243" s="36">
        <v>256779414743</v>
      </c>
      <c r="P243" s="38">
        <v>0</v>
      </c>
      <c r="Q243" s="38">
        <v>6064.0230000000001</v>
      </c>
    </row>
    <row r="244" spans="1:17" x14ac:dyDescent="0.35">
      <c r="A244" s="30" t="s">
        <v>574</v>
      </c>
      <c r="B244" s="31">
        <v>0</v>
      </c>
      <c r="C244" s="31">
        <v>12169</v>
      </c>
      <c r="D244" s="31">
        <v>-4585372.12</v>
      </c>
      <c r="E244" s="30" t="s">
        <v>364</v>
      </c>
      <c r="F244" s="30" t="s">
        <v>581</v>
      </c>
      <c r="G244" s="30" t="s">
        <v>582</v>
      </c>
      <c r="H244" s="30" t="s">
        <v>581</v>
      </c>
      <c r="I244" s="32">
        <v>256779411917</v>
      </c>
      <c r="J244" s="28"/>
      <c r="K244" s="36">
        <v>256779414748</v>
      </c>
      <c r="L244" s="62">
        <v>0</v>
      </c>
      <c r="M244" s="62">
        <v>1800.3510000000001</v>
      </c>
      <c r="O244" s="36">
        <v>256779414748</v>
      </c>
      <c r="P244" s="38">
        <v>0</v>
      </c>
      <c r="Q244" s="38">
        <v>1800.3510000000001</v>
      </c>
    </row>
    <row r="245" spans="1:17" x14ac:dyDescent="0.35">
      <c r="A245" s="30" t="s">
        <v>647</v>
      </c>
      <c r="B245" s="31">
        <v>31577</v>
      </c>
      <c r="C245" s="31">
        <v>0</v>
      </c>
      <c r="D245" s="31">
        <v>-1318083.6000000001</v>
      </c>
      <c r="E245" s="30" t="s">
        <v>648</v>
      </c>
      <c r="F245" s="30" t="s">
        <v>665</v>
      </c>
      <c r="G245" s="30" t="s">
        <v>381</v>
      </c>
      <c r="H245" s="30" t="s">
        <v>665</v>
      </c>
      <c r="I245" s="32">
        <v>256779421361</v>
      </c>
      <c r="J245" s="28"/>
      <c r="K245" s="36">
        <v>256779414758</v>
      </c>
      <c r="L245" s="62">
        <v>0</v>
      </c>
      <c r="M245" s="62">
        <v>14610.374299999999</v>
      </c>
      <c r="O245" s="36">
        <v>256779414758</v>
      </c>
      <c r="P245" s="38">
        <v>0</v>
      </c>
      <c r="Q245" s="38">
        <v>14610.374299999999</v>
      </c>
    </row>
    <row r="246" spans="1:17" x14ac:dyDescent="0.35">
      <c r="A246" s="30" t="s">
        <v>701</v>
      </c>
      <c r="B246" s="31">
        <v>6084</v>
      </c>
      <c r="C246" s="31">
        <v>6084</v>
      </c>
      <c r="D246" s="31">
        <v>-757662.59999999963</v>
      </c>
      <c r="E246" s="30" t="s">
        <v>666</v>
      </c>
      <c r="F246" s="30" t="s">
        <v>712</v>
      </c>
      <c r="G246" s="30"/>
      <c r="H246" s="30" t="s">
        <v>713</v>
      </c>
      <c r="I246" s="32" t="s">
        <v>666</v>
      </c>
      <c r="J246" s="28"/>
      <c r="K246" s="36">
        <v>256779414768</v>
      </c>
      <c r="L246" s="62">
        <v>0</v>
      </c>
      <c r="M246" s="62">
        <v>1492.1116</v>
      </c>
      <c r="O246" s="36">
        <v>256779414768</v>
      </c>
      <c r="P246" s="38">
        <v>0</v>
      </c>
      <c r="Q246" s="38">
        <v>1492.1116</v>
      </c>
    </row>
    <row r="247" spans="1:17" x14ac:dyDescent="0.35">
      <c r="A247" s="30" t="s">
        <v>647</v>
      </c>
      <c r="B247" s="31">
        <v>19430</v>
      </c>
      <c r="C247" s="31">
        <v>0</v>
      </c>
      <c r="D247" s="31">
        <v>-1612920.6</v>
      </c>
      <c r="E247" s="30" t="s">
        <v>648</v>
      </c>
      <c r="F247" s="30" t="s">
        <v>649</v>
      </c>
      <c r="G247" s="30" t="s">
        <v>381</v>
      </c>
      <c r="H247" s="30" t="s">
        <v>546</v>
      </c>
      <c r="I247" s="26">
        <v>256779421362</v>
      </c>
      <c r="J247" s="28"/>
      <c r="K247" s="36">
        <v>256779414829</v>
      </c>
      <c r="L247" s="62">
        <v>0</v>
      </c>
      <c r="M247" s="62">
        <v>8595.7669999999998</v>
      </c>
      <c r="O247" s="36">
        <v>256779414829</v>
      </c>
      <c r="P247" s="38">
        <v>0</v>
      </c>
      <c r="Q247" s="38">
        <v>8595.7669999999998</v>
      </c>
    </row>
    <row r="248" spans="1:17" x14ac:dyDescent="0.35">
      <c r="A248" s="30" t="s">
        <v>647</v>
      </c>
      <c r="B248" s="31">
        <v>18611</v>
      </c>
      <c r="C248" s="31">
        <v>0</v>
      </c>
      <c r="D248" s="31">
        <v>-1594309.6</v>
      </c>
      <c r="E248" s="30" t="s">
        <v>648</v>
      </c>
      <c r="F248" s="30" t="s">
        <v>650</v>
      </c>
      <c r="G248" s="30" t="s">
        <v>488</v>
      </c>
      <c r="H248" s="30" t="s">
        <v>489</v>
      </c>
      <c r="I248" s="26">
        <v>256779421364</v>
      </c>
      <c r="J248" s="28"/>
      <c r="K248" s="36">
        <v>256779414878</v>
      </c>
      <c r="L248" s="62">
        <v>0</v>
      </c>
      <c r="M248" s="62">
        <v>2642.8006</v>
      </c>
      <c r="O248" s="36">
        <v>256779414878</v>
      </c>
      <c r="P248" s="38">
        <v>0</v>
      </c>
      <c r="Q248" s="38">
        <v>2642.8006</v>
      </c>
    </row>
    <row r="249" spans="1:17" x14ac:dyDescent="0.35">
      <c r="A249" s="30" t="s">
        <v>647</v>
      </c>
      <c r="B249" s="31">
        <v>31723</v>
      </c>
      <c r="C249" s="31">
        <v>0</v>
      </c>
      <c r="D249" s="31">
        <v>-1562586.6</v>
      </c>
      <c r="E249" s="30" t="s">
        <v>648</v>
      </c>
      <c r="F249" s="30" t="s">
        <v>651</v>
      </c>
      <c r="G249" s="30" t="s">
        <v>488</v>
      </c>
      <c r="H249" s="30" t="s">
        <v>490</v>
      </c>
      <c r="I249" s="26">
        <v>256779421365</v>
      </c>
      <c r="J249" s="28"/>
      <c r="K249" s="36">
        <v>256779414890</v>
      </c>
      <c r="L249" s="62">
        <v>0</v>
      </c>
      <c r="M249" s="62">
        <v>91401.512100000007</v>
      </c>
      <c r="O249" s="36">
        <v>256779414890</v>
      </c>
      <c r="P249" s="38">
        <v>0</v>
      </c>
      <c r="Q249" s="38">
        <v>91401.512100000007</v>
      </c>
    </row>
    <row r="250" spans="1:17" x14ac:dyDescent="0.35">
      <c r="A250" s="30" t="s">
        <v>647</v>
      </c>
      <c r="B250" s="31">
        <v>114223</v>
      </c>
      <c r="C250" s="31">
        <v>0</v>
      </c>
      <c r="D250" s="31">
        <v>-1318083.6000000001</v>
      </c>
      <c r="E250" s="30" t="s">
        <v>648</v>
      </c>
      <c r="F250" s="30" t="s">
        <v>663</v>
      </c>
      <c r="G250" s="30" t="s">
        <v>381</v>
      </c>
      <c r="H250" s="30" t="s">
        <v>663</v>
      </c>
      <c r="I250" s="32">
        <v>256779421367</v>
      </c>
      <c r="J250" s="28"/>
      <c r="K250" s="36">
        <v>256779414944</v>
      </c>
      <c r="L250" s="62">
        <v>0</v>
      </c>
      <c r="M250" s="62">
        <v>35324.775199999996</v>
      </c>
      <c r="O250" s="36">
        <v>256779414944</v>
      </c>
      <c r="P250" s="38">
        <v>0</v>
      </c>
      <c r="Q250" s="38">
        <v>35324.775199999996</v>
      </c>
    </row>
    <row r="251" spans="1:17" x14ac:dyDescent="0.35">
      <c r="A251" s="30" t="s">
        <v>647</v>
      </c>
      <c r="B251" s="31">
        <v>55272</v>
      </c>
      <c r="C251" s="31">
        <v>0</v>
      </c>
      <c r="D251" s="31">
        <v>-1316136.6000000001</v>
      </c>
      <c r="E251" s="30" t="s">
        <v>648</v>
      </c>
      <c r="F251" s="30" t="s">
        <v>656</v>
      </c>
      <c r="G251" s="30" t="s">
        <v>381</v>
      </c>
      <c r="H251" s="30" t="s">
        <v>562</v>
      </c>
      <c r="I251" s="26">
        <v>256779421368</v>
      </c>
      <c r="J251" s="28"/>
      <c r="K251" s="36">
        <v>256779414968</v>
      </c>
      <c r="L251" s="62">
        <v>0</v>
      </c>
      <c r="M251" s="62">
        <v>2629.9005000000002</v>
      </c>
      <c r="O251" s="36">
        <v>256779414968</v>
      </c>
      <c r="P251" s="38">
        <v>0</v>
      </c>
      <c r="Q251" s="38">
        <v>2629.9005000000002</v>
      </c>
    </row>
    <row r="252" spans="1:17" x14ac:dyDescent="0.35">
      <c r="A252" s="30" t="s">
        <v>647</v>
      </c>
      <c r="B252" s="31">
        <v>140649</v>
      </c>
      <c r="C252" s="31">
        <v>0</v>
      </c>
      <c r="D252" s="31">
        <v>-1371408.6</v>
      </c>
      <c r="E252" s="30" t="s">
        <v>648</v>
      </c>
      <c r="F252" s="30" t="s">
        <v>655</v>
      </c>
      <c r="G252" s="30" t="s">
        <v>381</v>
      </c>
      <c r="H252" s="30" t="s">
        <v>561</v>
      </c>
      <c r="I252" s="26">
        <v>256779421369</v>
      </c>
      <c r="J252" s="28"/>
      <c r="K252" s="36">
        <v>256779414975</v>
      </c>
      <c r="L252" s="62">
        <v>0</v>
      </c>
      <c r="M252" s="62">
        <v>4562.3355000000001</v>
      </c>
      <c r="O252" s="36">
        <v>256779414975</v>
      </c>
      <c r="P252" s="38">
        <v>0</v>
      </c>
      <c r="Q252" s="38">
        <v>4562.3355000000001</v>
      </c>
    </row>
    <row r="253" spans="1:17" x14ac:dyDescent="0.35">
      <c r="A253" s="30" t="s">
        <v>647</v>
      </c>
      <c r="B253" s="31">
        <v>12169</v>
      </c>
      <c r="C253" s="31">
        <v>0</v>
      </c>
      <c r="D253" s="31">
        <v>-1432306.6</v>
      </c>
      <c r="E253" s="30" t="s">
        <v>648</v>
      </c>
      <c r="F253" s="30" t="s">
        <v>662</v>
      </c>
      <c r="G253" s="30" t="s">
        <v>582</v>
      </c>
      <c r="H253" s="30" t="s">
        <v>662</v>
      </c>
      <c r="I253" s="32">
        <v>256779421370</v>
      </c>
      <c r="J253" s="28"/>
      <c r="K253" s="36">
        <v>256779415048</v>
      </c>
      <c r="L253" s="62">
        <v>0</v>
      </c>
      <c r="M253" s="62">
        <v>552.98429999999996</v>
      </c>
      <c r="O253" s="36">
        <v>256779415048</v>
      </c>
      <c r="P253" s="38">
        <v>0</v>
      </c>
      <c r="Q253" s="38">
        <v>552.98429999999996</v>
      </c>
    </row>
    <row r="254" spans="1:17" x14ac:dyDescent="0.35">
      <c r="A254" s="30" t="s">
        <v>680</v>
      </c>
      <c r="B254" s="31">
        <v>33376</v>
      </c>
      <c r="C254" s="31">
        <v>0</v>
      </c>
      <c r="D254" s="31">
        <v>-259448.5999999996</v>
      </c>
      <c r="E254" s="30" t="s">
        <v>648</v>
      </c>
      <c r="F254" s="30" t="s">
        <v>681</v>
      </c>
      <c r="G254" s="30" t="s">
        <v>488</v>
      </c>
      <c r="H254" s="30" t="s">
        <v>526</v>
      </c>
      <c r="I254" s="26">
        <v>256779421372</v>
      </c>
      <c r="J254" s="28"/>
      <c r="K254" s="36">
        <v>256779415198</v>
      </c>
      <c r="L254" s="62">
        <v>0</v>
      </c>
      <c r="M254" s="62">
        <v>257812.80850000001</v>
      </c>
      <c r="O254" s="36">
        <v>256779415198</v>
      </c>
      <c r="P254" s="38">
        <v>0</v>
      </c>
      <c r="Q254" s="38">
        <v>257812.80850000001</v>
      </c>
    </row>
    <row r="255" spans="1:17" x14ac:dyDescent="0.35">
      <c r="A255" s="30" t="s">
        <v>671</v>
      </c>
      <c r="B255" s="31">
        <v>700000</v>
      </c>
      <c r="C255" s="31">
        <v>0</v>
      </c>
      <c r="D255" s="31">
        <v>-592577.59999999963</v>
      </c>
      <c r="E255" s="30" t="s">
        <v>621</v>
      </c>
      <c r="F255" s="30" t="s">
        <v>672</v>
      </c>
      <c r="G255" s="30" t="s">
        <v>623</v>
      </c>
      <c r="H255" s="30"/>
      <c r="I255" s="32" t="s">
        <v>885</v>
      </c>
      <c r="J255" s="28"/>
      <c r="K255" s="36">
        <v>256779415263</v>
      </c>
      <c r="L255" s="62">
        <v>0</v>
      </c>
      <c r="M255" s="62">
        <v>201.24160000000001</v>
      </c>
      <c r="O255" s="36">
        <v>256779415263</v>
      </c>
      <c r="P255" s="38">
        <v>0</v>
      </c>
      <c r="Q255" s="38">
        <v>201.24160000000001</v>
      </c>
    </row>
    <row r="256" spans="1:17" x14ac:dyDescent="0.35">
      <c r="A256" s="30" t="s">
        <v>673</v>
      </c>
      <c r="B256" s="31">
        <v>0</v>
      </c>
      <c r="C256" s="31">
        <v>9368</v>
      </c>
      <c r="D256" s="31">
        <v>-601945.59999999963</v>
      </c>
      <c r="E256" s="30" t="s">
        <v>364</v>
      </c>
      <c r="F256" s="30" t="s">
        <v>674</v>
      </c>
      <c r="G256" s="30" t="s">
        <v>433</v>
      </c>
      <c r="H256" s="30" t="s">
        <v>674</v>
      </c>
      <c r="I256" s="32">
        <v>256779415945</v>
      </c>
      <c r="J256" s="28"/>
      <c r="K256" s="36">
        <v>256779415444</v>
      </c>
      <c r="L256" s="62">
        <v>0</v>
      </c>
      <c r="M256" s="62">
        <v>8342.0650000000005</v>
      </c>
      <c r="O256" s="36">
        <v>256779415444</v>
      </c>
      <c r="P256" s="38">
        <v>0</v>
      </c>
      <c r="Q256" s="38">
        <v>8342.0650000000005</v>
      </c>
    </row>
    <row r="257" spans="1:17" x14ac:dyDescent="0.35">
      <c r="A257" s="30" t="s">
        <v>675</v>
      </c>
      <c r="B257" s="31">
        <v>350672</v>
      </c>
      <c r="C257" s="31">
        <v>0</v>
      </c>
      <c r="D257" s="31">
        <v>-251273.5999999996</v>
      </c>
      <c r="E257" s="30" t="s">
        <v>621</v>
      </c>
      <c r="F257" s="30" t="s">
        <v>676</v>
      </c>
      <c r="G257" s="30" t="s">
        <v>623</v>
      </c>
      <c r="H257" s="30"/>
      <c r="I257" s="32" t="s">
        <v>885</v>
      </c>
      <c r="J257" s="28"/>
      <c r="K257" s="36">
        <v>256779415456</v>
      </c>
      <c r="L257" s="62">
        <v>0</v>
      </c>
      <c r="M257" s="62">
        <v>13522.7454</v>
      </c>
      <c r="O257" s="36">
        <v>256779415456</v>
      </c>
      <c r="P257" s="38">
        <v>0</v>
      </c>
      <c r="Q257" s="38">
        <v>13522.7454</v>
      </c>
    </row>
    <row r="258" spans="1:17" x14ac:dyDescent="0.35">
      <c r="A258" s="30" t="s">
        <v>675</v>
      </c>
      <c r="B258" s="31">
        <v>0</v>
      </c>
      <c r="C258" s="31">
        <v>32007</v>
      </c>
      <c r="D258" s="31">
        <v>-283280.59999999963</v>
      </c>
      <c r="E258" s="30" t="s">
        <v>364</v>
      </c>
      <c r="F258" s="30" t="s">
        <v>677</v>
      </c>
      <c r="G258" s="30" t="s">
        <v>381</v>
      </c>
      <c r="H258" s="30" t="s">
        <v>677</v>
      </c>
      <c r="I258" s="32">
        <v>256779415967</v>
      </c>
      <c r="J258" s="28"/>
      <c r="K258" s="36">
        <v>256779415771</v>
      </c>
      <c r="L258" s="62">
        <v>0</v>
      </c>
      <c r="M258" s="62">
        <v>2559.3798999999999</v>
      </c>
      <c r="O258" s="36">
        <v>256779415771</v>
      </c>
      <c r="P258" s="38">
        <v>0</v>
      </c>
      <c r="Q258" s="38">
        <v>2559.3798999999999</v>
      </c>
    </row>
    <row r="259" spans="1:17" x14ac:dyDescent="0.35">
      <c r="A259" s="30" t="s">
        <v>675</v>
      </c>
      <c r="B259" s="31">
        <v>0</v>
      </c>
      <c r="C259" s="31">
        <v>9348</v>
      </c>
      <c r="D259" s="31">
        <v>-292628.59999999963</v>
      </c>
      <c r="E259" s="30" t="s">
        <v>364</v>
      </c>
      <c r="F259" s="30" t="s">
        <v>678</v>
      </c>
      <c r="G259" s="30" t="s">
        <v>381</v>
      </c>
      <c r="H259" s="30" t="s">
        <v>678</v>
      </c>
      <c r="I259" s="32">
        <v>256779415970</v>
      </c>
      <c r="J259" s="28"/>
      <c r="K259" s="36">
        <v>256779415801</v>
      </c>
      <c r="L259" s="62">
        <v>0</v>
      </c>
      <c r="M259" s="62">
        <v>148540.3572</v>
      </c>
      <c r="O259" s="36">
        <v>256779415801</v>
      </c>
      <c r="P259" s="38">
        <v>0</v>
      </c>
      <c r="Q259" s="38">
        <v>148540.3572</v>
      </c>
    </row>
    <row r="260" spans="1:17" x14ac:dyDescent="0.35">
      <c r="A260" s="30" t="s">
        <v>675</v>
      </c>
      <c r="B260" s="31">
        <v>0</v>
      </c>
      <c r="C260" s="31">
        <v>196</v>
      </c>
      <c r="D260" s="31">
        <v>-292824.59999999963</v>
      </c>
      <c r="E260" s="30" t="s">
        <v>364</v>
      </c>
      <c r="F260" s="30" t="s">
        <v>679</v>
      </c>
      <c r="G260" s="30" t="s">
        <v>450</v>
      </c>
      <c r="H260" s="30" t="s">
        <v>679</v>
      </c>
      <c r="I260" s="32">
        <v>256779415995</v>
      </c>
      <c r="J260" s="28"/>
      <c r="K260" s="36">
        <v>256779415939</v>
      </c>
      <c r="L260" s="62">
        <v>0</v>
      </c>
      <c r="M260" s="62">
        <v>11782.0918</v>
      </c>
      <c r="O260" s="36">
        <v>256779415939</v>
      </c>
      <c r="P260" s="38">
        <v>0</v>
      </c>
      <c r="Q260" s="38">
        <v>11782.0918</v>
      </c>
    </row>
    <row r="261" spans="1:17" x14ac:dyDescent="0.35">
      <c r="A261" s="30" t="s">
        <v>552</v>
      </c>
      <c r="B261" s="31">
        <v>0</v>
      </c>
      <c r="C261" s="31">
        <v>55272</v>
      </c>
      <c r="D261" s="31">
        <v>-3242210.12</v>
      </c>
      <c r="E261" s="30" t="s">
        <v>364</v>
      </c>
      <c r="F261" s="30" t="s">
        <v>562</v>
      </c>
      <c r="G261" s="30" t="s">
        <v>381</v>
      </c>
      <c r="H261" s="30" t="s">
        <v>562</v>
      </c>
      <c r="I261" s="32">
        <v>256779410004</v>
      </c>
      <c r="J261" s="28"/>
      <c r="K261" s="36">
        <v>256779415945</v>
      </c>
      <c r="L261" s="62">
        <v>0</v>
      </c>
      <c r="M261" s="62">
        <v>9368</v>
      </c>
      <c r="O261" s="36">
        <v>256779415945</v>
      </c>
      <c r="P261" s="38">
        <v>0</v>
      </c>
      <c r="Q261" s="38">
        <v>9368</v>
      </c>
    </row>
    <row r="262" spans="1:17" x14ac:dyDescent="0.35">
      <c r="A262" s="30" t="s">
        <v>647</v>
      </c>
      <c r="B262" s="31">
        <v>8696</v>
      </c>
      <c r="C262" s="31">
        <v>173</v>
      </c>
      <c r="D262" s="31">
        <v>-1292577.6000000001</v>
      </c>
      <c r="E262" s="30" t="s">
        <v>666</v>
      </c>
      <c r="F262" s="30" t="s">
        <v>669</v>
      </c>
      <c r="G262" s="30" t="s">
        <v>488</v>
      </c>
      <c r="H262" s="30" t="s">
        <v>670</v>
      </c>
      <c r="I262" s="32">
        <v>256779421373</v>
      </c>
      <c r="J262" s="28"/>
      <c r="K262" s="36">
        <v>256779415967</v>
      </c>
      <c r="L262" s="62">
        <v>0</v>
      </c>
      <c r="M262" s="62">
        <v>32007</v>
      </c>
      <c r="O262" s="36">
        <v>256779415967</v>
      </c>
      <c r="P262" s="38">
        <v>0</v>
      </c>
      <c r="Q262" s="38">
        <v>32007</v>
      </c>
    </row>
    <row r="263" spans="1:17" x14ac:dyDescent="0.35">
      <c r="A263" s="30" t="s">
        <v>647</v>
      </c>
      <c r="B263" s="31">
        <v>20874</v>
      </c>
      <c r="C263" s="31">
        <v>0</v>
      </c>
      <c r="D263" s="31">
        <v>-1512057.6</v>
      </c>
      <c r="E263" s="30" t="s">
        <v>648</v>
      </c>
      <c r="F263" s="30" t="s">
        <v>654</v>
      </c>
      <c r="G263" s="30" t="s">
        <v>488</v>
      </c>
      <c r="H263" s="30" t="s">
        <v>487</v>
      </c>
      <c r="I263" s="26">
        <v>256779421374</v>
      </c>
      <c r="J263" s="28"/>
      <c r="K263" s="36">
        <v>256779415970</v>
      </c>
      <c r="L263" s="62">
        <v>0</v>
      </c>
      <c r="M263" s="62">
        <v>9348</v>
      </c>
      <c r="O263" s="36">
        <v>256779415970</v>
      </c>
      <c r="P263" s="38">
        <v>0</v>
      </c>
      <c r="Q263" s="38">
        <v>9348</v>
      </c>
    </row>
    <row r="264" spans="1:17" x14ac:dyDescent="0.35">
      <c r="A264" s="30" t="s">
        <v>647</v>
      </c>
      <c r="B264" s="31">
        <v>17857</v>
      </c>
      <c r="C264" s="31">
        <v>0</v>
      </c>
      <c r="D264" s="31">
        <v>-1544729.6000000001</v>
      </c>
      <c r="E264" s="30" t="s">
        <v>648</v>
      </c>
      <c r="F264" s="30" t="s">
        <v>652</v>
      </c>
      <c r="G264" s="30" t="s">
        <v>488</v>
      </c>
      <c r="H264" s="30" t="s">
        <v>518</v>
      </c>
      <c r="I264" s="26">
        <v>256779421375</v>
      </c>
      <c r="J264" s="28"/>
      <c r="K264" s="36">
        <v>256779415995</v>
      </c>
      <c r="L264" s="62">
        <v>0</v>
      </c>
      <c r="M264" s="62">
        <v>196</v>
      </c>
      <c r="O264" s="36">
        <v>256779415995</v>
      </c>
      <c r="P264" s="38">
        <v>0</v>
      </c>
      <c r="Q264" s="38">
        <v>196</v>
      </c>
    </row>
    <row r="265" spans="1:17" x14ac:dyDescent="0.35">
      <c r="A265" s="30" t="s">
        <v>647</v>
      </c>
      <c r="B265" s="31">
        <v>6084</v>
      </c>
      <c r="C265" s="31">
        <v>0</v>
      </c>
      <c r="D265" s="31">
        <v>-1444475.6</v>
      </c>
      <c r="E265" s="30" t="s">
        <v>648</v>
      </c>
      <c r="F265" s="30" t="s">
        <v>661</v>
      </c>
      <c r="G265" s="30" t="s">
        <v>582</v>
      </c>
      <c r="H265" s="30" t="s">
        <v>661</v>
      </c>
      <c r="I265" s="32">
        <v>256779421376</v>
      </c>
      <c r="J265" s="28"/>
      <c r="K265" s="36">
        <v>256779416054</v>
      </c>
      <c r="L265" s="62">
        <v>0</v>
      </c>
      <c r="M265" s="62">
        <v>35336.871800000001</v>
      </c>
      <c r="O265" s="36">
        <v>256779416054</v>
      </c>
      <c r="P265" s="38">
        <v>0</v>
      </c>
      <c r="Q265" s="38">
        <v>35336.871800000001</v>
      </c>
    </row>
    <row r="266" spans="1:17" x14ac:dyDescent="0.35">
      <c r="A266" s="30" t="s">
        <v>552</v>
      </c>
      <c r="B266" s="31">
        <v>0</v>
      </c>
      <c r="C266" s="31">
        <v>140649</v>
      </c>
      <c r="D266" s="31">
        <v>-3186938.12</v>
      </c>
      <c r="E266" s="30" t="s">
        <v>364</v>
      </c>
      <c r="F266" s="30" t="s">
        <v>561</v>
      </c>
      <c r="G266" s="30" t="s">
        <v>381</v>
      </c>
      <c r="H266" s="30" t="s">
        <v>561</v>
      </c>
      <c r="I266" s="32">
        <v>256779410010</v>
      </c>
      <c r="J266" s="28"/>
      <c r="K266" s="36">
        <v>256779416088</v>
      </c>
      <c r="L266" s="62">
        <v>0</v>
      </c>
      <c r="M266" s="62">
        <v>462828</v>
      </c>
      <c r="O266" s="36">
        <v>256779416088</v>
      </c>
      <c r="P266" s="38">
        <v>0</v>
      </c>
      <c r="Q266" s="38">
        <v>462828</v>
      </c>
    </row>
    <row r="267" spans="1:17" x14ac:dyDescent="0.35">
      <c r="A267" s="30" t="s">
        <v>687</v>
      </c>
      <c r="B267" s="31">
        <v>0</v>
      </c>
      <c r="C267" s="31">
        <v>9124</v>
      </c>
      <c r="D267" s="31">
        <v>-263952.59999999963</v>
      </c>
      <c r="E267" s="30" t="s">
        <v>364</v>
      </c>
      <c r="F267" s="30" t="s">
        <v>688</v>
      </c>
      <c r="G267" s="30" t="s">
        <v>374</v>
      </c>
      <c r="H267" s="30" t="s">
        <v>688</v>
      </c>
      <c r="I267" s="32">
        <v>256779416223</v>
      </c>
      <c r="J267" s="28"/>
      <c r="K267" s="36">
        <v>256779416178</v>
      </c>
      <c r="L267" s="62">
        <v>1351</v>
      </c>
      <c r="M267" s="62">
        <v>67557</v>
      </c>
      <c r="O267" s="36">
        <v>256779416178</v>
      </c>
      <c r="P267" s="38">
        <v>1351</v>
      </c>
      <c r="Q267" s="38">
        <v>67557</v>
      </c>
    </row>
    <row r="268" spans="1:17" x14ac:dyDescent="0.35">
      <c r="A268" s="30" t="s">
        <v>687</v>
      </c>
      <c r="B268" s="31">
        <v>0</v>
      </c>
      <c r="C268" s="31">
        <v>4755</v>
      </c>
      <c r="D268" s="31">
        <v>-268707.59999999963</v>
      </c>
      <c r="E268" s="30" t="s">
        <v>364</v>
      </c>
      <c r="F268" s="30" t="s">
        <v>689</v>
      </c>
      <c r="G268" s="30" t="s">
        <v>374</v>
      </c>
      <c r="H268" s="30" t="s">
        <v>689</v>
      </c>
      <c r="I268" s="32">
        <v>256779416256</v>
      </c>
      <c r="J268" s="28"/>
      <c r="K268" s="36">
        <v>256779416223</v>
      </c>
      <c r="L268" s="62">
        <v>0</v>
      </c>
      <c r="M268" s="62">
        <v>9124</v>
      </c>
      <c r="O268" s="36">
        <v>256779416223</v>
      </c>
      <c r="P268" s="38">
        <v>0</v>
      </c>
      <c r="Q268" s="38">
        <v>9124</v>
      </c>
    </row>
    <row r="269" spans="1:17" x14ac:dyDescent="0.35">
      <c r="A269" s="30" t="s">
        <v>687</v>
      </c>
      <c r="B269" s="31">
        <v>0</v>
      </c>
      <c r="C269" s="31">
        <v>462828</v>
      </c>
      <c r="D269" s="31">
        <v>-731535.59999999963</v>
      </c>
      <c r="E269" s="30" t="s">
        <v>364</v>
      </c>
      <c r="F269" s="30" t="s">
        <v>690</v>
      </c>
      <c r="G269" s="30" t="s">
        <v>691</v>
      </c>
      <c r="H269" s="30" t="s">
        <v>690</v>
      </c>
      <c r="I269" s="32">
        <v>256779416088</v>
      </c>
      <c r="J269" s="28"/>
      <c r="K269" s="36">
        <v>256779416256</v>
      </c>
      <c r="L269" s="62">
        <v>0</v>
      </c>
      <c r="M269" s="62">
        <v>4755</v>
      </c>
      <c r="O269" s="36">
        <v>256779416256</v>
      </c>
      <c r="P269" s="38">
        <v>0</v>
      </c>
      <c r="Q269" s="38">
        <v>4755</v>
      </c>
    </row>
    <row r="270" spans="1:17" x14ac:dyDescent="0.35">
      <c r="A270" s="30" t="s">
        <v>692</v>
      </c>
      <c r="B270" s="31">
        <v>0</v>
      </c>
      <c r="C270" s="31">
        <v>4790</v>
      </c>
      <c r="D270" s="31">
        <v>-736325.59999999963</v>
      </c>
      <c r="E270" s="30" t="s">
        <v>364</v>
      </c>
      <c r="F270" s="30" t="s">
        <v>693</v>
      </c>
      <c r="G270" s="30" t="s">
        <v>591</v>
      </c>
      <c r="H270" s="30" t="s">
        <v>693</v>
      </c>
      <c r="I270" s="32">
        <v>256779416615</v>
      </c>
      <c r="J270" s="28"/>
      <c r="K270" s="36">
        <v>256779416444</v>
      </c>
      <c r="L270" s="62">
        <v>0</v>
      </c>
      <c r="M270" s="62">
        <v>9260.2821000000004</v>
      </c>
      <c r="O270" s="36">
        <v>256779416444</v>
      </c>
      <c r="P270" s="38">
        <v>0</v>
      </c>
      <c r="Q270" s="38">
        <v>9260.2821000000004</v>
      </c>
    </row>
    <row r="271" spans="1:17" x14ac:dyDescent="0.35">
      <c r="A271" s="30" t="s">
        <v>692</v>
      </c>
      <c r="B271" s="31">
        <v>0</v>
      </c>
      <c r="C271" s="31">
        <v>6981</v>
      </c>
      <c r="D271" s="31">
        <v>-743306.59999999963</v>
      </c>
      <c r="E271" s="30" t="s">
        <v>364</v>
      </c>
      <c r="F271" s="30" t="s">
        <v>694</v>
      </c>
      <c r="G271" s="30" t="s">
        <v>450</v>
      </c>
      <c r="H271" s="30" t="s">
        <v>694</v>
      </c>
      <c r="I271" s="32">
        <v>256779416809</v>
      </c>
      <c r="J271" s="28"/>
      <c r="K271" s="36">
        <v>256779416538</v>
      </c>
      <c r="L271" s="62">
        <v>0</v>
      </c>
      <c r="M271" s="62">
        <v>27395.431400000001</v>
      </c>
      <c r="O271" s="36">
        <v>256779416538</v>
      </c>
      <c r="P271" s="38">
        <v>0</v>
      </c>
      <c r="Q271" s="38">
        <v>27395.431400000001</v>
      </c>
    </row>
    <row r="272" spans="1:17" x14ac:dyDescent="0.35">
      <c r="A272" s="30" t="s">
        <v>692</v>
      </c>
      <c r="B272" s="31">
        <v>0</v>
      </c>
      <c r="C272" s="31">
        <v>971</v>
      </c>
      <c r="D272" s="31">
        <v>-744277.59999999963</v>
      </c>
      <c r="E272" s="30" t="s">
        <v>364</v>
      </c>
      <c r="F272" s="30" t="s">
        <v>695</v>
      </c>
      <c r="G272" s="30" t="s">
        <v>696</v>
      </c>
      <c r="H272" s="30" t="s">
        <v>695</v>
      </c>
      <c r="I272" s="32">
        <v>256779416878</v>
      </c>
      <c r="J272" s="28"/>
      <c r="K272" s="36">
        <v>256779416544</v>
      </c>
      <c r="L272" s="62">
        <v>0</v>
      </c>
      <c r="M272" s="62">
        <v>23117.1535</v>
      </c>
      <c r="O272" s="36">
        <v>256779416544</v>
      </c>
      <c r="P272" s="38">
        <v>0</v>
      </c>
      <c r="Q272" s="38">
        <v>23117.1535</v>
      </c>
    </row>
    <row r="273" spans="1:17" x14ac:dyDescent="0.35">
      <c r="A273" s="30" t="s">
        <v>692</v>
      </c>
      <c r="B273" s="31">
        <v>0</v>
      </c>
      <c r="C273" s="31">
        <v>11922</v>
      </c>
      <c r="D273" s="31">
        <v>-756199.59999999963</v>
      </c>
      <c r="E273" s="30" t="s">
        <v>364</v>
      </c>
      <c r="F273" s="30" t="s">
        <v>697</v>
      </c>
      <c r="G273" s="30" t="s">
        <v>698</v>
      </c>
      <c r="H273" s="30" t="s">
        <v>697</v>
      </c>
      <c r="I273" s="32">
        <v>256779416844</v>
      </c>
      <c r="J273" s="28"/>
      <c r="K273" s="36">
        <v>256779416546</v>
      </c>
      <c r="L273" s="62">
        <v>0</v>
      </c>
      <c r="M273" s="62">
        <v>21929.077600000001</v>
      </c>
      <c r="O273" s="36">
        <v>256779416546</v>
      </c>
      <c r="P273" s="38">
        <v>0</v>
      </c>
      <c r="Q273" s="38">
        <v>21929.077600000001</v>
      </c>
    </row>
    <row r="274" spans="1:17" x14ac:dyDescent="0.35">
      <c r="A274" s="30" t="s">
        <v>692</v>
      </c>
      <c r="B274" s="31">
        <v>0</v>
      </c>
      <c r="C274" s="31">
        <v>1463</v>
      </c>
      <c r="D274" s="31">
        <v>-757662.59999999963</v>
      </c>
      <c r="E274" s="30" t="s">
        <v>364</v>
      </c>
      <c r="F274" s="30" t="s">
        <v>699</v>
      </c>
      <c r="G274" s="30" t="s">
        <v>700</v>
      </c>
      <c r="H274" s="30" t="s">
        <v>699</v>
      </c>
      <c r="I274" s="32">
        <v>256779416603</v>
      </c>
      <c r="J274" s="28"/>
      <c r="K274" s="36">
        <v>256779416603</v>
      </c>
      <c r="L274" s="62">
        <v>0</v>
      </c>
      <c r="M274" s="62">
        <v>1463</v>
      </c>
      <c r="O274" s="36">
        <v>256779416603</v>
      </c>
      <c r="P274" s="38">
        <v>0</v>
      </c>
      <c r="Q274" s="38">
        <v>1463</v>
      </c>
    </row>
    <row r="275" spans="1:17" x14ac:dyDescent="0.35">
      <c r="A275" s="30" t="s">
        <v>647</v>
      </c>
      <c r="B275" s="31">
        <v>11798</v>
      </c>
      <c r="C275" s="31">
        <v>0</v>
      </c>
      <c r="D275" s="31">
        <v>-1532931.6</v>
      </c>
      <c r="E275" s="30" t="s">
        <v>648</v>
      </c>
      <c r="F275" s="30" t="s">
        <v>653</v>
      </c>
      <c r="G275" s="30" t="s">
        <v>488</v>
      </c>
      <c r="H275" s="30" t="s">
        <v>607</v>
      </c>
      <c r="I275" s="26">
        <v>256779421377</v>
      </c>
      <c r="J275" s="28"/>
      <c r="K275" s="36">
        <v>256779416615</v>
      </c>
      <c r="L275" s="62">
        <v>0</v>
      </c>
      <c r="M275" s="62">
        <v>4790</v>
      </c>
      <c r="O275" s="36">
        <v>256779416615</v>
      </c>
      <c r="P275" s="38">
        <v>0</v>
      </c>
      <c r="Q275" s="38">
        <v>4790</v>
      </c>
    </row>
    <row r="276" spans="1:17" x14ac:dyDescent="0.35">
      <c r="A276" s="30" t="s">
        <v>593</v>
      </c>
      <c r="B276" s="31">
        <v>0</v>
      </c>
      <c r="C276" s="31">
        <v>6084</v>
      </c>
      <c r="D276" s="31">
        <v>-4744492.12</v>
      </c>
      <c r="E276" s="30" t="s">
        <v>364</v>
      </c>
      <c r="F276" s="30" t="s">
        <v>597</v>
      </c>
      <c r="G276" s="30" t="s">
        <v>582</v>
      </c>
      <c r="H276" s="30" t="s">
        <v>597</v>
      </c>
      <c r="I276" s="32">
        <v>256779412692</v>
      </c>
      <c r="J276" s="28"/>
      <c r="K276" s="36">
        <v>256779416809</v>
      </c>
      <c r="L276" s="62">
        <v>0</v>
      </c>
      <c r="M276" s="62">
        <v>6981</v>
      </c>
      <c r="O276" s="36">
        <v>256779416809</v>
      </c>
      <c r="P276" s="38">
        <v>0</v>
      </c>
      <c r="Q276" s="38">
        <v>6981</v>
      </c>
    </row>
    <row r="277" spans="1:17" x14ac:dyDescent="0.35">
      <c r="A277" s="30" t="s">
        <v>647</v>
      </c>
      <c r="B277" s="31">
        <v>17313</v>
      </c>
      <c r="C277" s="31">
        <v>330</v>
      </c>
      <c r="D277" s="31">
        <v>-1301100.6000000001</v>
      </c>
      <c r="E277" s="30" t="s">
        <v>666</v>
      </c>
      <c r="F277" s="30" t="s">
        <v>667</v>
      </c>
      <c r="G277" s="30" t="s">
        <v>582</v>
      </c>
      <c r="H277" s="30" t="s">
        <v>668</v>
      </c>
      <c r="I277" s="32">
        <v>256779421379</v>
      </c>
      <c r="J277" s="28"/>
      <c r="K277" s="36">
        <v>256779416844</v>
      </c>
      <c r="L277" s="62">
        <v>0</v>
      </c>
      <c r="M277" s="62">
        <v>11922</v>
      </c>
      <c r="O277" s="36">
        <v>256779416844</v>
      </c>
      <c r="P277" s="38">
        <v>0</v>
      </c>
      <c r="Q277" s="38">
        <v>11922</v>
      </c>
    </row>
    <row r="278" spans="1:17" x14ac:dyDescent="0.35">
      <c r="A278" s="30" t="s">
        <v>845</v>
      </c>
      <c r="B278" s="31">
        <v>16530</v>
      </c>
      <c r="C278" s="31">
        <v>16530</v>
      </c>
      <c r="D278" s="31">
        <v>-2052708.6117</v>
      </c>
      <c r="E278" s="30" t="s">
        <v>666</v>
      </c>
      <c r="F278" s="30" t="s">
        <v>848</v>
      </c>
      <c r="G278" s="30"/>
      <c r="H278" s="30" t="s">
        <v>849</v>
      </c>
      <c r="I278" s="32" t="s">
        <v>666</v>
      </c>
      <c r="J278" s="28"/>
      <c r="K278" s="36">
        <v>256779416878</v>
      </c>
      <c r="L278" s="62">
        <v>0</v>
      </c>
      <c r="M278" s="62">
        <v>971</v>
      </c>
      <c r="O278" s="36">
        <v>256779416878</v>
      </c>
      <c r="P278" s="38">
        <v>0</v>
      </c>
      <c r="Q278" s="38">
        <v>971</v>
      </c>
    </row>
    <row r="279" spans="1:17" x14ac:dyDescent="0.35">
      <c r="A279" s="30" t="s">
        <v>647</v>
      </c>
      <c r="B279" s="31">
        <v>4786</v>
      </c>
      <c r="C279" s="31">
        <v>0</v>
      </c>
      <c r="D279" s="31">
        <v>-1311350.6000000001</v>
      </c>
      <c r="E279" s="30" t="s">
        <v>648</v>
      </c>
      <c r="F279" s="30" t="s">
        <v>657</v>
      </c>
      <c r="G279" s="30" t="s">
        <v>381</v>
      </c>
      <c r="H279" s="30" t="s">
        <v>657</v>
      </c>
      <c r="I279" s="32">
        <v>256779421381</v>
      </c>
      <c r="J279" s="28"/>
      <c r="K279" s="36">
        <v>256779416911</v>
      </c>
      <c r="L279" s="62">
        <v>0</v>
      </c>
      <c r="M279" s="62">
        <v>3487.4461000000001</v>
      </c>
      <c r="O279" s="36">
        <v>256779416911</v>
      </c>
      <c r="P279" s="38">
        <v>0</v>
      </c>
      <c r="Q279" s="38">
        <v>3487.4461000000001</v>
      </c>
    </row>
    <row r="280" spans="1:17" x14ac:dyDescent="0.35">
      <c r="A280" s="30" t="s">
        <v>624</v>
      </c>
      <c r="B280" s="31">
        <v>0</v>
      </c>
      <c r="C280" s="31">
        <v>17313</v>
      </c>
      <c r="D280" s="31">
        <v>-4550633.5999999996</v>
      </c>
      <c r="E280" s="30" t="s">
        <v>364</v>
      </c>
      <c r="F280" s="30" t="s">
        <v>629</v>
      </c>
      <c r="G280" s="30" t="s">
        <v>582</v>
      </c>
      <c r="H280" s="30" t="s">
        <v>629</v>
      </c>
      <c r="I280" s="32">
        <v>256779414288</v>
      </c>
      <c r="J280" s="28"/>
      <c r="K280" s="36">
        <v>256779416948</v>
      </c>
      <c r="L280" s="62">
        <v>0</v>
      </c>
      <c r="M280" s="62">
        <v>1233.9521</v>
      </c>
      <c r="O280" s="36">
        <v>256779416948</v>
      </c>
      <c r="P280" s="38">
        <v>0</v>
      </c>
      <c r="Q280" s="38">
        <v>1233.9521</v>
      </c>
    </row>
    <row r="281" spans="1:17" x14ac:dyDescent="0.35">
      <c r="A281" s="30" t="s">
        <v>647</v>
      </c>
      <c r="B281" s="31">
        <v>12467</v>
      </c>
      <c r="C281" s="31">
        <v>0</v>
      </c>
      <c r="D281" s="31">
        <v>-1450559.6</v>
      </c>
      <c r="E281" s="30" t="s">
        <v>648</v>
      </c>
      <c r="F281" s="30" t="s">
        <v>660</v>
      </c>
      <c r="G281" s="30" t="s">
        <v>381</v>
      </c>
      <c r="H281" s="30" t="s">
        <v>660</v>
      </c>
      <c r="I281" s="32">
        <v>256779421383</v>
      </c>
      <c r="J281" s="28"/>
      <c r="K281" s="36">
        <v>256779417084</v>
      </c>
      <c r="L281" s="62">
        <v>0</v>
      </c>
      <c r="M281" s="62">
        <v>695663.66119999997</v>
      </c>
      <c r="O281" s="36">
        <v>256779417084</v>
      </c>
      <c r="P281" s="38">
        <v>0</v>
      </c>
      <c r="Q281" s="38">
        <v>695663.66119999997</v>
      </c>
    </row>
    <row r="282" spans="1:17" x14ac:dyDescent="0.35">
      <c r="A282" s="30" t="s">
        <v>605</v>
      </c>
      <c r="B282" s="31">
        <v>0</v>
      </c>
      <c r="C282" s="31">
        <v>11797</v>
      </c>
      <c r="D282" s="31">
        <v>-4831991.12</v>
      </c>
      <c r="E282" s="30" t="s">
        <v>364</v>
      </c>
      <c r="F282" s="30" t="s">
        <v>607</v>
      </c>
      <c r="G282" s="30" t="s">
        <v>488</v>
      </c>
      <c r="H282" s="30" t="s">
        <v>607</v>
      </c>
      <c r="I282" s="32">
        <v>256779413283</v>
      </c>
      <c r="J282" s="28"/>
      <c r="K282" s="36">
        <v>256779417160</v>
      </c>
      <c r="L282" s="62">
        <v>0</v>
      </c>
      <c r="M282" s="62">
        <v>1247.0791999999999</v>
      </c>
      <c r="O282" s="36">
        <v>256779417160</v>
      </c>
      <c r="P282" s="38">
        <v>0</v>
      </c>
      <c r="Q282" s="38">
        <v>1247.0791999999999</v>
      </c>
    </row>
    <row r="283" spans="1:17" x14ac:dyDescent="0.35">
      <c r="A283" s="30" t="s">
        <v>680</v>
      </c>
      <c r="B283" s="31">
        <v>15778</v>
      </c>
      <c r="C283" s="31">
        <v>0</v>
      </c>
      <c r="D283" s="31">
        <v>-243670.5999999996</v>
      </c>
      <c r="E283" s="30" t="s">
        <v>648</v>
      </c>
      <c r="F283" s="30" t="s">
        <v>682</v>
      </c>
      <c r="G283" s="30" t="s">
        <v>381</v>
      </c>
      <c r="H283" s="30" t="s">
        <v>682</v>
      </c>
      <c r="I283" s="32">
        <v>256779421380</v>
      </c>
      <c r="J283" s="28"/>
      <c r="K283" s="36">
        <v>256779417166</v>
      </c>
      <c r="L283" s="62">
        <v>0</v>
      </c>
      <c r="M283" s="62">
        <v>59881.6803</v>
      </c>
      <c r="O283" s="36">
        <v>256779417166</v>
      </c>
      <c r="P283" s="38">
        <v>0</v>
      </c>
      <c r="Q283" s="38">
        <v>59881.6803</v>
      </c>
    </row>
    <row r="284" spans="1:17" x14ac:dyDescent="0.35">
      <c r="A284" s="30" t="s">
        <v>720</v>
      </c>
      <c r="B284" s="31">
        <v>500000</v>
      </c>
      <c r="C284" s="31">
        <v>0</v>
      </c>
      <c r="D284" s="31">
        <v>-257662.5999999996</v>
      </c>
      <c r="E284" s="30" t="s">
        <v>621</v>
      </c>
      <c r="F284" s="30" t="s">
        <v>721</v>
      </c>
      <c r="G284" s="30" t="s">
        <v>623</v>
      </c>
      <c r="H284" s="30" t="s">
        <v>722</v>
      </c>
      <c r="I284" s="32" t="s">
        <v>885</v>
      </c>
      <c r="J284" s="28"/>
      <c r="K284" s="36">
        <v>256779417173</v>
      </c>
      <c r="L284" s="62">
        <v>0</v>
      </c>
      <c r="M284" s="62">
        <v>58594.344499999999</v>
      </c>
      <c r="O284" s="36">
        <v>256779417173</v>
      </c>
      <c r="P284" s="38">
        <v>0</v>
      </c>
      <c r="Q284" s="38">
        <v>58594.344499999999</v>
      </c>
    </row>
    <row r="285" spans="1:17" x14ac:dyDescent="0.35">
      <c r="A285" s="30" t="s">
        <v>723</v>
      </c>
      <c r="B285" s="31">
        <v>108564</v>
      </c>
      <c r="C285" s="31">
        <v>0</v>
      </c>
      <c r="D285" s="31">
        <v>-149098.5999999996</v>
      </c>
      <c r="E285" s="30" t="s">
        <v>621</v>
      </c>
      <c r="F285" s="30" t="s">
        <v>724</v>
      </c>
      <c r="G285" s="30" t="s">
        <v>623</v>
      </c>
      <c r="H285" s="30" t="s">
        <v>725</v>
      </c>
      <c r="I285" s="32" t="s">
        <v>885</v>
      </c>
      <c r="J285" s="28"/>
      <c r="K285" s="36">
        <v>256779417261</v>
      </c>
      <c r="L285" s="62">
        <v>0</v>
      </c>
      <c r="M285" s="62">
        <v>1992.7012</v>
      </c>
      <c r="O285" s="36">
        <v>256779417261</v>
      </c>
      <c r="P285" s="38">
        <v>0</v>
      </c>
      <c r="Q285" s="38">
        <v>1992.7012</v>
      </c>
    </row>
    <row r="286" spans="1:17" x14ac:dyDescent="0.35">
      <c r="A286" s="30" t="s">
        <v>726</v>
      </c>
      <c r="B286" s="31">
        <v>500000</v>
      </c>
      <c r="C286" s="31">
        <v>0</v>
      </c>
      <c r="D286" s="31">
        <v>350901.40000000037</v>
      </c>
      <c r="E286" s="30" t="s">
        <v>621</v>
      </c>
      <c r="F286" s="30" t="s">
        <v>727</v>
      </c>
      <c r="G286" s="30" t="s">
        <v>623</v>
      </c>
      <c r="H286" s="30"/>
      <c r="I286" s="32" t="s">
        <v>885</v>
      </c>
      <c r="J286" s="28"/>
      <c r="K286" s="36">
        <v>256779417286</v>
      </c>
      <c r="L286" s="62">
        <v>0</v>
      </c>
      <c r="M286" s="62">
        <v>90131.008499999996</v>
      </c>
      <c r="O286" s="36">
        <v>256779417286</v>
      </c>
      <c r="P286" s="38">
        <v>0</v>
      </c>
      <c r="Q286" s="38">
        <v>90131.008499999996</v>
      </c>
    </row>
    <row r="287" spans="1:17" x14ac:dyDescent="0.35">
      <c r="A287" s="30" t="s">
        <v>728</v>
      </c>
      <c r="B287" s="31">
        <v>300000</v>
      </c>
      <c r="C287" s="31">
        <v>0</v>
      </c>
      <c r="D287" s="31">
        <v>650901.40000000037</v>
      </c>
      <c r="E287" s="30" t="s">
        <v>621</v>
      </c>
      <c r="F287" s="30" t="s">
        <v>729</v>
      </c>
      <c r="G287" s="30" t="s">
        <v>623</v>
      </c>
      <c r="H287" s="30"/>
      <c r="I287" s="32" t="s">
        <v>885</v>
      </c>
      <c r="J287" s="28"/>
      <c r="K287" s="36">
        <v>256779417324</v>
      </c>
      <c r="L287" s="62">
        <v>0</v>
      </c>
      <c r="M287" s="62">
        <v>4231.3179</v>
      </c>
      <c r="O287" s="36">
        <v>256779417324</v>
      </c>
      <c r="P287" s="38">
        <v>0</v>
      </c>
      <c r="Q287" s="38">
        <v>4231.3179</v>
      </c>
    </row>
    <row r="288" spans="1:17" x14ac:dyDescent="0.35">
      <c r="A288" s="30" t="s">
        <v>730</v>
      </c>
      <c r="B288" s="31">
        <v>500000</v>
      </c>
      <c r="C288" s="31">
        <v>0</v>
      </c>
      <c r="D288" s="31">
        <v>1150901.3999999999</v>
      </c>
      <c r="E288" s="30" t="s">
        <v>621</v>
      </c>
      <c r="F288" s="30" t="s">
        <v>731</v>
      </c>
      <c r="G288" s="30" t="s">
        <v>623</v>
      </c>
      <c r="H288" s="30"/>
      <c r="I288" s="32" t="s">
        <v>885</v>
      </c>
      <c r="J288" s="28"/>
      <c r="K288" s="36">
        <v>256779417373</v>
      </c>
      <c r="L288" s="62">
        <v>0</v>
      </c>
      <c r="M288" s="62">
        <v>33482.010999999999</v>
      </c>
      <c r="O288" s="36">
        <v>256779417373</v>
      </c>
      <c r="P288" s="38">
        <v>0</v>
      </c>
      <c r="Q288" s="38">
        <v>33482.010999999999</v>
      </c>
    </row>
    <row r="289" spans="1:17" x14ac:dyDescent="0.35">
      <c r="A289" s="30" t="s">
        <v>732</v>
      </c>
      <c r="B289" s="31">
        <v>0</v>
      </c>
      <c r="C289" s="31">
        <v>16480.710999999999</v>
      </c>
      <c r="D289" s="31">
        <v>1134420.689</v>
      </c>
      <c r="E289" s="30" t="s">
        <v>364</v>
      </c>
      <c r="F289" s="30" t="s">
        <v>733</v>
      </c>
      <c r="G289" s="30" t="s">
        <v>381</v>
      </c>
      <c r="H289" s="30" t="s">
        <v>733</v>
      </c>
      <c r="I289" s="32">
        <v>246779410327</v>
      </c>
      <c r="J289" s="28"/>
      <c r="K289" s="36">
        <v>256779417410</v>
      </c>
      <c r="L289" s="62">
        <v>0</v>
      </c>
      <c r="M289" s="62">
        <v>29303.298299999999</v>
      </c>
      <c r="O289" s="36">
        <v>256779417410</v>
      </c>
      <c r="P289" s="38">
        <v>0</v>
      </c>
      <c r="Q289" s="38">
        <v>29303.298299999999</v>
      </c>
    </row>
    <row r="290" spans="1:17" x14ac:dyDescent="0.35">
      <c r="A290" s="30" t="s">
        <v>732</v>
      </c>
      <c r="B290" s="31">
        <v>0</v>
      </c>
      <c r="C290" s="31">
        <v>29975.441999999999</v>
      </c>
      <c r="D290" s="31">
        <v>1104445.247</v>
      </c>
      <c r="E290" s="30" t="s">
        <v>364</v>
      </c>
      <c r="F290" s="30" t="s">
        <v>734</v>
      </c>
      <c r="G290" s="30" t="s">
        <v>381</v>
      </c>
      <c r="H290" s="30" t="s">
        <v>734</v>
      </c>
      <c r="I290" s="32">
        <v>246779410333</v>
      </c>
      <c r="J290" s="28"/>
      <c r="K290" s="36">
        <v>256779417442</v>
      </c>
      <c r="L290" s="62">
        <v>0</v>
      </c>
      <c r="M290" s="62">
        <v>545.21420000000001</v>
      </c>
      <c r="O290" s="36">
        <v>256779417442</v>
      </c>
      <c r="P290" s="38">
        <v>0</v>
      </c>
      <c r="Q290" s="38">
        <v>545.21420000000001</v>
      </c>
    </row>
    <row r="291" spans="1:17" x14ac:dyDescent="0.35">
      <c r="A291" s="30" t="s">
        <v>732</v>
      </c>
      <c r="B291" s="31">
        <v>0</v>
      </c>
      <c r="C291" s="31">
        <v>144772.565</v>
      </c>
      <c r="D291" s="31">
        <v>959672.6820000005</v>
      </c>
      <c r="E291" s="30" t="s">
        <v>364</v>
      </c>
      <c r="F291" s="30" t="s">
        <v>735</v>
      </c>
      <c r="G291" s="30" t="s">
        <v>381</v>
      </c>
      <c r="H291" s="30" t="s">
        <v>735</v>
      </c>
      <c r="I291" s="32">
        <v>246779410340</v>
      </c>
      <c r="J291" s="28"/>
      <c r="K291" s="36">
        <v>256779417489</v>
      </c>
      <c r="L291" s="62">
        <v>0</v>
      </c>
      <c r="M291" s="62">
        <v>42087.391600000003</v>
      </c>
      <c r="O291" s="36">
        <v>256779417489</v>
      </c>
      <c r="P291" s="38">
        <v>0</v>
      </c>
      <c r="Q291" s="38">
        <v>42087.391600000003</v>
      </c>
    </row>
    <row r="292" spans="1:17" x14ac:dyDescent="0.35">
      <c r="A292" s="30" t="s">
        <v>732</v>
      </c>
      <c r="B292" s="31">
        <v>0</v>
      </c>
      <c r="C292" s="31">
        <v>102103.25599999999</v>
      </c>
      <c r="D292" s="31">
        <v>857569.42600000044</v>
      </c>
      <c r="E292" s="30" t="s">
        <v>364</v>
      </c>
      <c r="F292" s="30" t="s">
        <v>736</v>
      </c>
      <c r="G292" s="30" t="s">
        <v>381</v>
      </c>
      <c r="H292" s="30" t="s">
        <v>736</v>
      </c>
      <c r="I292" s="32">
        <v>246779410352</v>
      </c>
      <c r="J292" s="28"/>
      <c r="K292" s="36">
        <v>256779417525</v>
      </c>
      <c r="L292" s="62">
        <v>0</v>
      </c>
      <c r="M292" s="62">
        <v>26724.251</v>
      </c>
      <c r="O292" s="36">
        <v>256779417525</v>
      </c>
      <c r="P292" s="38">
        <v>0</v>
      </c>
      <c r="Q292" s="38">
        <v>26724.251</v>
      </c>
    </row>
    <row r="293" spans="1:17" x14ac:dyDescent="0.35">
      <c r="A293" s="30" t="s">
        <v>732</v>
      </c>
      <c r="B293" s="31">
        <v>0</v>
      </c>
      <c r="C293" s="31">
        <v>13859.78</v>
      </c>
      <c r="D293" s="31">
        <v>843709.64600000042</v>
      </c>
      <c r="E293" s="30" t="s">
        <v>364</v>
      </c>
      <c r="F293" s="30" t="s">
        <v>737</v>
      </c>
      <c r="G293" s="30" t="s">
        <v>381</v>
      </c>
      <c r="H293" s="30" t="s">
        <v>737</v>
      </c>
      <c r="I293" s="32">
        <v>246779410338</v>
      </c>
      <c r="J293" s="28"/>
      <c r="K293" s="36">
        <v>256779417566</v>
      </c>
      <c r="L293" s="62">
        <v>0</v>
      </c>
      <c r="M293" s="62">
        <v>6432.3032999999996</v>
      </c>
      <c r="O293" s="36">
        <v>256779417566</v>
      </c>
      <c r="P293" s="38">
        <v>0</v>
      </c>
      <c r="Q293" s="38">
        <v>6432.3032999999996</v>
      </c>
    </row>
    <row r="294" spans="1:17" x14ac:dyDescent="0.35">
      <c r="A294" s="30" t="s">
        <v>732</v>
      </c>
      <c r="B294" s="31">
        <v>0</v>
      </c>
      <c r="C294" s="31">
        <v>44681.824999999997</v>
      </c>
      <c r="D294" s="31">
        <v>799027.82100000046</v>
      </c>
      <c r="E294" s="30" t="s">
        <v>364</v>
      </c>
      <c r="F294" s="30" t="s">
        <v>738</v>
      </c>
      <c r="G294" s="30" t="s">
        <v>381</v>
      </c>
      <c r="H294" s="30" t="s">
        <v>738</v>
      </c>
      <c r="I294" s="32">
        <v>246779410339</v>
      </c>
      <c r="J294" s="28"/>
      <c r="K294" s="36">
        <v>256779417582</v>
      </c>
      <c r="L294" s="62">
        <v>0</v>
      </c>
      <c r="M294" s="62">
        <v>6896.1292000000003</v>
      </c>
      <c r="O294" s="36">
        <v>256779417582</v>
      </c>
      <c r="P294" s="38">
        <v>0</v>
      </c>
      <c r="Q294" s="38">
        <v>6896.1292000000003</v>
      </c>
    </row>
    <row r="295" spans="1:17" x14ac:dyDescent="0.35">
      <c r="A295" s="30" t="s">
        <v>732</v>
      </c>
      <c r="B295" s="31">
        <v>500000</v>
      </c>
      <c r="C295" s="31">
        <v>0</v>
      </c>
      <c r="D295" s="31">
        <v>1299027.821</v>
      </c>
      <c r="E295" s="30" t="s">
        <v>621</v>
      </c>
      <c r="F295" s="30" t="s">
        <v>739</v>
      </c>
      <c r="G295" s="30" t="s">
        <v>623</v>
      </c>
      <c r="H295" s="30"/>
      <c r="I295" s="32" t="s">
        <v>885</v>
      </c>
      <c r="J295" s="28"/>
      <c r="K295" s="36">
        <v>256779417594</v>
      </c>
      <c r="L295" s="62">
        <v>0</v>
      </c>
      <c r="M295" s="62">
        <v>1028.2935</v>
      </c>
      <c r="O295" s="36">
        <v>256779417594</v>
      </c>
      <c r="P295" s="38">
        <v>0</v>
      </c>
      <c r="Q295" s="38">
        <v>1028.2935</v>
      </c>
    </row>
    <row r="296" spans="1:17" x14ac:dyDescent="0.35">
      <c r="A296" s="30" t="s">
        <v>732</v>
      </c>
      <c r="B296" s="31">
        <v>0</v>
      </c>
      <c r="C296" s="31">
        <v>2053.9</v>
      </c>
      <c r="D296" s="31">
        <v>1296973.921000001</v>
      </c>
      <c r="E296" s="30" t="s">
        <v>364</v>
      </c>
      <c r="F296" s="30" t="s">
        <v>740</v>
      </c>
      <c r="G296" s="30" t="s">
        <v>433</v>
      </c>
      <c r="H296" s="30" t="s">
        <v>740</v>
      </c>
      <c r="I296" s="32">
        <v>256779411807</v>
      </c>
      <c r="J296" s="28"/>
      <c r="K296" s="36">
        <v>256779417939</v>
      </c>
      <c r="L296" s="62">
        <v>0</v>
      </c>
      <c r="M296" s="62">
        <v>38482.042500000003</v>
      </c>
      <c r="O296" s="36">
        <v>256779417939</v>
      </c>
      <c r="P296" s="38">
        <v>0</v>
      </c>
      <c r="Q296" s="38">
        <v>38482.042500000003</v>
      </c>
    </row>
    <row r="297" spans="1:17" x14ac:dyDescent="0.35">
      <c r="A297" s="30" t="s">
        <v>741</v>
      </c>
      <c r="B297" s="31">
        <v>0</v>
      </c>
      <c r="C297" s="31">
        <v>6064.0230000000001</v>
      </c>
      <c r="D297" s="31">
        <v>1290909.898000001</v>
      </c>
      <c r="E297" s="30" t="s">
        <v>364</v>
      </c>
      <c r="F297" s="30" t="s">
        <v>742</v>
      </c>
      <c r="G297" s="30" t="s">
        <v>450</v>
      </c>
      <c r="H297" s="30" t="s">
        <v>742</v>
      </c>
      <c r="I297" s="32">
        <v>256779414743</v>
      </c>
      <c r="J297" s="28"/>
      <c r="K297" s="36">
        <v>256779417978</v>
      </c>
      <c r="L297" s="62">
        <v>1058</v>
      </c>
      <c r="M297" s="62">
        <v>51397.291499999999</v>
      </c>
      <c r="O297" s="36">
        <v>256779417978</v>
      </c>
      <c r="P297" s="38">
        <v>1058</v>
      </c>
      <c r="Q297" s="38">
        <v>51397.291499999999</v>
      </c>
    </row>
    <row r="298" spans="1:17" x14ac:dyDescent="0.35">
      <c r="A298" s="30" t="s">
        <v>741</v>
      </c>
      <c r="B298" s="31">
        <v>0</v>
      </c>
      <c r="C298" s="31">
        <v>1800.3510000000001</v>
      </c>
      <c r="D298" s="31">
        <v>1289109.547</v>
      </c>
      <c r="E298" s="30" t="s">
        <v>364</v>
      </c>
      <c r="F298" s="30" t="s">
        <v>743</v>
      </c>
      <c r="G298" s="30" t="s">
        <v>744</v>
      </c>
      <c r="H298" s="30" t="s">
        <v>743</v>
      </c>
      <c r="I298" s="32">
        <v>256779414748</v>
      </c>
      <c r="J298" s="28"/>
      <c r="K298" s="36">
        <v>256779418010</v>
      </c>
      <c r="L298" s="62">
        <v>0</v>
      </c>
      <c r="M298" s="62">
        <v>679906.74129999999</v>
      </c>
      <c r="O298" s="36">
        <v>256779418010</v>
      </c>
      <c r="P298" s="38">
        <v>0</v>
      </c>
      <c r="Q298" s="38">
        <v>679906.74129999999</v>
      </c>
    </row>
    <row r="299" spans="1:17" x14ac:dyDescent="0.35">
      <c r="A299" s="30" t="s">
        <v>741</v>
      </c>
      <c r="B299" s="31">
        <v>0</v>
      </c>
      <c r="C299" s="31">
        <v>14610.374299999999</v>
      </c>
      <c r="D299" s="31">
        <v>1274499.1727</v>
      </c>
      <c r="E299" s="30" t="s">
        <v>364</v>
      </c>
      <c r="F299" s="30" t="s">
        <v>745</v>
      </c>
      <c r="G299" s="30" t="s">
        <v>374</v>
      </c>
      <c r="H299" s="30" t="s">
        <v>745</v>
      </c>
      <c r="I299" s="32">
        <v>256779414758</v>
      </c>
      <c r="J299" s="28"/>
      <c r="K299" s="36">
        <v>256779418036</v>
      </c>
      <c r="L299" s="62">
        <v>0</v>
      </c>
      <c r="M299" s="62">
        <v>36224.358800000002</v>
      </c>
      <c r="O299" s="36">
        <v>256779418036</v>
      </c>
      <c r="P299" s="38">
        <v>0</v>
      </c>
      <c r="Q299" s="38">
        <v>36224.358800000002</v>
      </c>
    </row>
    <row r="300" spans="1:17" x14ac:dyDescent="0.35">
      <c r="A300" s="30" t="s">
        <v>741</v>
      </c>
      <c r="B300" s="31">
        <v>0</v>
      </c>
      <c r="C300" s="31">
        <v>45061.335200000001</v>
      </c>
      <c r="D300" s="31">
        <v>1229437.8374999999</v>
      </c>
      <c r="E300" s="30" t="s">
        <v>364</v>
      </c>
      <c r="F300" s="30" t="s">
        <v>746</v>
      </c>
      <c r="G300" s="30" t="s">
        <v>381</v>
      </c>
      <c r="H300" s="30" t="s">
        <v>746</v>
      </c>
      <c r="I300" s="32">
        <v>256779414340</v>
      </c>
      <c r="J300" s="28"/>
      <c r="K300" s="36">
        <v>256779418094</v>
      </c>
      <c r="L300" s="62">
        <v>6791</v>
      </c>
      <c r="M300" s="62">
        <v>68060.655499999993</v>
      </c>
      <c r="O300" s="36">
        <v>256779418094</v>
      </c>
      <c r="P300" s="38">
        <v>6791</v>
      </c>
      <c r="Q300" s="38">
        <v>68060.655499999993</v>
      </c>
    </row>
    <row r="301" spans="1:17" x14ac:dyDescent="0.35">
      <c r="A301" s="30" t="s">
        <v>741</v>
      </c>
      <c r="B301" s="31">
        <v>0</v>
      </c>
      <c r="C301" s="31">
        <v>11782.0918</v>
      </c>
      <c r="D301" s="31">
        <v>1217655.7457000001</v>
      </c>
      <c r="E301" s="30" t="s">
        <v>364</v>
      </c>
      <c r="F301" s="30" t="s">
        <v>747</v>
      </c>
      <c r="G301" s="30" t="s">
        <v>488</v>
      </c>
      <c r="H301" s="30" t="s">
        <v>747</v>
      </c>
      <c r="I301" s="32">
        <v>256779415939</v>
      </c>
      <c r="J301" s="28"/>
      <c r="K301" s="36">
        <v>256779418103</v>
      </c>
      <c r="L301" s="62">
        <v>980</v>
      </c>
      <c r="M301" s="62">
        <v>47157.936999999998</v>
      </c>
      <c r="O301" s="36">
        <v>256779418103</v>
      </c>
      <c r="P301" s="38">
        <v>980</v>
      </c>
      <c r="Q301" s="38">
        <v>47157.936999999998</v>
      </c>
    </row>
    <row r="302" spans="1:17" x14ac:dyDescent="0.35">
      <c r="A302" s="30" t="s">
        <v>741</v>
      </c>
      <c r="B302" s="31">
        <v>0</v>
      </c>
      <c r="C302" s="31">
        <v>2559.3798999999999</v>
      </c>
      <c r="D302" s="31">
        <v>1215096.3658</v>
      </c>
      <c r="E302" s="30" t="s">
        <v>364</v>
      </c>
      <c r="F302" s="30" t="s">
        <v>748</v>
      </c>
      <c r="G302" s="30" t="s">
        <v>450</v>
      </c>
      <c r="H302" s="30" t="s">
        <v>748</v>
      </c>
      <c r="I302" s="32">
        <v>256779415771</v>
      </c>
      <c r="J302" s="28"/>
      <c r="K302" s="36">
        <v>256779418168</v>
      </c>
      <c r="L302" s="62">
        <v>88</v>
      </c>
      <c r="M302" s="62">
        <v>6173.1630999999998</v>
      </c>
      <c r="O302" s="36">
        <v>256779418168</v>
      </c>
      <c r="P302" s="38">
        <v>88</v>
      </c>
      <c r="Q302" s="38">
        <v>6173.1630999999998</v>
      </c>
    </row>
    <row r="303" spans="1:17" x14ac:dyDescent="0.35">
      <c r="A303" s="30" t="s">
        <v>741</v>
      </c>
      <c r="B303" s="31">
        <v>0</v>
      </c>
      <c r="C303" s="31">
        <v>148540.3572</v>
      </c>
      <c r="D303" s="31">
        <v>1066556.0086000001</v>
      </c>
      <c r="E303" s="30" t="s">
        <v>364</v>
      </c>
      <c r="F303" s="30" t="s">
        <v>749</v>
      </c>
      <c r="G303" s="30" t="s">
        <v>433</v>
      </c>
      <c r="H303" s="30" t="s">
        <v>749</v>
      </c>
      <c r="I303" s="32">
        <v>256779415801</v>
      </c>
      <c r="J303" s="28"/>
      <c r="K303" s="36">
        <v>256779418351</v>
      </c>
      <c r="L303" s="62">
        <v>0</v>
      </c>
      <c r="M303" s="62">
        <v>1036.08</v>
      </c>
      <c r="O303" s="36">
        <v>256779418351</v>
      </c>
      <c r="P303" s="38">
        <v>0</v>
      </c>
      <c r="Q303" s="38">
        <v>1036.08</v>
      </c>
    </row>
    <row r="304" spans="1:17" x14ac:dyDescent="0.35">
      <c r="A304" s="30" t="s">
        <v>741</v>
      </c>
      <c r="B304" s="31">
        <v>0</v>
      </c>
      <c r="C304" s="31">
        <v>13522.7454</v>
      </c>
      <c r="D304" s="31">
        <v>1053033.2631999999</v>
      </c>
      <c r="E304" s="30" t="s">
        <v>364</v>
      </c>
      <c r="F304" s="30" t="s">
        <v>750</v>
      </c>
      <c r="G304" s="30" t="s">
        <v>591</v>
      </c>
      <c r="H304" s="30" t="s">
        <v>750</v>
      </c>
      <c r="I304" s="32">
        <v>256779415456</v>
      </c>
      <c r="J304" s="28"/>
      <c r="K304" s="36">
        <v>256779418428</v>
      </c>
      <c r="L304" s="62">
        <v>88</v>
      </c>
      <c r="M304" s="62">
        <v>2901.2856000000002</v>
      </c>
      <c r="O304" s="36">
        <v>256779418428</v>
      </c>
      <c r="P304" s="38">
        <v>88</v>
      </c>
      <c r="Q304" s="38">
        <v>2901.2856000000002</v>
      </c>
    </row>
    <row r="305" spans="1:17" x14ac:dyDescent="0.35">
      <c r="A305" s="30" t="s">
        <v>741</v>
      </c>
      <c r="B305" s="31">
        <v>0</v>
      </c>
      <c r="C305" s="31">
        <v>8342.0650000000005</v>
      </c>
      <c r="D305" s="31">
        <v>1044691.1982</v>
      </c>
      <c r="E305" s="30" t="s">
        <v>364</v>
      </c>
      <c r="F305" s="30" t="s">
        <v>751</v>
      </c>
      <c r="G305" s="30" t="s">
        <v>752</v>
      </c>
      <c r="H305" s="30" t="s">
        <v>751</v>
      </c>
      <c r="I305" s="32">
        <v>256779415444</v>
      </c>
      <c r="J305" s="28"/>
      <c r="K305" s="36">
        <v>256779418437</v>
      </c>
      <c r="L305" s="62">
        <v>176</v>
      </c>
      <c r="M305" s="62">
        <v>7046.0609999999997</v>
      </c>
      <c r="O305" s="36">
        <v>256779418437</v>
      </c>
      <c r="P305" s="38">
        <v>176</v>
      </c>
      <c r="Q305" s="38">
        <v>7046.0609999999997</v>
      </c>
    </row>
    <row r="306" spans="1:17" x14ac:dyDescent="0.35">
      <c r="A306" s="30" t="s">
        <v>753</v>
      </c>
      <c r="B306" s="31">
        <v>0</v>
      </c>
      <c r="C306" s="31">
        <v>2629.9005000000002</v>
      </c>
      <c r="D306" s="31">
        <v>1042061.2977</v>
      </c>
      <c r="E306" s="30" t="s">
        <v>364</v>
      </c>
      <c r="F306" s="30" t="s">
        <v>754</v>
      </c>
      <c r="G306" s="30" t="s">
        <v>755</v>
      </c>
      <c r="H306" s="30" t="s">
        <v>754</v>
      </c>
      <c r="I306" s="32">
        <v>256779414968</v>
      </c>
      <c r="J306" s="28"/>
      <c r="K306" s="36">
        <v>256779418477</v>
      </c>
      <c r="L306" s="62">
        <v>0</v>
      </c>
      <c r="M306" s="62">
        <v>299.84859999999998</v>
      </c>
      <c r="O306" s="36">
        <v>256779418477</v>
      </c>
      <c r="P306" s="38">
        <v>0</v>
      </c>
      <c r="Q306" s="38">
        <v>299.84859999999998</v>
      </c>
    </row>
    <row r="307" spans="1:17" x14ac:dyDescent="0.35">
      <c r="A307" s="30" t="s">
        <v>753</v>
      </c>
      <c r="B307" s="31">
        <v>0</v>
      </c>
      <c r="C307" s="31">
        <v>201.24160000000001</v>
      </c>
      <c r="D307" s="31">
        <v>1041860.056100001</v>
      </c>
      <c r="E307" s="30" t="s">
        <v>364</v>
      </c>
      <c r="F307" s="30" t="s">
        <v>756</v>
      </c>
      <c r="G307" s="30" t="s">
        <v>450</v>
      </c>
      <c r="H307" s="30" t="s">
        <v>756</v>
      </c>
      <c r="I307" s="32">
        <v>256779415263</v>
      </c>
      <c r="J307" s="28"/>
      <c r="K307" s="36">
        <v>256779418492</v>
      </c>
      <c r="L307" s="62">
        <v>6</v>
      </c>
      <c r="M307" s="62">
        <v>306</v>
      </c>
      <c r="O307" s="36">
        <v>256779418492</v>
      </c>
      <c r="P307" s="38">
        <v>6</v>
      </c>
      <c r="Q307" s="38">
        <v>306</v>
      </c>
    </row>
    <row r="308" spans="1:17" x14ac:dyDescent="0.35">
      <c r="A308" s="30" t="s">
        <v>753</v>
      </c>
      <c r="B308" s="31">
        <v>0</v>
      </c>
      <c r="C308" s="31">
        <v>257812.80850000001</v>
      </c>
      <c r="D308" s="31">
        <v>784047.24760000047</v>
      </c>
      <c r="E308" s="30" t="s">
        <v>364</v>
      </c>
      <c r="F308" s="30" t="s">
        <v>757</v>
      </c>
      <c r="G308" s="30" t="s">
        <v>758</v>
      </c>
      <c r="H308" s="30" t="s">
        <v>757</v>
      </c>
      <c r="I308" s="32">
        <v>256779415198</v>
      </c>
      <c r="J308" s="28"/>
      <c r="K308" s="36">
        <v>256779418802</v>
      </c>
      <c r="L308" s="62">
        <v>4048</v>
      </c>
      <c r="M308" s="62">
        <v>40195.392399999997</v>
      </c>
      <c r="O308" s="36">
        <v>256779418802</v>
      </c>
      <c r="P308" s="38">
        <v>4048</v>
      </c>
      <c r="Q308" s="38">
        <v>40195.392399999997</v>
      </c>
    </row>
    <row r="309" spans="1:17" x14ac:dyDescent="0.35">
      <c r="A309" s="30" t="s">
        <v>753</v>
      </c>
      <c r="B309" s="31">
        <v>0</v>
      </c>
      <c r="C309" s="31">
        <v>552.98429999999996</v>
      </c>
      <c r="D309" s="31">
        <v>783494.26330000046</v>
      </c>
      <c r="E309" s="30" t="s">
        <v>364</v>
      </c>
      <c r="F309" s="30" t="s">
        <v>759</v>
      </c>
      <c r="G309" s="30" t="s">
        <v>760</v>
      </c>
      <c r="H309" s="30" t="s">
        <v>759</v>
      </c>
      <c r="I309" s="32">
        <v>256779415048</v>
      </c>
      <c r="J309" s="28"/>
      <c r="K309" s="36">
        <v>256779418819</v>
      </c>
      <c r="L309" s="62">
        <v>0</v>
      </c>
      <c r="M309" s="62">
        <v>2793.2276000000002</v>
      </c>
      <c r="O309" s="36">
        <v>256779418819</v>
      </c>
      <c r="P309" s="38">
        <v>0</v>
      </c>
      <c r="Q309" s="38">
        <v>2793.2276000000002</v>
      </c>
    </row>
    <row r="310" spans="1:17" x14ac:dyDescent="0.35">
      <c r="A310" s="30" t="s">
        <v>753</v>
      </c>
      <c r="B310" s="31">
        <v>0</v>
      </c>
      <c r="C310" s="31">
        <v>4562.3355000000001</v>
      </c>
      <c r="D310" s="31">
        <v>778931.92780000041</v>
      </c>
      <c r="E310" s="30" t="s">
        <v>364</v>
      </c>
      <c r="F310" s="30" t="s">
        <v>761</v>
      </c>
      <c r="G310" s="30" t="s">
        <v>374</v>
      </c>
      <c r="H310" s="30" t="s">
        <v>761</v>
      </c>
      <c r="I310" s="32">
        <v>256779414975</v>
      </c>
      <c r="J310" s="28"/>
      <c r="K310" s="36">
        <v>256779418869</v>
      </c>
      <c r="L310" s="62">
        <v>0</v>
      </c>
      <c r="M310" s="62">
        <v>529469.75580000004</v>
      </c>
      <c r="O310" s="36">
        <v>256779418869</v>
      </c>
      <c r="P310" s="38">
        <v>0</v>
      </c>
      <c r="Q310" s="38">
        <v>529469.75580000004</v>
      </c>
    </row>
    <row r="311" spans="1:17" x14ac:dyDescent="0.35">
      <c r="A311" s="30" t="s">
        <v>753</v>
      </c>
      <c r="B311" s="31">
        <v>0</v>
      </c>
      <c r="C311" s="31">
        <v>35324.775199999996</v>
      </c>
      <c r="D311" s="31">
        <v>743607.15260000038</v>
      </c>
      <c r="E311" s="30" t="s">
        <v>364</v>
      </c>
      <c r="F311" s="30" t="s">
        <v>762</v>
      </c>
      <c r="G311" s="30" t="s">
        <v>691</v>
      </c>
      <c r="H311" s="30" t="s">
        <v>762</v>
      </c>
      <c r="I311" s="32">
        <v>256779414944</v>
      </c>
      <c r="J311" s="28"/>
      <c r="K311" s="36">
        <v>256779418897</v>
      </c>
      <c r="L311" s="62">
        <v>0</v>
      </c>
      <c r="M311" s="62">
        <v>9367.9609</v>
      </c>
      <c r="O311" s="36">
        <v>256779418897</v>
      </c>
      <c r="P311" s="38">
        <v>0</v>
      </c>
      <c r="Q311" s="38">
        <v>9367.9609</v>
      </c>
    </row>
    <row r="312" spans="1:17" x14ac:dyDescent="0.35">
      <c r="A312" s="30" t="s">
        <v>753</v>
      </c>
      <c r="B312" s="31">
        <v>0</v>
      </c>
      <c r="C312" s="31">
        <v>91401.512100000007</v>
      </c>
      <c r="D312" s="31">
        <v>652205.64050000033</v>
      </c>
      <c r="E312" s="30" t="s">
        <v>364</v>
      </c>
      <c r="F312" s="30" t="s">
        <v>763</v>
      </c>
      <c r="G312" s="30" t="s">
        <v>381</v>
      </c>
      <c r="H312" s="30" t="s">
        <v>763</v>
      </c>
      <c r="I312" s="32">
        <v>256779414890</v>
      </c>
      <c r="J312" s="28"/>
      <c r="K312" s="36">
        <v>256779418906</v>
      </c>
      <c r="L312" s="62">
        <v>0</v>
      </c>
      <c r="M312" s="62">
        <v>3014.1161000000002</v>
      </c>
      <c r="O312" s="36">
        <v>256779418906</v>
      </c>
      <c r="P312" s="38">
        <v>0</v>
      </c>
      <c r="Q312" s="38">
        <v>3014.1161000000002</v>
      </c>
    </row>
    <row r="313" spans="1:17" x14ac:dyDescent="0.35">
      <c r="A313" s="30" t="s">
        <v>753</v>
      </c>
      <c r="B313" s="31">
        <v>0</v>
      </c>
      <c r="C313" s="31">
        <v>2642.8006</v>
      </c>
      <c r="D313" s="31">
        <v>649562.83990000037</v>
      </c>
      <c r="E313" s="30" t="s">
        <v>364</v>
      </c>
      <c r="F313" s="30" t="s">
        <v>764</v>
      </c>
      <c r="G313" s="30" t="s">
        <v>433</v>
      </c>
      <c r="H313" s="30" t="s">
        <v>764</v>
      </c>
      <c r="I313" s="32">
        <v>256779414878</v>
      </c>
      <c r="J313" s="28"/>
      <c r="K313" s="36">
        <v>256779419069</v>
      </c>
      <c r="L313" s="62">
        <v>0</v>
      </c>
      <c r="M313" s="62">
        <v>26716.949199999999</v>
      </c>
      <c r="O313" s="36">
        <v>256779419069</v>
      </c>
      <c r="P313" s="38">
        <v>0</v>
      </c>
      <c r="Q313" s="38">
        <v>26716.949199999999</v>
      </c>
    </row>
    <row r="314" spans="1:17" x14ac:dyDescent="0.35">
      <c r="A314" s="30" t="s">
        <v>753</v>
      </c>
      <c r="B314" s="31">
        <v>0</v>
      </c>
      <c r="C314" s="31">
        <v>8595.7669999999998</v>
      </c>
      <c r="D314" s="31">
        <v>640967.07290000038</v>
      </c>
      <c r="E314" s="30" t="s">
        <v>364</v>
      </c>
      <c r="F314" s="30" t="s">
        <v>765</v>
      </c>
      <c r="G314" s="30" t="s">
        <v>374</v>
      </c>
      <c r="H314" s="30" t="s">
        <v>765</v>
      </c>
      <c r="I314" s="32">
        <v>256779414829</v>
      </c>
      <c r="J314" s="28"/>
      <c r="K314" s="36">
        <v>256779419076</v>
      </c>
      <c r="L314" s="62">
        <v>0</v>
      </c>
      <c r="M314" s="62">
        <v>63274.437400000003</v>
      </c>
      <c r="O314" s="36">
        <v>256779419076</v>
      </c>
      <c r="P314" s="38">
        <v>0</v>
      </c>
      <c r="Q314" s="38">
        <v>63274.437400000003</v>
      </c>
    </row>
    <row r="315" spans="1:17" x14ac:dyDescent="0.35">
      <c r="A315" s="30" t="s">
        <v>753</v>
      </c>
      <c r="B315" s="31">
        <v>0</v>
      </c>
      <c r="C315" s="31">
        <v>1492.1116</v>
      </c>
      <c r="D315" s="31">
        <v>639474.96130000043</v>
      </c>
      <c r="E315" s="30" t="s">
        <v>364</v>
      </c>
      <c r="F315" s="30" t="s">
        <v>766</v>
      </c>
      <c r="G315" s="30" t="s">
        <v>767</v>
      </c>
      <c r="H315" s="30" t="s">
        <v>766</v>
      </c>
      <c r="I315" s="32">
        <v>256779414768</v>
      </c>
      <c r="J315" s="28"/>
      <c r="K315" s="36">
        <v>256779419172</v>
      </c>
      <c r="L315" s="62">
        <v>0</v>
      </c>
      <c r="M315" s="62">
        <v>5909.4276</v>
      </c>
      <c r="O315" s="36">
        <v>256779419172</v>
      </c>
      <c r="P315" s="38">
        <v>0</v>
      </c>
      <c r="Q315" s="38">
        <v>5909.4276</v>
      </c>
    </row>
    <row r="316" spans="1:17" x14ac:dyDescent="0.35">
      <c r="A316" s="30" t="s">
        <v>753</v>
      </c>
      <c r="B316" s="31">
        <v>0</v>
      </c>
      <c r="C316" s="31">
        <v>23117.1535</v>
      </c>
      <c r="D316" s="31">
        <v>616357.80780000042</v>
      </c>
      <c r="E316" s="30" t="s">
        <v>364</v>
      </c>
      <c r="F316" s="30" t="s">
        <v>768</v>
      </c>
      <c r="G316" s="30" t="s">
        <v>769</v>
      </c>
      <c r="H316" s="30" t="s">
        <v>768</v>
      </c>
      <c r="I316" s="32">
        <v>256779416544</v>
      </c>
      <c r="J316" s="28"/>
      <c r="K316" s="36">
        <v>256779419248</v>
      </c>
      <c r="L316" s="62">
        <v>0</v>
      </c>
      <c r="M316" s="62">
        <v>991.79819999999995</v>
      </c>
      <c r="O316" s="36">
        <v>256779419248</v>
      </c>
      <c r="P316" s="38">
        <v>0</v>
      </c>
      <c r="Q316" s="38">
        <v>991.79819999999995</v>
      </c>
    </row>
    <row r="317" spans="1:17" x14ac:dyDescent="0.35">
      <c r="A317" s="30" t="s">
        <v>753</v>
      </c>
      <c r="B317" s="31">
        <v>0</v>
      </c>
      <c r="C317" s="31">
        <v>21929.077600000001</v>
      </c>
      <c r="D317" s="31">
        <v>594428.73020000046</v>
      </c>
      <c r="E317" s="30" t="s">
        <v>364</v>
      </c>
      <c r="F317" s="30" t="s">
        <v>770</v>
      </c>
      <c r="G317" s="30" t="s">
        <v>769</v>
      </c>
      <c r="H317" s="30" t="s">
        <v>770</v>
      </c>
      <c r="I317" s="32">
        <v>256779416546</v>
      </c>
      <c r="J317" s="28"/>
      <c r="K317" s="36">
        <v>256779419364</v>
      </c>
      <c r="L317" s="62">
        <v>0</v>
      </c>
      <c r="M317" s="62">
        <v>27787.070400000001</v>
      </c>
      <c r="O317" s="36">
        <v>256779419364</v>
      </c>
      <c r="P317" s="38">
        <v>0</v>
      </c>
      <c r="Q317" s="38">
        <v>27787.070400000001</v>
      </c>
    </row>
    <row r="318" spans="1:17" x14ac:dyDescent="0.35">
      <c r="A318" s="30" t="s">
        <v>753</v>
      </c>
      <c r="B318" s="31">
        <v>0</v>
      </c>
      <c r="C318" s="31">
        <v>9260.2821000000004</v>
      </c>
      <c r="D318" s="31">
        <v>585168.4481000005</v>
      </c>
      <c r="E318" s="30" t="s">
        <v>364</v>
      </c>
      <c r="F318" s="30" t="s">
        <v>771</v>
      </c>
      <c r="G318" s="30" t="s">
        <v>450</v>
      </c>
      <c r="H318" s="30" t="s">
        <v>771</v>
      </c>
      <c r="I318" s="32">
        <v>256779416444</v>
      </c>
      <c r="J318" s="28"/>
      <c r="K318" s="36">
        <v>256779419465</v>
      </c>
      <c r="L318" s="62">
        <v>0</v>
      </c>
      <c r="M318" s="62">
        <v>20693.117099999999</v>
      </c>
      <c r="O318" s="36">
        <v>256779419465</v>
      </c>
      <c r="P318" s="38">
        <v>0</v>
      </c>
      <c r="Q318" s="38">
        <v>20693.117099999999</v>
      </c>
    </row>
    <row r="319" spans="1:17" x14ac:dyDescent="0.35">
      <c r="A319" s="30" t="s">
        <v>753</v>
      </c>
      <c r="B319" s="31">
        <v>0</v>
      </c>
      <c r="C319" s="31">
        <v>27395.431400000001</v>
      </c>
      <c r="D319" s="31">
        <v>557773.0167000005</v>
      </c>
      <c r="E319" s="30" t="s">
        <v>364</v>
      </c>
      <c r="F319" s="30" t="s">
        <v>772</v>
      </c>
      <c r="G319" s="30" t="s">
        <v>381</v>
      </c>
      <c r="H319" s="30" t="s">
        <v>772</v>
      </c>
      <c r="I319" s="32">
        <v>256779416538</v>
      </c>
      <c r="J319" s="28"/>
      <c r="K319" s="36">
        <v>256779419476</v>
      </c>
      <c r="L319" s="62">
        <v>0</v>
      </c>
      <c r="M319" s="62">
        <v>14016.2999</v>
      </c>
      <c r="O319" s="36">
        <v>256779419476</v>
      </c>
      <c r="P319" s="38">
        <v>0</v>
      </c>
      <c r="Q319" s="38">
        <v>14016.2999</v>
      </c>
    </row>
    <row r="320" spans="1:17" x14ac:dyDescent="0.35">
      <c r="A320" s="30" t="s">
        <v>753</v>
      </c>
      <c r="B320" s="31">
        <v>0</v>
      </c>
      <c r="C320" s="31">
        <v>35336.871800000001</v>
      </c>
      <c r="D320" s="31">
        <v>522436.14490000048</v>
      </c>
      <c r="E320" s="30" t="s">
        <v>364</v>
      </c>
      <c r="F320" s="30" t="s">
        <v>773</v>
      </c>
      <c r="G320" s="30" t="s">
        <v>691</v>
      </c>
      <c r="H320" s="30" t="s">
        <v>773</v>
      </c>
      <c r="I320" s="32">
        <v>256779416054</v>
      </c>
      <c r="J320" s="28"/>
      <c r="K320" s="36">
        <v>256779419534</v>
      </c>
      <c r="L320" s="62">
        <v>0</v>
      </c>
      <c r="M320" s="62">
        <v>7761.8990000000003</v>
      </c>
      <c r="O320" s="36">
        <v>256779419534</v>
      </c>
      <c r="P320" s="38">
        <v>0</v>
      </c>
      <c r="Q320" s="38">
        <v>7761.8990000000003</v>
      </c>
    </row>
    <row r="321" spans="1:17" x14ac:dyDescent="0.35">
      <c r="A321" s="30" t="s">
        <v>753</v>
      </c>
      <c r="B321" s="31">
        <v>0</v>
      </c>
      <c r="C321" s="31">
        <v>33482.010999999999</v>
      </c>
      <c r="D321" s="31">
        <v>488954.13390000048</v>
      </c>
      <c r="E321" s="30" t="s">
        <v>364</v>
      </c>
      <c r="F321" s="30" t="s">
        <v>774</v>
      </c>
      <c r="G321" s="30" t="s">
        <v>691</v>
      </c>
      <c r="H321" s="30" t="s">
        <v>774</v>
      </c>
      <c r="I321" s="32">
        <v>256779417373</v>
      </c>
      <c r="J321" s="28"/>
      <c r="K321" s="36">
        <v>256779419547</v>
      </c>
      <c r="L321" s="62">
        <v>0</v>
      </c>
      <c r="M321" s="62">
        <v>9417.2428</v>
      </c>
      <c r="O321" s="36">
        <v>256779419547</v>
      </c>
      <c r="P321" s="38">
        <v>0</v>
      </c>
      <c r="Q321" s="38">
        <v>9417.2428</v>
      </c>
    </row>
    <row r="322" spans="1:17" x14ac:dyDescent="0.35">
      <c r="A322" s="30" t="s">
        <v>753</v>
      </c>
      <c r="B322" s="31">
        <v>0</v>
      </c>
      <c r="C322" s="31">
        <v>6432.3032999999996</v>
      </c>
      <c r="D322" s="31">
        <v>482521.83060000051</v>
      </c>
      <c r="E322" s="30" t="s">
        <v>364</v>
      </c>
      <c r="F322" s="30" t="s">
        <v>775</v>
      </c>
      <c r="G322" s="30" t="s">
        <v>437</v>
      </c>
      <c r="H322" s="30" t="s">
        <v>775</v>
      </c>
      <c r="I322" s="32">
        <v>256779417566</v>
      </c>
      <c r="J322" s="28"/>
      <c r="K322" s="36">
        <v>256779419556</v>
      </c>
      <c r="L322" s="62">
        <v>0</v>
      </c>
      <c r="M322" s="62">
        <v>39821.534</v>
      </c>
      <c r="O322" s="36">
        <v>256779419556</v>
      </c>
      <c r="P322" s="38">
        <v>0</v>
      </c>
      <c r="Q322" s="38">
        <v>39821.534</v>
      </c>
    </row>
    <row r="323" spans="1:17" x14ac:dyDescent="0.35">
      <c r="A323" s="30" t="s">
        <v>753</v>
      </c>
      <c r="B323" s="31">
        <v>0</v>
      </c>
      <c r="C323" s="31">
        <v>6896.1292000000003</v>
      </c>
      <c r="D323" s="31">
        <v>475625.70140000043</v>
      </c>
      <c r="E323" s="30" t="s">
        <v>364</v>
      </c>
      <c r="F323" s="30" t="s">
        <v>776</v>
      </c>
      <c r="G323" s="30" t="s">
        <v>437</v>
      </c>
      <c r="H323" s="30" t="s">
        <v>776</v>
      </c>
      <c r="I323" s="32">
        <v>256779417582</v>
      </c>
      <c r="J323" s="28"/>
      <c r="K323" s="36">
        <v>256779419588</v>
      </c>
      <c r="L323" s="62">
        <v>0</v>
      </c>
      <c r="M323" s="62">
        <v>29234.726200000001</v>
      </c>
      <c r="O323" s="36">
        <v>256779419588</v>
      </c>
      <c r="P323" s="38">
        <v>0</v>
      </c>
      <c r="Q323" s="38">
        <v>29234.726200000001</v>
      </c>
    </row>
    <row r="324" spans="1:17" x14ac:dyDescent="0.35">
      <c r="A324" s="30" t="s">
        <v>753</v>
      </c>
      <c r="B324" s="31">
        <v>0</v>
      </c>
      <c r="C324" s="31">
        <v>1028.2935</v>
      </c>
      <c r="D324" s="31">
        <v>474597.4079000004</v>
      </c>
      <c r="E324" s="30" t="s">
        <v>364</v>
      </c>
      <c r="F324" s="30" t="s">
        <v>777</v>
      </c>
      <c r="G324" s="30" t="s">
        <v>374</v>
      </c>
      <c r="H324" s="30" t="s">
        <v>777</v>
      </c>
      <c r="I324" s="32">
        <v>256779417594</v>
      </c>
      <c r="J324" s="28"/>
      <c r="K324" s="36">
        <v>256779419628</v>
      </c>
      <c r="L324" s="62">
        <v>0</v>
      </c>
      <c r="M324" s="62">
        <v>897.63459999999998</v>
      </c>
      <c r="O324" s="36">
        <v>256779419628</v>
      </c>
      <c r="P324" s="38">
        <v>0</v>
      </c>
      <c r="Q324" s="38">
        <v>897.63459999999998</v>
      </c>
    </row>
    <row r="325" spans="1:17" x14ac:dyDescent="0.35">
      <c r="A325" s="30" t="s">
        <v>753</v>
      </c>
      <c r="B325" s="31">
        <v>0</v>
      </c>
      <c r="C325" s="31">
        <v>545.21420000000001</v>
      </c>
      <c r="D325" s="31">
        <v>474052.19370000041</v>
      </c>
      <c r="E325" s="30" t="s">
        <v>364</v>
      </c>
      <c r="F325" s="30" t="s">
        <v>778</v>
      </c>
      <c r="G325" s="30" t="s">
        <v>450</v>
      </c>
      <c r="H325" s="30" t="s">
        <v>778</v>
      </c>
      <c r="I325" s="32">
        <v>256779417442</v>
      </c>
      <c r="J325" s="28"/>
      <c r="K325" s="36">
        <v>256779419795</v>
      </c>
      <c r="L325" s="62">
        <v>0</v>
      </c>
      <c r="M325" s="62">
        <v>28407.106800000001</v>
      </c>
      <c r="O325" s="36">
        <v>256779419795</v>
      </c>
      <c r="P325" s="38">
        <v>0</v>
      </c>
      <c r="Q325" s="38">
        <v>28407.106800000001</v>
      </c>
    </row>
    <row r="326" spans="1:17" x14ac:dyDescent="0.35">
      <c r="A326" s="30" t="s">
        <v>753</v>
      </c>
      <c r="B326" s="31">
        <v>0</v>
      </c>
      <c r="C326" s="31">
        <v>26724.251</v>
      </c>
      <c r="D326" s="31">
        <v>447327.94270000042</v>
      </c>
      <c r="E326" s="30" t="s">
        <v>364</v>
      </c>
      <c r="F326" s="30" t="s">
        <v>779</v>
      </c>
      <c r="G326" s="30" t="s">
        <v>374</v>
      </c>
      <c r="H326" s="30" t="s">
        <v>779</v>
      </c>
      <c r="I326" s="32">
        <v>256779417525</v>
      </c>
      <c r="J326" s="28"/>
      <c r="K326" s="36">
        <v>256779419867</v>
      </c>
      <c r="L326" s="62">
        <v>0</v>
      </c>
      <c r="M326" s="62">
        <v>61159.633500000004</v>
      </c>
      <c r="O326" s="36">
        <v>256779419867</v>
      </c>
      <c r="P326" s="38">
        <v>0</v>
      </c>
      <c r="Q326" s="38">
        <v>61159.633500000004</v>
      </c>
    </row>
    <row r="327" spans="1:17" x14ac:dyDescent="0.35">
      <c r="A327" s="30" t="s">
        <v>753</v>
      </c>
      <c r="B327" s="31">
        <v>0</v>
      </c>
      <c r="C327" s="31">
        <v>29303.298299999999</v>
      </c>
      <c r="D327" s="31">
        <v>418024.6444000004</v>
      </c>
      <c r="E327" s="30" t="s">
        <v>364</v>
      </c>
      <c r="F327" s="30" t="s">
        <v>780</v>
      </c>
      <c r="G327" s="30" t="s">
        <v>769</v>
      </c>
      <c r="H327" s="30" t="s">
        <v>780</v>
      </c>
      <c r="I327" s="32">
        <v>256779417410</v>
      </c>
      <c r="J327" s="28"/>
      <c r="K327" s="36">
        <v>256779419916</v>
      </c>
      <c r="L327" s="62">
        <v>0</v>
      </c>
      <c r="M327" s="62">
        <v>11115.014499999999</v>
      </c>
      <c r="O327" s="36">
        <v>256779419916</v>
      </c>
      <c r="P327" s="38">
        <v>0</v>
      </c>
      <c r="Q327" s="38">
        <v>11115.014499999999</v>
      </c>
    </row>
    <row r="328" spans="1:17" x14ac:dyDescent="0.35">
      <c r="A328" s="30" t="s">
        <v>781</v>
      </c>
      <c r="B328" s="31">
        <v>0</v>
      </c>
      <c r="C328" s="31">
        <v>42087.391600000003</v>
      </c>
      <c r="D328" s="31">
        <v>375937.25280000042</v>
      </c>
      <c r="E328" s="30" t="s">
        <v>364</v>
      </c>
      <c r="F328" s="30" t="s">
        <v>782</v>
      </c>
      <c r="G328" s="30" t="s">
        <v>381</v>
      </c>
      <c r="H328" s="30" t="s">
        <v>782</v>
      </c>
      <c r="I328" s="32">
        <v>256779417489</v>
      </c>
      <c r="J328" s="28"/>
      <c r="K328" s="36">
        <v>256779419933</v>
      </c>
      <c r="L328" s="62">
        <v>0</v>
      </c>
      <c r="M328" s="62">
        <v>10489.678599999999</v>
      </c>
      <c r="O328" s="36">
        <v>256779419933</v>
      </c>
      <c r="P328" s="38">
        <v>0</v>
      </c>
      <c r="Q328" s="38">
        <v>10489.678599999999</v>
      </c>
    </row>
    <row r="329" spans="1:17" x14ac:dyDescent="0.35">
      <c r="A329" s="30" t="s">
        <v>781</v>
      </c>
      <c r="B329" s="31">
        <v>0</v>
      </c>
      <c r="C329" s="31">
        <v>36224.358800000002</v>
      </c>
      <c r="D329" s="31">
        <v>339712.89400000038</v>
      </c>
      <c r="E329" s="30" t="s">
        <v>364</v>
      </c>
      <c r="F329" s="30" t="s">
        <v>783</v>
      </c>
      <c r="G329" s="30" t="s">
        <v>691</v>
      </c>
      <c r="H329" s="30" t="s">
        <v>783</v>
      </c>
      <c r="I329" s="32">
        <v>256779418036</v>
      </c>
      <c r="J329" s="28"/>
      <c r="K329" s="36">
        <v>256779421361</v>
      </c>
      <c r="L329" s="62">
        <v>31577</v>
      </c>
      <c r="M329" s="62">
        <v>0</v>
      </c>
      <c r="O329" s="36">
        <v>256779421361</v>
      </c>
      <c r="P329" s="38">
        <v>31577</v>
      </c>
      <c r="Q329" s="38">
        <v>0</v>
      </c>
    </row>
    <row r="330" spans="1:17" x14ac:dyDescent="0.35">
      <c r="A330" s="30" t="s">
        <v>781</v>
      </c>
      <c r="B330" s="31">
        <v>0</v>
      </c>
      <c r="C330" s="31">
        <v>38482.042500000003</v>
      </c>
      <c r="D330" s="31">
        <v>301230.8515000004</v>
      </c>
      <c r="E330" s="30" t="s">
        <v>364</v>
      </c>
      <c r="F330" s="30" t="s">
        <v>784</v>
      </c>
      <c r="G330" s="30" t="s">
        <v>437</v>
      </c>
      <c r="H330" s="30" t="s">
        <v>784</v>
      </c>
      <c r="I330" s="32">
        <v>256779417939</v>
      </c>
      <c r="J330" s="28"/>
      <c r="K330" s="36">
        <v>256779421362</v>
      </c>
      <c r="L330" s="62">
        <v>19430</v>
      </c>
      <c r="M330" s="62">
        <v>0</v>
      </c>
      <c r="O330" s="36">
        <v>256779421362</v>
      </c>
      <c r="P330" s="38">
        <v>19430</v>
      </c>
      <c r="Q330" s="38">
        <v>0</v>
      </c>
    </row>
    <row r="331" spans="1:17" x14ac:dyDescent="0.35">
      <c r="A331" s="30" t="s">
        <v>781</v>
      </c>
      <c r="B331" s="31">
        <v>0</v>
      </c>
      <c r="C331" s="31">
        <v>679906.74129999999</v>
      </c>
      <c r="D331" s="31">
        <v>-378675.8897999996</v>
      </c>
      <c r="E331" s="30" t="s">
        <v>364</v>
      </c>
      <c r="F331" s="30" t="s">
        <v>785</v>
      </c>
      <c r="G331" s="30" t="s">
        <v>758</v>
      </c>
      <c r="H331" s="30" t="s">
        <v>785</v>
      </c>
      <c r="I331" s="32">
        <v>256779418010</v>
      </c>
      <c r="J331" s="28"/>
      <c r="K331" s="36">
        <v>256779421364</v>
      </c>
      <c r="L331" s="62">
        <v>18611</v>
      </c>
      <c r="M331" s="62">
        <v>0</v>
      </c>
      <c r="O331" s="36">
        <v>256779421364</v>
      </c>
      <c r="P331" s="38">
        <v>18611</v>
      </c>
      <c r="Q331" s="38">
        <v>0</v>
      </c>
    </row>
    <row r="332" spans="1:17" x14ac:dyDescent="0.35">
      <c r="A332" s="30" t="s">
        <v>781</v>
      </c>
      <c r="B332" s="31">
        <v>0</v>
      </c>
      <c r="C332" s="31">
        <v>3487.4461000000001</v>
      </c>
      <c r="D332" s="31">
        <v>-382163.3358999996</v>
      </c>
      <c r="E332" s="30" t="s">
        <v>364</v>
      </c>
      <c r="F332" s="30" t="s">
        <v>786</v>
      </c>
      <c r="G332" s="30" t="s">
        <v>752</v>
      </c>
      <c r="H332" s="30" t="s">
        <v>786</v>
      </c>
      <c r="I332" s="32">
        <v>256779416911</v>
      </c>
      <c r="J332" s="28"/>
      <c r="K332" s="36">
        <v>256779421365</v>
      </c>
      <c r="L332" s="62">
        <v>31723</v>
      </c>
      <c r="M332" s="62">
        <v>0</v>
      </c>
      <c r="O332" s="36">
        <v>256779421365</v>
      </c>
      <c r="P332" s="38">
        <v>31723</v>
      </c>
      <c r="Q332" s="38">
        <v>0</v>
      </c>
    </row>
    <row r="333" spans="1:17" x14ac:dyDescent="0.35">
      <c r="A333" s="30" t="s">
        <v>781</v>
      </c>
      <c r="B333" s="31">
        <v>0</v>
      </c>
      <c r="C333" s="31">
        <v>90131.008499999996</v>
      </c>
      <c r="D333" s="31">
        <v>-472294.34439999959</v>
      </c>
      <c r="E333" s="30" t="s">
        <v>364</v>
      </c>
      <c r="F333" s="30" t="s">
        <v>787</v>
      </c>
      <c r="G333" s="30" t="s">
        <v>752</v>
      </c>
      <c r="H333" s="30" t="s">
        <v>787</v>
      </c>
      <c r="I333" s="32">
        <v>256779417286</v>
      </c>
      <c r="J333" s="28"/>
      <c r="K333" s="36">
        <v>256779421367</v>
      </c>
      <c r="L333" s="62">
        <v>114223</v>
      </c>
      <c r="M333" s="62">
        <v>0</v>
      </c>
      <c r="O333" s="36">
        <v>256779421367</v>
      </c>
      <c r="P333" s="38">
        <v>114223</v>
      </c>
      <c r="Q333" s="38">
        <v>0</v>
      </c>
    </row>
    <row r="334" spans="1:17" x14ac:dyDescent="0.35">
      <c r="A334" s="30" t="s">
        <v>781</v>
      </c>
      <c r="B334" s="31">
        <v>0</v>
      </c>
      <c r="C334" s="31">
        <v>4231.3179</v>
      </c>
      <c r="D334" s="31">
        <v>-476525.66229999962</v>
      </c>
      <c r="E334" s="30" t="s">
        <v>364</v>
      </c>
      <c r="F334" s="30" t="s">
        <v>788</v>
      </c>
      <c r="G334" s="30" t="s">
        <v>374</v>
      </c>
      <c r="H334" s="30" t="s">
        <v>788</v>
      </c>
      <c r="I334" s="32">
        <v>256779417324</v>
      </c>
      <c r="J334" s="28"/>
      <c r="K334" s="36">
        <v>256779421368</v>
      </c>
      <c r="L334" s="62">
        <v>55272</v>
      </c>
      <c r="M334" s="62">
        <v>0</v>
      </c>
      <c r="O334" s="36">
        <v>256779421368</v>
      </c>
      <c r="P334" s="38">
        <v>55272</v>
      </c>
      <c r="Q334" s="38">
        <v>0</v>
      </c>
    </row>
    <row r="335" spans="1:17" x14ac:dyDescent="0.35">
      <c r="A335" s="30" t="s">
        <v>781</v>
      </c>
      <c r="B335" s="31">
        <v>0</v>
      </c>
      <c r="C335" s="31">
        <v>1233.9521</v>
      </c>
      <c r="D335" s="31">
        <v>-477759.61439999961</v>
      </c>
      <c r="E335" s="30" t="s">
        <v>364</v>
      </c>
      <c r="F335" s="30" t="s">
        <v>789</v>
      </c>
      <c r="G335" s="30" t="s">
        <v>374</v>
      </c>
      <c r="H335" s="30" t="s">
        <v>789</v>
      </c>
      <c r="I335" s="32">
        <v>256779416948</v>
      </c>
      <c r="J335" s="28"/>
      <c r="K335" s="36">
        <v>256779421369</v>
      </c>
      <c r="L335" s="62">
        <v>140649</v>
      </c>
      <c r="M335" s="62">
        <v>0</v>
      </c>
      <c r="O335" s="36">
        <v>256779421369</v>
      </c>
      <c r="P335" s="38">
        <v>140649</v>
      </c>
      <c r="Q335" s="38">
        <v>0</v>
      </c>
    </row>
    <row r="336" spans="1:17" x14ac:dyDescent="0.35">
      <c r="A336" s="30" t="s">
        <v>781</v>
      </c>
      <c r="B336" s="31">
        <v>0</v>
      </c>
      <c r="C336" s="31">
        <v>1992.7012</v>
      </c>
      <c r="D336" s="31">
        <v>-479752.31559999962</v>
      </c>
      <c r="E336" s="30" t="s">
        <v>364</v>
      </c>
      <c r="F336" s="30" t="s">
        <v>790</v>
      </c>
      <c r="G336" s="30" t="s">
        <v>760</v>
      </c>
      <c r="H336" s="30" t="s">
        <v>790</v>
      </c>
      <c r="I336" s="32">
        <v>256779417261</v>
      </c>
      <c r="J336" s="28"/>
      <c r="K336" s="36">
        <v>256779421370</v>
      </c>
      <c r="L336" s="62">
        <v>12169</v>
      </c>
      <c r="M336" s="62">
        <v>0</v>
      </c>
      <c r="O336" s="36">
        <v>256779421370</v>
      </c>
      <c r="P336" s="38">
        <v>12169</v>
      </c>
      <c r="Q336" s="38">
        <v>0</v>
      </c>
    </row>
    <row r="337" spans="1:17" x14ac:dyDescent="0.35">
      <c r="A337" s="30" t="s">
        <v>845</v>
      </c>
      <c r="B337" s="31">
        <v>453</v>
      </c>
      <c r="C337" s="31">
        <v>453</v>
      </c>
      <c r="D337" s="31">
        <v>-2052708.6117</v>
      </c>
      <c r="E337" s="30" t="s">
        <v>666</v>
      </c>
      <c r="F337" s="30" t="s">
        <v>850</v>
      </c>
      <c r="G337" s="30"/>
      <c r="H337" s="30" t="s">
        <v>851</v>
      </c>
      <c r="I337" s="32" t="s">
        <v>666</v>
      </c>
      <c r="J337" s="28"/>
      <c r="K337" s="36">
        <v>256779421372</v>
      </c>
      <c r="L337" s="62">
        <v>33376</v>
      </c>
      <c r="M337" s="62">
        <v>0</v>
      </c>
      <c r="O337" s="36">
        <v>256779421372</v>
      </c>
      <c r="P337" s="38">
        <v>33376</v>
      </c>
      <c r="Q337" s="38">
        <v>0</v>
      </c>
    </row>
    <row r="338" spans="1:17" x14ac:dyDescent="0.35">
      <c r="A338" s="30" t="s">
        <v>781</v>
      </c>
      <c r="B338" s="31">
        <v>0</v>
      </c>
      <c r="C338" s="31">
        <v>1247.0791999999999</v>
      </c>
      <c r="D338" s="31">
        <v>-1176663.0560000001</v>
      </c>
      <c r="E338" s="30" t="s">
        <v>364</v>
      </c>
      <c r="F338" s="30" t="s">
        <v>792</v>
      </c>
      <c r="G338" s="30" t="s">
        <v>450</v>
      </c>
      <c r="H338" s="30" t="s">
        <v>792</v>
      </c>
      <c r="I338" s="32">
        <v>256779417160</v>
      </c>
      <c r="J338" s="28"/>
      <c r="K338" s="36">
        <v>256779421373</v>
      </c>
      <c r="L338" s="62">
        <v>8696</v>
      </c>
      <c r="M338" s="62">
        <v>173</v>
      </c>
      <c r="O338" s="36">
        <v>256779421373</v>
      </c>
      <c r="P338" s="38">
        <v>8696</v>
      </c>
      <c r="Q338" s="38">
        <v>173</v>
      </c>
    </row>
    <row r="339" spans="1:17" x14ac:dyDescent="0.35">
      <c r="A339" s="30" t="s">
        <v>781</v>
      </c>
      <c r="B339" s="31">
        <v>0</v>
      </c>
      <c r="C339" s="31">
        <v>59881.6803</v>
      </c>
      <c r="D339" s="31">
        <v>-1236544.7363</v>
      </c>
      <c r="E339" s="30" t="s">
        <v>364</v>
      </c>
      <c r="F339" s="30" t="s">
        <v>793</v>
      </c>
      <c r="G339" s="30" t="s">
        <v>794</v>
      </c>
      <c r="H339" s="30" t="s">
        <v>793</v>
      </c>
      <c r="I339" s="32">
        <v>256779417166</v>
      </c>
      <c r="J339" s="28"/>
      <c r="K339" s="36">
        <v>256779421374</v>
      </c>
      <c r="L339" s="62">
        <v>20874</v>
      </c>
      <c r="M339" s="62">
        <v>0</v>
      </c>
      <c r="O339" s="36">
        <v>256779421374</v>
      </c>
      <c r="P339" s="38">
        <v>20874</v>
      </c>
      <c r="Q339" s="38">
        <v>0</v>
      </c>
    </row>
    <row r="340" spans="1:17" x14ac:dyDescent="0.35">
      <c r="A340" s="30" t="s">
        <v>781</v>
      </c>
      <c r="B340" s="31">
        <v>0</v>
      </c>
      <c r="C340" s="31">
        <v>58594.344499999999</v>
      </c>
      <c r="D340" s="31">
        <v>-1295139.0807999989</v>
      </c>
      <c r="E340" s="30" t="s">
        <v>364</v>
      </c>
      <c r="F340" s="30" t="s">
        <v>795</v>
      </c>
      <c r="G340" s="30" t="s">
        <v>381</v>
      </c>
      <c r="H340" s="30" t="s">
        <v>795</v>
      </c>
      <c r="I340" s="32">
        <v>256779417173</v>
      </c>
      <c r="J340" s="28"/>
      <c r="K340" s="36">
        <v>256779421375</v>
      </c>
      <c r="L340" s="62">
        <v>17857</v>
      </c>
      <c r="M340" s="62">
        <v>0</v>
      </c>
      <c r="O340" s="36">
        <v>256779421375</v>
      </c>
      <c r="P340" s="38">
        <v>17857</v>
      </c>
      <c r="Q340" s="38">
        <v>0</v>
      </c>
    </row>
    <row r="341" spans="1:17" x14ac:dyDescent="0.35">
      <c r="A341" s="30" t="s">
        <v>781</v>
      </c>
      <c r="B341" s="31">
        <v>0</v>
      </c>
      <c r="C341" s="31">
        <v>991.79819999999995</v>
      </c>
      <c r="D341" s="31">
        <v>-1296130.878999999</v>
      </c>
      <c r="E341" s="30" t="s">
        <v>364</v>
      </c>
      <c r="F341" s="30" t="s">
        <v>796</v>
      </c>
      <c r="G341" s="30" t="s">
        <v>760</v>
      </c>
      <c r="H341" s="30" t="s">
        <v>796</v>
      </c>
      <c r="I341" s="32">
        <v>256779419248</v>
      </c>
      <c r="J341" s="28"/>
      <c r="K341" s="36">
        <v>256779421376</v>
      </c>
      <c r="L341" s="62">
        <v>6084</v>
      </c>
      <c r="M341" s="62">
        <v>0</v>
      </c>
      <c r="O341" s="36">
        <v>256779421376</v>
      </c>
      <c r="P341" s="38">
        <v>6084</v>
      </c>
      <c r="Q341" s="38">
        <v>0</v>
      </c>
    </row>
    <row r="342" spans="1:17" x14ac:dyDescent="0.35">
      <c r="A342" s="30" t="s">
        <v>781</v>
      </c>
      <c r="B342" s="31">
        <v>0</v>
      </c>
      <c r="C342" s="31">
        <v>2793.2276000000002</v>
      </c>
      <c r="D342" s="31">
        <v>-1298924.1066000001</v>
      </c>
      <c r="E342" s="30" t="s">
        <v>364</v>
      </c>
      <c r="F342" s="30" t="s">
        <v>797</v>
      </c>
      <c r="G342" s="30" t="s">
        <v>450</v>
      </c>
      <c r="H342" s="30" t="s">
        <v>797</v>
      </c>
      <c r="I342" s="32">
        <v>256779418819</v>
      </c>
      <c r="J342" s="28"/>
      <c r="K342" s="36">
        <v>256779421377</v>
      </c>
      <c r="L342" s="62">
        <v>11798</v>
      </c>
      <c r="M342" s="62">
        <v>0</v>
      </c>
      <c r="O342" s="36">
        <v>256779421377</v>
      </c>
      <c r="P342" s="38">
        <v>11798</v>
      </c>
      <c r="Q342" s="38">
        <v>0</v>
      </c>
    </row>
    <row r="343" spans="1:17" x14ac:dyDescent="0.35">
      <c r="A343" s="30" t="s">
        <v>781</v>
      </c>
      <c r="B343" s="31">
        <v>0</v>
      </c>
      <c r="C343" s="31">
        <v>529469.75580000004</v>
      </c>
      <c r="D343" s="31">
        <v>-1828393.8624</v>
      </c>
      <c r="E343" s="30" t="s">
        <v>364</v>
      </c>
      <c r="F343" s="30" t="s">
        <v>798</v>
      </c>
      <c r="G343" s="30" t="s">
        <v>758</v>
      </c>
      <c r="H343" s="30" t="s">
        <v>798</v>
      </c>
      <c r="I343" s="32">
        <v>256779418869</v>
      </c>
      <c r="J343" s="28"/>
      <c r="K343" s="36">
        <v>256779421379</v>
      </c>
      <c r="L343" s="62">
        <v>17313</v>
      </c>
      <c r="M343" s="62">
        <v>330</v>
      </c>
      <c r="O343" s="36">
        <v>256779421379</v>
      </c>
      <c r="P343" s="38">
        <v>17313</v>
      </c>
      <c r="Q343" s="38">
        <v>330</v>
      </c>
    </row>
    <row r="344" spans="1:17" x14ac:dyDescent="0.35">
      <c r="A344" s="30" t="s">
        <v>781</v>
      </c>
      <c r="B344" s="31">
        <v>0</v>
      </c>
      <c r="C344" s="31">
        <v>9367.9609</v>
      </c>
      <c r="D344" s="31">
        <v>-1837761.8233</v>
      </c>
      <c r="E344" s="30" t="s">
        <v>364</v>
      </c>
      <c r="F344" s="30" t="s">
        <v>799</v>
      </c>
      <c r="G344" s="30" t="s">
        <v>437</v>
      </c>
      <c r="H344" s="30" t="s">
        <v>799</v>
      </c>
      <c r="I344" s="32">
        <v>256779418897</v>
      </c>
      <c r="J344" s="28"/>
      <c r="K344" s="36">
        <v>256779421380</v>
      </c>
      <c r="L344" s="62">
        <v>15778</v>
      </c>
      <c r="M344" s="62">
        <v>0</v>
      </c>
      <c r="O344" s="36">
        <v>256779421380</v>
      </c>
      <c r="P344" s="38">
        <v>15778</v>
      </c>
      <c r="Q344" s="38">
        <v>0</v>
      </c>
    </row>
    <row r="345" spans="1:17" x14ac:dyDescent="0.35">
      <c r="A345" s="30" t="s">
        <v>781</v>
      </c>
      <c r="B345" s="31">
        <v>0</v>
      </c>
      <c r="C345" s="31">
        <v>3014.1161000000002</v>
      </c>
      <c r="D345" s="31">
        <v>-1840775.9394</v>
      </c>
      <c r="E345" s="30" t="s">
        <v>364</v>
      </c>
      <c r="F345" s="30" t="s">
        <v>800</v>
      </c>
      <c r="G345" s="30" t="s">
        <v>374</v>
      </c>
      <c r="H345" s="30" t="s">
        <v>800</v>
      </c>
      <c r="I345" s="32">
        <v>256779418906</v>
      </c>
      <c r="J345" s="28"/>
      <c r="K345" s="36">
        <v>256779421381</v>
      </c>
      <c r="L345" s="62">
        <v>4786</v>
      </c>
      <c r="M345" s="62">
        <v>0</v>
      </c>
      <c r="O345" s="36">
        <v>256779421381</v>
      </c>
      <c r="P345" s="38">
        <v>4786</v>
      </c>
      <c r="Q345" s="38">
        <v>0</v>
      </c>
    </row>
    <row r="346" spans="1:17" x14ac:dyDescent="0.35">
      <c r="A346" s="30" t="s">
        <v>781</v>
      </c>
      <c r="B346" s="31">
        <v>0</v>
      </c>
      <c r="C346" s="31">
        <v>63274.437400000003</v>
      </c>
      <c r="D346" s="31">
        <v>-1904050.3768</v>
      </c>
      <c r="E346" s="30" t="s">
        <v>364</v>
      </c>
      <c r="F346" s="30" t="s">
        <v>801</v>
      </c>
      <c r="G346" s="30" t="s">
        <v>381</v>
      </c>
      <c r="H346" s="30" t="s">
        <v>801</v>
      </c>
      <c r="I346" s="32">
        <v>256779419076</v>
      </c>
      <c r="J346" s="28"/>
      <c r="K346" s="36">
        <v>256779421382</v>
      </c>
      <c r="L346" s="62">
        <v>15401</v>
      </c>
      <c r="M346" s="62">
        <v>0</v>
      </c>
      <c r="O346" s="36">
        <v>256779421382</v>
      </c>
      <c r="P346" s="38">
        <v>15401</v>
      </c>
      <c r="Q346" s="38">
        <v>0</v>
      </c>
    </row>
    <row r="347" spans="1:17" x14ac:dyDescent="0.35">
      <c r="A347" s="30" t="s">
        <v>781</v>
      </c>
      <c r="B347" s="31">
        <v>0</v>
      </c>
      <c r="C347" s="31">
        <v>26716.949199999999</v>
      </c>
      <c r="D347" s="31">
        <v>-1930767.325999999</v>
      </c>
      <c r="E347" s="30" t="s">
        <v>364</v>
      </c>
      <c r="F347" s="30" t="s">
        <v>802</v>
      </c>
      <c r="G347" s="30" t="s">
        <v>769</v>
      </c>
      <c r="H347" s="30" t="s">
        <v>802</v>
      </c>
      <c r="I347" s="32">
        <v>256779419069</v>
      </c>
      <c r="J347" s="28"/>
      <c r="K347" s="36">
        <v>256779421383</v>
      </c>
      <c r="L347" s="62">
        <v>12467</v>
      </c>
      <c r="M347" s="62">
        <v>0</v>
      </c>
      <c r="O347" s="36">
        <v>256779421383</v>
      </c>
      <c r="P347" s="38">
        <v>12467</v>
      </c>
      <c r="Q347" s="38">
        <v>0</v>
      </c>
    </row>
    <row r="348" spans="1:17" x14ac:dyDescent="0.35">
      <c r="A348" s="30" t="s">
        <v>781</v>
      </c>
      <c r="B348" s="31">
        <v>0</v>
      </c>
      <c r="C348" s="31">
        <v>5909.4276</v>
      </c>
      <c r="D348" s="31">
        <v>-1936676.753599999</v>
      </c>
      <c r="E348" s="30" t="s">
        <v>364</v>
      </c>
      <c r="F348" s="30" t="s">
        <v>803</v>
      </c>
      <c r="G348" s="30" t="s">
        <v>374</v>
      </c>
      <c r="H348" s="30" t="s">
        <v>803</v>
      </c>
      <c r="I348" s="32">
        <v>256779419172</v>
      </c>
      <c r="J348" s="28"/>
      <c r="K348" s="36">
        <v>256779421384</v>
      </c>
      <c r="L348" s="62">
        <v>11955</v>
      </c>
      <c r="M348" s="62">
        <v>0</v>
      </c>
      <c r="O348" s="36">
        <v>256779421384</v>
      </c>
      <c r="P348" s="38">
        <v>11955</v>
      </c>
      <c r="Q348" s="38">
        <v>0</v>
      </c>
    </row>
    <row r="349" spans="1:17" x14ac:dyDescent="0.35">
      <c r="A349" s="30" t="s">
        <v>781</v>
      </c>
      <c r="B349" s="31">
        <v>0</v>
      </c>
      <c r="C349" s="31">
        <v>39821.534</v>
      </c>
      <c r="D349" s="31">
        <v>-1976498.287599999</v>
      </c>
      <c r="E349" s="30" t="s">
        <v>364</v>
      </c>
      <c r="F349" s="30" t="s">
        <v>804</v>
      </c>
      <c r="G349" s="30" t="s">
        <v>381</v>
      </c>
      <c r="H349" s="30" t="s">
        <v>804</v>
      </c>
      <c r="I349" s="32">
        <v>256779419556</v>
      </c>
      <c r="J349" s="28"/>
      <c r="K349" s="36">
        <v>256779421385</v>
      </c>
      <c r="L349" s="62">
        <v>36410</v>
      </c>
      <c r="M349" s="62">
        <v>0</v>
      </c>
      <c r="O349" s="36">
        <v>256779421385</v>
      </c>
      <c r="P349" s="38">
        <v>36410</v>
      </c>
      <c r="Q349" s="38">
        <v>0</v>
      </c>
    </row>
    <row r="350" spans="1:17" x14ac:dyDescent="0.35">
      <c r="A350" s="30" t="s">
        <v>781</v>
      </c>
      <c r="B350" s="31">
        <v>0</v>
      </c>
      <c r="C350" s="31">
        <v>29234.726200000001</v>
      </c>
      <c r="D350" s="31">
        <v>-2005733.0137999989</v>
      </c>
      <c r="E350" s="30" t="s">
        <v>364</v>
      </c>
      <c r="F350" s="30" t="s">
        <v>805</v>
      </c>
      <c r="G350" s="30" t="s">
        <v>752</v>
      </c>
      <c r="H350" s="30" t="s">
        <v>805</v>
      </c>
      <c r="I350" s="32">
        <v>256779419588</v>
      </c>
      <c r="J350" s="28"/>
      <c r="K350" s="36">
        <v>256779440041</v>
      </c>
      <c r="L350" s="62">
        <v>4174</v>
      </c>
      <c r="M350" s="62">
        <v>41446.745000000003</v>
      </c>
      <c r="O350" s="36">
        <v>256779440041</v>
      </c>
      <c r="P350" s="38">
        <v>4174</v>
      </c>
      <c r="Q350" s="38">
        <v>41446.745000000003</v>
      </c>
    </row>
    <row r="351" spans="1:17" x14ac:dyDescent="0.35">
      <c r="A351" s="30" t="s">
        <v>781</v>
      </c>
      <c r="B351" s="31">
        <v>0</v>
      </c>
      <c r="C351" s="31">
        <v>897.63459999999998</v>
      </c>
      <c r="D351" s="31">
        <v>-2006630.6483999989</v>
      </c>
      <c r="E351" s="30" t="s">
        <v>364</v>
      </c>
      <c r="F351" s="30" t="s">
        <v>806</v>
      </c>
      <c r="G351" s="30" t="s">
        <v>696</v>
      </c>
      <c r="H351" s="30" t="s">
        <v>806</v>
      </c>
      <c r="I351" s="32">
        <v>256779419628</v>
      </c>
      <c r="J351" s="28"/>
      <c r="K351" s="36">
        <v>256779440069</v>
      </c>
      <c r="L351" s="62">
        <v>0</v>
      </c>
      <c r="M351" s="62">
        <v>1066.231</v>
      </c>
      <c r="O351" s="36">
        <v>256779440069</v>
      </c>
      <c r="P351" s="38">
        <v>0</v>
      </c>
      <c r="Q351" s="38">
        <v>1066.231</v>
      </c>
    </row>
    <row r="352" spans="1:17" x14ac:dyDescent="0.35">
      <c r="A352" s="30" t="s">
        <v>807</v>
      </c>
      <c r="B352" s="31">
        <v>0</v>
      </c>
      <c r="C352" s="31">
        <v>20693.117099999999</v>
      </c>
      <c r="D352" s="31">
        <v>-2027323.765499999</v>
      </c>
      <c r="E352" s="30" t="s">
        <v>364</v>
      </c>
      <c r="F352" s="30" t="s">
        <v>808</v>
      </c>
      <c r="G352" s="30" t="s">
        <v>450</v>
      </c>
      <c r="H352" s="30" t="s">
        <v>808</v>
      </c>
      <c r="I352" s="32">
        <v>256779419465</v>
      </c>
      <c r="J352" s="28"/>
      <c r="K352" s="36">
        <v>256779440118</v>
      </c>
      <c r="L352" s="62">
        <v>181</v>
      </c>
      <c r="M352" s="62">
        <v>8983.0849999999991</v>
      </c>
      <c r="O352" s="36">
        <v>256779440118</v>
      </c>
      <c r="P352" s="38">
        <v>181</v>
      </c>
      <c r="Q352" s="38">
        <v>8983.0849999999991</v>
      </c>
    </row>
    <row r="353" spans="1:17" x14ac:dyDescent="0.35">
      <c r="A353" s="30" t="s">
        <v>807</v>
      </c>
      <c r="B353" s="31">
        <v>0</v>
      </c>
      <c r="C353" s="31">
        <v>14016.2999</v>
      </c>
      <c r="D353" s="31">
        <v>-2041340.065399999</v>
      </c>
      <c r="E353" s="30" t="s">
        <v>364</v>
      </c>
      <c r="F353" s="30" t="s">
        <v>809</v>
      </c>
      <c r="G353" s="30" t="s">
        <v>744</v>
      </c>
      <c r="H353" s="30" t="s">
        <v>809</v>
      </c>
      <c r="I353" s="32">
        <v>256779419476</v>
      </c>
      <c r="J353" s="28"/>
      <c r="K353" s="36">
        <v>256779440122</v>
      </c>
      <c r="L353" s="62">
        <v>181</v>
      </c>
      <c r="M353" s="62">
        <v>11185.420599999999</v>
      </c>
      <c r="O353" s="36">
        <v>256779440122</v>
      </c>
      <c r="P353" s="38">
        <v>181</v>
      </c>
      <c r="Q353" s="38">
        <v>11185.420599999999</v>
      </c>
    </row>
    <row r="354" spans="1:17" x14ac:dyDescent="0.35">
      <c r="A354" s="30" t="s">
        <v>807</v>
      </c>
      <c r="B354" s="31">
        <v>0</v>
      </c>
      <c r="C354" s="31">
        <v>7761.8990000000003</v>
      </c>
      <c r="D354" s="31">
        <v>-2049101.964399999</v>
      </c>
      <c r="E354" s="30" t="s">
        <v>364</v>
      </c>
      <c r="F354" s="30" t="s">
        <v>810</v>
      </c>
      <c r="G354" s="30" t="s">
        <v>752</v>
      </c>
      <c r="H354" s="30" t="s">
        <v>810</v>
      </c>
      <c r="I354" s="32">
        <v>256779419534</v>
      </c>
      <c r="J354" s="28"/>
      <c r="K354" s="36">
        <v>256779440210</v>
      </c>
      <c r="L354" s="62">
        <v>181</v>
      </c>
      <c r="M354" s="62">
        <v>7063.8671999999997</v>
      </c>
      <c r="O354" s="36">
        <v>256779440210</v>
      </c>
      <c r="P354" s="38">
        <v>181</v>
      </c>
      <c r="Q354" s="38">
        <v>7063.8671999999997</v>
      </c>
    </row>
    <row r="355" spans="1:17" x14ac:dyDescent="0.35">
      <c r="A355" s="30" t="s">
        <v>807</v>
      </c>
      <c r="B355" s="31">
        <v>0</v>
      </c>
      <c r="C355" s="31">
        <v>9417.2428</v>
      </c>
      <c r="D355" s="31">
        <v>-2058519.2071999989</v>
      </c>
      <c r="E355" s="30" t="s">
        <v>364</v>
      </c>
      <c r="F355" s="30" t="s">
        <v>811</v>
      </c>
      <c r="G355" s="30" t="s">
        <v>591</v>
      </c>
      <c r="H355" s="30" t="s">
        <v>811</v>
      </c>
      <c r="I355" s="32">
        <v>256779419547</v>
      </c>
      <c r="J355" s="28"/>
      <c r="K355" s="36">
        <v>256779440383</v>
      </c>
      <c r="L355" s="62">
        <v>90</v>
      </c>
      <c r="M355" s="62">
        <v>4904.3774000000003</v>
      </c>
      <c r="O355" s="36">
        <v>256779440383</v>
      </c>
      <c r="P355" s="38">
        <v>90</v>
      </c>
      <c r="Q355" s="38">
        <v>4904.3774000000003</v>
      </c>
    </row>
    <row r="356" spans="1:17" x14ac:dyDescent="0.35">
      <c r="A356" s="30" t="s">
        <v>807</v>
      </c>
      <c r="B356" s="31">
        <v>0</v>
      </c>
      <c r="C356" s="31">
        <v>27787.070400000001</v>
      </c>
      <c r="D356" s="31">
        <v>-2086306.277599999</v>
      </c>
      <c r="E356" s="30" t="s">
        <v>364</v>
      </c>
      <c r="F356" s="30" t="s">
        <v>812</v>
      </c>
      <c r="G356" s="30" t="s">
        <v>794</v>
      </c>
      <c r="H356" s="30" t="s">
        <v>812</v>
      </c>
      <c r="I356" s="32">
        <v>256779419364</v>
      </c>
      <c r="J356" s="28"/>
      <c r="K356" s="36">
        <v>256779440392</v>
      </c>
      <c r="L356" s="62">
        <v>1089</v>
      </c>
      <c r="M356" s="62">
        <v>11313.937</v>
      </c>
      <c r="O356" s="36">
        <v>256779440392</v>
      </c>
      <c r="P356" s="38">
        <v>1089</v>
      </c>
      <c r="Q356" s="38">
        <v>11313.937</v>
      </c>
    </row>
    <row r="357" spans="1:17" x14ac:dyDescent="0.35">
      <c r="A357" s="30" t="s">
        <v>807</v>
      </c>
      <c r="B357" s="31">
        <v>0</v>
      </c>
      <c r="C357" s="31">
        <v>11723.0177</v>
      </c>
      <c r="D357" s="31">
        <v>-2098029.295299999</v>
      </c>
      <c r="E357" s="30" t="s">
        <v>364</v>
      </c>
      <c r="F357" s="30" t="s">
        <v>813</v>
      </c>
      <c r="G357" s="30" t="s">
        <v>381</v>
      </c>
      <c r="H357" s="30" t="s">
        <v>813</v>
      </c>
      <c r="I357" s="32">
        <v>256779413184</v>
      </c>
      <c r="J357" s="28"/>
      <c r="K357" s="36">
        <v>256779440394</v>
      </c>
      <c r="L357" s="62">
        <v>1815</v>
      </c>
      <c r="M357" s="62">
        <v>18211.378000000001</v>
      </c>
      <c r="O357" s="36">
        <v>256779440394</v>
      </c>
      <c r="P357" s="38">
        <v>1815</v>
      </c>
      <c r="Q357" s="38">
        <v>18211.378000000001</v>
      </c>
    </row>
    <row r="358" spans="1:17" x14ac:dyDescent="0.35">
      <c r="A358" s="30" t="s">
        <v>814</v>
      </c>
      <c r="B358" s="31">
        <v>0</v>
      </c>
      <c r="C358" s="31">
        <v>61159.633500000004</v>
      </c>
      <c r="D358" s="31">
        <v>-2159188.9287999989</v>
      </c>
      <c r="E358" s="30" t="s">
        <v>364</v>
      </c>
      <c r="F358" s="30" t="s">
        <v>815</v>
      </c>
      <c r="G358" s="30" t="s">
        <v>752</v>
      </c>
      <c r="H358" s="30" t="s">
        <v>815</v>
      </c>
      <c r="I358" s="32">
        <v>256779419867</v>
      </c>
      <c r="J358" s="28"/>
      <c r="K358" s="36">
        <v>256779440413</v>
      </c>
      <c r="L358" s="62">
        <v>181</v>
      </c>
      <c r="M358" s="62">
        <v>8983.0846000000001</v>
      </c>
      <c r="O358" s="36">
        <v>256779440413</v>
      </c>
      <c r="P358" s="38">
        <v>181</v>
      </c>
      <c r="Q358" s="38">
        <v>8983.0846000000001</v>
      </c>
    </row>
    <row r="359" spans="1:17" x14ac:dyDescent="0.35">
      <c r="A359" s="30" t="s">
        <v>814</v>
      </c>
      <c r="B359" s="31">
        <v>0</v>
      </c>
      <c r="C359" s="31">
        <v>11115.014499999999</v>
      </c>
      <c r="D359" s="31">
        <v>-2170303.943299999</v>
      </c>
      <c r="E359" s="30" t="s">
        <v>364</v>
      </c>
      <c r="F359" s="30" t="s">
        <v>816</v>
      </c>
      <c r="G359" s="30" t="s">
        <v>374</v>
      </c>
      <c r="H359" s="30" t="s">
        <v>816</v>
      </c>
      <c r="I359" s="32">
        <v>256779419916</v>
      </c>
      <c r="J359" s="28"/>
      <c r="K359" s="36">
        <v>256779440429</v>
      </c>
      <c r="L359" s="62">
        <v>91</v>
      </c>
      <c r="M359" s="62">
        <v>6141.7525999999998</v>
      </c>
      <c r="O359" s="36">
        <v>256779440429</v>
      </c>
      <c r="P359" s="38">
        <v>91</v>
      </c>
      <c r="Q359" s="38">
        <v>6141.7525999999998</v>
      </c>
    </row>
    <row r="360" spans="1:17" x14ac:dyDescent="0.35">
      <c r="A360" s="30" t="s">
        <v>814</v>
      </c>
      <c r="B360" s="31">
        <v>0</v>
      </c>
      <c r="C360" s="31">
        <v>10489.678599999999</v>
      </c>
      <c r="D360" s="31">
        <v>-2180793.6219000001</v>
      </c>
      <c r="E360" s="30" t="s">
        <v>364</v>
      </c>
      <c r="F360" s="30" t="s">
        <v>817</v>
      </c>
      <c r="G360" s="30" t="s">
        <v>769</v>
      </c>
      <c r="H360" s="30" t="s">
        <v>817</v>
      </c>
      <c r="I360" s="32">
        <v>256779419933</v>
      </c>
      <c r="J360" s="28"/>
      <c r="K360" s="36" t="s">
        <v>666</v>
      </c>
      <c r="L360" s="62">
        <v>274400</v>
      </c>
      <c r="M360" s="62">
        <v>274400</v>
      </c>
      <c r="O360" s="36" t="s">
        <v>666</v>
      </c>
      <c r="P360" s="38">
        <v>274400</v>
      </c>
      <c r="Q360" s="38">
        <v>274400</v>
      </c>
    </row>
    <row r="361" spans="1:17" x14ac:dyDescent="0.35">
      <c r="A361" s="30" t="s">
        <v>814</v>
      </c>
      <c r="B361" s="31">
        <v>0</v>
      </c>
      <c r="C361" s="31">
        <v>28407.106800000001</v>
      </c>
      <c r="D361" s="31">
        <v>-2209200.7286999999</v>
      </c>
      <c r="E361" s="30" t="s">
        <v>364</v>
      </c>
      <c r="F361" s="30" t="s">
        <v>818</v>
      </c>
      <c r="G361" s="30" t="s">
        <v>381</v>
      </c>
      <c r="H361" s="30" t="s">
        <v>818</v>
      </c>
      <c r="I361" s="32">
        <v>256779419795</v>
      </c>
      <c r="J361" s="28"/>
      <c r="K361" s="36" t="s">
        <v>885</v>
      </c>
      <c r="L361" s="62">
        <v>8812706.5199999996</v>
      </c>
      <c r="M361" s="62">
        <v>0</v>
      </c>
      <c r="O361" s="36" t="s">
        <v>885</v>
      </c>
      <c r="P361" s="38">
        <v>8812706.5199999996</v>
      </c>
      <c r="Q361" s="38">
        <v>0</v>
      </c>
    </row>
    <row r="362" spans="1:17" x14ac:dyDescent="0.35">
      <c r="A362" s="30" t="s">
        <v>819</v>
      </c>
      <c r="B362" s="31">
        <v>4048</v>
      </c>
      <c r="C362" s="31">
        <v>40195.392399999997</v>
      </c>
      <c r="D362" s="31">
        <v>-2245348.1211000001</v>
      </c>
      <c r="E362" s="30" t="s">
        <v>364</v>
      </c>
      <c r="F362" s="30" t="s">
        <v>820</v>
      </c>
      <c r="G362" s="30" t="s">
        <v>366</v>
      </c>
      <c r="H362" s="30" t="s">
        <v>821</v>
      </c>
      <c r="I362" s="32">
        <v>256779418802</v>
      </c>
      <c r="J362" s="28"/>
      <c r="K362" s="37"/>
      <c r="P362" s="61">
        <f>SUM(P2:P361)</f>
        <v>9753444.5199999996</v>
      </c>
      <c r="Q362" s="61">
        <f>SUM(Q2:Q361)</f>
        <v>11242719.010100005</v>
      </c>
    </row>
    <row r="363" spans="1:17" x14ac:dyDescent="0.35">
      <c r="A363" s="30" t="s">
        <v>819</v>
      </c>
      <c r="B363" s="31">
        <v>0</v>
      </c>
      <c r="C363" s="31">
        <v>299.84859999999998</v>
      </c>
      <c r="D363" s="31">
        <v>-2245647.9696999998</v>
      </c>
      <c r="E363" s="30" t="s">
        <v>364</v>
      </c>
      <c r="F363" s="30" t="s">
        <v>822</v>
      </c>
      <c r="G363" s="30" t="s">
        <v>744</v>
      </c>
      <c r="H363" s="30" t="s">
        <v>822</v>
      </c>
      <c r="I363" s="32">
        <v>256779418477</v>
      </c>
      <c r="J363" s="28"/>
      <c r="K363" s="37"/>
    </row>
    <row r="364" spans="1:17" x14ac:dyDescent="0.35">
      <c r="A364" s="30" t="s">
        <v>819</v>
      </c>
      <c r="B364" s="31">
        <v>7320</v>
      </c>
      <c r="C364" s="31">
        <v>73283.168300000005</v>
      </c>
      <c r="D364" s="31">
        <v>-2311611.1379999998</v>
      </c>
      <c r="E364" s="30" t="s">
        <v>364</v>
      </c>
      <c r="F364" s="30" t="s">
        <v>823</v>
      </c>
      <c r="G364" s="30" t="s">
        <v>381</v>
      </c>
      <c r="H364" s="30" t="s">
        <v>824</v>
      </c>
      <c r="I364" s="32">
        <v>246779418620</v>
      </c>
      <c r="J364" s="28"/>
      <c r="K364" s="37"/>
    </row>
    <row r="365" spans="1:17" x14ac:dyDescent="0.35">
      <c r="A365" s="30" t="s">
        <v>819</v>
      </c>
      <c r="B365" s="31">
        <v>500000</v>
      </c>
      <c r="C365" s="31">
        <v>0</v>
      </c>
      <c r="D365" s="31">
        <v>-1811611.138</v>
      </c>
      <c r="E365" s="30" t="s">
        <v>621</v>
      </c>
      <c r="F365" s="30" t="s">
        <v>825</v>
      </c>
      <c r="G365" s="30" t="s">
        <v>623</v>
      </c>
      <c r="H365" s="30"/>
      <c r="I365" s="32" t="s">
        <v>885</v>
      </c>
      <c r="J365" s="28"/>
      <c r="K365" s="37"/>
    </row>
    <row r="366" spans="1:17" x14ac:dyDescent="0.35">
      <c r="A366" s="30" t="s">
        <v>819</v>
      </c>
      <c r="B366" s="31">
        <v>6</v>
      </c>
      <c r="C366" s="31">
        <v>306</v>
      </c>
      <c r="D366" s="31">
        <v>-1811911.138</v>
      </c>
      <c r="E366" s="30" t="s">
        <v>364</v>
      </c>
      <c r="F366" s="30" t="s">
        <v>826</v>
      </c>
      <c r="G366" s="30" t="s">
        <v>744</v>
      </c>
      <c r="H366" s="30" t="s">
        <v>827</v>
      </c>
      <c r="I366" s="32">
        <v>256779418492</v>
      </c>
      <c r="J366" s="28"/>
      <c r="K366" s="37"/>
    </row>
    <row r="367" spans="1:17" x14ac:dyDescent="0.35">
      <c r="A367" s="30" t="s">
        <v>828</v>
      </c>
      <c r="B367" s="31">
        <v>176</v>
      </c>
      <c r="C367" s="31">
        <v>7046.0609999999997</v>
      </c>
      <c r="D367" s="31">
        <v>-1818781.199</v>
      </c>
      <c r="E367" s="30" t="s">
        <v>364</v>
      </c>
      <c r="F367" s="30" t="s">
        <v>829</v>
      </c>
      <c r="G367" s="30" t="s">
        <v>374</v>
      </c>
      <c r="H367" s="30" t="s">
        <v>830</v>
      </c>
      <c r="I367" s="32">
        <v>256779418437</v>
      </c>
      <c r="J367" s="28"/>
      <c r="K367" s="37"/>
    </row>
    <row r="368" spans="1:17" x14ac:dyDescent="0.35">
      <c r="A368" s="30" t="s">
        <v>828</v>
      </c>
      <c r="B368" s="31">
        <v>88</v>
      </c>
      <c r="C368" s="31">
        <v>2901.2856000000002</v>
      </c>
      <c r="D368" s="31">
        <v>-1821594.4846000001</v>
      </c>
      <c r="E368" s="30" t="s">
        <v>364</v>
      </c>
      <c r="F368" s="30" t="s">
        <v>831</v>
      </c>
      <c r="G368" s="30" t="s">
        <v>433</v>
      </c>
      <c r="H368" s="30" t="s">
        <v>832</v>
      </c>
      <c r="I368" s="32">
        <v>256779418428</v>
      </c>
      <c r="J368" s="28"/>
      <c r="K368" s="37"/>
    </row>
    <row r="369" spans="1:11" x14ac:dyDescent="0.35">
      <c r="A369" s="30" t="s">
        <v>828</v>
      </c>
      <c r="B369" s="31">
        <v>0</v>
      </c>
      <c r="C369" s="31">
        <v>1036.08</v>
      </c>
      <c r="D369" s="31">
        <v>-1822630.5645999999</v>
      </c>
      <c r="E369" s="30" t="s">
        <v>364</v>
      </c>
      <c r="F369" s="30" t="s">
        <v>833</v>
      </c>
      <c r="G369" s="30" t="s">
        <v>374</v>
      </c>
      <c r="H369" s="30" t="s">
        <v>833</v>
      </c>
      <c r="I369" s="32">
        <v>256779418351</v>
      </c>
      <c r="J369" s="28"/>
      <c r="K369" s="37"/>
    </row>
    <row r="370" spans="1:11" x14ac:dyDescent="0.35">
      <c r="A370" s="30" t="s">
        <v>680</v>
      </c>
      <c r="B370" s="31">
        <v>36410</v>
      </c>
      <c r="C370" s="31">
        <v>0</v>
      </c>
      <c r="D370" s="31">
        <v>-251862.5999999996</v>
      </c>
      <c r="E370" s="30" t="s">
        <v>648</v>
      </c>
      <c r="F370" s="30" t="s">
        <v>684</v>
      </c>
      <c r="G370" s="30" t="s">
        <v>488</v>
      </c>
      <c r="H370" s="30" t="s">
        <v>684</v>
      </c>
      <c r="I370" s="32">
        <v>256779421385</v>
      </c>
      <c r="J370" s="28"/>
      <c r="K370" s="37"/>
    </row>
    <row r="371" spans="1:11" x14ac:dyDescent="0.35">
      <c r="A371" s="30" t="s">
        <v>828</v>
      </c>
      <c r="B371" s="31">
        <v>88</v>
      </c>
      <c r="C371" s="31">
        <v>6173.1630999999998</v>
      </c>
      <c r="D371" s="31">
        <v>-1874397.6647000001</v>
      </c>
      <c r="E371" s="30" t="s">
        <v>364</v>
      </c>
      <c r="F371" s="30" t="s">
        <v>836</v>
      </c>
      <c r="G371" s="30" t="s">
        <v>837</v>
      </c>
      <c r="H371" s="30" t="s">
        <v>838</v>
      </c>
      <c r="I371" s="32">
        <v>256779418168</v>
      </c>
      <c r="J371" s="28"/>
      <c r="K371" s="37"/>
    </row>
    <row r="372" spans="1:11" x14ac:dyDescent="0.35">
      <c r="A372" s="30" t="s">
        <v>828</v>
      </c>
      <c r="B372" s="31">
        <v>6791</v>
      </c>
      <c r="C372" s="31">
        <v>68060.655499999993</v>
      </c>
      <c r="D372" s="31">
        <v>-1935667.3202</v>
      </c>
      <c r="E372" s="30" t="s">
        <v>364</v>
      </c>
      <c r="F372" s="30" t="s">
        <v>839</v>
      </c>
      <c r="G372" s="30" t="s">
        <v>381</v>
      </c>
      <c r="H372" s="30" t="s">
        <v>840</v>
      </c>
      <c r="I372" s="32">
        <v>256779418094</v>
      </c>
      <c r="J372" s="28"/>
      <c r="K372" s="37"/>
    </row>
    <row r="373" spans="1:11" x14ac:dyDescent="0.35">
      <c r="A373" s="30" t="s">
        <v>828</v>
      </c>
      <c r="B373" s="31">
        <v>1058</v>
      </c>
      <c r="C373" s="31">
        <v>51397.291499999999</v>
      </c>
      <c r="D373" s="31">
        <v>-1986006.6117</v>
      </c>
      <c r="E373" s="30" t="s">
        <v>364</v>
      </c>
      <c r="F373" s="30" t="s">
        <v>841</v>
      </c>
      <c r="G373" s="30" t="s">
        <v>374</v>
      </c>
      <c r="H373" s="30" t="s">
        <v>842</v>
      </c>
      <c r="I373" s="32">
        <v>256779417978</v>
      </c>
      <c r="J373" s="28"/>
      <c r="K373" s="37"/>
    </row>
    <row r="374" spans="1:11" x14ac:dyDescent="0.35">
      <c r="A374" s="30" t="s">
        <v>781</v>
      </c>
      <c r="B374" s="31">
        <v>0</v>
      </c>
      <c r="C374" s="31">
        <v>695663.66119999997</v>
      </c>
      <c r="D374" s="31">
        <v>-1175415.9768000001</v>
      </c>
      <c r="E374" s="30" t="s">
        <v>364</v>
      </c>
      <c r="F374" s="30" t="s">
        <v>791</v>
      </c>
      <c r="G374" s="30" t="s">
        <v>758</v>
      </c>
      <c r="H374" s="30" t="s">
        <v>791</v>
      </c>
      <c r="I374" s="32">
        <v>256779417084</v>
      </c>
      <c r="J374" s="28"/>
      <c r="K374" s="37"/>
    </row>
    <row r="375" spans="1:11" x14ac:dyDescent="0.35">
      <c r="A375" s="30" t="s">
        <v>845</v>
      </c>
      <c r="B375" s="31">
        <v>1351</v>
      </c>
      <c r="C375" s="31">
        <v>67557</v>
      </c>
      <c r="D375" s="31">
        <v>-2052708.6117</v>
      </c>
      <c r="E375" s="30" t="s">
        <v>364</v>
      </c>
      <c r="F375" s="30" t="s">
        <v>846</v>
      </c>
      <c r="G375" s="30" t="s">
        <v>437</v>
      </c>
      <c r="H375" s="30" t="s">
        <v>847</v>
      </c>
      <c r="I375" s="32">
        <v>256779416178</v>
      </c>
      <c r="J375" s="28"/>
      <c r="K375" s="37"/>
    </row>
    <row r="376" spans="1:11" x14ac:dyDescent="0.35">
      <c r="A376" s="30" t="s">
        <v>680</v>
      </c>
      <c r="B376" s="31">
        <v>15401</v>
      </c>
      <c r="C376" s="31">
        <v>0</v>
      </c>
      <c r="D376" s="31">
        <v>-236461.5999999996</v>
      </c>
      <c r="E376" s="30" t="s">
        <v>648</v>
      </c>
      <c r="F376" s="30" t="s">
        <v>685</v>
      </c>
      <c r="G376" s="30" t="s">
        <v>366</v>
      </c>
      <c r="H376" s="30" t="s">
        <v>685</v>
      </c>
      <c r="I376" s="32">
        <v>256779421382</v>
      </c>
      <c r="J376" s="28"/>
      <c r="K376" s="37"/>
    </row>
    <row r="377" spans="1:11" x14ac:dyDescent="0.35">
      <c r="A377" s="30" t="s">
        <v>828</v>
      </c>
      <c r="B377" s="31">
        <v>970</v>
      </c>
      <c r="C377" s="31">
        <v>46651.936999999998</v>
      </c>
      <c r="D377" s="31">
        <v>-1868312.5016000001</v>
      </c>
      <c r="E377" s="30" t="s">
        <v>364</v>
      </c>
      <c r="F377" s="30" t="s">
        <v>834</v>
      </c>
      <c r="G377" s="30" t="s">
        <v>450</v>
      </c>
      <c r="H377" s="30" t="s">
        <v>835</v>
      </c>
      <c r="I377" s="32">
        <v>256779418103</v>
      </c>
      <c r="J377" s="28"/>
      <c r="K377" s="37"/>
    </row>
    <row r="378" spans="1:11" x14ac:dyDescent="0.35">
      <c r="A378" s="30" t="s">
        <v>828</v>
      </c>
      <c r="B378" s="31">
        <v>10</v>
      </c>
      <c r="C378" s="31">
        <v>506</v>
      </c>
      <c r="D378" s="31">
        <v>-1986502.6117</v>
      </c>
      <c r="E378" s="30" t="s">
        <v>364</v>
      </c>
      <c r="F378" s="30" t="s">
        <v>843</v>
      </c>
      <c r="G378" s="30" t="s">
        <v>760</v>
      </c>
      <c r="H378" s="30" t="s">
        <v>844</v>
      </c>
      <c r="I378" s="32">
        <v>256779418103</v>
      </c>
      <c r="J378" s="28"/>
      <c r="K378" s="37"/>
    </row>
    <row r="379" spans="1:11" x14ac:dyDescent="0.35">
      <c r="A379" s="30" t="s">
        <v>854</v>
      </c>
      <c r="B379" s="31">
        <v>4174</v>
      </c>
      <c r="C379" s="31">
        <v>41446.745000000003</v>
      </c>
      <c r="D379" s="31">
        <v>-2089981.3566999999</v>
      </c>
      <c r="E379" s="30" t="s">
        <v>364</v>
      </c>
      <c r="F379" s="30" t="s">
        <v>855</v>
      </c>
      <c r="G379" s="30" t="s">
        <v>691</v>
      </c>
      <c r="H379" s="30" t="s">
        <v>856</v>
      </c>
      <c r="I379" s="32">
        <v>256779440041</v>
      </c>
      <c r="J379" s="28"/>
      <c r="K379" s="37"/>
    </row>
    <row r="380" spans="1:11" x14ac:dyDescent="0.35">
      <c r="A380" s="30" t="s">
        <v>854</v>
      </c>
      <c r="B380" s="31">
        <v>0</v>
      </c>
      <c r="C380" s="31">
        <v>1066.231</v>
      </c>
      <c r="D380" s="31">
        <v>-2091047.5877</v>
      </c>
      <c r="E380" s="30" t="s">
        <v>364</v>
      </c>
      <c r="F380" s="30" t="s">
        <v>857</v>
      </c>
      <c r="G380" s="30" t="s">
        <v>374</v>
      </c>
      <c r="H380" s="30" t="s">
        <v>857</v>
      </c>
      <c r="I380" s="32">
        <v>256779440069</v>
      </c>
      <c r="J380" s="28"/>
      <c r="K380" s="37"/>
    </row>
    <row r="381" spans="1:11" x14ac:dyDescent="0.35">
      <c r="A381" s="30" t="s">
        <v>858</v>
      </c>
      <c r="B381" s="31">
        <v>181</v>
      </c>
      <c r="C381" s="31">
        <v>8983.0849999999991</v>
      </c>
      <c r="D381" s="31">
        <v>-2099849.6727</v>
      </c>
      <c r="E381" s="30" t="s">
        <v>364</v>
      </c>
      <c r="F381" s="30" t="s">
        <v>859</v>
      </c>
      <c r="G381" s="30" t="s">
        <v>860</v>
      </c>
      <c r="H381" s="30" t="s">
        <v>861</v>
      </c>
      <c r="I381" s="32">
        <v>256779440118</v>
      </c>
      <c r="J381" s="28"/>
      <c r="K381" s="37"/>
    </row>
    <row r="382" spans="1:11" x14ac:dyDescent="0.35">
      <c r="A382" s="30" t="s">
        <v>862</v>
      </c>
      <c r="B382" s="31">
        <v>674751</v>
      </c>
      <c r="C382" s="31">
        <v>0</v>
      </c>
      <c r="D382" s="31">
        <v>-1425098.6727</v>
      </c>
      <c r="E382" s="30" t="s">
        <v>621</v>
      </c>
      <c r="F382" s="30" t="s">
        <v>863</v>
      </c>
      <c r="G382" s="30" t="s">
        <v>623</v>
      </c>
      <c r="H382" s="30" t="s">
        <v>791</v>
      </c>
      <c r="I382" s="32" t="s">
        <v>885</v>
      </c>
      <c r="J382" s="28"/>
      <c r="K382" s="37"/>
    </row>
    <row r="383" spans="1:11" x14ac:dyDescent="0.35">
      <c r="A383" s="30" t="s">
        <v>864</v>
      </c>
      <c r="B383" s="31">
        <v>90</v>
      </c>
      <c r="C383" s="31">
        <v>4904.3774000000003</v>
      </c>
      <c r="D383" s="31">
        <v>-1429913.0501000001</v>
      </c>
      <c r="E383" s="30" t="s">
        <v>364</v>
      </c>
      <c r="F383" s="30" t="s">
        <v>865</v>
      </c>
      <c r="G383" s="30" t="s">
        <v>866</v>
      </c>
      <c r="H383" s="30" t="s">
        <v>867</v>
      </c>
      <c r="I383" s="32">
        <v>256779440383</v>
      </c>
      <c r="J383" s="28"/>
      <c r="K383" s="37"/>
    </row>
    <row r="384" spans="1:11" x14ac:dyDescent="0.35">
      <c r="A384" s="30" t="s">
        <v>864</v>
      </c>
      <c r="B384" s="31">
        <v>181</v>
      </c>
      <c r="C384" s="31">
        <v>8983.0846000000001</v>
      </c>
      <c r="D384" s="31">
        <v>-1438715.1347000001</v>
      </c>
      <c r="E384" s="30" t="s">
        <v>364</v>
      </c>
      <c r="F384" s="30" t="s">
        <v>868</v>
      </c>
      <c r="G384" s="30" t="s">
        <v>869</v>
      </c>
      <c r="H384" s="30" t="s">
        <v>870</v>
      </c>
      <c r="I384" s="32">
        <v>256779440413</v>
      </c>
      <c r="J384" s="28"/>
      <c r="K384" s="37"/>
    </row>
    <row r="385" spans="1:11" x14ac:dyDescent="0.35">
      <c r="A385" s="30" t="s">
        <v>864</v>
      </c>
      <c r="B385" s="31">
        <v>91</v>
      </c>
      <c r="C385" s="31">
        <v>6141.7525999999998</v>
      </c>
      <c r="D385" s="31">
        <v>-1444765.8873000001</v>
      </c>
      <c r="E385" s="30" t="s">
        <v>364</v>
      </c>
      <c r="F385" s="30" t="s">
        <v>871</v>
      </c>
      <c r="G385" s="30" t="s">
        <v>374</v>
      </c>
      <c r="H385" s="30" t="s">
        <v>872</v>
      </c>
      <c r="I385" s="32">
        <v>256779440429</v>
      </c>
      <c r="J385" s="28"/>
      <c r="K385" s="37"/>
    </row>
    <row r="386" spans="1:11" x14ac:dyDescent="0.35">
      <c r="A386" s="30" t="s">
        <v>864</v>
      </c>
      <c r="B386" s="31">
        <v>1815</v>
      </c>
      <c r="C386" s="31">
        <v>18211.378000000001</v>
      </c>
      <c r="D386" s="31">
        <v>-1461162.2653000001</v>
      </c>
      <c r="E386" s="30" t="s">
        <v>364</v>
      </c>
      <c r="F386" s="30" t="s">
        <v>873</v>
      </c>
      <c r="G386" s="30" t="s">
        <v>381</v>
      </c>
      <c r="H386" s="30" t="s">
        <v>874</v>
      </c>
      <c r="I386" s="32">
        <v>256779440394</v>
      </c>
      <c r="J386" s="28"/>
      <c r="K386" s="37"/>
    </row>
    <row r="387" spans="1:11" x14ac:dyDescent="0.35">
      <c r="A387" s="30" t="s">
        <v>864</v>
      </c>
      <c r="B387" s="31">
        <v>1089</v>
      </c>
      <c r="C387" s="31">
        <v>11313.937</v>
      </c>
      <c r="D387" s="31">
        <v>-1471387.2023</v>
      </c>
      <c r="E387" s="30" t="s">
        <v>364</v>
      </c>
      <c r="F387" s="30" t="s">
        <v>875</v>
      </c>
      <c r="G387" s="30" t="s">
        <v>876</v>
      </c>
      <c r="H387" s="30" t="s">
        <v>877</v>
      </c>
      <c r="I387" s="32">
        <v>256779440392</v>
      </c>
      <c r="J387" s="28"/>
      <c r="K387" s="37"/>
    </row>
    <row r="388" spans="1:11" x14ac:dyDescent="0.35">
      <c r="A388" s="30" t="s">
        <v>878</v>
      </c>
      <c r="B388" s="31">
        <v>181</v>
      </c>
      <c r="C388" s="31">
        <v>7063.8671999999997</v>
      </c>
      <c r="D388" s="31">
        <v>-1478270.0695</v>
      </c>
      <c r="E388" s="30" t="s">
        <v>364</v>
      </c>
      <c r="F388" s="30" t="s">
        <v>879</v>
      </c>
      <c r="G388" s="30" t="s">
        <v>435</v>
      </c>
      <c r="H388" s="30" t="s">
        <v>880</v>
      </c>
      <c r="I388" s="32">
        <v>256779440210</v>
      </c>
      <c r="J388" s="28"/>
      <c r="K388" s="37"/>
    </row>
    <row r="389" spans="1:11" x14ac:dyDescent="0.35">
      <c r="A389" s="30" t="s">
        <v>878</v>
      </c>
      <c r="B389" s="31">
        <v>181</v>
      </c>
      <c r="C389" s="31">
        <v>11185.420599999999</v>
      </c>
      <c r="D389" s="31">
        <v>-1489274.4901000001</v>
      </c>
      <c r="E389" s="30" t="s">
        <v>364</v>
      </c>
      <c r="F389" s="30" t="s">
        <v>881</v>
      </c>
      <c r="G389" s="30" t="s">
        <v>876</v>
      </c>
      <c r="H389" s="30" t="s">
        <v>882</v>
      </c>
      <c r="I389" s="32">
        <v>256779440122</v>
      </c>
      <c r="J389" s="28"/>
      <c r="K389" s="37"/>
    </row>
    <row r="390" spans="1:11" x14ac:dyDescent="0.35">
      <c r="A390" s="29"/>
      <c r="B390" s="33">
        <f>SUM(B2:B389)</f>
        <v>9753444.5199999996</v>
      </c>
      <c r="C390" s="33">
        <f>SUM(C2:C389)</f>
        <v>11242719.010100005</v>
      </c>
      <c r="D390" s="33">
        <f>C390-B390</f>
        <v>1489274.4901000056</v>
      </c>
      <c r="E390" s="29"/>
      <c r="F390" s="29"/>
      <c r="G390" s="29"/>
      <c r="H390" s="29"/>
      <c r="I390" s="29"/>
      <c r="J390" s="28"/>
      <c r="K390" s="37"/>
    </row>
  </sheetData>
  <autoFilter ref="A1:I390" xr:uid="{A00EA0B3-7F3C-4031-9DDE-2C6E7C79C18D}"/>
  <conditionalFormatting sqref="I1:I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CD59-D7FD-4882-8042-EADAFC8A31D7}">
  <dimension ref="A1:AM480"/>
  <sheetViews>
    <sheetView topLeftCell="G160" zoomScale="70" zoomScaleNormal="70" workbookViewId="0">
      <selection activeCell="L183" sqref="L183"/>
    </sheetView>
  </sheetViews>
  <sheetFormatPr defaultRowHeight="14.5" x14ac:dyDescent="0.35"/>
  <cols>
    <col min="1" max="1" width="13.54296875" hidden="1" customWidth="1"/>
    <col min="2" max="2" width="9.81640625" hidden="1" customWidth="1"/>
    <col min="3" max="3" width="33" hidden="1" customWidth="1"/>
    <col min="4" max="4" width="9.453125" hidden="1" customWidth="1"/>
    <col min="5" max="5" width="6.81640625" hidden="1" customWidth="1"/>
    <col min="6" max="6" width="11.1796875" hidden="1" customWidth="1"/>
    <col min="7" max="7" width="16.81640625" bestFit="1" customWidth="1"/>
    <col min="8" max="8" width="7.7265625" bestFit="1" customWidth="1"/>
    <col min="9" max="9" width="13.90625" bestFit="1" customWidth="1"/>
    <col min="10" max="10" width="10.08984375" hidden="1" customWidth="1"/>
    <col min="11" max="11" width="24" hidden="1" customWidth="1"/>
    <col min="12" max="12" width="16.08984375" style="17" bestFit="1" customWidth="1"/>
    <col min="13" max="13" width="10.90625" hidden="1" customWidth="1"/>
    <col min="14" max="14" width="20.54296875" hidden="1" customWidth="1"/>
    <col min="15" max="15" width="13.7265625" hidden="1" customWidth="1"/>
    <col min="16" max="16" width="10.1796875" hidden="1" customWidth="1"/>
    <col min="17" max="17" width="8.26953125" bestFit="1" customWidth="1"/>
    <col min="18" max="18" width="11.90625" bestFit="1" customWidth="1"/>
    <col min="20" max="20" width="12.1796875" style="34" bestFit="1" customWidth="1"/>
    <col min="21" max="21" width="8.453125" hidden="1" customWidth="1"/>
    <col min="22" max="22" width="11.36328125" hidden="1" customWidth="1"/>
    <col min="23" max="23" width="17.26953125" hidden="1" customWidth="1"/>
    <col min="24" max="24" width="14.81640625" hidden="1" customWidth="1"/>
    <col min="25" max="25" width="4.6328125" hidden="1" customWidth="1"/>
    <col min="26" max="26" width="11.36328125" style="34" bestFit="1" customWidth="1"/>
    <col min="27" max="27" width="11.1796875" style="34" bestFit="1" customWidth="1"/>
    <col min="28" max="29" width="11.81640625" style="34" bestFit="1" customWidth="1"/>
    <col min="30" max="30" width="11" style="55" customWidth="1"/>
    <col min="31" max="31" width="45" bestFit="1" customWidth="1"/>
    <col min="32" max="34" width="14.08984375" hidden="1" customWidth="1"/>
    <col min="35" max="35" width="19" hidden="1" customWidth="1"/>
    <col min="36" max="36" width="11.90625" hidden="1" customWidth="1"/>
    <col min="37" max="37" width="16.7265625" bestFit="1" customWidth="1"/>
  </cols>
  <sheetData>
    <row r="1" spans="1:37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40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1" t="s">
        <v>886</v>
      </c>
      <c r="AA1" s="41" t="s">
        <v>887</v>
      </c>
      <c r="AB1" s="41" t="s">
        <v>888</v>
      </c>
      <c r="AC1" s="41" t="s">
        <v>889</v>
      </c>
      <c r="AD1" s="50" t="s">
        <v>890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</row>
    <row r="2" spans="1:37" x14ac:dyDescent="0.35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4">
        <v>45854</v>
      </c>
      <c r="G2" s="23">
        <v>1600001726</v>
      </c>
      <c r="H2" s="24" t="s">
        <v>37</v>
      </c>
      <c r="I2" s="25">
        <v>45854</v>
      </c>
      <c r="J2" s="25">
        <v>45854</v>
      </c>
      <c r="K2" s="24" t="s">
        <v>38</v>
      </c>
      <c r="L2" s="26">
        <v>256779421358</v>
      </c>
      <c r="M2" s="23">
        <v>212100</v>
      </c>
      <c r="N2" s="24" t="s">
        <v>39</v>
      </c>
      <c r="O2" s="24" t="s">
        <v>40</v>
      </c>
      <c r="P2" s="23">
        <v>11</v>
      </c>
      <c r="Q2" s="24" t="s">
        <v>42</v>
      </c>
      <c r="R2" s="27">
        <v>-1793.99</v>
      </c>
      <c r="S2" s="24" t="s">
        <v>43</v>
      </c>
      <c r="T2" s="27">
        <v>-154827.9</v>
      </c>
      <c r="U2" s="24" t="s">
        <v>44</v>
      </c>
      <c r="V2" s="23">
        <v>6779224500</v>
      </c>
      <c r="W2" s="24" t="s">
        <v>40</v>
      </c>
      <c r="X2" s="24" t="s">
        <v>38</v>
      </c>
      <c r="Y2" s="23">
        <v>1</v>
      </c>
      <c r="Z2" s="43" t="e" cm="1">
        <f t="array" ref="Z2">_xlfn.XLOOKUP(L2,'Customer Ledger'!$O:$O,'Customer Ledger'!$P:$Q,,0)</f>
        <v>#N/A</v>
      </c>
      <c r="AA2" s="43"/>
      <c r="AB2" s="43"/>
      <c r="AC2" s="23"/>
      <c r="AD2" s="23"/>
      <c r="AE2" s="24" t="s">
        <v>46</v>
      </c>
      <c r="AF2" s="24" t="s">
        <v>40</v>
      </c>
      <c r="AG2" s="24" t="s">
        <v>40</v>
      </c>
      <c r="AH2" s="24" t="s">
        <v>40</v>
      </c>
      <c r="AI2" s="25">
        <v>45854</v>
      </c>
      <c r="AJ2" s="25">
        <v>45854</v>
      </c>
      <c r="AK2" s="23">
        <v>1400000285</v>
      </c>
    </row>
    <row r="3" spans="1:37" x14ac:dyDescent="0.35">
      <c r="A3" s="3" t="s">
        <v>32</v>
      </c>
      <c r="B3" s="3" t="s">
        <v>33</v>
      </c>
      <c r="C3" s="3" t="s">
        <v>34</v>
      </c>
      <c r="D3" s="3" t="s">
        <v>35</v>
      </c>
      <c r="E3" s="3" t="s">
        <v>36</v>
      </c>
      <c r="F3" s="4">
        <v>45854</v>
      </c>
      <c r="G3" s="23">
        <v>1800010646</v>
      </c>
      <c r="H3" s="24" t="s">
        <v>47</v>
      </c>
      <c r="I3" s="25">
        <v>45854</v>
      </c>
      <c r="J3" s="25">
        <v>45855</v>
      </c>
      <c r="K3" s="24" t="s">
        <v>38</v>
      </c>
      <c r="L3" s="26">
        <v>256779415406</v>
      </c>
      <c r="M3" s="23">
        <v>212100</v>
      </c>
      <c r="N3" s="24" t="s">
        <v>39</v>
      </c>
      <c r="O3" s="24" t="s">
        <v>40</v>
      </c>
      <c r="P3" s="23">
        <v>1</v>
      </c>
      <c r="Q3" s="24" t="s">
        <v>42</v>
      </c>
      <c r="R3" s="27">
        <v>1793.99</v>
      </c>
      <c r="S3" s="24" t="s">
        <v>43</v>
      </c>
      <c r="T3" s="27">
        <v>154827.9</v>
      </c>
      <c r="U3" s="24" t="s">
        <v>44</v>
      </c>
      <c r="V3" s="23">
        <v>6779224500</v>
      </c>
      <c r="W3" s="24" t="s">
        <v>40</v>
      </c>
      <c r="X3" s="24" t="s">
        <v>38</v>
      </c>
      <c r="Y3" s="23">
        <v>1</v>
      </c>
      <c r="Z3" s="43" t="e" cm="1">
        <f t="array" ref="Z3">_xlfn.XLOOKUP(L3,'Customer Ledger'!$O:$O,'Customer Ledger'!$P:$Q,,0)</f>
        <v>#N/A</v>
      </c>
      <c r="AA3" s="43"/>
      <c r="AB3" s="43"/>
      <c r="AC3" s="23"/>
      <c r="AD3" s="23"/>
      <c r="AE3" s="24" t="s">
        <v>48</v>
      </c>
      <c r="AF3" s="24" t="s">
        <v>40</v>
      </c>
      <c r="AG3" s="24" t="s">
        <v>40</v>
      </c>
      <c r="AH3" s="24" t="s">
        <v>40</v>
      </c>
      <c r="AI3" s="25">
        <v>45854</v>
      </c>
      <c r="AJ3" s="25">
        <v>45854</v>
      </c>
      <c r="AK3" s="23">
        <v>1400000285</v>
      </c>
    </row>
    <row r="4" spans="1:37" x14ac:dyDescent="0.35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4">
        <v>45854</v>
      </c>
      <c r="G4" s="23">
        <v>1600001727</v>
      </c>
      <c r="H4" s="24" t="s">
        <v>37</v>
      </c>
      <c r="I4" s="25">
        <v>45854</v>
      </c>
      <c r="J4" s="25">
        <v>45854</v>
      </c>
      <c r="K4" s="24" t="s">
        <v>38</v>
      </c>
      <c r="L4" s="26">
        <v>256779421359</v>
      </c>
      <c r="M4" s="23">
        <v>212100</v>
      </c>
      <c r="N4" s="24" t="s">
        <v>39</v>
      </c>
      <c r="O4" s="24" t="s">
        <v>40</v>
      </c>
      <c r="P4" s="23">
        <v>11</v>
      </c>
      <c r="Q4" s="24" t="s">
        <v>42</v>
      </c>
      <c r="R4" s="27">
        <v>-705</v>
      </c>
      <c r="S4" s="24" t="s">
        <v>43</v>
      </c>
      <c r="T4" s="27">
        <v>-60844.08</v>
      </c>
      <c r="U4" s="24" t="s">
        <v>44</v>
      </c>
      <c r="V4" s="23">
        <v>6779224500</v>
      </c>
      <c r="W4" s="24" t="s">
        <v>40</v>
      </c>
      <c r="X4" s="24" t="s">
        <v>38</v>
      </c>
      <c r="Y4" s="23">
        <v>1</v>
      </c>
      <c r="Z4" s="43" t="e" cm="1">
        <f t="array" ref="Z4">_xlfn.XLOOKUP(L4,'Customer Ledger'!$O:$O,'Customer Ledger'!$P:$Q,,0)</f>
        <v>#N/A</v>
      </c>
      <c r="AA4" s="43"/>
      <c r="AB4" s="43"/>
      <c r="AC4" s="23"/>
      <c r="AD4" s="23"/>
      <c r="AE4" s="24" t="s">
        <v>49</v>
      </c>
      <c r="AF4" s="24" t="s">
        <v>40</v>
      </c>
      <c r="AG4" s="24" t="s">
        <v>40</v>
      </c>
      <c r="AH4" s="24" t="s">
        <v>40</v>
      </c>
      <c r="AI4" s="25">
        <v>45854</v>
      </c>
      <c r="AJ4" s="25">
        <v>45854</v>
      </c>
      <c r="AK4" s="23">
        <v>1400000286</v>
      </c>
    </row>
    <row r="5" spans="1:37" x14ac:dyDescent="0.3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4">
        <v>45854</v>
      </c>
      <c r="G5" s="23">
        <v>1800010647</v>
      </c>
      <c r="H5" s="24" t="s">
        <v>47</v>
      </c>
      <c r="I5" s="25">
        <v>45854</v>
      </c>
      <c r="J5" s="25">
        <v>45855</v>
      </c>
      <c r="K5" s="24" t="s">
        <v>38</v>
      </c>
      <c r="L5" s="26">
        <v>256779415407</v>
      </c>
      <c r="M5" s="23">
        <v>212100</v>
      </c>
      <c r="N5" s="24" t="s">
        <v>39</v>
      </c>
      <c r="O5" s="24" t="s">
        <v>40</v>
      </c>
      <c r="P5" s="23">
        <v>1</v>
      </c>
      <c r="Q5" s="24" t="s">
        <v>42</v>
      </c>
      <c r="R5" s="27">
        <v>705</v>
      </c>
      <c r="S5" s="24" t="s">
        <v>43</v>
      </c>
      <c r="T5" s="27">
        <v>60844.08</v>
      </c>
      <c r="U5" s="24" t="s">
        <v>44</v>
      </c>
      <c r="V5" s="23">
        <v>6779224500</v>
      </c>
      <c r="W5" s="24" t="s">
        <v>40</v>
      </c>
      <c r="X5" s="24" t="s">
        <v>38</v>
      </c>
      <c r="Y5" s="23">
        <v>1</v>
      </c>
      <c r="Z5" s="43" t="e" cm="1">
        <f t="array" ref="Z5">_xlfn.XLOOKUP(L5,'Customer Ledger'!$O:$O,'Customer Ledger'!$P:$Q,,0)</f>
        <v>#N/A</v>
      </c>
      <c r="AA5" s="43"/>
      <c r="AB5" s="43"/>
      <c r="AC5" s="23"/>
      <c r="AD5" s="23"/>
      <c r="AE5" s="24" t="s">
        <v>50</v>
      </c>
      <c r="AF5" s="24" t="s">
        <v>40</v>
      </c>
      <c r="AG5" s="24" t="s">
        <v>40</v>
      </c>
      <c r="AH5" s="24" t="s">
        <v>40</v>
      </c>
      <c r="AI5" s="25">
        <v>45854</v>
      </c>
      <c r="AJ5" s="25">
        <v>45854</v>
      </c>
      <c r="AK5" s="23">
        <v>1400000286</v>
      </c>
    </row>
    <row r="6" spans="1:37" x14ac:dyDescent="0.35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4">
        <v>45854</v>
      </c>
      <c r="G6" s="23">
        <v>1600001728</v>
      </c>
      <c r="H6" s="24" t="s">
        <v>37</v>
      </c>
      <c r="I6" s="25">
        <v>45854</v>
      </c>
      <c r="J6" s="25">
        <v>45854</v>
      </c>
      <c r="K6" s="24" t="s">
        <v>38</v>
      </c>
      <c r="L6" s="26">
        <v>256779421360</v>
      </c>
      <c r="M6" s="23">
        <v>212100</v>
      </c>
      <c r="N6" s="24" t="s">
        <v>39</v>
      </c>
      <c r="O6" s="24" t="s">
        <v>40</v>
      </c>
      <c r="P6" s="23">
        <v>11</v>
      </c>
      <c r="Q6" s="24" t="s">
        <v>42</v>
      </c>
      <c r="R6" s="27">
        <v>-216.2</v>
      </c>
      <c r="S6" s="24" t="s">
        <v>43</v>
      </c>
      <c r="T6" s="27">
        <v>-18742.650000000001</v>
      </c>
      <c r="U6" s="24" t="s">
        <v>44</v>
      </c>
      <c r="V6" s="23">
        <v>6779224500</v>
      </c>
      <c r="W6" s="24" t="s">
        <v>40</v>
      </c>
      <c r="X6" s="24" t="s">
        <v>38</v>
      </c>
      <c r="Y6" s="23">
        <v>1</v>
      </c>
      <c r="Z6" s="43" t="e" cm="1">
        <f t="array" ref="Z6">_xlfn.XLOOKUP(L6,'Customer Ledger'!$O:$O,'Customer Ledger'!$P:$Q,,0)</f>
        <v>#N/A</v>
      </c>
      <c r="AA6" s="43"/>
      <c r="AB6" s="43"/>
      <c r="AC6" s="23"/>
      <c r="AD6" s="23"/>
      <c r="AE6" s="24" t="s">
        <v>51</v>
      </c>
      <c r="AF6" s="24" t="s">
        <v>40</v>
      </c>
      <c r="AG6" s="24" t="s">
        <v>40</v>
      </c>
      <c r="AH6" s="24" t="s">
        <v>40</v>
      </c>
      <c r="AI6" s="25">
        <v>45854</v>
      </c>
      <c r="AJ6" s="25">
        <v>45854</v>
      </c>
      <c r="AK6" s="23">
        <v>1400000287</v>
      </c>
    </row>
    <row r="7" spans="1:37" x14ac:dyDescent="0.35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4">
        <v>45854</v>
      </c>
      <c r="G7" s="23">
        <v>1800010648</v>
      </c>
      <c r="H7" s="24" t="s">
        <v>47</v>
      </c>
      <c r="I7" s="25">
        <v>45854</v>
      </c>
      <c r="J7" s="25">
        <v>45855</v>
      </c>
      <c r="K7" s="24" t="s">
        <v>38</v>
      </c>
      <c r="L7" s="26">
        <v>256779415408</v>
      </c>
      <c r="M7" s="23">
        <v>212100</v>
      </c>
      <c r="N7" s="24" t="s">
        <v>39</v>
      </c>
      <c r="O7" s="24" t="s">
        <v>40</v>
      </c>
      <c r="P7" s="23">
        <v>1</v>
      </c>
      <c r="Q7" s="24" t="s">
        <v>42</v>
      </c>
      <c r="R7" s="27">
        <v>216.2</v>
      </c>
      <c r="S7" s="24" t="s">
        <v>43</v>
      </c>
      <c r="T7" s="27">
        <v>18742.650000000001</v>
      </c>
      <c r="U7" s="24" t="s">
        <v>44</v>
      </c>
      <c r="V7" s="23">
        <v>6779224500</v>
      </c>
      <c r="W7" s="24" t="s">
        <v>40</v>
      </c>
      <c r="X7" s="24" t="s">
        <v>38</v>
      </c>
      <c r="Y7" s="23">
        <v>1</v>
      </c>
      <c r="Z7" s="43" t="e" cm="1">
        <f t="array" ref="Z7">_xlfn.XLOOKUP(L7,'Customer Ledger'!$O:$O,'Customer Ledger'!$P:$Q,,0)</f>
        <v>#N/A</v>
      </c>
      <c r="AA7" s="43"/>
      <c r="AB7" s="43"/>
      <c r="AC7" s="23"/>
      <c r="AD7" s="23"/>
      <c r="AE7" s="24" t="s">
        <v>52</v>
      </c>
      <c r="AF7" s="24" t="s">
        <v>40</v>
      </c>
      <c r="AG7" s="24" t="s">
        <v>40</v>
      </c>
      <c r="AH7" s="24" t="s">
        <v>40</v>
      </c>
      <c r="AI7" s="25">
        <v>45854</v>
      </c>
      <c r="AJ7" s="25">
        <v>45854</v>
      </c>
      <c r="AK7" s="23">
        <v>1400000287</v>
      </c>
    </row>
    <row r="8" spans="1:37" x14ac:dyDescent="0.35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4">
        <v>45854</v>
      </c>
      <c r="G8" s="23">
        <v>1600001731</v>
      </c>
      <c r="H8" s="24" t="s">
        <v>37</v>
      </c>
      <c r="I8" s="25">
        <v>45854</v>
      </c>
      <c r="J8" s="25">
        <v>45854</v>
      </c>
      <c r="K8" s="24" t="s">
        <v>38</v>
      </c>
      <c r="L8" s="26">
        <v>256779421363</v>
      </c>
      <c r="M8" s="23">
        <v>212100</v>
      </c>
      <c r="N8" s="24" t="s">
        <v>39</v>
      </c>
      <c r="O8" s="24" t="s">
        <v>40</v>
      </c>
      <c r="P8" s="23">
        <v>11</v>
      </c>
      <c r="Q8" s="24" t="s">
        <v>42</v>
      </c>
      <c r="R8" s="27">
        <v>-1926.06</v>
      </c>
      <c r="S8" s="24" t="s">
        <v>43</v>
      </c>
      <c r="T8" s="27">
        <v>-166972.57</v>
      </c>
      <c r="U8" s="24" t="s">
        <v>44</v>
      </c>
      <c r="V8" s="23">
        <v>6779224500</v>
      </c>
      <c r="W8" s="24" t="s">
        <v>40</v>
      </c>
      <c r="X8" s="24" t="s">
        <v>38</v>
      </c>
      <c r="Y8" s="23">
        <v>1</v>
      </c>
      <c r="Z8" s="43" t="e" cm="1">
        <f t="array" ref="Z8">_xlfn.XLOOKUP(L8,'Customer Ledger'!$O:$O,'Customer Ledger'!$P:$Q,,0)</f>
        <v>#N/A</v>
      </c>
      <c r="AA8" s="43"/>
      <c r="AB8" s="43"/>
      <c r="AC8" s="23"/>
      <c r="AD8" s="23"/>
      <c r="AE8" s="24" t="s">
        <v>53</v>
      </c>
      <c r="AF8" s="24" t="s">
        <v>40</v>
      </c>
      <c r="AG8" s="24" t="s">
        <v>40</v>
      </c>
      <c r="AH8" s="24" t="s">
        <v>40</v>
      </c>
      <c r="AI8" s="25">
        <v>45854</v>
      </c>
      <c r="AJ8" s="25">
        <v>45854</v>
      </c>
      <c r="AK8" s="23">
        <v>1400000288</v>
      </c>
    </row>
    <row r="9" spans="1:37" x14ac:dyDescent="0.35">
      <c r="A9" s="3" t="s">
        <v>32</v>
      </c>
      <c r="B9" s="3" t="s">
        <v>33</v>
      </c>
      <c r="C9" s="3" t="s">
        <v>34</v>
      </c>
      <c r="D9" s="3" t="s">
        <v>35</v>
      </c>
      <c r="E9" s="3" t="s">
        <v>36</v>
      </c>
      <c r="F9" s="4">
        <v>45854</v>
      </c>
      <c r="G9" s="23">
        <v>1800010649</v>
      </c>
      <c r="H9" s="24" t="s">
        <v>47</v>
      </c>
      <c r="I9" s="25">
        <v>45854</v>
      </c>
      <c r="J9" s="25">
        <v>45855</v>
      </c>
      <c r="K9" s="24" t="s">
        <v>38</v>
      </c>
      <c r="L9" s="26">
        <v>256779415409</v>
      </c>
      <c r="M9" s="23">
        <v>212100</v>
      </c>
      <c r="N9" s="24" t="s">
        <v>39</v>
      </c>
      <c r="O9" s="24" t="s">
        <v>40</v>
      </c>
      <c r="P9" s="23">
        <v>1</v>
      </c>
      <c r="Q9" s="24" t="s">
        <v>42</v>
      </c>
      <c r="R9" s="27">
        <v>1926.06</v>
      </c>
      <c r="S9" s="24" t="s">
        <v>43</v>
      </c>
      <c r="T9" s="27">
        <v>166972.57</v>
      </c>
      <c r="U9" s="24" t="s">
        <v>44</v>
      </c>
      <c r="V9" s="23">
        <v>6779224500</v>
      </c>
      <c r="W9" s="24" t="s">
        <v>40</v>
      </c>
      <c r="X9" s="24" t="s">
        <v>38</v>
      </c>
      <c r="Y9" s="23">
        <v>1</v>
      </c>
      <c r="Z9" s="43" t="e" cm="1">
        <f t="array" ref="Z9">_xlfn.XLOOKUP(L9,'Customer Ledger'!$O:$O,'Customer Ledger'!$P:$Q,,0)</f>
        <v>#N/A</v>
      </c>
      <c r="AA9" s="43"/>
      <c r="AB9" s="43"/>
      <c r="AC9" s="23"/>
      <c r="AD9" s="23"/>
      <c r="AE9" s="24" t="s">
        <v>54</v>
      </c>
      <c r="AF9" s="24" t="s">
        <v>40</v>
      </c>
      <c r="AG9" s="24" t="s">
        <v>40</v>
      </c>
      <c r="AH9" s="24" t="s">
        <v>40</v>
      </c>
      <c r="AI9" s="25">
        <v>45854</v>
      </c>
      <c r="AJ9" s="25">
        <v>45854</v>
      </c>
      <c r="AK9" s="23">
        <v>1400000288</v>
      </c>
    </row>
    <row r="10" spans="1:37" x14ac:dyDescent="0.35">
      <c r="A10" s="3" t="s">
        <v>32</v>
      </c>
      <c r="B10" s="3" t="s">
        <v>33</v>
      </c>
      <c r="C10" s="3" t="s">
        <v>34</v>
      </c>
      <c r="D10" s="3" t="s">
        <v>35</v>
      </c>
      <c r="E10" s="3" t="s">
        <v>36</v>
      </c>
      <c r="F10" s="4">
        <v>45854</v>
      </c>
      <c r="G10" s="23">
        <v>1600001734</v>
      </c>
      <c r="H10" s="24" t="s">
        <v>37</v>
      </c>
      <c r="I10" s="25">
        <v>45854</v>
      </c>
      <c r="J10" s="25">
        <v>45854</v>
      </c>
      <c r="K10" s="24" t="s">
        <v>38</v>
      </c>
      <c r="L10" s="26">
        <v>256779421366</v>
      </c>
      <c r="M10" s="23">
        <v>212100</v>
      </c>
      <c r="N10" s="24" t="s">
        <v>39</v>
      </c>
      <c r="O10" s="24" t="s">
        <v>40</v>
      </c>
      <c r="P10" s="23">
        <v>11</v>
      </c>
      <c r="Q10" s="24" t="s">
        <v>42</v>
      </c>
      <c r="R10" s="27">
        <v>-531.9</v>
      </c>
      <c r="S10" s="24" t="s">
        <v>43</v>
      </c>
      <c r="T10" s="27">
        <v>-46111.08</v>
      </c>
      <c r="U10" s="24" t="s">
        <v>44</v>
      </c>
      <c r="V10" s="23">
        <v>6779224500</v>
      </c>
      <c r="W10" s="24" t="s">
        <v>40</v>
      </c>
      <c r="X10" s="24" t="s">
        <v>38</v>
      </c>
      <c r="Y10" s="23">
        <v>1</v>
      </c>
      <c r="Z10" s="43" t="e" cm="1">
        <f t="array" ref="Z10">_xlfn.XLOOKUP(L10,'Customer Ledger'!$O:$O,'Customer Ledger'!$P:$Q,,0)</f>
        <v>#N/A</v>
      </c>
      <c r="AA10" s="43"/>
      <c r="AB10" s="43"/>
      <c r="AC10" s="23"/>
      <c r="AD10" s="23"/>
      <c r="AE10" s="24" t="s">
        <v>55</v>
      </c>
      <c r="AF10" s="24" t="s">
        <v>40</v>
      </c>
      <c r="AG10" s="24" t="s">
        <v>40</v>
      </c>
      <c r="AH10" s="24" t="s">
        <v>40</v>
      </c>
      <c r="AI10" s="25">
        <v>45854</v>
      </c>
      <c r="AJ10" s="25">
        <v>45854</v>
      </c>
      <c r="AK10" s="23">
        <v>1400000289</v>
      </c>
    </row>
    <row r="11" spans="1:37" x14ac:dyDescent="0.35">
      <c r="A11" s="3" t="s">
        <v>32</v>
      </c>
      <c r="B11" s="3" t="s">
        <v>33</v>
      </c>
      <c r="C11" s="3" t="s">
        <v>34</v>
      </c>
      <c r="D11" s="3" t="s">
        <v>35</v>
      </c>
      <c r="E11" s="3" t="s">
        <v>36</v>
      </c>
      <c r="F11" s="4">
        <v>45854</v>
      </c>
      <c r="G11" s="23">
        <v>1800010650</v>
      </c>
      <c r="H11" s="24" t="s">
        <v>47</v>
      </c>
      <c r="I11" s="25">
        <v>45854</v>
      </c>
      <c r="J11" s="25">
        <v>45855</v>
      </c>
      <c r="K11" s="24" t="s">
        <v>38</v>
      </c>
      <c r="L11" s="26">
        <v>256779415410</v>
      </c>
      <c r="M11" s="23">
        <v>212100</v>
      </c>
      <c r="N11" s="24" t="s">
        <v>39</v>
      </c>
      <c r="O11" s="24" t="s">
        <v>40</v>
      </c>
      <c r="P11" s="23">
        <v>1</v>
      </c>
      <c r="Q11" s="24" t="s">
        <v>42</v>
      </c>
      <c r="R11" s="27">
        <v>531.9</v>
      </c>
      <c r="S11" s="24" t="s">
        <v>43</v>
      </c>
      <c r="T11" s="27">
        <v>46111.08</v>
      </c>
      <c r="U11" s="24" t="s">
        <v>44</v>
      </c>
      <c r="V11" s="23">
        <v>6779224500</v>
      </c>
      <c r="W11" s="24" t="s">
        <v>40</v>
      </c>
      <c r="X11" s="24" t="s">
        <v>38</v>
      </c>
      <c r="Y11" s="23">
        <v>1</v>
      </c>
      <c r="Z11" s="43" t="e" cm="1">
        <f t="array" ref="Z11">_xlfn.XLOOKUP(L11,'Customer Ledger'!$O:$O,'Customer Ledger'!$P:$Q,,0)</f>
        <v>#N/A</v>
      </c>
      <c r="AA11" s="43"/>
      <c r="AB11" s="43"/>
      <c r="AC11" s="23"/>
      <c r="AD11" s="23"/>
      <c r="AE11" s="24" t="s">
        <v>56</v>
      </c>
      <c r="AF11" s="24" t="s">
        <v>40</v>
      </c>
      <c r="AG11" s="24" t="s">
        <v>40</v>
      </c>
      <c r="AH11" s="24" t="s">
        <v>40</v>
      </c>
      <c r="AI11" s="25">
        <v>45854</v>
      </c>
      <c r="AJ11" s="25">
        <v>45854</v>
      </c>
      <c r="AK11" s="23">
        <v>1400000289</v>
      </c>
    </row>
    <row r="12" spans="1:37" x14ac:dyDescent="0.35">
      <c r="A12" s="3" t="s">
        <v>32</v>
      </c>
      <c r="B12" s="3" t="s">
        <v>33</v>
      </c>
      <c r="C12" s="3" t="s">
        <v>34</v>
      </c>
      <c r="D12" s="3" t="s">
        <v>35</v>
      </c>
      <c r="E12" s="3" t="s">
        <v>36</v>
      </c>
      <c r="F12" s="4">
        <v>45854</v>
      </c>
      <c r="G12" s="23">
        <v>1600001739</v>
      </c>
      <c r="H12" s="24" t="s">
        <v>37</v>
      </c>
      <c r="I12" s="25">
        <v>45854</v>
      </c>
      <c r="J12" s="25">
        <v>45854</v>
      </c>
      <c r="K12" s="24" t="s">
        <v>38</v>
      </c>
      <c r="L12" s="26">
        <v>256779421371</v>
      </c>
      <c r="M12" s="23">
        <v>212100</v>
      </c>
      <c r="N12" s="24" t="s">
        <v>39</v>
      </c>
      <c r="O12" s="24" t="s">
        <v>40</v>
      </c>
      <c r="P12" s="23">
        <v>11</v>
      </c>
      <c r="Q12" s="24" t="s">
        <v>42</v>
      </c>
      <c r="R12" s="27">
        <v>-525</v>
      </c>
      <c r="S12" s="24" t="s">
        <v>43</v>
      </c>
      <c r="T12" s="27">
        <v>-45512.91</v>
      </c>
      <c r="U12" s="24" t="s">
        <v>44</v>
      </c>
      <c r="V12" s="23">
        <v>6779224500</v>
      </c>
      <c r="W12" s="24" t="s">
        <v>40</v>
      </c>
      <c r="X12" s="24" t="s">
        <v>38</v>
      </c>
      <c r="Y12" s="23">
        <v>1</v>
      </c>
      <c r="Z12" s="43" t="e" cm="1">
        <f t="array" ref="Z12">_xlfn.XLOOKUP(L12,'Customer Ledger'!$O:$O,'Customer Ledger'!$P:$Q,,0)</f>
        <v>#N/A</v>
      </c>
      <c r="AA12" s="43"/>
      <c r="AB12" s="43"/>
      <c r="AC12" s="23"/>
      <c r="AD12" s="23"/>
      <c r="AE12" s="24" t="s">
        <v>57</v>
      </c>
      <c r="AF12" s="24" t="s">
        <v>40</v>
      </c>
      <c r="AG12" s="24" t="s">
        <v>40</v>
      </c>
      <c r="AH12" s="24" t="s">
        <v>40</v>
      </c>
      <c r="AI12" s="25">
        <v>45854</v>
      </c>
      <c r="AJ12" s="25">
        <v>45854</v>
      </c>
      <c r="AK12" s="23">
        <v>1400000290</v>
      </c>
    </row>
    <row r="13" spans="1:37" x14ac:dyDescent="0.35">
      <c r="A13" s="3" t="s">
        <v>32</v>
      </c>
      <c r="B13" s="3" t="s">
        <v>33</v>
      </c>
      <c r="C13" s="3" t="s">
        <v>34</v>
      </c>
      <c r="D13" s="3" t="s">
        <v>35</v>
      </c>
      <c r="E13" s="3" t="s">
        <v>36</v>
      </c>
      <c r="F13" s="4">
        <v>45854</v>
      </c>
      <c r="G13" s="23">
        <v>1800010651</v>
      </c>
      <c r="H13" s="24" t="s">
        <v>47</v>
      </c>
      <c r="I13" s="25">
        <v>45854</v>
      </c>
      <c r="J13" s="25">
        <v>45855</v>
      </c>
      <c r="K13" s="24" t="s">
        <v>38</v>
      </c>
      <c r="L13" s="26">
        <v>256779415411</v>
      </c>
      <c r="M13" s="23">
        <v>212100</v>
      </c>
      <c r="N13" s="24" t="s">
        <v>39</v>
      </c>
      <c r="O13" s="24" t="s">
        <v>40</v>
      </c>
      <c r="P13" s="23">
        <v>1</v>
      </c>
      <c r="Q13" s="24" t="s">
        <v>42</v>
      </c>
      <c r="R13" s="27">
        <v>525</v>
      </c>
      <c r="S13" s="24" t="s">
        <v>43</v>
      </c>
      <c r="T13" s="27">
        <v>45512.91</v>
      </c>
      <c r="U13" s="24" t="s">
        <v>44</v>
      </c>
      <c r="V13" s="23">
        <v>6779224500</v>
      </c>
      <c r="W13" s="24" t="s">
        <v>40</v>
      </c>
      <c r="X13" s="24" t="s">
        <v>38</v>
      </c>
      <c r="Y13" s="23">
        <v>1</v>
      </c>
      <c r="Z13" s="43" t="e" cm="1">
        <f t="array" ref="Z13">_xlfn.XLOOKUP(L13,'Customer Ledger'!$O:$O,'Customer Ledger'!$P:$Q,,0)</f>
        <v>#N/A</v>
      </c>
      <c r="AA13" s="43"/>
      <c r="AB13" s="43"/>
      <c r="AC13" s="23"/>
      <c r="AD13" s="23"/>
      <c r="AE13" s="24" t="s">
        <v>58</v>
      </c>
      <c r="AF13" s="24" t="s">
        <v>40</v>
      </c>
      <c r="AG13" s="24" t="s">
        <v>40</v>
      </c>
      <c r="AH13" s="24" t="s">
        <v>40</v>
      </c>
      <c r="AI13" s="25">
        <v>45854</v>
      </c>
      <c r="AJ13" s="25">
        <v>45854</v>
      </c>
      <c r="AK13" s="23">
        <v>1400000290</v>
      </c>
    </row>
    <row r="14" spans="1:37" x14ac:dyDescent="0.35">
      <c r="A14" s="3" t="s">
        <v>32</v>
      </c>
      <c r="B14" s="3" t="s">
        <v>33</v>
      </c>
      <c r="C14" s="3" t="s">
        <v>34</v>
      </c>
      <c r="D14" s="3" t="s">
        <v>35</v>
      </c>
      <c r="E14" s="3" t="s">
        <v>36</v>
      </c>
      <c r="F14" s="4">
        <v>45854</v>
      </c>
      <c r="G14" s="23">
        <v>1600001729</v>
      </c>
      <c r="H14" s="24" t="s">
        <v>37</v>
      </c>
      <c r="I14" s="25">
        <v>45854</v>
      </c>
      <c r="J14" s="25">
        <v>45854</v>
      </c>
      <c r="K14" s="24" t="s">
        <v>38</v>
      </c>
      <c r="L14" s="26">
        <v>256779421361</v>
      </c>
      <c r="M14" s="23">
        <v>212100</v>
      </c>
      <c r="N14" s="24" t="s">
        <v>39</v>
      </c>
      <c r="O14" s="24" t="s">
        <v>40</v>
      </c>
      <c r="P14" s="23">
        <v>11</v>
      </c>
      <c r="Q14" s="24" t="s">
        <v>42</v>
      </c>
      <c r="R14" s="27">
        <v>-364.25</v>
      </c>
      <c r="S14" s="24" t="s">
        <v>43</v>
      </c>
      <c r="T14" s="42">
        <v>-31577.29</v>
      </c>
      <c r="U14" s="24" t="s">
        <v>44</v>
      </c>
      <c r="V14" s="23">
        <v>6779224500</v>
      </c>
      <c r="W14" s="24" t="s">
        <v>40</v>
      </c>
      <c r="X14" s="24" t="s">
        <v>38</v>
      </c>
      <c r="Y14" s="23">
        <v>1</v>
      </c>
      <c r="Z14" s="43" cm="1">
        <f t="array" ref="Z14:AA14">_xlfn.XLOOKUP(L14,'Customer Ledger'!$O:$O,'Customer Ledger'!$P:$Q,,0)</f>
        <v>31577</v>
      </c>
      <c r="AA14" s="43">
        <v>0</v>
      </c>
      <c r="AB14" s="43">
        <f>AA14-Z14</f>
        <v>-31577</v>
      </c>
      <c r="AC14" s="43">
        <f>T14-AB14</f>
        <v>-0.29000000000087311</v>
      </c>
      <c r="AD14" s="51">
        <f>AC14/T14</f>
        <v>9.1838153306022493E-6</v>
      </c>
      <c r="AE14" s="24" t="s">
        <v>59</v>
      </c>
      <c r="AF14" s="24" t="s">
        <v>40</v>
      </c>
      <c r="AG14" s="24" t="s">
        <v>40</v>
      </c>
      <c r="AH14" s="24" t="s">
        <v>40</v>
      </c>
      <c r="AI14" s="25">
        <v>45854</v>
      </c>
      <c r="AJ14" s="25">
        <v>45976</v>
      </c>
      <c r="AK14" s="23">
        <v>1400001901</v>
      </c>
    </row>
    <row r="15" spans="1:37" x14ac:dyDescent="0.35">
      <c r="A15" s="3" t="s">
        <v>32</v>
      </c>
      <c r="B15" s="3" t="s">
        <v>33</v>
      </c>
      <c r="C15" s="3" t="s">
        <v>34</v>
      </c>
      <c r="D15" s="3" t="s">
        <v>35</v>
      </c>
      <c r="E15" s="3" t="s">
        <v>36</v>
      </c>
      <c r="F15" s="4">
        <v>45854</v>
      </c>
      <c r="G15" s="23">
        <v>1600001730</v>
      </c>
      <c r="H15" s="24" t="s">
        <v>37</v>
      </c>
      <c r="I15" s="25">
        <v>45854</v>
      </c>
      <c r="J15" s="25">
        <v>45854</v>
      </c>
      <c r="K15" s="24" t="s">
        <v>38</v>
      </c>
      <c r="L15" s="26">
        <v>256779421362</v>
      </c>
      <c r="M15" s="23">
        <v>212100</v>
      </c>
      <c r="N15" s="24" t="s">
        <v>39</v>
      </c>
      <c r="O15" s="24" t="s">
        <v>40</v>
      </c>
      <c r="P15" s="23">
        <v>11</v>
      </c>
      <c r="Q15" s="24" t="s">
        <v>42</v>
      </c>
      <c r="R15" s="27">
        <v>-237.35</v>
      </c>
      <c r="S15" s="24" t="s">
        <v>43</v>
      </c>
      <c r="T15" s="27">
        <v>-20576.169999999998</v>
      </c>
      <c r="U15" s="24" t="s">
        <v>44</v>
      </c>
      <c r="V15" s="23">
        <v>6779224500</v>
      </c>
      <c r="W15" s="24" t="s">
        <v>40</v>
      </c>
      <c r="X15" s="24" t="s">
        <v>38</v>
      </c>
      <c r="Y15" s="23">
        <v>1</v>
      </c>
      <c r="Z15" s="43" cm="1">
        <f t="array" ref="Z15:AA15">_xlfn.XLOOKUP(L15,'Customer Ledger'!$O:$O,'Customer Ledger'!$P:$Q,,0)</f>
        <v>19430</v>
      </c>
      <c r="AA15" s="43">
        <v>0</v>
      </c>
      <c r="AB15" s="43">
        <f t="shared" ref="AB15:AB27" si="0">AA15-Z15</f>
        <v>-19430</v>
      </c>
      <c r="AC15" s="43">
        <f t="shared" ref="AC15:AC27" si="1">T15-AB15</f>
        <v>-1146.1699999999983</v>
      </c>
      <c r="AD15" s="51">
        <f t="shared" ref="AD15:AD27" si="2">AC15/T15</f>
        <v>5.5703758279602E-2</v>
      </c>
      <c r="AE15" s="24" t="s">
        <v>60</v>
      </c>
      <c r="AF15" s="24" t="s">
        <v>40</v>
      </c>
      <c r="AG15" s="24" t="s">
        <v>40</v>
      </c>
      <c r="AH15" s="24" t="s">
        <v>40</v>
      </c>
      <c r="AI15" s="25">
        <v>45854</v>
      </c>
      <c r="AJ15" s="25">
        <v>45976</v>
      </c>
      <c r="AK15" s="23">
        <v>1400001901</v>
      </c>
    </row>
    <row r="16" spans="1:37" x14ac:dyDescent="0.35">
      <c r="A16" s="3" t="s">
        <v>32</v>
      </c>
      <c r="B16" s="3" t="s">
        <v>33</v>
      </c>
      <c r="C16" s="3" t="s">
        <v>34</v>
      </c>
      <c r="D16" s="3" t="s">
        <v>35</v>
      </c>
      <c r="E16" s="3" t="s">
        <v>36</v>
      </c>
      <c r="F16" s="4">
        <v>45854</v>
      </c>
      <c r="G16" s="23">
        <v>1600001732</v>
      </c>
      <c r="H16" s="24" t="s">
        <v>37</v>
      </c>
      <c r="I16" s="25">
        <v>45854</v>
      </c>
      <c r="J16" s="25">
        <v>45854</v>
      </c>
      <c r="K16" s="24" t="s">
        <v>38</v>
      </c>
      <c r="L16" s="26">
        <v>256779421364</v>
      </c>
      <c r="M16" s="23">
        <v>212100</v>
      </c>
      <c r="N16" s="24" t="s">
        <v>39</v>
      </c>
      <c r="O16" s="24" t="s">
        <v>40</v>
      </c>
      <c r="P16" s="23">
        <v>11</v>
      </c>
      <c r="Q16" s="24" t="s">
        <v>42</v>
      </c>
      <c r="R16" s="27">
        <v>-220</v>
      </c>
      <c r="S16" s="24" t="s">
        <v>43</v>
      </c>
      <c r="T16" s="27">
        <v>-19072.080000000002</v>
      </c>
      <c r="U16" s="24" t="s">
        <v>44</v>
      </c>
      <c r="V16" s="23">
        <v>6779224500</v>
      </c>
      <c r="W16" s="24" t="s">
        <v>40</v>
      </c>
      <c r="X16" s="24" t="s">
        <v>38</v>
      </c>
      <c r="Y16" s="23">
        <v>1</v>
      </c>
      <c r="Z16" s="43" cm="1">
        <f t="array" ref="Z16:AA16">_xlfn.XLOOKUP(L16,'Customer Ledger'!$O:$O,'Customer Ledger'!$P:$Q,,0)</f>
        <v>18611</v>
      </c>
      <c r="AA16" s="43">
        <v>0</v>
      </c>
      <c r="AB16" s="43">
        <f t="shared" si="0"/>
        <v>-18611</v>
      </c>
      <c r="AC16" s="43">
        <f t="shared" si="1"/>
        <v>-461.08000000000175</v>
      </c>
      <c r="AD16" s="51">
        <f t="shared" si="2"/>
        <v>2.4175653625614076E-2</v>
      </c>
      <c r="AE16" s="24" t="s">
        <v>61</v>
      </c>
      <c r="AF16" s="24" t="s">
        <v>40</v>
      </c>
      <c r="AG16" s="24" t="s">
        <v>40</v>
      </c>
      <c r="AH16" s="24" t="s">
        <v>40</v>
      </c>
      <c r="AI16" s="25">
        <v>45854</v>
      </c>
      <c r="AJ16" s="25">
        <v>45976</v>
      </c>
      <c r="AK16" s="23">
        <v>1400001901</v>
      </c>
    </row>
    <row r="17" spans="1:37" x14ac:dyDescent="0.35">
      <c r="A17" s="3" t="s">
        <v>32</v>
      </c>
      <c r="B17" s="3" t="s">
        <v>33</v>
      </c>
      <c r="C17" s="3" t="s">
        <v>34</v>
      </c>
      <c r="D17" s="3" t="s">
        <v>35</v>
      </c>
      <c r="E17" s="3" t="s">
        <v>36</v>
      </c>
      <c r="F17" s="4">
        <v>45854</v>
      </c>
      <c r="G17" s="23">
        <v>1600001733</v>
      </c>
      <c r="H17" s="24" t="s">
        <v>37</v>
      </c>
      <c r="I17" s="25">
        <v>45854</v>
      </c>
      <c r="J17" s="25">
        <v>45854</v>
      </c>
      <c r="K17" s="24" t="s">
        <v>38</v>
      </c>
      <c r="L17" s="26">
        <v>256779421365</v>
      </c>
      <c r="M17" s="23">
        <v>212100</v>
      </c>
      <c r="N17" s="24" t="s">
        <v>39</v>
      </c>
      <c r="O17" s="24" t="s">
        <v>40</v>
      </c>
      <c r="P17" s="23">
        <v>11</v>
      </c>
      <c r="Q17" s="24" t="s">
        <v>42</v>
      </c>
      <c r="R17" s="27">
        <v>-375</v>
      </c>
      <c r="S17" s="24" t="s">
        <v>43</v>
      </c>
      <c r="T17" s="27">
        <v>-32509.22</v>
      </c>
      <c r="U17" s="24" t="s">
        <v>44</v>
      </c>
      <c r="V17" s="23">
        <v>6779224500</v>
      </c>
      <c r="W17" s="24" t="s">
        <v>40</v>
      </c>
      <c r="X17" s="24" t="s">
        <v>38</v>
      </c>
      <c r="Y17" s="23">
        <v>1</v>
      </c>
      <c r="Z17" s="43" cm="1">
        <f t="array" ref="Z17:AA17">_xlfn.XLOOKUP(L17,'Customer Ledger'!$O:$O,'Customer Ledger'!$P:$Q,,0)</f>
        <v>31723</v>
      </c>
      <c r="AA17" s="43">
        <v>0</v>
      </c>
      <c r="AB17" s="43">
        <f t="shared" si="0"/>
        <v>-31723</v>
      </c>
      <c r="AC17" s="43">
        <f t="shared" si="1"/>
        <v>-786.22000000000116</v>
      </c>
      <c r="AD17" s="51">
        <f t="shared" si="2"/>
        <v>2.4184523652059357E-2</v>
      </c>
      <c r="AE17" s="24" t="s">
        <v>62</v>
      </c>
      <c r="AF17" s="24" t="s">
        <v>40</v>
      </c>
      <c r="AG17" s="24" t="s">
        <v>40</v>
      </c>
      <c r="AH17" s="24" t="s">
        <v>40</v>
      </c>
      <c r="AI17" s="25">
        <v>45854</v>
      </c>
      <c r="AJ17" s="25">
        <v>45976</v>
      </c>
      <c r="AK17" s="23">
        <v>1400001901</v>
      </c>
    </row>
    <row r="18" spans="1:37" x14ac:dyDescent="0.35">
      <c r="A18" s="3" t="s">
        <v>32</v>
      </c>
      <c r="B18" s="3" t="s">
        <v>33</v>
      </c>
      <c r="C18" s="3" t="s">
        <v>34</v>
      </c>
      <c r="D18" s="3" t="s">
        <v>35</v>
      </c>
      <c r="E18" s="3" t="s">
        <v>36</v>
      </c>
      <c r="F18" s="4">
        <v>45854</v>
      </c>
      <c r="G18" s="23">
        <v>1600001735</v>
      </c>
      <c r="H18" s="24" t="s">
        <v>37</v>
      </c>
      <c r="I18" s="25">
        <v>45854</v>
      </c>
      <c r="J18" s="25">
        <v>45854</v>
      </c>
      <c r="K18" s="24" t="s">
        <v>38</v>
      </c>
      <c r="L18" s="26">
        <v>256779421367</v>
      </c>
      <c r="M18" s="23">
        <v>212100</v>
      </c>
      <c r="N18" s="24" t="s">
        <v>39</v>
      </c>
      <c r="O18" s="24" t="s">
        <v>40</v>
      </c>
      <c r="P18" s="23">
        <v>11</v>
      </c>
      <c r="Q18" s="24" t="s">
        <v>42</v>
      </c>
      <c r="R18" s="27">
        <v>-1314.12</v>
      </c>
      <c r="S18" s="24" t="s">
        <v>43</v>
      </c>
      <c r="T18" s="42">
        <v>-114225.7</v>
      </c>
      <c r="U18" s="24" t="s">
        <v>44</v>
      </c>
      <c r="V18" s="23">
        <v>6779224500</v>
      </c>
      <c r="W18" s="24" t="s">
        <v>40</v>
      </c>
      <c r="X18" s="24" t="s">
        <v>38</v>
      </c>
      <c r="Y18" s="23">
        <v>1</v>
      </c>
      <c r="Z18" s="43" cm="1">
        <f t="array" ref="Z18:AA18">_xlfn.XLOOKUP(L18,'Customer Ledger'!$O:$O,'Customer Ledger'!$P:$Q,,0)</f>
        <v>114223</v>
      </c>
      <c r="AA18" s="43">
        <v>0</v>
      </c>
      <c r="AB18" s="43">
        <f t="shared" si="0"/>
        <v>-114223</v>
      </c>
      <c r="AC18" s="43">
        <f t="shared" si="1"/>
        <v>-2.6999999999970896</v>
      </c>
      <c r="AD18" s="51">
        <f t="shared" si="2"/>
        <v>2.3637412596264148E-5</v>
      </c>
      <c r="AE18" s="24" t="s">
        <v>63</v>
      </c>
      <c r="AF18" s="24" t="s">
        <v>40</v>
      </c>
      <c r="AG18" s="24" t="s">
        <v>40</v>
      </c>
      <c r="AH18" s="24" t="s">
        <v>40</v>
      </c>
      <c r="AI18" s="25">
        <v>45854</v>
      </c>
      <c r="AJ18" s="25">
        <v>45976</v>
      </c>
      <c r="AK18" s="23">
        <v>1400001901</v>
      </c>
    </row>
    <row r="19" spans="1:37" x14ac:dyDescent="0.35">
      <c r="A19" s="3" t="s">
        <v>32</v>
      </c>
      <c r="B19" s="3" t="s">
        <v>33</v>
      </c>
      <c r="C19" s="3" t="s">
        <v>34</v>
      </c>
      <c r="D19" s="3" t="s">
        <v>35</v>
      </c>
      <c r="E19" s="3" t="s">
        <v>36</v>
      </c>
      <c r="F19" s="4">
        <v>45854</v>
      </c>
      <c r="G19" s="23">
        <v>1600001736</v>
      </c>
      <c r="H19" s="24" t="s">
        <v>37</v>
      </c>
      <c r="I19" s="25">
        <v>45854</v>
      </c>
      <c r="J19" s="25">
        <v>45854</v>
      </c>
      <c r="K19" s="24" t="s">
        <v>38</v>
      </c>
      <c r="L19" s="26">
        <v>256779421368</v>
      </c>
      <c r="M19" s="23">
        <v>212100</v>
      </c>
      <c r="N19" s="24" t="s">
        <v>39</v>
      </c>
      <c r="O19" s="24" t="s">
        <v>40</v>
      </c>
      <c r="P19" s="23">
        <v>11</v>
      </c>
      <c r="Q19" s="24" t="s">
        <v>42</v>
      </c>
      <c r="R19" s="27">
        <v>-705</v>
      </c>
      <c r="S19" s="24" t="s">
        <v>43</v>
      </c>
      <c r="T19" s="27">
        <v>-61279.88</v>
      </c>
      <c r="U19" s="24" t="s">
        <v>44</v>
      </c>
      <c r="V19" s="23">
        <v>6779224500</v>
      </c>
      <c r="W19" s="24" t="s">
        <v>40</v>
      </c>
      <c r="X19" s="24" t="s">
        <v>38</v>
      </c>
      <c r="Y19" s="23">
        <v>1</v>
      </c>
      <c r="Z19" s="43" cm="1">
        <f t="array" ref="Z19:AA19">_xlfn.XLOOKUP(L19,'Customer Ledger'!$O:$O,'Customer Ledger'!$P:$Q,,0)</f>
        <v>55272</v>
      </c>
      <c r="AA19" s="43">
        <v>0</v>
      </c>
      <c r="AB19" s="43">
        <f t="shared" si="0"/>
        <v>-55272</v>
      </c>
      <c r="AC19" s="43">
        <f t="shared" si="1"/>
        <v>-6007.8799999999974</v>
      </c>
      <c r="AD19" s="51">
        <f t="shared" si="2"/>
        <v>9.8040009216728188E-2</v>
      </c>
      <c r="AE19" s="24" t="s">
        <v>64</v>
      </c>
      <c r="AF19" s="24" t="s">
        <v>40</v>
      </c>
      <c r="AG19" s="24" t="s">
        <v>40</v>
      </c>
      <c r="AH19" s="24" t="s">
        <v>40</v>
      </c>
      <c r="AI19" s="25">
        <v>45854</v>
      </c>
      <c r="AJ19" s="25">
        <v>45976</v>
      </c>
      <c r="AK19" s="23">
        <v>1400001901</v>
      </c>
    </row>
    <row r="20" spans="1:37" x14ac:dyDescent="0.35">
      <c r="A20" s="3" t="s">
        <v>32</v>
      </c>
      <c r="B20" s="3" t="s">
        <v>33</v>
      </c>
      <c r="C20" s="3" t="s">
        <v>34</v>
      </c>
      <c r="D20" s="3" t="s">
        <v>35</v>
      </c>
      <c r="E20" s="3" t="s">
        <v>36</v>
      </c>
      <c r="F20" s="4">
        <v>45854</v>
      </c>
      <c r="G20" s="23">
        <v>1600001737</v>
      </c>
      <c r="H20" s="24" t="s">
        <v>37</v>
      </c>
      <c r="I20" s="25">
        <v>45854</v>
      </c>
      <c r="J20" s="25">
        <v>45854</v>
      </c>
      <c r="K20" s="24" t="s">
        <v>38</v>
      </c>
      <c r="L20" s="26">
        <v>256779421369</v>
      </c>
      <c r="M20" s="23">
        <v>212100</v>
      </c>
      <c r="N20" s="24" t="s">
        <v>39</v>
      </c>
      <c r="O20" s="24" t="s">
        <v>40</v>
      </c>
      <c r="P20" s="23">
        <v>11</v>
      </c>
      <c r="Q20" s="24" t="s">
        <v>42</v>
      </c>
      <c r="R20" s="27">
        <v>-1793.99</v>
      </c>
      <c r="S20" s="24" t="s">
        <v>43</v>
      </c>
      <c r="T20" s="27">
        <v>-155936.88</v>
      </c>
      <c r="U20" s="24" t="s">
        <v>44</v>
      </c>
      <c r="V20" s="23">
        <v>6779224500</v>
      </c>
      <c r="W20" s="24" t="s">
        <v>40</v>
      </c>
      <c r="X20" s="24" t="s">
        <v>38</v>
      </c>
      <c r="Y20" s="23">
        <v>1</v>
      </c>
      <c r="Z20" s="43" cm="1">
        <f t="array" ref="Z20:AA20">_xlfn.XLOOKUP(L20,'Customer Ledger'!$O:$O,'Customer Ledger'!$P:$Q,,0)</f>
        <v>140649</v>
      </c>
      <c r="AA20" s="43">
        <v>0</v>
      </c>
      <c r="AB20" s="43">
        <f t="shared" si="0"/>
        <v>-140649</v>
      </c>
      <c r="AC20" s="43">
        <f t="shared" si="1"/>
        <v>-15287.880000000005</v>
      </c>
      <c r="AD20" s="51">
        <f t="shared" si="2"/>
        <v>9.8038898815982489E-2</v>
      </c>
      <c r="AE20" s="24" t="s">
        <v>65</v>
      </c>
      <c r="AF20" s="24" t="s">
        <v>40</v>
      </c>
      <c r="AG20" s="24" t="s">
        <v>40</v>
      </c>
      <c r="AH20" s="24" t="s">
        <v>40</v>
      </c>
      <c r="AI20" s="25">
        <v>45854</v>
      </c>
      <c r="AJ20" s="25">
        <v>45976</v>
      </c>
      <c r="AK20" s="23">
        <v>1400001901</v>
      </c>
    </row>
    <row r="21" spans="1:37" x14ac:dyDescent="0.35">
      <c r="A21" s="3" t="s">
        <v>32</v>
      </c>
      <c r="B21" s="3" t="s">
        <v>33</v>
      </c>
      <c r="C21" s="3" t="s">
        <v>34</v>
      </c>
      <c r="D21" s="3" t="s">
        <v>35</v>
      </c>
      <c r="E21" s="3" t="s">
        <v>36</v>
      </c>
      <c r="F21" s="4">
        <v>45854</v>
      </c>
      <c r="G21" s="23">
        <v>1600001738</v>
      </c>
      <c r="H21" s="24" t="s">
        <v>37</v>
      </c>
      <c r="I21" s="25">
        <v>45854</v>
      </c>
      <c r="J21" s="25">
        <v>45854</v>
      </c>
      <c r="K21" s="24" t="s">
        <v>38</v>
      </c>
      <c r="L21" s="26">
        <v>256779421370</v>
      </c>
      <c r="M21" s="23">
        <v>212100</v>
      </c>
      <c r="N21" s="24" t="s">
        <v>39</v>
      </c>
      <c r="O21" s="24" t="s">
        <v>40</v>
      </c>
      <c r="P21" s="23">
        <v>11</v>
      </c>
      <c r="Q21" s="24" t="s">
        <v>42</v>
      </c>
      <c r="R21" s="27">
        <v>-140</v>
      </c>
      <c r="S21" s="24" t="s">
        <v>43</v>
      </c>
      <c r="T21" s="42">
        <v>-12169.05</v>
      </c>
      <c r="U21" s="24" t="s">
        <v>44</v>
      </c>
      <c r="V21" s="23">
        <v>6779224500</v>
      </c>
      <c r="W21" s="24" t="s">
        <v>40</v>
      </c>
      <c r="X21" s="24" t="s">
        <v>38</v>
      </c>
      <c r="Y21" s="23">
        <v>1</v>
      </c>
      <c r="Z21" s="43" cm="1">
        <f t="array" ref="Z21:AA21">_xlfn.XLOOKUP(L21,'Customer Ledger'!$O:$O,'Customer Ledger'!$P:$Q,,0)</f>
        <v>12169</v>
      </c>
      <c r="AA21" s="43">
        <v>0</v>
      </c>
      <c r="AB21" s="43">
        <f t="shared" si="0"/>
        <v>-12169</v>
      </c>
      <c r="AC21" s="43">
        <f t="shared" si="1"/>
        <v>-4.9999999999272404E-2</v>
      </c>
      <c r="AD21" s="51">
        <f t="shared" si="2"/>
        <v>4.1087841696165604E-6</v>
      </c>
      <c r="AE21" s="24" t="s">
        <v>66</v>
      </c>
      <c r="AF21" s="24" t="s">
        <v>40</v>
      </c>
      <c r="AG21" s="24" t="s">
        <v>40</v>
      </c>
      <c r="AH21" s="24" t="s">
        <v>40</v>
      </c>
      <c r="AI21" s="25">
        <v>45854</v>
      </c>
      <c r="AJ21" s="25">
        <v>45976</v>
      </c>
      <c r="AK21" s="23">
        <v>1400001901</v>
      </c>
    </row>
    <row r="22" spans="1:37" x14ac:dyDescent="0.35">
      <c r="A22" s="3" t="s">
        <v>32</v>
      </c>
      <c r="B22" s="3" t="s">
        <v>33</v>
      </c>
      <c r="C22" s="3" t="s">
        <v>34</v>
      </c>
      <c r="D22" s="3" t="s">
        <v>35</v>
      </c>
      <c r="E22" s="3" t="s">
        <v>36</v>
      </c>
      <c r="F22" s="4">
        <v>45854</v>
      </c>
      <c r="G22" s="23">
        <v>1600001740</v>
      </c>
      <c r="H22" s="24" t="s">
        <v>37</v>
      </c>
      <c r="I22" s="25">
        <v>45854</v>
      </c>
      <c r="J22" s="25">
        <v>45854</v>
      </c>
      <c r="K22" s="24" t="s">
        <v>38</v>
      </c>
      <c r="L22" s="26">
        <v>256779421372</v>
      </c>
      <c r="M22" s="23">
        <v>212100</v>
      </c>
      <c r="N22" s="24" t="s">
        <v>39</v>
      </c>
      <c r="O22" s="24" t="s">
        <v>40</v>
      </c>
      <c r="P22" s="23">
        <v>11</v>
      </c>
      <c r="Q22" s="24" t="s">
        <v>42</v>
      </c>
      <c r="R22" s="27">
        <v>-385</v>
      </c>
      <c r="S22" s="24" t="s">
        <v>43</v>
      </c>
      <c r="T22" s="27">
        <v>-33376.14</v>
      </c>
      <c r="U22" s="24" t="s">
        <v>44</v>
      </c>
      <c r="V22" s="23">
        <v>6779224500</v>
      </c>
      <c r="W22" s="24" t="s">
        <v>40</v>
      </c>
      <c r="X22" s="24" t="s">
        <v>38</v>
      </c>
      <c r="Y22" s="23">
        <v>1</v>
      </c>
      <c r="Z22" s="43" cm="1">
        <f t="array" ref="Z22:AA22">_xlfn.XLOOKUP(L22,'Customer Ledger'!$O:$O,'Customer Ledger'!$P:$Q,,0)</f>
        <v>33376</v>
      </c>
      <c r="AA22" s="43">
        <v>0</v>
      </c>
      <c r="AB22" s="43">
        <f t="shared" si="0"/>
        <v>-33376</v>
      </c>
      <c r="AC22" s="43">
        <f t="shared" si="1"/>
        <v>-0.13999999999941792</v>
      </c>
      <c r="AD22" s="51">
        <f t="shared" si="2"/>
        <v>4.1946132776114293E-6</v>
      </c>
      <c r="AE22" s="24" t="s">
        <v>67</v>
      </c>
      <c r="AF22" s="24" t="s">
        <v>40</v>
      </c>
      <c r="AG22" s="24" t="s">
        <v>40</v>
      </c>
      <c r="AH22" s="24" t="s">
        <v>40</v>
      </c>
      <c r="AI22" s="25">
        <v>45854</v>
      </c>
      <c r="AJ22" s="25">
        <v>45976</v>
      </c>
      <c r="AK22" s="23">
        <v>1400001901</v>
      </c>
    </row>
    <row r="23" spans="1:37" x14ac:dyDescent="0.35">
      <c r="A23" s="3" t="s">
        <v>32</v>
      </c>
      <c r="B23" s="3" t="s">
        <v>33</v>
      </c>
      <c r="C23" s="3" t="s">
        <v>34</v>
      </c>
      <c r="D23" s="3" t="s">
        <v>35</v>
      </c>
      <c r="E23" s="3" t="s">
        <v>36</v>
      </c>
      <c r="F23" s="4">
        <v>45854</v>
      </c>
      <c r="G23" s="23">
        <v>1600001741</v>
      </c>
      <c r="H23" s="24" t="s">
        <v>37</v>
      </c>
      <c r="I23" s="25">
        <v>45854</v>
      </c>
      <c r="J23" s="25">
        <v>45854</v>
      </c>
      <c r="K23" s="24" t="s">
        <v>38</v>
      </c>
      <c r="L23" s="26">
        <v>256779421373</v>
      </c>
      <c r="M23" s="23">
        <v>212100</v>
      </c>
      <c r="N23" s="24" t="s">
        <v>39</v>
      </c>
      <c r="O23" s="24" t="s">
        <v>40</v>
      </c>
      <c r="P23" s="23">
        <v>11</v>
      </c>
      <c r="Q23" s="24" t="s">
        <v>42</v>
      </c>
      <c r="R23" s="27">
        <v>-105</v>
      </c>
      <c r="S23" s="24" t="s">
        <v>43</v>
      </c>
      <c r="T23" s="42">
        <v>-9102.58</v>
      </c>
      <c r="U23" s="24" t="s">
        <v>44</v>
      </c>
      <c r="V23" s="23">
        <v>6779224500</v>
      </c>
      <c r="W23" s="24" t="s">
        <v>40</v>
      </c>
      <c r="X23" s="24" t="s">
        <v>38</v>
      </c>
      <c r="Y23" s="23">
        <v>1</v>
      </c>
      <c r="Z23" s="43" cm="1">
        <f t="array" ref="Z23:AA23">_xlfn.XLOOKUP(L23,'Customer Ledger'!$O:$O,'Customer Ledger'!$P:$Q,,0)</f>
        <v>8696</v>
      </c>
      <c r="AA23" s="43">
        <v>173</v>
      </c>
      <c r="AB23" s="43">
        <f t="shared" si="0"/>
        <v>-8523</v>
      </c>
      <c r="AC23" s="43">
        <f t="shared" si="1"/>
        <v>-579.57999999999993</v>
      </c>
      <c r="AD23" s="51">
        <f t="shared" si="2"/>
        <v>6.3672057812180716E-2</v>
      </c>
      <c r="AE23" s="24" t="s">
        <v>68</v>
      </c>
      <c r="AF23" s="24" t="s">
        <v>40</v>
      </c>
      <c r="AG23" s="24" t="s">
        <v>40</v>
      </c>
      <c r="AH23" s="24" t="s">
        <v>40</v>
      </c>
      <c r="AI23" s="25">
        <v>45854</v>
      </c>
      <c r="AJ23" s="25">
        <v>45976</v>
      </c>
      <c r="AK23" s="23">
        <v>1400001901</v>
      </c>
    </row>
    <row r="24" spans="1:37" x14ac:dyDescent="0.35">
      <c r="A24" s="3" t="s">
        <v>32</v>
      </c>
      <c r="B24" s="3" t="s">
        <v>33</v>
      </c>
      <c r="C24" s="3" t="s">
        <v>34</v>
      </c>
      <c r="D24" s="3" t="s">
        <v>35</v>
      </c>
      <c r="E24" s="3" t="s">
        <v>36</v>
      </c>
      <c r="F24" s="4">
        <v>45854</v>
      </c>
      <c r="G24" s="23">
        <v>1600001742</v>
      </c>
      <c r="H24" s="24" t="s">
        <v>37</v>
      </c>
      <c r="I24" s="25">
        <v>45854</v>
      </c>
      <c r="J24" s="25">
        <v>45854</v>
      </c>
      <c r="K24" s="24" t="s">
        <v>38</v>
      </c>
      <c r="L24" s="26">
        <v>256779421374</v>
      </c>
      <c r="M24" s="23">
        <v>212100</v>
      </c>
      <c r="N24" s="24" t="s">
        <v>39</v>
      </c>
      <c r="O24" s="24" t="s">
        <v>40</v>
      </c>
      <c r="P24" s="23">
        <v>11</v>
      </c>
      <c r="Q24" s="24" t="s">
        <v>42</v>
      </c>
      <c r="R24" s="27">
        <v>-245</v>
      </c>
      <c r="S24" s="24" t="s">
        <v>43</v>
      </c>
      <c r="T24" s="27">
        <v>-21239.360000000001</v>
      </c>
      <c r="U24" s="24" t="s">
        <v>44</v>
      </c>
      <c r="V24" s="23">
        <v>6779224500</v>
      </c>
      <c r="W24" s="24" t="s">
        <v>40</v>
      </c>
      <c r="X24" s="24" t="s">
        <v>38</v>
      </c>
      <c r="Y24" s="23">
        <v>1</v>
      </c>
      <c r="Z24" s="43" cm="1">
        <f t="array" ref="Z24:AA24">_xlfn.XLOOKUP(L24,'Customer Ledger'!$O:$O,'Customer Ledger'!$P:$Q,,0)</f>
        <v>20874</v>
      </c>
      <c r="AA24" s="43">
        <v>0</v>
      </c>
      <c r="AB24" s="43">
        <f t="shared" si="0"/>
        <v>-20874</v>
      </c>
      <c r="AC24" s="43">
        <f t="shared" si="1"/>
        <v>-365.36000000000058</v>
      </c>
      <c r="AD24" s="51">
        <f t="shared" si="2"/>
        <v>1.720202491977162E-2</v>
      </c>
      <c r="AE24" s="24" t="s">
        <v>69</v>
      </c>
      <c r="AF24" s="24" t="s">
        <v>40</v>
      </c>
      <c r="AG24" s="24" t="s">
        <v>40</v>
      </c>
      <c r="AH24" s="24" t="s">
        <v>40</v>
      </c>
      <c r="AI24" s="25">
        <v>45854</v>
      </c>
      <c r="AJ24" s="25">
        <v>45976</v>
      </c>
      <c r="AK24" s="23">
        <v>1400001901</v>
      </c>
    </row>
    <row r="25" spans="1:37" x14ac:dyDescent="0.35">
      <c r="A25" s="3" t="s">
        <v>32</v>
      </c>
      <c r="B25" s="3" t="s">
        <v>33</v>
      </c>
      <c r="C25" s="3" t="s">
        <v>34</v>
      </c>
      <c r="D25" s="3" t="s">
        <v>35</v>
      </c>
      <c r="E25" s="3" t="s">
        <v>36</v>
      </c>
      <c r="F25" s="4">
        <v>45854</v>
      </c>
      <c r="G25" s="23">
        <v>1600001743</v>
      </c>
      <c r="H25" s="24" t="s">
        <v>37</v>
      </c>
      <c r="I25" s="25">
        <v>45854</v>
      </c>
      <c r="J25" s="25">
        <v>45854</v>
      </c>
      <c r="K25" s="24" t="s">
        <v>38</v>
      </c>
      <c r="L25" s="26">
        <v>256779421375</v>
      </c>
      <c r="M25" s="23">
        <v>212100</v>
      </c>
      <c r="N25" s="24" t="s">
        <v>39</v>
      </c>
      <c r="O25" s="24" t="s">
        <v>40</v>
      </c>
      <c r="P25" s="23">
        <v>11</v>
      </c>
      <c r="Q25" s="24" t="s">
        <v>42</v>
      </c>
      <c r="R25" s="27">
        <v>-220</v>
      </c>
      <c r="S25" s="24" t="s">
        <v>43</v>
      </c>
      <c r="T25" s="27">
        <v>-19072.080000000002</v>
      </c>
      <c r="U25" s="24" t="s">
        <v>44</v>
      </c>
      <c r="V25" s="23">
        <v>6779224500</v>
      </c>
      <c r="W25" s="24" t="s">
        <v>40</v>
      </c>
      <c r="X25" s="24" t="s">
        <v>38</v>
      </c>
      <c r="Y25" s="23">
        <v>1</v>
      </c>
      <c r="Z25" s="43" cm="1">
        <f t="array" ref="Z25:AA25">_xlfn.XLOOKUP(L25,'Customer Ledger'!$O:$O,'Customer Ledger'!$P:$Q,,0)</f>
        <v>17857</v>
      </c>
      <c r="AA25" s="43">
        <v>0</v>
      </c>
      <c r="AB25" s="43">
        <f t="shared" si="0"/>
        <v>-17857</v>
      </c>
      <c r="AC25" s="43">
        <f t="shared" si="1"/>
        <v>-1215.0800000000017</v>
      </c>
      <c r="AD25" s="51">
        <f t="shared" si="2"/>
        <v>6.3709883767266162E-2</v>
      </c>
      <c r="AE25" s="24" t="s">
        <v>70</v>
      </c>
      <c r="AF25" s="24" t="s">
        <v>40</v>
      </c>
      <c r="AG25" s="24" t="s">
        <v>40</v>
      </c>
      <c r="AH25" s="24" t="s">
        <v>40</v>
      </c>
      <c r="AI25" s="25">
        <v>45854</v>
      </c>
      <c r="AJ25" s="25">
        <v>45976</v>
      </c>
      <c r="AK25" s="23">
        <v>1400001901</v>
      </c>
    </row>
    <row r="26" spans="1:37" x14ac:dyDescent="0.35">
      <c r="A26" s="3" t="s">
        <v>32</v>
      </c>
      <c r="B26" s="3" t="s">
        <v>33</v>
      </c>
      <c r="C26" s="3" t="s">
        <v>34</v>
      </c>
      <c r="D26" s="3" t="s">
        <v>35</v>
      </c>
      <c r="E26" s="3" t="s">
        <v>36</v>
      </c>
      <c r="F26" s="4">
        <v>45854</v>
      </c>
      <c r="G26" s="23">
        <v>1600001744</v>
      </c>
      <c r="H26" s="24" t="s">
        <v>37</v>
      </c>
      <c r="I26" s="25">
        <v>45854</v>
      </c>
      <c r="J26" s="25">
        <v>45854</v>
      </c>
      <c r="K26" s="24" t="s">
        <v>38</v>
      </c>
      <c r="L26" s="26">
        <v>256779421376</v>
      </c>
      <c r="M26" s="23">
        <v>212100</v>
      </c>
      <c r="N26" s="24" t="s">
        <v>39</v>
      </c>
      <c r="O26" s="24" t="s">
        <v>40</v>
      </c>
      <c r="P26" s="23">
        <v>11</v>
      </c>
      <c r="Q26" s="24" t="s">
        <v>42</v>
      </c>
      <c r="R26" s="27">
        <v>-70</v>
      </c>
      <c r="S26" s="24" t="s">
        <v>43</v>
      </c>
      <c r="T26" s="42">
        <v>-6084.53</v>
      </c>
      <c r="U26" s="24" t="s">
        <v>44</v>
      </c>
      <c r="V26" s="23">
        <v>6779224500</v>
      </c>
      <c r="W26" s="24" t="s">
        <v>40</v>
      </c>
      <c r="X26" s="24" t="s">
        <v>38</v>
      </c>
      <c r="Y26" s="23">
        <v>1</v>
      </c>
      <c r="Z26" s="43" cm="1">
        <f t="array" ref="Z26:AA26">_xlfn.XLOOKUP(L26,'Customer Ledger'!$O:$O,'Customer Ledger'!$P:$Q,,0)</f>
        <v>6084</v>
      </c>
      <c r="AA26" s="43">
        <v>0</v>
      </c>
      <c r="AB26" s="43">
        <f t="shared" si="0"/>
        <v>-6084</v>
      </c>
      <c r="AC26" s="43">
        <f t="shared" si="1"/>
        <v>-0.52999999999974534</v>
      </c>
      <c r="AD26" s="51">
        <f t="shared" si="2"/>
        <v>8.7106152817020434E-5</v>
      </c>
      <c r="AE26" s="24" t="s">
        <v>71</v>
      </c>
      <c r="AF26" s="24" t="s">
        <v>40</v>
      </c>
      <c r="AG26" s="24" t="s">
        <v>40</v>
      </c>
      <c r="AH26" s="24" t="s">
        <v>40</v>
      </c>
      <c r="AI26" s="25">
        <v>45854</v>
      </c>
      <c r="AJ26" s="25">
        <v>45976</v>
      </c>
      <c r="AK26" s="23">
        <v>1400001901</v>
      </c>
    </row>
    <row r="27" spans="1:37" x14ac:dyDescent="0.35">
      <c r="A27" s="3" t="s">
        <v>32</v>
      </c>
      <c r="B27" s="3" t="s">
        <v>33</v>
      </c>
      <c r="C27" s="3" t="s">
        <v>34</v>
      </c>
      <c r="D27" s="3" t="s">
        <v>35</v>
      </c>
      <c r="E27" s="3" t="s">
        <v>36</v>
      </c>
      <c r="F27" s="4">
        <v>45854</v>
      </c>
      <c r="G27" s="23">
        <v>1600001745</v>
      </c>
      <c r="H27" s="24" t="s">
        <v>37</v>
      </c>
      <c r="I27" s="25">
        <v>45854</v>
      </c>
      <c r="J27" s="25">
        <v>45854</v>
      </c>
      <c r="K27" s="24" t="s">
        <v>38</v>
      </c>
      <c r="L27" s="26">
        <v>256779421377</v>
      </c>
      <c r="M27" s="23">
        <v>212100</v>
      </c>
      <c r="N27" s="24" t="s">
        <v>39</v>
      </c>
      <c r="O27" s="24" t="s">
        <v>40</v>
      </c>
      <c r="P27" s="23">
        <v>11</v>
      </c>
      <c r="Q27" s="24" t="s">
        <v>42</v>
      </c>
      <c r="R27" s="27">
        <v>-140</v>
      </c>
      <c r="S27" s="24" t="s">
        <v>43</v>
      </c>
      <c r="T27" s="27">
        <v>-12037.72</v>
      </c>
      <c r="U27" s="24" t="s">
        <v>44</v>
      </c>
      <c r="V27" s="23">
        <v>6779224500</v>
      </c>
      <c r="W27" s="24" t="s">
        <v>40</v>
      </c>
      <c r="X27" s="24" t="s">
        <v>38</v>
      </c>
      <c r="Y27" s="23">
        <v>1</v>
      </c>
      <c r="Z27" s="43" cm="1">
        <f t="array" ref="Z27:AA27">_xlfn.XLOOKUP(L27,'Customer Ledger'!$O:$O,'Customer Ledger'!$P:$Q,,0)</f>
        <v>11798</v>
      </c>
      <c r="AA27" s="43">
        <v>0</v>
      </c>
      <c r="AB27" s="43">
        <f t="shared" si="0"/>
        <v>-11798</v>
      </c>
      <c r="AC27" s="43">
        <f t="shared" si="1"/>
        <v>-239.71999999999935</v>
      </c>
      <c r="AD27" s="51">
        <f t="shared" si="2"/>
        <v>1.9914070106299146E-2</v>
      </c>
      <c r="AE27" s="24" t="s">
        <v>72</v>
      </c>
      <c r="AF27" s="24" t="s">
        <v>40</v>
      </c>
      <c r="AG27" s="24" t="s">
        <v>40</v>
      </c>
      <c r="AH27" s="24" t="s">
        <v>40</v>
      </c>
      <c r="AI27" s="25">
        <v>45854</v>
      </c>
      <c r="AJ27" s="25">
        <v>45976</v>
      </c>
      <c r="AK27" s="23">
        <v>1400001901</v>
      </c>
    </row>
    <row r="28" spans="1:37" x14ac:dyDescent="0.35">
      <c r="A28" s="3" t="s">
        <v>32</v>
      </c>
      <c r="B28" s="3" t="s">
        <v>33</v>
      </c>
      <c r="C28" s="3" t="s">
        <v>34</v>
      </c>
      <c r="D28" s="3" t="s">
        <v>35</v>
      </c>
      <c r="E28" s="3" t="s">
        <v>36</v>
      </c>
      <c r="F28" s="4">
        <v>45854</v>
      </c>
      <c r="G28" s="23">
        <v>1600001746</v>
      </c>
      <c r="H28" s="24" t="s">
        <v>37</v>
      </c>
      <c r="I28" s="25">
        <v>45854</v>
      </c>
      <c r="J28" s="25">
        <v>45854</v>
      </c>
      <c r="K28" s="24" t="s">
        <v>38</v>
      </c>
      <c r="L28" s="26">
        <v>256779421378</v>
      </c>
      <c r="M28" s="23">
        <v>212100</v>
      </c>
      <c r="N28" s="24" t="s">
        <v>39</v>
      </c>
      <c r="O28" s="24" t="s">
        <v>40</v>
      </c>
      <c r="P28" s="23">
        <v>11</v>
      </c>
      <c r="Q28" s="24" t="s">
        <v>42</v>
      </c>
      <c r="R28" s="27">
        <v>-140</v>
      </c>
      <c r="S28" s="24" t="s">
        <v>43</v>
      </c>
      <c r="T28" s="27">
        <v>-12037.72</v>
      </c>
      <c r="U28" s="24" t="s">
        <v>44</v>
      </c>
      <c r="V28" s="23">
        <v>6779224500</v>
      </c>
      <c r="W28" s="24" t="s">
        <v>40</v>
      </c>
      <c r="X28" s="24" t="s">
        <v>38</v>
      </c>
      <c r="Y28" s="23">
        <v>1</v>
      </c>
      <c r="Z28" s="43" t="e" cm="1">
        <f t="array" ref="Z28">_xlfn.XLOOKUP(L28,'Customer Ledger'!$O:$O,'Customer Ledger'!$P:$Q,,0)</f>
        <v>#N/A</v>
      </c>
      <c r="AA28" s="43"/>
      <c r="AB28" s="43"/>
      <c r="AC28" s="23"/>
      <c r="AD28" s="23"/>
      <c r="AE28" s="24" t="s">
        <v>73</v>
      </c>
      <c r="AF28" s="24" t="s">
        <v>40</v>
      </c>
      <c r="AG28" s="24" t="s">
        <v>40</v>
      </c>
      <c r="AH28" s="24" t="s">
        <v>40</v>
      </c>
      <c r="AI28" s="25">
        <v>45854</v>
      </c>
      <c r="AJ28" s="25">
        <v>45976</v>
      </c>
      <c r="AK28" s="23">
        <v>1400001901</v>
      </c>
    </row>
    <row r="29" spans="1:37" x14ac:dyDescent="0.35">
      <c r="A29" s="3" t="s">
        <v>32</v>
      </c>
      <c r="B29" s="3" t="s">
        <v>33</v>
      </c>
      <c r="C29" s="3" t="s">
        <v>34</v>
      </c>
      <c r="D29" s="3" t="s">
        <v>35</v>
      </c>
      <c r="E29" s="3" t="s">
        <v>36</v>
      </c>
      <c r="F29" s="4">
        <v>45854</v>
      </c>
      <c r="G29" s="23">
        <v>1600001747</v>
      </c>
      <c r="H29" s="24" t="s">
        <v>37</v>
      </c>
      <c r="I29" s="25">
        <v>45854</v>
      </c>
      <c r="J29" s="25">
        <v>45854</v>
      </c>
      <c r="K29" s="24" t="s">
        <v>38</v>
      </c>
      <c r="L29" s="26">
        <v>256779421379</v>
      </c>
      <c r="M29" s="23">
        <v>212100</v>
      </c>
      <c r="N29" s="24" t="s">
        <v>39</v>
      </c>
      <c r="O29" s="24" t="s">
        <v>40</v>
      </c>
      <c r="P29" s="23">
        <v>11</v>
      </c>
      <c r="Q29" s="24" t="s">
        <v>42</v>
      </c>
      <c r="R29" s="27">
        <v>-190</v>
      </c>
      <c r="S29" s="24" t="s">
        <v>43</v>
      </c>
      <c r="T29" s="42">
        <v>-16243.25</v>
      </c>
      <c r="U29" s="24" t="s">
        <v>44</v>
      </c>
      <c r="V29" s="23">
        <v>6779224500</v>
      </c>
      <c r="W29" s="24" t="s">
        <v>40</v>
      </c>
      <c r="X29" s="24" t="s">
        <v>38</v>
      </c>
      <c r="Y29" s="23">
        <v>1</v>
      </c>
      <c r="Z29" s="43" cm="1">
        <f t="array" ref="Z29:AA29">_xlfn.XLOOKUP(L29,'Customer Ledger'!$O:$O,'Customer Ledger'!$P:$Q,,0)</f>
        <v>17313</v>
      </c>
      <c r="AA29" s="43">
        <v>330</v>
      </c>
      <c r="AB29" s="43">
        <f t="shared" ref="AB29:AB37" si="3">AA29-Z29</f>
        <v>-16983</v>
      </c>
      <c r="AC29" s="43">
        <f t="shared" ref="AC29:AC37" si="4">T29-AB29</f>
        <v>739.75</v>
      </c>
      <c r="AD29" s="51">
        <f t="shared" ref="AD29:AD37" si="5">AC29/T29</f>
        <v>-4.554199436689086E-2</v>
      </c>
      <c r="AE29" s="24" t="s">
        <v>74</v>
      </c>
      <c r="AF29" s="24" t="s">
        <v>40</v>
      </c>
      <c r="AG29" s="24" t="s">
        <v>40</v>
      </c>
      <c r="AH29" s="24" t="s">
        <v>40</v>
      </c>
      <c r="AI29" s="25">
        <v>45854</v>
      </c>
      <c r="AJ29" s="25">
        <v>45976</v>
      </c>
      <c r="AK29" s="23">
        <v>1400001901</v>
      </c>
    </row>
    <row r="30" spans="1:37" x14ac:dyDescent="0.35">
      <c r="A30" s="3" t="s">
        <v>32</v>
      </c>
      <c r="B30" s="3" t="s">
        <v>33</v>
      </c>
      <c r="C30" s="3" t="s">
        <v>34</v>
      </c>
      <c r="D30" s="3" t="s">
        <v>35</v>
      </c>
      <c r="E30" s="3" t="s">
        <v>36</v>
      </c>
      <c r="F30" s="4">
        <v>45854</v>
      </c>
      <c r="G30" s="23">
        <v>1600001748</v>
      </c>
      <c r="H30" s="24" t="s">
        <v>37</v>
      </c>
      <c r="I30" s="25">
        <v>45854</v>
      </c>
      <c r="J30" s="25">
        <v>45855</v>
      </c>
      <c r="K30" s="24" t="s">
        <v>38</v>
      </c>
      <c r="L30" s="26">
        <v>256779421380</v>
      </c>
      <c r="M30" s="23">
        <v>212100</v>
      </c>
      <c r="N30" s="24" t="s">
        <v>39</v>
      </c>
      <c r="O30" s="24" t="s">
        <v>40</v>
      </c>
      <c r="P30" s="23">
        <v>11</v>
      </c>
      <c r="Q30" s="24" t="s">
        <v>42</v>
      </c>
      <c r="R30" s="27">
        <v>-182.83</v>
      </c>
      <c r="S30" s="24" t="s">
        <v>43</v>
      </c>
      <c r="T30" s="27">
        <v>-15778.9</v>
      </c>
      <c r="U30" s="24" t="s">
        <v>44</v>
      </c>
      <c r="V30" s="23">
        <v>6779224500</v>
      </c>
      <c r="W30" s="24" t="s">
        <v>40</v>
      </c>
      <c r="X30" s="24" t="s">
        <v>38</v>
      </c>
      <c r="Y30" s="23">
        <v>1</v>
      </c>
      <c r="Z30" s="43" cm="1">
        <f t="array" ref="Z30:AA30">_xlfn.XLOOKUP(L30,'Customer Ledger'!$O:$O,'Customer Ledger'!$P:$Q,,0)</f>
        <v>15778</v>
      </c>
      <c r="AA30" s="43">
        <v>0</v>
      </c>
      <c r="AB30" s="43">
        <f t="shared" si="3"/>
        <v>-15778</v>
      </c>
      <c r="AC30" s="43">
        <f t="shared" si="4"/>
        <v>-0.8999999999996362</v>
      </c>
      <c r="AD30" s="51">
        <f t="shared" si="5"/>
        <v>5.7038196578952665E-5</v>
      </c>
      <c r="AE30" s="24" t="s">
        <v>75</v>
      </c>
      <c r="AF30" s="24" t="s">
        <v>40</v>
      </c>
      <c r="AG30" s="24" t="s">
        <v>40</v>
      </c>
      <c r="AH30" s="24" t="s">
        <v>40</v>
      </c>
      <c r="AI30" s="25">
        <v>45854</v>
      </c>
      <c r="AJ30" s="25">
        <v>45976</v>
      </c>
      <c r="AK30" s="23">
        <v>1400001902</v>
      </c>
    </row>
    <row r="31" spans="1:37" x14ac:dyDescent="0.35">
      <c r="A31" s="3" t="s">
        <v>32</v>
      </c>
      <c r="B31" s="3" t="s">
        <v>33</v>
      </c>
      <c r="C31" s="3" t="s">
        <v>34</v>
      </c>
      <c r="D31" s="3" t="s">
        <v>35</v>
      </c>
      <c r="E31" s="3" t="s">
        <v>36</v>
      </c>
      <c r="F31" s="4">
        <v>45854</v>
      </c>
      <c r="G31" s="23">
        <v>1600001749</v>
      </c>
      <c r="H31" s="24" t="s">
        <v>37</v>
      </c>
      <c r="I31" s="25">
        <v>45854</v>
      </c>
      <c r="J31" s="25">
        <v>45855</v>
      </c>
      <c r="K31" s="24" t="s">
        <v>38</v>
      </c>
      <c r="L31" s="26">
        <v>256779421381</v>
      </c>
      <c r="M31" s="23">
        <v>212100</v>
      </c>
      <c r="N31" s="24" t="s">
        <v>39</v>
      </c>
      <c r="O31" s="24" t="s">
        <v>40</v>
      </c>
      <c r="P31" s="23">
        <v>11</v>
      </c>
      <c r="Q31" s="24" t="s">
        <v>42</v>
      </c>
      <c r="R31" s="27">
        <v>-55.46</v>
      </c>
      <c r="S31" s="24" t="s">
        <v>43</v>
      </c>
      <c r="T31" s="42">
        <v>-4786.3999999999996</v>
      </c>
      <c r="U31" s="24" t="s">
        <v>44</v>
      </c>
      <c r="V31" s="23">
        <v>6779224500</v>
      </c>
      <c r="W31" s="24" t="s">
        <v>40</v>
      </c>
      <c r="X31" s="24" t="s">
        <v>38</v>
      </c>
      <c r="Y31" s="23">
        <v>1</v>
      </c>
      <c r="Z31" s="43" cm="1">
        <f t="array" ref="Z31:AA31">_xlfn.XLOOKUP(L31,'Customer Ledger'!$O:$O,'Customer Ledger'!$P:$Q,,0)</f>
        <v>4786</v>
      </c>
      <c r="AA31" s="43">
        <v>0</v>
      </c>
      <c r="AB31" s="43">
        <f t="shared" si="3"/>
        <v>-4786</v>
      </c>
      <c r="AC31" s="43">
        <f t="shared" si="4"/>
        <v>-0.3999999999996362</v>
      </c>
      <c r="AD31" s="51">
        <f t="shared" si="5"/>
        <v>8.3570115326683155E-5</v>
      </c>
      <c r="AE31" s="24" t="s">
        <v>76</v>
      </c>
      <c r="AF31" s="24" t="s">
        <v>40</v>
      </c>
      <c r="AG31" s="24" t="s">
        <v>40</v>
      </c>
      <c r="AH31" s="24" t="s">
        <v>40</v>
      </c>
      <c r="AI31" s="25">
        <v>45854</v>
      </c>
      <c r="AJ31" s="25">
        <v>45976</v>
      </c>
      <c r="AK31" s="23">
        <v>1400001902</v>
      </c>
    </row>
    <row r="32" spans="1:37" x14ac:dyDescent="0.35">
      <c r="A32" s="3" t="s">
        <v>32</v>
      </c>
      <c r="B32" s="3" t="s">
        <v>33</v>
      </c>
      <c r="C32" s="3" t="s">
        <v>34</v>
      </c>
      <c r="D32" s="3" t="s">
        <v>35</v>
      </c>
      <c r="E32" s="3" t="s">
        <v>36</v>
      </c>
      <c r="F32" s="4">
        <v>45854</v>
      </c>
      <c r="G32" s="23">
        <v>1600001750</v>
      </c>
      <c r="H32" s="24" t="s">
        <v>37</v>
      </c>
      <c r="I32" s="25">
        <v>45854</v>
      </c>
      <c r="J32" s="25">
        <v>45855</v>
      </c>
      <c r="K32" s="24" t="s">
        <v>38</v>
      </c>
      <c r="L32" s="26">
        <v>256779421382</v>
      </c>
      <c r="M32" s="23">
        <v>212100</v>
      </c>
      <c r="N32" s="24" t="s">
        <v>39</v>
      </c>
      <c r="O32" s="24" t="s">
        <v>40</v>
      </c>
      <c r="P32" s="23">
        <v>11</v>
      </c>
      <c r="Q32" s="24" t="s">
        <v>42</v>
      </c>
      <c r="R32" s="27">
        <v>-177.66</v>
      </c>
      <c r="S32" s="24" t="s">
        <v>43</v>
      </c>
      <c r="T32" s="27">
        <v>-15401.57</v>
      </c>
      <c r="U32" s="24" t="s">
        <v>44</v>
      </c>
      <c r="V32" s="23">
        <v>6779224500</v>
      </c>
      <c r="W32" s="24" t="s">
        <v>40</v>
      </c>
      <c r="X32" s="24" t="s">
        <v>38</v>
      </c>
      <c r="Y32" s="23">
        <v>1</v>
      </c>
      <c r="Z32" s="43" cm="1">
        <f t="array" ref="Z32:AA32">_xlfn.XLOOKUP(L32,'Customer Ledger'!$O:$O,'Customer Ledger'!$P:$Q,,0)</f>
        <v>15401</v>
      </c>
      <c r="AA32" s="43">
        <v>0</v>
      </c>
      <c r="AB32" s="43">
        <f t="shared" si="3"/>
        <v>-15401</v>
      </c>
      <c r="AC32" s="43">
        <f t="shared" si="4"/>
        <v>-0.56999999999970896</v>
      </c>
      <c r="AD32" s="51">
        <f t="shared" si="5"/>
        <v>3.7009213995697123E-5</v>
      </c>
      <c r="AE32" s="24" t="s">
        <v>77</v>
      </c>
      <c r="AF32" s="24" t="s">
        <v>40</v>
      </c>
      <c r="AG32" s="24" t="s">
        <v>40</v>
      </c>
      <c r="AH32" s="24" t="s">
        <v>40</v>
      </c>
      <c r="AI32" s="25">
        <v>45854</v>
      </c>
      <c r="AJ32" s="25">
        <v>45976</v>
      </c>
      <c r="AK32" s="23">
        <v>1400001902</v>
      </c>
    </row>
    <row r="33" spans="1:37" x14ac:dyDescent="0.35">
      <c r="A33" s="3" t="s">
        <v>32</v>
      </c>
      <c r="B33" s="3" t="s">
        <v>33</v>
      </c>
      <c r="C33" s="3" t="s">
        <v>34</v>
      </c>
      <c r="D33" s="3" t="s">
        <v>35</v>
      </c>
      <c r="E33" s="3" t="s">
        <v>36</v>
      </c>
      <c r="F33" s="4">
        <v>45854</v>
      </c>
      <c r="G33" s="23">
        <v>1600001751</v>
      </c>
      <c r="H33" s="24" t="s">
        <v>37</v>
      </c>
      <c r="I33" s="25">
        <v>45854</v>
      </c>
      <c r="J33" s="25">
        <v>45855</v>
      </c>
      <c r="K33" s="24" t="s">
        <v>38</v>
      </c>
      <c r="L33" s="26">
        <v>256779421383</v>
      </c>
      <c r="M33" s="23">
        <v>212100</v>
      </c>
      <c r="N33" s="24" t="s">
        <v>39</v>
      </c>
      <c r="O33" s="24" t="s">
        <v>40</v>
      </c>
      <c r="P33" s="23">
        <v>11</v>
      </c>
      <c r="Q33" s="24" t="s">
        <v>42</v>
      </c>
      <c r="R33" s="27">
        <v>-143.81</v>
      </c>
      <c r="S33" s="24" t="s">
        <v>43</v>
      </c>
      <c r="T33" s="42">
        <v>-12467.07</v>
      </c>
      <c r="U33" s="24" t="s">
        <v>44</v>
      </c>
      <c r="V33" s="23">
        <v>6779224500</v>
      </c>
      <c r="W33" s="24" t="s">
        <v>40</v>
      </c>
      <c r="X33" s="24" t="s">
        <v>38</v>
      </c>
      <c r="Y33" s="23">
        <v>1</v>
      </c>
      <c r="Z33" s="43" cm="1">
        <f t="array" ref="Z33:AA33">_xlfn.XLOOKUP(L33,'Customer Ledger'!$O:$O,'Customer Ledger'!$P:$Q,,0)</f>
        <v>12467</v>
      </c>
      <c r="AA33" s="43">
        <v>0</v>
      </c>
      <c r="AB33" s="43">
        <f t="shared" si="3"/>
        <v>-12467</v>
      </c>
      <c r="AC33" s="43">
        <f t="shared" si="4"/>
        <v>-6.9999999999708962E-2</v>
      </c>
      <c r="AD33" s="51">
        <f t="shared" si="5"/>
        <v>5.6147916069861618E-6</v>
      </c>
      <c r="AE33" s="24" t="s">
        <v>78</v>
      </c>
      <c r="AF33" s="24" t="s">
        <v>40</v>
      </c>
      <c r="AG33" s="24" t="s">
        <v>40</v>
      </c>
      <c r="AH33" s="24" t="s">
        <v>40</v>
      </c>
      <c r="AI33" s="25">
        <v>45854</v>
      </c>
      <c r="AJ33" s="25">
        <v>45976</v>
      </c>
      <c r="AK33" s="23">
        <v>1400001902</v>
      </c>
    </row>
    <row r="34" spans="1:37" x14ac:dyDescent="0.35">
      <c r="A34" s="3" t="s">
        <v>32</v>
      </c>
      <c r="B34" s="3" t="s">
        <v>33</v>
      </c>
      <c r="C34" s="3" t="s">
        <v>34</v>
      </c>
      <c r="D34" s="3" t="s">
        <v>35</v>
      </c>
      <c r="E34" s="3" t="s">
        <v>36</v>
      </c>
      <c r="F34" s="4">
        <v>45854</v>
      </c>
      <c r="G34" s="23">
        <v>1600001752</v>
      </c>
      <c r="H34" s="24" t="s">
        <v>37</v>
      </c>
      <c r="I34" s="25">
        <v>45854</v>
      </c>
      <c r="J34" s="25">
        <v>45855</v>
      </c>
      <c r="K34" s="24" t="s">
        <v>38</v>
      </c>
      <c r="L34" s="26">
        <v>256779421384</v>
      </c>
      <c r="M34" s="23">
        <v>212100</v>
      </c>
      <c r="N34" s="24" t="s">
        <v>39</v>
      </c>
      <c r="O34" s="24" t="s">
        <v>40</v>
      </c>
      <c r="P34" s="23">
        <v>11</v>
      </c>
      <c r="Q34" s="24" t="s">
        <v>42</v>
      </c>
      <c r="R34" s="27">
        <v>-137.9</v>
      </c>
      <c r="S34" s="24" t="s">
        <v>43</v>
      </c>
      <c r="T34" s="27">
        <v>-11954.72</v>
      </c>
      <c r="U34" s="24" t="s">
        <v>44</v>
      </c>
      <c r="V34" s="23">
        <v>6779224500</v>
      </c>
      <c r="W34" s="24" t="s">
        <v>40</v>
      </c>
      <c r="X34" s="24" t="s">
        <v>38</v>
      </c>
      <c r="Y34" s="23">
        <v>1</v>
      </c>
      <c r="Z34" s="43" cm="1">
        <f t="array" ref="Z34:AA34">_xlfn.XLOOKUP(L34,'Customer Ledger'!$O:$O,'Customer Ledger'!$P:$Q,,0)</f>
        <v>11955</v>
      </c>
      <c r="AA34" s="43">
        <v>0</v>
      </c>
      <c r="AB34" s="43">
        <f t="shared" si="3"/>
        <v>-11955</v>
      </c>
      <c r="AC34" s="43">
        <f t="shared" si="4"/>
        <v>0.28000000000065484</v>
      </c>
      <c r="AD34" s="51">
        <f t="shared" si="5"/>
        <v>-2.34217112571984E-5</v>
      </c>
      <c r="AE34" s="24" t="s">
        <v>79</v>
      </c>
      <c r="AF34" s="24" t="s">
        <v>40</v>
      </c>
      <c r="AG34" s="24" t="s">
        <v>40</v>
      </c>
      <c r="AH34" s="24" t="s">
        <v>40</v>
      </c>
      <c r="AI34" s="25">
        <v>45854</v>
      </c>
      <c r="AJ34" s="25">
        <v>45976</v>
      </c>
      <c r="AK34" s="23">
        <v>1400001902</v>
      </c>
    </row>
    <row r="35" spans="1:37" x14ac:dyDescent="0.35">
      <c r="A35" s="3" t="s">
        <v>32</v>
      </c>
      <c r="B35" s="3" t="s">
        <v>33</v>
      </c>
      <c r="C35" s="3" t="s">
        <v>34</v>
      </c>
      <c r="D35" s="3" t="s">
        <v>35</v>
      </c>
      <c r="E35" s="3" t="s">
        <v>36</v>
      </c>
      <c r="F35" s="4">
        <v>45854</v>
      </c>
      <c r="G35" s="23">
        <v>1600001753</v>
      </c>
      <c r="H35" s="24" t="s">
        <v>37</v>
      </c>
      <c r="I35" s="25">
        <v>45854</v>
      </c>
      <c r="J35" s="25">
        <v>45855</v>
      </c>
      <c r="K35" s="24" t="s">
        <v>38</v>
      </c>
      <c r="L35" s="26">
        <v>256779421385</v>
      </c>
      <c r="M35" s="23">
        <v>212100</v>
      </c>
      <c r="N35" s="24" t="s">
        <v>39</v>
      </c>
      <c r="O35" s="24" t="s">
        <v>40</v>
      </c>
      <c r="P35" s="23">
        <v>11</v>
      </c>
      <c r="Q35" s="24" t="s">
        <v>42</v>
      </c>
      <c r="R35" s="27">
        <v>-420</v>
      </c>
      <c r="S35" s="24" t="s">
        <v>43</v>
      </c>
      <c r="T35" s="27">
        <v>-36410.33</v>
      </c>
      <c r="U35" s="24" t="s">
        <v>44</v>
      </c>
      <c r="V35" s="23">
        <v>6779224500</v>
      </c>
      <c r="W35" s="24" t="s">
        <v>40</v>
      </c>
      <c r="X35" s="24" t="s">
        <v>38</v>
      </c>
      <c r="Y35" s="23">
        <v>1</v>
      </c>
      <c r="Z35" s="43" cm="1">
        <f t="array" ref="Z35:AA35">_xlfn.XLOOKUP(L35,'Customer Ledger'!$O:$O,'Customer Ledger'!$P:$Q,,0)</f>
        <v>36410</v>
      </c>
      <c r="AA35" s="43">
        <v>0</v>
      </c>
      <c r="AB35" s="43">
        <f t="shared" si="3"/>
        <v>-36410</v>
      </c>
      <c r="AC35" s="43">
        <f t="shared" si="4"/>
        <v>-0.33000000000174623</v>
      </c>
      <c r="AD35" s="51">
        <f t="shared" si="5"/>
        <v>9.0633619635346943E-6</v>
      </c>
      <c r="AE35" s="24" t="s">
        <v>80</v>
      </c>
      <c r="AF35" s="24" t="s">
        <v>40</v>
      </c>
      <c r="AG35" s="24" t="s">
        <v>40</v>
      </c>
      <c r="AH35" s="24" t="s">
        <v>40</v>
      </c>
      <c r="AI35" s="25">
        <v>45854</v>
      </c>
      <c r="AJ35" s="25">
        <v>45976</v>
      </c>
      <c r="AK35" s="23">
        <v>1400001902</v>
      </c>
    </row>
    <row r="36" spans="1:37" x14ac:dyDescent="0.35">
      <c r="A36" s="3" t="s">
        <v>32</v>
      </c>
      <c r="B36" s="3" t="s">
        <v>33</v>
      </c>
      <c r="C36" s="3" t="s">
        <v>34</v>
      </c>
      <c r="D36" s="3" t="s">
        <v>35</v>
      </c>
      <c r="E36" s="3" t="s">
        <v>81</v>
      </c>
      <c r="F36" s="4">
        <v>45797</v>
      </c>
      <c r="G36" s="23">
        <v>1800008722</v>
      </c>
      <c r="H36" s="24" t="s">
        <v>47</v>
      </c>
      <c r="I36" s="25">
        <v>45797</v>
      </c>
      <c r="J36" s="25">
        <v>45805</v>
      </c>
      <c r="K36" s="24" t="s">
        <v>38</v>
      </c>
      <c r="L36" s="26">
        <v>256779413486</v>
      </c>
      <c r="M36" s="23">
        <v>212100</v>
      </c>
      <c r="N36" s="24" t="s">
        <v>39</v>
      </c>
      <c r="O36" s="24" t="s">
        <v>40</v>
      </c>
      <c r="P36" s="23">
        <v>1</v>
      </c>
      <c r="Q36" s="24" t="s">
        <v>42</v>
      </c>
      <c r="R36" s="27">
        <v>12.5</v>
      </c>
      <c r="S36" s="24" t="s">
        <v>43</v>
      </c>
      <c r="T36" s="42">
        <v>1074.8</v>
      </c>
      <c r="U36" s="24" t="s">
        <v>44</v>
      </c>
      <c r="V36" s="23">
        <v>6779224500</v>
      </c>
      <c r="W36" s="24" t="s">
        <v>40</v>
      </c>
      <c r="X36" s="24" t="s">
        <v>38</v>
      </c>
      <c r="Y36" s="23">
        <v>1</v>
      </c>
      <c r="Z36" s="43" cm="1">
        <f t="array" ref="Z36:AA36">_xlfn.XLOOKUP(L36,'Customer Ledger'!$O:$O,'Customer Ledger'!$P:$Q,,0)</f>
        <v>0</v>
      </c>
      <c r="AA36" s="43">
        <v>1054</v>
      </c>
      <c r="AB36" s="43">
        <f t="shared" si="3"/>
        <v>1054</v>
      </c>
      <c r="AC36" s="43">
        <f t="shared" si="4"/>
        <v>20.799999999999955</v>
      </c>
      <c r="AD36" s="51">
        <f t="shared" si="5"/>
        <v>1.9352437662820948E-2</v>
      </c>
      <c r="AE36" s="24" t="s">
        <v>82</v>
      </c>
      <c r="AF36" s="24" t="s">
        <v>40</v>
      </c>
      <c r="AG36" s="24" t="s">
        <v>40</v>
      </c>
      <c r="AH36" s="24" t="s">
        <v>40</v>
      </c>
      <c r="AI36" s="25">
        <v>45797</v>
      </c>
      <c r="AJ36" s="25"/>
      <c r="AK36" s="24" t="s">
        <v>40</v>
      </c>
    </row>
    <row r="37" spans="1:37" x14ac:dyDescent="0.35">
      <c r="A37" s="3" t="s">
        <v>32</v>
      </c>
      <c r="B37" s="3" t="s">
        <v>33</v>
      </c>
      <c r="C37" s="3" t="s">
        <v>34</v>
      </c>
      <c r="D37" s="3" t="s">
        <v>35</v>
      </c>
      <c r="E37" s="3" t="s">
        <v>81</v>
      </c>
      <c r="F37" s="4">
        <v>45797</v>
      </c>
      <c r="G37" s="23">
        <v>1800009073</v>
      </c>
      <c r="H37" s="24" t="s">
        <v>47</v>
      </c>
      <c r="I37" s="25">
        <v>45797</v>
      </c>
      <c r="J37" s="25">
        <v>45805</v>
      </c>
      <c r="K37" s="24" t="s">
        <v>38</v>
      </c>
      <c r="L37" s="26">
        <v>256779413837</v>
      </c>
      <c r="M37" s="23">
        <v>212100</v>
      </c>
      <c r="N37" s="24" t="s">
        <v>39</v>
      </c>
      <c r="O37" s="24" t="s">
        <v>40</v>
      </c>
      <c r="P37" s="23">
        <v>1</v>
      </c>
      <c r="Q37" s="24" t="s">
        <v>42</v>
      </c>
      <c r="R37" s="27">
        <v>144.52000000000001</v>
      </c>
      <c r="S37" s="24" t="s">
        <v>43</v>
      </c>
      <c r="T37" s="42">
        <v>12426.36</v>
      </c>
      <c r="U37" s="24" t="s">
        <v>44</v>
      </c>
      <c r="V37" s="23">
        <v>6779224500</v>
      </c>
      <c r="W37" s="24" t="s">
        <v>40</v>
      </c>
      <c r="X37" s="24" t="s">
        <v>40</v>
      </c>
      <c r="Y37" s="23">
        <v>1</v>
      </c>
      <c r="Z37" s="43" cm="1">
        <f t="array" ref="Z37:AA37">_xlfn.XLOOKUP(L37,'Customer Ledger'!$O:$O,'Customer Ledger'!$P:$Q,,0)</f>
        <v>0</v>
      </c>
      <c r="AA37" s="43">
        <v>12177</v>
      </c>
      <c r="AB37" s="43">
        <f t="shared" si="3"/>
        <v>12177</v>
      </c>
      <c r="AC37" s="43">
        <f t="shared" si="4"/>
        <v>249.36000000000058</v>
      </c>
      <c r="AD37" s="51">
        <f t="shared" si="5"/>
        <v>2.006701882127997E-2</v>
      </c>
      <c r="AE37" s="24" t="s">
        <v>83</v>
      </c>
      <c r="AF37" s="24" t="s">
        <v>40</v>
      </c>
      <c r="AG37" s="24" t="s">
        <v>40</v>
      </c>
      <c r="AH37" s="24" t="s">
        <v>40</v>
      </c>
      <c r="AI37" s="25">
        <v>45797</v>
      </c>
      <c r="AJ37" s="25"/>
      <c r="AK37" s="24" t="s">
        <v>40</v>
      </c>
    </row>
    <row r="38" spans="1:37" x14ac:dyDescent="0.35">
      <c r="A38" s="3" t="s">
        <v>32</v>
      </c>
      <c r="B38" s="3" t="s">
        <v>33</v>
      </c>
      <c r="C38" s="3" t="s">
        <v>34</v>
      </c>
      <c r="D38" s="3" t="s">
        <v>35</v>
      </c>
      <c r="E38" s="3" t="s">
        <v>81</v>
      </c>
      <c r="F38" s="4">
        <v>45797</v>
      </c>
      <c r="G38" s="23">
        <v>1600001822</v>
      </c>
      <c r="H38" s="24" t="s">
        <v>37</v>
      </c>
      <c r="I38" s="25">
        <v>45862</v>
      </c>
      <c r="J38" s="25">
        <v>45862</v>
      </c>
      <c r="K38" s="24" t="s">
        <v>38</v>
      </c>
      <c r="L38" s="26">
        <v>256779421442</v>
      </c>
      <c r="M38" s="23">
        <v>212100</v>
      </c>
      <c r="N38" s="24" t="s">
        <v>39</v>
      </c>
      <c r="O38" s="24" t="s">
        <v>40</v>
      </c>
      <c r="P38" s="23">
        <v>11</v>
      </c>
      <c r="Q38" s="24" t="s">
        <v>42</v>
      </c>
      <c r="R38" s="27">
        <v>-111.15</v>
      </c>
      <c r="S38" s="24" t="s">
        <v>43</v>
      </c>
      <c r="T38" s="27">
        <v>-9557.09</v>
      </c>
      <c r="U38" s="24" t="s">
        <v>44</v>
      </c>
      <c r="V38" s="23">
        <v>6779224500</v>
      </c>
      <c r="W38" s="24" t="s">
        <v>40</v>
      </c>
      <c r="X38" s="24" t="s">
        <v>38</v>
      </c>
      <c r="Y38" s="23">
        <v>1</v>
      </c>
      <c r="Z38" s="43" t="e" cm="1">
        <f t="array" ref="Z38">_xlfn.XLOOKUP(L38,'Customer Ledger'!$O:$O,'Customer Ledger'!$P:$Q,,0)</f>
        <v>#N/A</v>
      </c>
      <c r="AA38" s="43"/>
      <c r="AB38" s="43"/>
      <c r="AC38" s="23"/>
      <c r="AD38" s="23"/>
      <c r="AE38" s="24" t="s">
        <v>105</v>
      </c>
      <c r="AF38" s="24" t="s">
        <v>40</v>
      </c>
      <c r="AG38" s="24" t="s">
        <v>40</v>
      </c>
      <c r="AH38" s="24" t="s">
        <v>40</v>
      </c>
      <c r="AI38" s="25">
        <v>45862</v>
      </c>
      <c r="AJ38" s="25">
        <v>45976</v>
      </c>
      <c r="AK38" s="23">
        <v>1400001901</v>
      </c>
    </row>
    <row r="39" spans="1:37" x14ac:dyDescent="0.35">
      <c r="A39" s="3" t="s">
        <v>32</v>
      </c>
      <c r="B39" s="3" t="s">
        <v>33</v>
      </c>
      <c r="C39" s="3" t="s">
        <v>34</v>
      </c>
      <c r="D39" s="3" t="s">
        <v>35</v>
      </c>
      <c r="E39" s="3" t="s">
        <v>85</v>
      </c>
      <c r="F39" s="4">
        <v>45750</v>
      </c>
      <c r="G39" s="23">
        <v>1800001031</v>
      </c>
      <c r="H39" s="24" t="s">
        <v>47</v>
      </c>
      <c r="I39" s="25">
        <v>45722</v>
      </c>
      <c r="J39" s="25">
        <v>45722</v>
      </c>
      <c r="K39" s="24" t="s">
        <v>38</v>
      </c>
      <c r="L39" s="26">
        <v>246779410971</v>
      </c>
      <c r="M39" s="23">
        <v>212100</v>
      </c>
      <c r="N39" s="24" t="s">
        <v>39</v>
      </c>
      <c r="O39" s="24" t="s">
        <v>40</v>
      </c>
      <c r="P39" s="23">
        <v>1</v>
      </c>
      <c r="Q39" s="24" t="s">
        <v>42</v>
      </c>
      <c r="R39" s="27">
        <v>1205.2</v>
      </c>
      <c r="S39" s="24" t="s">
        <v>43</v>
      </c>
      <c r="T39" s="42">
        <v>104480.31</v>
      </c>
      <c r="U39" s="24" t="s">
        <v>44</v>
      </c>
      <c r="V39" s="23">
        <v>6779224500</v>
      </c>
      <c r="W39" s="24" t="s">
        <v>40</v>
      </c>
      <c r="X39" s="24" t="s">
        <v>38</v>
      </c>
      <c r="Y39" s="23">
        <v>1</v>
      </c>
      <c r="Z39" s="43" cm="1">
        <f t="array" ref="Z39:AA39">_xlfn.XLOOKUP(L39,'Customer Ledger'!$O:$O,'Customer Ledger'!$P:$Q,,0)</f>
        <v>0</v>
      </c>
      <c r="AA39" s="43">
        <v>36538</v>
      </c>
      <c r="AB39" s="43">
        <f t="shared" ref="AB39:AB45" si="6">AA39-Z39</f>
        <v>36538</v>
      </c>
      <c r="AC39" s="43">
        <f t="shared" ref="AC39:AC45" si="7">T39-AB39</f>
        <v>67942.31</v>
      </c>
      <c r="AD39" s="51">
        <f t="shared" ref="AD39:AD45" si="8">AC39/T39</f>
        <v>0.65028817391525728</v>
      </c>
      <c r="AE39" s="24" t="s">
        <v>347</v>
      </c>
      <c r="AF39" s="24" t="s">
        <v>40</v>
      </c>
      <c r="AG39" s="24" t="s">
        <v>40</v>
      </c>
      <c r="AH39" s="24" t="s">
        <v>40</v>
      </c>
      <c r="AI39" s="25">
        <v>45722</v>
      </c>
      <c r="AJ39" s="25"/>
      <c r="AK39" s="24" t="s">
        <v>40</v>
      </c>
    </row>
    <row r="40" spans="1:37" x14ac:dyDescent="0.35">
      <c r="A40" s="3" t="s">
        <v>32</v>
      </c>
      <c r="B40" s="3" t="s">
        <v>33</v>
      </c>
      <c r="C40" s="3" t="s">
        <v>34</v>
      </c>
      <c r="D40" s="3" t="s">
        <v>35</v>
      </c>
      <c r="E40" s="3" t="s">
        <v>85</v>
      </c>
      <c r="F40" s="4">
        <v>45750</v>
      </c>
      <c r="G40" s="23">
        <v>1800007792</v>
      </c>
      <c r="H40" s="24" t="s">
        <v>47</v>
      </c>
      <c r="I40" s="25">
        <v>45769</v>
      </c>
      <c r="J40" s="25">
        <v>45770</v>
      </c>
      <c r="K40" s="24" t="s">
        <v>38</v>
      </c>
      <c r="L40" s="26">
        <v>256779412683</v>
      </c>
      <c r="M40" s="23">
        <v>212100</v>
      </c>
      <c r="N40" s="24" t="s">
        <v>39</v>
      </c>
      <c r="O40" s="24" t="s">
        <v>40</v>
      </c>
      <c r="P40" s="23">
        <v>1</v>
      </c>
      <c r="Q40" s="24" t="s">
        <v>42</v>
      </c>
      <c r="R40" s="27">
        <v>517.64</v>
      </c>
      <c r="S40" s="24" t="s">
        <v>43</v>
      </c>
      <c r="T40" s="42">
        <v>44994.21</v>
      </c>
      <c r="U40" s="24" t="s">
        <v>44</v>
      </c>
      <c r="V40" s="23">
        <v>6779224500</v>
      </c>
      <c r="W40" s="24" t="s">
        <v>40</v>
      </c>
      <c r="X40" s="24" t="s">
        <v>38</v>
      </c>
      <c r="Y40" s="23">
        <v>1</v>
      </c>
      <c r="Z40" s="43" cm="1">
        <f t="array" ref="Z40:AA40">_xlfn.XLOOKUP(L40,'Customer Ledger'!$O:$O,'Customer Ledger'!$P:$Q,,0)</f>
        <v>0</v>
      </c>
      <c r="AA40" s="43">
        <v>43195</v>
      </c>
      <c r="AB40" s="43">
        <f t="shared" si="6"/>
        <v>43195</v>
      </c>
      <c r="AC40" s="43">
        <f t="shared" si="7"/>
        <v>1799.2099999999991</v>
      </c>
      <c r="AD40" s="51">
        <f t="shared" si="8"/>
        <v>3.9987589514295263E-2</v>
      </c>
      <c r="AE40" s="24" t="s">
        <v>133</v>
      </c>
      <c r="AF40" s="24" t="s">
        <v>40</v>
      </c>
      <c r="AG40" s="24" t="s">
        <v>40</v>
      </c>
      <c r="AH40" s="24" t="s">
        <v>40</v>
      </c>
      <c r="AI40" s="25">
        <v>45769</v>
      </c>
      <c r="AJ40" s="25"/>
      <c r="AK40" s="24" t="s">
        <v>40</v>
      </c>
    </row>
    <row r="41" spans="1:37" x14ac:dyDescent="0.35">
      <c r="A41" s="3" t="s">
        <v>32</v>
      </c>
      <c r="B41" s="3" t="s">
        <v>33</v>
      </c>
      <c r="C41" s="3" t="s">
        <v>34</v>
      </c>
      <c r="D41" s="3" t="s">
        <v>35</v>
      </c>
      <c r="E41" s="3" t="s">
        <v>85</v>
      </c>
      <c r="F41" s="4">
        <v>45750</v>
      </c>
      <c r="G41" s="23">
        <v>1800004735</v>
      </c>
      <c r="H41" s="24" t="s">
        <v>47</v>
      </c>
      <c r="I41" s="25">
        <v>45736</v>
      </c>
      <c r="J41" s="25">
        <v>45737</v>
      </c>
      <c r="K41" s="24" t="s">
        <v>38</v>
      </c>
      <c r="L41" s="26">
        <v>246779414603</v>
      </c>
      <c r="M41" s="23">
        <v>212100</v>
      </c>
      <c r="N41" s="24" t="s">
        <v>39</v>
      </c>
      <c r="O41" s="24" t="s">
        <v>40</v>
      </c>
      <c r="P41" s="23">
        <v>1</v>
      </c>
      <c r="Q41" s="24" t="s">
        <v>42</v>
      </c>
      <c r="R41" s="27">
        <v>412.38</v>
      </c>
      <c r="S41" s="24" t="s">
        <v>43</v>
      </c>
      <c r="T41" s="42">
        <v>35749.74</v>
      </c>
      <c r="U41" s="24" t="s">
        <v>44</v>
      </c>
      <c r="V41" s="23">
        <v>6779224500</v>
      </c>
      <c r="W41" s="24" t="s">
        <v>40</v>
      </c>
      <c r="X41" s="24" t="s">
        <v>38</v>
      </c>
      <c r="Y41" s="23">
        <v>1</v>
      </c>
      <c r="Z41" s="43" cm="1">
        <f t="array" ref="Z41:AA41">_xlfn.XLOOKUP(L41,'Customer Ledger'!$O:$O,'Customer Ledger'!$P:$Q,,0)</f>
        <v>0</v>
      </c>
      <c r="AA41" s="43">
        <v>34760</v>
      </c>
      <c r="AB41" s="43">
        <f t="shared" si="6"/>
        <v>34760</v>
      </c>
      <c r="AC41" s="43">
        <f t="shared" si="7"/>
        <v>989.73999999999796</v>
      </c>
      <c r="AD41" s="51">
        <f t="shared" si="8"/>
        <v>2.7685236312208088E-2</v>
      </c>
      <c r="AE41" s="24" t="s">
        <v>300</v>
      </c>
      <c r="AF41" s="24" t="s">
        <v>40</v>
      </c>
      <c r="AG41" s="24" t="s">
        <v>40</v>
      </c>
      <c r="AH41" s="24" t="s">
        <v>40</v>
      </c>
      <c r="AI41" s="25">
        <v>45736</v>
      </c>
      <c r="AJ41" s="25"/>
      <c r="AK41" s="24" t="s">
        <v>40</v>
      </c>
    </row>
    <row r="42" spans="1:37" x14ac:dyDescent="0.35">
      <c r="A42" s="3" t="s">
        <v>32</v>
      </c>
      <c r="B42" s="3" t="s">
        <v>33</v>
      </c>
      <c r="C42" s="3" t="s">
        <v>34</v>
      </c>
      <c r="D42" s="3" t="s">
        <v>35</v>
      </c>
      <c r="E42" s="3" t="s">
        <v>85</v>
      </c>
      <c r="F42" s="4">
        <v>45750</v>
      </c>
      <c r="G42" s="23">
        <v>1800005265</v>
      </c>
      <c r="H42" s="24" t="s">
        <v>47</v>
      </c>
      <c r="I42" s="25">
        <v>45750</v>
      </c>
      <c r="J42" s="25">
        <v>45752</v>
      </c>
      <c r="K42" s="24" t="s">
        <v>38</v>
      </c>
      <c r="L42" s="26">
        <v>256779410157</v>
      </c>
      <c r="M42" s="23">
        <v>212100</v>
      </c>
      <c r="N42" s="24" t="s">
        <v>39</v>
      </c>
      <c r="O42" s="24" t="s">
        <v>40</v>
      </c>
      <c r="P42" s="23">
        <v>1</v>
      </c>
      <c r="Q42" s="24" t="s">
        <v>42</v>
      </c>
      <c r="R42" s="27">
        <v>34.479999999999997</v>
      </c>
      <c r="S42" s="24" t="s">
        <v>43</v>
      </c>
      <c r="T42" s="42">
        <v>2997.06</v>
      </c>
      <c r="U42" s="24" t="s">
        <v>44</v>
      </c>
      <c r="V42" s="24" t="s">
        <v>40</v>
      </c>
      <c r="W42" s="24" t="s">
        <v>40</v>
      </c>
      <c r="X42" s="24" t="s">
        <v>38</v>
      </c>
      <c r="Y42" s="23">
        <v>1</v>
      </c>
      <c r="Z42" s="43" cm="1">
        <f t="array" ref="Z42:AA42">_xlfn.XLOOKUP(L42,'Customer Ledger'!$O:$O,'Customer Ledger'!$P:$Q,,0)</f>
        <v>0</v>
      </c>
      <c r="AA42" s="43">
        <v>2883</v>
      </c>
      <c r="AB42" s="43">
        <f t="shared" si="6"/>
        <v>2883</v>
      </c>
      <c r="AC42" s="43">
        <f t="shared" si="7"/>
        <v>114.05999999999995</v>
      </c>
      <c r="AD42" s="51">
        <f t="shared" si="8"/>
        <v>3.8057296150227203E-2</v>
      </c>
      <c r="AE42" s="24" t="s">
        <v>89</v>
      </c>
      <c r="AF42" s="24" t="s">
        <v>40</v>
      </c>
      <c r="AG42" s="24" t="s">
        <v>40</v>
      </c>
      <c r="AH42" s="24" t="s">
        <v>40</v>
      </c>
      <c r="AI42" s="25">
        <v>45750</v>
      </c>
      <c r="AJ42" s="25"/>
      <c r="AK42" s="24" t="s">
        <v>40</v>
      </c>
    </row>
    <row r="43" spans="1:37" x14ac:dyDescent="0.35">
      <c r="A43" s="3" t="s">
        <v>32</v>
      </c>
      <c r="B43" s="3" t="s">
        <v>33</v>
      </c>
      <c r="C43" s="3" t="s">
        <v>34</v>
      </c>
      <c r="D43" s="3" t="s">
        <v>35</v>
      </c>
      <c r="E43" s="3" t="s">
        <v>85</v>
      </c>
      <c r="F43" s="4">
        <v>45750</v>
      </c>
      <c r="G43" s="23">
        <v>1800004353</v>
      </c>
      <c r="H43" s="24" t="s">
        <v>47</v>
      </c>
      <c r="I43" s="25">
        <v>45736</v>
      </c>
      <c r="J43" s="25">
        <v>45737</v>
      </c>
      <c r="K43" s="24" t="s">
        <v>38</v>
      </c>
      <c r="L43" s="26">
        <v>246779414221</v>
      </c>
      <c r="M43" s="23">
        <v>212100</v>
      </c>
      <c r="N43" s="24" t="s">
        <v>39</v>
      </c>
      <c r="O43" s="24" t="s">
        <v>40</v>
      </c>
      <c r="P43" s="23">
        <v>1</v>
      </c>
      <c r="Q43" s="24" t="s">
        <v>42</v>
      </c>
      <c r="R43" s="27">
        <v>209.25</v>
      </c>
      <c r="S43" s="24" t="s">
        <v>43</v>
      </c>
      <c r="T43" s="42">
        <v>18140.150000000001</v>
      </c>
      <c r="U43" s="24" t="s">
        <v>44</v>
      </c>
      <c r="V43" s="23">
        <v>6779224500</v>
      </c>
      <c r="W43" s="24" t="s">
        <v>40</v>
      </c>
      <c r="X43" s="24" t="s">
        <v>38</v>
      </c>
      <c r="Y43" s="23">
        <v>1</v>
      </c>
      <c r="Z43" s="43" cm="1">
        <f t="array" ref="Z43:AA43">_xlfn.XLOOKUP(L43,'Customer Ledger'!$O:$O,'Customer Ledger'!$P:$Q,,0)</f>
        <v>0</v>
      </c>
      <c r="AA43" s="43">
        <v>17701</v>
      </c>
      <c r="AB43" s="43">
        <f t="shared" si="6"/>
        <v>17701</v>
      </c>
      <c r="AC43" s="43">
        <f t="shared" si="7"/>
        <v>439.15000000000146</v>
      </c>
      <c r="AD43" s="51">
        <f t="shared" si="8"/>
        <v>2.420873035779756E-2</v>
      </c>
      <c r="AE43" s="24" t="s">
        <v>293</v>
      </c>
      <c r="AF43" s="24" t="s">
        <v>40</v>
      </c>
      <c r="AG43" s="24" t="s">
        <v>40</v>
      </c>
      <c r="AH43" s="24" t="s">
        <v>40</v>
      </c>
      <c r="AI43" s="25">
        <v>45736</v>
      </c>
      <c r="AJ43" s="25"/>
      <c r="AK43" s="24" t="s">
        <v>40</v>
      </c>
    </row>
    <row r="44" spans="1:37" x14ac:dyDescent="0.35">
      <c r="A44" s="3" t="s">
        <v>32</v>
      </c>
      <c r="B44" s="3" t="s">
        <v>33</v>
      </c>
      <c r="C44" s="3" t="s">
        <v>34</v>
      </c>
      <c r="D44" s="3" t="s">
        <v>35</v>
      </c>
      <c r="E44" s="3" t="s">
        <v>85</v>
      </c>
      <c r="F44" s="4">
        <v>45750</v>
      </c>
      <c r="G44" s="23">
        <v>1800007577</v>
      </c>
      <c r="H44" s="24" t="s">
        <v>47</v>
      </c>
      <c r="I44" s="25">
        <v>45769</v>
      </c>
      <c r="J44" s="25">
        <v>45770</v>
      </c>
      <c r="K44" s="24" t="s">
        <v>38</v>
      </c>
      <c r="L44" s="26">
        <v>256779412468</v>
      </c>
      <c r="M44" s="23">
        <v>212100</v>
      </c>
      <c r="N44" s="24" t="s">
        <v>39</v>
      </c>
      <c r="O44" s="24" t="s">
        <v>40</v>
      </c>
      <c r="P44" s="23">
        <v>1</v>
      </c>
      <c r="Q44" s="24" t="s">
        <v>42</v>
      </c>
      <c r="R44" s="27">
        <v>169.2</v>
      </c>
      <c r="S44" s="24" t="s">
        <v>43</v>
      </c>
      <c r="T44" s="42">
        <v>14707.17</v>
      </c>
      <c r="U44" s="24" t="s">
        <v>44</v>
      </c>
      <c r="V44" s="23">
        <v>6779224500</v>
      </c>
      <c r="W44" s="24" t="s">
        <v>40</v>
      </c>
      <c r="X44" s="24" t="s">
        <v>38</v>
      </c>
      <c r="Y44" s="23">
        <v>1</v>
      </c>
      <c r="Z44" s="43" cm="1">
        <f t="array" ref="Z44:AA44">_xlfn.XLOOKUP(L44,'Customer Ledger'!$O:$O,'Customer Ledger'!$P:$Q,,0)</f>
        <v>0</v>
      </c>
      <c r="AA44" s="43">
        <v>14119</v>
      </c>
      <c r="AB44" s="43">
        <f t="shared" si="6"/>
        <v>14119</v>
      </c>
      <c r="AC44" s="43">
        <f t="shared" si="7"/>
        <v>588.17000000000007</v>
      </c>
      <c r="AD44" s="51">
        <f t="shared" si="8"/>
        <v>3.9992058295375658E-2</v>
      </c>
      <c r="AE44" s="24" t="s">
        <v>131</v>
      </c>
      <c r="AF44" s="24" t="s">
        <v>40</v>
      </c>
      <c r="AG44" s="24" t="s">
        <v>40</v>
      </c>
      <c r="AH44" s="24" t="s">
        <v>40</v>
      </c>
      <c r="AI44" s="25">
        <v>45769</v>
      </c>
      <c r="AJ44" s="25"/>
      <c r="AK44" s="24" t="s">
        <v>40</v>
      </c>
    </row>
    <row r="45" spans="1:37" x14ac:dyDescent="0.35">
      <c r="A45" s="3" t="s">
        <v>32</v>
      </c>
      <c r="B45" s="3" t="s">
        <v>33</v>
      </c>
      <c r="C45" s="3" t="s">
        <v>34</v>
      </c>
      <c r="D45" s="3" t="s">
        <v>35</v>
      </c>
      <c r="E45" s="3" t="s">
        <v>85</v>
      </c>
      <c r="F45" s="4">
        <v>45750</v>
      </c>
      <c r="G45" s="23">
        <v>1800005309</v>
      </c>
      <c r="H45" s="24" t="s">
        <v>47</v>
      </c>
      <c r="I45" s="25">
        <v>45750</v>
      </c>
      <c r="J45" s="25">
        <v>45752</v>
      </c>
      <c r="K45" s="24" t="s">
        <v>38</v>
      </c>
      <c r="L45" s="26">
        <v>256779410201</v>
      </c>
      <c r="M45" s="23">
        <v>212100</v>
      </c>
      <c r="N45" s="24" t="s">
        <v>39</v>
      </c>
      <c r="O45" s="24" t="s">
        <v>40</v>
      </c>
      <c r="P45" s="23">
        <v>1</v>
      </c>
      <c r="Q45" s="24" t="s">
        <v>42</v>
      </c>
      <c r="R45" s="27">
        <v>34.479999999999997</v>
      </c>
      <c r="S45" s="24" t="s">
        <v>43</v>
      </c>
      <c r="T45" s="42">
        <v>2997.06</v>
      </c>
      <c r="U45" s="24" t="s">
        <v>44</v>
      </c>
      <c r="V45" s="24" t="s">
        <v>40</v>
      </c>
      <c r="W45" s="24" t="s">
        <v>40</v>
      </c>
      <c r="X45" s="24" t="s">
        <v>38</v>
      </c>
      <c r="Y45" s="23">
        <v>1</v>
      </c>
      <c r="Z45" s="43" cm="1">
        <f t="array" ref="Z45:AA45">_xlfn.XLOOKUP(L45,'Customer Ledger'!$O:$O,'Customer Ledger'!$P:$Q,,0)</f>
        <v>0</v>
      </c>
      <c r="AA45" s="43">
        <v>2937</v>
      </c>
      <c r="AB45" s="43">
        <f t="shared" si="6"/>
        <v>2937</v>
      </c>
      <c r="AC45" s="43">
        <f t="shared" si="7"/>
        <v>60.059999999999945</v>
      </c>
      <c r="AD45" s="51">
        <f t="shared" si="8"/>
        <v>2.003963884606913E-2</v>
      </c>
      <c r="AE45" s="24" t="s">
        <v>91</v>
      </c>
      <c r="AF45" s="24" t="s">
        <v>40</v>
      </c>
      <c r="AG45" s="24" t="s">
        <v>40</v>
      </c>
      <c r="AH45" s="24" t="s">
        <v>40</v>
      </c>
      <c r="AI45" s="25">
        <v>45750</v>
      </c>
      <c r="AJ45" s="25"/>
      <c r="AK45" s="24" t="s">
        <v>40</v>
      </c>
    </row>
    <row r="46" spans="1:37" x14ac:dyDescent="0.35">
      <c r="A46" s="3" t="s">
        <v>32</v>
      </c>
      <c r="B46" s="3" t="s">
        <v>33</v>
      </c>
      <c r="C46" s="3" t="s">
        <v>34</v>
      </c>
      <c r="D46" s="3" t="s">
        <v>35</v>
      </c>
      <c r="E46" s="3" t="s">
        <v>85</v>
      </c>
      <c r="F46" s="4">
        <v>45750</v>
      </c>
      <c r="G46" s="23">
        <v>1800005399</v>
      </c>
      <c r="H46" s="24" t="s">
        <v>47</v>
      </c>
      <c r="I46" s="25">
        <v>45750</v>
      </c>
      <c r="J46" s="25">
        <v>45752</v>
      </c>
      <c r="K46" s="24" t="s">
        <v>38</v>
      </c>
      <c r="L46" s="26">
        <v>256779410291</v>
      </c>
      <c r="M46" s="23">
        <v>212100</v>
      </c>
      <c r="N46" s="24" t="s">
        <v>39</v>
      </c>
      <c r="O46" s="24" t="s">
        <v>40</v>
      </c>
      <c r="P46" s="23">
        <v>1</v>
      </c>
      <c r="Q46" s="24" t="s">
        <v>42</v>
      </c>
      <c r="R46" s="27">
        <v>456.75</v>
      </c>
      <c r="S46" s="24" t="s">
        <v>43</v>
      </c>
      <c r="T46" s="27">
        <v>39701.54</v>
      </c>
      <c r="U46" s="24" t="s">
        <v>44</v>
      </c>
      <c r="V46" s="24" t="s">
        <v>40</v>
      </c>
      <c r="W46" s="24" t="s">
        <v>40</v>
      </c>
      <c r="X46" s="24" t="s">
        <v>38</v>
      </c>
      <c r="Y46" s="23">
        <v>1</v>
      </c>
      <c r="Z46" s="43" t="e" cm="1">
        <f t="array" ref="Z46">_xlfn.XLOOKUP(L46,'Customer Ledger'!$O:$O,'Customer Ledger'!$P:$Q,,0)</f>
        <v>#N/A</v>
      </c>
      <c r="AA46" s="43"/>
      <c r="AB46" s="43"/>
      <c r="AC46" s="23"/>
      <c r="AD46" s="23"/>
      <c r="AE46" s="24" t="s">
        <v>92</v>
      </c>
      <c r="AF46" s="24" t="s">
        <v>40</v>
      </c>
      <c r="AG46" s="24" t="s">
        <v>40</v>
      </c>
      <c r="AH46" s="24" t="s">
        <v>40</v>
      </c>
      <c r="AI46" s="25">
        <v>45750</v>
      </c>
      <c r="AJ46" s="25">
        <v>45842</v>
      </c>
      <c r="AK46" s="23">
        <v>1400000246</v>
      </c>
    </row>
    <row r="47" spans="1:37" x14ac:dyDescent="0.35">
      <c r="A47" s="3" t="s">
        <v>32</v>
      </c>
      <c r="B47" s="3" t="s">
        <v>33</v>
      </c>
      <c r="C47" s="3" t="s">
        <v>34</v>
      </c>
      <c r="D47" s="3" t="s">
        <v>35</v>
      </c>
      <c r="E47" s="3" t="s">
        <v>85</v>
      </c>
      <c r="F47" s="4">
        <v>45750</v>
      </c>
      <c r="G47" s="23">
        <v>1800005358</v>
      </c>
      <c r="H47" s="24" t="s">
        <v>47</v>
      </c>
      <c r="I47" s="25">
        <v>45750</v>
      </c>
      <c r="J47" s="25">
        <v>45752</v>
      </c>
      <c r="K47" s="24" t="s">
        <v>38</v>
      </c>
      <c r="L47" s="26">
        <v>256779410250</v>
      </c>
      <c r="M47" s="23">
        <v>212100</v>
      </c>
      <c r="N47" s="24" t="s">
        <v>39</v>
      </c>
      <c r="O47" s="24" t="s">
        <v>40</v>
      </c>
      <c r="P47" s="23">
        <v>1</v>
      </c>
      <c r="Q47" s="24" t="s">
        <v>42</v>
      </c>
      <c r="R47" s="27">
        <v>456.75</v>
      </c>
      <c r="S47" s="24" t="s">
        <v>43</v>
      </c>
      <c r="T47" s="27">
        <v>39701.54</v>
      </c>
      <c r="U47" s="24" t="s">
        <v>44</v>
      </c>
      <c r="V47" s="24" t="s">
        <v>40</v>
      </c>
      <c r="W47" s="24" t="s">
        <v>40</v>
      </c>
      <c r="X47" s="24" t="s">
        <v>38</v>
      </c>
      <c r="Y47" s="23">
        <v>1</v>
      </c>
      <c r="Z47" s="43" t="e" cm="1">
        <f t="array" ref="Z47">_xlfn.XLOOKUP(L47,'Customer Ledger'!$O:$O,'Customer Ledger'!$P:$Q,,0)</f>
        <v>#N/A</v>
      </c>
      <c r="AA47" s="43"/>
      <c r="AB47" s="43"/>
      <c r="AC47" s="23"/>
      <c r="AD47" s="23"/>
      <c r="AE47" s="24" t="s">
        <v>93</v>
      </c>
      <c r="AF47" s="24" t="s">
        <v>40</v>
      </c>
      <c r="AG47" s="24" t="s">
        <v>40</v>
      </c>
      <c r="AH47" s="24" t="s">
        <v>40</v>
      </c>
      <c r="AI47" s="25">
        <v>45750</v>
      </c>
      <c r="AJ47" s="25">
        <v>45842</v>
      </c>
      <c r="AK47" s="23">
        <v>1400000247</v>
      </c>
    </row>
    <row r="48" spans="1:37" x14ac:dyDescent="0.35">
      <c r="A48" s="3" t="s">
        <v>32</v>
      </c>
      <c r="B48" s="3" t="s">
        <v>33</v>
      </c>
      <c r="C48" s="3" t="s">
        <v>34</v>
      </c>
      <c r="D48" s="3" t="s">
        <v>35</v>
      </c>
      <c r="E48" s="3" t="s">
        <v>85</v>
      </c>
      <c r="F48" s="4">
        <v>45750</v>
      </c>
      <c r="G48" s="23">
        <v>1600002471</v>
      </c>
      <c r="H48" s="24" t="s">
        <v>37</v>
      </c>
      <c r="I48" s="25">
        <v>45947</v>
      </c>
      <c r="J48" s="25">
        <v>45953</v>
      </c>
      <c r="K48" s="24" t="s">
        <v>38</v>
      </c>
      <c r="L48" s="26">
        <v>256779422013</v>
      </c>
      <c r="M48" s="23">
        <v>212100</v>
      </c>
      <c r="N48" s="24" t="s">
        <v>39</v>
      </c>
      <c r="O48" s="24" t="s">
        <v>40</v>
      </c>
      <c r="P48" s="23">
        <v>11</v>
      </c>
      <c r="Q48" s="24" t="s">
        <v>42</v>
      </c>
      <c r="R48" s="27">
        <v>-582.79999999999995</v>
      </c>
      <c r="S48" s="24" t="s">
        <v>43</v>
      </c>
      <c r="T48" s="27">
        <v>-51397.58</v>
      </c>
      <c r="U48" s="24" t="s">
        <v>44</v>
      </c>
      <c r="V48" s="23">
        <v>6779224500</v>
      </c>
      <c r="W48" s="24" t="s">
        <v>40</v>
      </c>
      <c r="X48" s="23">
        <v>2117487</v>
      </c>
      <c r="Y48" s="23">
        <v>1</v>
      </c>
      <c r="Z48" s="43" t="e" cm="1">
        <f t="array" ref="Z48">_xlfn.XLOOKUP(L48,'Customer Ledger'!$O:$O,'Customer Ledger'!$P:$Q,,0)</f>
        <v>#N/A</v>
      </c>
      <c r="AA48" s="43"/>
      <c r="AB48" s="43"/>
      <c r="AC48" s="23"/>
      <c r="AD48" s="23"/>
      <c r="AE48" s="24" t="s">
        <v>215</v>
      </c>
      <c r="AF48" s="24" t="s">
        <v>40</v>
      </c>
      <c r="AG48" s="24" t="s">
        <v>40</v>
      </c>
      <c r="AH48" s="24" t="s">
        <v>40</v>
      </c>
      <c r="AI48" s="25">
        <v>45947</v>
      </c>
      <c r="AJ48" s="25">
        <v>45976</v>
      </c>
      <c r="AK48" s="23">
        <v>1400001901</v>
      </c>
    </row>
    <row r="49" spans="1:37" x14ac:dyDescent="0.35">
      <c r="A49" s="3" t="s">
        <v>32</v>
      </c>
      <c r="B49" s="3" t="s">
        <v>33</v>
      </c>
      <c r="C49" s="3" t="s">
        <v>34</v>
      </c>
      <c r="D49" s="3" t="s">
        <v>35</v>
      </c>
      <c r="E49" s="3" t="s">
        <v>85</v>
      </c>
      <c r="F49" s="4">
        <v>45750</v>
      </c>
      <c r="G49" s="23">
        <v>1800009121</v>
      </c>
      <c r="H49" s="24" t="s">
        <v>47</v>
      </c>
      <c r="I49" s="25">
        <v>45797</v>
      </c>
      <c r="J49" s="25">
        <v>45805</v>
      </c>
      <c r="K49" s="24" t="s">
        <v>38</v>
      </c>
      <c r="L49" s="26">
        <v>256779413885</v>
      </c>
      <c r="M49" s="23">
        <v>212100</v>
      </c>
      <c r="N49" s="24" t="s">
        <v>39</v>
      </c>
      <c r="O49" s="24" t="s">
        <v>40</v>
      </c>
      <c r="P49" s="23">
        <v>1</v>
      </c>
      <c r="Q49" s="24" t="s">
        <v>42</v>
      </c>
      <c r="R49" s="27">
        <v>111.15</v>
      </c>
      <c r="S49" s="24" t="s">
        <v>43</v>
      </c>
      <c r="T49" s="27">
        <v>9557.09</v>
      </c>
      <c r="U49" s="24" t="s">
        <v>44</v>
      </c>
      <c r="V49" s="23">
        <v>6779224500</v>
      </c>
      <c r="W49" s="24" t="s">
        <v>40</v>
      </c>
      <c r="X49" s="24" t="s">
        <v>38</v>
      </c>
      <c r="Y49" s="23">
        <v>1</v>
      </c>
      <c r="Z49" s="43" t="e" cm="1">
        <f t="array" ref="Z49">_xlfn.XLOOKUP(L49,'Customer Ledger'!$O:$O,'Customer Ledger'!$P:$Q,,0)</f>
        <v>#N/A</v>
      </c>
      <c r="AA49" s="43"/>
      <c r="AB49" s="43"/>
      <c r="AC49" s="23"/>
      <c r="AD49" s="23"/>
      <c r="AE49" s="24" t="s">
        <v>84</v>
      </c>
      <c r="AF49" s="24" t="s">
        <v>40</v>
      </c>
      <c r="AG49" s="24" t="s">
        <v>40</v>
      </c>
      <c r="AH49" s="24" t="s">
        <v>40</v>
      </c>
      <c r="AI49" s="25">
        <v>45797</v>
      </c>
      <c r="AJ49" s="25">
        <v>45976</v>
      </c>
      <c r="AK49" s="23">
        <v>1400001901</v>
      </c>
    </row>
    <row r="50" spans="1:37" x14ac:dyDescent="0.35">
      <c r="A50" s="3" t="s">
        <v>32</v>
      </c>
      <c r="B50" s="3" t="s">
        <v>33</v>
      </c>
      <c r="C50" s="3" t="s">
        <v>34</v>
      </c>
      <c r="D50" s="3" t="s">
        <v>35</v>
      </c>
      <c r="E50" s="3" t="s">
        <v>85</v>
      </c>
      <c r="F50" s="4">
        <v>45750</v>
      </c>
      <c r="G50" s="23">
        <v>1800005058</v>
      </c>
      <c r="H50" s="24" t="s">
        <v>47</v>
      </c>
      <c r="I50" s="25">
        <v>45750</v>
      </c>
      <c r="J50" s="25">
        <v>45752</v>
      </c>
      <c r="K50" s="24" t="s">
        <v>38</v>
      </c>
      <c r="L50" s="26">
        <v>256779410004</v>
      </c>
      <c r="M50" s="23">
        <v>212100</v>
      </c>
      <c r="N50" s="24" t="s">
        <v>39</v>
      </c>
      <c r="O50" s="24" t="s">
        <v>40</v>
      </c>
      <c r="P50" s="23">
        <v>1</v>
      </c>
      <c r="Q50" s="24" t="s">
        <v>42</v>
      </c>
      <c r="R50" s="27">
        <v>705</v>
      </c>
      <c r="S50" s="24" t="s">
        <v>43</v>
      </c>
      <c r="T50" s="42">
        <v>61279.88</v>
      </c>
      <c r="U50" s="24" t="s">
        <v>44</v>
      </c>
      <c r="V50" s="24" t="s">
        <v>40</v>
      </c>
      <c r="W50" s="24" t="s">
        <v>40</v>
      </c>
      <c r="X50" s="24" t="s">
        <v>38</v>
      </c>
      <c r="Y50" s="23">
        <v>1</v>
      </c>
      <c r="Z50" s="43" cm="1">
        <f t="array" ref="Z50:AA50">_xlfn.XLOOKUP(L50,'Customer Ledger'!$O:$O,'Customer Ledger'!$P:$Q,,0)</f>
        <v>0</v>
      </c>
      <c r="AA50" s="43">
        <v>55272</v>
      </c>
      <c r="AB50" s="43">
        <f>AA50-Z50</f>
        <v>55272</v>
      </c>
      <c r="AC50" s="43">
        <f>T50-AB50</f>
        <v>6007.8799999999974</v>
      </c>
      <c r="AD50" s="51">
        <f>AC50/T50</f>
        <v>9.8040009216728188E-2</v>
      </c>
      <c r="AE50" s="24" t="s">
        <v>94</v>
      </c>
      <c r="AF50" s="24" t="s">
        <v>40</v>
      </c>
      <c r="AG50" s="24" t="s">
        <v>40</v>
      </c>
      <c r="AH50" s="24" t="s">
        <v>40</v>
      </c>
      <c r="AI50" s="25">
        <v>45750</v>
      </c>
      <c r="AJ50" s="25">
        <v>45976</v>
      </c>
      <c r="AK50" s="23">
        <v>1400001901</v>
      </c>
    </row>
    <row r="51" spans="1:37" x14ac:dyDescent="0.35">
      <c r="A51" s="3" t="s">
        <v>32</v>
      </c>
      <c r="B51" s="3" t="s">
        <v>33</v>
      </c>
      <c r="C51" s="3" t="s">
        <v>34</v>
      </c>
      <c r="D51" s="3" t="s">
        <v>35</v>
      </c>
      <c r="E51" s="3" t="s">
        <v>95</v>
      </c>
      <c r="F51" s="4">
        <v>45950</v>
      </c>
      <c r="G51" s="23">
        <v>1800013971</v>
      </c>
      <c r="H51" s="24" t="s">
        <v>47</v>
      </c>
      <c r="I51" s="25">
        <v>45950</v>
      </c>
      <c r="J51" s="25">
        <v>45951</v>
      </c>
      <c r="K51" s="24" t="s">
        <v>38</v>
      </c>
      <c r="L51" s="26">
        <v>256779418614</v>
      </c>
      <c r="M51" s="23">
        <v>212100</v>
      </c>
      <c r="N51" s="24" t="s">
        <v>39</v>
      </c>
      <c r="O51" s="24" t="s">
        <v>40</v>
      </c>
      <c r="P51" s="23">
        <v>1</v>
      </c>
      <c r="Q51" s="24" t="s">
        <v>42</v>
      </c>
      <c r="R51" s="27">
        <v>338.06</v>
      </c>
      <c r="S51" s="24" t="s">
        <v>43</v>
      </c>
      <c r="T51" s="27">
        <v>29813.77</v>
      </c>
      <c r="U51" s="24" t="s">
        <v>44</v>
      </c>
      <c r="V51" s="23">
        <v>6779224500</v>
      </c>
      <c r="W51" s="24" t="s">
        <v>40</v>
      </c>
      <c r="X51" s="23">
        <v>2114876</v>
      </c>
      <c r="Y51" s="23">
        <v>1</v>
      </c>
      <c r="Z51" s="43" t="e" cm="1">
        <f t="array" ref="Z51">_xlfn.XLOOKUP(L51,'Customer Ledger'!$O:$O,'Customer Ledger'!$P:$Q,,0)</f>
        <v>#N/A</v>
      </c>
      <c r="AA51" s="43"/>
      <c r="AB51" s="43"/>
      <c r="AC51" s="23"/>
      <c r="AD51" s="23"/>
      <c r="AE51" s="24" t="s">
        <v>96</v>
      </c>
      <c r="AF51" s="24" t="s">
        <v>40</v>
      </c>
      <c r="AG51" s="24" t="s">
        <v>40</v>
      </c>
      <c r="AH51" s="24" t="s">
        <v>40</v>
      </c>
      <c r="AI51" s="25">
        <v>45950</v>
      </c>
      <c r="AJ51" s="25"/>
      <c r="AK51" s="24" t="s">
        <v>40</v>
      </c>
    </row>
    <row r="52" spans="1:37" x14ac:dyDescent="0.35">
      <c r="A52" s="3" t="s">
        <v>32</v>
      </c>
      <c r="B52" s="3" t="s">
        <v>33</v>
      </c>
      <c r="C52" s="3" t="s">
        <v>34</v>
      </c>
      <c r="D52" s="3" t="s">
        <v>35</v>
      </c>
      <c r="E52" s="3" t="s">
        <v>95</v>
      </c>
      <c r="F52" s="4">
        <v>45950</v>
      </c>
      <c r="G52" s="23">
        <v>1800014013</v>
      </c>
      <c r="H52" s="24" t="s">
        <v>47</v>
      </c>
      <c r="I52" s="25">
        <v>45950</v>
      </c>
      <c r="J52" s="25">
        <v>45951</v>
      </c>
      <c r="K52" s="24" t="s">
        <v>38</v>
      </c>
      <c r="L52" s="26">
        <v>256779418620</v>
      </c>
      <c r="M52" s="23">
        <v>212100</v>
      </c>
      <c r="N52" s="24" t="s">
        <v>39</v>
      </c>
      <c r="O52" s="24" t="s">
        <v>40</v>
      </c>
      <c r="P52" s="23">
        <v>1</v>
      </c>
      <c r="Q52" s="24" t="s">
        <v>42</v>
      </c>
      <c r="R52" s="27">
        <v>830.96</v>
      </c>
      <c r="S52" s="24" t="s">
        <v>43</v>
      </c>
      <c r="T52" s="27">
        <v>73283</v>
      </c>
      <c r="U52" s="24" t="s">
        <v>44</v>
      </c>
      <c r="V52" s="23">
        <v>6779224500</v>
      </c>
      <c r="W52" s="24" t="s">
        <v>40</v>
      </c>
      <c r="X52" s="23">
        <v>2114877</v>
      </c>
      <c r="Y52" s="23">
        <v>1</v>
      </c>
      <c r="Z52" s="43" t="e" cm="1">
        <f t="array" ref="Z52">_xlfn.XLOOKUP(L52,'Customer Ledger'!$O:$O,'Customer Ledger'!$P:$Q,,0)</f>
        <v>#N/A</v>
      </c>
      <c r="AA52" s="43"/>
      <c r="AB52" s="43"/>
      <c r="AC52" s="23"/>
      <c r="AD52" s="23"/>
      <c r="AE52" s="24" t="s">
        <v>97</v>
      </c>
      <c r="AF52" s="24" t="s">
        <v>40</v>
      </c>
      <c r="AG52" s="24" t="s">
        <v>40</v>
      </c>
      <c r="AH52" s="24" t="s">
        <v>40</v>
      </c>
      <c r="AI52" s="25">
        <v>45950</v>
      </c>
      <c r="AJ52" s="25"/>
      <c r="AK52" s="24" t="s">
        <v>40</v>
      </c>
    </row>
    <row r="53" spans="1:37" x14ac:dyDescent="0.35">
      <c r="A53" s="3" t="s">
        <v>32</v>
      </c>
      <c r="B53" s="3" t="s">
        <v>33</v>
      </c>
      <c r="C53" s="3" t="s">
        <v>34</v>
      </c>
      <c r="D53" s="3" t="s">
        <v>35</v>
      </c>
      <c r="E53" s="3" t="s">
        <v>95</v>
      </c>
      <c r="F53" s="4">
        <v>45950</v>
      </c>
      <c r="G53" s="23">
        <v>1800013843</v>
      </c>
      <c r="H53" s="24" t="s">
        <v>47</v>
      </c>
      <c r="I53" s="25">
        <v>45950</v>
      </c>
      <c r="J53" s="25">
        <v>45951</v>
      </c>
      <c r="K53" s="24" t="s">
        <v>38</v>
      </c>
      <c r="L53" s="26">
        <v>256779418661</v>
      </c>
      <c r="M53" s="23">
        <v>212100</v>
      </c>
      <c r="N53" s="24" t="s">
        <v>39</v>
      </c>
      <c r="O53" s="24" t="s">
        <v>40</v>
      </c>
      <c r="P53" s="23">
        <v>1</v>
      </c>
      <c r="Q53" s="24" t="s">
        <v>42</v>
      </c>
      <c r="R53" s="27">
        <v>226.3</v>
      </c>
      <c r="S53" s="24" t="s">
        <v>43</v>
      </c>
      <c r="T53" s="27">
        <v>19957.57</v>
      </c>
      <c r="U53" s="24" t="s">
        <v>44</v>
      </c>
      <c r="V53" s="23">
        <v>6779224500</v>
      </c>
      <c r="W53" s="24" t="s">
        <v>40</v>
      </c>
      <c r="X53" s="23">
        <v>2114881</v>
      </c>
      <c r="Y53" s="23">
        <v>1</v>
      </c>
      <c r="Z53" s="43" t="e" cm="1">
        <f t="array" ref="Z53">_xlfn.XLOOKUP(L53,'Customer Ledger'!$O:$O,'Customer Ledger'!$P:$Q,,0)</f>
        <v>#N/A</v>
      </c>
      <c r="AA53" s="43"/>
      <c r="AB53" s="43"/>
      <c r="AC53" s="23"/>
      <c r="AD53" s="23"/>
      <c r="AE53" s="24" t="s">
        <v>98</v>
      </c>
      <c r="AF53" s="24" t="s">
        <v>40</v>
      </c>
      <c r="AG53" s="24" t="s">
        <v>40</v>
      </c>
      <c r="AH53" s="24" t="s">
        <v>40</v>
      </c>
      <c r="AI53" s="25">
        <v>45950</v>
      </c>
      <c r="AJ53" s="25"/>
      <c r="AK53" s="24" t="s">
        <v>40</v>
      </c>
    </row>
    <row r="54" spans="1:37" x14ac:dyDescent="0.35">
      <c r="A54" s="3" t="s">
        <v>32</v>
      </c>
      <c r="B54" s="3" t="s">
        <v>33</v>
      </c>
      <c r="C54" s="3" t="s">
        <v>34</v>
      </c>
      <c r="D54" s="3" t="s">
        <v>35</v>
      </c>
      <c r="E54" s="3" t="s">
        <v>95</v>
      </c>
      <c r="F54" s="4">
        <v>45950</v>
      </c>
      <c r="G54" s="23">
        <v>1800013925</v>
      </c>
      <c r="H54" s="24" t="s">
        <v>47</v>
      </c>
      <c r="I54" s="25">
        <v>45950</v>
      </c>
      <c r="J54" s="25">
        <v>45951</v>
      </c>
      <c r="K54" s="24" t="s">
        <v>38</v>
      </c>
      <c r="L54" s="26">
        <v>256779418702</v>
      </c>
      <c r="M54" s="23">
        <v>212100</v>
      </c>
      <c r="N54" s="24" t="s">
        <v>39</v>
      </c>
      <c r="O54" s="24" t="s">
        <v>40</v>
      </c>
      <c r="P54" s="23">
        <v>1</v>
      </c>
      <c r="Q54" s="24" t="s">
        <v>42</v>
      </c>
      <c r="R54" s="27">
        <v>182.87</v>
      </c>
      <c r="S54" s="24" t="s">
        <v>43</v>
      </c>
      <c r="T54" s="27">
        <v>16127.45</v>
      </c>
      <c r="U54" s="24" t="s">
        <v>44</v>
      </c>
      <c r="V54" s="23">
        <v>6779224500</v>
      </c>
      <c r="W54" s="24" t="s">
        <v>40</v>
      </c>
      <c r="X54" s="23">
        <v>2114883</v>
      </c>
      <c r="Y54" s="23">
        <v>1</v>
      </c>
      <c r="Z54" s="43" t="e" cm="1">
        <f t="array" ref="Z54">_xlfn.XLOOKUP(L54,'Customer Ledger'!$O:$O,'Customer Ledger'!$P:$Q,,0)</f>
        <v>#N/A</v>
      </c>
      <c r="AA54" s="43"/>
      <c r="AB54" s="43"/>
      <c r="AC54" s="23"/>
      <c r="AD54" s="23"/>
      <c r="AE54" s="24" t="s">
        <v>99</v>
      </c>
      <c r="AF54" s="24" t="s">
        <v>40</v>
      </c>
      <c r="AG54" s="24" t="s">
        <v>40</v>
      </c>
      <c r="AH54" s="24" t="s">
        <v>40</v>
      </c>
      <c r="AI54" s="25">
        <v>45950</v>
      </c>
      <c r="AJ54" s="25"/>
      <c r="AK54" s="24" t="s">
        <v>40</v>
      </c>
    </row>
    <row r="55" spans="1:37" x14ac:dyDescent="0.35">
      <c r="A55" s="3" t="s">
        <v>32</v>
      </c>
      <c r="B55" s="3" t="s">
        <v>33</v>
      </c>
      <c r="C55" s="3" t="s">
        <v>34</v>
      </c>
      <c r="D55" s="3" t="s">
        <v>35</v>
      </c>
      <c r="E55" s="3" t="s">
        <v>85</v>
      </c>
      <c r="F55" s="4">
        <v>45768</v>
      </c>
      <c r="G55" s="23">
        <v>1800007270</v>
      </c>
      <c r="H55" s="24" t="s">
        <v>47</v>
      </c>
      <c r="I55" s="25">
        <v>45768</v>
      </c>
      <c r="J55" s="25">
        <v>45769</v>
      </c>
      <c r="K55" s="24" t="s">
        <v>38</v>
      </c>
      <c r="L55" s="26">
        <v>256779412161</v>
      </c>
      <c r="M55" s="23">
        <v>212100</v>
      </c>
      <c r="N55" s="24" t="s">
        <v>39</v>
      </c>
      <c r="O55" s="24" t="s">
        <v>40</v>
      </c>
      <c r="P55" s="23">
        <v>1</v>
      </c>
      <c r="Q55" s="24" t="s">
        <v>42</v>
      </c>
      <c r="R55" s="27">
        <v>456.75</v>
      </c>
      <c r="S55" s="24" t="s">
        <v>43</v>
      </c>
      <c r="T55" s="42">
        <v>39193.72</v>
      </c>
      <c r="U55" s="24" t="s">
        <v>44</v>
      </c>
      <c r="V55" s="23">
        <v>6779224500</v>
      </c>
      <c r="W55" s="24" t="s">
        <v>40</v>
      </c>
      <c r="X55" s="24" t="s">
        <v>38</v>
      </c>
      <c r="Y55" s="23">
        <v>1</v>
      </c>
      <c r="Z55" s="43" cm="1">
        <f t="array" ref="Z55:AA55">_xlfn.XLOOKUP(L55,'Customer Ledger'!$O:$O,'Customer Ledger'!$P:$Q,,0)</f>
        <v>0</v>
      </c>
      <c r="AA55" s="43">
        <v>34962</v>
      </c>
      <c r="AB55" s="43">
        <f>AA55-Z55</f>
        <v>34962</v>
      </c>
      <c r="AC55" s="43">
        <f>T55-AB55</f>
        <v>4231.7200000000012</v>
      </c>
      <c r="AD55" s="51">
        <f>AC55/T55</f>
        <v>0.10796933794495651</v>
      </c>
      <c r="AE55" s="24" t="s">
        <v>100</v>
      </c>
      <c r="AF55" s="24" t="s">
        <v>40</v>
      </c>
      <c r="AG55" s="24" t="s">
        <v>40</v>
      </c>
      <c r="AH55" s="24" t="s">
        <v>40</v>
      </c>
      <c r="AI55" s="25">
        <v>45768</v>
      </c>
      <c r="AJ55" s="25"/>
      <c r="AK55" s="24" t="s">
        <v>40</v>
      </c>
    </row>
    <row r="56" spans="1:37" x14ac:dyDescent="0.35">
      <c r="A56" s="3" t="s">
        <v>32</v>
      </c>
      <c r="B56" s="3" t="s">
        <v>33</v>
      </c>
      <c r="C56" s="3" t="s">
        <v>34</v>
      </c>
      <c r="D56" s="3" t="s">
        <v>35</v>
      </c>
      <c r="E56" s="3" t="s">
        <v>36</v>
      </c>
      <c r="F56" s="4">
        <v>45862</v>
      </c>
      <c r="G56" s="23">
        <v>1600001816</v>
      </c>
      <c r="H56" s="24" t="s">
        <v>37</v>
      </c>
      <c r="I56" s="25">
        <v>45862</v>
      </c>
      <c r="J56" s="25">
        <v>45862</v>
      </c>
      <c r="K56" s="24" t="s">
        <v>38</v>
      </c>
      <c r="L56" s="26">
        <v>256779421436</v>
      </c>
      <c r="M56" s="23">
        <v>212100</v>
      </c>
      <c r="N56" s="24" t="s">
        <v>39</v>
      </c>
      <c r="O56" s="24" t="s">
        <v>40</v>
      </c>
      <c r="P56" s="23">
        <v>11</v>
      </c>
      <c r="Q56" s="24" t="s">
        <v>42</v>
      </c>
      <c r="R56" s="27">
        <v>-140</v>
      </c>
      <c r="S56" s="24" t="s">
        <v>43</v>
      </c>
      <c r="T56" s="27">
        <v>-12037.72</v>
      </c>
      <c r="U56" s="24" t="s">
        <v>44</v>
      </c>
      <c r="V56" s="23">
        <v>6779224500</v>
      </c>
      <c r="W56" s="24" t="s">
        <v>40</v>
      </c>
      <c r="X56" s="24" t="s">
        <v>38</v>
      </c>
      <c r="Y56" s="23">
        <v>1</v>
      </c>
      <c r="Z56" s="43" t="e" cm="1">
        <f t="array" ref="Z56">_xlfn.XLOOKUP(L56,'Customer Ledger'!$O:$O,'Customer Ledger'!$P:$Q,,0)</f>
        <v>#N/A</v>
      </c>
      <c r="AA56" s="43"/>
      <c r="AB56" s="43"/>
      <c r="AC56" s="23"/>
      <c r="AD56" s="23"/>
      <c r="AE56" s="24" t="s">
        <v>101</v>
      </c>
      <c r="AF56" s="24" t="s">
        <v>40</v>
      </c>
      <c r="AG56" s="24" t="s">
        <v>40</v>
      </c>
      <c r="AH56" s="24" t="s">
        <v>40</v>
      </c>
      <c r="AI56" s="25">
        <v>45862</v>
      </c>
      <c r="AJ56" s="25"/>
      <c r="AK56" s="24" t="s">
        <v>40</v>
      </c>
    </row>
    <row r="57" spans="1:37" x14ac:dyDescent="0.35">
      <c r="A57" s="3" t="s">
        <v>32</v>
      </c>
      <c r="B57" s="3" t="s">
        <v>33</v>
      </c>
      <c r="C57" s="3" t="s">
        <v>34</v>
      </c>
      <c r="D57" s="3" t="s">
        <v>35</v>
      </c>
      <c r="E57" s="3" t="s">
        <v>36</v>
      </c>
      <c r="F57" s="4">
        <v>45862</v>
      </c>
      <c r="G57" s="23">
        <v>1800011187</v>
      </c>
      <c r="H57" s="24" t="s">
        <v>47</v>
      </c>
      <c r="I57" s="25">
        <v>45862</v>
      </c>
      <c r="J57" s="25">
        <v>45862</v>
      </c>
      <c r="K57" s="24" t="s">
        <v>38</v>
      </c>
      <c r="L57" s="26">
        <v>256779415939</v>
      </c>
      <c r="M57" s="23">
        <v>212100</v>
      </c>
      <c r="N57" s="24" t="s">
        <v>39</v>
      </c>
      <c r="O57" s="24" t="s">
        <v>40</v>
      </c>
      <c r="P57" s="23">
        <v>1</v>
      </c>
      <c r="Q57" s="24" t="s">
        <v>42</v>
      </c>
      <c r="R57" s="27">
        <v>140</v>
      </c>
      <c r="S57" s="24" t="s">
        <v>43</v>
      </c>
      <c r="T57" s="42">
        <v>12040.09</v>
      </c>
      <c r="U57" s="24" t="s">
        <v>44</v>
      </c>
      <c r="V57" s="23">
        <v>6779224500</v>
      </c>
      <c r="W57" s="24" t="s">
        <v>40</v>
      </c>
      <c r="X57" s="24" t="s">
        <v>38</v>
      </c>
      <c r="Y57" s="23">
        <v>1</v>
      </c>
      <c r="Z57" s="43" cm="1">
        <f t="array" ref="Z57:AA57">_xlfn.XLOOKUP(L57,'Customer Ledger'!$O:$O,'Customer Ledger'!$P:$Q,,0)</f>
        <v>0</v>
      </c>
      <c r="AA57" s="43">
        <v>11782.0918</v>
      </c>
      <c r="AB57" s="43">
        <f t="shared" ref="AB57:AB58" si="9">AA57-Z57</f>
        <v>11782.0918</v>
      </c>
      <c r="AC57" s="43">
        <f t="shared" ref="AC57:AC58" si="10">T57-AB57</f>
        <v>257.9982</v>
      </c>
      <c r="AD57" s="51">
        <f t="shared" ref="AD57:AD58" si="11">AC57/T57</f>
        <v>2.142826174887397E-2</v>
      </c>
      <c r="AE57" s="24" t="s">
        <v>102</v>
      </c>
      <c r="AF57" s="24" t="s">
        <v>40</v>
      </c>
      <c r="AG57" s="24" t="s">
        <v>40</v>
      </c>
      <c r="AH57" s="24" t="s">
        <v>40</v>
      </c>
      <c r="AI57" s="25">
        <v>45862</v>
      </c>
      <c r="AJ57" s="25"/>
      <c r="AK57" s="24" t="s">
        <v>40</v>
      </c>
    </row>
    <row r="58" spans="1:37" x14ac:dyDescent="0.35">
      <c r="A58" s="3" t="s">
        <v>32</v>
      </c>
      <c r="B58" s="3" t="s">
        <v>33</v>
      </c>
      <c r="C58" s="3" t="s">
        <v>34</v>
      </c>
      <c r="D58" s="3" t="s">
        <v>35</v>
      </c>
      <c r="E58" s="3" t="s">
        <v>36</v>
      </c>
      <c r="F58" s="4">
        <v>45862</v>
      </c>
      <c r="G58" s="23">
        <v>1800011193</v>
      </c>
      <c r="H58" s="24" t="s">
        <v>47</v>
      </c>
      <c r="I58" s="25">
        <v>45862</v>
      </c>
      <c r="J58" s="25">
        <v>45862</v>
      </c>
      <c r="K58" s="24" t="s">
        <v>38</v>
      </c>
      <c r="L58" s="26">
        <v>256779415945</v>
      </c>
      <c r="M58" s="23">
        <v>212100</v>
      </c>
      <c r="N58" s="24" t="s">
        <v>39</v>
      </c>
      <c r="O58" s="24" t="s">
        <v>40</v>
      </c>
      <c r="P58" s="23">
        <v>1</v>
      </c>
      <c r="Q58" s="24" t="s">
        <v>42</v>
      </c>
      <c r="R58" s="27">
        <v>111.15</v>
      </c>
      <c r="S58" s="24" t="s">
        <v>43</v>
      </c>
      <c r="T58" s="42">
        <v>9558.9699999999993</v>
      </c>
      <c r="U58" s="24" t="s">
        <v>44</v>
      </c>
      <c r="V58" s="23">
        <v>6779224500</v>
      </c>
      <c r="W58" s="24" t="s">
        <v>40</v>
      </c>
      <c r="X58" s="24" t="s">
        <v>38</v>
      </c>
      <c r="Y58" s="23">
        <v>1</v>
      </c>
      <c r="Z58" s="43" cm="1">
        <f t="array" ref="Z58:AA58">_xlfn.XLOOKUP(L58,'Customer Ledger'!$O:$O,'Customer Ledger'!$P:$Q,,0)</f>
        <v>0</v>
      </c>
      <c r="AA58" s="43">
        <v>9368</v>
      </c>
      <c r="AB58" s="43">
        <f t="shared" si="9"/>
        <v>9368</v>
      </c>
      <c r="AC58" s="43">
        <f t="shared" si="10"/>
        <v>190.96999999999935</v>
      </c>
      <c r="AD58" s="51">
        <f t="shared" si="11"/>
        <v>1.9978093874130722E-2</v>
      </c>
      <c r="AE58" s="24" t="s">
        <v>84</v>
      </c>
      <c r="AF58" s="24" t="s">
        <v>40</v>
      </c>
      <c r="AG58" s="24" t="s">
        <v>40</v>
      </c>
      <c r="AH58" s="24" t="s">
        <v>40</v>
      </c>
      <c r="AI58" s="25">
        <v>45862</v>
      </c>
      <c r="AJ58" s="25"/>
      <c r="AK58" s="24" t="s">
        <v>40</v>
      </c>
    </row>
    <row r="59" spans="1:37" x14ac:dyDescent="0.35">
      <c r="A59" s="3" t="s">
        <v>32</v>
      </c>
      <c r="B59" s="3" t="s">
        <v>33</v>
      </c>
      <c r="C59" s="3" t="s">
        <v>34</v>
      </c>
      <c r="D59" s="3" t="s">
        <v>35</v>
      </c>
      <c r="E59" s="3" t="s">
        <v>36</v>
      </c>
      <c r="F59" s="4">
        <v>45862</v>
      </c>
      <c r="G59" s="23">
        <v>1600001906</v>
      </c>
      <c r="H59" s="24" t="s">
        <v>37</v>
      </c>
      <c r="I59" s="25">
        <v>45862</v>
      </c>
      <c r="J59" s="25">
        <v>45862</v>
      </c>
      <c r="K59" s="24" t="s">
        <v>38</v>
      </c>
      <c r="L59" s="26">
        <v>256779421526</v>
      </c>
      <c r="M59" s="23">
        <v>212100</v>
      </c>
      <c r="N59" s="24" t="s">
        <v>39</v>
      </c>
      <c r="O59" s="24" t="s">
        <v>40</v>
      </c>
      <c r="P59" s="23">
        <v>11</v>
      </c>
      <c r="Q59" s="24" t="s">
        <v>42</v>
      </c>
      <c r="R59" s="27">
        <v>-456.75</v>
      </c>
      <c r="S59" s="24" t="s">
        <v>43</v>
      </c>
      <c r="T59" s="27">
        <v>-39280.81</v>
      </c>
      <c r="U59" s="24" t="s">
        <v>44</v>
      </c>
      <c r="V59" s="23">
        <v>6779224500</v>
      </c>
      <c r="W59" s="24" t="s">
        <v>40</v>
      </c>
      <c r="X59" s="24" t="s">
        <v>38</v>
      </c>
      <c r="Y59" s="23">
        <v>1</v>
      </c>
      <c r="Z59" s="43" t="e" cm="1">
        <f t="array" ref="Z59">_xlfn.XLOOKUP(L59,'Customer Ledger'!$O:$O,'Customer Ledger'!$P:$Q,,0)</f>
        <v>#N/A</v>
      </c>
      <c r="AA59" s="43"/>
      <c r="AB59" s="43"/>
      <c r="AC59" s="23"/>
      <c r="AD59" s="23"/>
      <c r="AE59" s="24" t="s">
        <v>103</v>
      </c>
      <c r="AF59" s="24" t="s">
        <v>40</v>
      </c>
      <c r="AG59" s="24" t="s">
        <v>40</v>
      </c>
      <c r="AH59" s="24" t="s">
        <v>40</v>
      </c>
      <c r="AI59" s="25">
        <v>45862</v>
      </c>
      <c r="AJ59" s="25">
        <v>45902</v>
      </c>
      <c r="AK59" s="23">
        <v>1400001112</v>
      </c>
    </row>
    <row r="60" spans="1:37" x14ac:dyDescent="0.35">
      <c r="A60" s="3" t="s">
        <v>32</v>
      </c>
      <c r="B60" s="3" t="s">
        <v>33</v>
      </c>
      <c r="C60" s="3" t="s">
        <v>34</v>
      </c>
      <c r="D60" s="3" t="s">
        <v>35</v>
      </c>
      <c r="E60" s="3" t="s">
        <v>36</v>
      </c>
      <c r="F60" s="4">
        <v>45862</v>
      </c>
      <c r="G60" s="23">
        <v>1600001923</v>
      </c>
      <c r="H60" s="24" t="s">
        <v>37</v>
      </c>
      <c r="I60" s="25">
        <v>45862</v>
      </c>
      <c r="J60" s="25">
        <v>45862</v>
      </c>
      <c r="K60" s="24" t="s">
        <v>38</v>
      </c>
      <c r="L60" s="26">
        <v>256779421543</v>
      </c>
      <c r="M60" s="23">
        <v>212100</v>
      </c>
      <c r="N60" s="24" t="s">
        <v>39</v>
      </c>
      <c r="O60" s="24" t="s">
        <v>40</v>
      </c>
      <c r="P60" s="23">
        <v>11</v>
      </c>
      <c r="Q60" s="24" t="s">
        <v>42</v>
      </c>
      <c r="R60" s="27">
        <v>-456.75</v>
      </c>
      <c r="S60" s="24" t="s">
        <v>43</v>
      </c>
      <c r="T60" s="27">
        <v>-39280.81</v>
      </c>
      <c r="U60" s="24" t="s">
        <v>44</v>
      </c>
      <c r="V60" s="23">
        <v>6779224500</v>
      </c>
      <c r="W60" s="24" t="s">
        <v>40</v>
      </c>
      <c r="X60" s="24" t="s">
        <v>38</v>
      </c>
      <c r="Y60" s="23">
        <v>1</v>
      </c>
      <c r="Z60" s="43" t="e" cm="1">
        <f t="array" ref="Z60">_xlfn.XLOOKUP(L60,'Customer Ledger'!$O:$O,'Customer Ledger'!$P:$Q,,0)</f>
        <v>#N/A</v>
      </c>
      <c r="AA60" s="43"/>
      <c r="AB60" s="43"/>
      <c r="AC60" s="23"/>
      <c r="AD60" s="23"/>
      <c r="AE60" s="24" t="s">
        <v>104</v>
      </c>
      <c r="AF60" s="24" t="s">
        <v>40</v>
      </c>
      <c r="AG60" s="24" t="s">
        <v>40</v>
      </c>
      <c r="AH60" s="24" t="s">
        <v>40</v>
      </c>
      <c r="AI60" s="25">
        <v>45862</v>
      </c>
      <c r="AJ60" s="25">
        <v>45902</v>
      </c>
      <c r="AK60" s="23">
        <v>1400001112</v>
      </c>
    </row>
    <row r="61" spans="1:37" x14ac:dyDescent="0.35">
      <c r="A61" s="3" t="s">
        <v>32</v>
      </c>
      <c r="B61" s="3" t="s">
        <v>33</v>
      </c>
      <c r="C61" s="3" t="s">
        <v>34</v>
      </c>
      <c r="D61" s="3" t="s">
        <v>35</v>
      </c>
      <c r="E61" s="3" t="s">
        <v>36</v>
      </c>
      <c r="F61" s="4">
        <v>45862</v>
      </c>
      <c r="G61" s="23">
        <v>1800005064</v>
      </c>
      <c r="H61" s="24" t="s">
        <v>47</v>
      </c>
      <c r="I61" s="25">
        <v>45750</v>
      </c>
      <c r="J61" s="25">
        <v>45752</v>
      </c>
      <c r="K61" s="24" t="s">
        <v>38</v>
      </c>
      <c r="L61" s="26">
        <v>256779410010</v>
      </c>
      <c r="M61" s="23">
        <v>212100</v>
      </c>
      <c r="N61" s="24" t="s">
        <v>39</v>
      </c>
      <c r="O61" s="24" t="s">
        <v>40</v>
      </c>
      <c r="P61" s="23">
        <v>1</v>
      </c>
      <c r="Q61" s="24" t="s">
        <v>42</v>
      </c>
      <c r="R61" s="27">
        <v>1793.99</v>
      </c>
      <c r="S61" s="24" t="s">
        <v>43</v>
      </c>
      <c r="T61" s="42">
        <v>155936.88</v>
      </c>
      <c r="U61" s="24" t="s">
        <v>44</v>
      </c>
      <c r="V61" s="24" t="s">
        <v>40</v>
      </c>
      <c r="W61" s="24" t="s">
        <v>40</v>
      </c>
      <c r="X61" s="24" t="s">
        <v>38</v>
      </c>
      <c r="Y61" s="23">
        <v>1</v>
      </c>
      <c r="Z61" s="43" cm="1">
        <f t="array" ref="Z61:AA61">_xlfn.XLOOKUP(L61,'Customer Ledger'!$O:$O,'Customer Ledger'!$P:$Q,,0)</f>
        <v>0</v>
      </c>
      <c r="AA61" s="43">
        <v>140649</v>
      </c>
      <c r="AB61" s="43">
        <f t="shared" ref="AB61:AB67" si="12">AA61-Z61</f>
        <v>140649</v>
      </c>
      <c r="AC61" s="43">
        <f t="shared" ref="AC61:AC67" si="13">T61-AB61</f>
        <v>15287.880000000005</v>
      </c>
      <c r="AD61" s="51">
        <f t="shared" ref="AD61:AD67" si="14">AC61/T61</f>
        <v>9.8038898815982489E-2</v>
      </c>
      <c r="AE61" s="24" t="s">
        <v>94</v>
      </c>
      <c r="AF61" s="24" t="s">
        <v>40</v>
      </c>
      <c r="AG61" s="24" t="s">
        <v>40</v>
      </c>
      <c r="AH61" s="24" t="s">
        <v>40</v>
      </c>
      <c r="AI61" s="25">
        <v>45750</v>
      </c>
      <c r="AJ61" s="25">
        <v>45976</v>
      </c>
      <c r="AK61" s="23">
        <v>1400001901</v>
      </c>
    </row>
    <row r="62" spans="1:37" x14ac:dyDescent="0.35">
      <c r="A62" s="3" t="s">
        <v>32</v>
      </c>
      <c r="B62" s="3" t="s">
        <v>33</v>
      </c>
      <c r="C62" s="3" t="s">
        <v>34</v>
      </c>
      <c r="D62" s="3" t="s">
        <v>35</v>
      </c>
      <c r="E62" s="3" t="s">
        <v>81</v>
      </c>
      <c r="F62" s="4">
        <v>45798</v>
      </c>
      <c r="G62" s="23">
        <v>1800008640</v>
      </c>
      <c r="H62" s="24" t="s">
        <v>47</v>
      </c>
      <c r="I62" s="25">
        <v>45798</v>
      </c>
      <c r="J62" s="25">
        <v>45800</v>
      </c>
      <c r="K62" s="24" t="s">
        <v>38</v>
      </c>
      <c r="L62" s="26">
        <v>256779413404</v>
      </c>
      <c r="M62" s="23">
        <v>212100</v>
      </c>
      <c r="N62" s="24" t="s">
        <v>39</v>
      </c>
      <c r="O62" s="24" t="s">
        <v>40</v>
      </c>
      <c r="P62" s="23">
        <v>1</v>
      </c>
      <c r="Q62" s="24" t="s">
        <v>42</v>
      </c>
      <c r="R62" s="27">
        <v>84.6</v>
      </c>
      <c r="S62" s="24" t="s">
        <v>43</v>
      </c>
      <c r="T62" s="42">
        <v>7274.22</v>
      </c>
      <c r="U62" s="24" t="s">
        <v>44</v>
      </c>
      <c r="V62" s="23">
        <v>6779224500</v>
      </c>
      <c r="W62" s="24" t="s">
        <v>40</v>
      </c>
      <c r="X62" s="24" t="s">
        <v>38</v>
      </c>
      <c r="Y62" s="23">
        <v>1</v>
      </c>
      <c r="Z62" s="43" cm="1">
        <f t="array" ref="Z62:AA62">_xlfn.XLOOKUP(L62,'Customer Ledger'!$O:$O,'Customer Ledger'!$P:$Q,,0)</f>
        <v>0</v>
      </c>
      <c r="AA62" s="43">
        <v>7129</v>
      </c>
      <c r="AB62" s="43">
        <f t="shared" si="12"/>
        <v>7129</v>
      </c>
      <c r="AC62" s="43">
        <f t="shared" si="13"/>
        <v>145.22000000000025</v>
      </c>
      <c r="AD62" s="51">
        <f t="shared" si="14"/>
        <v>1.9963652460332552E-2</v>
      </c>
      <c r="AE62" s="24" t="s">
        <v>106</v>
      </c>
      <c r="AF62" s="24" t="s">
        <v>40</v>
      </c>
      <c r="AG62" s="24" t="s">
        <v>40</v>
      </c>
      <c r="AH62" s="24" t="s">
        <v>40</v>
      </c>
      <c r="AI62" s="25">
        <v>45798</v>
      </c>
      <c r="AJ62" s="25"/>
      <c r="AK62" s="24" t="s">
        <v>40</v>
      </c>
    </row>
    <row r="63" spans="1:37" x14ac:dyDescent="0.35">
      <c r="A63" s="3" t="s">
        <v>32</v>
      </c>
      <c r="B63" s="3" t="s">
        <v>33</v>
      </c>
      <c r="C63" s="3" t="s">
        <v>34</v>
      </c>
      <c r="D63" s="3" t="s">
        <v>35</v>
      </c>
      <c r="E63" s="3" t="s">
        <v>81</v>
      </c>
      <c r="F63" s="4">
        <v>45798</v>
      </c>
      <c r="G63" s="23">
        <v>1800008641</v>
      </c>
      <c r="H63" s="24" t="s">
        <v>47</v>
      </c>
      <c r="I63" s="25">
        <v>45798</v>
      </c>
      <c r="J63" s="25">
        <v>45800</v>
      </c>
      <c r="K63" s="24" t="s">
        <v>38</v>
      </c>
      <c r="L63" s="26">
        <v>256779413405</v>
      </c>
      <c r="M63" s="23">
        <v>212100</v>
      </c>
      <c r="N63" s="24" t="s">
        <v>39</v>
      </c>
      <c r="O63" s="24" t="s">
        <v>40</v>
      </c>
      <c r="P63" s="23">
        <v>1</v>
      </c>
      <c r="Q63" s="24" t="s">
        <v>42</v>
      </c>
      <c r="R63" s="27">
        <v>47</v>
      </c>
      <c r="S63" s="24" t="s">
        <v>43</v>
      </c>
      <c r="T63" s="42">
        <v>4041.23</v>
      </c>
      <c r="U63" s="24" t="s">
        <v>44</v>
      </c>
      <c r="V63" s="23">
        <v>6779224500</v>
      </c>
      <c r="W63" s="24" t="s">
        <v>40</v>
      </c>
      <c r="X63" s="24" t="s">
        <v>38</v>
      </c>
      <c r="Y63" s="23">
        <v>1</v>
      </c>
      <c r="Z63" s="43" cm="1">
        <f t="array" ref="Z63:AA63">_xlfn.XLOOKUP(L63,'Customer Ledger'!$O:$O,'Customer Ledger'!$P:$Q,,0)</f>
        <v>0</v>
      </c>
      <c r="AA63" s="43">
        <v>3960</v>
      </c>
      <c r="AB63" s="43">
        <f t="shared" si="12"/>
        <v>3960</v>
      </c>
      <c r="AC63" s="43">
        <f t="shared" si="13"/>
        <v>81.230000000000018</v>
      </c>
      <c r="AD63" s="51">
        <f t="shared" si="14"/>
        <v>2.0100315992903156E-2</v>
      </c>
      <c r="AE63" s="24" t="s">
        <v>107</v>
      </c>
      <c r="AF63" s="24" t="s">
        <v>40</v>
      </c>
      <c r="AG63" s="24" t="s">
        <v>40</v>
      </c>
      <c r="AH63" s="24" t="s">
        <v>40</v>
      </c>
      <c r="AI63" s="25">
        <v>45798</v>
      </c>
      <c r="AJ63" s="25"/>
      <c r="AK63" s="24" t="s">
        <v>40</v>
      </c>
    </row>
    <row r="64" spans="1:37" x14ac:dyDescent="0.35">
      <c r="A64" s="3" t="s">
        <v>32</v>
      </c>
      <c r="B64" s="3" t="s">
        <v>33</v>
      </c>
      <c r="C64" s="3" t="s">
        <v>34</v>
      </c>
      <c r="D64" s="3" t="s">
        <v>35</v>
      </c>
      <c r="E64" s="3" t="s">
        <v>81</v>
      </c>
      <c r="F64" s="4">
        <v>45798</v>
      </c>
      <c r="G64" s="23">
        <v>1800008665</v>
      </c>
      <c r="H64" s="24" t="s">
        <v>47</v>
      </c>
      <c r="I64" s="25">
        <v>45798</v>
      </c>
      <c r="J64" s="25">
        <v>45800</v>
      </c>
      <c r="K64" s="24" t="s">
        <v>38</v>
      </c>
      <c r="L64" s="26">
        <v>256779413429</v>
      </c>
      <c r="M64" s="23">
        <v>212100</v>
      </c>
      <c r="N64" s="24" t="s">
        <v>39</v>
      </c>
      <c r="O64" s="24" t="s">
        <v>40</v>
      </c>
      <c r="P64" s="23">
        <v>1</v>
      </c>
      <c r="Q64" s="24" t="s">
        <v>42</v>
      </c>
      <c r="R64" s="27">
        <v>7.05</v>
      </c>
      <c r="S64" s="24" t="s">
        <v>43</v>
      </c>
      <c r="T64" s="42">
        <v>606.19000000000005</v>
      </c>
      <c r="U64" s="24" t="s">
        <v>44</v>
      </c>
      <c r="V64" s="23">
        <v>6779224500</v>
      </c>
      <c r="W64" s="24" t="s">
        <v>40</v>
      </c>
      <c r="X64" s="24" t="s">
        <v>38</v>
      </c>
      <c r="Y64" s="23">
        <v>1</v>
      </c>
      <c r="Z64" s="43" cm="1">
        <f t="array" ref="Z64:AA64">_xlfn.XLOOKUP(L64,'Customer Ledger'!$O:$O,'Customer Ledger'!$P:$Q,,0)</f>
        <v>0</v>
      </c>
      <c r="AA64" s="43">
        <v>601</v>
      </c>
      <c r="AB64" s="43">
        <f t="shared" si="12"/>
        <v>601</v>
      </c>
      <c r="AC64" s="43">
        <f t="shared" si="13"/>
        <v>5.1900000000000546</v>
      </c>
      <c r="AD64" s="51">
        <f t="shared" si="14"/>
        <v>8.561672083010367E-3</v>
      </c>
      <c r="AE64" s="24" t="s">
        <v>108</v>
      </c>
      <c r="AF64" s="24" t="s">
        <v>40</v>
      </c>
      <c r="AG64" s="24" t="s">
        <v>40</v>
      </c>
      <c r="AH64" s="24" t="s">
        <v>40</v>
      </c>
      <c r="AI64" s="25">
        <v>45798</v>
      </c>
      <c r="AJ64" s="25"/>
      <c r="AK64" s="24" t="s">
        <v>40</v>
      </c>
    </row>
    <row r="65" spans="1:37" x14ac:dyDescent="0.35">
      <c r="A65" s="3" t="s">
        <v>32</v>
      </c>
      <c r="B65" s="3" t="s">
        <v>33</v>
      </c>
      <c r="C65" s="3" t="s">
        <v>34</v>
      </c>
      <c r="D65" s="3" t="s">
        <v>35</v>
      </c>
      <c r="E65" s="3" t="s">
        <v>81</v>
      </c>
      <c r="F65" s="4">
        <v>45798</v>
      </c>
      <c r="G65" s="23">
        <v>1800008666</v>
      </c>
      <c r="H65" s="24" t="s">
        <v>47</v>
      </c>
      <c r="I65" s="25">
        <v>45798</v>
      </c>
      <c r="J65" s="25">
        <v>45800</v>
      </c>
      <c r="K65" s="24" t="s">
        <v>38</v>
      </c>
      <c r="L65" s="26">
        <v>256779413430</v>
      </c>
      <c r="M65" s="23">
        <v>212100</v>
      </c>
      <c r="N65" s="24" t="s">
        <v>39</v>
      </c>
      <c r="O65" s="24" t="s">
        <v>40</v>
      </c>
      <c r="P65" s="23">
        <v>1</v>
      </c>
      <c r="Q65" s="24" t="s">
        <v>42</v>
      </c>
      <c r="R65" s="27">
        <v>14.1</v>
      </c>
      <c r="S65" s="24" t="s">
        <v>43</v>
      </c>
      <c r="T65" s="42">
        <v>1212.3699999999999</v>
      </c>
      <c r="U65" s="24" t="s">
        <v>44</v>
      </c>
      <c r="V65" s="23">
        <v>6779224500</v>
      </c>
      <c r="W65" s="24" t="s">
        <v>40</v>
      </c>
      <c r="X65" s="24" t="s">
        <v>38</v>
      </c>
      <c r="Y65" s="23">
        <v>1</v>
      </c>
      <c r="Z65" s="43" cm="1">
        <f t="array" ref="Z65:AA65">_xlfn.XLOOKUP(L65,'Customer Ledger'!$O:$O,'Customer Ledger'!$P:$Q,,0)</f>
        <v>0</v>
      </c>
      <c r="AA65" s="43">
        <v>1201</v>
      </c>
      <c r="AB65" s="43">
        <f t="shared" si="12"/>
        <v>1201</v>
      </c>
      <c r="AC65" s="43">
        <f t="shared" si="13"/>
        <v>11.369999999999891</v>
      </c>
      <c r="AD65" s="51">
        <f t="shared" si="14"/>
        <v>9.3783250987733869E-3</v>
      </c>
      <c r="AE65" s="24" t="s">
        <v>109</v>
      </c>
      <c r="AF65" s="24" t="s">
        <v>40</v>
      </c>
      <c r="AG65" s="24" t="s">
        <v>40</v>
      </c>
      <c r="AH65" s="24" t="s">
        <v>40</v>
      </c>
      <c r="AI65" s="25">
        <v>45798</v>
      </c>
      <c r="AJ65" s="25"/>
      <c r="AK65" s="24" t="s">
        <v>40</v>
      </c>
    </row>
    <row r="66" spans="1:37" x14ac:dyDescent="0.35">
      <c r="A66" s="3" t="s">
        <v>32</v>
      </c>
      <c r="B66" s="3" t="s">
        <v>33</v>
      </c>
      <c r="C66" s="3" t="s">
        <v>34</v>
      </c>
      <c r="D66" s="3" t="s">
        <v>35</v>
      </c>
      <c r="E66" s="3" t="s">
        <v>85</v>
      </c>
      <c r="F66" s="4">
        <v>45771</v>
      </c>
      <c r="G66" s="23">
        <v>1800007886</v>
      </c>
      <c r="H66" s="24" t="s">
        <v>47</v>
      </c>
      <c r="I66" s="25">
        <v>45771</v>
      </c>
      <c r="J66" s="25">
        <v>45773</v>
      </c>
      <c r="K66" s="24" t="s">
        <v>38</v>
      </c>
      <c r="L66" s="26">
        <v>256779412777</v>
      </c>
      <c r="M66" s="23">
        <v>212100</v>
      </c>
      <c r="N66" s="24" t="s">
        <v>39</v>
      </c>
      <c r="O66" s="24" t="s">
        <v>40</v>
      </c>
      <c r="P66" s="23">
        <v>1</v>
      </c>
      <c r="Q66" s="24" t="s">
        <v>42</v>
      </c>
      <c r="R66" s="27">
        <v>95.39</v>
      </c>
      <c r="S66" s="24" t="s">
        <v>43</v>
      </c>
      <c r="T66" s="42">
        <v>8291.4699999999993</v>
      </c>
      <c r="U66" s="24" t="s">
        <v>44</v>
      </c>
      <c r="V66" s="23">
        <v>6779224500</v>
      </c>
      <c r="W66" s="24" t="s">
        <v>40</v>
      </c>
      <c r="X66" s="24" t="s">
        <v>38</v>
      </c>
      <c r="Y66" s="23">
        <v>1</v>
      </c>
      <c r="Z66" s="43" cm="1">
        <f t="array" ref="Z66:AA66">_xlfn.XLOOKUP(L66,'Customer Ledger'!$O:$O,'Customer Ledger'!$P:$Q,,0)</f>
        <v>0</v>
      </c>
      <c r="AA66" s="43">
        <v>7981</v>
      </c>
      <c r="AB66" s="43">
        <f t="shared" si="12"/>
        <v>7981</v>
      </c>
      <c r="AC66" s="43">
        <f t="shared" si="13"/>
        <v>310.46999999999935</v>
      </c>
      <c r="AD66" s="51">
        <f t="shared" si="14"/>
        <v>3.7444506221454024E-2</v>
      </c>
      <c r="AE66" s="24" t="s">
        <v>110</v>
      </c>
      <c r="AF66" s="24" t="s">
        <v>40</v>
      </c>
      <c r="AG66" s="24" t="s">
        <v>40</v>
      </c>
      <c r="AH66" s="24" t="s">
        <v>40</v>
      </c>
      <c r="AI66" s="25">
        <v>45771</v>
      </c>
      <c r="AJ66" s="25"/>
      <c r="AK66" s="24" t="s">
        <v>40</v>
      </c>
    </row>
    <row r="67" spans="1:37" x14ac:dyDescent="0.35">
      <c r="A67" s="3" t="s">
        <v>32</v>
      </c>
      <c r="B67" s="3" t="s">
        <v>33</v>
      </c>
      <c r="C67" s="3" t="s">
        <v>34</v>
      </c>
      <c r="D67" s="3" t="s">
        <v>35</v>
      </c>
      <c r="E67" s="3" t="s">
        <v>111</v>
      </c>
      <c r="F67" s="4">
        <v>45826</v>
      </c>
      <c r="G67" s="23">
        <v>1800009994</v>
      </c>
      <c r="H67" s="24" t="s">
        <v>47</v>
      </c>
      <c r="I67" s="25">
        <v>45826</v>
      </c>
      <c r="J67" s="25">
        <v>45829</v>
      </c>
      <c r="K67" s="24" t="s">
        <v>38</v>
      </c>
      <c r="L67" s="26">
        <v>256779414758</v>
      </c>
      <c r="M67" s="23">
        <v>212100</v>
      </c>
      <c r="N67" s="24" t="s">
        <v>39</v>
      </c>
      <c r="O67" s="24" t="s">
        <v>40</v>
      </c>
      <c r="P67" s="23">
        <v>1</v>
      </c>
      <c r="Q67" s="24" t="s">
        <v>42</v>
      </c>
      <c r="R67" s="27">
        <v>173.9</v>
      </c>
      <c r="S67" s="24" t="s">
        <v>43</v>
      </c>
      <c r="T67" s="42">
        <v>14866.85</v>
      </c>
      <c r="U67" s="24" t="s">
        <v>44</v>
      </c>
      <c r="V67" s="23">
        <v>6779224500</v>
      </c>
      <c r="W67" s="24" t="s">
        <v>40</v>
      </c>
      <c r="X67" s="24" t="s">
        <v>38</v>
      </c>
      <c r="Y67" s="23">
        <v>1</v>
      </c>
      <c r="Z67" s="43" cm="1">
        <f t="array" ref="Z67:AA67">_xlfn.XLOOKUP(L67,'Customer Ledger'!$O:$O,'Customer Ledger'!$P:$Q,,0)</f>
        <v>0</v>
      </c>
      <c r="AA67" s="43">
        <v>14610.374299999999</v>
      </c>
      <c r="AB67" s="43">
        <f t="shared" si="12"/>
        <v>14610.374299999999</v>
      </c>
      <c r="AC67" s="43">
        <f t="shared" si="13"/>
        <v>256.47570000000087</v>
      </c>
      <c r="AD67" s="51">
        <f t="shared" si="14"/>
        <v>1.7251515956641848E-2</v>
      </c>
      <c r="AE67" s="24" t="s">
        <v>112</v>
      </c>
      <c r="AF67" s="24" t="s">
        <v>40</v>
      </c>
      <c r="AG67" s="24" t="s">
        <v>40</v>
      </c>
      <c r="AH67" s="24" t="s">
        <v>40</v>
      </c>
      <c r="AI67" s="25">
        <v>45826</v>
      </c>
      <c r="AJ67" s="25"/>
      <c r="AK67" s="24" t="s">
        <v>40</v>
      </c>
    </row>
    <row r="68" spans="1:37" x14ac:dyDescent="0.35">
      <c r="A68" s="3" t="s">
        <v>32</v>
      </c>
      <c r="B68" s="3" t="s">
        <v>33</v>
      </c>
      <c r="C68" s="3" t="s">
        <v>34</v>
      </c>
      <c r="D68" s="3" t="s">
        <v>35</v>
      </c>
      <c r="E68" s="3" t="s">
        <v>111</v>
      </c>
      <c r="F68" s="4">
        <v>45826</v>
      </c>
      <c r="G68" s="23">
        <v>1800009695</v>
      </c>
      <c r="H68" s="24" t="s">
        <v>47</v>
      </c>
      <c r="I68" s="25">
        <v>45826</v>
      </c>
      <c r="J68" s="25">
        <v>45827</v>
      </c>
      <c r="K68" s="24" t="s">
        <v>38</v>
      </c>
      <c r="L68" s="26">
        <v>256779414459</v>
      </c>
      <c r="M68" s="23">
        <v>212100</v>
      </c>
      <c r="N68" s="24" t="s">
        <v>39</v>
      </c>
      <c r="O68" s="24" t="s">
        <v>40</v>
      </c>
      <c r="P68" s="23">
        <v>1</v>
      </c>
      <c r="Q68" s="24" t="s">
        <v>42</v>
      </c>
      <c r="R68" s="27">
        <v>456.75</v>
      </c>
      <c r="S68" s="24" t="s">
        <v>43</v>
      </c>
      <c r="T68" s="27">
        <v>39047.910000000003</v>
      </c>
      <c r="U68" s="24" t="s">
        <v>44</v>
      </c>
      <c r="V68" s="23">
        <v>6779224500</v>
      </c>
      <c r="W68" s="24" t="s">
        <v>40</v>
      </c>
      <c r="X68" s="24" t="s">
        <v>38</v>
      </c>
      <c r="Y68" s="23">
        <v>1</v>
      </c>
      <c r="Z68" s="43" t="e" cm="1">
        <f t="array" ref="Z68">_xlfn.XLOOKUP(L68,'Customer Ledger'!$O:$O,'Customer Ledger'!$P:$Q,,0)</f>
        <v>#N/A</v>
      </c>
      <c r="AA68" s="43"/>
      <c r="AB68" s="43"/>
      <c r="AC68" s="23"/>
      <c r="AD68" s="23"/>
      <c r="AE68" s="24" t="s">
        <v>93</v>
      </c>
      <c r="AF68" s="24" t="s">
        <v>40</v>
      </c>
      <c r="AG68" s="24" t="s">
        <v>40</v>
      </c>
      <c r="AH68" s="24" t="s">
        <v>40</v>
      </c>
      <c r="AI68" s="25">
        <v>45826</v>
      </c>
      <c r="AJ68" s="25">
        <v>45902</v>
      </c>
      <c r="AK68" s="23">
        <v>1400001112</v>
      </c>
    </row>
    <row r="69" spans="1:37" x14ac:dyDescent="0.35">
      <c r="A69" s="3" t="s">
        <v>32</v>
      </c>
      <c r="B69" s="3" t="s">
        <v>33</v>
      </c>
      <c r="C69" s="3" t="s">
        <v>34</v>
      </c>
      <c r="D69" s="3" t="s">
        <v>35</v>
      </c>
      <c r="E69" s="3" t="s">
        <v>111</v>
      </c>
      <c r="F69" s="4">
        <v>45826</v>
      </c>
      <c r="G69" s="23">
        <v>1800009712</v>
      </c>
      <c r="H69" s="24" t="s">
        <v>47</v>
      </c>
      <c r="I69" s="25">
        <v>45826</v>
      </c>
      <c r="J69" s="25">
        <v>45827</v>
      </c>
      <c r="K69" s="24" t="s">
        <v>38</v>
      </c>
      <c r="L69" s="26">
        <v>256779414476</v>
      </c>
      <c r="M69" s="23">
        <v>212100</v>
      </c>
      <c r="N69" s="24" t="s">
        <v>39</v>
      </c>
      <c r="O69" s="24" t="s">
        <v>40</v>
      </c>
      <c r="P69" s="23">
        <v>1</v>
      </c>
      <c r="Q69" s="24" t="s">
        <v>42</v>
      </c>
      <c r="R69" s="27">
        <v>456.75</v>
      </c>
      <c r="S69" s="24" t="s">
        <v>43</v>
      </c>
      <c r="T69" s="27">
        <v>39047.910000000003</v>
      </c>
      <c r="U69" s="24" t="s">
        <v>44</v>
      </c>
      <c r="V69" s="23">
        <v>6779224500</v>
      </c>
      <c r="W69" s="24" t="s">
        <v>40</v>
      </c>
      <c r="X69" s="24" t="s">
        <v>38</v>
      </c>
      <c r="Y69" s="23">
        <v>1</v>
      </c>
      <c r="Z69" s="43" t="e" cm="1">
        <f t="array" ref="Z69">_xlfn.XLOOKUP(L69,'Customer Ledger'!$O:$O,'Customer Ledger'!$P:$Q,,0)</f>
        <v>#N/A</v>
      </c>
      <c r="AA69" s="43"/>
      <c r="AB69" s="43"/>
      <c r="AC69" s="23"/>
      <c r="AD69" s="23"/>
      <c r="AE69" s="24" t="s">
        <v>92</v>
      </c>
      <c r="AF69" s="24" t="s">
        <v>40</v>
      </c>
      <c r="AG69" s="24" t="s">
        <v>40</v>
      </c>
      <c r="AH69" s="24" t="s">
        <v>40</v>
      </c>
      <c r="AI69" s="25">
        <v>45826</v>
      </c>
      <c r="AJ69" s="25">
        <v>45902</v>
      </c>
      <c r="AK69" s="23">
        <v>1400001112</v>
      </c>
    </row>
    <row r="70" spans="1:37" x14ac:dyDescent="0.35">
      <c r="A70" s="3" t="s">
        <v>32</v>
      </c>
      <c r="B70" s="3" t="s">
        <v>33</v>
      </c>
      <c r="C70" s="3" t="s">
        <v>34</v>
      </c>
      <c r="D70" s="3" t="s">
        <v>35</v>
      </c>
      <c r="E70" s="3" t="s">
        <v>95</v>
      </c>
      <c r="F70" s="4">
        <v>45951</v>
      </c>
      <c r="G70" s="23">
        <v>1800013945</v>
      </c>
      <c r="H70" s="24" t="s">
        <v>47</v>
      </c>
      <c r="I70" s="25">
        <v>45951</v>
      </c>
      <c r="J70" s="25">
        <v>45951</v>
      </c>
      <c r="K70" s="24" t="s">
        <v>38</v>
      </c>
      <c r="L70" s="26">
        <v>256779418477</v>
      </c>
      <c r="M70" s="23">
        <v>212100</v>
      </c>
      <c r="N70" s="24" t="s">
        <v>39</v>
      </c>
      <c r="O70" s="24" t="s">
        <v>40</v>
      </c>
      <c r="P70" s="23">
        <v>1</v>
      </c>
      <c r="Q70" s="24" t="s">
        <v>42</v>
      </c>
      <c r="R70" s="27">
        <v>3.4</v>
      </c>
      <c r="S70" s="24" t="s">
        <v>43</v>
      </c>
      <c r="T70" s="42">
        <v>299.85000000000002</v>
      </c>
      <c r="U70" s="24" t="s">
        <v>44</v>
      </c>
      <c r="V70" s="23">
        <v>6779224500</v>
      </c>
      <c r="W70" s="24" t="s">
        <v>40</v>
      </c>
      <c r="X70" s="23">
        <v>2114868</v>
      </c>
      <c r="Y70" s="23">
        <v>1</v>
      </c>
      <c r="Z70" s="43" cm="1">
        <f t="array" ref="Z70:AA70">_xlfn.XLOOKUP(L70,'Customer Ledger'!$O:$O,'Customer Ledger'!$P:$Q,,0)</f>
        <v>0</v>
      </c>
      <c r="AA70" s="43">
        <v>299.84859999999998</v>
      </c>
      <c r="AB70" s="43">
        <f t="shared" ref="AB70:AB72" si="15">AA70-Z70</f>
        <v>299.84859999999998</v>
      </c>
      <c r="AC70" s="43">
        <f t="shared" ref="AC70:AC72" si="16">T70-AB70</f>
        <v>1.4000000000464752E-3</v>
      </c>
      <c r="AD70" s="51">
        <f t="shared" ref="AD70:AD72" si="17">AC70/T70</f>
        <v>4.669001167405286E-6</v>
      </c>
      <c r="AE70" s="24" t="s">
        <v>113</v>
      </c>
      <c r="AF70" s="24" t="s">
        <v>40</v>
      </c>
      <c r="AG70" s="24" t="s">
        <v>40</v>
      </c>
      <c r="AH70" s="24" t="s">
        <v>40</v>
      </c>
      <c r="AI70" s="25">
        <v>45951</v>
      </c>
      <c r="AJ70" s="25"/>
      <c r="AK70" s="24" t="s">
        <v>40</v>
      </c>
    </row>
    <row r="71" spans="1:37" x14ac:dyDescent="0.35">
      <c r="A71" s="3" t="s">
        <v>32</v>
      </c>
      <c r="B71" s="3" t="s">
        <v>33</v>
      </c>
      <c r="C71" s="3" t="s">
        <v>34</v>
      </c>
      <c r="D71" s="3" t="s">
        <v>35</v>
      </c>
      <c r="E71" s="3" t="s">
        <v>95</v>
      </c>
      <c r="F71" s="4">
        <v>45951</v>
      </c>
      <c r="G71" s="23">
        <v>1800013962</v>
      </c>
      <c r="H71" s="24" t="s">
        <v>47</v>
      </c>
      <c r="I71" s="25">
        <v>45951</v>
      </c>
      <c r="J71" s="25">
        <v>45951</v>
      </c>
      <c r="K71" s="24" t="s">
        <v>38</v>
      </c>
      <c r="L71" s="26">
        <v>256779418492</v>
      </c>
      <c r="M71" s="23">
        <v>212100</v>
      </c>
      <c r="N71" s="24" t="s">
        <v>39</v>
      </c>
      <c r="O71" s="24" t="s">
        <v>40</v>
      </c>
      <c r="P71" s="23">
        <v>1</v>
      </c>
      <c r="Q71" s="24" t="s">
        <v>42</v>
      </c>
      <c r="R71" s="27">
        <v>3.4</v>
      </c>
      <c r="S71" s="24" t="s">
        <v>43</v>
      </c>
      <c r="T71" s="42">
        <v>299.85000000000002</v>
      </c>
      <c r="U71" s="24" t="s">
        <v>44</v>
      </c>
      <c r="V71" s="23">
        <v>6779224500</v>
      </c>
      <c r="W71" s="24" t="s">
        <v>40</v>
      </c>
      <c r="X71" s="23">
        <v>2114868</v>
      </c>
      <c r="Y71" s="23">
        <v>1</v>
      </c>
      <c r="Z71" s="43" cm="1">
        <f t="array" ref="Z71:AA71">_xlfn.XLOOKUP(L71,'Customer Ledger'!$O:$O,'Customer Ledger'!$P:$Q,,0)</f>
        <v>6</v>
      </c>
      <c r="AA71" s="43">
        <v>306</v>
      </c>
      <c r="AB71" s="43">
        <f t="shared" si="15"/>
        <v>300</v>
      </c>
      <c r="AC71" s="43">
        <f t="shared" si="16"/>
        <v>-0.14999999999997726</v>
      </c>
      <c r="AD71" s="51">
        <f t="shared" si="17"/>
        <v>-5.0025012506245544E-4</v>
      </c>
      <c r="AE71" s="24" t="s">
        <v>113</v>
      </c>
      <c r="AF71" s="24" t="s">
        <v>40</v>
      </c>
      <c r="AG71" s="24" t="s">
        <v>40</v>
      </c>
      <c r="AH71" s="24" t="s">
        <v>40</v>
      </c>
      <c r="AI71" s="25">
        <v>45951</v>
      </c>
      <c r="AJ71" s="25"/>
      <c r="AK71" s="24" t="s">
        <v>40</v>
      </c>
    </row>
    <row r="72" spans="1:37" x14ac:dyDescent="0.35">
      <c r="A72" s="3" t="s">
        <v>32</v>
      </c>
      <c r="B72" s="3" t="s">
        <v>33</v>
      </c>
      <c r="C72" s="3" t="s">
        <v>34</v>
      </c>
      <c r="D72" s="3" t="s">
        <v>35</v>
      </c>
      <c r="E72" s="3" t="s">
        <v>114</v>
      </c>
      <c r="F72" s="4">
        <v>45735</v>
      </c>
      <c r="G72" s="23">
        <v>1800003133</v>
      </c>
      <c r="H72" s="24" t="s">
        <v>47</v>
      </c>
      <c r="I72" s="25">
        <v>45735</v>
      </c>
      <c r="J72" s="25">
        <v>45736</v>
      </c>
      <c r="K72" s="24" t="s">
        <v>38</v>
      </c>
      <c r="L72" s="26">
        <v>246779413000</v>
      </c>
      <c r="M72" s="23">
        <v>212100</v>
      </c>
      <c r="N72" s="24" t="s">
        <v>39</v>
      </c>
      <c r="O72" s="24" t="s">
        <v>40</v>
      </c>
      <c r="P72" s="23">
        <v>1</v>
      </c>
      <c r="Q72" s="24" t="s">
        <v>42</v>
      </c>
      <c r="R72" s="27">
        <v>456.75</v>
      </c>
      <c r="S72" s="24" t="s">
        <v>43</v>
      </c>
      <c r="T72" s="42">
        <v>39596.230000000003</v>
      </c>
      <c r="U72" s="24" t="s">
        <v>44</v>
      </c>
      <c r="V72" s="23">
        <v>6779224500</v>
      </c>
      <c r="W72" s="24" t="s">
        <v>40</v>
      </c>
      <c r="X72" s="24" t="s">
        <v>38</v>
      </c>
      <c r="Y72" s="23">
        <v>1</v>
      </c>
      <c r="Z72" s="43" cm="1">
        <f t="array" ref="Z72:AA72">_xlfn.XLOOKUP(L72,'Customer Ledger'!$O:$O,'Customer Ledger'!$P:$Q,,0)</f>
        <v>0</v>
      </c>
      <c r="AA72" s="43">
        <v>35488</v>
      </c>
      <c r="AB72" s="43">
        <f t="shared" si="15"/>
        <v>35488</v>
      </c>
      <c r="AC72" s="43">
        <f t="shared" si="16"/>
        <v>4108.2300000000032</v>
      </c>
      <c r="AD72" s="51">
        <f t="shared" si="17"/>
        <v>0.1037530593190312</v>
      </c>
      <c r="AE72" s="24" t="s">
        <v>115</v>
      </c>
      <c r="AF72" s="24" t="s">
        <v>40</v>
      </c>
      <c r="AG72" s="24" t="s">
        <v>40</v>
      </c>
      <c r="AH72" s="24" t="s">
        <v>40</v>
      </c>
      <c r="AI72" s="25">
        <v>45735</v>
      </c>
      <c r="AJ72" s="25"/>
      <c r="AK72" s="24" t="s">
        <v>40</v>
      </c>
    </row>
    <row r="73" spans="1:37" x14ac:dyDescent="0.35">
      <c r="A73" s="3" t="s">
        <v>32</v>
      </c>
      <c r="B73" s="3" t="s">
        <v>33</v>
      </c>
      <c r="C73" s="3" t="s">
        <v>34</v>
      </c>
      <c r="D73" s="3" t="s">
        <v>35</v>
      </c>
      <c r="E73" s="3" t="s">
        <v>114</v>
      </c>
      <c r="F73" s="4">
        <v>45735</v>
      </c>
      <c r="G73" s="23">
        <v>1800003342</v>
      </c>
      <c r="H73" s="24" t="s">
        <v>47</v>
      </c>
      <c r="I73" s="25">
        <v>45735</v>
      </c>
      <c r="J73" s="25">
        <v>45736</v>
      </c>
      <c r="K73" s="24" t="s">
        <v>38</v>
      </c>
      <c r="L73" s="26">
        <v>246779413209</v>
      </c>
      <c r="M73" s="23">
        <v>212100</v>
      </c>
      <c r="N73" s="24" t="s">
        <v>39</v>
      </c>
      <c r="O73" s="24" t="s">
        <v>40</v>
      </c>
      <c r="P73" s="23">
        <v>1</v>
      </c>
      <c r="Q73" s="24" t="s">
        <v>42</v>
      </c>
      <c r="R73" s="27">
        <v>39.06</v>
      </c>
      <c r="S73" s="24" t="s">
        <v>43</v>
      </c>
      <c r="T73" s="27">
        <v>3386.16</v>
      </c>
      <c r="U73" s="24" t="s">
        <v>44</v>
      </c>
      <c r="V73" s="23">
        <v>6779224500</v>
      </c>
      <c r="W73" s="24" t="s">
        <v>40</v>
      </c>
      <c r="X73" s="24" t="s">
        <v>38</v>
      </c>
      <c r="Y73" s="23">
        <v>1</v>
      </c>
      <c r="Z73" s="43" t="e" cm="1">
        <f t="array" ref="Z73">_xlfn.XLOOKUP(L73,'Customer Ledger'!$O:$O,'Customer Ledger'!$P:$Q,,0)</f>
        <v>#N/A</v>
      </c>
      <c r="AA73" s="43"/>
      <c r="AB73" s="43"/>
      <c r="AC73" s="23"/>
      <c r="AD73" s="23"/>
      <c r="AE73" s="24" t="s">
        <v>116</v>
      </c>
      <c r="AF73" s="24" t="s">
        <v>40</v>
      </c>
      <c r="AG73" s="24" t="s">
        <v>40</v>
      </c>
      <c r="AH73" s="24" t="s">
        <v>40</v>
      </c>
      <c r="AI73" s="25">
        <v>45735</v>
      </c>
      <c r="AJ73" s="25"/>
      <c r="AK73" s="24" t="s">
        <v>40</v>
      </c>
    </row>
    <row r="74" spans="1:37" x14ac:dyDescent="0.35">
      <c r="A74" s="3" t="s">
        <v>32</v>
      </c>
      <c r="B74" s="3" t="s">
        <v>33</v>
      </c>
      <c r="C74" s="3" t="s">
        <v>34</v>
      </c>
      <c r="D74" s="3" t="s">
        <v>35</v>
      </c>
      <c r="E74" s="3" t="s">
        <v>114</v>
      </c>
      <c r="F74" s="4">
        <v>45735</v>
      </c>
      <c r="G74" s="23">
        <v>1800003343</v>
      </c>
      <c r="H74" s="24" t="s">
        <v>47</v>
      </c>
      <c r="I74" s="25">
        <v>45735</v>
      </c>
      <c r="J74" s="25">
        <v>45736</v>
      </c>
      <c r="K74" s="24" t="s">
        <v>38</v>
      </c>
      <c r="L74" s="26">
        <v>246779413210</v>
      </c>
      <c r="M74" s="23">
        <v>212100</v>
      </c>
      <c r="N74" s="24" t="s">
        <v>39</v>
      </c>
      <c r="O74" s="24" t="s">
        <v>40</v>
      </c>
      <c r="P74" s="23">
        <v>1</v>
      </c>
      <c r="Q74" s="24" t="s">
        <v>42</v>
      </c>
      <c r="R74" s="27">
        <v>39.06</v>
      </c>
      <c r="S74" s="24" t="s">
        <v>43</v>
      </c>
      <c r="T74" s="27">
        <v>3386.16</v>
      </c>
      <c r="U74" s="24" t="s">
        <v>44</v>
      </c>
      <c r="V74" s="23">
        <v>6779224500</v>
      </c>
      <c r="W74" s="24" t="s">
        <v>40</v>
      </c>
      <c r="X74" s="24" t="s">
        <v>38</v>
      </c>
      <c r="Y74" s="23">
        <v>1</v>
      </c>
      <c r="Z74" s="43" t="e" cm="1">
        <f t="array" ref="Z74">_xlfn.XLOOKUP(L74,'Customer Ledger'!$O:$O,'Customer Ledger'!$P:$Q,,0)</f>
        <v>#N/A</v>
      </c>
      <c r="AA74" s="43"/>
      <c r="AB74" s="43"/>
      <c r="AC74" s="23"/>
      <c r="AD74" s="23"/>
      <c r="AE74" s="24" t="s">
        <v>117</v>
      </c>
      <c r="AF74" s="24" t="s">
        <v>40</v>
      </c>
      <c r="AG74" s="24" t="s">
        <v>40</v>
      </c>
      <c r="AH74" s="24" t="s">
        <v>40</v>
      </c>
      <c r="AI74" s="25">
        <v>45735</v>
      </c>
      <c r="AJ74" s="25"/>
      <c r="AK74" s="24" t="s">
        <v>40</v>
      </c>
    </row>
    <row r="75" spans="1:37" x14ac:dyDescent="0.35">
      <c r="A75" s="3" t="s">
        <v>32</v>
      </c>
      <c r="B75" s="3" t="s">
        <v>33</v>
      </c>
      <c r="C75" s="3" t="s">
        <v>34</v>
      </c>
      <c r="D75" s="3" t="s">
        <v>35</v>
      </c>
      <c r="E75" s="3" t="s">
        <v>114</v>
      </c>
      <c r="F75" s="4">
        <v>45735</v>
      </c>
      <c r="G75" s="23">
        <v>1800003344</v>
      </c>
      <c r="H75" s="24" t="s">
        <v>47</v>
      </c>
      <c r="I75" s="25">
        <v>45735</v>
      </c>
      <c r="J75" s="25">
        <v>45736</v>
      </c>
      <c r="K75" s="24" t="s">
        <v>38</v>
      </c>
      <c r="L75" s="26">
        <v>246779413211</v>
      </c>
      <c r="M75" s="23">
        <v>212100</v>
      </c>
      <c r="N75" s="24" t="s">
        <v>39</v>
      </c>
      <c r="O75" s="24" t="s">
        <v>40</v>
      </c>
      <c r="P75" s="23">
        <v>1</v>
      </c>
      <c r="Q75" s="24" t="s">
        <v>42</v>
      </c>
      <c r="R75" s="27">
        <v>78.12</v>
      </c>
      <c r="S75" s="24" t="s">
        <v>43</v>
      </c>
      <c r="T75" s="27">
        <v>6772.32</v>
      </c>
      <c r="U75" s="24" t="s">
        <v>44</v>
      </c>
      <c r="V75" s="23">
        <v>6779224500</v>
      </c>
      <c r="W75" s="24" t="s">
        <v>40</v>
      </c>
      <c r="X75" s="24" t="s">
        <v>38</v>
      </c>
      <c r="Y75" s="23">
        <v>1</v>
      </c>
      <c r="Z75" s="43" t="e" cm="1">
        <f t="array" ref="Z75">_xlfn.XLOOKUP(L75,'Customer Ledger'!$O:$O,'Customer Ledger'!$P:$Q,,0)</f>
        <v>#N/A</v>
      </c>
      <c r="AA75" s="43"/>
      <c r="AB75" s="43"/>
      <c r="AC75" s="23"/>
      <c r="AD75" s="23"/>
      <c r="AE75" s="24" t="s">
        <v>118</v>
      </c>
      <c r="AF75" s="24" t="s">
        <v>40</v>
      </c>
      <c r="AG75" s="24" t="s">
        <v>40</v>
      </c>
      <c r="AH75" s="24" t="s">
        <v>40</v>
      </c>
      <c r="AI75" s="25">
        <v>45735</v>
      </c>
      <c r="AJ75" s="25"/>
      <c r="AK75" s="24" t="s">
        <v>40</v>
      </c>
    </row>
    <row r="76" spans="1:37" x14ac:dyDescent="0.35">
      <c r="A76" s="3" t="s">
        <v>32</v>
      </c>
      <c r="B76" s="3" t="s">
        <v>33</v>
      </c>
      <c r="C76" s="3" t="s">
        <v>34</v>
      </c>
      <c r="D76" s="3" t="s">
        <v>35</v>
      </c>
      <c r="E76" s="3" t="s">
        <v>114</v>
      </c>
      <c r="F76" s="4">
        <v>45735</v>
      </c>
      <c r="G76" s="23">
        <v>1800003345</v>
      </c>
      <c r="H76" s="24" t="s">
        <v>47</v>
      </c>
      <c r="I76" s="25">
        <v>45735</v>
      </c>
      <c r="J76" s="25">
        <v>45736</v>
      </c>
      <c r="K76" s="24" t="s">
        <v>38</v>
      </c>
      <c r="L76" s="26">
        <v>246779413212</v>
      </c>
      <c r="M76" s="23">
        <v>212100</v>
      </c>
      <c r="N76" s="24" t="s">
        <v>39</v>
      </c>
      <c r="O76" s="24" t="s">
        <v>40</v>
      </c>
      <c r="P76" s="23">
        <v>1</v>
      </c>
      <c r="Q76" s="24" t="s">
        <v>42</v>
      </c>
      <c r="R76" s="27">
        <v>39.06</v>
      </c>
      <c r="S76" s="24" t="s">
        <v>43</v>
      </c>
      <c r="T76" s="27">
        <v>3386.16</v>
      </c>
      <c r="U76" s="24" t="s">
        <v>44</v>
      </c>
      <c r="V76" s="23">
        <v>6779224500</v>
      </c>
      <c r="W76" s="24" t="s">
        <v>40</v>
      </c>
      <c r="X76" s="24" t="s">
        <v>38</v>
      </c>
      <c r="Y76" s="23">
        <v>1</v>
      </c>
      <c r="Z76" s="43" t="e" cm="1">
        <f t="array" ref="Z76">_xlfn.XLOOKUP(L76,'Customer Ledger'!$O:$O,'Customer Ledger'!$P:$Q,,0)</f>
        <v>#N/A</v>
      </c>
      <c r="AA76" s="43"/>
      <c r="AB76" s="43"/>
      <c r="AC76" s="23"/>
      <c r="AD76" s="23"/>
      <c r="AE76" s="24" t="s">
        <v>119</v>
      </c>
      <c r="AF76" s="24" t="s">
        <v>40</v>
      </c>
      <c r="AG76" s="24" t="s">
        <v>40</v>
      </c>
      <c r="AH76" s="24" t="s">
        <v>40</v>
      </c>
      <c r="AI76" s="25">
        <v>45735</v>
      </c>
      <c r="AJ76" s="25"/>
      <c r="AK76" s="24" t="s">
        <v>40</v>
      </c>
    </row>
    <row r="77" spans="1:37" x14ac:dyDescent="0.35">
      <c r="A77" s="3" t="s">
        <v>32</v>
      </c>
      <c r="B77" s="3" t="s">
        <v>33</v>
      </c>
      <c r="C77" s="3" t="s">
        <v>34</v>
      </c>
      <c r="D77" s="3" t="s">
        <v>35</v>
      </c>
      <c r="E77" s="3" t="s">
        <v>114</v>
      </c>
      <c r="F77" s="4">
        <v>45735</v>
      </c>
      <c r="G77" s="23">
        <v>1800003346</v>
      </c>
      <c r="H77" s="24" t="s">
        <v>47</v>
      </c>
      <c r="I77" s="25">
        <v>45735</v>
      </c>
      <c r="J77" s="25">
        <v>45736</v>
      </c>
      <c r="K77" s="24" t="s">
        <v>38</v>
      </c>
      <c r="L77" s="26">
        <v>246779413213</v>
      </c>
      <c r="M77" s="23">
        <v>212100</v>
      </c>
      <c r="N77" s="24" t="s">
        <v>39</v>
      </c>
      <c r="O77" s="24" t="s">
        <v>40</v>
      </c>
      <c r="P77" s="23">
        <v>1</v>
      </c>
      <c r="Q77" s="24" t="s">
        <v>42</v>
      </c>
      <c r="R77" s="27">
        <v>52.08</v>
      </c>
      <c r="S77" s="24" t="s">
        <v>43</v>
      </c>
      <c r="T77" s="27">
        <v>4514.88</v>
      </c>
      <c r="U77" s="24" t="s">
        <v>44</v>
      </c>
      <c r="V77" s="23">
        <v>6779224500</v>
      </c>
      <c r="W77" s="24" t="s">
        <v>40</v>
      </c>
      <c r="X77" s="24" t="s">
        <v>38</v>
      </c>
      <c r="Y77" s="23">
        <v>1</v>
      </c>
      <c r="Z77" s="43" t="e" cm="1">
        <f t="array" ref="Z77">_xlfn.XLOOKUP(L77,'Customer Ledger'!$O:$O,'Customer Ledger'!$P:$Q,,0)</f>
        <v>#N/A</v>
      </c>
      <c r="AA77" s="43"/>
      <c r="AB77" s="43"/>
      <c r="AC77" s="23"/>
      <c r="AD77" s="23"/>
      <c r="AE77" s="24" t="s">
        <v>120</v>
      </c>
      <c r="AF77" s="24" t="s">
        <v>40</v>
      </c>
      <c r="AG77" s="24" t="s">
        <v>40</v>
      </c>
      <c r="AH77" s="24" t="s">
        <v>40</v>
      </c>
      <c r="AI77" s="25">
        <v>45735</v>
      </c>
      <c r="AJ77" s="25"/>
      <c r="AK77" s="24" t="s">
        <v>40</v>
      </c>
    </row>
    <row r="78" spans="1:37" x14ac:dyDescent="0.35">
      <c r="A78" s="3" t="s">
        <v>32</v>
      </c>
      <c r="B78" s="3" t="s">
        <v>33</v>
      </c>
      <c r="C78" s="3" t="s">
        <v>34</v>
      </c>
      <c r="D78" s="3" t="s">
        <v>35</v>
      </c>
      <c r="E78" s="3" t="s">
        <v>114</v>
      </c>
      <c r="F78" s="4">
        <v>45735</v>
      </c>
      <c r="G78" s="23">
        <v>1800003457</v>
      </c>
      <c r="H78" s="24" t="s">
        <v>47</v>
      </c>
      <c r="I78" s="25">
        <v>45735</v>
      </c>
      <c r="J78" s="25">
        <v>45736</v>
      </c>
      <c r="K78" s="24" t="s">
        <v>38</v>
      </c>
      <c r="L78" s="26">
        <v>246779413324</v>
      </c>
      <c r="M78" s="23">
        <v>212100</v>
      </c>
      <c r="N78" s="24" t="s">
        <v>39</v>
      </c>
      <c r="O78" s="24" t="s">
        <v>40</v>
      </c>
      <c r="P78" s="23">
        <v>1</v>
      </c>
      <c r="Q78" s="24" t="s">
        <v>42</v>
      </c>
      <c r="R78" s="27">
        <v>4.3</v>
      </c>
      <c r="S78" s="24" t="s">
        <v>43</v>
      </c>
      <c r="T78" s="27">
        <v>372.77</v>
      </c>
      <c r="U78" s="24" t="s">
        <v>44</v>
      </c>
      <c r="V78" s="23">
        <v>6779224500</v>
      </c>
      <c r="W78" s="24" t="s">
        <v>40</v>
      </c>
      <c r="X78" s="24" t="s">
        <v>38</v>
      </c>
      <c r="Y78" s="23">
        <v>1</v>
      </c>
      <c r="Z78" s="43" t="e" cm="1">
        <f t="array" ref="Z78">_xlfn.XLOOKUP(L78,'Customer Ledger'!$O:$O,'Customer Ledger'!$P:$Q,,0)</f>
        <v>#N/A</v>
      </c>
      <c r="AA78" s="43"/>
      <c r="AB78" s="43"/>
      <c r="AC78" s="23"/>
      <c r="AD78" s="23"/>
      <c r="AE78" s="24" t="s">
        <v>121</v>
      </c>
      <c r="AF78" s="24" t="s">
        <v>40</v>
      </c>
      <c r="AG78" s="24" t="s">
        <v>40</v>
      </c>
      <c r="AH78" s="24" t="s">
        <v>40</v>
      </c>
      <c r="AI78" s="25">
        <v>45735</v>
      </c>
      <c r="AJ78" s="25"/>
      <c r="AK78" s="24" t="s">
        <v>40</v>
      </c>
    </row>
    <row r="79" spans="1:37" x14ac:dyDescent="0.35">
      <c r="A79" s="3" t="s">
        <v>32</v>
      </c>
      <c r="B79" s="3" t="s">
        <v>33</v>
      </c>
      <c r="C79" s="3" t="s">
        <v>34</v>
      </c>
      <c r="D79" s="3" t="s">
        <v>35</v>
      </c>
      <c r="E79" s="3" t="s">
        <v>111</v>
      </c>
      <c r="F79" s="4">
        <v>45827</v>
      </c>
      <c r="G79" s="23">
        <v>1800009979</v>
      </c>
      <c r="H79" s="24" t="s">
        <v>47</v>
      </c>
      <c r="I79" s="25">
        <v>45827</v>
      </c>
      <c r="J79" s="25">
        <v>45829</v>
      </c>
      <c r="K79" s="24" t="s">
        <v>38</v>
      </c>
      <c r="L79" s="26">
        <v>256779414743</v>
      </c>
      <c r="M79" s="23">
        <v>212100</v>
      </c>
      <c r="N79" s="24" t="s">
        <v>39</v>
      </c>
      <c r="O79" s="24" t="s">
        <v>40</v>
      </c>
      <c r="P79" s="23">
        <v>1</v>
      </c>
      <c r="Q79" s="24" t="s">
        <v>42</v>
      </c>
      <c r="R79" s="27">
        <v>71.430000000000007</v>
      </c>
      <c r="S79" s="24" t="s">
        <v>43</v>
      </c>
      <c r="T79" s="42">
        <v>6106.61</v>
      </c>
      <c r="U79" s="24" t="s">
        <v>44</v>
      </c>
      <c r="V79" s="23">
        <v>6779224500</v>
      </c>
      <c r="W79" s="24" t="s">
        <v>40</v>
      </c>
      <c r="X79" s="24" t="s">
        <v>40</v>
      </c>
      <c r="Y79" s="23">
        <v>1</v>
      </c>
      <c r="Z79" s="43" cm="1">
        <f t="array" ref="Z79:AA79">_xlfn.XLOOKUP(L79,'Customer Ledger'!$O:$O,'Customer Ledger'!$P:$Q,,0)</f>
        <v>0</v>
      </c>
      <c r="AA79" s="43">
        <v>6064.0230000000001</v>
      </c>
      <c r="AB79" s="43">
        <f t="shared" ref="AB79:AB100" si="18">AA79-Z79</f>
        <v>6064.0230000000001</v>
      </c>
      <c r="AC79" s="43">
        <f t="shared" ref="AC79:AC100" si="19">T79-AB79</f>
        <v>42.586999999999534</v>
      </c>
      <c r="AD79" s="51">
        <f t="shared" ref="AD79:AD100" si="20">AC79/T79</f>
        <v>6.9739184260988567E-3</v>
      </c>
      <c r="AE79" s="24" t="s">
        <v>122</v>
      </c>
      <c r="AF79" s="24" t="s">
        <v>40</v>
      </c>
      <c r="AG79" s="24" t="s">
        <v>40</v>
      </c>
      <c r="AH79" s="24" t="s">
        <v>40</v>
      </c>
      <c r="AI79" s="25">
        <v>45827</v>
      </c>
      <c r="AJ79" s="25"/>
      <c r="AK79" s="24" t="s">
        <v>40</v>
      </c>
    </row>
    <row r="80" spans="1:37" x14ac:dyDescent="0.35">
      <c r="A80" s="3" t="s">
        <v>32</v>
      </c>
      <c r="B80" s="3" t="s">
        <v>33</v>
      </c>
      <c r="C80" s="3" t="s">
        <v>34</v>
      </c>
      <c r="D80" s="3" t="s">
        <v>35</v>
      </c>
      <c r="E80" s="3" t="s">
        <v>111</v>
      </c>
      <c r="F80" s="4">
        <v>45827</v>
      </c>
      <c r="G80" s="23">
        <v>1800009984</v>
      </c>
      <c r="H80" s="24" t="s">
        <v>47</v>
      </c>
      <c r="I80" s="25">
        <v>45827</v>
      </c>
      <c r="J80" s="25">
        <v>45829</v>
      </c>
      <c r="K80" s="24" t="s">
        <v>38</v>
      </c>
      <c r="L80" s="26">
        <v>256779414748</v>
      </c>
      <c r="M80" s="23">
        <v>212100</v>
      </c>
      <c r="N80" s="24" t="s">
        <v>39</v>
      </c>
      <c r="O80" s="24" t="s">
        <v>40</v>
      </c>
      <c r="P80" s="23">
        <v>1</v>
      </c>
      <c r="Q80" s="24" t="s">
        <v>42</v>
      </c>
      <c r="R80" s="27">
        <v>20.91</v>
      </c>
      <c r="S80" s="24" t="s">
        <v>43</v>
      </c>
      <c r="T80" s="42">
        <v>1787.61</v>
      </c>
      <c r="U80" s="24" t="s">
        <v>44</v>
      </c>
      <c r="V80" s="23">
        <v>6779224500</v>
      </c>
      <c r="W80" s="24" t="s">
        <v>40</v>
      </c>
      <c r="X80" s="24" t="s">
        <v>40</v>
      </c>
      <c r="Y80" s="23">
        <v>1</v>
      </c>
      <c r="Z80" s="43" cm="1">
        <f t="array" ref="Z80:AA80">_xlfn.XLOOKUP(L80,'Customer Ledger'!$O:$O,'Customer Ledger'!$P:$Q,,0)</f>
        <v>0</v>
      </c>
      <c r="AA80" s="43">
        <v>1800.3510000000001</v>
      </c>
      <c r="AB80" s="43">
        <f t="shared" si="18"/>
        <v>1800.3510000000001</v>
      </c>
      <c r="AC80" s="43">
        <f t="shared" si="19"/>
        <v>-12.741000000000213</v>
      </c>
      <c r="AD80" s="51">
        <f t="shared" si="20"/>
        <v>-7.1273935589978871E-3</v>
      </c>
      <c r="AE80" s="24" t="s">
        <v>123</v>
      </c>
      <c r="AF80" s="24" t="s">
        <v>40</v>
      </c>
      <c r="AG80" s="24" t="s">
        <v>40</v>
      </c>
      <c r="AH80" s="24" t="s">
        <v>40</v>
      </c>
      <c r="AI80" s="25">
        <v>45827</v>
      </c>
      <c r="AJ80" s="25"/>
      <c r="AK80" s="24" t="s">
        <v>40</v>
      </c>
    </row>
    <row r="81" spans="1:37" x14ac:dyDescent="0.35">
      <c r="A81" s="3" t="s">
        <v>32</v>
      </c>
      <c r="B81" s="3" t="s">
        <v>33</v>
      </c>
      <c r="C81" s="3" t="s">
        <v>34</v>
      </c>
      <c r="D81" s="3" t="s">
        <v>35</v>
      </c>
      <c r="E81" s="3" t="s">
        <v>41</v>
      </c>
      <c r="F81" s="4">
        <v>45981</v>
      </c>
      <c r="G81" s="23">
        <v>1800014964</v>
      </c>
      <c r="H81" s="24" t="s">
        <v>47</v>
      </c>
      <c r="I81" s="25">
        <v>45981</v>
      </c>
      <c r="J81" s="25">
        <v>45982</v>
      </c>
      <c r="K81" s="24" t="s">
        <v>38</v>
      </c>
      <c r="L81" s="26">
        <v>256779419465</v>
      </c>
      <c r="M81" s="23">
        <v>212100</v>
      </c>
      <c r="N81" s="24" t="s">
        <v>39</v>
      </c>
      <c r="O81" s="24" t="s">
        <v>40</v>
      </c>
      <c r="P81" s="23">
        <v>1</v>
      </c>
      <c r="Q81" s="24" t="s">
        <v>42</v>
      </c>
      <c r="R81" s="27">
        <v>240.14</v>
      </c>
      <c r="S81" s="24" t="s">
        <v>43</v>
      </c>
      <c r="T81" s="42">
        <v>21133.13</v>
      </c>
      <c r="U81" s="24" t="s">
        <v>44</v>
      </c>
      <c r="V81" s="23">
        <v>6779224500</v>
      </c>
      <c r="W81" s="24" t="s">
        <v>40</v>
      </c>
      <c r="X81" s="23">
        <v>2130555</v>
      </c>
      <c r="Y81" s="23">
        <v>1</v>
      </c>
      <c r="Z81" s="43" cm="1">
        <f t="array" ref="Z81:AA81">_xlfn.XLOOKUP(L81,'Customer Ledger'!$O:$O,'Customer Ledger'!$P:$Q,,0)</f>
        <v>0</v>
      </c>
      <c r="AA81" s="43">
        <v>20693.117099999999</v>
      </c>
      <c r="AB81" s="43">
        <f t="shared" si="18"/>
        <v>20693.117099999999</v>
      </c>
      <c r="AC81" s="43">
        <f t="shared" si="19"/>
        <v>440.01290000000154</v>
      </c>
      <c r="AD81" s="51">
        <f t="shared" si="20"/>
        <v>2.082100001277622E-2</v>
      </c>
      <c r="AE81" s="24" t="s">
        <v>124</v>
      </c>
      <c r="AF81" s="24" t="s">
        <v>40</v>
      </c>
      <c r="AG81" s="24" t="s">
        <v>40</v>
      </c>
      <c r="AH81" s="24" t="s">
        <v>40</v>
      </c>
      <c r="AI81" s="25">
        <v>45981</v>
      </c>
      <c r="AJ81" s="25"/>
      <c r="AK81" s="24" t="s">
        <v>40</v>
      </c>
    </row>
    <row r="82" spans="1:37" x14ac:dyDescent="0.35">
      <c r="A82" s="3" t="s">
        <v>32</v>
      </c>
      <c r="B82" s="3" t="s">
        <v>33</v>
      </c>
      <c r="C82" s="3" t="s">
        <v>34</v>
      </c>
      <c r="D82" s="3" t="s">
        <v>35</v>
      </c>
      <c r="E82" s="3" t="s">
        <v>41</v>
      </c>
      <c r="F82" s="4">
        <v>45981</v>
      </c>
      <c r="G82" s="23">
        <v>1800014975</v>
      </c>
      <c r="H82" s="24" t="s">
        <v>47</v>
      </c>
      <c r="I82" s="25">
        <v>45981</v>
      </c>
      <c r="J82" s="25">
        <v>45982</v>
      </c>
      <c r="K82" s="24" t="s">
        <v>38</v>
      </c>
      <c r="L82" s="26">
        <v>256779419476</v>
      </c>
      <c r="M82" s="23">
        <v>212100</v>
      </c>
      <c r="N82" s="24" t="s">
        <v>39</v>
      </c>
      <c r="O82" s="24" t="s">
        <v>40</v>
      </c>
      <c r="P82" s="23">
        <v>1</v>
      </c>
      <c r="Q82" s="24" t="s">
        <v>42</v>
      </c>
      <c r="R82" s="27">
        <v>162.27000000000001</v>
      </c>
      <c r="S82" s="24" t="s">
        <v>43</v>
      </c>
      <c r="T82" s="42">
        <v>14280.31</v>
      </c>
      <c r="U82" s="24" t="s">
        <v>44</v>
      </c>
      <c r="V82" s="23">
        <v>6779224500</v>
      </c>
      <c r="W82" s="24" t="s">
        <v>40</v>
      </c>
      <c r="X82" s="23">
        <v>2130555</v>
      </c>
      <c r="Y82" s="23">
        <v>1</v>
      </c>
      <c r="Z82" s="43" cm="1">
        <f t="array" ref="Z82:AA82">_xlfn.XLOOKUP(L82,'Customer Ledger'!$O:$O,'Customer Ledger'!$P:$Q,,0)</f>
        <v>0</v>
      </c>
      <c r="AA82" s="43">
        <v>14016.2999</v>
      </c>
      <c r="AB82" s="43">
        <f t="shared" si="18"/>
        <v>14016.2999</v>
      </c>
      <c r="AC82" s="43">
        <f t="shared" si="19"/>
        <v>264.01009999999951</v>
      </c>
      <c r="AD82" s="51">
        <f t="shared" si="20"/>
        <v>1.8487700897249396E-2</v>
      </c>
      <c r="AE82" s="24" t="s">
        <v>125</v>
      </c>
      <c r="AF82" s="24" t="s">
        <v>40</v>
      </c>
      <c r="AG82" s="24" t="s">
        <v>40</v>
      </c>
      <c r="AH82" s="24" t="s">
        <v>40</v>
      </c>
      <c r="AI82" s="25">
        <v>45981</v>
      </c>
      <c r="AJ82" s="25"/>
      <c r="AK82" s="24" t="s">
        <v>40</v>
      </c>
    </row>
    <row r="83" spans="1:37" x14ac:dyDescent="0.35">
      <c r="A83" s="3" t="s">
        <v>32</v>
      </c>
      <c r="B83" s="3" t="s">
        <v>33</v>
      </c>
      <c r="C83" s="3" t="s">
        <v>34</v>
      </c>
      <c r="D83" s="3" t="s">
        <v>35</v>
      </c>
      <c r="E83" s="3" t="s">
        <v>41</v>
      </c>
      <c r="F83" s="4">
        <v>45981</v>
      </c>
      <c r="G83" s="23">
        <v>1800015033</v>
      </c>
      <c r="H83" s="24" t="s">
        <v>47</v>
      </c>
      <c r="I83" s="25">
        <v>45981</v>
      </c>
      <c r="J83" s="25">
        <v>45985</v>
      </c>
      <c r="K83" s="24" t="s">
        <v>38</v>
      </c>
      <c r="L83" s="26">
        <v>256779419534</v>
      </c>
      <c r="M83" s="23">
        <v>212100</v>
      </c>
      <c r="N83" s="24" t="s">
        <v>39</v>
      </c>
      <c r="O83" s="24" t="s">
        <v>40</v>
      </c>
      <c r="P83" s="23">
        <v>1</v>
      </c>
      <c r="Q83" s="24" t="s">
        <v>42</v>
      </c>
      <c r="R83" s="27">
        <v>90.2</v>
      </c>
      <c r="S83" s="24" t="s">
        <v>43</v>
      </c>
      <c r="T83" s="42">
        <v>7937.91</v>
      </c>
      <c r="U83" s="24" t="s">
        <v>44</v>
      </c>
      <c r="V83" s="23">
        <v>6779224500</v>
      </c>
      <c r="W83" s="24" t="s">
        <v>40</v>
      </c>
      <c r="X83" s="24" t="s">
        <v>38</v>
      </c>
      <c r="Y83" s="23">
        <v>1</v>
      </c>
      <c r="Z83" s="43" cm="1">
        <f t="array" ref="Z83:AA83">_xlfn.XLOOKUP(L83,'Customer Ledger'!$O:$O,'Customer Ledger'!$P:$Q,,0)</f>
        <v>0</v>
      </c>
      <c r="AA83" s="43">
        <v>7761.8990000000003</v>
      </c>
      <c r="AB83" s="43">
        <f t="shared" si="18"/>
        <v>7761.8990000000003</v>
      </c>
      <c r="AC83" s="43">
        <f t="shared" si="19"/>
        <v>176.01099999999951</v>
      </c>
      <c r="AD83" s="51">
        <f t="shared" si="20"/>
        <v>2.217346883499555E-2</v>
      </c>
      <c r="AE83" s="24" t="s">
        <v>126</v>
      </c>
      <c r="AF83" s="24" t="s">
        <v>40</v>
      </c>
      <c r="AG83" s="24" t="s">
        <v>40</v>
      </c>
      <c r="AH83" s="24" t="s">
        <v>40</v>
      </c>
      <c r="AI83" s="25">
        <v>45981</v>
      </c>
      <c r="AJ83" s="25"/>
      <c r="AK83" s="24" t="s">
        <v>40</v>
      </c>
    </row>
    <row r="84" spans="1:37" x14ac:dyDescent="0.35">
      <c r="A84" s="3" t="s">
        <v>32</v>
      </c>
      <c r="B84" s="3" t="s">
        <v>33</v>
      </c>
      <c r="C84" s="3" t="s">
        <v>34</v>
      </c>
      <c r="D84" s="3" t="s">
        <v>35</v>
      </c>
      <c r="E84" s="3" t="s">
        <v>41</v>
      </c>
      <c r="F84" s="4">
        <v>45981</v>
      </c>
      <c r="G84" s="23">
        <v>1800015043</v>
      </c>
      <c r="H84" s="24" t="s">
        <v>47</v>
      </c>
      <c r="I84" s="25">
        <v>45981</v>
      </c>
      <c r="J84" s="25">
        <v>45985</v>
      </c>
      <c r="K84" s="24" t="s">
        <v>38</v>
      </c>
      <c r="L84" s="26">
        <v>256779419556</v>
      </c>
      <c r="M84" s="23">
        <v>212100</v>
      </c>
      <c r="N84" s="24" t="s">
        <v>39</v>
      </c>
      <c r="O84" s="24" t="s">
        <v>40</v>
      </c>
      <c r="P84" s="23">
        <v>1</v>
      </c>
      <c r="Q84" s="24" t="s">
        <v>42</v>
      </c>
      <c r="R84" s="27">
        <v>502.5</v>
      </c>
      <c r="S84" s="24" t="s">
        <v>43</v>
      </c>
      <c r="T84" s="42">
        <v>44221.7</v>
      </c>
      <c r="U84" s="24" t="s">
        <v>44</v>
      </c>
      <c r="V84" s="23">
        <v>6779224500</v>
      </c>
      <c r="W84" s="24" t="s">
        <v>40</v>
      </c>
      <c r="X84" s="23">
        <v>2130610</v>
      </c>
      <c r="Y84" s="23">
        <v>1</v>
      </c>
      <c r="Z84" s="43" cm="1">
        <f t="array" ref="Z84:AA84">_xlfn.XLOOKUP(L84,'Customer Ledger'!$O:$O,'Customer Ledger'!$P:$Q,,0)</f>
        <v>0</v>
      </c>
      <c r="AA84" s="43">
        <v>39821.534</v>
      </c>
      <c r="AB84" s="43">
        <f t="shared" si="18"/>
        <v>39821.534</v>
      </c>
      <c r="AC84" s="43">
        <f t="shared" si="19"/>
        <v>4400.1659999999974</v>
      </c>
      <c r="AD84" s="51">
        <f t="shared" si="20"/>
        <v>9.9502416234563518E-2</v>
      </c>
      <c r="AE84" s="24" t="s">
        <v>127</v>
      </c>
      <c r="AF84" s="24" t="s">
        <v>40</v>
      </c>
      <c r="AG84" s="24" t="s">
        <v>40</v>
      </c>
      <c r="AH84" s="24" t="s">
        <v>40</v>
      </c>
      <c r="AI84" s="25">
        <v>45981</v>
      </c>
      <c r="AJ84" s="25"/>
      <c r="AK84" s="24" t="s">
        <v>40</v>
      </c>
    </row>
    <row r="85" spans="1:37" x14ac:dyDescent="0.35">
      <c r="A85" s="3" t="s">
        <v>32</v>
      </c>
      <c r="B85" s="3" t="s">
        <v>33</v>
      </c>
      <c r="C85" s="3" t="s">
        <v>34</v>
      </c>
      <c r="D85" s="3" t="s">
        <v>35</v>
      </c>
      <c r="E85" s="3" t="s">
        <v>41</v>
      </c>
      <c r="F85" s="4">
        <v>45981</v>
      </c>
      <c r="G85" s="23">
        <v>1800015096</v>
      </c>
      <c r="H85" s="24" t="s">
        <v>47</v>
      </c>
      <c r="I85" s="25">
        <v>45981</v>
      </c>
      <c r="J85" s="25">
        <v>45985</v>
      </c>
      <c r="K85" s="24" t="s">
        <v>38</v>
      </c>
      <c r="L85" s="26">
        <v>256779419547</v>
      </c>
      <c r="M85" s="23">
        <v>212100</v>
      </c>
      <c r="N85" s="24" t="s">
        <v>39</v>
      </c>
      <c r="O85" s="24" t="s">
        <v>40</v>
      </c>
      <c r="P85" s="23">
        <v>1</v>
      </c>
      <c r="Q85" s="24" t="s">
        <v>42</v>
      </c>
      <c r="R85" s="27">
        <v>109.01</v>
      </c>
      <c r="S85" s="24" t="s">
        <v>43</v>
      </c>
      <c r="T85" s="42">
        <v>9593.25</v>
      </c>
      <c r="U85" s="24" t="s">
        <v>44</v>
      </c>
      <c r="V85" s="23">
        <v>6779224500</v>
      </c>
      <c r="W85" s="24" t="s">
        <v>40</v>
      </c>
      <c r="X85" s="23">
        <v>2130609</v>
      </c>
      <c r="Y85" s="23">
        <v>1</v>
      </c>
      <c r="Z85" s="43" cm="1">
        <f t="array" ref="Z85:AA85">_xlfn.XLOOKUP(L85,'Customer Ledger'!$O:$O,'Customer Ledger'!$P:$Q,,0)</f>
        <v>0</v>
      </c>
      <c r="AA85" s="43">
        <v>9417.2428</v>
      </c>
      <c r="AB85" s="43">
        <f t="shared" si="18"/>
        <v>9417.2428</v>
      </c>
      <c r="AC85" s="43">
        <f t="shared" si="19"/>
        <v>176.00720000000001</v>
      </c>
      <c r="AD85" s="51">
        <f t="shared" si="20"/>
        <v>1.8346983556146251E-2</v>
      </c>
      <c r="AE85" s="24" t="s">
        <v>128</v>
      </c>
      <c r="AF85" s="24" t="s">
        <v>40</v>
      </c>
      <c r="AG85" s="24" t="s">
        <v>40</v>
      </c>
      <c r="AH85" s="24" t="s">
        <v>40</v>
      </c>
      <c r="AI85" s="25">
        <v>45981</v>
      </c>
      <c r="AJ85" s="25"/>
      <c r="AK85" s="24" t="s">
        <v>40</v>
      </c>
    </row>
    <row r="86" spans="1:37" x14ac:dyDescent="0.35">
      <c r="A86" s="3" t="s">
        <v>32</v>
      </c>
      <c r="B86" s="3" t="s">
        <v>33</v>
      </c>
      <c r="C86" s="3" t="s">
        <v>34</v>
      </c>
      <c r="D86" s="3" t="s">
        <v>35</v>
      </c>
      <c r="E86" s="3" t="s">
        <v>41</v>
      </c>
      <c r="F86" s="4">
        <v>45981</v>
      </c>
      <c r="G86" s="23">
        <v>1800015075</v>
      </c>
      <c r="H86" s="24" t="s">
        <v>47</v>
      </c>
      <c r="I86" s="25">
        <v>45981</v>
      </c>
      <c r="J86" s="25">
        <v>45985</v>
      </c>
      <c r="K86" s="24" t="s">
        <v>38</v>
      </c>
      <c r="L86" s="26">
        <v>256779419588</v>
      </c>
      <c r="M86" s="23">
        <v>212100</v>
      </c>
      <c r="N86" s="24" t="s">
        <v>39</v>
      </c>
      <c r="O86" s="24" t="s">
        <v>40</v>
      </c>
      <c r="P86" s="23">
        <v>1</v>
      </c>
      <c r="Q86" s="24" t="s">
        <v>42</v>
      </c>
      <c r="R86" s="27">
        <v>339.2</v>
      </c>
      <c r="S86" s="24" t="s">
        <v>43</v>
      </c>
      <c r="T86" s="42">
        <v>29850.75</v>
      </c>
      <c r="U86" s="24" t="s">
        <v>44</v>
      </c>
      <c r="V86" s="23">
        <v>6779224500</v>
      </c>
      <c r="W86" s="24" t="s">
        <v>40</v>
      </c>
      <c r="X86" s="23">
        <v>2130611</v>
      </c>
      <c r="Y86" s="23">
        <v>1</v>
      </c>
      <c r="Z86" s="43" cm="1">
        <f t="array" ref="Z86:AA86">_xlfn.XLOOKUP(L86,'Customer Ledger'!$O:$O,'Customer Ledger'!$P:$Q,,0)</f>
        <v>0</v>
      </c>
      <c r="AA86" s="43">
        <v>29234.726200000001</v>
      </c>
      <c r="AB86" s="43">
        <f t="shared" si="18"/>
        <v>29234.726200000001</v>
      </c>
      <c r="AC86" s="43">
        <f t="shared" si="19"/>
        <v>616.02379999999903</v>
      </c>
      <c r="AD86" s="51">
        <f t="shared" si="20"/>
        <v>2.0636794720400628E-2</v>
      </c>
      <c r="AE86" s="24" t="s">
        <v>129</v>
      </c>
      <c r="AF86" s="24" t="s">
        <v>40</v>
      </c>
      <c r="AG86" s="24" t="s">
        <v>40</v>
      </c>
      <c r="AH86" s="24" t="s">
        <v>40</v>
      </c>
      <c r="AI86" s="25">
        <v>45981</v>
      </c>
      <c r="AJ86" s="25"/>
      <c r="AK86" s="24" t="s">
        <v>40</v>
      </c>
    </row>
    <row r="87" spans="1:37" x14ac:dyDescent="0.35">
      <c r="A87" s="3" t="s">
        <v>32</v>
      </c>
      <c r="B87" s="3" t="s">
        <v>33</v>
      </c>
      <c r="C87" s="3" t="s">
        <v>34</v>
      </c>
      <c r="D87" s="3" t="s">
        <v>35</v>
      </c>
      <c r="E87" s="3" t="s">
        <v>41</v>
      </c>
      <c r="F87" s="4">
        <v>45981</v>
      </c>
      <c r="G87" s="23">
        <v>1800015129</v>
      </c>
      <c r="H87" s="24" t="s">
        <v>47</v>
      </c>
      <c r="I87" s="25">
        <v>45981</v>
      </c>
      <c r="J87" s="25">
        <v>45985</v>
      </c>
      <c r="K87" s="24" t="s">
        <v>38</v>
      </c>
      <c r="L87" s="26">
        <v>256779419628</v>
      </c>
      <c r="M87" s="23">
        <v>212100</v>
      </c>
      <c r="N87" s="24" t="s">
        <v>39</v>
      </c>
      <c r="O87" s="24" t="s">
        <v>40</v>
      </c>
      <c r="P87" s="23">
        <v>1</v>
      </c>
      <c r="Q87" s="24" t="s">
        <v>42</v>
      </c>
      <c r="R87" s="27">
        <v>10.199999999999999</v>
      </c>
      <c r="S87" s="24" t="s">
        <v>43</v>
      </c>
      <c r="T87" s="42">
        <v>897.63</v>
      </c>
      <c r="U87" s="24" t="s">
        <v>44</v>
      </c>
      <c r="V87" s="23">
        <v>6779224500</v>
      </c>
      <c r="W87" s="24" t="s">
        <v>40</v>
      </c>
      <c r="X87" s="23">
        <v>2130612</v>
      </c>
      <c r="Y87" s="23">
        <v>1</v>
      </c>
      <c r="Z87" s="43" cm="1">
        <f t="array" ref="Z87:AA87">_xlfn.XLOOKUP(L87,'Customer Ledger'!$O:$O,'Customer Ledger'!$P:$Q,,0)</f>
        <v>0</v>
      </c>
      <c r="AA87" s="43">
        <v>897.63459999999998</v>
      </c>
      <c r="AB87" s="43">
        <f t="shared" si="18"/>
        <v>897.63459999999998</v>
      </c>
      <c r="AC87" s="43">
        <f t="shared" si="19"/>
        <v>-4.5999999999821739E-3</v>
      </c>
      <c r="AD87" s="51">
        <f t="shared" si="20"/>
        <v>-5.1246059066454705E-6</v>
      </c>
      <c r="AE87" s="24" t="s">
        <v>130</v>
      </c>
      <c r="AF87" s="24" t="s">
        <v>40</v>
      </c>
      <c r="AG87" s="24" t="s">
        <v>40</v>
      </c>
      <c r="AH87" s="24" t="s">
        <v>40</v>
      </c>
      <c r="AI87" s="25">
        <v>45981</v>
      </c>
      <c r="AJ87" s="25"/>
      <c r="AK87" s="24" t="s">
        <v>40</v>
      </c>
    </row>
    <row r="88" spans="1:37" x14ac:dyDescent="0.35">
      <c r="A88" s="3" t="s">
        <v>32</v>
      </c>
      <c r="B88" s="3" t="s">
        <v>33</v>
      </c>
      <c r="C88" s="3" t="s">
        <v>34</v>
      </c>
      <c r="D88" s="3" t="s">
        <v>35</v>
      </c>
      <c r="E88" s="3" t="s">
        <v>85</v>
      </c>
      <c r="F88" s="4">
        <v>45769</v>
      </c>
      <c r="G88" s="23">
        <v>1800001380</v>
      </c>
      <c r="H88" s="24" t="s">
        <v>47</v>
      </c>
      <c r="I88" s="25">
        <v>45722</v>
      </c>
      <c r="J88" s="25">
        <v>45723</v>
      </c>
      <c r="K88" s="24" t="s">
        <v>38</v>
      </c>
      <c r="L88" s="26">
        <v>246779411249</v>
      </c>
      <c r="M88" s="23">
        <v>212100</v>
      </c>
      <c r="N88" s="24" t="s">
        <v>39</v>
      </c>
      <c r="O88" s="24" t="s">
        <v>40</v>
      </c>
      <c r="P88" s="23">
        <v>1</v>
      </c>
      <c r="Q88" s="24" t="s">
        <v>42</v>
      </c>
      <c r="R88" s="27">
        <v>169.2</v>
      </c>
      <c r="S88" s="24" t="s">
        <v>43</v>
      </c>
      <c r="T88" s="42">
        <v>14668.16</v>
      </c>
      <c r="U88" s="24" t="s">
        <v>44</v>
      </c>
      <c r="V88" s="23">
        <v>6779224500</v>
      </c>
      <c r="W88" s="24" t="s">
        <v>40</v>
      </c>
      <c r="X88" s="24" t="s">
        <v>38</v>
      </c>
      <c r="Y88" s="23">
        <v>1</v>
      </c>
      <c r="Z88" s="43" cm="1">
        <f t="array" ref="Z88:AA88">_xlfn.XLOOKUP(L88,'Customer Ledger'!$O:$O,'Customer Ledger'!$P:$Q,,0)</f>
        <v>0</v>
      </c>
      <c r="AA88" s="43">
        <v>13737</v>
      </c>
      <c r="AB88" s="43">
        <f t="shared" si="18"/>
        <v>13737</v>
      </c>
      <c r="AC88" s="43">
        <f t="shared" si="19"/>
        <v>931.15999999999985</v>
      </c>
      <c r="AD88" s="51">
        <f t="shared" si="20"/>
        <v>6.3481718225053441E-2</v>
      </c>
      <c r="AE88" s="24" t="s">
        <v>216</v>
      </c>
      <c r="AF88" s="24" t="s">
        <v>40</v>
      </c>
      <c r="AG88" s="24" t="s">
        <v>40</v>
      </c>
      <c r="AH88" s="24" t="s">
        <v>40</v>
      </c>
      <c r="AI88" s="25">
        <v>45722</v>
      </c>
      <c r="AJ88" s="25"/>
      <c r="AK88" s="24" t="s">
        <v>40</v>
      </c>
    </row>
    <row r="89" spans="1:37" x14ac:dyDescent="0.35">
      <c r="A89" s="3" t="s">
        <v>32</v>
      </c>
      <c r="B89" s="3" t="s">
        <v>33</v>
      </c>
      <c r="C89" s="3" t="s">
        <v>34</v>
      </c>
      <c r="D89" s="3" t="s">
        <v>35</v>
      </c>
      <c r="E89" s="3" t="s">
        <v>85</v>
      </c>
      <c r="F89" s="4">
        <v>45769</v>
      </c>
      <c r="G89" s="23">
        <v>1800006259</v>
      </c>
      <c r="H89" s="24" t="s">
        <v>47</v>
      </c>
      <c r="I89" s="25">
        <v>45762</v>
      </c>
      <c r="J89" s="25">
        <v>45763</v>
      </c>
      <c r="K89" s="24" t="s">
        <v>38</v>
      </c>
      <c r="L89" s="26">
        <v>256779411150</v>
      </c>
      <c r="M89" s="23">
        <v>212100</v>
      </c>
      <c r="N89" s="24" t="s">
        <v>39</v>
      </c>
      <c r="O89" s="24" t="s">
        <v>40</v>
      </c>
      <c r="P89" s="23">
        <v>1</v>
      </c>
      <c r="Q89" s="24" t="s">
        <v>42</v>
      </c>
      <c r="R89" s="27">
        <v>158.6</v>
      </c>
      <c r="S89" s="24" t="s">
        <v>43</v>
      </c>
      <c r="T89" s="42">
        <v>13785.8</v>
      </c>
      <c r="U89" s="24" t="s">
        <v>44</v>
      </c>
      <c r="V89" s="24" t="s">
        <v>40</v>
      </c>
      <c r="W89" s="24" t="s">
        <v>40</v>
      </c>
      <c r="X89" s="24" t="s">
        <v>38</v>
      </c>
      <c r="Y89" s="23">
        <v>1</v>
      </c>
      <c r="Z89" s="43" cm="1">
        <f t="array" ref="Z89:AA89">_xlfn.XLOOKUP(L89,'Customer Ledger'!$O:$O,'Customer Ledger'!$P:$Q,,0)</f>
        <v>0</v>
      </c>
      <c r="AA89" s="43">
        <v>13328</v>
      </c>
      <c r="AB89" s="43">
        <f t="shared" si="18"/>
        <v>13328</v>
      </c>
      <c r="AC89" s="43">
        <f t="shared" si="19"/>
        <v>457.79999999999927</v>
      </c>
      <c r="AD89" s="51">
        <f t="shared" si="20"/>
        <v>3.320808368030867E-2</v>
      </c>
      <c r="AE89" s="24" t="s">
        <v>209</v>
      </c>
      <c r="AF89" s="24" t="s">
        <v>40</v>
      </c>
      <c r="AG89" s="24" t="s">
        <v>40</v>
      </c>
      <c r="AH89" s="24" t="s">
        <v>40</v>
      </c>
      <c r="AI89" s="25">
        <v>45762</v>
      </c>
      <c r="AJ89" s="25"/>
      <c r="AK89" s="24" t="s">
        <v>40</v>
      </c>
    </row>
    <row r="90" spans="1:37" x14ac:dyDescent="0.35">
      <c r="A90" s="3" t="s">
        <v>32</v>
      </c>
      <c r="B90" s="3" t="s">
        <v>33</v>
      </c>
      <c r="C90" s="3" t="s">
        <v>34</v>
      </c>
      <c r="D90" s="3" t="s">
        <v>35</v>
      </c>
      <c r="E90" s="3" t="s">
        <v>85</v>
      </c>
      <c r="F90" s="4">
        <v>45769</v>
      </c>
      <c r="G90" s="23">
        <v>1800005274</v>
      </c>
      <c r="H90" s="24" t="s">
        <v>47</v>
      </c>
      <c r="I90" s="25">
        <v>45750</v>
      </c>
      <c r="J90" s="25">
        <v>45752</v>
      </c>
      <c r="K90" s="24" t="s">
        <v>38</v>
      </c>
      <c r="L90" s="26">
        <v>256779410166</v>
      </c>
      <c r="M90" s="23">
        <v>212100</v>
      </c>
      <c r="N90" s="24" t="s">
        <v>39</v>
      </c>
      <c r="O90" s="24" t="s">
        <v>40</v>
      </c>
      <c r="P90" s="23">
        <v>1</v>
      </c>
      <c r="Q90" s="24" t="s">
        <v>42</v>
      </c>
      <c r="R90" s="27">
        <v>152.75</v>
      </c>
      <c r="S90" s="24" t="s">
        <v>43</v>
      </c>
      <c r="T90" s="42">
        <v>13277.31</v>
      </c>
      <c r="U90" s="24" t="s">
        <v>44</v>
      </c>
      <c r="V90" s="24" t="s">
        <v>40</v>
      </c>
      <c r="W90" s="24" t="s">
        <v>40</v>
      </c>
      <c r="X90" s="24" t="s">
        <v>38</v>
      </c>
      <c r="Y90" s="23">
        <v>1</v>
      </c>
      <c r="Z90" s="43" cm="1">
        <f t="array" ref="Z90:AA90">_xlfn.XLOOKUP(L90,'Customer Ledger'!$O:$O,'Customer Ledger'!$P:$Q,,0)</f>
        <v>0</v>
      </c>
      <c r="AA90" s="43">
        <v>13011</v>
      </c>
      <c r="AB90" s="43">
        <f t="shared" si="18"/>
        <v>13011</v>
      </c>
      <c r="AC90" s="43">
        <f t="shared" si="19"/>
        <v>266.30999999999949</v>
      </c>
      <c r="AD90" s="51">
        <f t="shared" si="20"/>
        <v>2.0057526712865745E-2</v>
      </c>
      <c r="AE90" s="24" t="s">
        <v>86</v>
      </c>
      <c r="AF90" s="24" t="s">
        <v>40</v>
      </c>
      <c r="AG90" s="24" t="s">
        <v>40</v>
      </c>
      <c r="AH90" s="24" t="s">
        <v>40</v>
      </c>
      <c r="AI90" s="25">
        <v>45750</v>
      </c>
      <c r="AJ90" s="25"/>
      <c r="AK90" s="24" t="s">
        <v>40</v>
      </c>
    </row>
    <row r="91" spans="1:37" x14ac:dyDescent="0.35">
      <c r="A91" s="3" t="s">
        <v>32</v>
      </c>
      <c r="B91" s="3" t="s">
        <v>33</v>
      </c>
      <c r="C91" s="3" t="s">
        <v>34</v>
      </c>
      <c r="D91" s="3" t="s">
        <v>35</v>
      </c>
      <c r="E91" s="3" t="s">
        <v>85</v>
      </c>
      <c r="F91" s="4">
        <v>45769</v>
      </c>
      <c r="G91" s="23">
        <v>1800007570</v>
      </c>
      <c r="H91" s="24" t="s">
        <v>47</v>
      </c>
      <c r="I91" s="25">
        <v>45769</v>
      </c>
      <c r="J91" s="25">
        <v>45770</v>
      </c>
      <c r="K91" s="24" t="s">
        <v>38</v>
      </c>
      <c r="L91" s="26">
        <v>256779412461</v>
      </c>
      <c r="M91" s="23">
        <v>212100</v>
      </c>
      <c r="N91" s="24" t="s">
        <v>39</v>
      </c>
      <c r="O91" s="24" t="s">
        <v>40</v>
      </c>
      <c r="P91" s="23">
        <v>1</v>
      </c>
      <c r="Q91" s="24" t="s">
        <v>42</v>
      </c>
      <c r="R91" s="27">
        <v>126.9</v>
      </c>
      <c r="S91" s="24" t="s">
        <v>43</v>
      </c>
      <c r="T91" s="42">
        <v>11030.38</v>
      </c>
      <c r="U91" s="24" t="s">
        <v>44</v>
      </c>
      <c r="V91" s="23">
        <v>6779224500</v>
      </c>
      <c r="W91" s="24" t="s">
        <v>40</v>
      </c>
      <c r="X91" s="24" t="s">
        <v>38</v>
      </c>
      <c r="Y91" s="23">
        <v>1</v>
      </c>
      <c r="Z91" s="43" cm="1">
        <f t="array" ref="Z91:AA91">_xlfn.XLOOKUP(L91,'Customer Ledger'!$O:$O,'Customer Ledger'!$P:$Q,,0)</f>
        <v>0</v>
      </c>
      <c r="AA91" s="43">
        <v>10809</v>
      </c>
      <c r="AB91" s="43">
        <f t="shared" si="18"/>
        <v>10809</v>
      </c>
      <c r="AC91" s="43">
        <f t="shared" si="19"/>
        <v>221.3799999999992</v>
      </c>
      <c r="AD91" s="51">
        <f t="shared" si="20"/>
        <v>2.0070024786090709E-2</v>
      </c>
      <c r="AE91" s="24" t="s">
        <v>131</v>
      </c>
      <c r="AF91" s="24" t="s">
        <v>40</v>
      </c>
      <c r="AG91" s="24" t="s">
        <v>40</v>
      </c>
      <c r="AH91" s="24" t="s">
        <v>40</v>
      </c>
      <c r="AI91" s="25">
        <v>45769</v>
      </c>
      <c r="AJ91" s="25"/>
      <c r="AK91" s="24" t="s">
        <v>40</v>
      </c>
    </row>
    <row r="92" spans="1:37" x14ac:dyDescent="0.35">
      <c r="A92" s="3" t="s">
        <v>32</v>
      </c>
      <c r="B92" s="3" t="s">
        <v>33</v>
      </c>
      <c r="C92" s="3" t="s">
        <v>34</v>
      </c>
      <c r="D92" s="3" t="s">
        <v>35</v>
      </c>
      <c r="E92" s="3" t="s">
        <v>85</v>
      </c>
      <c r="F92" s="4">
        <v>45769</v>
      </c>
      <c r="G92" s="23">
        <v>1800001382</v>
      </c>
      <c r="H92" s="24" t="s">
        <v>47</v>
      </c>
      <c r="I92" s="25">
        <v>45722</v>
      </c>
      <c r="J92" s="25">
        <v>45723</v>
      </c>
      <c r="K92" s="24" t="s">
        <v>38</v>
      </c>
      <c r="L92" s="26">
        <v>246779411251</v>
      </c>
      <c r="M92" s="23">
        <v>212100</v>
      </c>
      <c r="N92" s="24" t="s">
        <v>39</v>
      </c>
      <c r="O92" s="24" t="s">
        <v>40</v>
      </c>
      <c r="P92" s="23">
        <v>1</v>
      </c>
      <c r="Q92" s="24" t="s">
        <v>42</v>
      </c>
      <c r="R92" s="27">
        <v>126.9</v>
      </c>
      <c r="S92" s="24" t="s">
        <v>43</v>
      </c>
      <c r="T92" s="42">
        <v>11001.12</v>
      </c>
      <c r="U92" s="24" t="s">
        <v>44</v>
      </c>
      <c r="V92" s="23">
        <v>6779224500</v>
      </c>
      <c r="W92" s="24" t="s">
        <v>40</v>
      </c>
      <c r="X92" s="24" t="s">
        <v>38</v>
      </c>
      <c r="Y92" s="23">
        <v>1</v>
      </c>
      <c r="Z92" s="43" cm="1">
        <f t="array" ref="Z92:AA92">_xlfn.XLOOKUP(L92,'Customer Ledger'!$O:$O,'Customer Ledger'!$P:$Q,,0)</f>
        <v>0</v>
      </c>
      <c r="AA92" s="43">
        <v>1599</v>
      </c>
      <c r="AB92" s="43">
        <f t="shared" si="18"/>
        <v>1599</v>
      </c>
      <c r="AC92" s="43">
        <f t="shared" si="19"/>
        <v>9402.1200000000008</v>
      </c>
      <c r="AD92" s="51">
        <f t="shared" si="20"/>
        <v>0.85465116279069764</v>
      </c>
      <c r="AE92" s="24" t="s">
        <v>216</v>
      </c>
      <c r="AF92" s="24" t="s">
        <v>40</v>
      </c>
      <c r="AG92" s="24" t="s">
        <v>40</v>
      </c>
      <c r="AH92" s="24" t="s">
        <v>40</v>
      </c>
      <c r="AI92" s="25">
        <v>45722</v>
      </c>
      <c r="AJ92" s="25"/>
      <c r="AK92" s="24" t="s">
        <v>40</v>
      </c>
    </row>
    <row r="93" spans="1:37" x14ac:dyDescent="0.35">
      <c r="A93" s="3" t="s">
        <v>32</v>
      </c>
      <c r="B93" s="3" t="s">
        <v>33</v>
      </c>
      <c r="C93" s="3" t="s">
        <v>34</v>
      </c>
      <c r="D93" s="3" t="s">
        <v>35</v>
      </c>
      <c r="E93" s="3" t="s">
        <v>85</v>
      </c>
      <c r="F93" s="4">
        <v>45769</v>
      </c>
      <c r="G93" s="23">
        <v>1800003759</v>
      </c>
      <c r="H93" s="24" t="s">
        <v>47</v>
      </c>
      <c r="I93" s="25">
        <v>45736</v>
      </c>
      <c r="J93" s="25">
        <v>45736</v>
      </c>
      <c r="K93" s="24" t="s">
        <v>38</v>
      </c>
      <c r="L93" s="26">
        <v>246779413626</v>
      </c>
      <c r="M93" s="23">
        <v>212100</v>
      </c>
      <c r="N93" s="24" t="s">
        <v>39</v>
      </c>
      <c r="O93" s="24" t="s">
        <v>40</v>
      </c>
      <c r="P93" s="23">
        <v>1</v>
      </c>
      <c r="Q93" s="24" t="s">
        <v>42</v>
      </c>
      <c r="R93" s="27">
        <v>84.6</v>
      </c>
      <c r="S93" s="24" t="s">
        <v>43</v>
      </c>
      <c r="T93" s="42">
        <v>7334.08</v>
      </c>
      <c r="U93" s="24" t="s">
        <v>44</v>
      </c>
      <c r="V93" s="23">
        <v>6779224500</v>
      </c>
      <c r="W93" s="24" t="s">
        <v>40</v>
      </c>
      <c r="X93" s="24" t="s">
        <v>38</v>
      </c>
      <c r="Y93" s="23">
        <v>1</v>
      </c>
      <c r="Z93" s="43" cm="1">
        <f t="array" ref="Z93:AA93">_xlfn.XLOOKUP(L93,'Customer Ledger'!$O:$O,'Customer Ledger'!$P:$Q,,0)</f>
        <v>0</v>
      </c>
      <c r="AA93" s="43">
        <v>7156</v>
      </c>
      <c r="AB93" s="43">
        <f t="shared" si="18"/>
        <v>7156</v>
      </c>
      <c r="AC93" s="43">
        <f t="shared" si="19"/>
        <v>178.07999999999993</v>
      </c>
      <c r="AD93" s="51">
        <f t="shared" si="20"/>
        <v>2.4281164099655299E-2</v>
      </c>
      <c r="AE93" s="24" t="s">
        <v>286</v>
      </c>
      <c r="AF93" s="24" t="s">
        <v>40</v>
      </c>
      <c r="AG93" s="24" t="s">
        <v>40</v>
      </c>
      <c r="AH93" s="24" t="s">
        <v>40</v>
      </c>
      <c r="AI93" s="25">
        <v>45736</v>
      </c>
      <c r="AJ93" s="25"/>
      <c r="AK93" s="24" t="s">
        <v>40</v>
      </c>
    </row>
    <row r="94" spans="1:37" x14ac:dyDescent="0.35">
      <c r="A94" s="3" t="s">
        <v>32</v>
      </c>
      <c r="B94" s="3" t="s">
        <v>33</v>
      </c>
      <c r="C94" s="3" t="s">
        <v>34</v>
      </c>
      <c r="D94" s="3" t="s">
        <v>35</v>
      </c>
      <c r="E94" s="3" t="s">
        <v>135</v>
      </c>
      <c r="F94" s="4">
        <v>45918</v>
      </c>
      <c r="G94" s="23">
        <v>1800012845</v>
      </c>
      <c r="H94" s="24" t="s">
        <v>47</v>
      </c>
      <c r="I94" s="25">
        <v>45918</v>
      </c>
      <c r="J94" s="25">
        <v>45922</v>
      </c>
      <c r="K94" s="24" t="s">
        <v>38</v>
      </c>
      <c r="L94" s="26">
        <v>256779417410</v>
      </c>
      <c r="M94" s="23">
        <v>212100</v>
      </c>
      <c r="N94" s="24" t="s">
        <v>39</v>
      </c>
      <c r="O94" s="24" t="s">
        <v>40</v>
      </c>
      <c r="P94" s="23">
        <v>1</v>
      </c>
      <c r="Q94" s="24" t="s">
        <v>42</v>
      </c>
      <c r="R94" s="27">
        <v>371.84</v>
      </c>
      <c r="S94" s="24" t="s">
        <v>43</v>
      </c>
      <c r="T94" s="42">
        <v>32541.33</v>
      </c>
      <c r="U94" s="24" t="s">
        <v>44</v>
      </c>
      <c r="V94" s="23">
        <v>6779224500</v>
      </c>
      <c r="W94" s="24" t="s">
        <v>40</v>
      </c>
      <c r="X94" s="23">
        <v>2102474</v>
      </c>
      <c r="Y94" s="23">
        <v>1</v>
      </c>
      <c r="Z94" s="43" cm="1">
        <f t="array" ref="Z94:AA94">_xlfn.XLOOKUP(L94,'Customer Ledger'!$O:$O,'Customer Ledger'!$P:$Q,,0)</f>
        <v>0</v>
      </c>
      <c r="AA94" s="43">
        <v>29303.298299999999</v>
      </c>
      <c r="AB94" s="43">
        <f t="shared" si="18"/>
        <v>29303.298299999999</v>
      </c>
      <c r="AC94" s="43">
        <f t="shared" si="19"/>
        <v>3238.0317000000032</v>
      </c>
      <c r="AD94" s="51">
        <f t="shared" si="20"/>
        <v>9.9505204612104145E-2</v>
      </c>
      <c r="AE94" s="24" t="s">
        <v>136</v>
      </c>
      <c r="AF94" s="24" t="s">
        <v>40</v>
      </c>
      <c r="AG94" s="24" t="s">
        <v>40</v>
      </c>
      <c r="AH94" s="24" t="s">
        <v>40</v>
      </c>
      <c r="AI94" s="25">
        <v>45918</v>
      </c>
      <c r="AJ94" s="25"/>
      <c r="AK94" s="24" t="s">
        <v>40</v>
      </c>
    </row>
    <row r="95" spans="1:37" x14ac:dyDescent="0.35">
      <c r="A95" s="3" t="s">
        <v>32</v>
      </c>
      <c r="B95" s="3" t="s">
        <v>33</v>
      </c>
      <c r="C95" s="3" t="s">
        <v>34</v>
      </c>
      <c r="D95" s="3" t="s">
        <v>35</v>
      </c>
      <c r="E95" s="3" t="s">
        <v>135</v>
      </c>
      <c r="F95" s="4">
        <v>45918</v>
      </c>
      <c r="G95" s="23">
        <v>1800012871</v>
      </c>
      <c r="H95" s="24" t="s">
        <v>47</v>
      </c>
      <c r="I95" s="25">
        <v>45918</v>
      </c>
      <c r="J95" s="25">
        <v>45922</v>
      </c>
      <c r="K95" s="24" t="s">
        <v>38</v>
      </c>
      <c r="L95" s="26">
        <v>256779417489</v>
      </c>
      <c r="M95" s="23">
        <v>212100</v>
      </c>
      <c r="N95" s="24" t="s">
        <v>39</v>
      </c>
      <c r="O95" s="24" t="s">
        <v>40</v>
      </c>
      <c r="P95" s="23">
        <v>1</v>
      </c>
      <c r="Q95" s="24" t="s">
        <v>42</v>
      </c>
      <c r="R95" s="27">
        <v>533.91999999999996</v>
      </c>
      <c r="S95" s="24" t="s">
        <v>43</v>
      </c>
      <c r="T95" s="42">
        <v>46725.65</v>
      </c>
      <c r="U95" s="24" t="s">
        <v>44</v>
      </c>
      <c r="V95" s="23">
        <v>6779224500</v>
      </c>
      <c r="W95" s="24" t="s">
        <v>40</v>
      </c>
      <c r="X95" s="23">
        <v>2102476</v>
      </c>
      <c r="Y95" s="23">
        <v>1</v>
      </c>
      <c r="Z95" s="43" cm="1">
        <f t="array" ref="Z95:AA95">_xlfn.XLOOKUP(L95,'Customer Ledger'!$O:$O,'Customer Ledger'!$P:$Q,,0)</f>
        <v>0</v>
      </c>
      <c r="AA95" s="43">
        <v>42087.391600000003</v>
      </c>
      <c r="AB95" s="43">
        <f t="shared" si="18"/>
        <v>42087.391600000003</v>
      </c>
      <c r="AC95" s="43">
        <f t="shared" si="19"/>
        <v>4638.2583999999988</v>
      </c>
      <c r="AD95" s="51">
        <f t="shared" si="20"/>
        <v>9.9265786564766867E-2</v>
      </c>
      <c r="AE95" s="24" t="s">
        <v>137</v>
      </c>
      <c r="AF95" s="24" t="s">
        <v>40</v>
      </c>
      <c r="AG95" s="24" t="s">
        <v>40</v>
      </c>
      <c r="AH95" s="24" t="s">
        <v>40</v>
      </c>
      <c r="AI95" s="25">
        <v>45918</v>
      </c>
      <c r="AJ95" s="25"/>
      <c r="AK95" s="24" t="s">
        <v>40</v>
      </c>
    </row>
    <row r="96" spans="1:37" x14ac:dyDescent="0.35">
      <c r="A96" s="3" t="s">
        <v>32</v>
      </c>
      <c r="B96" s="3" t="s">
        <v>33</v>
      </c>
      <c r="C96" s="3" t="s">
        <v>34</v>
      </c>
      <c r="D96" s="3" t="s">
        <v>35</v>
      </c>
      <c r="E96" s="3" t="s">
        <v>135</v>
      </c>
      <c r="F96" s="4">
        <v>45918</v>
      </c>
      <c r="G96" s="23">
        <v>1800012990</v>
      </c>
      <c r="H96" s="24" t="s">
        <v>47</v>
      </c>
      <c r="I96" s="25">
        <v>45918</v>
      </c>
      <c r="J96" s="25">
        <v>45922</v>
      </c>
      <c r="K96" s="24" t="s">
        <v>38</v>
      </c>
      <c r="L96" s="26">
        <v>256779417525</v>
      </c>
      <c r="M96" s="23">
        <v>212100</v>
      </c>
      <c r="N96" s="24" t="s">
        <v>39</v>
      </c>
      <c r="O96" s="24" t="s">
        <v>40</v>
      </c>
      <c r="P96" s="23">
        <v>1</v>
      </c>
      <c r="Q96" s="24" t="s">
        <v>42</v>
      </c>
      <c r="R96" s="27">
        <v>311.37</v>
      </c>
      <c r="S96" s="24" t="s">
        <v>43</v>
      </c>
      <c r="T96" s="42">
        <v>27249.34</v>
      </c>
      <c r="U96" s="24" t="s">
        <v>44</v>
      </c>
      <c r="V96" s="23">
        <v>6779224500</v>
      </c>
      <c r="W96" s="24" t="s">
        <v>40</v>
      </c>
      <c r="X96" s="23">
        <v>2102483</v>
      </c>
      <c r="Y96" s="23">
        <v>1</v>
      </c>
      <c r="Z96" s="43" cm="1">
        <f t="array" ref="Z96:AA96">_xlfn.XLOOKUP(L96,'Customer Ledger'!$O:$O,'Customer Ledger'!$P:$Q,,0)</f>
        <v>0</v>
      </c>
      <c r="AA96" s="43">
        <v>26724.251</v>
      </c>
      <c r="AB96" s="43">
        <f t="shared" si="18"/>
        <v>26724.251</v>
      </c>
      <c r="AC96" s="43">
        <f t="shared" si="19"/>
        <v>525.08899999999994</v>
      </c>
      <c r="AD96" s="51">
        <f t="shared" si="20"/>
        <v>1.9269787818714138E-2</v>
      </c>
      <c r="AE96" s="24" t="s">
        <v>138</v>
      </c>
      <c r="AF96" s="24" t="s">
        <v>40</v>
      </c>
      <c r="AG96" s="24" t="s">
        <v>40</v>
      </c>
      <c r="AH96" s="24" t="s">
        <v>40</v>
      </c>
      <c r="AI96" s="25">
        <v>45918</v>
      </c>
      <c r="AJ96" s="25"/>
      <c r="AK96" s="24" t="s">
        <v>40</v>
      </c>
    </row>
    <row r="97" spans="1:37" x14ac:dyDescent="0.35">
      <c r="A97" s="3" t="s">
        <v>32</v>
      </c>
      <c r="B97" s="3" t="s">
        <v>33</v>
      </c>
      <c r="C97" s="3" t="s">
        <v>34</v>
      </c>
      <c r="D97" s="3" t="s">
        <v>35</v>
      </c>
      <c r="E97" s="3" t="s">
        <v>135</v>
      </c>
      <c r="F97" s="4">
        <v>45918</v>
      </c>
      <c r="G97" s="23">
        <v>1800012927</v>
      </c>
      <c r="H97" s="24" t="s">
        <v>47</v>
      </c>
      <c r="I97" s="25">
        <v>45918</v>
      </c>
      <c r="J97" s="25">
        <v>45922</v>
      </c>
      <c r="K97" s="24" t="s">
        <v>38</v>
      </c>
      <c r="L97" s="26">
        <v>256779417566</v>
      </c>
      <c r="M97" s="23">
        <v>212100</v>
      </c>
      <c r="N97" s="24" t="s">
        <v>39</v>
      </c>
      <c r="O97" s="24" t="s">
        <v>40</v>
      </c>
      <c r="P97" s="23">
        <v>1</v>
      </c>
      <c r="Q97" s="24" t="s">
        <v>42</v>
      </c>
      <c r="R97" s="27">
        <v>75.5</v>
      </c>
      <c r="S97" s="24" t="s">
        <v>43</v>
      </c>
      <c r="T97" s="42">
        <v>6607.33</v>
      </c>
      <c r="U97" s="24" t="s">
        <v>44</v>
      </c>
      <c r="V97" s="23">
        <v>6779224500</v>
      </c>
      <c r="W97" s="24" t="s">
        <v>40</v>
      </c>
      <c r="X97" s="23">
        <v>2102480</v>
      </c>
      <c r="Y97" s="23">
        <v>1</v>
      </c>
      <c r="Z97" s="43" cm="1">
        <f t="array" ref="Z97:AA97">_xlfn.XLOOKUP(L97,'Customer Ledger'!$O:$O,'Customer Ledger'!$P:$Q,,0)</f>
        <v>0</v>
      </c>
      <c r="AA97" s="43">
        <v>6432.3032999999996</v>
      </c>
      <c r="AB97" s="43">
        <f t="shared" si="18"/>
        <v>6432.3032999999996</v>
      </c>
      <c r="AC97" s="43">
        <f t="shared" si="19"/>
        <v>175.02670000000035</v>
      </c>
      <c r="AD97" s="51">
        <f t="shared" si="20"/>
        <v>2.6489777262525157E-2</v>
      </c>
      <c r="AE97" s="24" t="s">
        <v>139</v>
      </c>
      <c r="AF97" s="24" t="s">
        <v>40</v>
      </c>
      <c r="AG97" s="24" t="s">
        <v>40</v>
      </c>
      <c r="AH97" s="24" t="s">
        <v>40</v>
      </c>
      <c r="AI97" s="25">
        <v>45918</v>
      </c>
      <c r="AJ97" s="25"/>
      <c r="AK97" s="24" t="s">
        <v>40</v>
      </c>
    </row>
    <row r="98" spans="1:37" x14ac:dyDescent="0.35">
      <c r="A98" s="3" t="s">
        <v>32</v>
      </c>
      <c r="B98" s="3" t="s">
        <v>33</v>
      </c>
      <c r="C98" s="3" t="s">
        <v>34</v>
      </c>
      <c r="D98" s="3" t="s">
        <v>35</v>
      </c>
      <c r="E98" s="3" t="s">
        <v>135</v>
      </c>
      <c r="F98" s="4">
        <v>45918</v>
      </c>
      <c r="G98" s="23">
        <v>1800012943</v>
      </c>
      <c r="H98" s="24" t="s">
        <v>47</v>
      </c>
      <c r="I98" s="25">
        <v>45918</v>
      </c>
      <c r="J98" s="25">
        <v>45922</v>
      </c>
      <c r="K98" s="24" t="s">
        <v>38</v>
      </c>
      <c r="L98" s="26">
        <v>256779417582</v>
      </c>
      <c r="M98" s="23">
        <v>212100</v>
      </c>
      <c r="N98" s="24" t="s">
        <v>39</v>
      </c>
      <c r="O98" s="24" t="s">
        <v>40</v>
      </c>
      <c r="P98" s="23">
        <v>1</v>
      </c>
      <c r="Q98" s="24" t="s">
        <v>42</v>
      </c>
      <c r="R98" s="27">
        <v>80.8</v>
      </c>
      <c r="S98" s="24" t="s">
        <v>43</v>
      </c>
      <c r="T98" s="42">
        <v>7071.16</v>
      </c>
      <c r="U98" s="24" t="s">
        <v>44</v>
      </c>
      <c r="V98" s="23">
        <v>6779224500</v>
      </c>
      <c r="W98" s="24" t="s">
        <v>40</v>
      </c>
      <c r="X98" s="23">
        <v>2102527</v>
      </c>
      <c r="Y98" s="23">
        <v>1</v>
      </c>
      <c r="Z98" s="43" cm="1">
        <f t="array" ref="Z98:AA98">_xlfn.XLOOKUP(L98,'Customer Ledger'!$O:$O,'Customer Ledger'!$P:$Q,,0)</f>
        <v>0</v>
      </c>
      <c r="AA98" s="43">
        <v>6896.1292000000003</v>
      </c>
      <c r="AB98" s="43">
        <f t="shared" si="18"/>
        <v>6896.1292000000003</v>
      </c>
      <c r="AC98" s="43">
        <f t="shared" si="19"/>
        <v>175.03079999999954</v>
      </c>
      <c r="AD98" s="51">
        <f t="shared" si="20"/>
        <v>2.4752770408249785E-2</v>
      </c>
      <c r="AE98" s="24" t="s">
        <v>140</v>
      </c>
      <c r="AF98" s="24" t="s">
        <v>40</v>
      </c>
      <c r="AG98" s="24" t="s">
        <v>40</v>
      </c>
      <c r="AH98" s="24" t="s">
        <v>40</v>
      </c>
      <c r="AI98" s="25">
        <v>45918</v>
      </c>
      <c r="AJ98" s="25"/>
      <c r="AK98" s="24" t="s">
        <v>40</v>
      </c>
    </row>
    <row r="99" spans="1:37" x14ac:dyDescent="0.35">
      <c r="A99" s="3" t="s">
        <v>32</v>
      </c>
      <c r="B99" s="3" t="s">
        <v>33</v>
      </c>
      <c r="C99" s="3" t="s">
        <v>34</v>
      </c>
      <c r="D99" s="3" t="s">
        <v>35</v>
      </c>
      <c r="E99" s="3" t="s">
        <v>141</v>
      </c>
      <c r="F99" s="4">
        <v>45996</v>
      </c>
      <c r="G99" s="23">
        <v>1800015346</v>
      </c>
      <c r="H99" s="24" t="s">
        <v>47</v>
      </c>
      <c r="I99" s="25">
        <v>45996</v>
      </c>
      <c r="J99" s="25">
        <v>46000</v>
      </c>
      <c r="K99" s="24" t="s">
        <v>38</v>
      </c>
      <c r="L99" s="26">
        <v>256779419795</v>
      </c>
      <c r="M99" s="23">
        <v>212100</v>
      </c>
      <c r="N99" s="24" t="s">
        <v>39</v>
      </c>
      <c r="O99" s="24" t="s">
        <v>40</v>
      </c>
      <c r="P99" s="23">
        <v>1</v>
      </c>
      <c r="Q99" s="24" t="s">
        <v>42</v>
      </c>
      <c r="R99" s="27">
        <v>356.26</v>
      </c>
      <c r="S99" s="24" t="s">
        <v>43</v>
      </c>
      <c r="T99" s="42">
        <v>31600.31</v>
      </c>
      <c r="U99" s="24" t="s">
        <v>44</v>
      </c>
      <c r="V99" s="23">
        <v>6779224500</v>
      </c>
      <c r="W99" s="24" t="s">
        <v>40</v>
      </c>
      <c r="X99" s="23">
        <v>2140068</v>
      </c>
      <c r="Y99" s="23">
        <v>1</v>
      </c>
      <c r="Z99" s="43" cm="1">
        <f t="array" ref="Z99:AA99">_xlfn.XLOOKUP(L99,'Customer Ledger'!$O:$O,'Customer Ledger'!$P:$Q,,0)</f>
        <v>0</v>
      </c>
      <c r="AA99" s="43">
        <v>28407.106800000001</v>
      </c>
      <c r="AB99" s="43">
        <f t="shared" si="18"/>
        <v>28407.106800000001</v>
      </c>
      <c r="AC99" s="43">
        <f t="shared" si="19"/>
        <v>3193.2031999999999</v>
      </c>
      <c r="AD99" s="51">
        <f t="shared" si="20"/>
        <v>0.10104974286644655</v>
      </c>
      <c r="AE99" s="24" t="s">
        <v>142</v>
      </c>
      <c r="AF99" s="24" t="s">
        <v>40</v>
      </c>
      <c r="AG99" s="24" t="s">
        <v>40</v>
      </c>
      <c r="AH99" s="24" t="s">
        <v>40</v>
      </c>
      <c r="AI99" s="25">
        <v>45996</v>
      </c>
      <c r="AJ99" s="25"/>
      <c r="AK99" s="24" t="s">
        <v>40</v>
      </c>
    </row>
    <row r="100" spans="1:37" x14ac:dyDescent="0.35">
      <c r="A100" s="3" t="s">
        <v>32</v>
      </c>
      <c r="B100" s="3" t="s">
        <v>33</v>
      </c>
      <c r="C100" s="3" t="s">
        <v>34</v>
      </c>
      <c r="D100" s="3" t="s">
        <v>35</v>
      </c>
      <c r="E100" s="3" t="s">
        <v>141</v>
      </c>
      <c r="F100" s="4">
        <v>45996</v>
      </c>
      <c r="G100" s="23">
        <v>1800015287</v>
      </c>
      <c r="H100" s="24" t="s">
        <v>47</v>
      </c>
      <c r="I100" s="25">
        <v>45996</v>
      </c>
      <c r="J100" s="25">
        <v>46000</v>
      </c>
      <c r="K100" s="24" t="s">
        <v>38</v>
      </c>
      <c r="L100" s="26">
        <v>256779419916</v>
      </c>
      <c r="M100" s="23">
        <v>212100</v>
      </c>
      <c r="N100" s="24" t="s">
        <v>39</v>
      </c>
      <c r="O100" s="24" t="s">
        <v>40</v>
      </c>
      <c r="P100" s="23">
        <v>1</v>
      </c>
      <c r="Q100" s="24" t="s">
        <v>42</v>
      </c>
      <c r="R100" s="27">
        <v>128.31</v>
      </c>
      <c r="S100" s="24" t="s">
        <v>43</v>
      </c>
      <c r="T100" s="42">
        <v>11381.11</v>
      </c>
      <c r="U100" s="24" t="s">
        <v>44</v>
      </c>
      <c r="V100" s="23">
        <v>6779224500</v>
      </c>
      <c r="W100" s="24" t="s">
        <v>40</v>
      </c>
      <c r="X100" s="23">
        <v>2140088</v>
      </c>
      <c r="Y100" s="23">
        <v>1</v>
      </c>
      <c r="Z100" s="43" cm="1">
        <f t="array" ref="Z100:AA100">_xlfn.XLOOKUP(L100,'Customer Ledger'!$O:$O,'Customer Ledger'!$P:$Q,,0)</f>
        <v>0</v>
      </c>
      <c r="AA100" s="43">
        <v>11115.014499999999</v>
      </c>
      <c r="AB100" s="43">
        <f t="shared" si="18"/>
        <v>11115.014499999999</v>
      </c>
      <c r="AC100" s="43">
        <f t="shared" si="19"/>
        <v>266.09550000000127</v>
      </c>
      <c r="AD100" s="51">
        <f t="shared" si="20"/>
        <v>2.3380452346036657E-2</v>
      </c>
      <c r="AE100" s="24" t="s">
        <v>143</v>
      </c>
      <c r="AF100" s="24" t="s">
        <v>40</v>
      </c>
      <c r="AG100" s="24" t="s">
        <v>40</v>
      </c>
      <c r="AH100" s="24" t="s">
        <v>40</v>
      </c>
      <c r="AI100" s="25">
        <v>45996</v>
      </c>
      <c r="AJ100" s="25"/>
      <c r="AK100" s="24" t="s">
        <v>40</v>
      </c>
    </row>
    <row r="101" spans="1:37" x14ac:dyDescent="0.35">
      <c r="A101" s="3" t="s">
        <v>32</v>
      </c>
      <c r="B101" s="3" t="s">
        <v>33</v>
      </c>
      <c r="C101" s="3" t="s">
        <v>34</v>
      </c>
      <c r="D101" s="3" t="s">
        <v>35</v>
      </c>
      <c r="E101" s="3" t="s">
        <v>81</v>
      </c>
      <c r="F101" s="4">
        <v>45799</v>
      </c>
      <c r="G101" s="23">
        <v>1600001068</v>
      </c>
      <c r="H101" s="24" t="s">
        <v>37</v>
      </c>
      <c r="I101" s="25">
        <v>45799</v>
      </c>
      <c r="J101" s="25">
        <v>45800</v>
      </c>
      <c r="K101" s="24" t="s">
        <v>38</v>
      </c>
      <c r="L101" s="26">
        <v>256779420756</v>
      </c>
      <c r="M101" s="23">
        <v>212100</v>
      </c>
      <c r="N101" s="24" t="s">
        <v>39</v>
      </c>
      <c r="O101" s="24" t="s">
        <v>40</v>
      </c>
      <c r="P101" s="23">
        <v>11</v>
      </c>
      <c r="Q101" s="24" t="s">
        <v>42</v>
      </c>
      <c r="R101" s="27">
        <v>-500.63</v>
      </c>
      <c r="S101" s="24" t="s">
        <v>43</v>
      </c>
      <c r="T101" s="27">
        <v>-43400.25</v>
      </c>
      <c r="U101" s="24" t="s">
        <v>44</v>
      </c>
      <c r="V101" s="23">
        <v>6779224500</v>
      </c>
      <c r="W101" s="24" t="s">
        <v>40</v>
      </c>
      <c r="X101" s="24" t="s">
        <v>38</v>
      </c>
      <c r="Y101" s="23">
        <v>1</v>
      </c>
      <c r="Z101" s="43" t="e" cm="1">
        <f t="array" ref="Z101">_xlfn.XLOOKUP(L101,'Customer Ledger'!$O:$O,'Customer Ledger'!$P:$Q,,0)</f>
        <v>#N/A</v>
      </c>
      <c r="AA101" s="43"/>
      <c r="AB101" s="43"/>
      <c r="AC101" s="23"/>
      <c r="AD101" s="23"/>
      <c r="AE101" s="24" t="s">
        <v>144</v>
      </c>
      <c r="AF101" s="24" t="s">
        <v>40</v>
      </c>
      <c r="AG101" s="24" t="s">
        <v>40</v>
      </c>
      <c r="AH101" s="24" t="s">
        <v>40</v>
      </c>
      <c r="AI101" s="25">
        <v>45799</v>
      </c>
      <c r="AJ101" s="25">
        <v>45842</v>
      </c>
      <c r="AK101" s="23">
        <v>1400000248</v>
      </c>
    </row>
    <row r="102" spans="1:37" x14ac:dyDescent="0.35">
      <c r="A102" s="3" t="s">
        <v>32</v>
      </c>
      <c r="B102" s="3" t="s">
        <v>33</v>
      </c>
      <c r="C102" s="3" t="s">
        <v>34</v>
      </c>
      <c r="D102" s="3" t="s">
        <v>35</v>
      </c>
      <c r="E102" s="3" t="s">
        <v>85</v>
      </c>
      <c r="F102" s="4">
        <v>45770</v>
      </c>
      <c r="G102" s="23">
        <v>1800008035</v>
      </c>
      <c r="H102" s="24" t="s">
        <v>47</v>
      </c>
      <c r="I102" s="25">
        <v>45770</v>
      </c>
      <c r="J102" s="25">
        <v>45776</v>
      </c>
      <c r="K102" s="24" t="s">
        <v>38</v>
      </c>
      <c r="L102" s="26">
        <v>256779412926</v>
      </c>
      <c r="M102" s="23">
        <v>212100</v>
      </c>
      <c r="N102" s="24" t="s">
        <v>39</v>
      </c>
      <c r="O102" s="24" t="s">
        <v>40</v>
      </c>
      <c r="P102" s="23">
        <v>1</v>
      </c>
      <c r="Q102" s="24" t="s">
        <v>42</v>
      </c>
      <c r="R102" s="27">
        <v>22.5</v>
      </c>
      <c r="S102" s="24" t="s">
        <v>43</v>
      </c>
      <c r="T102" s="42">
        <v>1955.74</v>
      </c>
      <c r="U102" s="24" t="s">
        <v>44</v>
      </c>
      <c r="V102" s="23">
        <v>6779224500</v>
      </c>
      <c r="W102" s="24" t="s">
        <v>40</v>
      </c>
      <c r="X102" s="24" t="s">
        <v>38</v>
      </c>
      <c r="Y102" s="23">
        <v>1</v>
      </c>
      <c r="Z102" s="43" cm="1">
        <f t="array" ref="Z102:AA102">_xlfn.XLOOKUP(L102,'Customer Ledger'!$O:$O,'Customer Ledger'!$P:$Q,,0)</f>
        <v>0</v>
      </c>
      <c r="AA102" s="43">
        <v>1878</v>
      </c>
      <c r="AB102" s="43">
        <f t="shared" ref="AB102:AB108" si="21">AA102-Z102</f>
        <v>1878</v>
      </c>
      <c r="AC102" s="43">
        <f t="shared" ref="AC102:AC108" si="22">T102-AB102</f>
        <v>77.740000000000009</v>
      </c>
      <c r="AD102" s="51">
        <f t="shared" ref="AD102:AD108" si="23">AC102/T102</f>
        <v>3.9749659975252337E-2</v>
      </c>
      <c r="AE102" s="24" t="s">
        <v>145</v>
      </c>
      <c r="AF102" s="24" t="s">
        <v>40</v>
      </c>
      <c r="AG102" s="24" t="s">
        <v>40</v>
      </c>
      <c r="AH102" s="24" t="s">
        <v>40</v>
      </c>
      <c r="AI102" s="25">
        <v>45770</v>
      </c>
      <c r="AJ102" s="25"/>
      <c r="AK102" s="24" t="s">
        <v>40</v>
      </c>
    </row>
    <row r="103" spans="1:37" x14ac:dyDescent="0.35">
      <c r="A103" s="3" t="s">
        <v>32</v>
      </c>
      <c r="B103" s="3" t="s">
        <v>33</v>
      </c>
      <c r="C103" s="3" t="s">
        <v>34</v>
      </c>
      <c r="D103" s="3" t="s">
        <v>35</v>
      </c>
      <c r="E103" s="3" t="s">
        <v>85</v>
      </c>
      <c r="F103" s="4">
        <v>45770</v>
      </c>
      <c r="G103" s="23">
        <v>1800008050</v>
      </c>
      <c r="H103" s="24" t="s">
        <v>47</v>
      </c>
      <c r="I103" s="25">
        <v>45770</v>
      </c>
      <c r="J103" s="25">
        <v>45776</v>
      </c>
      <c r="K103" s="24" t="s">
        <v>38</v>
      </c>
      <c r="L103" s="26">
        <v>256779412941</v>
      </c>
      <c r="M103" s="23">
        <v>212100</v>
      </c>
      <c r="N103" s="24" t="s">
        <v>39</v>
      </c>
      <c r="O103" s="24" t="s">
        <v>40</v>
      </c>
      <c r="P103" s="23">
        <v>1</v>
      </c>
      <c r="Q103" s="24" t="s">
        <v>42</v>
      </c>
      <c r="R103" s="27">
        <v>321.75</v>
      </c>
      <c r="S103" s="24" t="s">
        <v>43</v>
      </c>
      <c r="T103" s="42">
        <v>27967.1</v>
      </c>
      <c r="U103" s="24" t="s">
        <v>44</v>
      </c>
      <c r="V103" s="23">
        <v>6779224500</v>
      </c>
      <c r="W103" s="24" t="s">
        <v>40</v>
      </c>
      <c r="X103" s="24" t="s">
        <v>38</v>
      </c>
      <c r="Y103" s="23">
        <v>1</v>
      </c>
      <c r="Z103" s="43" cm="1">
        <f t="array" ref="Z103:AA103">_xlfn.XLOOKUP(L103,'Customer Ledger'!$O:$O,'Customer Ledger'!$P:$Q,,0)</f>
        <v>0</v>
      </c>
      <c r="AA103" s="43">
        <v>27408</v>
      </c>
      <c r="AB103" s="43">
        <f t="shared" si="21"/>
        <v>27408</v>
      </c>
      <c r="AC103" s="43">
        <f t="shared" si="22"/>
        <v>559.09999999999854</v>
      </c>
      <c r="AD103" s="51">
        <f t="shared" si="23"/>
        <v>1.9991346975553367E-2</v>
      </c>
      <c r="AE103" s="24" t="s">
        <v>146</v>
      </c>
      <c r="AF103" s="24" t="s">
        <v>40</v>
      </c>
      <c r="AG103" s="24" t="s">
        <v>40</v>
      </c>
      <c r="AH103" s="24" t="s">
        <v>40</v>
      </c>
      <c r="AI103" s="25">
        <v>45770</v>
      </c>
      <c r="AJ103" s="25"/>
      <c r="AK103" s="24" t="s">
        <v>40</v>
      </c>
    </row>
    <row r="104" spans="1:37" x14ac:dyDescent="0.35">
      <c r="A104" s="3" t="s">
        <v>32</v>
      </c>
      <c r="B104" s="3" t="s">
        <v>33</v>
      </c>
      <c r="C104" s="3" t="s">
        <v>34</v>
      </c>
      <c r="D104" s="3" t="s">
        <v>35</v>
      </c>
      <c r="E104" s="3" t="s">
        <v>85</v>
      </c>
      <c r="F104" s="4">
        <v>45770</v>
      </c>
      <c r="G104" s="23">
        <v>1800008059</v>
      </c>
      <c r="H104" s="24" t="s">
        <v>47</v>
      </c>
      <c r="I104" s="25">
        <v>45770</v>
      </c>
      <c r="J104" s="25">
        <v>45776</v>
      </c>
      <c r="K104" s="24" t="s">
        <v>38</v>
      </c>
      <c r="L104" s="26">
        <v>256779412950</v>
      </c>
      <c r="M104" s="23">
        <v>212100</v>
      </c>
      <c r="N104" s="24" t="s">
        <v>39</v>
      </c>
      <c r="O104" s="24" t="s">
        <v>40</v>
      </c>
      <c r="P104" s="23">
        <v>1</v>
      </c>
      <c r="Q104" s="24" t="s">
        <v>42</v>
      </c>
      <c r="R104" s="27">
        <v>155.1</v>
      </c>
      <c r="S104" s="24" t="s">
        <v>43</v>
      </c>
      <c r="T104" s="42">
        <v>13481.57</v>
      </c>
      <c r="U104" s="24" t="s">
        <v>44</v>
      </c>
      <c r="V104" s="23">
        <v>6779224500</v>
      </c>
      <c r="W104" s="24" t="s">
        <v>40</v>
      </c>
      <c r="X104" s="24" t="s">
        <v>38</v>
      </c>
      <c r="Y104" s="23">
        <v>1</v>
      </c>
      <c r="Z104" s="43" cm="1">
        <f t="array" ref="Z104:AA104">_xlfn.XLOOKUP(L104,'Customer Ledger'!$O:$O,'Customer Ledger'!$P:$Q,,0)</f>
        <v>0</v>
      </c>
      <c r="AA104" s="43">
        <v>13211</v>
      </c>
      <c r="AB104" s="43">
        <f t="shared" si="21"/>
        <v>13211</v>
      </c>
      <c r="AC104" s="43">
        <f t="shared" si="22"/>
        <v>270.56999999999971</v>
      </c>
      <c r="AD104" s="51">
        <f t="shared" si="23"/>
        <v>2.0069620971444699E-2</v>
      </c>
      <c r="AE104" s="24" t="s">
        <v>145</v>
      </c>
      <c r="AF104" s="24" t="s">
        <v>40</v>
      </c>
      <c r="AG104" s="24" t="s">
        <v>40</v>
      </c>
      <c r="AH104" s="24" t="s">
        <v>40</v>
      </c>
      <c r="AI104" s="25">
        <v>45770</v>
      </c>
      <c r="AJ104" s="25"/>
      <c r="AK104" s="24" t="s">
        <v>40</v>
      </c>
    </row>
    <row r="105" spans="1:37" x14ac:dyDescent="0.35">
      <c r="A105" s="3" t="s">
        <v>32</v>
      </c>
      <c r="B105" s="3" t="s">
        <v>33</v>
      </c>
      <c r="C105" s="3" t="s">
        <v>34</v>
      </c>
      <c r="D105" s="3" t="s">
        <v>35</v>
      </c>
      <c r="E105" s="3" t="s">
        <v>85</v>
      </c>
      <c r="F105" s="4">
        <v>45770</v>
      </c>
      <c r="G105" s="23">
        <v>1800005328</v>
      </c>
      <c r="H105" s="24" t="s">
        <v>47</v>
      </c>
      <c r="I105" s="25">
        <v>45750</v>
      </c>
      <c r="J105" s="25">
        <v>45752</v>
      </c>
      <c r="K105" s="24" t="s">
        <v>38</v>
      </c>
      <c r="L105" s="26">
        <v>256779410220</v>
      </c>
      <c r="M105" s="23">
        <v>212100</v>
      </c>
      <c r="N105" s="24" t="s">
        <v>39</v>
      </c>
      <c r="O105" s="24" t="s">
        <v>40</v>
      </c>
      <c r="P105" s="23">
        <v>1</v>
      </c>
      <c r="Q105" s="24" t="s">
        <v>42</v>
      </c>
      <c r="R105" s="27">
        <v>1314.12</v>
      </c>
      <c r="S105" s="24" t="s">
        <v>43</v>
      </c>
      <c r="T105" s="42">
        <v>114225.7</v>
      </c>
      <c r="U105" s="24" t="s">
        <v>44</v>
      </c>
      <c r="V105" s="24" t="s">
        <v>40</v>
      </c>
      <c r="W105" s="24" t="s">
        <v>40</v>
      </c>
      <c r="X105" s="24" t="s">
        <v>38</v>
      </c>
      <c r="Y105" s="23">
        <v>1</v>
      </c>
      <c r="Z105" s="43" cm="1">
        <f t="array" ref="Z105:AA105">_xlfn.XLOOKUP(L105,'Customer Ledger'!$O:$O,'Customer Ledger'!$P:$Q,,0)</f>
        <v>0</v>
      </c>
      <c r="AA105" s="43">
        <v>114223</v>
      </c>
      <c r="AB105" s="43">
        <f t="shared" si="21"/>
        <v>114223</v>
      </c>
      <c r="AC105" s="43">
        <f t="shared" si="22"/>
        <v>2.6999999999970896</v>
      </c>
      <c r="AD105" s="51">
        <f t="shared" si="23"/>
        <v>2.3637412596264148E-5</v>
      </c>
      <c r="AE105" s="24" t="s">
        <v>94</v>
      </c>
      <c r="AF105" s="24" t="s">
        <v>40</v>
      </c>
      <c r="AG105" s="24" t="s">
        <v>40</v>
      </c>
      <c r="AH105" s="24" t="s">
        <v>40</v>
      </c>
      <c r="AI105" s="25">
        <v>45750</v>
      </c>
      <c r="AJ105" s="25">
        <v>45976</v>
      </c>
      <c r="AK105" s="23">
        <v>1400001901</v>
      </c>
    </row>
    <row r="106" spans="1:37" x14ac:dyDescent="0.35">
      <c r="A106" s="3" t="s">
        <v>32</v>
      </c>
      <c r="B106" s="3" t="s">
        <v>33</v>
      </c>
      <c r="C106" s="3" t="s">
        <v>34</v>
      </c>
      <c r="D106" s="3" t="s">
        <v>35</v>
      </c>
      <c r="E106" s="3" t="s">
        <v>148</v>
      </c>
      <c r="F106" s="4">
        <v>45709</v>
      </c>
      <c r="G106" s="23">
        <v>1800000353</v>
      </c>
      <c r="H106" s="24" t="s">
        <v>47</v>
      </c>
      <c r="I106" s="25">
        <v>45709</v>
      </c>
      <c r="J106" s="25">
        <v>45716</v>
      </c>
      <c r="K106" s="24" t="s">
        <v>38</v>
      </c>
      <c r="L106" s="26">
        <v>246779410327</v>
      </c>
      <c r="M106" s="23">
        <v>212100</v>
      </c>
      <c r="N106" s="24" t="s">
        <v>39</v>
      </c>
      <c r="O106" s="24" t="s">
        <v>40</v>
      </c>
      <c r="P106" s="23">
        <v>1</v>
      </c>
      <c r="Q106" s="24" t="s">
        <v>42</v>
      </c>
      <c r="R106" s="27">
        <v>211.97</v>
      </c>
      <c r="S106" s="24" t="s">
        <v>43</v>
      </c>
      <c r="T106" s="42">
        <v>18293.79</v>
      </c>
      <c r="U106" s="24" t="s">
        <v>44</v>
      </c>
      <c r="V106" s="23">
        <v>6779224500</v>
      </c>
      <c r="W106" s="24" t="s">
        <v>40</v>
      </c>
      <c r="X106" s="24" t="s">
        <v>38</v>
      </c>
      <c r="Y106" s="23">
        <v>1</v>
      </c>
      <c r="Z106" s="43" cm="1">
        <f t="array" ref="Z106:AA106">_xlfn.XLOOKUP(L106,'Customer Ledger'!$O:$O,'Customer Ledger'!$P:$Q,,0)</f>
        <v>0</v>
      </c>
      <c r="AA106" s="43">
        <v>16480.710999999999</v>
      </c>
      <c r="AB106" s="43">
        <f t="shared" si="21"/>
        <v>16480.710999999999</v>
      </c>
      <c r="AC106" s="43">
        <f t="shared" si="22"/>
        <v>1813.0790000000015</v>
      </c>
      <c r="AD106" s="51">
        <f t="shared" si="23"/>
        <v>9.9108987257424591E-2</v>
      </c>
      <c r="AE106" s="24" t="s">
        <v>149</v>
      </c>
      <c r="AF106" s="24" t="s">
        <v>40</v>
      </c>
      <c r="AG106" s="24" t="s">
        <v>40</v>
      </c>
      <c r="AH106" s="24" t="s">
        <v>40</v>
      </c>
      <c r="AI106" s="25">
        <v>45709</v>
      </c>
      <c r="AJ106" s="25"/>
      <c r="AK106" s="24" t="s">
        <v>40</v>
      </c>
    </row>
    <row r="107" spans="1:37" x14ac:dyDescent="0.35">
      <c r="A107" s="3" t="s">
        <v>32</v>
      </c>
      <c r="B107" s="3" t="s">
        <v>33</v>
      </c>
      <c r="C107" s="3" t="s">
        <v>34</v>
      </c>
      <c r="D107" s="3" t="s">
        <v>35</v>
      </c>
      <c r="E107" s="3" t="s">
        <v>114</v>
      </c>
      <c r="F107" s="4">
        <v>45737</v>
      </c>
      <c r="G107" s="23">
        <v>1800003831</v>
      </c>
      <c r="H107" s="24" t="s">
        <v>47</v>
      </c>
      <c r="I107" s="25">
        <v>45736</v>
      </c>
      <c r="J107" s="25">
        <v>45736</v>
      </c>
      <c r="K107" s="24" t="s">
        <v>38</v>
      </c>
      <c r="L107" s="26">
        <v>246779413693</v>
      </c>
      <c r="M107" s="23">
        <v>212100</v>
      </c>
      <c r="N107" s="24" t="s">
        <v>39</v>
      </c>
      <c r="O107" s="24" t="s">
        <v>40</v>
      </c>
      <c r="P107" s="23">
        <v>1</v>
      </c>
      <c r="Q107" s="24" t="s">
        <v>42</v>
      </c>
      <c r="R107" s="27">
        <v>84.6</v>
      </c>
      <c r="S107" s="24" t="s">
        <v>43</v>
      </c>
      <c r="T107" s="42">
        <v>7334.08</v>
      </c>
      <c r="U107" s="24" t="s">
        <v>44</v>
      </c>
      <c r="V107" s="23">
        <v>6779224500</v>
      </c>
      <c r="W107" s="24" t="s">
        <v>40</v>
      </c>
      <c r="X107" s="24" t="s">
        <v>38</v>
      </c>
      <c r="Y107" s="23">
        <v>1</v>
      </c>
      <c r="Z107" s="43" cm="1">
        <f t="array" ref="Z107:AA107">_xlfn.XLOOKUP(L107,'Customer Ledger'!$O:$O,'Customer Ledger'!$P:$Q,,0)</f>
        <v>0</v>
      </c>
      <c r="AA107" s="43">
        <v>6896</v>
      </c>
      <c r="AB107" s="43">
        <f t="shared" si="21"/>
        <v>6896</v>
      </c>
      <c r="AC107" s="43">
        <f t="shared" si="22"/>
        <v>438.07999999999993</v>
      </c>
      <c r="AD107" s="51">
        <f t="shared" si="23"/>
        <v>5.973210000436318E-2</v>
      </c>
      <c r="AE107" s="24" t="s">
        <v>286</v>
      </c>
      <c r="AF107" s="24" t="s">
        <v>40</v>
      </c>
      <c r="AG107" s="24" t="s">
        <v>40</v>
      </c>
      <c r="AH107" s="24" t="s">
        <v>40</v>
      </c>
      <c r="AI107" s="25">
        <v>45736</v>
      </c>
      <c r="AJ107" s="25"/>
      <c r="AK107" s="24" t="s">
        <v>40</v>
      </c>
    </row>
    <row r="108" spans="1:37" x14ac:dyDescent="0.35">
      <c r="A108" s="3" t="s">
        <v>32</v>
      </c>
      <c r="B108" s="3" t="s">
        <v>33</v>
      </c>
      <c r="C108" s="3" t="s">
        <v>34</v>
      </c>
      <c r="D108" s="3" t="s">
        <v>35</v>
      </c>
      <c r="E108" s="3" t="s">
        <v>95</v>
      </c>
      <c r="F108" s="4">
        <v>45938</v>
      </c>
      <c r="G108" s="23">
        <v>1800013487</v>
      </c>
      <c r="H108" s="24" t="s">
        <v>47</v>
      </c>
      <c r="I108" s="25">
        <v>45938</v>
      </c>
      <c r="J108" s="25">
        <v>45939</v>
      </c>
      <c r="K108" s="24" t="s">
        <v>38</v>
      </c>
      <c r="L108" s="26">
        <v>256779418103</v>
      </c>
      <c r="M108" s="23">
        <v>212100</v>
      </c>
      <c r="N108" s="24" t="s">
        <v>39</v>
      </c>
      <c r="O108" s="24" t="s">
        <v>40</v>
      </c>
      <c r="P108" s="23">
        <v>1</v>
      </c>
      <c r="Q108" s="24" t="s">
        <v>42</v>
      </c>
      <c r="R108" s="27">
        <v>11.26</v>
      </c>
      <c r="S108" s="24" t="s">
        <v>43</v>
      </c>
      <c r="T108" s="42">
        <v>993.03</v>
      </c>
      <c r="U108" s="24" t="s">
        <v>44</v>
      </c>
      <c r="V108" s="23">
        <v>6779224500</v>
      </c>
      <c r="W108" s="24" t="s">
        <v>40</v>
      </c>
      <c r="X108" s="23">
        <v>2110497</v>
      </c>
      <c r="Y108" s="23">
        <v>1</v>
      </c>
      <c r="Z108" s="43" cm="1">
        <f t="array" ref="Z108:AA108">_xlfn.XLOOKUP(L108,'Customer Ledger'!$O:$O,'Customer Ledger'!$P:$Q,,0)</f>
        <v>980</v>
      </c>
      <c r="AA108" s="43">
        <v>47157.936999999998</v>
      </c>
      <c r="AB108" s="43">
        <f t="shared" si="21"/>
        <v>46177.936999999998</v>
      </c>
      <c r="AC108" s="43">
        <f t="shared" si="22"/>
        <v>-45184.906999999999</v>
      </c>
      <c r="AD108" s="51">
        <f t="shared" si="23"/>
        <v>-45.502056332638489</v>
      </c>
      <c r="AE108" s="24" t="s">
        <v>151</v>
      </c>
      <c r="AF108" s="24" t="s">
        <v>40</v>
      </c>
      <c r="AG108" s="24" t="s">
        <v>40</v>
      </c>
      <c r="AH108" s="24" t="s">
        <v>40</v>
      </c>
      <c r="AI108" s="25">
        <v>45938</v>
      </c>
      <c r="AJ108" s="25"/>
      <c r="AK108" s="24" t="s">
        <v>40</v>
      </c>
    </row>
    <row r="109" spans="1:37" x14ac:dyDescent="0.35">
      <c r="A109" s="3" t="s">
        <v>32</v>
      </c>
      <c r="B109" s="3" t="s">
        <v>33</v>
      </c>
      <c r="C109" s="3" t="s">
        <v>34</v>
      </c>
      <c r="D109" s="3" t="s">
        <v>35</v>
      </c>
      <c r="E109" s="3" t="s">
        <v>111</v>
      </c>
      <c r="F109" s="4">
        <v>45810</v>
      </c>
      <c r="G109" s="23">
        <v>1800009171</v>
      </c>
      <c r="H109" s="24" t="s">
        <v>47</v>
      </c>
      <c r="I109" s="25">
        <v>45810</v>
      </c>
      <c r="J109" s="25">
        <v>45810</v>
      </c>
      <c r="K109" s="24" t="s">
        <v>38</v>
      </c>
      <c r="L109" s="26">
        <v>256779413935</v>
      </c>
      <c r="M109" s="23">
        <v>212100</v>
      </c>
      <c r="N109" s="24" t="s">
        <v>39</v>
      </c>
      <c r="O109" s="24" t="s">
        <v>40</v>
      </c>
      <c r="P109" s="23">
        <v>1</v>
      </c>
      <c r="Q109" s="24" t="s">
        <v>42</v>
      </c>
      <c r="R109" s="27">
        <v>590.74</v>
      </c>
      <c r="S109" s="24" t="s">
        <v>43</v>
      </c>
      <c r="T109" s="27">
        <v>50502.82</v>
      </c>
      <c r="U109" s="24" t="s">
        <v>152</v>
      </c>
      <c r="V109" s="23">
        <v>6779224500</v>
      </c>
      <c r="W109" s="24" t="s">
        <v>40</v>
      </c>
      <c r="X109" s="24" t="s">
        <v>38</v>
      </c>
      <c r="Y109" s="23">
        <v>1</v>
      </c>
      <c r="Z109" s="43" t="e" cm="1">
        <f t="array" ref="Z109">_xlfn.XLOOKUP(L109,'Customer Ledger'!$O:$O,'Customer Ledger'!$P:$Q,,0)</f>
        <v>#N/A</v>
      </c>
      <c r="AA109" s="43"/>
      <c r="AB109" s="43"/>
      <c r="AC109" s="23"/>
      <c r="AD109" s="23"/>
      <c r="AE109" s="24" t="s">
        <v>153</v>
      </c>
      <c r="AF109" s="24" t="s">
        <v>40</v>
      </c>
      <c r="AG109" s="24" t="s">
        <v>40</v>
      </c>
      <c r="AH109" s="24" t="s">
        <v>40</v>
      </c>
      <c r="AI109" s="25">
        <v>45810</v>
      </c>
      <c r="AJ109" s="25"/>
      <c r="AK109" s="24" t="s">
        <v>40</v>
      </c>
    </row>
    <row r="110" spans="1:37" x14ac:dyDescent="0.35">
      <c r="A110" s="3" t="s">
        <v>32</v>
      </c>
      <c r="B110" s="3" t="s">
        <v>33</v>
      </c>
      <c r="C110" s="3" t="s">
        <v>34</v>
      </c>
      <c r="D110" s="3" t="s">
        <v>35</v>
      </c>
      <c r="E110" s="3" t="s">
        <v>95</v>
      </c>
      <c r="F110" s="4">
        <v>45937</v>
      </c>
      <c r="G110" s="23">
        <v>1800013747</v>
      </c>
      <c r="H110" s="24" t="s">
        <v>47</v>
      </c>
      <c r="I110" s="25">
        <v>45937</v>
      </c>
      <c r="J110" s="25">
        <v>45939</v>
      </c>
      <c r="K110" s="24" t="s">
        <v>38</v>
      </c>
      <c r="L110" s="26">
        <v>256779418168</v>
      </c>
      <c r="M110" s="23">
        <v>212100</v>
      </c>
      <c r="N110" s="24" t="s">
        <v>39</v>
      </c>
      <c r="O110" s="24" t="s">
        <v>40</v>
      </c>
      <c r="P110" s="23">
        <v>1</v>
      </c>
      <c r="Q110" s="24" t="s">
        <v>42</v>
      </c>
      <c r="R110" s="27">
        <v>70</v>
      </c>
      <c r="S110" s="24" t="s">
        <v>43</v>
      </c>
      <c r="T110" s="42">
        <v>6173.35</v>
      </c>
      <c r="U110" s="24" t="s">
        <v>44</v>
      </c>
      <c r="V110" s="23">
        <v>6779224500</v>
      </c>
      <c r="W110" s="24" t="s">
        <v>40</v>
      </c>
      <c r="X110" s="23">
        <v>2110802</v>
      </c>
      <c r="Y110" s="23">
        <v>1</v>
      </c>
      <c r="Z110" s="43" cm="1">
        <f t="array" ref="Z110:AA110">_xlfn.XLOOKUP(L110,'Customer Ledger'!$O:$O,'Customer Ledger'!$P:$Q,,0)</f>
        <v>88</v>
      </c>
      <c r="AA110" s="43">
        <v>6173.1630999999998</v>
      </c>
      <c r="AB110" s="43">
        <f>AA110-Z110</f>
        <v>6085.1630999999998</v>
      </c>
      <c r="AC110" s="43">
        <f>T110-AB110</f>
        <v>88.186900000000605</v>
      </c>
      <c r="AD110" s="51">
        <f>AC110/T110</f>
        <v>1.4285096422525954E-2</v>
      </c>
      <c r="AE110" s="24" t="s">
        <v>154</v>
      </c>
      <c r="AF110" s="24" t="s">
        <v>40</v>
      </c>
      <c r="AG110" s="24" t="s">
        <v>40</v>
      </c>
      <c r="AH110" s="24" t="s">
        <v>40</v>
      </c>
      <c r="AI110" s="25">
        <v>45937</v>
      </c>
      <c r="AJ110" s="25"/>
      <c r="AK110" s="24" t="s">
        <v>40</v>
      </c>
    </row>
    <row r="111" spans="1:37" x14ac:dyDescent="0.35">
      <c r="A111" s="3" t="s">
        <v>32</v>
      </c>
      <c r="B111" s="3" t="s">
        <v>33</v>
      </c>
      <c r="C111" s="3" t="s">
        <v>34</v>
      </c>
      <c r="D111" s="3" t="s">
        <v>35</v>
      </c>
      <c r="E111" s="3" t="s">
        <v>95</v>
      </c>
      <c r="F111" s="4">
        <v>45937</v>
      </c>
      <c r="G111" s="23">
        <v>1800013758</v>
      </c>
      <c r="H111" s="24" t="s">
        <v>47</v>
      </c>
      <c r="I111" s="25">
        <v>45937</v>
      </c>
      <c r="J111" s="25">
        <v>45939</v>
      </c>
      <c r="K111" s="24" t="s">
        <v>38</v>
      </c>
      <c r="L111" s="26">
        <v>256779418179</v>
      </c>
      <c r="M111" s="23">
        <v>212100</v>
      </c>
      <c r="N111" s="24" t="s">
        <v>39</v>
      </c>
      <c r="O111" s="24" t="s">
        <v>40</v>
      </c>
      <c r="P111" s="23">
        <v>1</v>
      </c>
      <c r="Q111" s="24" t="s">
        <v>42</v>
      </c>
      <c r="R111" s="27">
        <v>528.99</v>
      </c>
      <c r="S111" s="24" t="s">
        <v>43</v>
      </c>
      <c r="T111" s="27">
        <v>46652.04</v>
      </c>
      <c r="U111" s="24" t="s">
        <v>44</v>
      </c>
      <c r="V111" s="23">
        <v>6779224500</v>
      </c>
      <c r="W111" s="24" t="s">
        <v>40</v>
      </c>
      <c r="X111" s="23">
        <v>2110802</v>
      </c>
      <c r="Y111" s="23">
        <v>1</v>
      </c>
      <c r="Z111" s="43" t="e" cm="1">
        <f t="array" ref="Z111">_xlfn.XLOOKUP(L111,'Customer Ledger'!$O:$O,'Customer Ledger'!$P:$Q,,0)</f>
        <v>#N/A</v>
      </c>
      <c r="AA111" s="43"/>
      <c r="AB111" s="43"/>
      <c r="AC111" s="23"/>
      <c r="AD111" s="23"/>
      <c r="AE111" s="24" t="s">
        <v>155</v>
      </c>
      <c r="AF111" s="24" t="s">
        <v>40</v>
      </c>
      <c r="AG111" s="24" t="s">
        <v>40</v>
      </c>
      <c r="AH111" s="24" t="s">
        <v>40</v>
      </c>
      <c r="AI111" s="25">
        <v>45937</v>
      </c>
      <c r="AJ111" s="25"/>
      <c r="AK111" s="24" t="s">
        <v>40</v>
      </c>
    </row>
    <row r="112" spans="1:37" x14ac:dyDescent="0.35">
      <c r="A112" s="3" t="s">
        <v>32</v>
      </c>
      <c r="B112" s="3" t="s">
        <v>33</v>
      </c>
      <c r="C112" s="3" t="s">
        <v>34</v>
      </c>
      <c r="D112" s="3" t="s">
        <v>35</v>
      </c>
      <c r="E112" s="3" t="s">
        <v>36</v>
      </c>
      <c r="F112" s="4">
        <v>45857</v>
      </c>
      <c r="G112" s="23">
        <v>1800011011</v>
      </c>
      <c r="H112" s="24" t="s">
        <v>47</v>
      </c>
      <c r="I112" s="25">
        <v>45857</v>
      </c>
      <c r="J112" s="25">
        <v>45859</v>
      </c>
      <c r="K112" s="24" t="s">
        <v>38</v>
      </c>
      <c r="L112" s="26">
        <v>256779415771</v>
      </c>
      <c r="M112" s="23">
        <v>212100</v>
      </c>
      <c r="N112" s="24" t="s">
        <v>39</v>
      </c>
      <c r="O112" s="24" t="s">
        <v>40</v>
      </c>
      <c r="P112" s="23">
        <v>1</v>
      </c>
      <c r="Q112" s="24" t="s">
        <v>42</v>
      </c>
      <c r="R112" s="27">
        <v>30.76</v>
      </c>
      <c r="S112" s="24" t="s">
        <v>43</v>
      </c>
      <c r="T112" s="42">
        <v>2645.38</v>
      </c>
      <c r="U112" s="24" t="s">
        <v>44</v>
      </c>
      <c r="V112" s="23">
        <v>6779224500</v>
      </c>
      <c r="W112" s="24" t="s">
        <v>40</v>
      </c>
      <c r="X112" s="24" t="s">
        <v>38</v>
      </c>
      <c r="Y112" s="23">
        <v>1</v>
      </c>
      <c r="Z112" s="43" cm="1">
        <f t="array" ref="Z112:AA112">_xlfn.XLOOKUP(L112,'Customer Ledger'!$O:$O,'Customer Ledger'!$P:$Q,,0)</f>
        <v>0</v>
      </c>
      <c r="AA112" s="43">
        <v>2559.3798999999999</v>
      </c>
      <c r="AB112" s="43">
        <f t="shared" ref="AB112:AB118" si="24">AA112-Z112</f>
        <v>2559.3798999999999</v>
      </c>
      <c r="AC112" s="43">
        <f t="shared" ref="AC112:AC118" si="25">T112-AB112</f>
        <v>86.000100000000202</v>
      </c>
      <c r="AD112" s="51">
        <f t="shared" ref="AD112:AD118" si="26">AC112/T112</f>
        <v>3.2509544942503611E-2</v>
      </c>
      <c r="AE112" s="24" t="s">
        <v>156</v>
      </c>
      <c r="AF112" s="24" t="s">
        <v>40</v>
      </c>
      <c r="AG112" s="24" t="s">
        <v>40</v>
      </c>
      <c r="AH112" s="24" t="s">
        <v>40</v>
      </c>
      <c r="AI112" s="25">
        <v>45857</v>
      </c>
      <c r="AJ112" s="25"/>
      <c r="AK112" s="24" t="s">
        <v>40</v>
      </c>
    </row>
    <row r="113" spans="1:37" x14ac:dyDescent="0.35">
      <c r="A113" s="3" t="s">
        <v>32</v>
      </c>
      <c r="B113" s="3" t="s">
        <v>33</v>
      </c>
      <c r="C113" s="3" t="s">
        <v>34</v>
      </c>
      <c r="D113" s="3" t="s">
        <v>35</v>
      </c>
      <c r="E113" s="3" t="s">
        <v>81</v>
      </c>
      <c r="F113" s="4">
        <v>45787</v>
      </c>
      <c r="G113" s="23">
        <v>1800008243</v>
      </c>
      <c r="H113" s="24" t="s">
        <v>47</v>
      </c>
      <c r="I113" s="25">
        <v>45787</v>
      </c>
      <c r="J113" s="25">
        <v>45791</v>
      </c>
      <c r="K113" s="24" t="s">
        <v>38</v>
      </c>
      <c r="L113" s="26">
        <v>256779413127</v>
      </c>
      <c r="M113" s="23">
        <v>212100</v>
      </c>
      <c r="N113" s="24" t="s">
        <v>39</v>
      </c>
      <c r="O113" s="24" t="s">
        <v>40</v>
      </c>
      <c r="P113" s="23">
        <v>1</v>
      </c>
      <c r="Q113" s="24" t="s">
        <v>42</v>
      </c>
      <c r="R113" s="27">
        <v>456.75</v>
      </c>
      <c r="S113" s="24" t="s">
        <v>43</v>
      </c>
      <c r="T113" s="42">
        <v>39273.050000000003</v>
      </c>
      <c r="U113" s="24" t="s">
        <v>44</v>
      </c>
      <c r="V113" s="23">
        <v>6779224500</v>
      </c>
      <c r="W113" s="24" t="s">
        <v>40</v>
      </c>
      <c r="X113" s="24" t="s">
        <v>38</v>
      </c>
      <c r="Y113" s="23">
        <v>1</v>
      </c>
      <c r="Z113" s="43" cm="1">
        <f t="array" ref="Z113:AA113">_xlfn.XLOOKUP(L113,'Customer Ledger'!$O:$O,'Customer Ledger'!$P:$Q,,0)</f>
        <v>0</v>
      </c>
      <c r="AA113" s="43">
        <v>35097</v>
      </c>
      <c r="AB113" s="43">
        <f t="shared" si="24"/>
        <v>35097</v>
      </c>
      <c r="AC113" s="43">
        <f t="shared" si="25"/>
        <v>4176.0500000000029</v>
      </c>
      <c r="AD113" s="51">
        <f t="shared" si="26"/>
        <v>0.10633373267418758</v>
      </c>
      <c r="AE113" s="24" t="s">
        <v>157</v>
      </c>
      <c r="AF113" s="24" t="s">
        <v>40</v>
      </c>
      <c r="AG113" s="24" t="s">
        <v>40</v>
      </c>
      <c r="AH113" s="24" t="s">
        <v>40</v>
      </c>
      <c r="AI113" s="25">
        <v>45787</v>
      </c>
      <c r="AJ113" s="25"/>
      <c r="AK113" s="24" t="s">
        <v>40</v>
      </c>
    </row>
    <row r="114" spans="1:37" x14ac:dyDescent="0.35">
      <c r="A114" s="3" t="s">
        <v>32</v>
      </c>
      <c r="B114" s="3" t="s">
        <v>33</v>
      </c>
      <c r="C114" s="3" t="s">
        <v>34</v>
      </c>
      <c r="D114" s="3" t="s">
        <v>35</v>
      </c>
      <c r="E114" s="3" t="s">
        <v>81</v>
      </c>
      <c r="F114" s="4">
        <v>45787</v>
      </c>
      <c r="G114" s="23">
        <v>1800008280</v>
      </c>
      <c r="H114" s="24" t="s">
        <v>47</v>
      </c>
      <c r="I114" s="25">
        <v>45787</v>
      </c>
      <c r="J114" s="25">
        <v>45792</v>
      </c>
      <c r="K114" s="24" t="s">
        <v>38</v>
      </c>
      <c r="L114" s="26">
        <v>256779413163</v>
      </c>
      <c r="M114" s="23">
        <v>212100</v>
      </c>
      <c r="N114" s="24" t="s">
        <v>39</v>
      </c>
      <c r="O114" s="24" t="s">
        <v>40</v>
      </c>
      <c r="P114" s="23">
        <v>1</v>
      </c>
      <c r="Q114" s="24" t="s">
        <v>42</v>
      </c>
      <c r="R114" s="27">
        <v>190.35</v>
      </c>
      <c r="S114" s="24" t="s">
        <v>43</v>
      </c>
      <c r="T114" s="42">
        <v>16367</v>
      </c>
      <c r="U114" s="24" t="s">
        <v>44</v>
      </c>
      <c r="V114" s="23">
        <v>6779224500</v>
      </c>
      <c r="W114" s="24" t="s">
        <v>40</v>
      </c>
      <c r="X114" s="24" t="s">
        <v>38</v>
      </c>
      <c r="Y114" s="23">
        <v>1</v>
      </c>
      <c r="Z114" s="43" cm="1">
        <f t="array" ref="Z114:AA114">_xlfn.XLOOKUP(L114,'Customer Ledger'!$O:$O,'Customer Ledger'!$P:$Q,,0)</f>
        <v>0</v>
      </c>
      <c r="AA114" s="43">
        <v>15927</v>
      </c>
      <c r="AB114" s="43">
        <f t="shared" si="24"/>
        <v>15927</v>
      </c>
      <c r="AC114" s="43">
        <f t="shared" si="25"/>
        <v>440</v>
      </c>
      <c r="AD114" s="51">
        <f t="shared" si="26"/>
        <v>2.6883362864300115E-2</v>
      </c>
      <c r="AE114" s="24" t="s">
        <v>158</v>
      </c>
      <c r="AF114" s="24" t="s">
        <v>40</v>
      </c>
      <c r="AG114" s="24" t="s">
        <v>40</v>
      </c>
      <c r="AH114" s="24" t="s">
        <v>40</v>
      </c>
      <c r="AI114" s="25">
        <v>45787</v>
      </c>
      <c r="AJ114" s="25"/>
      <c r="AK114" s="24" t="s">
        <v>40</v>
      </c>
    </row>
    <row r="115" spans="1:37" x14ac:dyDescent="0.35">
      <c r="A115" s="3" t="s">
        <v>32</v>
      </c>
      <c r="B115" s="3" t="s">
        <v>33</v>
      </c>
      <c r="C115" s="3" t="s">
        <v>34</v>
      </c>
      <c r="D115" s="3" t="s">
        <v>35</v>
      </c>
      <c r="E115" s="3" t="s">
        <v>81</v>
      </c>
      <c r="F115" s="4">
        <v>45787</v>
      </c>
      <c r="G115" s="23">
        <v>1800008289</v>
      </c>
      <c r="H115" s="24" t="s">
        <v>47</v>
      </c>
      <c r="I115" s="25">
        <v>45787</v>
      </c>
      <c r="J115" s="25">
        <v>45792</v>
      </c>
      <c r="K115" s="24" t="s">
        <v>38</v>
      </c>
      <c r="L115" s="26">
        <v>256779413172</v>
      </c>
      <c r="M115" s="23">
        <v>212100</v>
      </c>
      <c r="N115" s="24" t="s">
        <v>39</v>
      </c>
      <c r="O115" s="24" t="s">
        <v>40</v>
      </c>
      <c r="P115" s="23">
        <v>1</v>
      </c>
      <c r="Q115" s="24" t="s">
        <v>42</v>
      </c>
      <c r="R115" s="27">
        <v>138.65</v>
      </c>
      <c r="S115" s="24" t="s">
        <v>43</v>
      </c>
      <c r="T115" s="42">
        <v>11921.64</v>
      </c>
      <c r="U115" s="24" t="s">
        <v>44</v>
      </c>
      <c r="V115" s="23">
        <v>6779224500</v>
      </c>
      <c r="W115" s="24" t="s">
        <v>40</v>
      </c>
      <c r="X115" s="24" t="s">
        <v>38</v>
      </c>
      <c r="Y115" s="23">
        <v>1</v>
      </c>
      <c r="Z115" s="43" cm="1">
        <f t="array" ref="Z115:AA115">_xlfn.XLOOKUP(L115,'Customer Ledger'!$O:$O,'Customer Ledger'!$P:$Q,,0)</f>
        <v>0</v>
      </c>
      <c r="AA115" s="43">
        <v>11810</v>
      </c>
      <c r="AB115" s="43">
        <f t="shared" si="24"/>
        <v>11810</v>
      </c>
      <c r="AC115" s="43">
        <f t="shared" si="25"/>
        <v>111.63999999999942</v>
      </c>
      <c r="AD115" s="51">
        <f t="shared" si="26"/>
        <v>9.3644834100005889E-3</v>
      </c>
      <c r="AE115" s="24" t="s">
        <v>159</v>
      </c>
      <c r="AF115" s="24" t="s">
        <v>40</v>
      </c>
      <c r="AG115" s="24" t="s">
        <v>40</v>
      </c>
      <c r="AH115" s="24" t="s">
        <v>40</v>
      </c>
      <c r="AI115" s="25">
        <v>45787</v>
      </c>
      <c r="AJ115" s="25"/>
      <c r="AK115" s="24" t="s">
        <v>40</v>
      </c>
    </row>
    <row r="116" spans="1:37" x14ac:dyDescent="0.35">
      <c r="A116" s="3" t="s">
        <v>32</v>
      </c>
      <c r="B116" s="3" t="s">
        <v>33</v>
      </c>
      <c r="C116" s="3" t="s">
        <v>34</v>
      </c>
      <c r="D116" s="3" t="s">
        <v>35</v>
      </c>
      <c r="E116" s="3" t="s">
        <v>81</v>
      </c>
      <c r="F116" s="4">
        <v>45787</v>
      </c>
      <c r="G116" s="23">
        <v>1800008301</v>
      </c>
      <c r="H116" s="24" t="s">
        <v>47</v>
      </c>
      <c r="I116" s="25">
        <v>45787</v>
      </c>
      <c r="J116" s="25">
        <v>45792</v>
      </c>
      <c r="K116" s="24" t="s">
        <v>38</v>
      </c>
      <c r="L116" s="26">
        <v>256779413184</v>
      </c>
      <c r="M116" s="23">
        <v>212100</v>
      </c>
      <c r="N116" s="24" t="s">
        <v>39</v>
      </c>
      <c r="O116" s="24" t="s">
        <v>40</v>
      </c>
      <c r="P116" s="23">
        <v>1</v>
      </c>
      <c r="Q116" s="24" t="s">
        <v>42</v>
      </c>
      <c r="R116" s="27">
        <v>151.34</v>
      </c>
      <c r="S116" s="24" t="s">
        <v>43</v>
      </c>
      <c r="T116" s="42">
        <v>13012.77</v>
      </c>
      <c r="U116" s="24" t="s">
        <v>44</v>
      </c>
      <c r="V116" s="23">
        <v>6779224500</v>
      </c>
      <c r="W116" s="24" t="s">
        <v>40</v>
      </c>
      <c r="X116" s="24" t="s">
        <v>38</v>
      </c>
      <c r="Y116" s="23">
        <v>1</v>
      </c>
      <c r="Z116" s="43" cm="1">
        <f t="array" ref="Z116:AA116">_xlfn.XLOOKUP(L116,'Customer Ledger'!$O:$O,'Customer Ledger'!$P:$Q,,0)</f>
        <v>0</v>
      </c>
      <c r="AA116" s="43">
        <v>11723.0177</v>
      </c>
      <c r="AB116" s="43">
        <f t="shared" si="24"/>
        <v>11723.0177</v>
      </c>
      <c r="AC116" s="43">
        <f t="shared" si="25"/>
        <v>1289.7523000000001</v>
      </c>
      <c r="AD116" s="51">
        <f t="shared" si="26"/>
        <v>9.9114354591681872E-2</v>
      </c>
      <c r="AE116" s="24" t="s">
        <v>160</v>
      </c>
      <c r="AF116" s="24" t="s">
        <v>40</v>
      </c>
      <c r="AG116" s="24" t="s">
        <v>40</v>
      </c>
      <c r="AH116" s="24" t="s">
        <v>40</v>
      </c>
      <c r="AI116" s="25">
        <v>45787</v>
      </c>
      <c r="AJ116" s="25"/>
      <c r="AK116" s="24" t="s">
        <v>40</v>
      </c>
    </row>
    <row r="117" spans="1:37" x14ac:dyDescent="0.35">
      <c r="A117" s="3" t="s">
        <v>32</v>
      </c>
      <c r="B117" s="3" t="s">
        <v>33</v>
      </c>
      <c r="C117" s="3" t="s">
        <v>34</v>
      </c>
      <c r="D117" s="3" t="s">
        <v>35</v>
      </c>
      <c r="E117" s="3" t="s">
        <v>81</v>
      </c>
      <c r="F117" s="4">
        <v>45787</v>
      </c>
      <c r="G117" s="23">
        <v>1800008360</v>
      </c>
      <c r="H117" s="24" t="s">
        <v>47</v>
      </c>
      <c r="I117" s="25">
        <v>45787</v>
      </c>
      <c r="J117" s="25">
        <v>45792</v>
      </c>
      <c r="K117" s="24" t="s">
        <v>38</v>
      </c>
      <c r="L117" s="26">
        <v>256779413243</v>
      </c>
      <c r="M117" s="23">
        <v>212100</v>
      </c>
      <c r="N117" s="24" t="s">
        <v>39</v>
      </c>
      <c r="O117" s="24" t="s">
        <v>40</v>
      </c>
      <c r="P117" s="23">
        <v>1</v>
      </c>
      <c r="Q117" s="24" t="s">
        <v>42</v>
      </c>
      <c r="R117" s="27">
        <v>42.53</v>
      </c>
      <c r="S117" s="24" t="s">
        <v>43</v>
      </c>
      <c r="T117" s="42">
        <v>3656.89</v>
      </c>
      <c r="U117" s="24" t="s">
        <v>44</v>
      </c>
      <c r="V117" s="23">
        <v>6779224500</v>
      </c>
      <c r="W117" s="24" t="s">
        <v>40</v>
      </c>
      <c r="X117" s="24" t="s">
        <v>38</v>
      </c>
      <c r="Y117" s="23">
        <v>1</v>
      </c>
      <c r="Z117" s="43" cm="1">
        <f t="array" ref="Z117:AA117">_xlfn.XLOOKUP(L117,'Customer Ledger'!$O:$O,'Customer Ledger'!$P:$Q,,0)</f>
        <v>0</v>
      </c>
      <c r="AA117" s="43">
        <v>3623</v>
      </c>
      <c r="AB117" s="43">
        <f t="shared" si="24"/>
        <v>3623</v>
      </c>
      <c r="AC117" s="43">
        <f t="shared" si="25"/>
        <v>33.889999999999873</v>
      </c>
      <c r="AD117" s="51">
        <f t="shared" si="26"/>
        <v>9.2674376314299516E-3</v>
      </c>
      <c r="AE117" s="24" t="s">
        <v>161</v>
      </c>
      <c r="AF117" s="24" t="s">
        <v>40</v>
      </c>
      <c r="AG117" s="24" t="s">
        <v>40</v>
      </c>
      <c r="AH117" s="24" t="s">
        <v>40</v>
      </c>
      <c r="AI117" s="25">
        <v>45787</v>
      </c>
      <c r="AJ117" s="25"/>
      <c r="AK117" s="24" t="s">
        <v>40</v>
      </c>
    </row>
    <row r="118" spans="1:37" x14ac:dyDescent="0.35">
      <c r="A118" s="3" t="s">
        <v>32</v>
      </c>
      <c r="B118" s="3" t="s">
        <v>33</v>
      </c>
      <c r="C118" s="3" t="s">
        <v>34</v>
      </c>
      <c r="D118" s="3" t="s">
        <v>35</v>
      </c>
      <c r="E118" s="3" t="s">
        <v>141</v>
      </c>
      <c r="F118" s="4">
        <v>45997</v>
      </c>
      <c r="G118" s="23">
        <v>1800015437</v>
      </c>
      <c r="H118" s="24" t="s">
        <v>47</v>
      </c>
      <c r="I118" s="25">
        <v>45997</v>
      </c>
      <c r="J118" s="25">
        <v>46000</v>
      </c>
      <c r="K118" s="24" t="s">
        <v>38</v>
      </c>
      <c r="L118" s="26">
        <v>256779419933</v>
      </c>
      <c r="M118" s="23">
        <v>212100</v>
      </c>
      <c r="N118" s="24" t="s">
        <v>39</v>
      </c>
      <c r="O118" s="24" t="s">
        <v>40</v>
      </c>
      <c r="P118" s="23">
        <v>1</v>
      </c>
      <c r="Q118" s="24" t="s">
        <v>42</v>
      </c>
      <c r="R118" s="27">
        <v>131.26</v>
      </c>
      <c r="S118" s="24" t="s">
        <v>43</v>
      </c>
      <c r="T118" s="42">
        <v>11642.78</v>
      </c>
      <c r="U118" s="24" t="s">
        <v>44</v>
      </c>
      <c r="V118" s="23">
        <v>6779224500</v>
      </c>
      <c r="W118" s="24" t="s">
        <v>40</v>
      </c>
      <c r="X118" s="23">
        <v>2140454</v>
      </c>
      <c r="Y118" s="23">
        <v>1</v>
      </c>
      <c r="Z118" s="43" cm="1">
        <f t="array" ref="Z118:AA118">_xlfn.XLOOKUP(L118,'Customer Ledger'!$O:$O,'Customer Ledger'!$P:$Q,,0)</f>
        <v>0</v>
      </c>
      <c r="AA118" s="43">
        <v>10489.678599999999</v>
      </c>
      <c r="AB118" s="43">
        <f t="shared" si="24"/>
        <v>10489.678599999999</v>
      </c>
      <c r="AC118" s="43">
        <f t="shared" si="25"/>
        <v>1153.1014000000014</v>
      </c>
      <c r="AD118" s="51">
        <f t="shared" si="26"/>
        <v>9.9040040265297571E-2</v>
      </c>
      <c r="AE118" s="24" t="s">
        <v>162</v>
      </c>
      <c r="AF118" s="24" t="s">
        <v>40</v>
      </c>
      <c r="AG118" s="24" t="s">
        <v>40</v>
      </c>
      <c r="AH118" s="24" t="s">
        <v>40</v>
      </c>
      <c r="AI118" s="25">
        <v>45997</v>
      </c>
      <c r="AJ118" s="25"/>
      <c r="AK118" s="24" t="s">
        <v>40</v>
      </c>
    </row>
    <row r="119" spans="1:37" x14ac:dyDescent="0.35">
      <c r="A119" s="3" t="s">
        <v>32</v>
      </c>
      <c r="B119" s="3" t="s">
        <v>33</v>
      </c>
      <c r="C119" s="3" t="s">
        <v>34</v>
      </c>
      <c r="D119" s="3" t="s">
        <v>35</v>
      </c>
      <c r="E119" s="3" t="s">
        <v>141</v>
      </c>
      <c r="F119" s="4">
        <v>45997</v>
      </c>
      <c r="G119" s="23">
        <v>1800015473</v>
      </c>
      <c r="H119" s="24" t="s">
        <v>47</v>
      </c>
      <c r="I119" s="25">
        <v>45997</v>
      </c>
      <c r="J119" s="25">
        <v>46000</v>
      </c>
      <c r="K119" s="24" t="s">
        <v>38</v>
      </c>
      <c r="L119" s="26">
        <v>256779419990</v>
      </c>
      <c r="M119" s="23">
        <v>212100</v>
      </c>
      <c r="N119" s="24" t="s">
        <v>39</v>
      </c>
      <c r="O119" s="24" t="s">
        <v>40</v>
      </c>
      <c r="P119" s="23">
        <v>1</v>
      </c>
      <c r="Q119" s="24" t="s">
        <v>42</v>
      </c>
      <c r="R119" s="27">
        <v>429.75</v>
      </c>
      <c r="S119" s="24" t="s">
        <v>43</v>
      </c>
      <c r="T119" s="27">
        <v>38118.89</v>
      </c>
      <c r="U119" s="24" t="s">
        <v>44</v>
      </c>
      <c r="V119" s="23">
        <v>6779224500</v>
      </c>
      <c r="W119" s="24" t="s">
        <v>40</v>
      </c>
      <c r="X119" s="23">
        <v>2140458</v>
      </c>
      <c r="Y119" s="23">
        <v>1</v>
      </c>
      <c r="Z119" s="43" t="e" cm="1">
        <f t="array" ref="Z119">_xlfn.XLOOKUP(L119,'Customer Ledger'!$O:$O,'Customer Ledger'!$P:$Q,,0)</f>
        <v>#N/A</v>
      </c>
      <c r="AA119" s="43"/>
      <c r="AB119" s="43"/>
      <c r="AC119" s="23"/>
      <c r="AD119" s="23"/>
      <c r="AE119" s="24" t="s">
        <v>163</v>
      </c>
      <c r="AF119" s="24" t="s">
        <v>40</v>
      </c>
      <c r="AG119" s="24" t="s">
        <v>40</v>
      </c>
      <c r="AH119" s="24" t="s">
        <v>40</v>
      </c>
      <c r="AI119" s="25">
        <v>45997</v>
      </c>
      <c r="AJ119" s="25"/>
      <c r="AK119" s="24" t="s">
        <v>40</v>
      </c>
    </row>
    <row r="120" spans="1:37" x14ac:dyDescent="0.35">
      <c r="A120" s="3" t="s">
        <v>32</v>
      </c>
      <c r="B120" s="3" t="s">
        <v>33</v>
      </c>
      <c r="C120" s="3" t="s">
        <v>34</v>
      </c>
      <c r="D120" s="3" t="s">
        <v>35</v>
      </c>
      <c r="E120" s="3" t="s">
        <v>95</v>
      </c>
      <c r="F120" s="4">
        <v>45948</v>
      </c>
      <c r="G120" s="23">
        <v>1800014004</v>
      </c>
      <c r="H120" s="24" t="s">
        <v>47</v>
      </c>
      <c r="I120" s="25">
        <v>45948</v>
      </c>
      <c r="J120" s="25">
        <v>45951</v>
      </c>
      <c r="K120" s="24" t="s">
        <v>38</v>
      </c>
      <c r="L120" s="26">
        <v>256779418428</v>
      </c>
      <c r="M120" s="23">
        <v>212100</v>
      </c>
      <c r="N120" s="24" t="s">
        <v>39</v>
      </c>
      <c r="O120" s="24" t="s">
        <v>40</v>
      </c>
      <c r="P120" s="23">
        <v>1</v>
      </c>
      <c r="Q120" s="24" t="s">
        <v>42</v>
      </c>
      <c r="R120" s="27">
        <v>32.9</v>
      </c>
      <c r="S120" s="24" t="s">
        <v>43</v>
      </c>
      <c r="T120" s="42">
        <v>2901.48</v>
      </c>
      <c r="U120" s="24" t="s">
        <v>44</v>
      </c>
      <c r="V120" s="23">
        <v>6779224500</v>
      </c>
      <c r="W120" s="24" t="s">
        <v>40</v>
      </c>
      <c r="X120" s="23">
        <v>2114864</v>
      </c>
      <c r="Y120" s="23">
        <v>1</v>
      </c>
      <c r="Z120" s="43" cm="1">
        <f t="array" ref="Z120:AA120">_xlfn.XLOOKUP(L120,'Customer Ledger'!$O:$O,'Customer Ledger'!$P:$Q,,0)</f>
        <v>88</v>
      </c>
      <c r="AA120" s="43">
        <v>2901.2856000000002</v>
      </c>
      <c r="AB120" s="43">
        <f t="shared" ref="AB120:AB127" si="27">AA120-Z120</f>
        <v>2813.2856000000002</v>
      </c>
      <c r="AC120" s="43">
        <f t="shared" ref="AC120:AC127" si="28">T120-AB120</f>
        <v>88.19439999999986</v>
      </c>
      <c r="AD120" s="51">
        <f t="shared" ref="AD120:AD127" si="29">AC120/T120</f>
        <v>3.0396349449246542E-2</v>
      </c>
      <c r="AE120" s="24" t="s">
        <v>164</v>
      </c>
      <c r="AF120" s="24" t="s">
        <v>40</v>
      </c>
      <c r="AG120" s="24" t="s">
        <v>40</v>
      </c>
      <c r="AH120" s="24" t="s">
        <v>40</v>
      </c>
      <c r="AI120" s="25">
        <v>45948</v>
      </c>
      <c r="AJ120" s="25"/>
      <c r="AK120" s="24" t="s">
        <v>40</v>
      </c>
    </row>
    <row r="121" spans="1:37" x14ac:dyDescent="0.35">
      <c r="A121" s="3" t="s">
        <v>32</v>
      </c>
      <c r="B121" s="3" t="s">
        <v>33</v>
      </c>
      <c r="C121" s="3" t="s">
        <v>34</v>
      </c>
      <c r="D121" s="3" t="s">
        <v>35</v>
      </c>
      <c r="E121" s="3" t="s">
        <v>95</v>
      </c>
      <c r="F121" s="4">
        <v>45948</v>
      </c>
      <c r="G121" s="23">
        <v>1800014145</v>
      </c>
      <c r="H121" s="24" t="s">
        <v>47</v>
      </c>
      <c r="I121" s="25">
        <v>45948</v>
      </c>
      <c r="J121" s="25">
        <v>45951</v>
      </c>
      <c r="K121" s="24" t="s">
        <v>38</v>
      </c>
      <c r="L121" s="26">
        <v>256779418437</v>
      </c>
      <c r="M121" s="23">
        <v>212100</v>
      </c>
      <c r="N121" s="24" t="s">
        <v>39</v>
      </c>
      <c r="O121" s="24" t="s">
        <v>40</v>
      </c>
      <c r="P121" s="23">
        <v>1</v>
      </c>
      <c r="Q121" s="24" t="s">
        <v>42</v>
      </c>
      <c r="R121" s="27">
        <v>79.900000000000006</v>
      </c>
      <c r="S121" s="24" t="s">
        <v>43</v>
      </c>
      <c r="T121" s="42">
        <v>7046.44</v>
      </c>
      <c r="U121" s="24" t="s">
        <v>44</v>
      </c>
      <c r="V121" s="23">
        <v>6779224500</v>
      </c>
      <c r="W121" s="24" t="s">
        <v>40</v>
      </c>
      <c r="X121" s="23">
        <v>2114865</v>
      </c>
      <c r="Y121" s="23">
        <v>1</v>
      </c>
      <c r="Z121" s="43" cm="1">
        <f t="array" ref="Z121:AA121">_xlfn.XLOOKUP(L121,'Customer Ledger'!$O:$O,'Customer Ledger'!$P:$Q,,0)</f>
        <v>176</v>
      </c>
      <c r="AA121" s="43">
        <v>7046.0609999999997</v>
      </c>
      <c r="AB121" s="43">
        <f t="shared" si="27"/>
        <v>6870.0609999999997</v>
      </c>
      <c r="AC121" s="43">
        <f t="shared" si="28"/>
        <v>176.37899999999991</v>
      </c>
      <c r="AD121" s="51">
        <f t="shared" si="29"/>
        <v>2.5030937608210659E-2</v>
      </c>
      <c r="AE121" s="24" t="s">
        <v>165</v>
      </c>
      <c r="AF121" s="24" t="s">
        <v>40</v>
      </c>
      <c r="AG121" s="24" t="s">
        <v>40</v>
      </c>
      <c r="AH121" s="24" t="s">
        <v>40</v>
      </c>
      <c r="AI121" s="25">
        <v>45948</v>
      </c>
      <c r="AJ121" s="25"/>
      <c r="AK121" s="24" t="s">
        <v>40</v>
      </c>
    </row>
    <row r="122" spans="1:37" x14ac:dyDescent="0.35">
      <c r="A122" s="3" t="s">
        <v>32</v>
      </c>
      <c r="B122" s="3" t="s">
        <v>33</v>
      </c>
      <c r="C122" s="3" t="s">
        <v>34</v>
      </c>
      <c r="D122" s="3" t="s">
        <v>35</v>
      </c>
      <c r="E122" s="3" t="s">
        <v>111</v>
      </c>
      <c r="F122" s="4">
        <v>45815</v>
      </c>
      <c r="G122" s="23">
        <v>1800009478</v>
      </c>
      <c r="H122" s="24" t="s">
        <v>47</v>
      </c>
      <c r="I122" s="25">
        <v>45815</v>
      </c>
      <c r="J122" s="25">
        <v>45817</v>
      </c>
      <c r="K122" s="24" t="s">
        <v>38</v>
      </c>
      <c r="L122" s="26">
        <v>256779414242</v>
      </c>
      <c r="M122" s="23">
        <v>212100</v>
      </c>
      <c r="N122" s="24" t="s">
        <v>39</v>
      </c>
      <c r="O122" s="24" t="s">
        <v>40</v>
      </c>
      <c r="P122" s="23">
        <v>1</v>
      </c>
      <c r="Q122" s="24" t="s">
        <v>42</v>
      </c>
      <c r="R122" s="27">
        <v>4585.18</v>
      </c>
      <c r="S122" s="24" t="s">
        <v>43</v>
      </c>
      <c r="T122" s="42">
        <v>391990.61</v>
      </c>
      <c r="U122" s="24" t="s">
        <v>44</v>
      </c>
      <c r="V122" s="23">
        <v>6779224500</v>
      </c>
      <c r="W122" s="24" t="s">
        <v>40</v>
      </c>
      <c r="X122" s="24" t="s">
        <v>38</v>
      </c>
      <c r="Y122" s="23">
        <v>1</v>
      </c>
      <c r="Z122" s="43" cm="1">
        <f t="array" ref="Z122:AA122">_xlfn.XLOOKUP(L122,'Customer Ledger'!$O:$O,'Customer Ledger'!$P:$Q,,0)</f>
        <v>0</v>
      </c>
      <c r="AA122" s="43">
        <v>352792</v>
      </c>
      <c r="AB122" s="43">
        <f t="shared" si="27"/>
        <v>352792</v>
      </c>
      <c r="AC122" s="43">
        <f t="shared" si="28"/>
        <v>39198.609999999986</v>
      </c>
      <c r="AD122" s="51">
        <f t="shared" si="29"/>
        <v>9.9998849462235806E-2</v>
      </c>
      <c r="AE122" s="24" t="s">
        <v>166</v>
      </c>
      <c r="AF122" s="24" t="s">
        <v>40</v>
      </c>
      <c r="AG122" s="24" t="s">
        <v>40</v>
      </c>
      <c r="AH122" s="24" t="s">
        <v>40</v>
      </c>
      <c r="AI122" s="25">
        <v>45815</v>
      </c>
      <c r="AJ122" s="25"/>
      <c r="AK122" s="24" t="s">
        <v>40</v>
      </c>
    </row>
    <row r="123" spans="1:37" x14ac:dyDescent="0.35">
      <c r="A123" s="3" t="s">
        <v>32</v>
      </c>
      <c r="B123" s="3" t="s">
        <v>33</v>
      </c>
      <c r="C123" s="3" t="s">
        <v>34</v>
      </c>
      <c r="D123" s="3" t="s">
        <v>35</v>
      </c>
      <c r="E123" s="3" t="s">
        <v>95</v>
      </c>
      <c r="F123" s="4">
        <v>45936</v>
      </c>
      <c r="G123" s="23">
        <v>1800013274</v>
      </c>
      <c r="H123" s="24" t="s">
        <v>47</v>
      </c>
      <c r="I123" s="25">
        <v>45936</v>
      </c>
      <c r="J123" s="25">
        <v>45937</v>
      </c>
      <c r="K123" s="24" t="s">
        <v>38</v>
      </c>
      <c r="L123" s="26">
        <v>256779418010</v>
      </c>
      <c r="M123" s="23">
        <v>212100</v>
      </c>
      <c r="N123" s="24" t="s">
        <v>39</v>
      </c>
      <c r="O123" s="24" t="s">
        <v>40</v>
      </c>
      <c r="P123" s="23">
        <v>1</v>
      </c>
      <c r="Q123" s="24" t="s">
        <v>42</v>
      </c>
      <c r="R123" s="27">
        <v>8566.5</v>
      </c>
      <c r="S123" s="24" t="s">
        <v>43</v>
      </c>
      <c r="T123" s="42">
        <v>755486.23</v>
      </c>
      <c r="U123" s="24" t="s">
        <v>44</v>
      </c>
      <c r="V123" s="23">
        <v>6779224500</v>
      </c>
      <c r="W123" s="24" t="s">
        <v>40</v>
      </c>
      <c r="X123" s="23">
        <v>2110511</v>
      </c>
      <c r="Y123" s="23">
        <v>1</v>
      </c>
      <c r="Z123" s="43" cm="1">
        <f t="array" ref="Z123:AA123">_xlfn.XLOOKUP(L123,'Customer Ledger'!$O:$O,'Customer Ledger'!$P:$Q,,0)</f>
        <v>0</v>
      </c>
      <c r="AA123" s="43">
        <v>679906.74129999999</v>
      </c>
      <c r="AB123" s="43">
        <f t="shared" si="27"/>
        <v>679906.74129999999</v>
      </c>
      <c r="AC123" s="43">
        <f t="shared" si="28"/>
        <v>75579.488699999987</v>
      </c>
      <c r="AD123" s="51">
        <f t="shared" si="29"/>
        <v>0.10004085541042884</v>
      </c>
      <c r="AE123" s="24" t="s">
        <v>167</v>
      </c>
      <c r="AF123" s="24" t="s">
        <v>40</v>
      </c>
      <c r="AG123" s="24" t="s">
        <v>40</v>
      </c>
      <c r="AH123" s="24" t="s">
        <v>40</v>
      </c>
      <c r="AI123" s="25">
        <v>45936</v>
      </c>
      <c r="AJ123" s="25"/>
      <c r="AK123" s="24" t="s">
        <v>40</v>
      </c>
    </row>
    <row r="124" spans="1:37" x14ac:dyDescent="0.35">
      <c r="A124" s="3" t="s">
        <v>32</v>
      </c>
      <c r="B124" s="3" t="s">
        <v>33</v>
      </c>
      <c r="C124" s="3" t="s">
        <v>34</v>
      </c>
      <c r="D124" s="3" t="s">
        <v>35</v>
      </c>
      <c r="E124" s="3" t="s">
        <v>95</v>
      </c>
      <c r="F124" s="4">
        <v>45935</v>
      </c>
      <c r="G124" s="23">
        <v>1800013343</v>
      </c>
      <c r="H124" s="24" t="s">
        <v>47</v>
      </c>
      <c r="I124" s="25">
        <v>45935</v>
      </c>
      <c r="J124" s="25">
        <v>45937</v>
      </c>
      <c r="K124" s="24" t="s">
        <v>38</v>
      </c>
      <c r="L124" s="26">
        <v>256779417939</v>
      </c>
      <c r="M124" s="23">
        <v>212100</v>
      </c>
      <c r="N124" s="24" t="s">
        <v>39</v>
      </c>
      <c r="O124" s="24" t="s">
        <v>40</v>
      </c>
      <c r="P124" s="23">
        <v>1</v>
      </c>
      <c r="Q124" s="24" t="s">
        <v>42</v>
      </c>
      <c r="R124" s="27">
        <v>445.35</v>
      </c>
      <c r="S124" s="24" t="s">
        <v>43</v>
      </c>
      <c r="T124" s="42">
        <v>39275.760000000002</v>
      </c>
      <c r="U124" s="24" t="s">
        <v>44</v>
      </c>
      <c r="V124" s="23">
        <v>6779224500</v>
      </c>
      <c r="W124" s="24" t="s">
        <v>40</v>
      </c>
      <c r="X124" s="24" t="s">
        <v>38</v>
      </c>
      <c r="Y124" s="23">
        <v>1</v>
      </c>
      <c r="Z124" s="43" cm="1">
        <f t="array" ref="Z124:AA124">_xlfn.XLOOKUP(L124,'Customer Ledger'!$O:$O,'Customer Ledger'!$P:$Q,,0)</f>
        <v>0</v>
      </c>
      <c r="AA124" s="43">
        <v>38482.042500000003</v>
      </c>
      <c r="AB124" s="43">
        <f t="shared" si="27"/>
        <v>38482.042500000003</v>
      </c>
      <c r="AC124" s="43">
        <f t="shared" si="28"/>
        <v>793.71749999999884</v>
      </c>
      <c r="AD124" s="51">
        <f t="shared" si="29"/>
        <v>2.0208838734119945E-2</v>
      </c>
      <c r="AE124" s="24" t="s">
        <v>168</v>
      </c>
      <c r="AF124" s="24" t="s">
        <v>40</v>
      </c>
      <c r="AG124" s="24" t="s">
        <v>40</v>
      </c>
      <c r="AH124" s="24" t="s">
        <v>40</v>
      </c>
      <c r="AI124" s="25">
        <v>45935</v>
      </c>
      <c r="AJ124" s="25"/>
      <c r="AK124" s="24" t="s">
        <v>40</v>
      </c>
    </row>
    <row r="125" spans="1:37" x14ac:dyDescent="0.35">
      <c r="A125" s="3" t="s">
        <v>32</v>
      </c>
      <c r="B125" s="3" t="s">
        <v>33</v>
      </c>
      <c r="C125" s="3" t="s">
        <v>34</v>
      </c>
      <c r="D125" s="3" t="s">
        <v>35</v>
      </c>
      <c r="E125" s="3" t="s">
        <v>95</v>
      </c>
      <c r="F125" s="4">
        <v>45935</v>
      </c>
      <c r="G125" s="23">
        <v>1800013382</v>
      </c>
      <c r="H125" s="24" t="s">
        <v>47</v>
      </c>
      <c r="I125" s="25">
        <v>45935</v>
      </c>
      <c r="J125" s="25">
        <v>45937</v>
      </c>
      <c r="K125" s="24" t="s">
        <v>38</v>
      </c>
      <c r="L125" s="26">
        <v>256779417978</v>
      </c>
      <c r="M125" s="23">
        <v>212100</v>
      </c>
      <c r="N125" s="24" t="s">
        <v>39</v>
      </c>
      <c r="O125" s="24" t="s">
        <v>40</v>
      </c>
      <c r="P125" s="23">
        <v>1</v>
      </c>
      <c r="Q125" s="24" t="s">
        <v>42</v>
      </c>
      <c r="R125" s="27">
        <v>582.79999999999995</v>
      </c>
      <c r="S125" s="24" t="s">
        <v>43</v>
      </c>
      <c r="T125" s="42">
        <v>51397.58</v>
      </c>
      <c r="U125" s="24" t="s">
        <v>44</v>
      </c>
      <c r="V125" s="23">
        <v>6779224500</v>
      </c>
      <c r="W125" s="24" t="s">
        <v>40</v>
      </c>
      <c r="X125" s="23">
        <v>2110504</v>
      </c>
      <c r="Y125" s="23">
        <v>1</v>
      </c>
      <c r="Z125" s="43" cm="1">
        <f t="array" ref="Z125:AA125">_xlfn.XLOOKUP(L125,'Customer Ledger'!$O:$O,'Customer Ledger'!$P:$Q,,0)</f>
        <v>1058</v>
      </c>
      <c r="AA125" s="43">
        <v>51397.291499999999</v>
      </c>
      <c r="AB125" s="43">
        <f t="shared" si="27"/>
        <v>50339.291499999999</v>
      </c>
      <c r="AC125" s="43">
        <f t="shared" si="28"/>
        <v>1058.2885000000024</v>
      </c>
      <c r="AD125" s="51">
        <f t="shared" si="29"/>
        <v>2.0590239851759604E-2</v>
      </c>
      <c r="AE125" s="24" t="s">
        <v>169</v>
      </c>
      <c r="AF125" s="24" t="s">
        <v>40</v>
      </c>
      <c r="AG125" s="24" t="s">
        <v>40</v>
      </c>
      <c r="AH125" s="24" t="s">
        <v>40</v>
      </c>
      <c r="AI125" s="25">
        <v>45935</v>
      </c>
      <c r="AJ125" s="25"/>
      <c r="AK125" s="24" t="s">
        <v>40</v>
      </c>
    </row>
    <row r="126" spans="1:37" x14ac:dyDescent="0.35">
      <c r="A126" s="3" t="s">
        <v>32</v>
      </c>
      <c r="B126" s="3" t="s">
        <v>33</v>
      </c>
      <c r="C126" s="3" t="s">
        <v>34</v>
      </c>
      <c r="D126" s="3" t="s">
        <v>35</v>
      </c>
      <c r="E126" s="3" t="s">
        <v>95</v>
      </c>
      <c r="F126" s="4">
        <v>45935</v>
      </c>
      <c r="G126" s="23">
        <v>1800013460</v>
      </c>
      <c r="H126" s="24" t="s">
        <v>47</v>
      </c>
      <c r="I126" s="25">
        <v>45935</v>
      </c>
      <c r="J126" s="25">
        <v>45937</v>
      </c>
      <c r="K126" s="24" t="s">
        <v>38</v>
      </c>
      <c r="L126" s="26">
        <v>256779418036</v>
      </c>
      <c r="M126" s="23">
        <v>212100</v>
      </c>
      <c r="N126" s="24" t="s">
        <v>39</v>
      </c>
      <c r="O126" s="24" t="s">
        <v>40</v>
      </c>
      <c r="P126" s="23">
        <v>1</v>
      </c>
      <c r="Q126" s="24" t="s">
        <v>42</v>
      </c>
      <c r="R126" s="27">
        <v>456.75</v>
      </c>
      <c r="S126" s="24" t="s">
        <v>43</v>
      </c>
      <c r="T126" s="42">
        <v>40281.129999999997</v>
      </c>
      <c r="U126" s="24" t="s">
        <v>44</v>
      </c>
      <c r="V126" s="23">
        <v>6779224500</v>
      </c>
      <c r="W126" s="24" t="s">
        <v>40</v>
      </c>
      <c r="X126" s="23">
        <v>2110508</v>
      </c>
      <c r="Y126" s="23">
        <v>1</v>
      </c>
      <c r="Z126" s="43" cm="1">
        <f t="array" ref="Z126:AA126">_xlfn.XLOOKUP(L126,'Customer Ledger'!$O:$O,'Customer Ledger'!$P:$Q,,0)</f>
        <v>0</v>
      </c>
      <c r="AA126" s="43">
        <v>36224.358800000002</v>
      </c>
      <c r="AB126" s="43">
        <f t="shared" si="27"/>
        <v>36224.358800000002</v>
      </c>
      <c r="AC126" s="43">
        <f t="shared" si="28"/>
        <v>4056.7711999999956</v>
      </c>
      <c r="AD126" s="51">
        <f t="shared" si="29"/>
        <v>0.10071145471837548</v>
      </c>
      <c r="AE126" s="24" t="s">
        <v>170</v>
      </c>
      <c r="AF126" s="24" t="s">
        <v>40</v>
      </c>
      <c r="AG126" s="24" t="s">
        <v>40</v>
      </c>
      <c r="AH126" s="24" t="s">
        <v>40</v>
      </c>
      <c r="AI126" s="25">
        <v>45935</v>
      </c>
      <c r="AJ126" s="25"/>
      <c r="AK126" s="24" t="s">
        <v>40</v>
      </c>
    </row>
    <row r="127" spans="1:37" x14ac:dyDescent="0.35">
      <c r="A127" s="3" t="s">
        <v>32</v>
      </c>
      <c r="B127" s="3" t="s">
        <v>33</v>
      </c>
      <c r="C127" s="3" t="s">
        <v>34</v>
      </c>
      <c r="D127" s="3" t="s">
        <v>35</v>
      </c>
      <c r="E127" s="3" t="s">
        <v>95</v>
      </c>
      <c r="F127" s="4">
        <v>45935</v>
      </c>
      <c r="G127" s="23">
        <v>1800013478</v>
      </c>
      <c r="H127" s="24" t="s">
        <v>47</v>
      </c>
      <c r="I127" s="25">
        <v>45935</v>
      </c>
      <c r="J127" s="25">
        <v>45937</v>
      </c>
      <c r="K127" s="24" t="s">
        <v>38</v>
      </c>
      <c r="L127" s="26">
        <v>256779418094</v>
      </c>
      <c r="M127" s="23">
        <v>212100</v>
      </c>
      <c r="N127" s="24" t="s">
        <v>39</v>
      </c>
      <c r="O127" s="24" t="s">
        <v>40</v>
      </c>
      <c r="P127" s="23">
        <v>1</v>
      </c>
      <c r="Q127" s="24" t="s">
        <v>42</v>
      </c>
      <c r="R127" s="27">
        <v>771.74</v>
      </c>
      <c r="S127" s="24" t="s">
        <v>43</v>
      </c>
      <c r="T127" s="42">
        <v>68060.34</v>
      </c>
      <c r="U127" s="24" t="s">
        <v>44</v>
      </c>
      <c r="V127" s="23">
        <v>6779224500</v>
      </c>
      <c r="W127" s="24" t="s">
        <v>40</v>
      </c>
      <c r="X127" s="23">
        <v>2110489</v>
      </c>
      <c r="Y127" s="23">
        <v>1</v>
      </c>
      <c r="Z127" s="43" cm="1">
        <f t="array" ref="Z127:AA127">_xlfn.XLOOKUP(L127,'Customer Ledger'!$O:$O,'Customer Ledger'!$P:$Q,,0)</f>
        <v>6791</v>
      </c>
      <c r="AA127" s="43">
        <v>68060.655499999993</v>
      </c>
      <c r="AB127" s="43">
        <f t="shared" si="27"/>
        <v>61269.655499999993</v>
      </c>
      <c r="AC127" s="43">
        <f t="shared" si="28"/>
        <v>6790.684500000003</v>
      </c>
      <c r="AD127" s="51">
        <f t="shared" si="29"/>
        <v>9.977447218159656E-2</v>
      </c>
      <c r="AE127" s="24" t="s">
        <v>171</v>
      </c>
      <c r="AF127" s="24" t="s">
        <v>40</v>
      </c>
      <c r="AG127" s="24" t="s">
        <v>40</v>
      </c>
      <c r="AH127" s="24" t="s">
        <v>40</v>
      </c>
      <c r="AI127" s="25">
        <v>45935</v>
      </c>
      <c r="AJ127" s="25"/>
      <c r="AK127" s="24" t="s">
        <v>40</v>
      </c>
    </row>
    <row r="128" spans="1:37" x14ac:dyDescent="0.35">
      <c r="A128" s="3" t="s">
        <v>32</v>
      </c>
      <c r="B128" s="3" t="s">
        <v>33</v>
      </c>
      <c r="C128" s="3" t="s">
        <v>34</v>
      </c>
      <c r="D128" s="3" t="s">
        <v>35</v>
      </c>
      <c r="E128" s="3" t="s">
        <v>95</v>
      </c>
      <c r="F128" s="4">
        <v>45935</v>
      </c>
      <c r="G128" s="23">
        <v>1800013509</v>
      </c>
      <c r="H128" s="24" t="s">
        <v>47</v>
      </c>
      <c r="I128" s="25">
        <v>45935</v>
      </c>
      <c r="J128" s="25">
        <v>45940</v>
      </c>
      <c r="K128" s="24" t="s">
        <v>38</v>
      </c>
      <c r="L128" s="26">
        <v>256779418399</v>
      </c>
      <c r="M128" s="23">
        <v>212100</v>
      </c>
      <c r="N128" s="24" t="s">
        <v>39</v>
      </c>
      <c r="O128" s="24" t="s">
        <v>40</v>
      </c>
      <c r="P128" s="23">
        <v>1</v>
      </c>
      <c r="Q128" s="24" t="s">
        <v>42</v>
      </c>
      <c r="R128" s="27">
        <v>1432.98</v>
      </c>
      <c r="S128" s="24" t="s">
        <v>43</v>
      </c>
      <c r="T128" s="27">
        <v>126375.61</v>
      </c>
      <c r="U128" s="24" t="s">
        <v>44</v>
      </c>
      <c r="V128" s="23">
        <v>6779224500</v>
      </c>
      <c r="W128" s="24" t="s">
        <v>40</v>
      </c>
      <c r="X128" s="23">
        <v>2110981</v>
      </c>
      <c r="Y128" s="23">
        <v>1</v>
      </c>
      <c r="Z128" s="43" t="e" cm="1">
        <f t="array" ref="Z128">_xlfn.XLOOKUP(L128,'Customer Ledger'!$O:$O,'Customer Ledger'!$P:$Q,,0)</f>
        <v>#N/A</v>
      </c>
      <c r="AA128" s="43"/>
      <c r="AB128" s="43"/>
      <c r="AC128" s="23"/>
      <c r="AD128" s="23"/>
      <c r="AE128" s="24" t="s">
        <v>172</v>
      </c>
      <c r="AF128" s="24" t="s">
        <v>40</v>
      </c>
      <c r="AG128" s="24" t="s">
        <v>40</v>
      </c>
      <c r="AH128" s="24" t="s">
        <v>40</v>
      </c>
      <c r="AI128" s="25">
        <v>45935</v>
      </c>
      <c r="AJ128" s="25"/>
      <c r="AK128" s="24" t="s">
        <v>40</v>
      </c>
    </row>
    <row r="129" spans="1:37" x14ac:dyDescent="0.35">
      <c r="A129" s="3" t="s">
        <v>32</v>
      </c>
      <c r="B129" s="3" t="s">
        <v>33</v>
      </c>
      <c r="C129" s="3" t="s">
        <v>34</v>
      </c>
      <c r="D129" s="3" t="s">
        <v>35</v>
      </c>
      <c r="E129" s="3" t="s">
        <v>95</v>
      </c>
      <c r="F129" s="4">
        <v>45935</v>
      </c>
      <c r="G129" s="23">
        <v>1800007801</v>
      </c>
      <c r="H129" s="24" t="s">
        <v>47</v>
      </c>
      <c r="I129" s="25">
        <v>45770</v>
      </c>
      <c r="J129" s="25">
        <v>45773</v>
      </c>
      <c r="K129" s="24" t="s">
        <v>38</v>
      </c>
      <c r="L129" s="26">
        <v>256779412692</v>
      </c>
      <c r="M129" s="23">
        <v>212100</v>
      </c>
      <c r="N129" s="24" t="s">
        <v>39</v>
      </c>
      <c r="O129" s="24" t="s">
        <v>40</v>
      </c>
      <c r="P129" s="23">
        <v>1</v>
      </c>
      <c r="Q129" s="24" t="s">
        <v>42</v>
      </c>
      <c r="R129" s="27">
        <v>70</v>
      </c>
      <c r="S129" s="24" t="s">
        <v>43</v>
      </c>
      <c r="T129" s="42">
        <v>6084.53</v>
      </c>
      <c r="U129" s="24" t="s">
        <v>44</v>
      </c>
      <c r="V129" s="23">
        <v>6779224500</v>
      </c>
      <c r="W129" s="24" t="s">
        <v>40</v>
      </c>
      <c r="X129" s="24" t="s">
        <v>38</v>
      </c>
      <c r="Y129" s="23">
        <v>1</v>
      </c>
      <c r="Z129" s="43" cm="1">
        <f t="array" ref="Z129:AA129">_xlfn.XLOOKUP(L129,'Customer Ledger'!$O:$O,'Customer Ledger'!$P:$Q,,0)</f>
        <v>0</v>
      </c>
      <c r="AA129" s="43">
        <v>6084</v>
      </c>
      <c r="AB129" s="43">
        <f t="shared" ref="AB129:AB130" si="30">AA129-Z129</f>
        <v>6084</v>
      </c>
      <c r="AC129" s="43">
        <f t="shared" ref="AC129:AC130" si="31">T129-AB129</f>
        <v>0.52999999999974534</v>
      </c>
      <c r="AD129" s="51">
        <f t="shared" ref="AD129:AD130" si="32">AC129/T129</f>
        <v>8.7106152817020434E-5</v>
      </c>
      <c r="AE129" s="24" t="s">
        <v>147</v>
      </c>
      <c r="AF129" s="24" t="s">
        <v>40</v>
      </c>
      <c r="AG129" s="24" t="s">
        <v>40</v>
      </c>
      <c r="AH129" s="24" t="s">
        <v>40</v>
      </c>
      <c r="AI129" s="25">
        <v>45770</v>
      </c>
      <c r="AJ129" s="25">
        <v>45976</v>
      </c>
      <c r="AK129" s="23">
        <v>1400001901</v>
      </c>
    </row>
    <row r="130" spans="1:37" x14ac:dyDescent="0.35">
      <c r="A130" s="3" t="s">
        <v>32</v>
      </c>
      <c r="B130" s="3" t="s">
        <v>33</v>
      </c>
      <c r="C130" s="3" t="s">
        <v>34</v>
      </c>
      <c r="D130" s="3" t="s">
        <v>35</v>
      </c>
      <c r="E130" s="3" t="s">
        <v>135</v>
      </c>
      <c r="F130" s="4">
        <v>45906</v>
      </c>
      <c r="G130" s="23">
        <v>1800012476</v>
      </c>
      <c r="H130" s="24" t="s">
        <v>47</v>
      </c>
      <c r="I130" s="25">
        <v>45906</v>
      </c>
      <c r="J130" s="25">
        <v>45909</v>
      </c>
      <c r="K130" s="24" t="s">
        <v>38</v>
      </c>
      <c r="L130" s="26">
        <v>256779417084</v>
      </c>
      <c r="M130" s="23">
        <v>212100</v>
      </c>
      <c r="N130" s="24" t="s">
        <v>39</v>
      </c>
      <c r="O130" s="24" t="s">
        <v>40</v>
      </c>
      <c r="P130" s="23">
        <v>1</v>
      </c>
      <c r="Q130" s="24" t="s">
        <v>42</v>
      </c>
      <c r="R130" s="27">
        <v>8832.14</v>
      </c>
      <c r="S130" s="24" t="s">
        <v>43</v>
      </c>
      <c r="T130" s="42">
        <v>772938.81</v>
      </c>
      <c r="U130" s="24" t="s">
        <v>44</v>
      </c>
      <c r="V130" s="23">
        <v>6779224500</v>
      </c>
      <c r="W130" s="24" t="s">
        <v>40</v>
      </c>
      <c r="X130" s="24" t="s">
        <v>38</v>
      </c>
      <c r="Y130" s="23">
        <v>1</v>
      </c>
      <c r="Z130" s="43" cm="1">
        <f t="array" ref="Z130:AA130">_xlfn.XLOOKUP(L130,'Customer Ledger'!$O:$O,'Customer Ledger'!$P:$Q,,0)</f>
        <v>0</v>
      </c>
      <c r="AA130" s="43">
        <v>695663.66119999997</v>
      </c>
      <c r="AB130" s="43">
        <f t="shared" si="30"/>
        <v>695663.66119999997</v>
      </c>
      <c r="AC130" s="43">
        <f t="shared" si="31"/>
        <v>77275.148800000083</v>
      </c>
      <c r="AD130" s="51">
        <f t="shared" si="32"/>
        <v>9.9975764963852798E-2</v>
      </c>
      <c r="AE130" s="24" t="s">
        <v>173</v>
      </c>
      <c r="AF130" s="24" t="s">
        <v>40</v>
      </c>
      <c r="AG130" s="24" t="s">
        <v>40</v>
      </c>
      <c r="AH130" s="24" t="s">
        <v>40</v>
      </c>
      <c r="AI130" s="25">
        <v>45906</v>
      </c>
      <c r="AJ130" s="25"/>
      <c r="AK130" s="24" t="s">
        <v>40</v>
      </c>
    </row>
    <row r="131" spans="1:37" x14ac:dyDescent="0.35">
      <c r="A131" s="3" t="s">
        <v>32</v>
      </c>
      <c r="B131" s="3" t="s">
        <v>33</v>
      </c>
      <c r="C131" s="3" t="s">
        <v>34</v>
      </c>
      <c r="D131" s="3" t="s">
        <v>35</v>
      </c>
      <c r="E131" s="3" t="s">
        <v>81</v>
      </c>
      <c r="F131" s="4">
        <v>45795</v>
      </c>
      <c r="G131" s="23">
        <v>1800013428</v>
      </c>
      <c r="H131" s="24" t="s">
        <v>47</v>
      </c>
      <c r="I131" s="25">
        <v>45935</v>
      </c>
      <c r="J131" s="25">
        <v>45937</v>
      </c>
      <c r="K131" s="24" t="s">
        <v>38</v>
      </c>
      <c r="L131" s="26">
        <v>256779418075</v>
      </c>
      <c r="M131" s="23">
        <v>212100</v>
      </c>
      <c r="N131" s="24" t="s">
        <v>39</v>
      </c>
      <c r="O131" s="24" t="s">
        <v>40</v>
      </c>
      <c r="P131" s="23">
        <v>1</v>
      </c>
      <c r="Q131" s="24" t="s">
        <v>42</v>
      </c>
      <c r="R131" s="27">
        <v>582.79999999999995</v>
      </c>
      <c r="S131" s="24" t="s">
        <v>43</v>
      </c>
      <c r="T131" s="27">
        <v>51397.58</v>
      </c>
      <c r="U131" s="24" t="s">
        <v>44</v>
      </c>
      <c r="V131" s="23">
        <v>6779224500</v>
      </c>
      <c r="W131" s="24" t="s">
        <v>40</v>
      </c>
      <c r="X131" s="23">
        <v>2110503</v>
      </c>
      <c r="Y131" s="23">
        <v>1</v>
      </c>
      <c r="Z131" s="43" t="e" cm="1">
        <f t="array" ref="Z131">_xlfn.XLOOKUP(L131,'Customer Ledger'!$O:$O,'Customer Ledger'!$P:$Q,,0)</f>
        <v>#N/A</v>
      </c>
      <c r="AA131" s="43"/>
      <c r="AB131" s="43"/>
      <c r="AC131" s="23"/>
      <c r="AD131" s="23"/>
      <c r="AE131" s="24" t="s">
        <v>169</v>
      </c>
      <c r="AF131" s="24" t="s">
        <v>40</v>
      </c>
      <c r="AG131" s="24" t="s">
        <v>40</v>
      </c>
      <c r="AH131" s="24" t="s">
        <v>40</v>
      </c>
      <c r="AI131" s="25">
        <v>45935</v>
      </c>
      <c r="AJ131" s="25">
        <v>45976</v>
      </c>
      <c r="AK131" s="23">
        <v>1400001901</v>
      </c>
    </row>
    <row r="132" spans="1:37" x14ac:dyDescent="0.35">
      <c r="A132" s="3" t="s">
        <v>32</v>
      </c>
      <c r="B132" s="3" t="s">
        <v>33</v>
      </c>
      <c r="C132" s="3" t="s">
        <v>34</v>
      </c>
      <c r="D132" s="3" t="s">
        <v>174</v>
      </c>
      <c r="E132" s="3" t="s">
        <v>45</v>
      </c>
      <c r="F132" s="4">
        <v>46024</v>
      </c>
      <c r="G132" s="23">
        <v>1800015671</v>
      </c>
      <c r="H132" s="24" t="s">
        <v>47</v>
      </c>
      <c r="I132" s="25">
        <v>46024</v>
      </c>
      <c r="J132" s="25">
        <v>46024</v>
      </c>
      <c r="K132" s="24" t="s">
        <v>38</v>
      </c>
      <c r="L132" s="26">
        <v>256779440004</v>
      </c>
      <c r="M132" s="23">
        <v>212100</v>
      </c>
      <c r="N132" s="24" t="s">
        <v>39</v>
      </c>
      <c r="O132" s="24" t="s">
        <v>40</v>
      </c>
      <c r="P132" s="23">
        <v>1</v>
      </c>
      <c r="Q132" s="24" t="s">
        <v>42</v>
      </c>
      <c r="R132" s="27">
        <v>7039.11</v>
      </c>
      <c r="S132" s="24" t="s">
        <v>43</v>
      </c>
      <c r="T132" s="27">
        <v>638750.93999999994</v>
      </c>
      <c r="U132" s="24" t="s">
        <v>44</v>
      </c>
      <c r="V132" s="23">
        <v>6779224500</v>
      </c>
      <c r="W132" s="24" t="s">
        <v>40</v>
      </c>
      <c r="X132" s="23">
        <v>2139799</v>
      </c>
      <c r="Y132" s="23">
        <v>1</v>
      </c>
      <c r="Z132" s="43" t="e" cm="1">
        <f t="array" ref="Z132">_xlfn.XLOOKUP(L132,'Customer Ledger'!$O:$O,'Customer Ledger'!$P:$Q,,0)</f>
        <v>#N/A</v>
      </c>
      <c r="AA132" s="43"/>
      <c r="AB132" s="43"/>
      <c r="AC132" s="23"/>
      <c r="AD132" s="23"/>
      <c r="AE132" s="24" t="s">
        <v>175</v>
      </c>
      <c r="AF132" s="24" t="s">
        <v>40</v>
      </c>
      <c r="AG132" s="24" t="s">
        <v>40</v>
      </c>
      <c r="AH132" s="24" t="s">
        <v>40</v>
      </c>
      <c r="AI132" s="25">
        <v>46024</v>
      </c>
      <c r="AJ132" s="25"/>
      <c r="AK132" s="24" t="s">
        <v>40</v>
      </c>
    </row>
    <row r="133" spans="1:37" x14ac:dyDescent="0.35">
      <c r="A133" s="3" t="s">
        <v>32</v>
      </c>
      <c r="B133" s="3" t="s">
        <v>33</v>
      </c>
      <c r="C133" s="3" t="s">
        <v>34</v>
      </c>
      <c r="D133" s="3" t="s">
        <v>174</v>
      </c>
      <c r="E133" s="3" t="s">
        <v>45</v>
      </c>
      <c r="F133" s="4">
        <v>46024</v>
      </c>
      <c r="G133" s="23">
        <v>1800015708</v>
      </c>
      <c r="H133" s="24" t="s">
        <v>47</v>
      </c>
      <c r="I133" s="25">
        <v>46024</v>
      </c>
      <c r="J133" s="25">
        <v>46024</v>
      </c>
      <c r="K133" s="24" t="s">
        <v>38</v>
      </c>
      <c r="L133" s="26">
        <v>256779440041</v>
      </c>
      <c r="M133" s="23">
        <v>212100</v>
      </c>
      <c r="N133" s="24" t="s">
        <v>39</v>
      </c>
      <c r="O133" s="24" t="s">
        <v>40</v>
      </c>
      <c r="P133" s="23">
        <v>1</v>
      </c>
      <c r="Q133" s="24" t="s">
        <v>42</v>
      </c>
      <c r="R133" s="27">
        <v>456.75</v>
      </c>
      <c r="S133" s="24" t="s">
        <v>43</v>
      </c>
      <c r="T133" s="42">
        <v>41446.93</v>
      </c>
      <c r="U133" s="24" t="s">
        <v>44</v>
      </c>
      <c r="V133" s="23">
        <v>6779224500</v>
      </c>
      <c r="W133" s="24" t="s">
        <v>40</v>
      </c>
      <c r="X133" s="23">
        <v>2139805</v>
      </c>
      <c r="Y133" s="23">
        <v>1</v>
      </c>
      <c r="Z133" s="43" cm="1">
        <f t="array" ref="Z133:AA133">_xlfn.XLOOKUP(L133,'Customer Ledger'!$O:$O,'Customer Ledger'!$P:$Q,,0)</f>
        <v>4174</v>
      </c>
      <c r="AA133" s="43">
        <v>41446.745000000003</v>
      </c>
      <c r="AB133" s="43">
        <f>AA133-Z133</f>
        <v>37272.745000000003</v>
      </c>
      <c r="AC133" s="43">
        <f>T133-AB133</f>
        <v>4174.1849999999977</v>
      </c>
      <c r="AD133" s="51">
        <f>AC133/T133</f>
        <v>0.10071156054260226</v>
      </c>
      <c r="AE133" s="24" t="s">
        <v>176</v>
      </c>
      <c r="AF133" s="24" t="s">
        <v>40</v>
      </c>
      <c r="AG133" s="24" t="s">
        <v>40</v>
      </c>
      <c r="AH133" s="24" t="s">
        <v>40</v>
      </c>
      <c r="AI133" s="25">
        <v>46024</v>
      </c>
      <c r="AJ133" s="25"/>
      <c r="AK133" s="24" t="s">
        <v>40</v>
      </c>
    </row>
    <row r="134" spans="1:37" x14ac:dyDescent="0.35">
      <c r="A134" s="3" t="s">
        <v>32</v>
      </c>
      <c r="B134" s="3" t="s">
        <v>33</v>
      </c>
      <c r="C134" s="3" t="s">
        <v>34</v>
      </c>
      <c r="D134" s="3" t="s">
        <v>174</v>
      </c>
      <c r="E134" s="3" t="s">
        <v>45</v>
      </c>
      <c r="F134" s="4">
        <v>46027</v>
      </c>
      <c r="G134" s="23">
        <v>1800015801</v>
      </c>
      <c r="H134" s="24" t="s">
        <v>47</v>
      </c>
      <c r="I134" s="25">
        <v>46027</v>
      </c>
      <c r="J134" s="25">
        <v>46027</v>
      </c>
      <c r="K134" s="24" t="s">
        <v>38</v>
      </c>
      <c r="L134" s="26">
        <v>256779440051</v>
      </c>
      <c r="M134" s="23">
        <v>212100</v>
      </c>
      <c r="N134" s="24" t="s">
        <v>39</v>
      </c>
      <c r="O134" s="24" t="s">
        <v>40</v>
      </c>
      <c r="P134" s="23">
        <v>1</v>
      </c>
      <c r="Q134" s="24" t="s">
        <v>42</v>
      </c>
      <c r="R134" s="27">
        <v>358.14</v>
      </c>
      <c r="S134" s="24" t="s">
        <v>43</v>
      </c>
      <c r="T134" s="27">
        <v>32498.75</v>
      </c>
      <c r="U134" s="24" t="s">
        <v>44</v>
      </c>
      <c r="V134" s="23">
        <v>6779224500</v>
      </c>
      <c r="W134" s="24" t="s">
        <v>40</v>
      </c>
      <c r="X134" s="23">
        <v>2156176</v>
      </c>
      <c r="Y134" s="23">
        <v>1</v>
      </c>
      <c r="Z134" s="43" t="e" cm="1">
        <f t="array" ref="Z134">_xlfn.XLOOKUP(L134,'Customer Ledger'!$O:$O,'Customer Ledger'!$P:$Q,,0)</f>
        <v>#N/A</v>
      </c>
      <c r="AA134" s="43"/>
      <c r="AB134" s="43"/>
      <c r="AC134" s="23"/>
      <c r="AD134" s="23"/>
      <c r="AE134" s="24" t="s">
        <v>177</v>
      </c>
      <c r="AF134" s="24" t="s">
        <v>40</v>
      </c>
      <c r="AG134" s="24" t="s">
        <v>40</v>
      </c>
      <c r="AH134" s="24" t="s">
        <v>40</v>
      </c>
      <c r="AI134" s="25">
        <v>46027</v>
      </c>
      <c r="AJ134" s="25"/>
      <c r="AK134" s="24" t="s">
        <v>40</v>
      </c>
    </row>
    <row r="135" spans="1:37" x14ac:dyDescent="0.35">
      <c r="A135" s="3" t="s">
        <v>32</v>
      </c>
      <c r="B135" s="3" t="s">
        <v>33</v>
      </c>
      <c r="C135" s="3" t="s">
        <v>34</v>
      </c>
      <c r="D135" s="3" t="s">
        <v>174</v>
      </c>
      <c r="E135" s="3" t="s">
        <v>45</v>
      </c>
      <c r="F135" s="4">
        <v>46027</v>
      </c>
      <c r="G135" s="23">
        <v>1600002697</v>
      </c>
      <c r="H135" s="24" t="s">
        <v>37</v>
      </c>
      <c r="I135" s="25">
        <v>46027</v>
      </c>
      <c r="J135" s="25">
        <v>46027</v>
      </c>
      <c r="K135" s="24" t="s">
        <v>38</v>
      </c>
      <c r="L135" s="26">
        <v>256779422167</v>
      </c>
      <c r="M135" s="23">
        <v>212100</v>
      </c>
      <c r="N135" s="24" t="s">
        <v>39</v>
      </c>
      <c r="O135" s="24" t="s">
        <v>40</v>
      </c>
      <c r="P135" s="23">
        <v>11</v>
      </c>
      <c r="Q135" s="24" t="s">
        <v>42</v>
      </c>
      <c r="R135" s="27">
        <v>-3.4</v>
      </c>
      <c r="S135" s="24" t="s">
        <v>43</v>
      </c>
      <c r="T135" s="27">
        <v>-308.52999999999997</v>
      </c>
      <c r="U135" s="24" t="s">
        <v>44</v>
      </c>
      <c r="V135" s="23">
        <v>6779224500</v>
      </c>
      <c r="W135" s="24" t="s">
        <v>40</v>
      </c>
      <c r="X135" s="23">
        <v>2141835</v>
      </c>
      <c r="Y135" s="23">
        <v>1</v>
      </c>
      <c r="Z135" s="43" t="e" cm="1">
        <f t="array" ref="Z135">_xlfn.XLOOKUP(L135,'Customer Ledger'!$O:$O,'Customer Ledger'!$P:$Q,,0)</f>
        <v>#N/A</v>
      </c>
      <c r="AA135" s="43"/>
      <c r="AB135" s="43"/>
      <c r="AC135" s="23"/>
      <c r="AD135" s="23"/>
      <c r="AE135" s="24" t="s">
        <v>178</v>
      </c>
      <c r="AF135" s="24" t="s">
        <v>40</v>
      </c>
      <c r="AG135" s="24" t="s">
        <v>40</v>
      </c>
      <c r="AH135" s="24" t="s">
        <v>40</v>
      </c>
      <c r="AI135" s="25">
        <v>46027</v>
      </c>
      <c r="AJ135" s="25"/>
      <c r="AK135" s="24" t="s">
        <v>40</v>
      </c>
    </row>
    <row r="136" spans="1:37" x14ac:dyDescent="0.35">
      <c r="A136" s="3" t="s">
        <v>32</v>
      </c>
      <c r="B136" s="3" t="s">
        <v>33</v>
      </c>
      <c r="C136" s="3" t="s">
        <v>34</v>
      </c>
      <c r="D136" s="3" t="s">
        <v>174</v>
      </c>
      <c r="E136" s="3" t="s">
        <v>45</v>
      </c>
      <c r="F136" s="4">
        <v>46027</v>
      </c>
      <c r="G136" s="23">
        <v>1800015985</v>
      </c>
      <c r="H136" s="24" t="s">
        <v>47</v>
      </c>
      <c r="I136" s="25">
        <v>46027</v>
      </c>
      <c r="J136" s="25">
        <v>46027</v>
      </c>
      <c r="K136" s="24" t="s">
        <v>38</v>
      </c>
      <c r="L136" s="26">
        <v>256779440069</v>
      </c>
      <c r="M136" s="23">
        <v>212100</v>
      </c>
      <c r="N136" s="24" t="s">
        <v>39</v>
      </c>
      <c r="O136" s="24" t="s">
        <v>40</v>
      </c>
      <c r="P136" s="23">
        <v>1</v>
      </c>
      <c r="Q136" s="24" t="s">
        <v>42</v>
      </c>
      <c r="R136" s="27">
        <v>11.75</v>
      </c>
      <c r="S136" s="24" t="s">
        <v>43</v>
      </c>
      <c r="T136" s="42">
        <v>1066.23</v>
      </c>
      <c r="U136" s="24" t="s">
        <v>44</v>
      </c>
      <c r="V136" s="23">
        <v>6779224500</v>
      </c>
      <c r="W136" s="24" t="s">
        <v>40</v>
      </c>
      <c r="X136" s="23">
        <v>2156172</v>
      </c>
      <c r="Y136" s="23">
        <v>1</v>
      </c>
      <c r="Z136" s="43" cm="1">
        <f t="array" ref="Z136:AA136">_xlfn.XLOOKUP(L136,'Customer Ledger'!$O:$O,'Customer Ledger'!$P:$Q,,0)</f>
        <v>0</v>
      </c>
      <c r="AA136" s="43">
        <v>1066.231</v>
      </c>
      <c r="AB136" s="43">
        <f>AA136-Z136</f>
        <v>1066.231</v>
      </c>
      <c r="AC136" s="43">
        <f>T136-AB136</f>
        <v>-9.9999999997635314E-4</v>
      </c>
      <c r="AD136" s="51">
        <f>AC136/T136</f>
        <v>-9.3788394621831422E-7</v>
      </c>
      <c r="AE136" s="24" t="s">
        <v>179</v>
      </c>
      <c r="AF136" s="24" t="s">
        <v>40</v>
      </c>
      <c r="AG136" s="24" t="s">
        <v>40</v>
      </c>
      <c r="AH136" s="24" t="s">
        <v>40</v>
      </c>
      <c r="AI136" s="25">
        <v>46027</v>
      </c>
      <c r="AJ136" s="25"/>
      <c r="AK136" s="24" t="s">
        <v>40</v>
      </c>
    </row>
    <row r="137" spans="1:37" x14ac:dyDescent="0.35">
      <c r="A137" s="3" t="s">
        <v>32</v>
      </c>
      <c r="B137" s="3" t="s">
        <v>33</v>
      </c>
      <c r="C137" s="3" t="s">
        <v>34</v>
      </c>
      <c r="D137" s="3" t="s">
        <v>174</v>
      </c>
      <c r="E137" s="3" t="s">
        <v>45</v>
      </c>
      <c r="F137" s="4">
        <v>46027</v>
      </c>
      <c r="G137" s="23">
        <v>1800015963</v>
      </c>
      <c r="H137" s="24" t="s">
        <v>47</v>
      </c>
      <c r="I137" s="25">
        <v>46027</v>
      </c>
      <c r="J137" s="25">
        <v>46027</v>
      </c>
      <c r="K137" s="23">
        <v>2156419</v>
      </c>
      <c r="L137" s="26">
        <v>256779440080</v>
      </c>
      <c r="M137" s="23">
        <v>212100</v>
      </c>
      <c r="N137" s="24" t="s">
        <v>39</v>
      </c>
      <c r="O137" s="24" t="s">
        <v>40</v>
      </c>
      <c r="P137" s="23">
        <v>1</v>
      </c>
      <c r="Q137" s="24" t="s">
        <v>42</v>
      </c>
      <c r="R137" s="27">
        <v>41.46</v>
      </c>
      <c r="S137" s="24" t="s">
        <v>43</v>
      </c>
      <c r="T137" s="27">
        <v>3762.21</v>
      </c>
      <c r="U137" s="24" t="s">
        <v>44</v>
      </c>
      <c r="V137" s="23">
        <v>6779224500</v>
      </c>
      <c r="W137" s="24" t="s">
        <v>40</v>
      </c>
      <c r="X137" s="24" t="s">
        <v>38</v>
      </c>
      <c r="Y137" s="23">
        <v>1</v>
      </c>
      <c r="Z137" s="43" t="e" cm="1">
        <f t="array" ref="Z137">_xlfn.XLOOKUP(L137,'Customer Ledger'!$O:$O,'Customer Ledger'!$P:$Q,,0)</f>
        <v>#N/A</v>
      </c>
      <c r="AA137" s="43"/>
      <c r="AB137" s="43"/>
      <c r="AC137" s="23"/>
      <c r="AD137" s="23"/>
      <c r="AE137" s="24" t="s">
        <v>180</v>
      </c>
      <c r="AF137" s="24" t="s">
        <v>40</v>
      </c>
      <c r="AG137" s="24" t="s">
        <v>40</v>
      </c>
      <c r="AH137" s="24" t="s">
        <v>40</v>
      </c>
      <c r="AI137" s="25">
        <v>46027</v>
      </c>
      <c r="AJ137" s="25"/>
      <c r="AK137" s="24" t="s">
        <v>40</v>
      </c>
    </row>
    <row r="138" spans="1:37" x14ac:dyDescent="0.35">
      <c r="A138" s="3" t="s">
        <v>32</v>
      </c>
      <c r="B138" s="3" t="s">
        <v>33</v>
      </c>
      <c r="C138" s="3" t="s">
        <v>34</v>
      </c>
      <c r="D138" s="3" t="s">
        <v>174</v>
      </c>
      <c r="E138" s="3" t="s">
        <v>45</v>
      </c>
      <c r="F138" s="4">
        <v>46027</v>
      </c>
      <c r="G138" s="23">
        <v>1800016087</v>
      </c>
      <c r="H138" s="24" t="s">
        <v>47</v>
      </c>
      <c r="I138" s="25">
        <v>46027</v>
      </c>
      <c r="J138" s="25">
        <v>46027</v>
      </c>
      <c r="K138" s="23">
        <v>2156406</v>
      </c>
      <c r="L138" s="26">
        <v>256779440118</v>
      </c>
      <c r="M138" s="23">
        <v>212100</v>
      </c>
      <c r="N138" s="24" t="s">
        <v>39</v>
      </c>
      <c r="O138" s="24" t="s">
        <v>40</v>
      </c>
      <c r="P138" s="23">
        <v>1</v>
      </c>
      <c r="Q138" s="24" t="s">
        <v>42</v>
      </c>
      <c r="R138" s="27">
        <v>99</v>
      </c>
      <c r="S138" s="24" t="s">
        <v>43</v>
      </c>
      <c r="T138" s="42">
        <v>8983.57</v>
      </c>
      <c r="U138" s="24" t="s">
        <v>44</v>
      </c>
      <c r="V138" s="23">
        <v>6779224500</v>
      </c>
      <c r="W138" s="24" t="s">
        <v>40</v>
      </c>
      <c r="X138" s="24" t="s">
        <v>38</v>
      </c>
      <c r="Y138" s="23">
        <v>1</v>
      </c>
      <c r="Z138" s="43" cm="1">
        <f t="array" ref="Z138:AA138">_xlfn.XLOOKUP(L138,'Customer Ledger'!$O:$O,'Customer Ledger'!$P:$Q,,0)</f>
        <v>181</v>
      </c>
      <c r="AA138" s="43">
        <v>8983.0849999999991</v>
      </c>
      <c r="AB138" s="43">
        <f t="shared" ref="AB138:AB139" si="33">AA138-Z138</f>
        <v>8802.0849999999991</v>
      </c>
      <c r="AC138" s="43">
        <f t="shared" ref="AC138:AC139" si="34">T138-AB138</f>
        <v>181.48500000000058</v>
      </c>
      <c r="AD138" s="51">
        <f t="shared" ref="AD138:AD139" si="35">AC138/T138</f>
        <v>2.0201879653634423E-2</v>
      </c>
      <c r="AE138" s="24" t="s">
        <v>181</v>
      </c>
      <c r="AF138" s="24" t="s">
        <v>40</v>
      </c>
      <c r="AG138" s="24" t="s">
        <v>40</v>
      </c>
      <c r="AH138" s="24" t="s">
        <v>40</v>
      </c>
      <c r="AI138" s="25">
        <v>46027</v>
      </c>
      <c r="AJ138" s="25"/>
      <c r="AK138" s="24" t="s">
        <v>40</v>
      </c>
    </row>
    <row r="139" spans="1:37" x14ac:dyDescent="0.35">
      <c r="A139" s="3" t="s">
        <v>32</v>
      </c>
      <c r="B139" s="3" t="s">
        <v>33</v>
      </c>
      <c r="C139" s="3" t="s">
        <v>34</v>
      </c>
      <c r="D139" s="3" t="s">
        <v>174</v>
      </c>
      <c r="E139" s="3" t="s">
        <v>45</v>
      </c>
      <c r="F139" s="4">
        <v>46027</v>
      </c>
      <c r="G139" s="23">
        <v>1800016101</v>
      </c>
      <c r="H139" s="24" t="s">
        <v>47</v>
      </c>
      <c r="I139" s="25">
        <v>46027</v>
      </c>
      <c r="J139" s="25">
        <v>46027</v>
      </c>
      <c r="K139" s="24" t="s">
        <v>38</v>
      </c>
      <c r="L139" s="26">
        <v>256779440122</v>
      </c>
      <c r="M139" s="23">
        <v>212100</v>
      </c>
      <c r="N139" s="24" t="s">
        <v>39</v>
      </c>
      <c r="O139" s="24" t="s">
        <v>40</v>
      </c>
      <c r="P139" s="23">
        <v>1</v>
      </c>
      <c r="Q139" s="24" t="s">
        <v>42</v>
      </c>
      <c r="R139" s="27">
        <v>123.27</v>
      </c>
      <c r="S139" s="24" t="s">
        <v>43</v>
      </c>
      <c r="T139" s="42">
        <v>11185.91</v>
      </c>
      <c r="U139" s="24" t="s">
        <v>44</v>
      </c>
      <c r="V139" s="23">
        <v>6779224500</v>
      </c>
      <c r="W139" s="24" t="s">
        <v>40</v>
      </c>
      <c r="X139" s="23">
        <v>2156175</v>
      </c>
      <c r="Y139" s="23">
        <v>1</v>
      </c>
      <c r="Z139" s="43" cm="1">
        <f t="array" ref="Z139:AA139">_xlfn.XLOOKUP(L139,'Customer Ledger'!$O:$O,'Customer Ledger'!$P:$Q,,0)</f>
        <v>181</v>
      </c>
      <c r="AA139" s="43">
        <v>11185.420599999999</v>
      </c>
      <c r="AB139" s="43">
        <f t="shared" si="33"/>
        <v>11004.420599999999</v>
      </c>
      <c r="AC139" s="43">
        <f t="shared" si="34"/>
        <v>181.48940000000039</v>
      </c>
      <c r="AD139" s="51">
        <f t="shared" si="35"/>
        <v>1.6224822119970606E-2</v>
      </c>
      <c r="AE139" s="24" t="s">
        <v>182</v>
      </c>
      <c r="AF139" s="24" t="s">
        <v>40</v>
      </c>
      <c r="AG139" s="24" t="s">
        <v>40</v>
      </c>
      <c r="AH139" s="24" t="s">
        <v>40</v>
      </c>
      <c r="AI139" s="25">
        <v>46027</v>
      </c>
      <c r="AJ139" s="25"/>
      <c r="AK139" s="24" t="s">
        <v>40</v>
      </c>
    </row>
    <row r="140" spans="1:37" x14ac:dyDescent="0.35">
      <c r="A140" s="3" t="s">
        <v>32</v>
      </c>
      <c r="B140" s="3" t="s">
        <v>33</v>
      </c>
      <c r="C140" s="3" t="s">
        <v>34</v>
      </c>
      <c r="D140" s="3" t="s">
        <v>174</v>
      </c>
      <c r="E140" s="3" t="s">
        <v>45</v>
      </c>
      <c r="F140" s="4">
        <v>46030</v>
      </c>
      <c r="G140" s="23">
        <v>1400002411</v>
      </c>
      <c r="H140" s="24" t="s">
        <v>183</v>
      </c>
      <c r="I140" s="25">
        <v>46030</v>
      </c>
      <c r="J140" s="25">
        <v>46030</v>
      </c>
      <c r="K140" s="24" t="s">
        <v>184</v>
      </c>
      <c r="L140" s="26" t="s">
        <v>40</v>
      </c>
      <c r="M140" s="23">
        <v>212100</v>
      </c>
      <c r="N140" s="24" t="s">
        <v>39</v>
      </c>
      <c r="O140" s="24" t="s">
        <v>40</v>
      </c>
      <c r="P140" s="23">
        <v>15</v>
      </c>
      <c r="Q140" s="24" t="s">
        <v>43</v>
      </c>
      <c r="R140" s="27">
        <v>-500000</v>
      </c>
      <c r="S140" s="24" t="s">
        <v>43</v>
      </c>
      <c r="T140" s="27">
        <v>-500000</v>
      </c>
      <c r="U140" s="24" t="s">
        <v>40</v>
      </c>
      <c r="V140" s="23">
        <v>6779220000</v>
      </c>
      <c r="W140" s="24" t="s">
        <v>40</v>
      </c>
      <c r="X140" s="24" t="s">
        <v>40</v>
      </c>
      <c r="Y140" s="23">
        <v>2</v>
      </c>
      <c r="Z140" s="43" t="e" cm="1">
        <f t="array" ref="Z140">_xlfn.XLOOKUP(L140,'Customer Ledger'!$O:$O,'Customer Ledger'!$P:$Q,,0)</f>
        <v>#N/A</v>
      </c>
      <c r="AA140" s="43"/>
      <c r="AB140" s="43"/>
      <c r="AC140" s="23"/>
      <c r="AD140" s="23"/>
      <c r="AE140" s="24" t="s">
        <v>40</v>
      </c>
      <c r="AF140" s="24" t="s">
        <v>40</v>
      </c>
      <c r="AG140" s="24" t="s">
        <v>40</v>
      </c>
      <c r="AH140" s="24" t="s">
        <v>40</v>
      </c>
      <c r="AI140" s="25">
        <v>46030</v>
      </c>
      <c r="AJ140" s="25"/>
      <c r="AK140" s="24" t="s">
        <v>40</v>
      </c>
    </row>
    <row r="141" spans="1:37" x14ac:dyDescent="0.35">
      <c r="A141" s="3" t="s">
        <v>32</v>
      </c>
      <c r="B141" s="3" t="s">
        <v>33</v>
      </c>
      <c r="C141" s="3" t="s">
        <v>34</v>
      </c>
      <c r="D141" s="3" t="s">
        <v>174</v>
      </c>
      <c r="E141" s="3" t="s">
        <v>45</v>
      </c>
      <c r="F141" s="4">
        <v>46031</v>
      </c>
      <c r="G141" s="23">
        <v>1800016160</v>
      </c>
      <c r="H141" s="24" t="s">
        <v>47</v>
      </c>
      <c r="I141" s="25">
        <v>46031</v>
      </c>
      <c r="J141" s="25">
        <v>46031</v>
      </c>
      <c r="K141" s="24" t="s">
        <v>38</v>
      </c>
      <c r="L141" s="26">
        <v>256779440130</v>
      </c>
      <c r="M141" s="23">
        <v>212100</v>
      </c>
      <c r="N141" s="24" t="s">
        <v>39</v>
      </c>
      <c r="O141" s="24" t="s">
        <v>40</v>
      </c>
      <c r="P141" s="23">
        <v>1</v>
      </c>
      <c r="Q141" s="24" t="s">
        <v>42</v>
      </c>
      <c r="R141" s="27">
        <v>16.45</v>
      </c>
      <c r="S141" s="24" t="s">
        <v>43</v>
      </c>
      <c r="T141" s="27">
        <v>1492.72</v>
      </c>
      <c r="U141" s="24" t="s">
        <v>44</v>
      </c>
      <c r="V141" s="23">
        <v>6779224500</v>
      </c>
      <c r="W141" s="24" t="s">
        <v>40</v>
      </c>
      <c r="X141" s="24" t="s">
        <v>38</v>
      </c>
      <c r="Y141" s="23">
        <v>1</v>
      </c>
      <c r="Z141" s="43" t="e" cm="1">
        <f t="array" ref="Z141">_xlfn.XLOOKUP(L141,'Customer Ledger'!$O:$O,'Customer Ledger'!$P:$Q,,0)</f>
        <v>#N/A</v>
      </c>
      <c r="AA141" s="43"/>
      <c r="AB141" s="43"/>
      <c r="AC141" s="23"/>
      <c r="AD141" s="23"/>
      <c r="AE141" s="24" t="s">
        <v>128</v>
      </c>
      <c r="AF141" s="24" t="s">
        <v>40</v>
      </c>
      <c r="AG141" s="24" t="s">
        <v>40</v>
      </c>
      <c r="AH141" s="24" t="s">
        <v>40</v>
      </c>
      <c r="AI141" s="25">
        <v>46031</v>
      </c>
      <c r="AJ141" s="25"/>
      <c r="AK141" s="24" t="s">
        <v>40</v>
      </c>
    </row>
    <row r="142" spans="1:37" x14ac:dyDescent="0.35">
      <c r="A142" s="3" t="s">
        <v>32</v>
      </c>
      <c r="B142" s="3" t="s">
        <v>33</v>
      </c>
      <c r="C142" s="3" t="s">
        <v>34</v>
      </c>
      <c r="D142" s="3" t="s">
        <v>174</v>
      </c>
      <c r="E142" s="3" t="s">
        <v>45</v>
      </c>
      <c r="F142" s="4">
        <v>46028</v>
      </c>
      <c r="G142" s="23">
        <v>1800016202</v>
      </c>
      <c r="H142" s="24" t="s">
        <v>47</v>
      </c>
      <c r="I142" s="25">
        <v>46028</v>
      </c>
      <c r="J142" s="25">
        <v>46031</v>
      </c>
      <c r="K142" s="23">
        <v>2158349</v>
      </c>
      <c r="L142" s="26">
        <v>256779440143</v>
      </c>
      <c r="M142" s="23">
        <v>212100</v>
      </c>
      <c r="N142" s="24" t="s">
        <v>39</v>
      </c>
      <c r="O142" s="24" t="s">
        <v>40</v>
      </c>
      <c r="P142" s="23">
        <v>1</v>
      </c>
      <c r="Q142" s="24" t="s">
        <v>42</v>
      </c>
      <c r="R142" s="27">
        <v>360.75</v>
      </c>
      <c r="S142" s="24" t="s">
        <v>43</v>
      </c>
      <c r="T142" s="27">
        <v>32735.59</v>
      </c>
      <c r="U142" s="24" t="s">
        <v>44</v>
      </c>
      <c r="V142" s="23">
        <v>6779224500</v>
      </c>
      <c r="W142" s="24" t="s">
        <v>40</v>
      </c>
      <c r="X142" s="24" t="s">
        <v>38</v>
      </c>
      <c r="Y142" s="23">
        <v>1</v>
      </c>
      <c r="Z142" s="43" t="e" cm="1">
        <f t="array" ref="Z142">_xlfn.XLOOKUP(L142,'Customer Ledger'!$O:$O,'Customer Ledger'!$P:$Q,,0)</f>
        <v>#N/A</v>
      </c>
      <c r="AA142" s="43"/>
      <c r="AB142" s="43"/>
      <c r="AC142" s="23"/>
      <c r="AD142" s="23"/>
      <c r="AE142" s="24" t="s">
        <v>185</v>
      </c>
      <c r="AF142" s="24" t="s">
        <v>40</v>
      </c>
      <c r="AG142" s="24" t="s">
        <v>40</v>
      </c>
      <c r="AH142" s="24" t="s">
        <v>40</v>
      </c>
      <c r="AI142" s="25">
        <v>46028</v>
      </c>
      <c r="AJ142" s="25"/>
      <c r="AK142" s="24" t="s">
        <v>40</v>
      </c>
    </row>
    <row r="143" spans="1:37" x14ac:dyDescent="0.35">
      <c r="A143" s="3" t="s">
        <v>32</v>
      </c>
      <c r="B143" s="3" t="s">
        <v>33</v>
      </c>
      <c r="C143" s="3" t="s">
        <v>34</v>
      </c>
      <c r="D143" s="3" t="s">
        <v>174</v>
      </c>
      <c r="E143" s="3" t="s">
        <v>45</v>
      </c>
      <c r="F143" s="4">
        <v>46028</v>
      </c>
      <c r="G143" s="23">
        <v>1800016282</v>
      </c>
      <c r="H143" s="24" t="s">
        <v>47</v>
      </c>
      <c r="I143" s="25">
        <v>46028</v>
      </c>
      <c r="J143" s="25">
        <v>46031</v>
      </c>
      <c r="K143" s="23">
        <v>2158342</v>
      </c>
      <c r="L143" s="26">
        <v>256779440162</v>
      </c>
      <c r="M143" s="23">
        <v>212100</v>
      </c>
      <c r="N143" s="24" t="s">
        <v>39</v>
      </c>
      <c r="O143" s="24" t="s">
        <v>40</v>
      </c>
      <c r="P143" s="23">
        <v>1</v>
      </c>
      <c r="Q143" s="24" t="s">
        <v>42</v>
      </c>
      <c r="R143" s="27">
        <v>505.46</v>
      </c>
      <c r="S143" s="24" t="s">
        <v>43</v>
      </c>
      <c r="T143" s="27">
        <v>45867.03</v>
      </c>
      <c r="U143" s="24" t="s">
        <v>44</v>
      </c>
      <c r="V143" s="23">
        <v>6779224500</v>
      </c>
      <c r="W143" s="24" t="s">
        <v>40</v>
      </c>
      <c r="X143" s="24" t="s">
        <v>38</v>
      </c>
      <c r="Y143" s="23">
        <v>1</v>
      </c>
      <c r="Z143" s="43" t="e" cm="1">
        <f t="array" ref="Z143">_xlfn.XLOOKUP(L143,'Customer Ledger'!$O:$O,'Customer Ledger'!$P:$Q,,0)</f>
        <v>#N/A</v>
      </c>
      <c r="AA143" s="43"/>
      <c r="AB143" s="43"/>
      <c r="AC143" s="23"/>
      <c r="AD143" s="23"/>
      <c r="AE143" s="24" t="s">
        <v>186</v>
      </c>
      <c r="AF143" s="24" t="s">
        <v>40</v>
      </c>
      <c r="AG143" s="24" t="s">
        <v>40</v>
      </c>
      <c r="AH143" s="24" t="s">
        <v>40</v>
      </c>
      <c r="AI143" s="25">
        <v>46028</v>
      </c>
      <c r="AJ143" s="25"/>
      <c r="AK143" s="24" t="s">
        <v>40</v>
      </c>
    </row>
    <row r="144" spans="1:37" x14ac:dyDescent="0.35">
      <c r="A144" s="3" t="s">
        <v>32</v>
      </c>
      <c r="B144" s="3" t="s">
        <v>33</v>
      </c>
      <c r="C144" s="3" t="s">
        <v>34</v>
      </c>
      <c r="D144" s="3" t="s">
        <v>174</v>
      </c>
      <c r="E144" s="3" t="s">
        <v>45</v>
      </c>
      <c r="F144" s="4">
        <v>46034</v>
      </c>
      <c r="G144" s="23">
        <v>1800016314</v>
      </c>
      <c r="H144" s="24" t="s">
        <v>47</v>
      </c>
      <c r="I144" s="25">
        <v>46034</v>
      </c>
      <c r="J144" s="25">
        <v>46034</v>
      </c>
      <c r="K144" s="23">
        <v>2158392</v>
      </c>
      <c r="L144" s="26">
        <v>256779440167</v>
      </c>
      <c r="M144" s="23">
        <v>212100</v>
      </c>
      <c r="N144" s="24" t="s">
        <v>39</v>
      </c>
      <c r="O144" s="24" t="s">
        <v>40</v>
      </c>
      <c r="P144" s="23">
        <v>1</v>
      </c>
      <c r="Q144" s="24" t="s">
        <v>42</v>
      </c>
      <c r="R144" s="27">
        <v>188</v>
      </c>
      <c r="S144" s="24" t="s">
        <v>43</v>
      </c>
      <c r="T144" s="27">
        <v>17059.71</v>
      </c>
      <c r="U144" s="24" t="s">
        <v>44</v>
      </c>
      <c r="V144" s="23">
        <v>6779224500</v>
      </c>
      <c r="W144" s="24" t="s">
        <v>40</v>
      </c>
      <c r="X144" s="24" t="s">
        <v>38</v>
      </c>
      <c r="Y144" s="23">
        <v>1</v>
      </c>
      <c r="Z144" s="43" t="e" cm="1">
        <f t="array" ref="Z144">_xlfn.XLOOKUP(L144,'Customer Ledger'!$O:$O,'Customer Ledger'!$P:$Q,,0)</f>
        <v>#N/A</v>
      </c>
      <c r="AA144" s="43"/>
      <c r="AB144" s="43"/>
      <c r="AC144" s="23"/>
      <c r="AD144" s="23"/>
      <c r="AE144" s="24" t="s">
        <v>187</v>
      </c>
      <c r="AF144" s="24" t="s">
        <v>40</v>
      </c>
      <c r="AG144" s="24" t="s">
        <v>40</v>
      </c>
      <c r="AH144" s="24" t="s">
        <v>40</v>
      </c>
      <c r="AI144" s="25">
        <v>46034</v>
      </c>
      <c r="AJ144" s="25"/>
      <c r="AK144" s="24" t="s">
        <v>40</v>
      </c>
    </row>
    <row r="145" spans="1:37" x14ac:dyDescent="0.35">
      <c r="A145" s="3" t="s">
        <v>32</v>
      </c>
      <c r="B145" s="3" t="s">
        <v>33</v>
      </c>
      <c r="C145" s="3" t="s">
        <v>34</v>
      </c>
      <c r="D145" s="3" t="s">
        <v>174</v>
      </c>
      <c r="E145" s="3" t="s">
        <v>45</v>
      </c>
      <c r="F145" s="4">
        <v>46034</v>
      </c>
      <c r="G145" s="23">
        <v>1800016321</v>
      </c>
      <c r="H145" s="24" t="s">
        <v>47</v>
      </c>
      <c r="I145" s="25">
        <v>46034</v>
      </c>
      <c r="J145" s="25">
        <v>46034</v>
      </c>
      <c r="K145" s="23">
        <v>2158401</v>
      </c>
      <c r="L145" s="26">
        <v>256779440174</v>
      </c>
      <c r="M145" s="23">
        <v>212100</v>
      </c>
      <c r="N145" s="24" t="s">
        <v>39</v>
      </c>
      <c r="O145" s="24" t="s">
        <v>40</v>
      </c>
      <c r="P145" s="23">
        <v>1</v>
      </c>
      <c r="Q145" s="24" t="s">
        <v>42</v>
      </c>
      <c r="R145" s="27">
        <v>48.8</v>
      </c>
      <c r="S145" s="24" t="s">
        <v>43</v>
      </c>
      <c r="T145" s="27">
        <v>4428.2700000000004</v>
      </c>
      <c r="U145" s="24" t="s">
        <v>44</v>
      </c>
      <c r="V145" s="23">
        <v>6779224500</v>
      </c>
      <c r="W145" s="24" t="s">
        <v>40</v>
      </c>
      <c r="X145" s="24" t="s">
        <v>38</v>
      </c>
      <c r="Y145" s="23">
        <v>1</v>
      </c>
      <c r="Z145" s="43" t="e" cm="1">
        <f t="array" ref="Z145">_xlfn.XLOOKUP(L145,'Customer Ledger'!$O:$O,'Customer Ledger'!$P:$Q,,0)</f>
        <v>#N/A</v>
      </c>
      <c r="AA145" s="43"/>
      <c r="AB145" s="43"/>
      <c r="AC145" s="23"/>
      <c r="AD145" s="23"/>
      <c r="AE145" s="24" t="s">
        <v>188</v>
      </c>
      <c r="AF145" s="24" t="s">
        <v>40</v>
      </c>
      <c r="AG145" s="24" t="s">
        <v>40</v>
      </c>
      <c r="AH145" s="24" t="s">
        <v>40</v>
      </c>
      <c r="AI145" s="25">
        <v>46034</v>
      </c>
      <c r="AJ145" s="25"/>
      <c r="AK145" s="24" t="s">
        <v>40</v>
      </c>
    </row>
    <row r="146" spans="1:37" x14ac:dyDescent="0.35">
      <c r="A146" s="3" t="s">
        <v>32</v>
      </c>
      <c r="B146" s="3" t="s">
        <v>33</v>
      </c>
      <c r="C146" s="3" t="s">
        <v>34</v>
      </c>
      <c r="D146" s="3" t="s">
        <v>174</v>
      </c>
      <c r="E146" s="3" t="s">
        <v>45</v>
      </c>
      <c r="F146" s="4">
        <v>46028</v>
      </c>
      <c r="G146" s="23">
        <v>1800016502</v>
      </c>
      <c r="H146" s="24" t="s">
        <v>47</v>
      </c>
      <c r="I146" s="25">
        <v>46028</v>
      </c>
      <c r="J146" s="25">
        <v>46034</v>
      </c>
      <c r="K146" s="23">
        <v>2158404</v>
      </c>
      <c r="L146" s="26">
        <v>256779440210</v>
      </c>
      <c r="M146" s="23">
        <v>212100</v>
      </c>
      <c r="N146" s="24" t="s">
        <v>39</v>
      </c>
      <c r="O146" s="24" t="s">
        <v>40</v>
      </c>
      <c r="P146" s="23">
        <v>1</v>
      </c>
      <c r="Q146" s="24" t="s">
        <v>42</v>
      </c>
      <c r="R146" s="27">
        <v>77.849999999999994</v>
      </c>
      <c r="S146" s="24" t="s">
        <v>43</v>
      </c>
      <c r="T146" s="42">
        <v>7064.35</v>
      </c>
      <c r="U146" s="24" t="s">
        <v>44</v>
      </c>
      <c r="V146" s="23">
        <v>6779224500</v>
      </c>
      <c r="W146" s="24" t="s">
        <v>40</v>
      </c>
      <c r="X146" s="24" t="s">
        <v>38</v>
      </c>
      <c r="Y146" s="23">
        <v>1</v>
      </c>
      <c r="Z146" s="43" cm="1">
        <f t="array" ref="Z146:AA146">_xlfn.XLOOKUP(L146,'Customer Ledger'!$O:$O,'Customer Ledger'!$P:$Q,,0)</f>
        <v>181</v>
      </c>
      <c r="AA146" s="43">
        <v>7063.8671999999997</v>
      </c>
      <c r="AB146" s="43">
        <f>AA146-Z146</f>
        <v>6882.8671999999997</v>
      </c>
      <c r="AC146" s="43">
        <f>T146-AB146</f>
        <v>181.48280000000068</v>
      </c>
      <c r="AD146" s="51">
        <f>AC146/T146</f>
        <v>2.5689950243122251E-2</v>
      </c>
      <c r="AE146" s="24" t="s">
        <v>181</v>
      </c>
      <c r="AF146" s="24" t="s">
        <v>40</v>
      </c>
      <c r="AG146" s="24" t="s">
        <v>40</v>
      </c>
      <c r="AH146" s="24" t="s">
        <v>40</v>
      </c>
      <c r="AI146" s="25">
        <v>46028</v>
      </c>
      <c r="AJ146" s="25"/>
      <c r="AK146" s="24" t="s">
        <v>40</v>
      </c>
    </row>
    <row r="147" spans="1:37" x14ac:dyDescent="0.35">
      <c r="A147" s="3" t="s">
        <v>32</v>
      </c>
      <c r="B147" s="3" t="s">
        <v>33</v>
      </c>
      <c r="C147" s="3" t="s">
        <v>34</v>
      </c>
      <c r="D147" s="3" t="s">
        <v>174</v>
      </c>
      <c r="E147" s="3" t="s">
        <v>45</v>
      </c>
      <c r="F147" s="4">
        <v>46034</v>
      </c>
      <c r="G147" s="23">
        <v>1800016416</v>
      </c>
      <c r="H147" s="24" t="s">
        <v>47</v>
      </c>
      <c r="I147" s="25">
        <v>46034</v>
      </c>
      <c r="J147" s="25">
        <v>46034</v>
      </c>
      <c r="K147" s="23">
        <v>2158406</v>
      </c>
      <c r="L147" s="26">
        <v>256779440229</v>
      </c>
      <c r="M147" s="23">
        <v>212100</v>
      </c>
      <c r="N147" s="24" t="s">
        <v>39</v>
      </c>
      <c r="O147" s="24" t="s">
        <v>40</v>
      </c>
      <c r="P147" s="23">
        <v>1</v>
      </c>
      <c r="Q147" s="24" t="s">
        <v>42</v>
      </c>
      <c r="R147" s="27">
        <v>308.79000000000002</v>
      </c>
      <c r="S147" s="24" t="s">
        <v>43</v>
      </c>
      <c r="T147" s="27">
        <v>28020.57</v>
      </c>
      <c r="U147" s="24" t="s">
        <v>44</v>
      </c>
      <c r="V147" s="23">
        <v>6779224500</v>
      </c>
      <c r="W147" s="24" t="s">
        <v>40</v>
      </c>
      <c r="X147" s="24" t="s">
        <v>38</v>
      </c>
      <c r="Y147" s="23">
        <v>1</v>
      </c>
      <c r="Z147" s="43" t="e" cm="1">
        <f t="array" ref="Z147">_xlfn.XLOOKUP(L147,'Customer Ledger'!$O:$O,'Customer Ledger'!$P:$Q,,0)</f>
        <v>#N/A</v>
      </c>
      <c r="AA147" s="43"/>
      <c r="AB147" s="43"/>
      <c r="AC147" s="23"/>
      <c r="AD147" s="23"/>
      <c r="AE147" s="24" t="s">
        <v>189</v>
      </c>
      <c r="AF147" s="24" t="s">
        <v>40</v>
      </c>
      <c r="AG147" s="24" t="s">
        <v>40</v>
      </c>
      <c r="AH147" s="24" t="s">
        <v>40</v>
      </c>
      <c r="AI147" s="25">
        <v>46034</v>
      </c>
      <c r="AJ147" s="25"/>
      <c r="AK147" s="24" t="s">
        <v>40</v>
      </c>
    </row>
    <row r="148" spans="1:37" x14ac:dyDescent="0.35">
      <c r="A148" s="3" t="s">
        <v>32</v>
      </c>
      <c r="B148" s="3" t="s">
        <v>33</v>
      </c>
      <c r="C148" s="3" t="s">
        <v>34</v>
      </c>
      <c r="D148" s="3" t="s">
        <v>174</v>
      </c>
      <c r="E148" s="3" t="s">
        <v>45</v>
      </c>
      <c r="F148" s="4">
        <v>46028</v>
      </c>
      <c r="G148" s="23">
        <v>1800016345</v>
      </c>
      <c r="H148" s="24" t="s">
        <v>47</v>
      </c>
      <c r="I148" s="25">
        <v>46028</v>
      </c>
      <c r="J148" s="25">
        <v>46034</v>
      </c>
      <c r="K148" s="23">
        <v>2158411</v>
      </c>
      <c r="L148" s="26">
        <v>256779440235</v>
      </c>
      <c r="M148" s="23">
        <v>212100</v>
      </c>
      <c r="N148" s="24" t="s">
        <v>39</v>
      </c>
      <c r="O148" s="24" t="s">
        <v>40</v>
      </c>
      <c r="P148" s="23">
        <v>1</v>
      </c>
      <c r="Q148" s="24" t="s">
        <v>42</v>
      </c>
      <c r="R148" s="27">
        <v>7267.85</v>
      </c>
      <c r="S148" s="24" t="s">
        <v>43</v>
      </c>
      <c r="T148" s="27">
        <v>659507.53</v>
      </c>
      <c r="U148" s="24" t="s">
        <v>44</v>
      </c>
      <c r="V148" s="23">
        <v>6779224500</v>
      </c>
      <c r="W148" s="24" t="s">
        <v>40</v>
      </c>
      <c r="X148" s="24" t="s">
        <v>38</v>
      </c>
      <c r="Y148" s="23">
        <v>1</v>
      </c>
      <c r="Z148" s="43" t="e" cm="1">
        <f t="array" ref="Z148">_xlfn.XLOOKUP(L148,'Customer Ledger'!$O:$O,'Customer Ledger'!$P:$Q,,0)</f>
        <v>#N/A</v>
      </c>
      <c r="AA148" s="43"/>
      <c r="AB148" s="43"/>
      <c r="AC148" s="23"/>
      <c r="AD148" s="23"/>
      <c r="AE148" s="24" t="s">
        <v>190</v>
      </c>
      <c r="AF148" s="24" t="s">
        <v>40</v>
      </c>
      <c r="AG148" s="24" t="s">
        <v>40</v>
      </c>
      <c r="AH148" s="24" t="s">
        <v>40</v>
      </c>
      <c r="AI148" s="25">
        <v>46028</v>
      </c>
      <c r="AJ148" s="25"/>
      <c r="AK148" s="24" t="s">
        <v>40</v>
      </c>
    </row>
    <row r="149" spans="1:37" x14ac:dyDescent="0.35">
      <c r="A149" s="3" t="s">
        <v>32</v>
      </c>
      <c r="B149" s="3" t="s">
        <v>33</v>
      </c>
      <c r="C149" s="3" t="s">
        <v>34</v>
      </c>
      <c r="D149" s="3" t="s">
        <v>174</v>
      </c>
      <c r="E149" s="3" t="s">
        <v>45</v>
      </c>
      <c r="F149" s="4">
        <v>46028</v>
      </c>
      <c r="G149" s="23">
        <v>1800016637</v>
      </c>
      <c r="H149" s="24" t="s">
        <v>47</v>
      </c>
      <c r="I149" s="25">
        <v>46028</v>
      </c>
      <c r="J149" s="25">
        <v>46035</v>
      </c>
      <c r="K149" s="23">
        <v>2158402</v>
      </c>
      <c r="L149" s="26">
        <v>256779440257</v>
      </c>
      <c r="M149" s="23">
        <v>212100</v>
      </c>
      <c r="N149" s="24" t="s">
        <v>39</v>
      </c>
      <c r="O149" s="24" t="s">
        <v>40</v>
      </c>
      <c r="P149" s="23">
        <v>1</v>
      </c>
      <c r="Q149" s="24" t="s">
        <v>42</v>
      </c>
      <c r="R149" s="27">
        <v>4.7</v>
      </c>
      <c r="S149" s="24" t="s">
        <v>43</v>
      </c>
      <c r="T149" s="27">
        <v>426.49</v>
      </c>
      <c r="U149" s="24" t="s">
        <v>44</v>
      </c>
      <c r="V149" s="23">
        <v>6779224500</v>
      </c>
      <c r="W149" s="24" t="s">
        <v>40</v>
      </c>
      <c r="X149" s="24" t="s">
        <v>38</v>
      </c>
      <c r="Y149" s="23">
        <v>1</v>
      </c>
      <c r="Z149" s="43" t="e" cm="1">
        <f t="array" ref="Z149">_xlfn.XLOOKUP(L149,'Customer Ledger'!$O:$O,'Customer Ledger'!$P:$Q,,0)</f>
        <v>#N/A</v>
      </c>
      <c r="AA149" s="43"/>
      <c r="AB149" s="43"/>
      <c r="AC149" s="23"/>
      <c r="AD149" s="23"/>
      <c r="AE149" s="24" t="s">
        <v>191</v>
      </c>
      <c r="AF149" s="24" t="s">
        <v>40</v>
      </c>
      <c r="AG149" s="24" t="s">
        <v>40</v>
      </c>
      <c r="AH149" s="24" t="s">
        <v>40</v>
      </c>
      <c r="AI149" s="25">
        <v>46028</v>
      </c>
      <c r="AJ149" s="25"/>
      <c r="AK149" s="24" t="s">
        <v>40</v>
      </c>
    </row>
    <row r="150" spans="1:37" x14ac:dyDescent="0.35">
      <c r="A150" s="3" t="s">
        <v>32</v>
      </c>
      <c r="B150" s="3" t="s">
        <v>33</v>
      </c>
      <c r="C150" s="3" t="s">
        <v>34</v>
      </c>
      <c r="D150" s="3" t="s">
        <v>174</v>
      </c>
      <c r="E150" s="3" t="s">
        <v>45</v>
      </c>
      <c r="F150" s="4">
        <v>46034</v>
      </c>
      <c r="G150" s="23">
        <v>1800016693</v>
      </c>
      <c r="H150" s="24" t="s">
        <v>47</v>
      </c>
      <c r="I150" s="25">
        <v>46034</v>
      </c>
      <c r="J150" s="25">
        <v>46035</v>
      </c>
      <c r="K150" s="23">
        <v>2158638</v>
      </c>
      <c r="L150" s="26">
        <v>256779440282</v>
      </c>
      <c r="M150" s="23">
        <v>212100</v>
      </c>
      <c r="N150" s="24" t="s">
        <v>39</v>
      </c>
      <c r="O150" s="24" t="s">
        <v>40</v>
      </c>
      <c r="P150" s="23">
        <v>1</v>
      </c>
      <c r="Q150" s="24" t="s">
        <v>42</v>
      </c>
      <c r="R150" s="27">
        <v>498.5</v>
      </c>
      <c r="S150" s="24" t="s">
        <v>43</v>
      </c>
      <c r="T150" s="27">
        <v>45235.46</v>
      </c>
      <c r="U150" s="24" t="s">
        <v>44</v>
      </c>
      <c r="V150" s="23">
        <v>6779224500</v>
      </c>
      <c r="W150" s="24" t="s">
        <v>40</v>
      </c>
      <c r="X150" s="24" t="s">
        <v>38</v>
      </c>
      <c r="Y150" s="23">
        <v>1</v>
      </c>
      <c r="Z150" s="43" t="e" cm="1">
        <f t="array" ref="Z150">_xlfn.XLOOKUP(L150,'Customer Ledger'!$O:$O,'Customer Ledger'!$P:$Q,,0)</f>
        <v>#N/A</v>
      </c>
      <c r="AA150" s="43"/>
      <c r="AB150" s="43"/>
      <c r="AC150" s="23"/>
      <c r="AD150" s="23"/>
      <c r="AE150" s="24" t="s">
        <v>192</v>
      </c>
      <c r="AF150" s="24" t="s">
        <v>40</v>
      </c>
      <c r="AG150" s="24" t="s">
        <v>40</v>
      </c>
      <c r="AH150" s="24" t="s">
        <v>40</v>
      </c>
      <c r="AI150" s="25">
        <v>46034</v>
      </c>
      <c r="AJ150" s="25"/>
      <c r="AK150" s="24" t="s">
        <v>40</v>
      </c>
    </row>
    <row r="151" spans="1:37" x14ac:dyDescent="0.35">
      <c r="A151" s="3" t="s">
        <v>32</v>
      </c>
      <c r="B151" s="3" t="s">
        <v>33</v>
      </c>
      <c r="C151" s="3" t="s">
        <v>34</v>
      </c>
      <c r="D151" s="3" t="s">
        <v>174</v>
      </c>
      <c r="E151" s="3" t="s">
        <v>45</v>
      </c>
      <c r="F151" s="4">
        <v>46028</v>
      </c>
      <c r="G151" s="23">
        <v>1800016623</v>
      </c>
      <c r="H151" s="24" t="s">
        <v>47</v>
      </c>
      <c r="I151" s="25">
        <v>46028</v>
      </c>
      <c r="J151" s="25">
        <v>46035</v>
      </c>
      <c r="K151" s="24" t="s">
        <v>38</v>
      </c>
      <c r="L151" s="26">
        <v>256779440332</v>
      </c>
      <c r="M151" s="23">
        <v>212100</v>
      </c>
      <c r="N151" s="24" t="s">
        <v>39</v>
      </c>
      <c r="O151" s="24" t="s">
        <v>40</v>
      </c>
      <c r="P151" s="23">
        <v>1</v>
      </c>
      <c r="Q151" s="24" t="s">
        <v>42</v>
      </c>
      <c r="R151" s="27">
        <v>456.75</v>
      </c>
      <c r="S151" s="24" t="s">
        <v>43</v>
      </c>
      <c r="T151" s="27">
        <v>41446.93</v>
      </c>
      <c r="U151" s="24" t="s">
        <v>44</v>
      </c>
      <c r="V151" s="23">
        <v>6779224500</v>
      </c>
      <c r="W151" s="24" t="s">
        <v>40</v>
      </c>
      <c r="X151" s="23">
        <v>2158673</v>
      </c>
      <c r="Y151" s="23">
        <v>1</v>
      </c>
      <c r="Z151" s="43" t="e" cm="1">
        <f t="array" ref="Z151">_xlfn.XLOOKUP(L151,'Customer Ledger'!$O:$O,'Customer Ledger'!$P:$Q,,0)</f>
        <v>#N/A</v>
      </c>
      <c r="AA151" s="43"/>
      <c r="AB151" s="43"/>
      <c r="AC151" s="23"/>
      <c r="AD151" s="23"/>
      <c r="AE151" s="24" t="s">
        <v>193</v>
      </c>
      <c r="AF151" s="24" t="s">
        <v>40</v>
      </c>
      <c r="AG151" s="24" t="s">
        <v>40</v>
      </c>
      <c r="AH151" s="24" t="s">
        <v>40</v>
      </c>
      <c r="AI151" s="25">
        <v>46028</v>
      </c>
      <c r="AJ151" s="25"/>
      <c r="AK151" s="24" t="s">
        <v>40</v>
      </c>
    </row>
    <row r="152" spans="1:37" x14ac:dyDescent="0.35">
      <c r="A152" s="3" t="s">
        <v>32</v>
      </c>
      <c r="B152" s="3" t="s">
        <v>33</v>
      </c>
      <c r="C152" s="3" t="s">
        <v>34</v>
      </c>
      <c r="D152" s="3" t="s">
        <v>174</v>
      </c>
      <c r="E152" s="3" t="s">
        <v>45</v>
      </c>
      <c r="F152" s="4">
        <v>46035</v>
      </c>
      <c r="G152" s="23">
        <v>1800016770</v>
      </c>
      <c r="H152" s="24" t="s">
        <v>47</v>
      </c>
      <c r="I152" s="25">
        <v>46035</v>
      </c>
      <c r="J152" s="25">
        <v>46035</v>
      </c>
      <c r="K152" s="24" t="s">
        <v>38</v>
      </c>
      <c r="L152" s="26">
        <v>256779440357</v>
      </c>
      <c r="M152" s="23">
        <v>212100</v>
      </c>
      <c r="N152" s="24" t="s">
        <v>39</v>
      </c>
      <c r="O152" s="24" t="s">
        <v>40</v>
      </c>
      <c r="P152" s="23">
        <v>1</v>
      </c>
      <c r="Q152" s="24" t="s">
        <v>42</v>
      </c>
      <c r="R152" s="27">
        <v>70</v>
      </c>
      <c r="S152" s="24" t="s">
        <v>43</v>
      </c>
      <c r="T152" s="27">
        <v>6352.02</v>
      </c>
      <c r="U152" s="24" t="s">
        <v>44</v>
      </c>
      <c r="V152" s="23">
        <v>6779224500</v>
      </c>
      <c r="W152" s="24" t="s">
        <v>40</v>
      </c>
      <c r="X152" s="23">
        <v>2159214</v>
      </c>
      <c r="Y152" s="23">
        <v>1</v>
      </c>
      <c r="Z152" s="43" t="e" cm="1">
        <f t="array" ref="Z152">_xlfn.XLOOKUP(L152,'Customer Ledger'!$O:$O,'Customer Ledger'!$P:$Q,,0)</f>
        <v>#N/A</v>
      </c>
      <c r="AA152" s="43"/>
      <c r="AB152" s="43"/>
      <c r="AC152" s="23"/>
      <c r="AD152" s="23"/>
      <c r="AE152" s="24" t="s">
        <v>194</v>
      </c>
      <c r="AF152" s="24" t="s">
        <v>40</v>
      </c>
      <c r="AG152" s="24" t="s">
        <v>40</v>
      </c>
      <c r="AH152" s="24" t="s">
        <v>40</v>
      </c>
      <c r="AI152" s="25">
        <v>46035</v>
      </c>
      <c r="AJ152" s="25"/>
      <c r="AK152" s="24" t="s">
        <v>40</v>
      </c>
    </row>
    <row r="153" spans="1:37" x14ac:dyDescent="0.35">
      <c r="A153" s="3" t="s">
        <v>32</v>
      </c>
      <c r="B153" s="3" t="s">
        <v>33</v>
      </c>
      <c r="C153" s="3" t="s">
        <v>34</v>
      </c>
      <c r="D153" s="3" t="s">
        <v>174</v>
      </c>
      <c r="E153" s="3" t="s">
        <v>45</v>
      </c>
      <c r="F153" s="4">
        <v>46043</v>
      </c>
      <c r="G153" s="23">
        <v>1800016935</v>
      </c>
      <c r="H153" s="24" t="s">
        <v>47</v>
      </c>
      <c r="I153" s="25">
        <v>46043</v>
      </c>
      <c r="J153" s="25">
        <v>46045</v>
      </c>
      <c r="K153" s="23">
        <v>2163056</v>
      </c>
      <c r="L153" s="26">
        <v>256779440383</v>
      </c>
      <c r="M153" s="23">
        <v>212100</v>
      </c>
      <c r="N153" s="24" t="s">
        <v>39</v>
      </c>
      <c r="O153" s="24" t="s">
        <v>40</v>
      </c>
      <c r="P153" s="23">
        <v>1</v>
      </c>
      <c r="Q153" s="24" t="s">
        <v>42</v>
      </c>
      <c r="R153" s="27">
        <v>54.41</v>
      </c>
      <c r="S153" s="24" t="s">
        <v>43</v>
      </c>
      <c r="T153" s="42">
        <v>4937.33</v>
      </c>
      <c r="U153" s="24" t="s">
        <v>44</v>
      </c>
      <c r="V153" s="23">
        <v>6779224500</v>
      </c>
      <c r="W153" s="24" t="s">
        <v>40</v>
      </c>
      <c r="X153" s="24" t="s">
        <v>38</v>
      </c>
      <c r="Y153" s="23">
        <v>1</v>
      </c>
      <c r="Z153" s="43" cm="1">
        <f t="array" ref="Z153:AA153">_xlfn.XLOOKUP(L153,'Customer Ledger'!$O:$O,'Customer Ledger'!$P:$Q,,0)</f>
        <v>90</v>
      </c>
      <c r="AA153" s="43">
        <v>4904.3774000000003</v>
      </c>
      <c r="AB153" s="43">
        <f t="shared" ref="AB153:AB157" si="36">AA153-Z153</f>
        <v>4814.3774000000003</v>
      </c>
      <c r="AC153" s="43">
        <f t="shared" ref="AC153:AC157" si="37">T153-AB153</f>
        <v>122.95259999999962</v>
      </c>
      <c r="AD153" s="51">
        <f t="shared" ref="AD153:AD157" si="38">AC153/T153</f>
        <v>2.4902649812752971E-2</v>
      </c>
      <c r="AE153" s="24" t="s">
        <v>195</v>
      </c>
      <c r="AF153" s="24" t="s">
        <v>40</v>
      </c>
      <c r="AG153" s="24" t="s">
        <v>40</v>
      </c>
      <c r="AH153" s="24" t="s">
        <v>40</v>
      </c>
      <c r="AI153" s="25">
        <v>46043</v>
      </c>
      <c r="AJ153" s="25"/>
      <c r="AK153" s="24" t="s">
        <v>40</v>
      </c>
    </row>
    <row r="154" spans="1:37" x14ac:dyDescent="0.35">
      <c r="A154" s="3" t="s">
        <v>32</v>
      </c>
      <c r="B154" s="3" t="s">
        <v>33</v>
      </c>
      <c r="C154" s="3" t="s">
        <v>34</v>
      </c>
      <c r="D154" s="3" t="s">
        <v>174</v>
      </c>
      <c r="E154" s="3" t="s">
        <v>45</v>
      </c>
      <c r="F154" s="4">
        <v>46044</v>
      </c>
      <c r="G154" s="23">
        <v>1800016986</v>
      </c>
      <c r="H154" s="24" t="s">
        <v>47</v>
      </c>
      <c r="I154" s="25">
        <v>46044</v>
      </c>
      <c r="J154" s="25">
        <v>46045</v>
      </c>
      <c r="K154" s="24" t="s">
        <v>38</v>
      </c>
      <c r="L154" s="26">
        <v>256779440392</v>
      </c>
      <c r="M154" s="23">
        <v>212100</v>
      </c>
      <c r="N154" s="24" t="s">
        <v>39</v>
      </c>
      <c r="O154" s="24" t="s">
        <v>40</v>
      </c>
      <c r="P154" s="23">
        <v>1</v>
      </c>
      <c r="Q154" s="24" t="s">
        <v>42</v>
      </c>
      <c r="R154" s="27">
        <v>124.68</v>
      </c>
      <c r="S154" s="24" t="s">
        <v>43</v>
      </c>
      <c r="T154" s="42">
        <v>11313.85</v>
      </c>
      <c r="U154" s="24" t="s">
        <v>44</v>
      </c>
      <c r="V154" s="23">
        <v>6779224500</v>
      </c>
      <c r="W154" s="24" t="s">
        <v>40</v>
      </c>
      <c r="X154" s="23">
        <v>2163129</v>
      </c>
      <c r="Y154" s="23">
        <v>1</v>
      </c>
      <c r="Z154" s="43" cm="1">
        <f t="array" ref="Z154:AA154">_xlfn.XLOOKUP(L154,'Customer Ledger'!$O:$O,'Customer Ledger'!$P:$Q,,0)</f>
        <v>1089</v>
      </c>
      <c r="AA154" s="43">
        <v>11313.937</v>
      </c>
      <c r="AB154" s="43">
        <f t="shared" si="36"/>
        <v>10224.937</v>
      </c>
      <c r="AC154" s="43">
        <f t="shared" si="37"/>
        <v>1088.9130000000005</v>
      </c>
      <c r="AD154" s="51">
        <f t="shared" si="38"/>
        <v>9.624601704989906E-2</v>
      </c>
      <c r="AE154" s="24" t="s">
        <v>196</v>
      </c>
      <c r="AF154" s="24" t="s">
        <v>40</v>
      </c>
      <c r="AG154" s="24" t="s">
        <v>40</v>
      </c>
      <c r="AH154" s="24" t="s">
        <v>40</v>
      </c>
      <c r="AI154" s="25">
        <v>46044</v>
      </c>
      <c r="AJ154" s="25"/>
      <c r="AK154" s="24" t="s">
        <v>40</v>
      </c>
    </row>
    <row r="155" spans="1:37" x14ac:dyDescent="0.35">
      <c r="A155" s="3" t="s">
        <v>32</v>
      </c>
      <c r="B155" s="3" t="s">
        <v>33</v>
      </c>
      <c r="C155" s="3" t="s">
        <v>34</v>
      </c>
      <c r="D155" s="3" t="s">
        <v>174</v>
      </c>
      <c r="E155" s="3" t="s">
        <v>45</v>
      </c>
      <c r="F155" s="4">
        <v>46044</v>
      </c>
      <c r="G155" s="23">
        <v>1800017004</v>
      </c>
      <c r="H155" s="24" t="s">
        <v>47</v>
      </c>
      <c r="I155" s="25">
        <v>46044</v>
      </c>
      <c r="J155" s="25">
        <v>46049</v>
      </c>
      <c r="K155" s="23">
        <v>2163135</v>
      </c>
      <c r="L155" s="26">
        <v>256779440394</v>
      </c>
      <c r="M155" s="23">
        <v>212100</v>
      </c>
      <c r="N155" s="24" t="s">
        <v>39</v>
      </c>
      <c r="O155" s="24" t="s">
        <v>40</v>
      </c>
      <c r="P155" s="23">
        <v>1</v>
      </c>
      <c r="Q155" s="24" t="s">
        <v>42</v>
      </c>
      <c r="R155" s="27">
        <v>200.69</v>
      </c>
      <c r="S155" s="24" t="s">
        <v>43</v>
      </c>
      <c r="T155" s="42">
        <v>18211.240000000002</v>
      </c>
      <c r="U155" s="24" t="s">
        <v>44</v>
      </c>
      <c r="V155" s="23">
        <v>6779224500</v>
      </c>
      <c r="W155" s="24" t="s">
        <v>40</v>
      </c>
      <c r="X155" s="24" t="s">
        <v>38</v>
      </c>
      <c r="Y155" s="23">
        <v>1</v>
      </c>
      <c r="Z155" s="43" cm="1">
        <f t="array" ref="Z155:AA155">_xlfn.XLOOKUP(L155,'Customer Ledger'!$O:$O,'Customer Ledger'!$P:$Q,,0)</f>
        <v>1815</v>
      </c>
      <c r="AA155" s="43">
        <v>18211.378000000001</v>
      </c>
      <c r="AB155" s="43">
        <f t="shared" si="36"/>
        <v>16396.378000000001</v>
      </c>
      <c r="AC155" s="43">
        <f t="shared" si="37"/>
        <v>1814.862000000001</v>
      </c>
      <c r="AD155" s="51">
        <f t="shared" si="38"/>
        <v>9.9656146423856964E-2</v>
      </c>
      <c r="AE155" s="24" t="s">
        <v>197</v>
      </c>
      <c r="AF155" s="24" t="s">
        <v>40</v>
      </c>
      <c r="AG155" s="24" t="s">
        <v>40</v>
      </c>
      <c r="AH155" s="24" t="s">
        <v>40</v>
      </c>
      <c r="AI155" s="25">
        <v>46044</v>
      </c>
      <c r="AJ155" s="25"/>
      <c r="AK155" s="24" t="s">
        <v>40</v>
      </c>
    </row>
    <row r="156" spans="1:37" x14ac:dyDescent="0.35">
      <c r="A156" s="3" t="s">
        <v>32</v>
      </c>
      <c r="B156" s="3" t="s">
        <v>33</v>
      </c>
      <c r="C156" s="3" t="s">
        <v>34</v>
      </c>
      <c r="D156" s="3" t="s">
        <v>174</v>
      </c>
      <c r="E156" s="3" t="s">
        <v>45</v>
      </c>
      <c r="F156" s="4">
        <v>46045</v>
      </c>
      <c r="G156" s="23">
        <v>1800017063</v>
      </c>
      <c r="H156" s="24" t="s">
        <v>47</v>
      </c>
      <c r="I156" s="25">
        <v>46045</v>
      </c>
      <c r="J156" s="25">
        <v>46049</v>
      </c>
      <c r="K156" s="23">
        <v>2163146</v>
      </c>
      <c r="L156" s="26">
        <v>256779440413</v>
      </c>
      <c r="M156" s="23">
        <v>212100</v>
      </c>
      <c r="N156" s="24" t="s">
        <v>39</v>
      </c>
      <c r="O156" s="24" t="s">
        <v>40</v>
      </c>
      <c r="P156" s="23">
        <v>1</v>
      </c>
      <c r="Q156" s="24" t="s">
        <v>42</v>
      </c>
      <c r="R156" s="27">
        <v>99</v>
      </c>
      <c r="S156" s="24" t="s">
        <v>43</v>
      </c>
      <c r="T156" s="42">
        <v>8983.57</v>
      </c>
      <c r="U156" s="24" t="s">
        <v>44</v>
      </c>
      <c r="V156" s="23">
        <v>6779224500</v>
      </c>
      <c r="W156" s="24" t="s">
        <v>40</v>
      </c>
      <c r="X156" s="24" t="s">
        <v>38</v>
      </c>
      <c r="Y156" s="23">
        <v>1</v>
      </c>
      <c r="Z156" s="43" cm="1">
        <f t="array" ref="Z156:AA156">_xlfn.XLOOKUP(L156,'Customer Ledger'!$O:$O,'Customer Ledger'!$P:$Q,,0)</f>
        <v>181</v>
      </c>
      <c r="AA156" s="43">
        <v>8983.0846000000001</v>
      </c>
      <c r="AB156" s="43">
        <f t="shared" si="36"/>
        <v>8802.0846000000001</v>
      </c>
      <c r="AC156" s="43">
        <f t="shared" si="37"/>
        <v>181.48539999999957</v>
      </c>
      <c r="AD156" s="51">
        <f t="shared" si="38"/>
        <v>2.0201924179362944E-2</v>
      </c>
      <c r="AE156" s="24" t="s">
        <v>198</v>
      </c>
      <c r="AF156" s="24" t="s">
        <v>40</v>
      </c>
      <c r="AG156" s="24" t="s">
        <v>40</v>
      </c>
      <c r="AH156" s="24" t="s">
        <v>40</v>
      </c>
      <c r="AI156" s="25">
        <v>46045</v>
      </c>
      <c r="AJ156" s="25"/>
      <c r="AK156" s="24" t="s">
        <v>40</v>
      </c>
    </row>
    <row r="157" spans="1:37" x14ac:dyDescent="0.35">
      <c r="A157" s="3" t="s">
        <v>32</v>
      </c>
      <c r="B157" s="3" t="s">
        <v>33</v>
      </c>
      <c r="C157" s="3" t="s">
        <v>34</v>
      </c>
      <c r="D157" s="3" t="s">
        <v>174</v>
      </c>
      <c r="E157" s="3" t="s">
        <v>45</v>
      </c>
      <c r="F157" s="4">
        <v>46045</v>
      </c>
      <c r="G157" s="23">
        <v>1800017108</v>
      </c>
      <c r="H157" s="24" t="s">
        <v>47</v>
      </c>
      <c r="I157" s="25">
        <v>46045</v>
      </c>
      <c r="J157" s="25">
        <v>46049</v>
      </c>
      <c r="K157" s="23">
        <v>2163152</v>
      </c>
      <c r="L157" s="26">
        <v>256779440429</v>
      </c>
      <c r="M157" s="23">
        <v>212100</v>
      </c>
      <c r="N157" s="24" t="s">
        <v>39</v>
      </c>
      <c r="O157" s="24" t="s">
        <v>40</v>
      </c>
      <c r="P157" s="23">
        <v>1</v>
      </c>
      <c r="Q157" s="24" t="s">
        <v>42</v>
      </c>
      <c r="R157" s="27">
        <v>67.680000000000007</v>
      </c>
      <c r="S157" s="24" t="s">
        <v>43</v>
      </c>
      <c r="T157" s="42">
        <v>6141.5</v>
      </c>
      <c r="U157" s="24" t="s">
        <v>44</v>
      </c>
      <c r="V157" s="23">
        <v>6779224500</v>
      </c>
      <c r="W157" s="24" t="s">
        <v>40</v>
      </c>
      <c r="X157" s="24" t="s">
        <v>38</v>
      </c>
      <c r="Y157" s="23">
        <v>1</v>
      </c>
      <c r="Z157" s="43" cm="1">
        <f t="array" ref="Z157:AA157">_xlfn.XLOOKUP(L157,'Customer Ledger'!$O:$O,'Customer Ledger'!$P:$Q,,0)</f>
        <v>91</v>
      </c>
      <c r="AA157" s="43">
        <v>6141.7525999999998</v>
      </c>
      <c r="AB157" s="43">
        <f t="shared" si="36"/>
        <v>6050.7525999999998</v>
      </c>
      <c r="AC157" s="43">
        <f t="shared" si="37"/>
        <v>90.747400000000198</v>
      </c>
      <c r="AD157" s="51">
        <f t="shared" si="38"/>
        <v>1.4776097044695954E-2</v>
      </c>
      <c r="AE157" s="24" t="s">
        <v>199</v>
      </c>
      <c r="AF157" s="24" t="s">
        <v>40</v>
      </c>
      <c r="AG157" s="24" t="s">
        <v>40</v>
      </c>
      <c r="AH157" s="24" t="s">
        <v>40</v>
      </c>
      <c r="AI157" s="25">
        <v>46045</v>
      </c>
      <c r="AJ157" s="25"/>
      <c r="AK157" s="24" t="s">
        <v>40</v>
      </c>
    </row>
    <row r="158" spans="1:37" x14ac:dyDescent="0.35">
      <c r="A158" s="3" t="s">
        <v>32</v>
      </c>
      <c r="B158" s="3" t="s">
        <v>33</v>
      </c>
      <c r="C158" s="3" t="s">
        <v>34</v>
      </c>
      <c r="D158" s="3" t="s">
        <v>174</v>
      </c>
      <c r="E158" s="3" t="s">
        <v>45</v>
      </c>
      <c r="F158" s="4">
        <v>46049</v>
      </c>
      <c r="G158" s="23">
        <v>1800017152</v>
      </c>
      <c r="H158" s="24" t="s">
        <v>47</v>
      </c>
      <c r="I158" s="25">
        <v>46049</v>
      </c>
      <c r="J158" s="25">
        <v>46049</v>
      </c>
      <c r="K158" s="23">
        <v>2163426</v>
      </c>
      <c r="L158" s="26">
        <v>256779440445</v>
      </c>
      <c r="M158" s="23">
        <v>212100</v>
      </c>
      <c r="N158" s="24" t="s">
        <v>39</v>
      </c>
      <c r="O158" s="24" t="s">
        <v>40</v>
      </c>
      <c r="P158" s="23">
        <v>1</v>
      </c>
      <c r="Q158" s="24" t="s">
        <v>42</v>
      </c>
      <c r="R158" s="27">
        <v>137.13999999999999</v>
      </c>
      <c r="S158" s="24" t="s">
        <v>43</v>
      </c>
      <c r="T158" s="27">
        <v>12444.51</v>
      </c>
      <c r="U158" s="24" t="s">
        <v>44</v>
      </c>
      <c r="V158" s="23">
        <v>6779224500</v>
      </c>
      <c r="W158" s="24" t="s">
        <v>40</v>
      </c>
      <c r="X158" s="24" t="s">
        <v>38</v>
      </c>
      <c r="Y158" s="23">
        <v>1</v>
      </c>
      <c r="Z158" s="43" t="e" cm="1">
        <f t="array" ref="Z158">_xlfn.XLOOKUP(L158,'Customer Ledger'!$O:$O,'Customer Ledger'!$P:$Q,,0)</f>
        <v>#N/A</v>
      </c>
      <c r="AA158" s="43"/>
      <c r="AB158" s="43"/>
      <c r="AC158" s="23"/>
      <c r="AD158" s="23"/>
      <c r="AE158" s="24" t="s">
        <v>200</v>
      </c>
      <c r="AF158" s="24" t="s">
        <v>40</v>
      </c>
      <c r="AG158" s="24" t="s">
        <v>40</v>
      </c>
      <c r="AH158" s="24" t="s">
        <v>40</v>
      </c>
      <c r="AI158" s="25">
        <v>46049</v>
      </c>
      <c r="AJ158" s="25"/>
      <c r="AK158" s="24" t="s">
        <v>40</v>
      </c>
    </row>
    <row r="159" spans="1:37" x14ac:dyDescent="0.35">
      <c r="A159" s="3" t="s">
        <v>32</v>
      </c>
      <c r="B159" s="3" t="s">
        <v>33</v>
      </c>
      <c r="C159" s="3" t="s">
        <v>34</v>
      </c>
      <c r="D159" s="3" t="s">
        <v>174</v>
      </c>
      <c r="E159" s="3" t="s">
        <v>148</v>
      </c>
      <c r="F159" s="4">
        <v>46055</v>
      </c>
      <c r="G159" s="23">
        <v>1400002583</v>
      </c>
      <c r="H159" s="24" t="s">
        <v>183</v>
      </c>
      <c r="I159" s="25">
        <v>46055</v>
      </c>
      <c r="J159" s="25">
        <v>46052</v>
      </c>
      <c r="K159" s="24" t="s">
        <v>201</v>
      </c>
      <c r="L159" s="26" t="s">
        <v>201</v>
      </c>
      <c r="M159" s="23">
        <v>212100</v>
      </c>
      <c r="N159" s="24" t="s">
        <v>39</v>
      </c>
      <c r="O159" s="24" t="s">
        <v>40</v>
      </c>
      <c r="P159" s="23">
        <v>15</v>
      </c>
      <c r="Q159" s="24" t="s">
        <v>43</v>
      </c>
      <c r="R159" s="27">
        <v>-674751</v>
      </c>
      <c r="S159" s="24" t="s">
        <v>43</v>
      </c>
      <c r="T159" s="27">
        <v>-674751</v>
      </c>
      <c r="U159" s="24" t="s">
        <v>40</v>
      </c>
      <c r="V159" s="23">
        <v>6779220000</v>
      </c>
      <c r="W159" s="24" t="s">
        <v>40</v>
      </c>
      <c r="X159" s="24" t="s">
        <v>40</v>
      </c>
      <c r="Y159" s="23">
        <v>2</v>
      </c>
      <c r="Z159" s="43" t="e" cm="1">
        <f t="array" ref="Z159">_xlfn.XLOOKUP(L159,'Customer Ledger'!$O:$O,'Customer Ledger'!$P:$Q,,0)</f>
        <v>#N/A</v>
      </c>
      <c r="AA159" s="43"/>
      <c r="AB159" s="43"/>
      <c r="AC159" s="23"/>
      <c r="AD159" s="23"/>
      <c r="AE159" s="24" t="s">
        <v>40</v>
      </c>
      <c r="AF159" s="24" t="s">
        <v>40</v>
      </c>
      <c r="AG159" s="24" t="s">
        <v>40</v>
      </c>
      <c r="AH159" s="24" t="s">
        <v>40</v>
      </c>
      <c r="AI159" s="25">
        <v>46055</v>
      </c>
      <c r="AJ159" s="25"/>
      <c r="AK159" s="24" t="s">
        <v>40</v>
      </c>
    </row>
    <row r="160" spans="1:37" x14ac:dyDescent="0.35">
      <c r="A160" s="3" t="s">
        <v>32</v>
      </c>
      <c r="B160" s="3" t="s">
        <v>33</v>
      </c>
      <c r="C160" s="3" t="s">
        <v>34</v>
      </c>
      <c r="D160" s="3" t="s">
        <v>35</v>
      </c>
      <c r="E160" s="3" t="s">
        <v>114</v>
      </c>
      <c r="F160" s="4">
        <v>45733</v>
      </c>
      <c r="G160" s="23">
        <v>1800001954</v>
      </c>
      <c r="H160" s="24" t="s">
        <v>47</v>
      </c>
      <c r="I160" s="25">
        <v>45733</v>
      </c>
      <c r="J160" s="25">
        <v>45733</v>
      </c>
      <c r="K160" s="24" t="s">
        <v>38</v>
      </c>
      <c r="L160" s="26">
        <v>246779411619</v>
      </c>
      <c r="M160" s="23">
        <v>212100</v>
      </c>
      <c r="N160" s="24" t="s">
        <v>39</v>
      </c>
      <c r="O160" s="24" t="s">
        <v>40</v>
      </c>
      <c r="P160" s="23">
        <v>1</v>
      </c>
      <c r="Q160" s="24" t="s">
        <v>42</v>
      </c>
      <c r="R160" s="27">
        <v>1765.65</v>
      </c>
      <c r="S160" s="24" t="s">
        <v>43</v>
      </c>
      <c r="T160" s="42">
        <v>153066.42000000001</v>
      </c>
      <c r="U160" s="24" t="s">
        <v>44</v>
      </c>
      <c r="V160" s="23">
        <v>6779224500</v>
      </c>
      <c r="W160" s="24" t="s">
        <v>40</v>
      </c>
      <c r="X160" s="24" t="s">
        <v>38</v>
      </c>
      <c r="Y160" s="23">
        <v>1</v>
      </c>
      <c r="Z160" s="43" cm="1">
        <f t="array" ref="Z160:AA160">_xlfn.XLOOKUP(L160,'Customer Ledger'!$O:$O,'Customer Ledger'!$P:$Q,,0)</f>
        <v>0</v>
      </c>
      <c r="AA160" s="43">
        <v>143412</v>
      </c>
      <c r="AB160" s="43">
        <f t="shared" ref="AB160:AB182" si="39">AA160-Z160</f>
        <v>143412</v>
      </c>
      <c r="AC160" s="43">
        <f t="shared" ref="AC160:AC182" si="40">T160-AB160</f>
        <v>9654.4200000000128</v>
      </c>
      <c r="AD160" s="51">
        <f t="shared" ref="AD160:AD182" si="41">AC160/T160</f>
        <v>6.3073403036407405E-2</v>
      </c>
      <c r="AE160" s="24" t="s">
        <v>202</v>
      </c>
      <c r="AF160" s="24" t="s">
        <v>40</v>
      </c>
      <c r="AG160" s="24" t="s">
        <v>40</v>
      </c>
      <c r="AH160" s="24" t="s">
        <v>40</v>
      </c>
      <c r="AI160" s="25">
        <v>45733</v>
      </c>
      <c r="AJ160" s="25"/>
      <c r="AK160" s="24" t="s">
        <v>40</v>
      </c>
    </row>
    <row r="161" spans="1:38" x14ac:dyDescent="0.35">
      <c r="A161" s="3" t="s">
        <v>32</v>
      </c>
      <c r="B161" s="3" t="s">
        <v>33</v>
      </c>
      <c r="C161" s="3" t="s">
        <v>34</v>
      </c>
      <c r="D161" s="3" t="s">
        <v>35</v>
      </c>
      <c r="E161" s="3" t="s">
        <v>114</v>
      </c>
      <c r="F161" s="4">
        <v>45733</v>
      </c>
      <c r="G161" s="23">
        <v>1800001955</v>
      </c>
      <c r="H161" s="24" t="s">
        <v>47</v>
      </c>
      <c r="I161" s="25">
        <v>45733</v>
      </c>
      <c r="J161" s="25">
        <v>45733</v>
      </c>
      <c r="K161" s="24" t="s">
        <v>38</v>
      </c>
      <c r="L161" s="26">
        <v>246779411620</v>
      </c>
      <c r="M161" s="23">
        <v>212100</v>
      </c>
      <c r="N161" s="24" t="s">
        <v>39</v>
      </c>
      <c r="O161" s="24" t="s">
        <v>40</v>
      </c>
      <c r="P161" s="23">
        <v>1</v>
      </c>
      <c r="Q161" s="24" t="s">
        <v>42</v>
      </c>
      <c r="R161" s="27">
        <v>71.61</v>
      </c>
      <c r="S161" s="24" t="s">
        <v>43</v>
      </c>
      <c r="T161" s="42">
        <v>6207.96</v>
      </c>
      <c r="U161" s="24" t="s">
        <v>44</v>
      </c>
      <c r="V161" s="23">
        <v>6779224500</v>
      </c>
      <c r="W161" s="24" t="s">
        <v>40</v>
      </c>
      <c r="X161" s="24" t="s">
        <v>38</v>
      </c>
      <c r="Y161" s="23">
        <v>1</v>
      </c>
      <c r="Z161" s="43" cm="1">
        <f t="array" ref="Z161:AA161">_xlfn.XLOOKUP(L161,'Customer Ledger'!$O:$O,'Customer Ledger'!$P:$Q,,0)</f>
        <v>0</v>
      </c>
      <c r="AA161" s="43">
        <v>5816</v>
      </c>
      <c r="AB161" s="43">
        <f t="shared" si="39"/>
        <v>5816</v>
      </c>
      <c r="AC161" s="43">
        <f t="shared" si="40"/>
        <v>391.96000000000004</v>
      </c>
      <c r="AD161" s="51">
        <f t="shared" si="41"/>
        <v>6.3138293416839034E-2</v>
      </c>
      <c r="AE161" s="24" t="s">
        <v>202</v>
      </c>
      <c r="AF161" s="24" t="s">
        <v>40</v>
      </c>
      <c r="AG161" s="24" t="s">
        <v>40</v>
      </c>
      <c r="AH161" s="24" t="s">
        <v>40</v>
      </c>
      <c r="AI161" s="25">
        <v>45733</v>
      </c>
      <c r="AJ161" s="25"/>
      <c r="AK161" s="24" t="s">
        <v>40</v>
      </c>
    </row>
    <row r="162" spans="1:38" x14ac:dyDescent="0.35">
      <c r="A162" s="3" t="s">
        <v>32</v>
      </c>
      <c r="B162" s="3" t="s">
        <v>33</v>
      </c>
      <c r="C162" s="3" t="s">
        <v>34</v>
      </c>
      <c r="D162" s="3" t="s">
        <v>35</v>
      </c>
      <c r="E162" s="3" t="s">
        <v>114</v>
      </c>
      <c r="F162" s="4">
        <v>45733</v>
      </c>
      <c r="G162" s="23">
        <v>1800002090</v>
      </c>
      <c r="H162" s="24" t="s">
        <v>47</v>
      </c>
      <c r="I162" s="25">
        <v>45733</v>
      </c>
      <c r="J162" s="25">
        <v>45734</v>
      </c>
      <c r="K162" s="24" t="s">
        <v>38</v>
      </c>
      <c r="L162" s="26">
        <v>246779411755</v>
      </c>
      <c r="M162" s="23">
        <v>212100</v>
      </c>
      <c r="N162" s="24" t="s">
        <v>39</v>
      </c>
      <c r="O162" s="24" t="s">
        <v>40</v>
      </c>
      <c r="P162" s="23">
        <v>1</v>
      </c>
      <c r="Q162" s="24" t="s">
        <v>42</v>
      </c>
      <c r="R162" s="27">
        <v>3.57</v>
      </c>
      <c r="S162" s="24" t="s">
        <v>43</v>
      </c>
      <c r="T162" s="42">
        <v>309.49</v>
      </c>
      <c r="U162" s="24" t="s">
        <v>44</v>
      </c>
      <c r="V162" s="23">
        <v>6779224500</v>
      </c>
      <c r="W162" s="24" t="s">
        <v>40</v>
      </c>
      <c r="X162" s="24" t="s">
        <v>38</v>
      </c>
      <c r="Y162" s="23">
        <v>1</v>
      </c>
      <c r="Z162" s="43" cm="1">
        <f t="array" ref="Z162:AA162">_xlfn.XLOOKUP(L162,'Customer Ledger'!$O:$O,'Customer Ledger'!$P:$Q,,0)</f>
        <v>0</v>
      </c>
      <c r="AA162" s="43">
        <v>5816</v>
      </c>
      <c r="AB162" s="43">
        <f t="shared" si="39"/>
        <v>5816</v>
      </c>
      <c r="AC162" s="43">
        <f t="shared" si="40"/>
        <v>-5506.51</v>
      </c>
      <c r="AD162" s="51">
        <f t="shared" si="41"/>
        <v>-17.792206533329026</v>
      </c>
      <c r="AE162" s="24" t="s">
        <v>203</v>
      </c>
      <c r="AF162" s="24" t="s">
        <v>40</v>
      </c>
      <c r="AG162" s="24" t="s">
        <v>40</v>
      </c>
      <c r="AH162" s="24" t="s">
        <v>40</v>
      </c>
      <c r="AI162" s="25">
        <v>45733</v>
      </c>
      <c r="AJ162" s="25"/>
      <c r="AK162" s="24" t="s">
        <v>40</v>
      </c>
    </row>
    <row r="163" spans="1:38" x14ac:dyDescent="0.35">
      <c r="A163" s="3" t="s">
        <v>32</v>
      </c>
      <c r="B163" s="3" t="s">
        <v>33</v>
      </c>
      <c r="C163" s="3" t="s">
        <v>34</v>
      </c>
      <c r="D163" s="3" t="s">
        <v>35</v>
      </c>
      <c r="E163" s="3" t="s">
        <v>114</v>
      </c>
      <c r="F163" s="4">
        <v>45733</v>
      </c>
      <c r="G163" s="23">
        <v>1800002091</v>
      </c>
      <c r="H163" s="24" t="s">
        <v>47</v>
      </c>
      <c r="I163" s="25">
        <v>45733</v>
      </c>
      <c r="J163" s="25">
        <v>45734</v>
      </c>
      <c r="K163" s="24" t="s">
        <v>38</v>
      </c>
      <c r="L163" s="26">
        <v>246779411756</v>
      </c>
      <c r="M163" s="23">
        <v>212100</v>
      </c>
      <c r="N163" s="24" t="s">
        <v>39</v>
      </c>
      <c r="O163" s="24" t="s">
        <v>40</v>
      </c>
      <c r="P163" s="23">
        <v>1</v>
      </c>
      <c r="Q163" s="24" t="s">
        <v>42</v>
      </c>
      <c r="R163" s="27">
        <v>59.46</v>
      </c>
      <c r="S163" s="24" t="s">
        <v>43</v>
      </c>
      <c r="T163" s="42">
        <v>5154.66</v>
      </c>
      <c r="U163" s="24" t="s">
        <v>44</v>
      </c>
      <c r="V163" s="23">
        <v>6779224500</v>
      </c>
      <c r="W163" s="24" t="s">
        <v>40</v>
      </c>
      <c r="X163" s="24" t="s">
        <v>38</v>
      </c>
      <c r="Y163" s="23">
        <v>1</v>
      </c>
      <c r="Z163" s="43" cm="1">
        <f t="array" ref="Z163:AA163">_xlfn.XLOOKUP(L163,'Customer Ledger'!$O:$O,'Customer Ledger'!$P:$Q,,0)</f>
        <v>0</v>
      </c>
      <c r="AA163" s="43">
        <v>4339</v>
      </c>
      <c r="AB163" s="43">
        <f t="shared" si="39"/>
        <v>4339</v>
      </c>
      <c r="AC163" s="43">
        <f t="shared" si="40"/>
        <v>815.65999999999985</v>
      </c>
      <c r="AD163" s="51">
        <f t="shared" si="41"/>
        <v>0.15823740072090106</v>
      </c>
      <c r="AE163" s="24" t="s">
        <v>203</v>
      </c>
      <c r="AF163" s="24" t="s">
        <v>40</v>
      </c>
      <c r="AG163" s="24" t="s">
        <v>40</v>
      </c>
      <c r="AH163" s="24" t="s">
        <v>40</v>
      </c>
      <c r="AI163" s="25">
        <v>45733</v>
      </c>
      <c r="AJ163" s="25"/>
      <c r="AK163" s="24" t="s">
        <v>40</v>
      </c>
    </row>
    <row r="164" spans="1:38" x14ac:dyDescent="0.35">
      <c r="A164" s="3" t="s">
        <v>32</v>
      </c>
      <c r="B164" s="3" t="s">
        <v>33</v>
      </c>
      <c r="C164" s="3" t="s">
        <v>34</v>
      </c>
      <c r="D164" s="3" t="s">
        <v>35</v>
      </c>
      <c r="E164" s="3" t="s">
        <v>114</v>
      </c>
      <c r="F164" s="4">
        <v>45733</v>
      </c>
      <c r="G164" s="23">
        <v>1800002092</v>
      </c>
      <c r="H164" s="24" t="s">
        <v>47</v>
      </c>
      <c r="I164" s="25">
        <v>45733</v>
      </c>
      <c r="J164" s="25">
        <v>45734</v>
      </c>
      <c r="K164" s="24" t="s">
        <v>38</v>
      </c>
      <c r="L164" s="26">
        <v>246779411757</v>
      </c>
      <c r="M164" s="23">
        <v>212100</v>
      </c>
      <c r="N164" s="24" t="s">
        <v>39</v>
      </c>
      <c r="O164" s="24" t="s">
        <v>40</v>
      </c>
      <c r="P164" s="23">
        <v>1</v>
      </c>
      <c r="Q164" s="24" t="s">
        <v>42</v>
      </c>
      <c r="R164" s="27">
        <v>38.29</v>
      </c>
      <c r="S164" s="24" t="s">
        <v>43</v>
      </c>
      <c r="T164" s="42">
        <v>3319.41</v>
      </c>
      <c r="U164" s="24" t="s">
        <v>44</v>
      </c>
      <c r="V164" s="23">
        <v>6779224500</v>
      </c>
      <c r="W164" s="24" t="s">
        <v>40</v>
      </c>
      <c r="X164" s="24" t="s">
        <v>38</v>
      </c>
      <c r="Y164" s="23">
        <v>1</v>
      </c>
      <c r="Z164" s="43" cm="1">
        <f t="array" ref="Z164:AA164">_xlfn.XLOOKUP(L164,'Customer Ledger'!$O:$O,'Customer Ledger'!$P:$Q,,0)</f>
        <v>0</v>
      </c>
      <c r="AA164" s="43">
        <v>3110</v>
      </c>
      <c r="AB164" s="43">
        <f t="shared" si="39"/>
        <v>3110</v>
      </c>
      <c r="AC164" s="43">
        <f t="shared" si="40"/>
        <v>209.40999999999985</v>
      </c>
      <c r="AD164" s="51">
        <f t="shared" si="41"/>
        <v>6.308651236213661E-2</v>
      </c>
      <c r="AE164" s="24" t="s">
        <v>203</v>
      </c>
      <c r="AF164" s="24" t="s">
        <v>40</v>
      </c>
      <c r="AG164" s="24" t="s">
        <v>40</v>
      </c>
      <c r="AH164" s="24" t="s">
        <v>40</v>
      </c>
      <c r="AI164" s="25">
        <v>45733</v>
      </c>
      <c r="AJ164" s="25"/>
      <c r="AK164" s="24" t="s">
        <v>40</v>
      </c>
    </row>
    <row r="165" spans="1:38" x14ac:dyDescent="0.35">
      <c r="A165" s="3" t="s">
        <v>32</v>
      </c>
      <c r="B165" s="3" t="s">
        <v>33</v>
      </c>
      <c r="C165" s="3" t="s">
        <v>34</v>
      </c>
      <c r="D165" s="3" t="s">
        <v>35</v>
      </c>
      <c r="E165" s="3" t="s">
        <v>114</v>
      </c>
      <c r="F165" s="4">
        <v>45733</v>
      </c>
      <c r="G165" s="23">
        <v>1800002093</v>
      </c>
      <c r="H165" s="24" t="s">
        <v>47</v>
      </c>
      <c r="I165" s="25">
        <v>45733</v>
      </c>
      <c r="J165" s="25">
        <v>45734</v>
      </c>
      <c r="K165" s="24" t="s">
        <v>38</v>
      </c>
      <c r="L165" s="26">
        <v>246779411758</v>
      </c>
      <c r="M165" s="23">
        <v>212100</v>
      </c>
      <c r="N165" s="24" t="s">
        <v>39</v>
      </c>
      <c r="O165" s="24" t="s">
        <v>40</v>
      </c>
      <c r="P165" s="23">
        <v>1</v>
      </c>
      <c r="Q165" s="24" t="s">
        <v>42</v>
      </c>
      <c r="R165" s="27">
        <v>22.69</v>
      </c>
      <c r="S165" s="24" t="s">
        <v>43</v>
      </c>
      <c r="T165" s="42">
        <v>1967.02</v>
      </c>
      <c r="U165" s="24" t="s">
        <v>44</v>
      </c>
      <c r="V165" s="23">
        <v>6779224500</v>
      </c>
      <c r="W165" s="24" t="s">
        <v>40</v>
      </c>
      <c r="X165" s="24" t="s">
        <v>38</v>
      </c>
      <c r="Y165" s="23">
        <v>1</v>
      </c>
      <c r="Z165" s="43" cm="1">
        <f t="array" ref="Z165:AA165">_xlfn.XLOOKUP(L165,'Customer Ledger'!$O:$O,'Customer Ledger'!$P:$Q,,0)</f>
        <v>0</v>
      </c>
      <c r="AA165" s="43">
        <v>1842</v>
      </c>
      <c r="AB165" s="43">
        <f t="shared" si="39"/>
        <v>1842</v>
      </c>
      <c r="AC165" s="43">
        <f t="shared" si="40"/>
        <v>125.01999999999998</v>
      </c>
      <c r="AD165" s="51">
        <f t="shared" si="41"/>
        <v>6.3558072617461936E-2</v>
      </c>
      <c r="AE165" s="24" t="s">
        <v>203</v>
      </c>
      <c r="AF165" s="24" t="s">
        <v>40</v>
      </c>
      <c r="AG165" s="24" t="s">
        <v>40</v>
      </c>
      <c r="AH165" s="24" t="s">
        <v>40</v>
      </c>
      <c r="AI165" s="25">
        <v>45733</v>
      </c>
      <c r="AJ165" s="25"/>
      <c r="AK165" s="24" t="s">
        <v>40</v>
      </c>
    </row>
    <row r="166" spans="1:38" x14ac:dyDescent="0.35">
      <c r="A166" s="3" t="s">
        <v>32</v>
      </c>
      <c r="B166" s="3" t="s">
        <v>33</v>
      </c>
      <c r="C166" s="3" t="s">
        <v>34</v>
      </c>
      <c r="D166" s="3" t="s">
        <v>35</v>
      </c>
      <c r="E166" s="3" t="s">
        <v>114</v>
      </c>
      <c r="F166" s="4">
        <v>45733</v>
      </c>
      <c r="G166" s="23">
        <v>1800002094</v>
      </c>
      <c r="H166" s="24" t="s">
        <v>47</v>
      </c>
      <c r="I166" s="25">
        <v>45733</v>
      </c>
      <c r="J166" s="25">
        <v>45734</v>
      </c>
      <c r="K166" s="24" t="s">
        <v>38</v>
      </c>
      <c r="L166" s="26">
        <v>246779411759</v>
      </c>
      <c r="M166" s="23">
        <v>212100</v>
      </c>
      <c r="N166" s="24" t="s">
        <v>39</v>
      </c>
      <c r="O166" s="24" t="s">
        <v>40</v>
      </c>
      <c r="P166" s="23">
        <v>1</v>
      </c>
      <c r="Q166" s="24" t="s">
        <v>42</v>
      </c>
      <c r="R166" s="27">
        <v>83.24</v>
      </c>
      <c r="S166" s="24" t="s">
        <v>43</v>
      </c>
      <c r="T166" s="42">
        <v>7216.18</v>
      </c>
      <c r="U166" s="24" t="s">
        <v>44</v>
      </c>
      <c r="V166" s="23">
        <v>6779224500</v>
      </c>
      <c r="W166" s="24" t="s">
        <v>40</v>
      </c>
      <c r="X166" s="24" t="s">
        <v>38</v>
      </c>
      <c r="Y166" s="23">
        <v>1</v>
      </c>
      <c r="Z166" s="43" cm="1">
        <f t="array" ref="Z166:AA166">_xlfn.XLOOKUP(L166,'Customer Ledger'!$O:$O,'Customer Ledger'!$P:$Q,,0)</f>
        <v>0</v>
      </c>
      <c r="AA166" s="43">
        <v>6761</v>
      </c>
      <c r="AB166" s="43">
        <f t="shared" si="39"/>
        <v>6761</v>
      </c>
      <c r="AC166" s="43">
        <f t="shared" si="40"/>
        <v>455.18000000000029</v>
      </c>
      <c r="AD166" s="51">
        <f t="shared" si="41"/>
        <v>6.3077694846858073E-2</v>
      </c>
      <c r="AE166" s="24" t="s">
        <v>203</v>
      </c>
      <c r="AF166" s="24" t="s">
        <v>40</v>
      </c>
      <c r="AG166" s="24" t="s">
        <v>40</v>
      </c>
      <c r="AH166" s="24" t="s">
        <v>40</v>
      </c>
      <c r="AI166" s="25">
        <v>45733</v>
      </c>
      <c r="AJ166" s="25"/>
      <c r="AK166" s="24" t="s">
        <v>40</v>
      </c>
    </row>
    <row r="167" spans="1:38" x14ac:dyDescent="0.35">
      <c r="A167" s="3" t="s">
        <v>32</v>
      </c>
      <c r="B167" s="3" t="s">
        <v>33</v>
      </c>
      <c r="C167" s="3" t="s">
        <v>34</v>
      </c>
      <c r="D167" s="3" t="s">
        <v>35</v>
      </c>
      <c r="E167" s="3" t="s">
        <v>114</v>
      </c>
      <c r="F167" s="4">
        <v>45733</v>
      </c>
      <c r="G167" s="23">
        <v>1800002268</v>
      </c>
      <c r="H167" s="24" t="s">
        <v>47</v>
      </c>
      <c r="I167" s="25">
        <v>45733</v>
      </c>
      <c r="J167" s="25">
        <v>45734</v>
      </c>
      <c r="K167" s="24" t="s">
        <v>38</v>
      </c>
      <c r="L167" s="26">
        <v>246779411933</v>
      </c>
      <c r="M167" s="23">
        <v>212100</v>
      </c>
      <c r="N167" s="24" t="s">
        <v>39</v>
      </c>
      <c r="O167" s="24" t="s">
        <v>40</v>
      </c>
      <c r="P167" s="23">
        <v>1</v>
      </c>
      <c r="Q167" s="24" t="s">
        <v>42</v>
      </c>
      <c r="R167" s="27">
        <v>7.1</v>
      </c>
      <c r="S167" s="24" t="s">
        <v>43</v>
      </c>
      <c r="T167" s="42">
        <v>615.51</v>
      </c>
      <c r="U167" s="24" t="s">
        <v>44</v>
      </c>
      <c r="V167" s="23">
        <v>6779224500</v>
      </c>
      <c r="W167" s="24" t="s">
        <v>40</v>
      </c>
      <c r="X167" s="24" t="s">
        <v>38</v>
      </c>
      <c r="Y167" s="23">
        <v>1</v>
      </c>
      <c r="Z167" s="43" cm="1">
        <f t="array" ref="Z167:AA167">_xlfn.XLOOKUP(L167,'Customer Ledger'!$O:$O,'Customer Ledger'!$P:$Q,,0)</f>
        <v>0</v>
      </c>
      <c r="AA167" s="43">
        <v>576</v>
      </c>
      <c r="AB167" s="43">
        <f t="shared" si="39"/>
        <v>576</v>
      </c>
      <c r="AC167" s="43">
        <f t="shared" si="40"/>
        <v>39.509999999999991</v>
      </c>
      <c r="AD167" s="51">
        <f t="shared" si="41"/>
        <v>6.4190671150753026E-2</v>
      </c>
      <c r="AE167" s="24" t="s">
        <v>204</v>
      </c>
      <c r="AF167" s="24" t="s">
        <v>40</v>
      </c>
      <c r="AG167" s="24" t="s">
        <v>40</v>
      </c>
      <c r="AH167" s="24" t="s">
        <v>40</v>
      </c>
      <c r="AI167" s="25">
        <v>45733</v>
      </c>
      <c r="AJ167" s="25"/>
      <c r="AK167" s="24" t="s">
        <v>40</v>
      </c>
    </row>
    <row r="168" spans="1:38" x14ac:dyDescent="0.35">
      <c r="A168" s="3" t="s">
        <v>32</v>
      </c>
      <c r="B168" s="3" t="s">
        <v>33</v>
      </c>
      <c r="C168" s="3" t="s">
        <v>34</v>
      </c>
      <c r="D168" s="3" t="s">
        <v>35</v>
      </c>
      <c r="E168" s="3" t="s">
        <v>114</v>
      </c>
      <c r="F168" s="4">
        <v>45733</v>
      </c>
      <c r="G168" s="23">
        <v>1800002269</v>
      </c>
      <c r="H168" s="24" t="s">
        <v>47</v>
      </c>
      <c r="I168" s="25">
        <v>45733</v>
      </c>
      <c r="J168" s="25">
        <v>45734</v>
      </c>
      <c r="K168" s="24" t="s">
        <v>38</v>
      </c>
      <c r="L168" s="26">
        <v>246779411934</v>
      </c>
      <c r="M168" s="23">
        <v>212100</v>
      </c>
      <c r="N168" s="24" t="s">
        <v>39</v>
      </c>
      <c r="O168" s="24" t="s">
        <v>40</v>
      </c>
      <c r="P168" s="23">
        <v>1</v>
      </c>
      <c r="Q168" s="24" t="s">
        <v>42</v>
      </c>
      <c r="R168" s="27">
        <v>4.1399999999999997</v>
      </c>
      <c r="S168" s="24" t="s">
        <v>43</v>
      </c>
      <c r="T168" s="42">
        <v>358.9</v>
      </c>
      <c r="U168" s="24" t="s">
        <v>44</v>
      </c>
      <c r="V168" s="23">
        <v>6779224500</v>
      </c>
      <c r="W168" s="24" t="s">
        <v>40</v>
      </c>
      <c r="X168" s="24" t="s">
        <v>38</v>
      </c>
      <c r="Y168" s="23">
        <v>1</v>
      </c>
      <c r="Z168" s="43" cm="1">
        <f t="array" ref="Z168:AA168">_xlfn.XLOOKUP(L168,'Customer Ledger'!$O:$O,'Customer Ledger'!$P:$Q,,0)</f>
        <v>0</v>
      </c>
      <c r="AA168" s="43">
        <v>336</v>
      </c>
      <c r="AB168" s="43">
        <f t="shared" si="39"/>
        <v>336</v>
      </c>
      <c r="AC168" s="43">
        <f t="shared" si="40"/>
        <v>22.899999999999977</v>
      </c>
      <c r="AD168" s="51">
        <f t="shared" si="41"/>
        <v>6.3806074115352412E-2</v>
      </c>
      <c r="AE168" s="24" t="s">
        <v>204</v>
      </c>
      <c r="AF168" s="24" t="s">
        <v>40</v>
      </c>
      <c r="AG168" s="24" t="s">
        <v>40</v>
      </c>
      <c r="AH168" s="24" t="s">
        <v>40</v>
      </c>
      <c r="AI168" s="25">
        <v>45733</v>
      </c>
      <c r="AJ168" s="25"/>
      <c r="AK168" s="24" t="s">
        <v>40</v>
      </c>
    </row>
    <row r="169" spans="1:38" x14ac:dyDescent="0.35">
      <c r="A169" s="3" t="s">
        <v>32</v>
      </c>
      <c r="B169" s="3" t="s">
        <v>33</v>
      </c>
      <c r="C169" s="3" t="s">
        <v>34</v>
      </c>
      <c r="D169" s="3" t="s">
        <v>35</v>
      </c>
      <c r="E169" s="3" t="s">
        <v>114</v>
      </c>
      <c r="F169" s="4">
        <v>45733</v>
      </c>
      <c r="G169" s="23">
        <v>1800002270</v>
      </c>
      <c r="H169" s="24" t="s">
        <v>47</v>
      </c>
      <c r="I169" s="25">
        <v>45733</v>
      </c>
      <c r="J169" s="25">
        <v>45734</v>
      </c>
      <c r="K169" s="24" t="s">
        <v>38</v>
      </c>
      <c r="L169" s="26">
        <v>246779411935</v>
      </c>
      <c r="M169" s="23">
        <v>212100</v>
      </c>
      <c r="N169" s="24" t="s">
        <v>39</v>
      </c>
      <c r="O169" s="24" t="s">
        <v>40</v>
      </c>
      <c r="P169" s="23">
        <v>1</v>
      </c>
      <c r="Q169" s="24" t="s">
        <v>42</v>
      </c>
      <c r="R169" s="27">
        <v>7.1</v>
      </c>
      <c r="S169" s="24" t="s">
        <v>43</v>
      </c>
      <c r="T169" s="42">
        <v>615.51</v>
      </c>
      <c r="U169" s="24" t="s">
        <v>44</v>
      </c>
      <c r="V169" s="23">
        <v>6779224500</v>
      </c>
      <c r="W169" s="24" t="s">
        <v>40</v>
      </c>
      <c r="X169" s="24" t="s">
        <v>38</v>
      </c>
      <c r="Y169" s="23">
        <v>1</v>
      </c>
      <c r="Z169" s="43" cm="1">
        <f t="array" ref="Z169:AA169">_xlfn.XLOOKUP(L169,'Customer Ledger'!$O:$O,'Customer Ledger'!$P:$Q,,0)</f>
        <v>0</v>
      </c>
      <c r="AA169" s="43">
        <v>576</v>
      </c>
      <c r="AB169" s="43">
        <f t="shared" si="39"/>
        <v>576</v>
      </c>
      <c r="AC169" s="43">
        <f t="shared" si="40"/>
        <v>39.509999999999991</v>
      </c>
      <c r="AD169" s="51">
        <f t="shared" si="41"/>
        <v>6.4190671150753026E-2</v>
      </c>
      <c r="AE169" s="24" t="s">
        <v>204</v>
      </c>
      <c r="AF169" s="24" t="s">
        <v>40</v>
      </c>
      <c r="AG169" s="24" t="s">
        <v>40</v>
      </c>
      <c r="AH169" s="24" t="s">
        <v>40</v>
      </c>
      <c r="AI169" s="25">
        <v>45733</v>
      </c>
      <c r="AJ169" s="25"/>
      <c r="AK169" s="24" t="s">
        <v>40</v>
      </c>
    </row>
    <row r="170" spans="1:38" x14ac:dyDescent="0.35">
      <c r="A170" s="3" t="s">
        <v>32</v>
      </c>
      <c r="B170" s="3" t="s">
        <v>33</v>
      </c>
      <c r="C170" s="3" t="s">
        <v>34</v>
      </c>
      <c r="D170" s="3" t="s">
        <v>35</v>
      </c>
      <c r="E170" s="3" t="s">
        <v>114</v>
      </c>
      <c r="F170" s="4">
        <v>45733</v>
      </c>
      <c r="G170" s="23">
        <v>1800002271</v>
      </c>
      <c r="H170" s="24" t="s">
        <v>47</v>
      </c>
      <c r="I170" s="25">
        <v>45733</v>
      </c>
      <c r="J170" s="25">
        <v>45734</v>
      </c>
      <c r="K170" s="24" t="s">
        <v>38</v>
      </c>
      <c r="L170" s="26">
        <v>246779411936</v>
      </c>
      <c r="M170" s="23">
        <v>212100</v>
      </c>
      <c r="N170" s="24" t="s">
        <v>39</v>
      </c>
      <c r="O170" s="24" t="s">
        <v>40</v>
      </c>
      <c r="P170" s="23">
        <v>1</v>
      </c>
      <c r="Q170" s="24" t="s">
        <v>42</v>
      </c>
      <c r="R170" s="27">
        <v>5.92</v>
      </c>
      <c r="S170" s="24" t="s">
        <v>43</v>
      </c>
      <c r="T170" s="42">
        <v>513.21</v>
      </c>
      <c r="U170" s="24" t="s">
        <v>44</v>
      </c>
      <c r="V170" s="23">
        <v>6779224500</v>
      </c>
      <c r="W170" s="24" t="s">
        <v>40</v>
      </c>
      <c r="X170" s="24" t="s">
        <v>38</v>
      </c>
      <c r="Y170" s="23">
        <v>1</v>
      </c>
      <c r="Z170" s="43" cm="1">
        <f t="array" ref="Z170:AA170">_xlfn.XLOOKUP(L170,'Customer Ledger'!$O:$O,'Customer Ledger'!$P:$Q,,0)</f>
        <v>0</v>
      </c>
      <c r="AA170" s="43">
        <v>480</v>
      </c>
      <c r="AB170" s="43">
        <f t="shared" si="39"/>
        <v>480</v>
      </c>
      <c r="AC170" s="43">
        <f t="shared" si="40"/>
        <v>33.210000000000036</v>
      </c>
      <c r="AD170" s="51">
        <f t="shared" si="41"/>
        <v>6.4710352487285974E-2</v>
      </c>
      <c r="AE170" s="24" t="s">
        <v>204</v>
      </c>
      <c r="AF170" s="24" t="s">
        <v>40</v>
      </c>
      <c r="AG170" s="24" t="s">
        <v>40</v>
      </c>
      <c r="AH170" s="24" t="s">
        <v>40</v>
      </c>
      <c r="AI170" s="25">
        <v>45733</v>
      </c>
      <c r="AJ170" s="25"/>
      <c r="AK170" s="24" t="s">
        <v>40</v>
      </c>
    </row>
    <row r="171" spans="1:38" x14ac:dyDescent="0.35">
      <c r="A171" s="3" t="s">
        <v>32</v>
      </c>
      <c r="B171" s="3" t="s">
        <v>33</v>
      </c>
      <c r="C171" s="3" t="s">
        <v>34</v>
      </c>
      <c r="D171" s="3" t="s">
        <v>35</v>
      </c>
      <c r="E171" s="3" t="s">
        <v>111</v>
      </c>
      <c r="F171" s="4">
        <v>45818</v>
      </c>
      <c r="G171" s="23">
        <v>1800009622</v>
      </c>
      <c r="H171" s="24" t="s">
        <v>47</v>
      </c>
      <c r="I171" s="25">
        <v>45818</v>
      </c>
      <c r="J171" s="25">
        <v>45825</v>
      </c>
      <c r="K171" s="24" t="s">
        <v>38</v>
      </c>
      <c r="L171" s="26">
        <v>256779414386</v>
      </c>
      <c r="M171" s="23">
        <v>212100</v>
      </c>
      <c r="N171" s="24" t="s">
        <v>39</v>
      </c>
      <c r="O171" s="24" t="s">
        <v>40</v>
      </c>
      <c r="P171" s="23">
        <v>1</v>
      </c>
      <c r="Q171" s="24" t="s">
        <v>42</v>
      </c>
      <c r="R171" s="27">
        <v>456.75</v>
      </c>
      <c r="S171" s="24" t="s">
        <v>43</v>
      </c>
      <c r="T171" s="42">
        <v>39047.910000000003</v>
      </c>
      <c r="U171" s="24" t="s">
        <v>44</v>
      </c>
      <c r="V171" s="23">
        <v>6779224500</v>
      </c>
      <c r="W171" s="24" t="s">
        <v>40</v>
      </c>
      <c r="X171" s="24" t="s">
        <v>38</v>
      </c>
      <c r="Y171" s="23">
        <v>1</v>
      </c>
      <c r="Z171" s="43" cm="1">
        <f t="array" ref="Z171:AA171">_xlfn.XLOOKUP(L171,'Customer Ledger'!$O:$O,'Customer Ledger'!$P:$Q,,0)</f>
        <v>0</v>
      </c>
      <c r="AA171" s="43">
        <v>35431</v>
      </c>
      <c r="AB171" s="43">
        <f t="shared" si="39"/>
        <v>35431</v>
      </c>
      <c r="AC171" s="43">
        <f t="shared" si="40"/>
        <v>3616.9100000000035</v>
      </c>
      <c r="AD171" s="51">
        <f t="shared" si="41"/>
        <v>9.2627492739048092E-2</v>
      </c>
      <c r="AE171" s="24" t="s">
        <v>205</v>
      </c>
      <c r="AF171" s="24" t="s">
        <v>40</v>
      </c>
      <c r="AG171" s="24" t="s">
        <v>40</v>
      </c>
      <c r="AH171" s="24" t="s">
        <v>40</v>
      </c>
      <c r="AI171" s="25">
        <v>45818</v>
      </c>
      <c r="AJ171" s="25"/>
      <c r="AK171" s="24" t="s">
        <v>40</v>
      </c>
    </row>
    <row r="172" spans="1:38" x14ac:dyDescent="0.35">
      <c r="A172" s="3" t="s">
        <v>32</v>
      </c>
      <c r="B172" s="3" t="s">
        <v>33</v>
      </c>
      <c r="C172" s="3" t="s">
        <v>34</v>
      </c>
      <c r="D172" s="3" t="s">
        <v>35</v>
      </c>
      <c r="E172" s="3" t="s">
        <v>135</v>
      </c>
      <c r="F172" s="4">
        <v>45917</v>
      </c>
      <c r="G172" s="23">
        <v>1800012788</v>
      </c>
      <c r="H172" s="24" t="s">
        <v>47</v>
      </c>
      <c r="I172" s="25">
        <v>45917</v>
      </c>
      <c r="J172" s="25">
        <v>45922</v>
      </c>
      <c r="K172" s="24" t="s">
        <v>38</v>
      </c>
      <c r="L172" s="26">
        <v>256779417442</v>
      </c>
      <c r="M172" s="23">
        <v>212100</v>
      </c>
      <c r="N172" s="24" t="s">
        <v>39</v>
      </c>
      <c r="O172" s="24" t="s">
        <v>40</v>
      </c>
      <c r="P172" s="23">
        <v>1</v>
      </c>
      <c r="Q172" s="24" t="s">
        <v>42</v>
      </c>
      <c r="R172" s="27">
        <v>6.23</v>
      </c>
      <c r="S172" s="24" t="s">
        <v>43</v>
      </c>
      <c r="T172" s="42">
        <v>545.21</v>
      </c>
      <c r="U172" s="24" t="s">
        <v>44</v>
      </c>
      <c r="V172" s="23">
        <v>6779224500</v>
      </c>
      <c r="W172" s="24" t="s">
        <v>40</v>
      </c>
      <c r="X172" s="23">
        <v>2102531</v>
      </c>
      <c r="Y172" s="23">
        <v>1</v>
      </c>
      <c r="Z172" s="43" cm="1">
        <f t="array" ref="Z172:AA172">_xlfn.XLOOKUP(L172,'Customer Ledger'!$O:$O,'Customer Ledger'!$P:$Q,,0)</f>
        <v>0</v>
      </c>
      <c r="AA172" s="43">
        <v>545.21420000000001</v>
      </c>
      <c r="AB172" s="43">
        <f t="shared" si="39"/>
        <v>545.21420000000001</v>
      </c>
      <c r="AC172" s="43">
        <f t="shared" si="40"/>
        <v>-4.1999999999688953E-3</v>
      </c>
      <c r="AD172" s="51">
        <f t="shared" si="41"/>
        <v>-7.7034537150252102E-6</v>
      </c>
      <c r="AE172" s="24" t="s">
        <v>206</v>
      </c>
      <c r="AF172" s="24" t="s">
        <v>40</v>
      </c>
      <c r="AG172" s="24" t="s">
        <v>40</v>
      </c>
      <c r="AH172" s="24" t="s">
        <v>40</v>
      </c>
      <c r="AI172" s="25">
        <v>45917</v>
      </c>
      <c r="AJ172" s="25"/>
      <c r="AK172" s="24" t="s">
        <v>40</v>
      </c>
    </row>
    <row r="173" spans="1:38" x14ac:dyDescent="0.35">
      <c r="A173" s="3" t="s">
        <v>32</v>
      </c>
      <c r="B173" s="3" t="s">
        <v>33</v>
      </c>
      <c r="C173" s="3" t="s">
        <v>34</v>
      </c>
      <c r="D173" s="3" t="s">
        <v>35</v>
      </c>
      <c r="E173" s="3" t="s">
        <v>41</v>
      </c>
      <c r="F173" s="4">
        <v>45980</v>
      </c>
      <c r="G173" s="23">
        <v>1800014859</v>
      </c>
      <c r="H173" s="24" t="s">
        <v>47</v>
      </c>
      <c r="I173" s="25">
        <v>45980</v>
      </c>
      <c r="J173" s="25">
        <v>45981</v>
      </c>
      <c r="K173" s="24" t="s">
        <v>38</v>
      </c>
      <c r="L173" s="26">
        <v>256779419364</v>
      </c>
      <c r="M173" s="23">
        <v>212100</v>
      </c>
      <c r="N173" s="24" t="s">
        <v>39</v>
      </c>
      <c r="O173" s="24" t="s">
        <v>40</v>
      </c>
      <c r="P173" s="23">
        <v>1</v>
      </c>
      <c r="Q173" s="24" t="s">
        <v>42</v>
      </c>
      <c r="R173" s="27">
        <v>350.75</v>
      </c>
      <c r="S173" s="24" t="s">
        <v>43</v>
      </c>
      <c r="T173" s="42">
        <v>30867.19</v>
      </c>
      <c r="U173" s="24" t="s">
        <v>44</v>
      </c>
      <c r="V173" s="23">
        <v>6779224500</v>
      </c>
      <c r="W173" s="24" t="s">
        <v>40</v>
      </c>
      <c r="X173" s="23">
        <v>2128875</v>
      </c>
      <c r="Y173" s="23">
        <v>1</v>
      </c>
      <c r="Z173" s="43" cm="1">
        <f t="array" ref="Z173:AA173">_xlfn.XLOOKUP(L173,'Customer Ledger'!$O:$O,'Customer Ledger'!$P:$Q,,0)</f>
        <v>0</v>
      </c>
      <c r="AA173" s="43">
        <v>27787.070400000001</v>
      </c>
      <c r="AB173" s="43">
        <f t="shared" si="39"/>
        <v>27787.070400000001</v>
      </c>
      <c r="AC173" s="43">
        <f t="shared" si="40"/>
        <v>3080.1195999999982</v>
      </c>
      <c r="AD173" s="51">
        <f t="shared" si="41"/>
        <v>9.9786200169176345E-2</v>
      </c>
      <c r="AE173" s="24" t="s">
        <v>207</v>
      </c>
      <c r="AF173" s="24" t="s">
        <v>40</v>
      </c>
      <c r="AG173" s="24" t="s">
        <v>40</v>
      </c>
      <c r="AH173" s="24" t="s">
        <v>40</v>
      </c>
      <c r="AI173" s="25">
        <v>45980</v>
      </c>
      <c r="AJ173" s="25"/>
      <c r="AK173" s="24" t="s">
        <v>40</v>
      </c>
    </row>
    <row r="174" spans="1:38" x14ac:dyDescent="0.35">
      <c r="A174" s="3" t="s">
        <v>32</v>
      </c>
      <c r="B174" s="3" t="s">
        <v>33</v>
      </c>
      <c r="C174" s="3" t="s">
        <v>34</v>
      </c>
      <c r="D174" s="3" t="s">
        <v>35</v>
      </c>
      <c r="E174" s="3" t="s">
        <v>85</v>
      </c>
      <c r="F174" s="4">
        <v>45762</v>
      </c>
      <c r="G174" s="23">
        <v>1800006257</v>
      </c>
      <c r="H174" s="24" t="s">
        <v>47</v>
      </c>
      <c r="I174" s="25">
        <v>45762</v>
      </c>
      <c r="J174" s="25">
        <v>45763</v>
      </c>
      <c r="K174" s="24" t="s">
        <v>38</v>
      </c>
      <c r="L174" s="26">
        <v>256779411148</v>
      </c>
      <c r="M174" s="23">
        <v>212100</v>
      </c>
      <c r="N174" s="24" t="s">
        <v>39</v>
      </c>
      <c r="O174" s="24" t="s">
        <v>40</v>
      </c>
      <c r="P174" s="23">
        <v>1</v>
      </c>
      <c r="Q174" s="24" t="s">
        <v>42</v>
      </c>
      <c r="R174" s="27">
        <v>304.01</v>
      </c>
      <c r="S174" s="24" t="s">
        <v>43</v>
      </c>
      <c r="T174" s="42">
        <v>26425.1</v>
      </c>
      <c r="U174" s="24" t="s">
        <v>44</v>
      </c>
      <c r="V174" s="24" t="s">
        <v>40</v>
      </c>
      <c r="W174" s="24" t="s">
        <v>40</v>
      </c>
      <c r="X174" s="24" t="s">
        <v>38</v>
      </c>
      <c r="Y174" s="23">
        <v>1</v>
      </c>
      <c r="Z174" s="43" cm="1">
        <f t="array" ref="Z174:AA174">_xlfn.XLOOKUP(L174,'Customer Ledger'!$O:$O,'Customer Ledger'!$P:$Q,,0)</f>
        <v>0</v>
      </c>
      <c r="AA174" s="43">
        <v>25546</v>
      </c>
      <c r="AB174" s="43">
        <f t="shared" si="39"/>
        <v>25546</v>
      </c>
      <c r="AC174" s="43">
        <f t="shared" si="40"/>
        <v>879.09999999999854</v>
      </c>
      <c r="AD174" s="51">
        <f t="shared" si="41"/>
        <v>3.326761298916555E-2</v>
      </c>
      <c r="AE174" s="24" t="s">
        <v>208</v>
      </c>
      <c r="AF174" s="24" t="s">
        <v>40</v>
      </c>
      <c r="AG174" s="24" t="s">
        <v>40</v>
      </c>
      <c r="AH174" s="24" t="s">
        <v>40</v>
      </c>
      <c r="AI174" s="25">
        <v>45762</v>
      </c>
      <c r="AJ174" s="25"/>
      <c r="AK174" s="24" t="s">
        <v>40</v>
      </c>
    </row>
    <row r="175" spans="1:38" x14ac:dyDescent="0.35">
      <c r="A175" s="3" t="s">
        <v>32</v>
      </c>
      <c r="B175" s="3" t="s">
        <v>33</v>
      </c>
      <c r="C175" s="3" t="s">
        <v>34</v>
      </c>
      <c r="D175" s="3" t="s">
        <v>35</v>
      </c>
      <c r="E175" s="3" t="s">
        <v>85</v>
      </c>
      <c r="F175" s="4">
        <v>45762</v>
      </c>
      <c r="G175" s="23">
        <v>1800003867</v>
      </c>
      <c r="H175" s="24" t="s">
        <v>47</v>
      </c>
      <c r="I175" s="25">
        <v>45736</v>
      </c>
      <c r="J175" s="25">
        <v>45736</v>
      </c>
      <c r="K175" s="24" t="s">
        <v>38</v>
      </c>
      <c r="L175" s="26">
        <v>246779413735</v>
      </c>
      <c r="M175" s="23">
        <v>212100</v>
      </c>
      <c r="N175" s="24" t="s">
        <v>39</v>
      </c>
      <c r="O175" s="24" t="s">
        <v>40</v>
      </c>
      <c r="P175" s="23">
        <v>1</v>
      </c>
      <c r="Q175" s="24" t="s">
        <v>42</v>
      </c>
      <c r="R175" s="27">
        <v>84.6</v>
      </c>
      <c r="S175" s="24" t="s">
        <v>43</v>
      </c>
      <c r="T175" s="42">
        <v>7334.08</v>
      </c>
      <c r="U175" s="24" t="s">
        <v>44</v>
      </c>
      <c r="V175" s="23">
        <v>6779224500</v>
      </c>
      <c r="W175" s="24" t="s">
        <v>40</v>
      </c>
      <c r="X175" s="24" t="s">
        <v>38</v>
      </c>
      <c r="Y175" s="23">
        <v>1</v>
      </c>
      <c r="Z175" s="43" cm="1">
        <f t="array" ref="Z175:AA175">_xlfn.XLOOKUP(L175,'Customer Ledger'!$O:$O,'Customer Ledger'!$P:$Q,,0)</f>
        <v>0</v>
      </c>
      <c r="AA175" s="43">
        <v>6896</v>
      </c>
      <c r="AB175" s="43">
        <f t="shared" si="39"/>
        <v>6896</v>
      </c>
      <c r="AC175" s="43">
        <f t="shared" si="40"/>
        <v>438.07999999999993</v>
      </c>
      <c r="AD175" s="51">
        <f t="shared" si="41"/>
        <v>5.973210000436318E-2</v>
      </c>
      <c r="AE175" s="24" t="s">
        <v>286</v>
      </c>
      <c r="AF175" s="24" t="s">
        <v>40</v>
      </c>
      <c r="AG175" s="24" t="s">
        <v>40</v>
      </c>
      <c r="AH175" s="24" t="s">
        <v>40</v>
      </c>
      <c r="AI175" s="25">
        <v>45736</v>
      </c>
      <c r="AJ175" s="25"/>
      <c r="AK175" s="24" t="s">
        <v>40</v>
      </c>
    </row>
    <row r="176" spans="1:38" x14ac:dyDescent="0.35">
      <c r="A176" s="3" t="s">
        <v>32</v>
      </c>
      <c r="B176" s="3" t="s">
        <v>33</v>
      </c>
      <c r="C176" s="3" t="s">
        <v>34</v>
      </c>
      <c r="D176" s="3" t="s">
        <v>35</v>
      </c>
      <c r="E176" s="3" t="s">
        <v>85</v>
      </c>
      <c r="F176" s="4">
        <v>45762</v>
      </c>
      <c r="G176" s="23">
        <v>1800003873</v>
      </c>
      <c r="H176" s="24" t="s">
        <v>47</v>
      </c>
      <c r="I176" s="25">
        <v>45736</v>
      </c>
      <c r="J176" s="25">
        <v>45736</v>
      </c>
      <c r="K176" s="24" t="s">
        <v>38</v>
      </c>
      <c r="L176" s="26">
        <v>246779413741</v>
      </c>
      <c r="M176" s="23">
        <v>212100</v>
      </c>
      <c r="N176" s="24" t="s">
        <v>39</v>
      </c>
      <c r="O176" s="24" t="s">
        <v>40</v>
      </c>
      <c r="P176" s="23">
        <v>1</v>
      </c>
      <c r="Q176" s="24" t="s">
        <v>42</v>
      </c>
      <c r="R176" s="27">
        <v>84.6</v>
      </c>
      <c r="S176" s="24" t="s">
        <v>43</v>
      </c>
      <c r="T176" s="42">
        <v>7334.08</v>
      </c>
      <c r="U176" s="24" t="s">
        <v>44</v>
      </c>
      <c r="V176" s="23">
        <v>6779224500</v>
      </c>
      <c r="W176" s="24" t="s">
        <v>40</v>
      </c>
      <c r="X176" s="24" t="s">
        <v>38</v>
      </c>
      <c r="Y176" s="23">
        <v>1</v>
      </c>
      <c r="Z176" s="43" cm="1">
        <f t="array" ref="Z176:AA176">_xlfn.XLOOKUP(L176,'Customer Ledger'!$O:$O,'Customer Ledger'!$P:$Q,,0)</f>
        <v>0</v>
      </c>
      <c r="AA176" s="43">
        <v>6895</v>
      </c>
      <c r="AB176" s="43">
        <f t="shared" si="39"/>
        <v>6895</v>
      </c>
      <c r="AC176" s="43">
        <f t="shared" si="40"/>
        <v>439.07999999999993</v>
      </c>
      <c r="AD176" s="51">
        <f t="shared" si="41"/>
        <v>5.9868449757842827E-2</v>
      </c>
      <c r="AE176" s="24" t="s">
        <v>286</v>
      </c>
      <c r="AF176" s="24" t="s">
        <v>40</v>
      </c>
      <c r="AG176" s="24" t="s">
        <v>40</v>
      </c>
      <c r="AH176" s="24" t="s">
        <v>40</v>
      </c>
      <c r="AI176" s="25">
        <v>45736</v>
      </c>
      <c r="AJ176" s="25"/>
      <c r="AK176" s="24" t="s">
        <v>40</v>
      </c>
      <c r="AL176" s="57"/>
    </row>
    <row r="177" spans="1:37" x14ac:dyDescent="0.35">
      <c r="A177" s="3" t="s">
        <v>32</v>
      </c>
      <c r="B177" s="3" t="s">
        <v>33</v>
      </c>
      <c r="C177" s="3" t="s">
        <v>34</v>
      </c>
      <c r="D177" s="3" t="s">
        <v>35</v>
      </c>
      <c r="E177" s="3" t="s">
        <v>85</v>
      </c>
      <c r="F177" s="4">
        <v>45762</v>
      </c>
      <c r="G177" s="23">
        <v>1800006260</v>
      </c>
      <c r="H177" s="24" t="s">
        <v>47</v>
      </c>
      <c r="I177" s="25">
        <v>45762</v>
      </c>
      <c r="J177" s="25">
        <v>45763</v>
      </c>
      <c r="K177" s="24" t="s">
        <v>38</v>
      </c>
      <c r="L177" s="26">
        <v>256779411151</v>
      </c>
      <c r="M177" s="23">
        <v>212100</v>
      </c>
      <c r="N177" s="24" t="s">
        <v>39</v>
      </c>
      <c r="O177" s="24" t="s">
        <v>40</v>
      </c>
      <c r="P177" s="23">
        <v>1</v>
      </c>
      <c r="Q177" s="24" t="s">
        <v>42</v>
      </c>
      <c r="R177" s="27">
        <v>160</v>
      </c>
      <c r="S177" s="24" t="s">
        <v>43</v>
      </c>
      <c r="T177" s="42">
        <v>13907.49</v>
      </c>
      <c r="U177" s="24" t="s">
        <v>44</v>
      </c>
      <c r="V177" s="24" t="s">
        <v>40</v>
      </c>
      <c r="W177" s="24" t="s">
        <v>40</v>
      </c>
      <c r="X177" s="24" t="s">
        <v>38</v>
      </c>
      <c r="Y177" s="23">
        <v>1</v>
      </c>
      <c r="Z177" s="43" cm="1">
        <f t="array" ref="Z177:AA177">_xlfn.XLOOKUP(L177,'Customer Ledger'!$O:$O,'Customer Ledger'!$P:$Q,,0)</f>
        <v>0</v>
      </c>
      <c r="AA177" s="43">
        <v>13629</v>
      </c>
      <c r="AB177" s="43">
        <f t="shared" si="39"/>
        <v>13629</v>
      </c>
      <c r="AC177" s="43">
        <f t="shared" si="40"/>
        <v>278.48999999999978</v>
      </c>
      <c r="AD177" s="51">
        <f t="shared" si="41"/>
        <v>2.0024461639016083E-2</v>
      </c>
      <c r="AE177" s="24" t="s">
        <v>210</v>
      </c>
      <c r="AF177" s="24" t="s">
        <v>40</v>
      </c>
      <c r="AG177" s="24" t="s">
        <v>40</v>
      </c>
      <c r="AH177" s="24" t="s">
        <v>40</v>
      </c>
      <c r="AI177" s="25">
        <v>45762</v>
      </c>
      <c r="AJ177" s="25"/>
      <c r="AK177" s="24" t="s">
        <v>40</v>
      </c>
    </row>
    <row r="178" spans="1:37" x14ac:dyDescent="0.35">
      <c r="A178" s="3" t="s">
        <v>32</v>
      </c>
      <c r="B178" s="3" t="s">
        <v>33</v>
      </c>
      <c r="C178" s="3" t="s">
        <v>34</v>
      </c>
      <c r="D178" s="3" t="s">
        <v>35</v>
      </c>
      <c r="E178" s="3" t="s">
        <v>85</v>
      </c>
      <c r="F178" s="4">
        <v>45762</v>
      </c>
      <c r="G178" s="23">
        <v>1800003868</v>
      </c>
      <c r="H178" s="24" t="s">
        <v>47</v>
      </c>
      <c r="I178" s="25">
        <v>45736</v>
      </c>
      <c r="J178" s="25">
        <v>45736</v>
      </c>
      <c r="K178" s="24" t="s">
        <v>38</v>
      </c>
      <c r="L178" s="26">
        <v>246779413736</v>
      </c>
      <c r="M178" s="23">
        <v>212100</v>
      </c>
      <c r="N178" s="24" t="s">
        <v>39</v>
      </c>
      <c r="O178" s="24" t="s">
        <v>40</v>
      </c>
      <c r="P178" s="23">
        <v>1</v>
      </c>
      <c r="Q178" s="24" t="s">
        <v>42</v>
      </c>
      <c r="R178" s="27">
        <v>79.900000000000006</v>
      </c>
      <c r="S178" s="24" t="s">
        <v>43</v>
      </c>
      <c r="T178" s="42">
        <v>6926.63</v>
      </c>
      <c r="U178" s="24" t="s">
        <v>44</v>
      </c>
      <c r="V178" s="23">
        <v>6779224500</v>
      </c>
      <c r="W178" s="24" t="s">
        <v>40</v>
      </c>
      <c r="X178" s="24" t="s">
        <v>38</v>
      </c>
      <c r="Y178" s="23">
        <v>1</v>
      </c>
      <c r="Z178" s="43" cm="1">
        <f t="array" ref="Z178:AA178">_xlfn.XLOOKUP(L178,'Customer Ledger'!$O:$O,'Customer Ledger'!$P:$Q,,0)</f>
        <v>0</v>
      </c>
      <c r="AA178" s="43">
        <v>6513</v>
      </c>
      <c r="AB178" s="43">
        <f t="shared" si="39"/>
        <v>6513</v>
      </c>
      <c r="AC178" s="43">
        <f t="shared" si="40"/>
        <v>413.63000000000011</v>
      </c>
      <c r="AD178" s="51">
        <f t="shared" si="41"/>
        <v>5.9715908024537197E-2</v>
      </c>
      <c r="AE178" s="24" t="s">
        <v>286</v>
      </c>
      <c r="AF178" s="24" t="s">
        <v>40</v>
      </c>
      <c r="AG178" s="24" t="s">
        <v>40</v>
      </c>
      <c r="AH178" s="24" t="s">
        <v>40</v>
      </c>
      <c r="AI178" s="25">
        <v>45736</v>
      </c>
      <c r="AJ178" s="25"/>
      <c r="AK178" s="24" t="s">
        <v>40</v>
      </c>
    </row>
    <row r="179" spans="1:37" x14ac:dyDescent="0.35">
      <c r="A179" s="3" t="s">
        <v>32</v>
      </c>
      <c r="B179" s="3" t="s">
        <v>33</v>
      </c>
      <c r="C179" s="3" t="s">
        <v>34</v>
      </c>
      <c r="D179" s="3" t="s">
        <v>35</v>
      </c>
      <c r="E179" s="3" t="s">
        <v>85</v>
      </c>
      <c r="F179" s="4">
        <v>45762</v>
      </c>
      <c r="G179" s="23">
        <v>1800005282</v>
      </c>
      <c r="H179" s="24" t="s">
        <v>47</v>
      </c>
      <c r="I179" s="25">
        <v>45750</v>
      </c>
      <c r="J179" s="25">
        <v>45752</v>
      </c>
      <c r="K179" s="24" t="s">
        <v>38</v>
      </c>
      <c r="L179" s="26">
        <v>256779410174</v>
      </c>
      <c r="M179" s="23">
        <v>212100</v>
      </c>
      <c r="N179" s="24" t="s">
        <v>39</v>
      </c>
      <c r="O179" s="24" t="s">
        <v>40</v>
      </c>
      <c r="P179" s="23">
        <v>1</v>
      </c>
      <c r="Q179" s="24" t="s">
        <v>42</v>
      </c>
      <c r="R179" s="27">
        <v>72.849999999999994</v>
      </c>
      <c r="S179" s="24" t="s">
        <v>43</v>
      </c>
      <c r="T179" s="42">
        <v>6332.25</v>
      </c>
      <c r="U179" s="24" t="s">
        <v>44</v>
      </c>
      <c r="V179" s="24" t="s">
        <v>40</v>
      </c>
      <c r="W179" s="24" t="s">
        <v>40</v>
      </c>
      <c r="X179" s="24" t="s">
        <v>38</v>
      </c>
      <c r="Y179" s="23">
        <v>1</v>
      </c>
      <c r="Z179" s="43" cm="1">
        <f t="array" ref="Z179:AA179">_xlfn.XLOOKUP(L179,'Customer Ledger'!$O:$O,'Customer Ledger'!$P:$Q,,0)</f>
        <v>0</v>
      </c>
      <c r="AA179" s="43">
        <v>6205</v>
      </c>
      <c r="AB179" s="43">
        <f t="shared" si="39"/>
        <v>6205</v>
      </c>
      <c r="AC179" s="43">
        <f t="shared" si="40"/>
        <v>127.25</v>
      </c>
      <c r="AD179" s="51">
        <f t="shared" si="41"/>
        <v>2.0095542658612658E-2</v>
      </c>
      <c r="AE179" s="24" t="s">
        <v>90</v>
      </c>
      <c r="AF179" s="24" t="s">
        <v>40</v>
      </c>
      <c r="AG179" s="24" t="s">
        <v>40</v>
      </c>
      <c r="AH179" s="24" t="s">
        <v>40</v>
      </c>
      <c r="AI179" s="25">
        <v>45750</v>
      </c>
      <c r="AJ179" s="25"/>
      <c r="AK179" s="24" t="s">
        <v>40</v>
      </c>
    </row>
    <row r="180" spans="1:37" x14ac:dyDescent="0.35">
      <c r="A180" s="3" t="s">
        <v>32</v>
      </c>
      <c r="B180" s="3" t="s">
        <v>33</v>
      </c>
      <c r="C180" s="3" t="s">
        <v>34</v>
      </c>
      <c r="D180" s="3" t="s">
        <v>35</v>
      </c>
      <c r="E180" s="3" t="s">
        <v>212</v>
      </c>
      <c r="F180" s="4">
        <v>45880</v>
      </c>
      <c r="G180" s="23">
        <v>1800011901</v>
      </c>
      <c r="H180" s="24" t="s">
        <v>47</v>
      </c>
      <c r="I180" s="25">
        <v>45880</v>
      </c>
      <c r="J180" s="25">
        <v>45881</v>
      </c>
      <c r="K180" s="24" t="s">
        <v>38</v>
      </c>
      <c r="L180" s="26">
        <v>256779416544</v>
      </c>
      <c r="M180" s="23">
        <v>212100</v>
      </c>
      <c r="N180" s="24" t="s">
        <v>39</v>
      </c>
      <c r="O180" s="24" t="s">
        <v>40</v>
      </c>
      <c r="P180" s="23">
        <v>1</v>
      </c>
      <c r="Q180" s="24" t="s">
        <v>42</v>
      </c>
      <c r="R180" s="27">
        <v>298.70999999999998</v>
      </c>
      <c r="S180" s="24" t="s">
        <v>43</v>
      </c>
      <c r="T180" s="42">
        <v>25698.06</v>
      </c>
      <c r="U180" s="24" t="s">
        <v>44</v>
      </c>
      <c r="V180" s="23">
        <v>6779224500</v>
      </c>
      <c r="W180" s="24" t="s">
        <v>40</v>
      </c>
      <c r="X180" s="24" t="s">
        <v>38</v>
      </c>
      <c r="Y180" s="23">
        <v>1</v>
      </c>
      <c r="Z180" s="43" cm="1">
        <f t="array" ref="Z180:AA180">_xlfn.XLOOKUP(L180,'Customer Ledger'!$O:$O,'Customer Ledger'!$P:$Q,,0)</f>
        <v>0</v>
      </c>
      <c r="AA180" s="43">
        <v>23117.1535</v>
      </c>
      <c r="AB180" s="43">
        <f t="shared" si="39"/>
        <v>23117.1535</v>
      </c>
      <c r="AC180" s="43">
        <f t="shared" si="40"/>
        <v>2580.906500000001</v>
      </c>
      <c r="AD180" s="51">
        <f t="shared" si="41"/>
        <v>0.10043195867703636</v>
      </c>
      <c r="AE180" s="24" t="s">
        <v>213</v>
      </c>
      <c r="AF180" s="24" t="s">
        <v>40</v>
      </c>
      <c r="AG180" s="24" t="s">
        <v>40</v>
      </c>
      <c r="AH180" s="24" t="s">
        <v>40</v>
      </c>
      <c r="AI180" s="25">
        <v>45880</v>
      </c>
      <c r="AJ180" s="25"/>
      <c r="AK180" s="24" t="s">
        <v>40</v>
      </c>
    </row>
    <row r="181" spans="1:37" x14ac:dyDescent="0.35">
      <c r="A181" s="3" t="s">
        <v>32</v>
      </c>
      <c r="B181" s="3" t="s">
        <v>33</v>
      </c>
      <c r="C181" s="3" t="s">
        <v>34</v>
      </c>
      <c r="D181" s="3" t="s">
        <v>35</v>
      </c>
      <c r="E181" s="3" t="s">
        <v>212</v>
      </c>
      <c r="F181" s="4">
        <v>45880</v>
      </c>
      <c r="G181" s="23">
        <v>1800011903</v>
      </c>
      <c r="H181" s="24" t="s">
        <v>47</v>
      </c>
      <c r="I181" s="25">
        <v>45880</v>
      </c>
      <c r="J181" s="25">
        <v>45881</v>
      </c>
      <c r="K181" s="24" t="s">
        <v>38</v>
      </c>
      <c r="L181" s="26">
        <v>256779416546</v>
      </c>
      <c r="M181" s="23">
        <v>212100</v>
      </c>
      <c r="N181" s="24" t="s">
        <v>39</v>
      </c>
      <c r="O181" s="24" t="s">
        <v>40</v>
      </c>
      <c r="P181" s="23">
        <v>1</v>
      </c>
      <c r="Q181" s="24" t="s">
        <v>42</v>
      </c>
      <c r="R181" s="27">
        <v>282.89999999999998</v>
      </c>
      <c r="S181" s="24" t="s">
        <v>43</v>
      </c>
      <c r="T181" s="42">
        <v>24337.919999999998</v>
      </c>
      <c r="U181" s="24" t="s">
        <v>44</v>
      </c>
      <c r="V181" s="23">
        <v>6779224500</v>
      </c>
      <c r="W181" s="24" t="s">
        <v>40</v>
      </c>
      <c r="X181" s="24" t="s">
        <v>38</v>
      </c>
      <c r="Y181" s="23">
        <v>1</v>
      </c>
      <c r="Z181" s="43" cm="1">
        <f t="array" ref="Z181:AA181">_xlfn.XLOOKUP(L181,'Customer Ledger'!$O:$O,'Customer Ledger'!$P:$Q,,0)</f>
        <v>0</v>
      </c>
      <c r="AA181" s="43">
        <v>21929.077600000001</v>
      </c>
      <c r="AB181" s="43">
        <f t="shared" si="39"/>
        <v>21929.077600000001</v>
      </c>
      <c r="AC181" s="43">
        <f t="shared" si="40"/>
        <v>2408.8423999999977</v>
      </c>
      <c r="AD181" s="51">
        <f t="shared" si="41"/>
        <v>9.8974867203113409E-2</v>
      </c>
      <c r="AE181" s="24" t="s">
        <v>214</v>
      </c>
      <c r="AF181" s="24" t="s">
        <v>40</v>
      </c>
      <c r="AG181" s="24" t="s">
        <v>40</v>
      </c>
      <c r="AH181" s="24" t="s">
        <v>40</v>
      </c>
      <c r="AI181" s="25">
        <v>45880</v>
      </c>
      <c r="AJ181" s="25"/>
      <c r="AK181" s="24" t="s">
        <v>40</v>
      </c>
    </row>
    <row r="182" spans="1:37" x14ac:dyDescent="0.35">
      <c r="A182" s="3" t="s">
        <v>32</v>
      </c>
      <c r="B182" s="3" t="s">
        <v>33</v>
      </c>
      <c r="C182" s="3" t="s">
        <v>34</v>
      </c>
      <c r="D182" s="3" t="s">
        <v>35</v>
      </c>
      <c r="E182" s="3" t="s">
        <v>36</v>
      </c>
      <c r="F182" s="4">
        <v>45845</v>
      </c>
      <c r="G182" s="23">
        <v>1800010208</v>
      </c>
      <c r="H182" s="24" t="s">
        <v>47</v>
      </c>
      <c r="I182" s="25">
        <v>45845</v>
      </c>
      <c r="J182" s="25">
        <v>45847</v>
      </c>
      <c r="K182" s="24" t="s">
        <v>38</v>
      </c>
      <c r="L182" s="26">
        <v>256779414968</v>
      </c>
      <c r="M182" s="23">
        <v>212100</v>
      </c>
      <c r="N182" s="24" t="s">
        <v>39</v>
      </c>
      <c r="O182" s="24" t="s">
        <v>40</v>
      </c>
      <c r="P182" s="23">
        <v>1</v>
      </c>
      <c r="Q182" s="24" t="s">
        <v>42</v>
      </c>
      <c r="R182" s="27">
        <v>31.58</v>
      </c>
      <c r="S182" s="24" t="s">
        <v>43</v>
      </c>
      <c r="T182" s="42">
        <v>2715.9</v>
      </c>
      <c r="U182" s="24" t="s">
        <v>44</v>
      </c>
      <c r="V182" s="23">
        <v>6779224500</v>
      </c>
      <c r="W182" s="24" t="s">
        <v>40</v>
      </c>
      <c r="X182" s="24" t="s">
        <v>38</v>
      </c>
      <c r="Y182" s="23">
        <v>1</v>
      </c>
      <c r="Z182" s="43" cm="1">
        <f t="array" ref="Z182:AA182">_xlfn.XLOOKUP(L182,'Customer Ledger'!$O:$O,'Customer Ledger'!$P:$Q,,0)</f>
        <v>0</v>
      </c>
      <c r="AA182" s="43">
        <v>2629.9005000000002</v>
      </c>
      <c r="AB182" s="43">
        <f t="shared" si="39"/>
        <v>2629.9005000000002</v>
      </c>
      <c r="AC182" s="43">
        <f t="shared" si="40"/>
        <v>85.999499999999898</v>
      </c>
      <c r="AD182" s="51">
        <f t="shared" si="41"/>
        <v>3.1665193858389444E-2</v>
      </c>
      <c r="AE182" s="24" t="s">
        <v>40</v>
      </c>
      <c r="AF182" s="24" t="s">
        <v>40</v>
      </c>
      <c r="AG182" s="24" t="s">
        <v>40</v>
      </c>
      <c r="AH182" s="24" t="s">
        <v>40</v>
      </c>
      <c r="AI182" s="25">
        <v>45845</v>
      </c>
      <c r="AJ182" s="25"/>
      <c r="AK182" s="24" t="s">
        <v>40</v>
      </c>
    </row>
    <row r="183" spans="1:37" x14ac:dyDescent="0.35">
      <c r="A183" s="3" t="s">
        <v>32</v>
      </c>
      <c r="B183" s="3" t="s">
        <v>33</v>
      </c>
      <c r="C183" s="3" t="s">
        <v>34</v>
      </c>
      <c r="D183" s="3" t="s">
        <v>35</v>
      </c>
      <c r="E183" s="3" t="s">
        <v>95</v>
      </c>
      <c r="F183" s="4">
        <v>45947</v>
      </c>
      <c r="G183" s="23">
        <v>1800009097</v>
      </c>
      <c r="H183" s="24" t="s">
        <v>47</v>
      </c>
      <c r="I183" s="25">
        <v>45795</v>
      </c>
      <c r="J183" s="25">
        <v>45805</v>
      </c>
      <c r="K183" s="24" t="s">
        <v>38</v>
      </c>
      <c r="L183" s="26">
        <v>256779413861</v>
      </c>
      <c r="M183" s="23">
        <v>212100</v>
      </c>
      <c r="N183" s="24" t="s">
        <v>39</v>
      </c>
      <c r="O183" s="24" t="s">
        <v>40</v>
      </c>
      <c r="P183" s="23">
        <v>1</v>
      </c>
      <c r="Q183" s="24" t="s">
        <v>42</v>
      </c>
      <c r="R183" s="27">
        <v>140</v>
      </c>
      <c r="S183" s="24" t="s">
        <v>43</v>
      </c>
      <c r="T183" s="27">
        <v>12037.72</v>
      </c>
      <c r="U183" s="24" t="s">
        <v>44</v>
      </c>
      <c r="V183" s="23">
        <v>6779224500</v>
      </c>
      <c r="W183" s="24" t="s">
        <v>40</v>
      </c>
      <c r="X183" s="24" t="s">
        <v>38</v>
      </c>
      <c r="Y183" s="23">
        <v>1</v>
      </c>
      <c r="Z183" s="43" t="e" cm="1">
        <f t="array" ref="Z183">_xlfn.XLOOKUP(L183,'Customer Ledger'!$O:$O,'Customer Ledger'!$P:$Q,,0)</f>
        <v>#N/A</v>
      </c>
      <c r="AA183" s="43"/>
      <c r="AB183" s="43"/>
      <c r="AC183" s="23"/>
      <c r="AD183" s="23"/>
      <c r="AE183" s="24" t="s">
        <v>102</v>
      </c>
      <c r="AF183" s="24" t="s">
        <v>40</v>
      </c>
      <c r="AG183" s="24" t="s">
        <v>40</v>
      </c>
      <c r="AH183" s="24" t="s">
        <v>40</v>
      </c>
      <c r="AI183" s="25">
        <v>45795</v>
      </c>
      <c r="AJ183" s="25">
        <v>45976</v>
      </c>
      <c r="AK183" s="23">
        <v>1400001901</v>
      </c>
    </row>
    <row r="184" spans="1:37" x14ac:dyDescent="0.35">
      <c r="A184" s="3" t="s">
        <v>32</v>
      </c>
      <c r="B184" s="3" t="s">
        <v>33</v>
      </c>
      <c r="C184" s="3" t="s">
        <v>34</v>
      </c>
      <c r="D184" s="3" t="s">
        <v>35</v>
      </c>
      <c r="E184" s="3" t="s">
        <v>85</v>
      </c>
      <c r="F184" s="4">
        <v>45763</v>
      </c>
      <c r="G184" s="23">
        <v>1800005264</v>
      </c>
      <c r="H184" s="24" t="s">
        <v>47</v>
      </c>
      <c r="I184" s="25">
        <v>45750</v>
      </c>
      <c r="J184" s="25">
        <v>45752</v>
      </c>
      <c r="K184" s="24" t="s">
        <v>38</v>
      </c>
      <c r="L184" s="26">
        <v>256779410156</v>
      </c>
      <c r="M184" s="23">
        <v>212100</v>
      </c>
      <c r="N184" s="24" t="s">
        <v>39</v>
      </c>
      <c r="O184" s="24" t="s">
        <v>40</v>
      </c>
      <c r="P184" s="23">
        <v>1</v>
      </c>
      <c r="Q184" s="24" t="s">
        <v>42</v>
      </c>
      <c r="R184" s="27">
        <v>58.75</v>
      </c>
      <c r="S184" s="24" t="s">
        <v>43</v>
      </c>
      <c r="T184" s="42">
        <v>5106.66</v>
      </c>
      <c r="U184" s="24" t="s">
        <v>44</v>
      </c>
      <c r="V184" s="24" t="s">
        <v>40</v>
      </c>
      <c r="W184" s="24" t="s">
        <v>40</v>
      </c>
      <c r="X184" s="24" t="s">
        <v>38</v>
      </c>
      <c r="Y184" s="23">
        <v>1</v>
      </c>
      <c r="Z184" s="43" cm="1">
        <f t="array" ref="Z184:AA184">_xlfn.XLOOKUP(L184,'Customer Ledger'!$O:$O,'Customer Ledger'!$P:$Q,,0)</f>
        <v>0</v>
      </c>
      <c r="AA184" s="43">
        <v>4913</v>
      </c>
      <c r="AB184" s="43">
        <f t="shared" ref="AB184:AB186" si="42">AA184-Z184</f>
        <v>4913</v>
      </c>
      <c r="AC184" s="43">
        <f t="shared" ref="AC184:AC186" si="43">T184-AB184</f>
        <v>193.65999999999985</v>
      </c>
      <c r="AD184" s="51">
        <f t="shared" ref="AD184:AD186" si="44">AC184/T184</f>
        <v>3.7923026009172307E-2</v>
      </c>
      <c r="AE184" s="24" t="s">
        <v>88</v>
      </c>
      <c r="AF184" s="24" t="s">
        <v>40</v>
      </c>
      <c r="AG184" s="24" t="s">
        <v>40</v>
      </c>
      <c r="AH184" s="24" t="s">
        <v>40</v>
      </c>
      <c r="AI184" s="25">
        <v>45750</v>
      </c>
      <c r="AJ184" s="25"/>
      <c r="AK184" s="24" t="s">
        <v>40</v>
      </c>
    </row>
    <row r="185" spans="1:37" x14ac:dyDescent="0.35">
      <c r="A185" s="3" t="s">
        <v>32</v>
      </c>
      <c r="B185" s="3" t="s">
        <v>33</v>
      </c>
      <c r="C185" s="3" t="s">
        <v>34</v>
      </c>
      <c r="D185" s="3" t="s">
        <v>35</v>
      </c>
      <c r="E185" s="3" t="s">
        <v>85</v>
      </c>
      <c r="F185" s="4">
        <v>45763</v>
      </c>
      <c r="G185" s="23">
        <v>1800004273</v>
      </c>
      <c r="H185" s="24" t="s">
        <v>47</v>
      </c>
      <c r="I185" s="25">
        <v>45736</v>
      </c>
      <c r="J185" s="25">
        <v>45737</v>
      </c>
      <c r="K185" s="24" t="s">
        <v>38</v>
      </c>
      <c r="L185" s="26">
        <v>246779414141</v>
      </c>
      <c r="M185" s="23">
        <v>212100</v>
      </c>
      <c r="N185" s="24" t="s">
        <v>39</v>
      </c>
      <c r="O185" s="24" t="s">
        <v>40</v>
      </c>
      <c r="P185" s="23">
        <v>1</v>
      </c>
      <c r="Q185" s="24" t="s">
        <v>42</v>
      </c>
      <c r="R185" s="27">
        <v>55</v>
      </c>
      <c r="S185" s="24" t="s">
        <v>43</v>
      </c>
      <c r="T185" s="42">
        <v>4768.0200000000004</v>
      </c>
      <c r="U185" s="24" t="s">
        <v>44</v>
      </c>
      <c r="V185" s="23">
        <v>6779224500</v>
      </c>
      <c r="W185" s="24" t="s">
        <v>40</v>
      </c>
      <c r="X185" s="24" t="s">
        <v>38</v>
      </c>
      <c r="Y185" s="23">
        <v>1</v>
      </c>
      <c r="Z185" s="43" cm="1">
        <f t="array" ref="Z185:AA185">_xlfn.XLOOKUP(L185,'Customer Ledger'!$O:$O,'Customer Ledger'!$P:$Q,,0)</f>
        <v>0</v>
      </c>
      <c r="AA185" s="43">
        <v>4652</v>
      </c>
      <c r="AB185" s="43">
        <f t="shared" si="42"/>
        <v>4652</v>
      </c>
      <c r="AC185" s="43">
        <f t="shared" si="43"/>
        <v>116.02000000000044</v>
      </c>
      <c r="AD185" s="51">
        <f t="shared" si="44"/>
        <v>2.4332951623525157E-2</v>
      </c>
      <c r="AE185" s="24" t="s">
        <v>291</v>
      </c>
      <c r="AF185" s="24" t="s">
        <v>40</v>
      </c>
      <c r="AG185" s="24" t="s">
        <v>40</v>
      </c>
      <c r="AH185" s="24" t="s">
        <v>40</v>
      </c>
      <c r="AI185" s="25">
        <v>45736</v>
      </c>
      <c r="AJ185" s="25"/>
      <c r="AK185" s="24" t="s">
        <v>40</v>
      </c>
    </row>
    <row r="186" spans="1:37" x14ac:dyDescent="0.35">
      <c r="A186" s="3" t="s">
        <v>32</v>
      </c>
      <c r="B186" s="3" t="s">
        <v>33</v>
      </c>
      <c r="C186" s="3" t="s">
        <v>34</v>
      </c>
      <c r="D186" s="3" t="s">
        <v>35</v>
      </c>
      <c r="E186" s="3" t="s">
        <v>85</v>
      </c>
      <c r="F186" s="4">
        <v>45763</v>
      </c>
      <c r="G186" s="23">
        <v>1800001118</v>
      </c>
      <c r="H186" s="24" t="s">
        <v>47</v>
      </c>
      <c r="I186" s="25">
        <v>45722</v>
      </c>
      <c r="J186" s="25">
        <v>45723</v>
      </c>
      <c r="K186" s="24" t="s">
        <v>38</v>
      </c>
      <c r="L186" s="26">
        <v>246779411054</v>
      </c>
      <c r="M186" s="23">
        <v>212100</v>
      </c>
      <c r="N186" s="24" t="s">
        <v>39</v>
      </c>
      <c r="O186" s="24" t="s">
        <v>40</v>
      </c>
      <c r="P186" s="23">
        <v>1</v>
      </c>
      <c r="Q186" s="24" t="s">
        <v>42</v>
      </c>
      <c r="R186" s="27">
        <v>54.05</v>
      </c>
      <c r="S186" s="24" t="s">
        <v>43</v>
      </c>
      <c r="T186" s="42">
        <v>4685.66</v>
      </c>
      <c r="U186" s="24" t="s">
        <v>44</v>
      </c>
      <c r="V186" s="23">
        <v>6779224500</v>
      </c>
      <c r="W186" s="24" t="s">
        <v>40</v>
      </c>
      <c r="X186" s="24" t="s">
        <v>38</v>
      </c>
      <c r="Y186" s="23">
        <v>1</v>
      </c>
      <c r="Z186" s="43" cm="1">
        <f t="array" ref="Z186:AA186">_xlfn.XLOOKUP(L186,'Customer Ledger'!$O:$O,'Customer Ledger'!$P:$Q,,0)</f>
        <v>0</v>
      </c>
      <c r="AA186" s="43">
        <v>4387</v>
      </c>
      <c r="AB186" s="43">
        <f t="shared" si="42"/>
        <v>4387</v>
      </c>
      <c r="AC186" s="43">
        <f t="shared" si="43"/>
        <v>298.65999999999985</v>
      </c>
      <c r="AD186" s="51">
        <f t="shared" si="44"/>
        <v>6.3739153075553889E-2</v>
      </c>
      <c r="AE186" s="24" t="s">
        <v>348</v>
      </c>
      <c r="AF186" s="24" t="s">
        <v>40</v>
      </c>
      <c r="AG186" s="24" t="s">
        <v>40</v>
      </c>
      <c r="AH186" s="24" t="s">
        <v>40</v>
      </c>
      <c r="AI186" s="25">
        <v>45722</v>
      </c>
      <c r="AJ186" s="25"/>
      <c r="AK186" s="24" t="s">
        <v>40</v>
      </c>
    </row>
    <row r="187" spans="1:37" x14ac:dyDescent="0.35">
      <c r="A187" s="3" t="s">
        <v>32</v>
      </c>
      <c r="B187" s="3" t="s">
        <v>33</v>
      </c>
      <c r="C187" s="3" t="s">
        <v>34</v>
      </c>
      <c r="D187" s="3" t="s">
        <v>35</v>
      </c>
      <c r="E187" s="3" t="s">
        <v>85</v>
      </c>
      <c r="F187" s="4">
        <v>45763</v>
      </c>
      <c r="G187" s="23">
        <v>1800007087</v>
      </c>
      <c r="H187" s="24" t="s">
        <v>47</v>
      </c>
      <c r="I187" s="25">
        <v>45763</v>
      </c>
      <c r="J187" s="25">
        <v>45764</v>
      </c>
      <c r="K187" s="24" t="s">
        <v>38</v>
      </c>
      <c r="L187" s="26">
        <v>256779411978</v>
      </c>
      <c r="M187" s="23">
        <v>212100</v>
      </c>
      <c r="N187" s="24" t="s">
        <v>39</v>
      </c>
      <c r="O187" s="24" t="s">
        <v>40</v>
      </c>
      <c r="P187" s="23">
        <v>1</v>
      </c>
      <c r="Q187" s="24" t="s">
        <v>42</v>
      </c>
      <c r="R187" s="27">
        <v>46.85</v>
      </c>
      <c r="S187" s="24" t="s">
        <v>43</v>
      </c>
      <c r="T187" s="27">
        <v>4072.29</v>
      </c>
      <c r="U187" s="24" t="s">
        <v>44</v>
      </c>
      <c r="V187" s="23">
        <v>6779224500</v>
      </c>
      <c r="W187" s="24" t="s">
        <v>40</v>
      </c>
      <c r="X187" s="24" t="s">
        <v>38</v>
      </c>
      <c r="Y187" s="23">
        <v>1</v>
      </c>
      <c r="Z187" s="43" t="e" cm="1">
        <f t="array" ref="Z187">_xlfn.XLOOKUP(L187,'Customer Ledger'!$O:$O,'Customer Ledger'!$P:$Q,,0)</f>
        <v>#N/A</v>
      </c>
      <c r="AA187" s="43"/>
      <c r="AB187" s="43"/>
      <c r="AC187" s="23"/>
      <c r="AD187" s="23"/>
      <c r="AE187" s="24" t="s">
        <v>219</v>
      </c>
      <c r="AF187" s="24" t="s">
        <v>40</v>
      </c>
      <c r="AG187" s="24" t="s">
        <v>40</v>
      </c>
      <c r="AH187" s="24" t="s">
        <v>40</v>
      </c>
      <c r="AI187" s="25">
        <v>45763</v>
      </c>
      <c r="AJ187" s="25"/>
      <c r="AK187" s="24" t="s">
        <v>40</v>
      </c>
    </row>
    <row r="188" spans="1:37" x14ac:dyDescent="0.35">
      <c r="A188" s="3" t="s">
        <v>32</v>
      </c>
      <c r="B188" s="3" t="s">
        <v>33</v>
      </c>
      <c r="C188" s="3" t="s">
        <v>34</v>
      </c>
      <c r="D188" s="3" t="s">
        <v>35</v>
      </c>
      <c r="E188" s="3" t="s">
        <v>85</v>
      </c>
      <c r="F188" s="4">
        <v>45763</v>
      </c>
      <c r="G188" s="23">
        <v>1800007088</v>
      </c>
      <c r="H188" s="24" t="s">
        <v>47</v>
      </c>
      <c r="I188" s="25">
        <v>45763</v>
      </c>
      <c r="J188" s="25">
        <v>45764</v>
      </c>
      <c r="K188" s="24" t="s">
        <v>38</v>
      </c>
      <c r="L188" s="26">
        <v>256779411979</v>
      </c>
      <c r="M188" s="23">
        <v>212100</v>
      </c>
      <c r="N188" s="24" t="s">
        <v>39</v>
      </c>
      <c r="O188" s="24" t="s">
        <v>40</v>
      </c>
      <c r="P188" s="23">
        <v>1</v>
      </c>
      <c r="Q188" s="24" t="s">
        <v>42</v>
      </c>
      <c r="R188" s="27">
        <v>37.56</v>
      </c>
      <c r="S188" s="24" t="s">
        <v>43</v>
      </c>
      <c r="T188" s="27">
        <v>3264.78</v>
      </c>
      <c r="U188" s="24" t="s">
        <v>44</v>
      </c>
      <c r="V188" s="23">
        <v>6779224500</v>
      </c>
      <c r="W188" s="24" t="s">
        <v>40</v>
      </c>
      <c r="X188" s="24" t="s">
        <v>38</v>
      </c>
      <c r="Y188" s="23">
        <v>1</v>
      </c>
      <c r="Z188" s="43" t="e" cm="1">
        <f t="array" ref="Z188">_xlfn.XLOOKUP(L188,'Customer Ledger'!$O:$O,'Customer Ledger'!$P:$Q,,0)</f>
        <v>#N/A</v>
      </c>
      <c r="AA188" s="43"/>
      <c r="AB188" s="43"/>
      <c r="AC188" s="23"/>
      <c r="AD188" s="23"/>
      <c r="AE188" s="24" t="s">
        <v>220</v>
      </c>
      <c r="AF188" s="24" t="s">
        <v>40</v>
      </c>
      <c r="AG188" s="24" t="s">
        <v>40</v>
      </c>
      <c r="AH188" s="24" t="s">
        <v>40</v>
      </c>
      <c r="AI188" s="25">
        <v>45763</v>
      </c>
      <c r="AJ188" s="25"/>
      <c r="AK188" s="24" t="s">
        <v>40</v>
      </c>
    </row>
    <row r="189" spans="1:37" x14ac:dyDescent="0.35">
      <c r="A189" s="3" t="s">
        <v>32</v>
      </c>
      <c r="B189" s="3" t="s">
        <v>33</v>
      </c>
      <c r="C189" s="3" t="s">
        <v>34</v>
      </c>
      <c r="D189" s="3" t="s">
        <v>35</v>
      </c>
      <c r="E189" s="3" t="s">
        <v>85</v>
      </c>
      <c r="F189" s="4">
        <v>45763</v>
      </c>
      <c r="G189" s="23">
        <v>1800007089</v>
      </c>
      <c r="H189" s="24" t="s">
        <v>47</v>
      </c>
      <c r="I189" s="25">
        <v>45763</v>
      </c>
      <c r="J189" s="25">
        <v>45764</v>
      </c>
      <c r="K189" s="24" t="s">
        <v>38</v>
      </c>
      <c r="L189" s="26">
        <v>256779411980</v>
      </c>
      <c r="M189" s="23">
        <v>212100</v>
      </c>
      <c r="N189" s="24" t="s">
        <v>39</v>
      </c>
      <c r="O189" s="24" t="s">
        <v>40</v>
      </c>
      <c r="P189" s="23">
        <v>1</v>
      </c>
      <c r="Q189" s="24" t="s">
        <v>42</v>
      </c>
      <c r="R189" s="27">
        <v>17.420000000000002</v>
      </c>
      <c r="S189" s="24" t="s">
        <v>43</v>
      </c>
      <c r="T189" s="27">
        <v>1514.18</v>
      </c>
      <c r="U189" s="24" t="s">
        <v>44</v>
      </c>
      <c r="V189" s="23">
        <v>6779224500</v>
      </c>
      <c r="W189" s="24" t="s">
        <v>40</v>
      </c>
      <c r="X189" s="24" t="s">
        <v>38</v>
      </c>
      <c r="Y189" s="23">
        <v>1</v>
      </c>
      <c r="Z189" s="43" t="e" cm="1">
        <f t="array" ref="Z189">_xlfn.XLOOKUP(L189,'Customer Ledger'!$O:$O,'Customer Ledger'!$P:$Q,,0)</f>
        <v>#N/A</v>
      </c>
      <c r="AA189" s="43"/>
      <c r="AB189" s="43"/>
      <c r="AC189" s="23"/>
      <c r="AD189" s="23"/>
      <c r="AE189" s="24" t="s">
        <v>221</v>
      </c>
      <c r="AF189" s="24" t="s">
        <v>40</v>
      </c>
      <c r="AG189" s="24" t="s">
        <v>40</v>
      </c>
      <c r="AH189" s="24" t="s">
        <v>40</v>
      </c>
      <c r="AI189" s="25">
        <v>45763</v>
      </c>
      <c r="AJ189" s="25"/>
      <c r="AK189" s="24" t="s">
        <v>40</v>
      </c>
    </row>
    <row r="190" spans="1:37" x14ac:dyDescent="0.35">
      <c r="A190" s="3" t="s">
        <v>32</v>
      </c>
      <c r="B190" s="3" t="s">
        <v>33</v>
      </c>
      <c r="C190" s="3" t="s">
        <v>34</v>
      </c>
      <c r="D190" s="3" t="s">
        <v>35</v>
      </c>
      <c r="E190" s="3" t="s">
        <v>85</v>
      </c>
      <c r="F190" s="4">
        <v>45763</v>
      </c>
      <c r="G190" s="23">
        <v>1800007174</v>
      </c>
      <c r="H190" s="24" t="s">
        <v>47</v>
      </c>
      <c r="I190" s="25">
        <v>45763</v>
      </c>
      <c r="J190" s="25">
        <v>45764</v>
      </c>
      <c r="K190" s="24" t="s">
        <v>38</v>
      </c>
      <c r="L190" s="26">
        <v>256779412065</v>
      </c>
      <c r="M190" s="23">
        <v>212100</v>
      </c>
      <c r="N190" s="24" t="s">
        <v>39</v>
      </c>
      <c r="O190" s="24" t="s">
        <v>40</v>
      </c>
      <c r="P190" s="23">
        <v>1</v>
      </c>
      <c r="Q190" s="24" t="s">
        <v>42</v>
      </c>
      <c r="R190" s="27">
        <v>18.88</v>
      </c>
      <c r="S190" s="24" t="s">
        <v>43</v>
      </c>
      <c r="T190" s="42">
        <v>1641.08</v>
      </c>
      <c r="U190" s="24" t="s">
        <v>44</v>
      </c>
      <c r="V190" s="23">
        <v>6779224500</v>
      </c>
      <c r="W190" s="24" t="s">
        <v>40</v>
      </c>
      <c r="X190" s="24" t="s">
        <v>38</v>
      </c>
      <c r="Y190" s="23">
        <v>1</v>
      </c>
      <c r="Z190" s="43" cm="1">
        <f t="array" ref="Z190:AA190">_xlfn.XLOOKUP(L190,'Customer Ledger'!$O:$O,'Customer Ledger'!$P:$Q,,0)</f>
        <v>0</v>
      </c>
      <c r="AA190" s="43">
        <v>1584</v>
      </c>
      <c r="AB190" s="43">
        <f t="shared" ref="AB190:AB197" si="45">AA190-Z190</f>
        <v>1584</v>
      </c>
      <c r="AC190" s="43">
        <f t="shared" ref="AC190:AC197" si="46">T190-AB190</f>
        <v>57.079999999999927</v>
      </c>
      <c r="AD190" s="51">
        <f t="shared" ref="AD190:AD197" si="47">AC190/T190</f>
        <v>3.4781972847149394E-2</v>
      </c>
      <c r="AE190" s="24" t="s">
        <v>222</v>
      </c>
      <c r="AF190" s="24" t="s">
        <v>40</v>
      </c>
      <c r="AG190" s="24" t="s">
        <v>40</v>
      </c>
      <c r="AH190" s="24" t="s">
        <v>40</v>
      </c>
      <c r="AI190" s="25">
        <v>45763</v>
      </c>
      <c r="AJ190" s="25"/>
      <c r="AK190" s="24" t="s">
        <v>40</v>
      </c>
    </row>
    <row r="191" spans="1:37" x14ac:dyDescent="0.35">
      <c r="A191" s="3" t="s">
        <v>32</v>
      </c>
      <c r="B191" s="3" t="s">
        <v>33</v>
      </c>
      <c r="C191" s="3" t="s">
        <v>34</v>
      </c>
      <c r="D191" s="3" t="s">
        <v>35</v>
      </c>
      <c r="E191" s="3" t="s">
        <v>85</v>
      </c>
      <c r="F191" s="4">
        <v>45763</v>
      </c>
      <c r="G191" s="23">
        <v>1800007209</v>
      </c>
      <c r="H191" s="24" t="s">
        <v>47</v>
      </c>
      <c r="I191" s="25">
        <v>45763</v>
      </c>
      <c r="J191" s="25">
        <v>45764</v>
      </c>
      <c r="K191" s="24" t="s">
        <v>38</v>
      </c>
      <c r="L191" s="26">
        <v>256779412100</v>
      </c>
      <c r="M191" s="23">
        <v>212100</v>
      </c>
      <c r="N191" s="24" t="s">
        <v>39</v>
      </c>
      <c r="O191" s="24" t="s">
        <v>40</v>
      </c>
      <c r="P191" s="23">
        <v>1</v>
      </c>
      <c r="Q191" s="24" t="s">
        <v>42</v>
      </c>
      <c r="R191" s="27">
        <v>252.98</v>
      </c>
      <c r="S191" s="24" t="s">
        <v>43</v>
      </c>
      <c r="T191" s="42">
        <v>21989.48</v>
      </c>
      <c r="U191" s="24" t="s">
        <v>44</v>
      </c>
      <c r="V191" s="23">
        <v>6779224500</v>
      </c>
      <c r="W191" s="24" t="s">
        <v>40</v>
      </c>
      <c r="X191" s="24" t="s">
        <v>38</v>
      </c>
      <c r="Y191" s="23">
        <v>1</v>
      </c>
      <c r="Z191" s="43" cm="1">
        <f t="array" ref="Z191:AA191">_xlfn.XLOOKUP(L191,'Customer Ledger'!$O:$O,'Customer Ledger'!$P:$Q,,0)</f>
        <v>0</v>
      </c>
      <c r="AA191" s="43">
        <v>21549</v>
      </c>
      <c r="AB191" s="43">
        <f t="shared" si="45"/>
        <v>21549</v>
      </c>
      <c r="AC191" s="43">
        <f t="shared" si="46"/>
        <v>440.47999999999956</v>
      </c>
      <c r="AD191" s="51">
        <f t="shared" si="47"/>
        <v>2.0031396831575808E-2</v>
      </c>
      <c r="AE191" s="24" t="s">
        <v>223</v>
      </c>
      <c r="AF191" s="24" t="s">
        <v>40</v>
      </c>
      <c r="AG191" s="24" t="s">
        <v>40</v>
      </c>
      <c r="AH191" s="24" t="s">
        <v>40</v>
      </c>
      <c r="AI191" s="25">
        <v>45763</v>
      </c>
      <c r="AJ191" s="25"/>
      <c r="AK191" s="24" t="s">
        <v>40</v>
      </c>
    </row>
    <row r="192" spans="1:37" x14ac:dyDescent="0.35">
      <c r="A192" s="3" t="s">
        <v>32</v>
      </c>
      <c r="B192" s="3" t="s">
        <v>33</v>
      </c>
      <c r="C192" s="3" t="s">
        <v>34</v>
      </c>
      <c r="D192" s="3" t="s">
        <v>35</v>
      </c>
      <c r="E192" s="3" t="s">
        <v>85</v>
      </c>
      <c r="F192" s="4">
        <v>45763</v>
      </c>
      <c r="G192" s="23">
        <v>1800007226</v>
      </c>
      <c r="H192" s="24" t="s">
        <v>47</v>
      </c>
      <c r="I192" s="25">
        <v>45763</v>
      </c>
      <c r="J192" s="25">
        <v>45764</v>
      </c>
      <c r="K192" s="24" t="s">
        <v>38</v>
      </c>
      <c r="L192" s="26">
        <v>256779412117</v>
      </c>
      <c r="M192" s="23">
        <v>212100</v>
      </c>
      <c r="N192" s="24" t="s">
        <v>39</v>
      </c>
      <c r="O192" s="24" t="s">
        <v>40</v>
      </c>
      <c r="P192" s="23">
        <v>1</v>
      </c>
      <c r="Q192" s="24" t="s">
        <v>42</v>
      </c>
      <c r="R192" s="27">
        <v>5415.85</v>
      </c>
      <c r="S192" s="24" t="s">
        <v>43</v>
      </c>
      <c r="T192" s="42">
        <v>470755.54</v>
      </c>
      <c r="U192" s="24" t="s">
        <v>44</v>
      </c>
      <c r="V192" s="23">
        <v>6779224500</v>
      </c>
      <c r="W192" s="24" t="s">
        <v>40</v>
      </c>
      <c r="X192" s="24" t="s">
        <v>38</v>
      </c>
      <c r="Y192" s="23">
        <v>1</v>
      </c>
      <c r="Z192" s="43" cm="1">
        <f t="array" ref="Z192:AA192">_xlfn.XLOOKUP(L192,'Customer Ledger'!$O:$O,'Customer Ledger'!$P:$Q,,0)</f>
        <v>0</v>
      </c>
      <c r="AA192" s="43">
        <v>417286</v>
      </c>
      <c r="AB192" s="43">
        <f t="shared" si="45"/>
        <v>417286</v>
      </c>
      <c r="AC192" s="43">
        <f t="shared" si="46"/>
        <v>53469.539999999979</v>
      </c>
      <c r="AD192" s="51">
        <f t="shared" si="47"/>
        <v>0.11358239140425194</v>
      </c>
      <c r="AE192" s="24" t="s">
        <v>224</v>
      </c>
      <c r="AF192" s="24" t="s">
        <v>40</v>
      </c>
      <c r="AG192" s="24" t="s">
        <v>40</v>
      </c>
      <c r="AH192" s="24" t="s">
        <v>40</v>
      </c>
      <c r="AI192" s="25">
        <v>45763</v>
      </c>
      <c r="AJ192" s="25"/>
      <c r="AK192" s="24" t="s">
        <v>40</v>
      </c>
    </row>
    <row r="193" spans="1:37" x14ac:dyDescent="0.35">
      <c r="A193" s="3" t="s">
        <v>32</v>
      </c>
      <c r="B193" s="3" t="s">
        <v>33</v>
      </c>
      <c r="C193" s="3" t="s">
        <v>34</v>
      </c>
      <c r="D193" s="3" t="s">
        <v>35</v>
      </c>
      <c r="E193" s="3" t="s">
        <v>85</v>
      </c>
      <c r="F193" s="4">
        <v>45763</v>
      </c>
      <c r="G193" s="23">
        <v>1800007026</v>
      </c>
      <c r="H193" s="24" t="s">
        <v>47</v>
      </c>
      <c r="I193" s="25">
        <v>45763</v>
      </c>
      <c r="J193" s="25">
        <v>45764</v>
      </c>
      <c r="K193" s="24" t="s">
        <v>38</v>
      </c>
      <c r="L193" s="26">
        <v>256779411917</v>
      </c>
      <c r="M193" s="23">
        <v>212100</v>
      </c>
      <c r="N193" s="24" t="s">
        <v>39</v>
      </c>
      <c r="O193" s="24" t="s">
        <v>40</v>
      </c>
      <c r="P193" s="23">
        <v>1</v>
      </c>
      <c r="Q193" s="24" t="s">
        <v>42</v>
      </c>
      <c r="R193" s="27">
        <v>140</v>
      </c>
      <c r="S193" s="24" t="s">
        <v>43</v>
      </c>
      <c r="T193" s="42">
        <v>12169.05</v>
      </c>
      <c r="U193" s="24" t="s">
        <v>44</v>
      </c>
      <c r="V193" s="23">
        <v>6779224500</v>
      </c>
      <c r="W193" s="24" t="s">
        <v>40</v>
      </c>
      <c r="X193" s="24" t="s">
        <v>38</v>
      </c>
      <c r="Y193" s="23">
        <v>1</v>
      </c>
      <c r="Z193" s="43" cm="1">
        <f t="array" ref="Z193:AA193">_xlfn.XLOOKUP(L193,'Customer Ledger'!$O:$O,'Customer Ledger'!$P:$Q,,0)</f>
        <v>0</v>
      </c>
      <c r="AA193" s="43">
        <v>12169</v>
      </c>
      <c r="AB193" s="43">
        <f t="shared" si="45"/>
        <v>12169</v>
      </c>
      <c r="AC193" s="43">
        <f t="shared" si="46"/>
        <v>4.9999999999272404E-2</v>
      </c>
      <c r="AD193" s="51">
        <f t="shared" si="47"/>
        <v>4.1087841696165604E-6</v>
      </c>
      <c r="AE193" s="24" t="s">
        <v>225</v>
      </c>
      <c r="AF193" s="24" t="s">
        <v>40</v>
      </c>
      <c r="AG193" s="24" t="s">
        <v>40</v>
      </c>
      <c r="AH193" s="24" t="s">
        <v>40</v>
      </c>
      <c r="AI193" s="25">
        <v>45763</v>
      </c>
      <c r="AJ193" s="25">
        <v>45976</v>
      </c>
      <c r="AK193" s="23">
        <v>1400001901</v>
      </c>
    </row>
    <row r="194" spans="1:37" x14ac:dyDescent="0.35">
      <c r="A194" s="3" t="s">
        <v>32</v>
      </c>
      <c r="B194" s="3" t="s">
        <v>33</v>
      </c>
      <c r="C194" s="3" t="s">
        <v>34</v>
      </c>
      <c r="D194" s="3" t="s">
        <v>35</v>
      </c>
      <c r="E194" s="3" t="s">
        <v>36</v>
      </c>
      <c r="F194" s="4">
        <v>45863</v>
      </c>
      <c r="G194" s="23">
        <v>1800011235</v>
      </c>
      <c r="H194" s="24" t="s">
        <v>47</v>
      </c>
      <c r="I194" s="25">
        <v>45863</v>
      </c>
      <c r="J194" s="25">
        <v>45863</v>
      </c>
      <c r="K194" s="24" t="s">
        <v>38</v>
      </c>
      <c r="L194" s="26">
        <v>256779415967</v>
      </c>
      <c r="M194" s="23">
        <v>212100</v>
      </c>
      <c r="N194" s="24" t="s">
        <v>39</v>
      </c>
      <c r="O194" s="24" t="s">
        <v>40</v>
      </c>
      <c r="P194" s="23">
        <v>1</v>
      </c>
      <c r="Q194" s="24" t="s">
        <v>42</v>
      </c>
      <c r="R194" s="27">
        <v>379.76</v>
      </c>
      <c r="S194" s="24" t="s">
        <v>43</v>
      </c>
      <c r="T194" s="42">
        <v>32659.61</v>
      </c>
      <c r="U194" s="24" t="s">
        <v>44</v>
      </c>
      <c r="V194" s="23">
        <v>6779224500</v>
      </c>
      <c r="W194" s="24" t="s">
        <v>40</v>
      </c>
      <c r="X194" s="24" t="s">
        <v>38</v>
      </c>
      <c r="Y194" s="23">
        <v>1</v>
      </c>
      <c r="Z194" s="43" cm="1">
        <f t="array" ref="Z194:AA194">_xlfn.XLOOKUP(L194,'Customer Ledger'!$O:$O,'Customer Ledger'!$P:$Q,,0)</f>
        <v>0</v>
      </c>
      <c r="AA194" s="43">
        <v>32007</v>
      </c>
      <c r="AB194" s="43">
        <f t="shared" si="45"/>
        <v>32007</v>
      </c>
      <c r="AC194" s="43">
        <f t="shared" si="46"/>
        <v>652.61000000000058</v>
      </c>
      <c r="AD194" s="51">
        <f t="shared" si="47"/>
        <v>1.9982173700175861E-2</v>
      </c>
      <c r="AE194" s="24" t="s">
        <v>226</v>
      </c>
      <c r="AF194" s="24" t="s">
        <v>40</v>
      </c>
      <c r="AG194" s="24" t="s">
        <v>40</v>
      </c>
      <c r="AH194" s="24" t="s">
        <v>40</v>
      </c>
      <c r="AI194" s="25">
        <v>45863</v>
      </c>
      <c r="AJ194" s="25"/>
      <c r="AK194" s="24" t="s">
        <v>40</v>
      </c>
    </row>
    <row r="195" spans="1:37" x14ac:dyDescent="0.35">
      <c r="A195" s="3" t="s">
        <v>32</v>
      </c>
      <c r="B195" s="3" t="s">
        <v>33</v>
      </c>
      <c r="C195" s="3" t="s">
        <v>34</v>
      </c>
      <c r="D195" s="3" t="s">
        <v>35</v>
      </c>
      <c r="E195" s="3" t="s">
        <v>36</v>
      </c>
      <c r="F195" s="4">
        <v>45863</v>
      </c>
      <c r="G195" s="23">
        <v>1800011238</v>
      </c>
      <c r="H195" s="24" t="s">
        <v>47</v>
      </c>
      <c r="I195" s="25">
        <v>45863</v>
      </c>
      <c r="J195" s="25">
        <v>45863</v>
      </c>
      <c r="K195" s="24" t="s">
        <v>38</v>
      </c>
      <c r="L195" s="26">
        <v>256779415970</v>
      </c>
      <c r="M195" s="23">
        <v>212100</v>
      </c>
      <c r="N195" s="24" t="s">
        <v>39</v>
      </c>
      <c r="O195" s="24" t="s">
        <v>40</v>
      </c>
      <c r="P195" s="23">
        <v>1</v>
      </c>
      <c r="Q195" s="24" t="s">
        <v>42</v>
      </c>
      <c r="R195" s="27">
        <v>110.92</v>
      </c>
      <c r="S195" s="24" t="s">
        <v>43</v>
      </c>
      <c r="T195" s="42">
        <v>9539.19</v>
      </c>
      <c r="U195" s="24" t="s">
        <v>44</v>
      </c>
      <c r="V195" s="23">
        <v>6779224500</v>
      </c>
      <c r="W195" s="24" t="s">
        <v>40</v>
      </c>
      <c r="X195" s="24" t="s">
        <v>38</v>
      </c>
      <c r="Y195" s="23">
        <v>1</v>
      </c>
      <c r="Z195" s="43" cm="1">
        <f t="array" ref="Z195:AA195">_xlfn.XLOOKUP(L195,'Customer Ledger'!$O:$O,'Customer Ledger'!$P:$Q,,0)</f>
        <v>0</v>
      </c>
      <c r="AA195" s="43">
        <v>9348</v>
      </c>
      <c r="AB195" s="43">
        <f t="shared" si="45"/>
        <v>9348</v>
      </c>
      <c r="AC195" s="43">
        <f t="shared" si="46"/>
        <v>191.19000000000051</v>
      </c>
      <c r="AD195" s="51">
        <f t="shared" si="47"/>
        <v>2.0042582231824767E-2</v>
      </c>
      <c r="AE195" s="24" t="s">
        <v>227</v>
      </c>
      <c r="AF195" s="24" t="s">
        <v>40</v>
      </c>
      <c r="AG195" s="24" t="s">
        <v>40</v>
      </c>
      <c r="AH195" s="24" t="s">
        <v>40</v>
      </c>
      <c r="AI195" s="25">
        <v>45863</v>
      </c>
      <c r="AJ195" s="25"/>
      <c r="AK195" s="24" t="s">
        <v>40</v>
      </c>
    </row>
    <row r="196" spans="1:37" x14ac:dyDescent="0.35">
      <c r="A196" s="3" t="s">
        <v>32</v>
      </c>
      <c r="B196" s="3" t="s">
        <v>33</v>
      </c>
      <c r="C196" s="3" t="s">
        <v>34</v>
      </c>
      <c r="D196" s="3" t="s">
        <v>35</v>
      </c>
      <c r="E196" s="3" t="s">
        <v>36</v>
      </c>
      <c r="F196" s="4">
        <v>45863</v>
      </c>
      <c r="G196" s="23">
        <v>1800011263</v>
      </c>
      <c r="H196" s="24" t="s">
        <v>47</v>
      </c>
      <c r="I196" s="25">
        <v>45863</v>
      </c>
      <c r="J196" s="25">
        <v>45863</v>
      </c>
      <c r="K196" s="24" t="s">
        <v>38</v>
      </c>
      <c r="L196" s="26">
        <v>256779415995</v>
      </c>
      <c r="M196" s="23">
        <v>212100</v>
      </c>
      <c r="N196" s="24" t="s">
        <v>39</v>
      </c>
      <c r="O196" s="24" t="s">
        <v>40</v>
      </c>
      <c r="P196" s="23">
        <v>1</v>
      </c>
      <c r="Q196" s="24" t="s">
        <v>42</v>
      </c>
      <c r="R196" s="27">
        <v>2.34</v>
      </c>
      <c r="S196" s="24" t="s">
        <v>43</v>
      </c>
      <c r="T196" s="42">
        <v>201.24</v>
      </c>
      <c r="U196" s="24" t="s">
        <v>44</v>
      </c>
      <c r="V196" s="23">
        <v>6779224500</v>
      </c>
      <c r="W196" s="24" t="s">
        <v>40</v>
      </c>
      <c r="X196" s="24" t="s">
        <v>38</v>
      </c>
      <c r="Y196" s="23">
        <v>1</v>
      </c>
      <c r="Z196" s="43" cm="1">
        <f t="array" ref="Z196:AA196">_xlfn.XLOOKUP(L196,'Customer Ledger'!$O:$O,'Customer Ledger'!$P:$Q,,0)</f>
        <v>0</v>
      </c>
      <c r="AA196" s="43">
        <v>196</v>
      </c>
      <c r="AB196" s="43">
        <f t="shared" si="45"/>
        <v>196</v>
      </c>
      <c r="AC196" s="43">
        <f t="shared" si="46"/>
        <v>5.2400000000000091</v>
      </c>
      <c r="AD196" s="51">
        <f t="shared" si="47"/>
        <v>2.6038560922281895E-2</v>
      </c>
      <c r="AE196" s="24" t="s">
        <v>228</v>
      </c>
      <c r="AF196" s="24" t="s">
        <v>40</v>
      </c>
      <c r="AG196" s="24" t="s">
        <v>40</v>
      </c>
      <c r="AH196" s="24" t="s">
        <v>40</v>
      </c>
      <c r="AI196" s="25">
        <v>45863</v>
      </c>
      <c r="AJ196" s="25"/>
      <c r="AK196" s="24" t="s">
        <v>40</v>
      </c>
    </row>
    <row r="197" spans="1:37" x14ac:dyDescent="0.35">
      <c r="A197" s="3" t="s">
        <v>32</v>
      </c>
      <c r="B197" s="3" t="s">
        <v>33</v>
      </c>
      <c r="C197" s="3" t="s">
        <v>34</v>
      </c>
      <c r="D197" s="3" t="s">
        <v>35</v>
      </c>
      <c r="E197" s="3" t="s">
        <v>114</v>
      </c>
      <c r="F197" s="4">
        <v>45730</v>
      </c>
      <c r="G197" s="23">
        <v>1800001783</v>
      </c>
      <c r="H197" s="24" t="s">
        <v>47</v>
      </c>
      <c r="I197" s="25">
        <v>45730</v>
      </c>
      <c r="J197" s="25">
        <v>45733</v>
      </c>
      <c r="K197" s="24" t="s">
        <v>38</v>
      </c>
      <c r="L197" s="26">
        <v>246779411448</v>
      </c>
      <c r="M197" s="23">
        <v>212100</v>
      </c>
      <c r="N197" s="24" t="s">
        <v>39</v>
      </c>
      <c r="O197" s="24" t="s">
        <v>40</v>
      </c>
      <c r="P197" s="23">
        <v>1</v>
      </c>
      <c r="Q197" s="24" t="s">
        <v>42</v>
      </c>
      <c r="R197" s="27">
        <v>14.31</v>
      </c>
      <c r="S197" s="24" t="s">
        <v>43</v>
      </c>
      <c r="T197" s="42">
        <v>1240.55</v>
      </c>
      <c r="U197" s="24" t="s">
        <v>44</v>
      </c>
      <c r="V197" s="23">
        <v>6779224500</v>
      </c>
      <c r="W197" s="24" t="s">
        <v>40</v>
      </c>
      <c r="X197" s="24" t="s">
        <v>38</v>
      </c>
      <c r="Y197" s="23">
        <v>1</v>
      </c>
      <c r="Z197" s="43" cm="1">
        <f t="array" ref="Z197:AA197">_xlfn.XLOOKUP(L197,'Customer Ledger'!$O:$O,'Customer Ledger'!$P:$Q,,0)</f>
        <v>0</v>
      </c>
      <c r="AA197" s="43">
        <v>1161</v>
      </c>
      <c r="AB197" s="43">
        <f t="shared" si="45"/>
        <v>1161</v>
      </c>
      <c r="AC197" s="43">
        <f t="shared" si="46"/>
        <v>79.549999999999955</v>
      </c>
      <c r="AD197" s="51">
        <f t="shared" si="47"/>
        <v>6.4124783362218343E-2</v>
      </c>
      <c r="AE197" s="24" t="s">
        <v>229</v>
      </c>
      <c r="AF197" s="24" t="s">
        <v>40</v>
      </c>
      <c r="AG197" s="24" t="s">
        <v>40</v>
      </c>
      <c r="AH197" s="24" t="s">
        <v>40</v>
      </c>
      <c r="AI197" s="25">
        <v>45730</v>
      </c>
      <c r="AJ197" s="25"/>
      <c r="AK197" s="24" t="s">
        <v>40</v>
      </c>
    </row>
    <row r="198" spans="1:37" x14ac:dyDescent="0.35">
      <c r="A198" s="3" t="s">
        <v>32</v>
      </c>
      <c r="B198" s="3" t="s">
        <v>33</v>
      </c>
      <c r="C198" s="3" t="s">
        <v>34</v>
      </c>
      <c r="D198" s="3" t="s">
        <v>35</v>
      </c>
      <c r="E198" s="3" t="s">
        <v>114</v>
      </c>
      <c r="F198" s="4">
        <v>45730</v>
      </c>
      <c r="G198" s="23">
        <v>1800001580</v>
      </c>
      <c r="H198" s="24" t="s">
        <v>47</v>
      </c>
      <c r="I198" s="25">
        <v>45730</v>
      </c>
      <c r="J198" s="25">
        <v>45735</v>
      </c>
      <c r="K198" s="24" t="s">
        <v>38</v>
      </c>
      <c r="L198" s="26">
        <v>246779412237</v>
      </c>
      <c r="M198" s="23">
        <v>212100</v>
      </c>
      <c r="N198" s="24" t="s">
        <v>39</v>
      </c>
      <c r="O198" s="24" t="s">
        <v>40</v>
      </c>
      <c r="P198" s="23">
        <v>1</v>
      </c>
      <c r="Q198" s="24" t="s">
        <v>42</v>
      </c>
      <c r="R198" s="27">
        <v>14.31</v>
      </c>
      <c r="S198" s="24" t="s">
        <v>43</v>
      </c>
      <c r="T198" s="27">
        <v>1240.55</v>
      </c>
      <c r="U198" s="24" t="s">
        <v>44</v>
      </c>
      <c r="V198" s="23">
        <v>6779224500</v>
      </c>
      <c r="W198" s="24" t="s">
        <v>40</v>
      </c>
      <c r="X198" s="24" t="s">
        <v>38</v>
      </c>
      <c r="Y198" s="23">
        <v>1</v>
      </c>
      <c r="Z198" s="43" t="e" cm="1">
        <f t="array" ref="Z198">_xlfn.XLOOKUP(L198,'Customer Ledger'!$O:$O,'Customer Ledger'!$P:$Q,,0)</f>
        <v>#N/A</v>
      </c>
      <c r="AA198" s="43"/>
      <c r="AB198" s="43"/>
      <c r="AC198" s="23"/>
      <c r="AD198" s="23"/>
      <c r="AE198" s="24" t="s">
        <v>229</v>
      </c>
      <c r="AF198" s="24" t="s">
        <v>40</v>
      </c>
      <c r="AG198" s="24" t="s">
        <v>40</v>
      </c>
      <c r="AH198" s="24" t="s">
        <v>40</v>
      </c>
      <c r="AI198" s="25">
        <v>45730</v>
      </c>
      <c r="AJ198" s="25">
        <v>45842</v>
      </c>
      <c r="AK198" s="23">
        <v>1400000245</v>
      </c>
    </row>
    <row r="199" spans="1:37" x14ac:dyDescent="0.35">
      <c r="A199" s="3" t="s">
        <v>32</v>
      </c>
      <c r="B199" s="3" t="s">
        <v>33</v>
      </c>
      <c r="C199" s="3" t="s">
        <v>34</v>
      </c>
      <c r="D199" s="3" t="s">
        <v>35</v>
      </c>
      <c r="E199" s="3" t="s">
        <v>135</v>
      </c>
      <c r="F199" s="4">
        <v>45904</v>
      </c>
      <c r="G199" s="23">
        <v>1800012275</v>
      </c>
      <c r="H199" s="24" t="s">
        <v>47</v>
      </c>
      <c r="I199" s="25">
        <v>45904</v>
      </c>
      <c r="J199" s="25">
        <v>45908</v>
      </c>
      <c r="K199" s="24" t="s">
        <v>38</v>
      </c>
      <c r="L199" s="26">
        <v>256779416911</v>
      </c>
      <c r="M199" s="23">
        <v>212100</v>
      </c>
      <c r="N199" s="24" t="s">
        <v>39</v>
      </c>
      <c r="O199" s="24" t="s">
        <v>40</v>
      </c>
      <c r="P199" s="23">
        <v>1</v>
      </c>
      <c r="Q199" s="24" t="s">
        <v>42</v>
      </c>
      <c r="R199" s="27">
        <v>40.85</v>
      </c>
      <c r="S199" s="24" t="s">
        <v>43</v>
      </c>
      <c r="T199" s="42">
        <v>3574.96</v>
      </c>
      <c r="U199" s="24" t="s">
        <v>44</v>
      </c>
      <c r="V199" s="23">
        <v>6779224500</v>
      </c>
      <c r="W199" s="24" t="s">
        <v>40</v>
      </c>
      <c r="X199" s="24" t="s">
        <v>38</v>
      </c>
      <c r="Y199" s="23">
        <v>1</v>
      </c>
      <c r="Z199" s="43" cm="1">
        <f t="array" ref="Z199:AA199">_xlfn.XLOOKUP(L199,'Customer Ledger'!$O:$O,'Customer Ledger'!$P:$Q,,0)</f>
        <v>0</v>
      </c>
      <c r="AA199" s="43">
        <v>3487.4461000000001</v>
      </c>
      <c r="AB199" s="43">
        <f t="shared" ref="AB199:AB203" si="48">AA199-Z199</f>
        <v>3487.4461000000001</v>
      </c>
      <c r="AC199" s="43">
        <f t="shared" ref="AC199:AC203" si="49">T199-AB199</f>
        <v>87.513899999999921</v>
      </c>
      <c r="AD199" s="51">
        <f t="shared" ref="AD199:AD203" si="50">AC199/T199</f>
        <v>2.4479686486002617E-2</v>
      </c>
      <c r="AE199" s="24" t="s">
        <v>230</v>
      </c>
      <c r="AF199" s="24" t="s">
        <v>40</v>
      </c>
      <c r="AG199" s="24" t="s">
        <v>40</v>
      </c>
      <c r="AH199" s="24" t="s">
        <v>40</v>
      </c>
      <c r="AI199" s="25">
        <v>45904</v>
      </c>
      <c r="AJ199" s="25"/>
      <c r="AK199" s="24" t="s">
        <v>40</v>
      </c>
    </row>
    <row r="200" spans="1:37" x14ac:dyDescent="0.35">
      <c r="A200" s="3" t="s">
        <v>32</v>
      </c>
      <c r="B200" s="3" t="s">
        <v>33</v>
      </c>
      <c r="C200" s="3" t="s">
        <v>34</v>
      </c>
      <c r="D200" s="3" t="s">
        <v>35</v>
      </c>
      <c r="E200" s="3" t="s">
        <v>135</v>
      </c>
      <c r="F200" s="4">
        <v>45904</v>
      </c>
      <c r="G200" s="23">
        <v>1800012286</v>
      </c>
      <c r="H200" s="24" t="s">
        <v>47</v>
      </c>
      <c r="I200" s="25">
        <v>45904</v>
      </c>
      <c r="J200" s="25">
        <v>45908</v>
      </c>
      <c r="K200" s="24" t="s">
        <v>38</v>
      </c>
      <c r="L200" s="26">
        <v>256779416948</v>
      </c>
      <c r="M200" s="23">
        <v>212100</v>
      </c>
      <c r="N200" s="24" t="s">
        <v>39</v>
      </c>
      <c r="O200" s="24" t="s">
        <v>40</v>
      </c>
      <c r="P200" s="23">
        <v>1</v>
      </c>
      <c r="Q200" s="24" t="s">
        <v>42</v>
      </c>
      <c r="R200" s="27">
        <v>14.1</v>
      </c>
      <c r="S200" s="24" t="s">
        <v>43</v>
      </c>
      <c r="T200" s="42">
        <v>1233.95</v>
      </c>
      <c r="U200" s="24" t="s">
        <v>44</v>
      </c>
      <c r="V200" s="23">
        <v>6779224500</v>
      </c>
      <c r="W200" s="24" t="s">
        <v>40</v>
      </c>
      <c r="X200" s="24" t="s">
        <v>38</v>
      </c>
      <c r="Y200" s="23">
        <v>1</v>
      </c>
      <c r="Z200" s="43" cm="1">
        <f t="array" ref="Z200:AA200">_xlfn.XLOOKUP(L200,'Customer Ledger'!$O:$O,'Customer Ledger'!$P:$Q,,0)</f>
        <v>0</v>
      </c>
      <c r="AA200" s="43">
        <v>1233.9521</v>
      </c>
      <c r="AB200" s="43">
        <f t="shared" si="48"/>
        <v>1233.9521</v>
      </c>
      <c r="AC200" s="43">
        <f t="shared" si="49"/>
        <v>-2.0999999999276042E-3</v>
      </c>
      <c r="AD200" s="51">
        <f t="shared" si="50"/>
        <v>-1.7018517767556255E-6</v>
      </c>
      <c r="AE200" s="24" t="s">
        <v>231</v>
      </c>
      <c r="AF200" s="24" t="s">
        <v>40</v>
      </c>
      <c r="AG200" s="24" t="s">
        <v>40</v>
      </c>
      <c r="AH200" s="24" t="s">
        <v>40</v>
      </c>
      <c r="AI200" s="25">
        <v>45904</v>
      </c>
      <c r="AJ200" s="25"/>
      <c r="AK200" s="24" t="s">
        <v>40</v>
      </c>
    </row>
    <row r="201" spans="1:37" x14ac:dyDescent="0.35">
      <c r="A201" s="3" t="s">
        <v>32</v>
      </c>
      <c r="B201" s="3" t="s">
        <v>33</v>
      </c>
      <c r="C201" s="3" t="s">
        <v>34</v>
      </c>
      <c r="D201" s="3" t="s">
        <v>35</v>
      </c>
      <c r="E201" s="3" t="s">
        <v>135</v>
      </c>
      <c r="F201" s="4">
        <v>45904</v>
      </c>
      <c r="G201" s="23">
        <v>1800012460</v>
      </c>
      <c r="H201" s="24" t="s">
        <v>47</v>
      </c>
      <c r="I201" s="25">
        <v>45904</v>
      </c>
      <c r="J201" s="25">
        <v>45909</v>
      </c>
      <c r="K201" s="24" t="s">
        <v>38</v>
      </c>
      <c r="L201" s="26">
        <v>256779417160</v>
      </c>
      <c r="M201" s="23">
        <v>212100</v>
      </c>
      <c r="N201" s="24" t="s">
        <v>39</v>
      </c>
      <c r="O201" s="24" t="s">
        <v>40</v>
      </c>
      <c r="P201" s="23">
        <v>1</v>
      </c>
      <c r="Q201" s="24" t="s">
        <v>42</v>
      </c>
      <c r="R201" s="27">
        <v>14.25</v>
      </c>
      <c r="S201" s="24" t="s">
        <v>43</v>
      </c>
      <c r="T201" s="42">
        <v>1247.08</v>
      </c>
      <c r="U201" s="24" t="s">
        <v>44</v>
      </c>
      <c r="V201" s="23">
        <v>6779224500</v>
      </c>
      <c r="W201" s="24" t="s">
        <v>40</v>
      </c>
      <c r="X201" s="24" t="s">
        <v>38</v>
      </c>
      <c r="Y201" s="23">
        <v>1</v>
      </c>
      <c r="Z201" s="43" cm="1">
        <f t="array" ref="Z201:AA201">_xlfn.XLOOKUP(L201,'Customer Ledger'!$O:$O,'Customer Ledger'!$P:$Q,,0)</f>
        <v>0</v>
      </c>
      <c r="AA201" s="43">
        <v>1247.0791999999999</v>
      </c>
      <c r="AB201" s="43">
        <f t="shared" si="48"/>
        <v>1247.0791999999999</v>
      </c>
      <c r="AC201" s="43">
        <f t="shared" si="49"/>
        <v>8.0000000002655725E-4</v>
      </c>
      <c r="AD201" s="51">
        <f t="shared" si="50"/>
        <v>6.4149854061211568E-7</v>
      </c>
      <c r="AE201" s="24" t="s">
        <v>232</v>
      </c>
      <c r="AF201" s="24" t="s">
        <v>40</v>
      </c>
      <c r="AG201" s="24" t="s">
        <v>40</v>
      </c>
      <c r="AH201" s="24" t="s">
        <v>40</v>
      </c>
      <c r="AI201" s="25">
        <v>45904</v>
      </c>
      <c r="AJ201" s="25"/>
      <c r="AK201" s="24" t="s">
        <v>40</v>
      </c>
    </row>
    <row r="202" spans="1:37" x14ac:dyDescent="0.35">
      <c r="A202" s="3" t="s">
        <v>32</v>
      </c>
      <c r="B202" s="3" t="s">
        <v>33</v>
      </c>
      <c r="C202" s="3" t="s">
        <v>34</v>
      </c>
      <c r="D202" s="3" t="s">
        <v>35</v>
      </c>
      <c r="E202" s="3" t="s">
        <v>135</v>
      </c>
      <c r="F202" s="4">
        <v>45904</v>
      </c>
      <c r="G202" s="23">
        <v>1800012493</v>
      </c>
      <c r="H202" s="24" t="s">
        <v>47</v>
      </c>
      <c r="I202" s="25">
        <v>45904</v>
      </c>
      <c r="J202" s="25">
        <v>45909</v>
      </c>
      <c r="K202" s="24" t="s">
        <v>38</v>
      </c>
      <c r="L202" s="26">
        <v>256779417166</v>
      </c>
      <c r="M202" s="23">
        <v>212100</v>
      </c>
      <c r="N202" s="24" t="s">
        <v>39</v>
      </c>
      <c r="O202" s="24" t="s">
        <v>40</v>
      </c>
      <c r="P202" s="23">
        <v>1</v>
      </c>
      <c r="Q202" s="24" t="s">
        <v>42</v>
      </c>
      <c r="R202" s="27">
        <v>760.25</v>
      </c>
      <c r="S202" s="24" t="s">
        <v>43</v>
      </c>
      <c r="T202" s="42">
        <v>66532.77</v>
      </c>
      <c r="U202" s="24" t="s">
        <v>44</v>
      </c>
      <c r="V202" s="23">
        <v>6779224500</v>
      </c>
      <c r="W202" s="24" t="s">
        <v>40</v>
      </c>
      <c r="X202" s="24" t="s">
        <v>38</v>
      </c>
      <c r="Y202" s="23">
        <v>1</v>
      </c>
      <c r="Z202" s="43" cm="1">
        <f t="array" ref="Z202:AA202">_xlfn.XLOOKUP(L202,'Customer Ledger'!$O:$O,'Customer Ledger'!$P:$Q,,0)</f>
        <v>0</v>
      </c>
      <c r="AA202" s="43">
        <v>59881.6803</v>
      </c>
      <c r="AB202" s="43">
        <f t="shared" si="48"/>
        <v>59881.6803</v>
      </c>
      <c r="AC202" s="43">
        <f t="shared" si="49"/>
        <v>6651.0897000000041</v>
      </c>
      <c r="AD202" s="51">
        <f t="shared" si="50"/>
        <v>9.9967124471144128E-2</v>
      </c>
      <c r="AE202" s="24" t="s">
        <v>233</v>
      </c>
      <c r="AF202" s="24" t="s">
        <v>40</v>
      </c>
      <c r="AG202" s="24" t="s">
        <v>40</v>
      </c>
      <c r="AH202" s="24" t="s">
        <v>40</v>
      </c>
      <c r="AI202" s="25">
        <v>45904</v>
      </c>
      <c r="AJ202" s="25"/>
      <c r="AK202" s="24" t="s">
        <v>40</v>
      </c>
    </row>
    <row r="203" spans="1:37" x14ac:dyDescent="0.35">
      <c r="A203" s="3" t="s">
        <v>32</v>
      </c>
      <c r="B203" s="3" t="s">
        <v>33</v>
      </c>
      <c r="C203" s="3" t="s">
        <v>34</v>
      </c>
      <c r="D203" s="3" t="s">
        <v>35</v>
      </c>
      <c r="E203" s="3" t="s">
        <v>135</v>
      </c>
      <c r="F203" s="4">
        <v>45904</v>
      </c>
      <c r="G203" s="23">
        <v>1800012554</v>
      </c>
      <c r="H203" s="24" t="s">
        <v>47</v>
      </c>
      <c r="I203" s="25">
        <v>45904</v>
      </c>
      <c r="J203" s="25">
        <v>45909</v>
      </c>
      <c r="K203" s="24" t="s">
        <v>38</v>
      </c>
      <c r="L203" s="26">
        <v>256779417173</v>
      </c>
      <c r="M203" s="23">
        <v>212100</v>
      </c>
      <c r="N203" s="24" t="s">
        <v>39</v>
      </c>
      <c r="O203" s="24" t="s">
        <v>40</v>
      </c>
      <c r="P203" s="23">
        <v>1</v>
      </c>
      <c r="Q203" s="24" t="s">
        <v>42</v>
      </c>
      <c r="R203" s="27">
        <v>743.54</v>
      </c>
      <c r="S203" s="24" t="s">
        <v>43</v>
      </c>
      <c r="T203" s="42">
        <v>65070.400000000001</v>
      </c>
      <c r="U203" s="24" t="s">
        <v>44</v>
      </c>
      <c r="V203" s="23">
        <v>6779224500</v>
      </c>
      <c r="W203" s="24" t="s">
        <v>40</v>
      </c>
      <c r="X203" s="24" t="s">
        <v>38</v>
      </c>
      <c r="Y203" s="23">
        <v>1</v>
      </c>
      <c r="Z203" s="43" cm="1">
        <f t="array" ref="Z203:AA203">_xlfn.XLOOKUP(L203,'Customer Ledger'!$O:$O,'Customer Ledger'!$P:$Q,,0)</f>
        <v>0</v>
      </c>
      <c r="AA203" s="43">
        <v>58594.344499999999</v>
      </c>
      <c r="AB203" s="43">
        <f t="shared" si="48"/>
        <v>58594.344499999999</v>
      </c>
      <c r="AC203" s="43">
        <f t="shared" si="49"/>
        <v>6476.0555000000022</v>
      </c>
      <c r="AD203" s="51">
        <f t="shared" si="50"/>
        <v>9.9523831112149339E-2</v>
      </c>
      <c r="AE203" s="24" t="s">
        <v>234</v>
      </c>
      <c r="AF203" s="24" t="s">
        <v>40</v>
      </c>
      <c r="AG203" s="24" t="s">
        <v>40</v>
      </c>
      <c r="AH203" s="24" t="s">
        <v>40</v>
      </c>
      <c r="AI203" s="25">
        <v>45904</v>
      </c>
      <c r="AJ203" s="25"/>
      <c r="AK203" s="24" t="s">
        <v>40</v>
      </c>
    </row>
    <row r="204" spans="1:37" x14ac:dyDescent="0.35">
      <c r="A204" s="3" t="s">
        <v>32</v>
      </c>
      <c r="B204" s="3" t="s">
        <v>33</v>
      </c>
      <c r="C204" s="3" t="s">
        <v>34</v>
      </c>
      <c r="D204" s="3" t="s">
        <v>35</v>
      </c>
      <c r="E204" s="3" t="s">
        <v>135</v>
      </c>
      <c r="F204" s="4">
        <v>45904</v>
      </c>
      <c r="G204" s="23">
        <v>1800012586</v>
      </c>
      <c r="H204" s="24" t="s">
        <v>47</v>
      </c>
      <c r="I204" s="25">
        <v>45904</v>
      </c>
      <c r="J204" s="25">
        <v>45909</v>
      </c>
      <c r="K204" s="24" t="s">
        <v>38</v>
      </c>
      <c r="L204" s="26">
        <v>256779417244</v>
      </c>
      <c r="M204" s="23">
        <v>212100</v>
      </c>
      <c r="N204" s="24" t="s">
        <v>39</v>
      </c>
      <c r="O204" s="24" t="s">
        <v>40</v>
      </c>
      <c r="P204" s="23">
        <v>1</v>
      </c>
      <c r="Q204" s="24" t="s">
        <v>42</v>
      </c>
      <c r="R204" s="27">
        <v>685.41</v>
      </c>
      <c r="S204" s="24" t="s">
        <v>43</v>
      </c>
      <c r="T204" s="27">
        <v>59983.199999999997</v>
      </c>
      <c r="U204" s="24" t="s">
        <v>44</v>
      </c>
      <c r="V204" s="23">
        <v>6779224500</v>
      </c>
      <c r="W204" s="24" t="s">
        <v>40</v>
      </c>
      <c r="X204" s="24" t="s">
        <v>38</v>
      </c>
      <c r="Y204" s="23">
        <v>1</v>
      </c>
      <c r="Z204" s="43" t="e" cm="1">
        <f t="array" ref="Z204">_xlfn.XLOOKUP(L204,'Customer Ledger'!$O:$O,'Customer Ledger'!$P:$Q,,0)</f>
        <v>#N/A</v>
      </c>
      <c r="AA204" s="43"/>
      <c r="AB204" s="43"/>
      <c r="AC204" s="23"/>
      <c r="AD204" s="23"/>
      <c r="AE204" s="24" t="s">
        <v>235</v>
      </c>
      <c r="AF204" s="24" t="s">
        <v>40</v>
      </c>
      <c r="AG204" s="24" t="s">
        <v>40</v>
      </c>
      <c r="AH204" s="24" t="s">
        <v>40</v>
      </c>
      <c r="AI204" s="25">
        <v>45904</v>
      </c>
      <c r="AJ204" s="25"/>
      <c r="AK204" s="24" t="s">
        <v>40</v>
      </c>
    </row>
    <row r="205" spans="1:37" x14ac:dyDescent="0.35">
      <c r="A205" s="3" t="s">
        <v>32</v>
      </c>
      <c r="B205" s="3" t="s">
        <v>33</v>
      </c>
      <c r="C205" s="3" t="s">
        <v>34</v>
      </c>
      <c r="D205" s="3" t="s">
        <v>35</v>
      </c>
      <c r="E205" s="3" t="s">
        <v>135</v>
      </c>
      <c r="F205" s="4">
        <v>45904</v>
      </c>
      <c r="G205" s="23">
        <v>1800012603</v>
      </c>
      <c r="H205" s="24" t="s">
        <v>47</v>
      </c>
      <c r="I205" s="25">
        <v>45904</v>
      </c>
      <c r="J205" s="25">
        <v>45909</v>
      </c>
      <c r="K205" s="24" t="s">
        <v>38</v>
      </c>
      <c r="L205" s="26">
        <v>256779417261</v>
      </c>
      <c r="M205" s="23">
        <v>212100</v>
      </c>
      <c r="N205" s="24" t="s">
        <v>39</v>
      </c>
      <c r="O205" s="24" t="s">
        <v>40</v>
      </c>
      <c r="P205" s="23">
        <v>1</v>
      </c>
      <c r="Q205" s="24" t="s">
        <v>42</v>
      </c>
      <c r="R205" s="27">
        <v>22.77</v>
      </c>
      <c r="S205" s="24" t="s">
        <v>43</v>
      </c>
      <c r="T205" s="42">
        <v>1992.7</v>
      </c>
      <c r="U205" s="24" t="s">
        <v>44</v>
      </c>
      <c r="V205" s="23">
        <v>6779224500</v>
      </c>
      <c r="W205" s="24" t="s">
        <v>40</v>
      </c>
      <c r="X205" s="24" t="s">
        <v>38</v>
      </c>
      <c r="Y205" s="23">
        <v>1</v>
      </c>
      <c r="Z205" s="43" cm="1">
        <f t="array" ref="Z205:AA205">_xlfn.XLOOKUP(L205,'Customer Ledger'!$O:$O,'Customer Ledger'!$P:$Q,,0)</f>
        <v>0</v>
      </c>
      <c r="AA205" s="43">
        <v>1992.7012</v>
      </c>
      <c r="AB205" s="43">
        <f t="shared" ref="AB205:AB214" si="51">AA205-Z205</f>
        <v>1992.7012</v>
      </c>
      <c r="AC205" s="43">
        <f t="shared" ref="AC205:AC214" si="52">T205-AB205</f>
        <v>-1.199999999926149E-3</v>
      </c>
      <c r="AD205" s="51">
        <f t="shared" ref="AD205:AD214" si="53">AC205/T205</f>
        <v>-6.0219802274609781E-7</v>
      </c>
      <c r="AE205" s="24" t="s">
        <v>236</v>
      </c>
      <c r="AF205" s="24" t="s">
        <v>40</v>
      </c>
      <c r="AG205" s="24" t="s">
        <v>40</v>
      </c>
      <c r="AH205" s="24" t="s">
        <v>40</v>
      </c>
      <c r="AI205" s="25">
        <v>45904</v>
      </c>
      <c r="AJ205" s="25"/>
      <c r="AK205" s="24" t="s">
        <v>40</v>
      </c>
    </row>
    <row r="206" spans="1:37" x14ac:dyDescent="0.35">
      <c r="A206" s="3" t="s">
        <v>32</v>
      </c>
      <c r="B206" s="3" t="s">
        <v>33</v>
      </c>
      <c r="C206" s="3" t="s">
        <v>34</v>
      </c>
      <c r="D206" s="3" t="s">
        <v>35</v>
      </c>
      <c r="E206" s="3" t="s">
        <v>135</v>
      </c>
      <c r="F206" s="4">
        <v>45904</v>
      </c>
      <c r="G206" s="23">
        <v>1800012646</v>
      </c>
      <c r="H206" s="24" t="s">
        <v>47</v>
      </c>
      <c r="I206" s="25">
        <v>45904</v>
      </c>
      <c r="J206" s="25">
        <v>45909</v>
      </c>
      <c r="K206" s="24" t="s">
        <v>38</v>
      </c>
      <c r="L206" s="26">
        <v>256779417286</v>
      </c>
      <c r="M206" s="23">
        <v>212100</v>
      </c>
      <c r="N206" s="24" t="s">
        <v>39</v>
      </c>
      <c r="O206" s="24" t="s">
        <v>40</v>
      </c>
      <c r="P206" s="23">
        <v>1</v>
      </c>
      <c r="Q206" s="24" t="s">
        <v>42</v>
      </c>
      <c r="R206" s="27">
        <v>1050.9000000000001</v>
      </c>
      <c r="S206" s="24" t="s">
        <v>43</v>
      </c>
      <c r="T206" s="42">
        <v>91968.81</v>
      </c>
      <c r="U206" s="24" t="s">
        <v>44</v>
      </c>
      <c r="V206" s="23">
        <v>6779224500</v>
      </c>
      <c r="W206" s="24" t="s">
        <v>40</v>
      </c>
      <c r="X206" s="24" t="s">
        <v>38</v>
      </c>
      <c r="Y206" s="23">
        <v>1</v>
      </c>
      <c r="Z206" s="43" cm="1">
        <f t="array" ref="Z206:AA206">_xlfn.XLOOKUP(L206,'Customer Ledger'!$O:$O,'Customer Ledger'!$P:$Q,,0)</f>
        <v>0</v>
      </c>
      <c r="AA206" s="43">
        <v>90131.008499999996</v>
      </c>
      <c r="AB206" s="43">
        <f t="shared" si="51"/>
        <v>90131.008499999996</v>
      </c>
      <c r="AC206" s="43">
        <f t="shared" si="52"/>
        <v>1837.8015000000014</v>
      </c>
      <c r="AD206" s="51">
        <f t="shared" si="53"/>
        <v>1.998287789088498E-2</v>
      </c>
      <c r="AE206" s="24" t="s">
        <v>237</v>
      </c>
      <c r="AF206" s="24" t="s">
        <v>40</v>
      </c>
      <c r="AG206" s="24" t="s">
        <v>40</v>
      </c>
      <c r="AH206" s="24" t="s">
        <v>40</v>
      </c>
      <c r="AI206" s="25">
        <v>45904</v>
      </c>
      <c r="AJ206" s="25"/>
      <c r="AK206" s="24" t="s">
        <v>40</v>
      </c>
    </row>
    <row r="207" spans="1:37" x14ac:dyDescent="0.35">
      <c r="A207" s="3" t="s">
        <v>32</v>
      </c>
      <c r="B207" s="3" t="s">
        <v>33</v>
      </c>
      <c r="C207" s="3" t="s">
        <v>34</v>
      </c>
      <c r="D207" s="3" t="s">
        <v>35</v>
      </c>
      <c r="E207" s="3" t="s">
        <v>135</v>
      </c>
      <c r="F207" s="4">
        <v>45904</v>
      </c>
      <c r="G207" s="23">
        <v>1800012684</v>
      </c>
      <c r="H207" s="24" t="s">
        <v>47</v>
      </c>
      <c r="I207" s="25">
        <v>45904</v>
      </c>
      <c r="J207" s="25">
        <v>45909</v>
      </c>
      <c r="K207" s="24" t="s">
        <v>38</v>
      </c>
      <c r="L207" s="26">
        <v>256779417324</v>
      </c>
      <c r="M207" s="23">
        <v>212100</v>
      </c>
      <c r="N207" s="24" t="s">
        <v>39</v>
      </c>
      <c r="O207" s="24" t="s">
        <v>40</v>
      </c>
      <c r="P207" s="23">
        <v>1</v>
      </c>
      <c r="Q207" s="24" t="s">
        <v>42</v>
      </c>
      <c r="R207" s="27">
        <v>49.35</v>
      </c>
      <c r="S207" s="24" t="s">
        <v>43</v>
      </c>
      <c r="T207" s="42">
        <v>4318.83</v>
      </c>
      <c r="U207" s="24" t="s">
        <v>44</v>
      </c>
      <c r="V207" s="23">
        <v>6779224500</v>
      </c>
      <c r="W207" s="24" t="s">
        <v>40</v>
      </c>
      <c r="X207" s="23">
        <v>2096996</v>
      </c>
      <c r="Y207" s="23">
        <v>1</v>
      </c>
      <c r="Z207" s="43" cm="1">
        <f t="array" ref="Z207:AA207">_xlfn.XLOOKUP(L207,'Customer Ledger'!$O:$O,'Customer Ledger'!$P:$Q,,0)</f>
        <v>0</v>
      </c>
      <c r="AA207" s="43">
        <v>4231.3179</v>
      </c>
      <c r="AB207" s="43">
        <f t="shared" si="51"/>
        <v>4231.3179</v>
      </c>
      <c r="AC207" s="43">
        <f t="shared" si="52"/>
        <v>87.512099999999919</v>
      </c>
      <c r="AD207" s="51">
        <f t="shared" si="53"/>
        <v>2.0262918429296804E-2</v>
      </c>
      <c r="AE207" s="24" t="s">
        <v>238</v>
      </c>
      <c r="AF207" s="24" t="s">
        <v>40</v>
      </c>
      <c r="AG207" s="24" t="s">
        <v>40</v>
      </c>
      <c r="AH207" s="24" t="s">
        <v>40</v>
      </c>
      <c r="AI207" s="25">
        <v>45904</v>
      </c>
      <c r="AJ207" s="25"/>
      <c r="AK207" s="24" t="s">
        <v>40</v>
      </c>
    </row>
    <row r="208" spans="1:37" x14ac:dyDescent="0.35">
      <c r="A208" s="3" t="s">
        <v>32</v>
      </c>
      <c r="B208" s="3" t="s">
        <v>33</v>
      </c>
      <c r="C208" s="3" t="s">
        <v>34</v>
      </c>
      <c r="D208" s="3" t="s">
        <v>35</v>
      </c>
      <c r="E208" s="3" t="s">
        <v>135</v>
      </c>
      <c r="F208" s="4">
        <v>45904</v>
      </c>
      <c r="G208" s="23">
        <v>1800012739</v>
      </c>
      <c r="H208" s="24" t="s">
        <v>47</v>
      </c>
      <c r="I208" s="25">
        <v>45904</v>
      </c>
      <c r="J208" s="25">
        <v>45909</v>
      </c>
      <c r="K208" s="24" t="s">
        <v>38</v>
      </c>
      <c r="L208" s="26">
        <v>256779417373</v>
      </c>
      <c r="M208" s="23">
        <v>212100</v>
      </c>
      <c r="N208" s="24" t="s">
        <v>39</v>
      </c>
      <c r="O208" s="24" t="s">
        <v>40</v>
      </c>
      <c r="P208" s="23">
        <v>1</v>
      </c>
      <c r="Q208" s="24" t="s">
        <v>42</v>
      </c>
      <c r="R208" s="27">
        <v>456.75</v>
      </c>
      <c r="S208" s="24" t="s">
        <v>43</v>
      </c>
      <c r="T208" s="42">
        <v>39972.17</v>
      </c>
      <c r="U208" s="24" t="s">
        <v>44</v>
      </c>
      <c r="V208" s="23">
        <v>6779224500</v>
      </c>
      <c r="W208" s="24" t="s">
        <v>40</v>
      </c>
      <c r="X208" s="24" t="s">
        <v>38</v>
      </c>
      <c r="Y208" s="23">
        <v>1</v>
      </c>
      <c r="Z208" s="43" cm="1">
        <f t="array" ref="Z208:AA208">_xlfn.XLOOKUP(L208,'Customer Ledger'!$O:$O,'Customer Ledger'!$P:$Q,,0)</f>
        <v>0</v>
      </c>
      <c r="AA208" s="43">
        <v>33482.010999999999</v>
      </c>
      <c r="AB208" s="43">
        <f t="shared" si="51"/>
        <v>33482.010999999999</v>
      </c>
      <c r="AC208" s="43">
        <f t="shared" si="52"/>
        <v>6490.1589999999997</v>
      </c>
      <c r="AD208" s="51">
        <f t="shared" si="53"/>
        <v>0.16236694179975719</v>
      </c>
      <c r="AE208" s="24" t="s">
        <v>239</v>
      </c>
      <c r="AF208" s="24" t="s">
        <v>40</v>
      </c>
      <c r="AG208" s="24" t="s">
        <v>40</v>
      </c>
      <c r="AH208" s="24" t="s">
        <v>40</v>
      </c>
      <c r="AI208" s="25">
        <v>45904</v>
      </c>
      <c r="AJ208" s="25"/>
      <c r="AK208" s="24" t="s">
        <v>40</v>
      </c>
    </row>
    <row r="209" spans="1:37" x14ac:dyDescent="0.35">
      <c r="A209" s="3" t="s">
        <v>32</v>
      </c>
      <c r="B209" s="3" t="s">
        <v>33</v>
      </c>
      <c r="C209" s="3" t="s">
        <v>34</v>
      </c>
      <c r="D209" s="3" t="s">
        <v>35</v>
      </c>
      <c r="E209" s="3" t="s">
        <v>36</v>
      </c>
      <c r="F209" s="4">
        <v>45842</v>
      </c>
      <c r="G209" s="23">
        <v>1800010004</v>
      </c>
      <c r="H209" s="24" t="s">
        <v>47</v>
      </c>
      <c r="I209" s="25">
        <v>45842</v>
      </c>
      <c r="J209" s="25">
        <v>45845</v>
      </c>
      <c r="K209" s="24" t="s">
        <v>38</v>
      </c>
      <c r="L209" s="26">
        <v>256779414768</v>
      </c>
      <c r="M209" s="23">
        <v>212100</v>
      </c>
      <c r="N209" s="24" t="s">
        <v>39</v>
      </c>
      <c r="O209" s="24" t="s">
        <v>40</v>
      </c>
      <c r="P209" s="23">
        <v>1</v>
      </c>
      <c r="Q209" s="24" t="s">
        <v>42</v>
      </c>
      <c r="R209" s="27">
        <v>17.350000000000001</v>
      </c>
      <c r="S209" s="24" t="s">
        <v>43</v>
      </c>
      <c r="T209" s="42">
        <v>1492.11</v>
      </c>
      <c r="U209" s="24" t="s">
        <v>44</v>
      </c>
      <c r="V209" s="23">
        <v>6779224500</v>
      </c>
      <c r="W209" s="24" t="s">
        <v>40</v>
      </c>
      <c r="X209" s="24" t="s">
        <v>38</v>
      </c>
      <c r="Y209" s="23">
        <v>1</v>
      </c>
      <c r="Z209" s="43" cm="1">
        <f t="array" ref="Z209:AA209">_xlfn.XLOOKUP(L209,'Customer Ledger'!$O:$O,'Customer Ledger'!$P:$Q,,0)</f>
        <v>0</v>
      </c>
      <c r="AA209" s="43">
        <v>1492.1116</v>
      </c>
      <c r="AB209" s="43">
        <f t="shared" si="51"/>
        <v>1492.1116</v>
      </c>
      <c r="AC209" s="43">
        <f t="shared" si="52"/>
        <v>-1.6000000000531145E-3</v>
      </c>
      <c r="AD209" s="51">
        <f t="shared" si="53"/>
        <v>-1.0723070015301249E-6</v>
      </c>
      <c r="AE209" s="24" t="s">
        <v>240</v>
      </c>
      <c r="AF209" s="24" t="s">
        <v>40</v>
      </c>
      <c r="AG209" s="24" t="s">
        <v>40</v>
      </c>
      <c r="AH209" s="24" t="s">
        <v>40</v>
      </c>
      <c r="AI209" s="25">
        <v>45842</v>
      </c>
      <c r="AJ209" s="25"/>
      <c r="AK209" s="24" t="s">
        <v>40</v>
      </c>
    </row>
    <row r="210" spans="1:37" x14ac:dyDescent="0.35">
      <c r="A210" s="3" t="s">
        <v>32</v>
      </c>
      <c r="B210" s="3" t="s">
        <v>33</v>
      </c>
      <c r="C210" s="3" t="s">
        <v>34</v>
      </c>
      <c r="D210" s="3" t="s">
        <v>35</v>
      </c>
      <c r="E210" s="3" t="s">
        <v>36</v>
      </c>
      <c r="F210" s="4">
        <v>45842</v>
      </c>
      <c r="G210" s="23">
        <v>1800010065</v>
      </c>
      <c r="H210" s="24" t="s">
        <v>47</v>
      </c>
      <c r="I210" s="25">
        <v>45842</v>
      </c>
      <c r="J210" s="25">
        <v>45845</v>
      </c>
      <c r="K210" s="24" t="s">
        <v>38</v>
      </c>
      <c r="L210" s="26">
        <v>256779414829</v>
      </c>
      <c r="M210" s="23">
        <v>212100</v>
      </c>
      <c r="N210" s="24" t="s">
        <v>39</v>
      </c>
      <c r="O210" s="24" t="s">
        <v>40</v>
      </c>
      <c r="P210" s="23">
        <v>1</v>
      </c>
      <c r="Q210" s="24" t="s">
        <v>42</v>
      </c>
      <c r="R210" s="27">
        <v>101.95</v>
      </c>
      <c r="S210" s="24" t="s">
        <v>43</v>
      </c>
      <c r="T210" s="42">
        <v>8767.77</v>
      </c>
      <c r="U210" s="24" t="s">
        <v>44</v>
      </c>
      <c r="V210" s="23">
        <v>6779224500</v>
      </c>
      <c r="W210" s="24" t="s">
        <v>40</v>
      </c>
      <c r="X210" s="24" t="s">
        <v>38</v>
      </c>
      <c r="Y210" s="23">
        <v>1</v>
      </c>
      <c r="Z210" s="43" cm="1">
        <f t="array" ref="Z210:AA210">_xlfn.XLOOKUP(L210,'Customer Ledger'!$O:$O,'Customer Ledger'!$P:$Q,,0)</f>
        <v>0</v>
      </c>
      <c r="AA210" s="43">
        <v>8595.7669999999998</v>
      </c>
      <c r="AB210" s="43">
        <f t="shared" si="51"/>
        <v>8595.7669999999998</v>
      </c>
      <c r="AC210" s="43">
        <f t="shared" si="52"/>
        <v>172.00300000000061</v>
      </c>
      <c r="AD210" s="51">
        <f t="shared" si="53"/>
        <v>1.9617645079649741E-2</v>
      </c>
      <c r="AE210" s="24" t="s">
        <v>241</v>
      </c>
      <c r="AF210" s="24" t="s">
        <v>40</v>
      </c>
      <c r="AG210" s="24" t="s">
        <v>40</v>
      </c>
      <c r="AH210" s="24" t="s">
        <v>40</v>
      </c>
      <c r="AI210" s="25">
        <v>45842</v>
      </c>
      <c r="AJ210" s="25"/>
      <c r="AK210" s="24" t="s">
        <v>40</v>
      </c>
    </row>
    <row r="211" spans="1:37" x14ac:dyDescent="0.35">
      <c r="A211" s="3" t="s">
        <v>32</v>
      </c>
      <c r="B211" s="3" t="s">
        <v>33</v>
      </c>
      <c r="C211" s="3" t="s">
        <v>34</v>
      </c>
      <c r="D211" s="3" t="s">
        <v>35</v>
      </c>
      <c r="E211" s="3" t="s">
        <v>36</v>
      </c>
      <c r="F211" s="4">
        <v>45842</v>
      </c>
      <c r="G211" s="23">
        <v>1800010118</v>
      </c>
      <c r="H211" s="24" t="s">
        <v>47</v>
      </c>
      <c r="I211" s="25">
        <v>45842</v>
      </c>
      <c r="J211" s="25">
        <v>45847</v>
      </c>
      <c r="K211" s="24" t="s">
        <v>38</v>
      </c>
      <c r="L211" s="26">
        <v>256779414878</v>
      </c>
      <c r="M211" s="23">
        <v>212100</v>
      </c>
      <c r="N211" s="24" t="s">
        <v>39</v>
      </c>
      <c r="O211" s="24" t="s">
        <v>40</v>
      </c>
      <c r="P211" s="23">
        <v>1</v>
      </c>
      <c r="Q211" s="24" t="s">
        <v>42</v>
      </c>
      <c r="R211" s="27">
        <v>31.73</v>
      </c>
      <c r="S211" s="24" t="s">
        <v>43</v>
      </c>
      <c r="T211" s="42">
        <v>2728.8</v>
      </c>
      <c r="U211" s="24" t="s">
        <v>44</v>
      </c>
      <c r="V211" s="23">
        <v>6779224500</v>
      </c>
      <c r="W211" s="24" t="s">
        <v>40</v>
      </c>
      <c r="X211" s="24" t="s">
        <v>38</v>
      </c>
      <c r="Y211" s="23">
        <v>1</v>
      </c>
      <c r="Z211" s="43" cm="1">
        <f t="array" ref="Z211:AA211">_xlfn.XLOOKUP(L211,'Customer Ledger'!$O:$O,'Customer Ledger'!$P:$Q,,0)</f>
        <v>0</v>
      </c>
      <c r="AA211" s="43">
        <v>2642.8006</v>
      </c>
      <c r="AB211" s="43">
        <f t="shared" si="51"/>
        <v>2642.8006</v>
      </c>
      <c r="AC211" s="43">
        <f t="shared" si="52"/>
        <v>85.999400000000151</v>
      </c>
      <c r="AD211" s="51">
        <f t="shared" si="53"/>
        <v>3.1515464673116445E-2</v>
      </c>
      <c r="AE211" s="24" t="s">
        <v>242</v>
      </c>
      <c r="AF211" s="24" t="s">
        <v>40</v>
      </c>
      <c r="AG211" s="24" t="s">
        <v>40</v>
      </c>
      <c r="AH211" s="24" t="s">
        <v>40</v>
      </c>
      <c r="AI211" s="25">
        <v>45842</v>
      </c>
      <c r="AJ211" s="25"/>
      <c r="AK211" s="24" t="s">
        <v>40</v>
      </c>
    </row>
    <row r="212" spans="1:37" x14ac:dyDescent="0.35">
      <c r="A212" s="3" t="s">
        <v>32</v>
      </c>
      <c r="B212" s="3" t="s">
        <v>33</v>
      </c>
      <c r="C212" s="3" t="s">
        <v>34</v>
      </c>
      <c r="D212" s="3" t="s">
        <v>35</v>
      </c>
      <c r="E212" s="3" t="s">
        <v>36</v>
      </c>
      <c r="F212" s="4">
        <v>45842</v>
      </c>
      <c r="G212" s="23">
        <v>1800010130</v>
      </c>
      <c r="H212" s="24" t="s">
        <v>47</v>
      </c>
      <c r="I212" s="25">
        <v>45842</v>
      </c>
      <c r="J212" s="25">
        <v>45847</v>
      </c>
      <c r="K212" s="24" t="s">
        <v>38</v>
      </c>
      <c r="L212" s="26">
        <v>256779414890</v>
      </c>
      <c r="M212" s="23">
        <v>212100</v>
      </c>
      <c r="N212" s="24" t="s">
        <v>39</v>
      </c>
      <c r="O212" s="24" t="s">
        <v>40</v>
      </c>
      <c r="P212" s="23">
        <v>1</v>
      </c>
      <c r="Q212" s="24" t="s">
        <v>42</v>
      </c>
      <c r="R212" s="27">
        <v>1180.8</v>
      </c>
      <c r="S212" s="24" t="s">
        <v>43</v>
      </c>
      <c r="T212" s="42">
        <v>101549.59</v>
      </c>
      <c r="U212" s="24" t="s">
        <v>44</v>
      </c>
      <c r="V212" s="23">
        <v>6779224500</v>
      </c>
      <c r="W212" s="24" t="s">
        <v>40</v>
      </c>
      <c r="X212" s="24" t="s">
        <v>38</v>
      </c>
      <c r="Y212" s="23">
        <v>1</v>
      </c>
      <c r="Z212" s="43" cm="1">
        <f t="array" ref="Z212:AA212">_xlfn.XLOOKUP(L212,'Customer Ledger'!$O:$O,'Customer Ledger'!$P:$Q,,0)</f>
        <v>0</v>
      </c>
      <c r="AA212" s="43">
        <v>91401.512100000007</v>
      </c>
      <c r="AB212" s="43">
        <f t="shared" si="51"/>
        <v>91401.512100000007</v>
      </c>
      <c r="AC212" s="43">
        <f t="shared" si="52"/>
        <v>10148.077899999989</v>
      </c>
      <c r="AD212" s="51">
        <f t="shared" si="53"/>
        <v>9.993223901741001E-2</v>
      </c>
      <c r="AE212" s="24" t="s">
        <v>243</v>
      </c>
      <c r="AF212" s="24" t="s">
        <v>40</v>
      </c>
      <c r="AG212" s="24" t="s">
        <v>40</v>
      </c>
      <c r="AH212" s="24" t="s">
        <v>40</v>
      </c>
      <c r="AI212" s="25">
        <v>45842</v>
      </c>
      <c r="AJ212" s="25"/>
      <c r="AK212" s="24" t="s">
        <v>40</v>
      </c>
    </row>
    <row r="213" spans="1:37" x14ac:dyDescent="0.35">
      <c r="A213" s="3" t="s">
        <v>32</v>
      </c>
      <c r="B213" s="3" t="s">
        <v>33</v>
      </c>
      <c r="C213" s="3" t="s">
        <v>34</v>
      </c>
      <c r="D213" s="3" t="s">
        <v>35</v>
      </c>
      <c r="E213" s="3" t="s">
        <v>36</v>
      </c>
      <c r="F213" s="4">
        <v>45842</v>
      </c>
      <c r="G213" s="23">
        <v>1800010184</v>
      </c>
      <c r="H213" s="24" t="s">
        <v>47</v>
      </c>
      <c r="I213" s="25">
        <v>45842</v>
      </c>
      <c r="J213" s="25">
        <v>45847</v>
      </c>
      <c r="K213" s="24" t="s">
        <v>38</v>
      </c>
      <c r="L213" s="26">
        <v>256779414944</v>
      </c>
      <c r="M213" s="23">
        <v>212100</v>
      </c>
      <c r="N213" s="24" t="s">
        <v>39</v>
      </c>
      <c r="O213" s="24" t="s">
        <v>40</v>
      </c>
      <c r="P213" s="23">
        <v>1</v>
      </c>
      <c r="Q213" s="24" t="s">
        <v>42</v>
      </c>
      <c r="R213" s="27">
        <v>456.75</v>
      </c>
      <c r="S213" s="24" t="s">
        <v>43</v>
      </c>
      <c r="T213" s="42">
        <v>39280.81</v>
      </c>
      <c r="U213" s="24" t="s">
        <v>44</v>
      </c>
      <c r="V213" s="23">
        <v>6779224500</v>
      </c>
      <c r="W213" s="24" t="s">
        <v>40</v>
      </c>
      <c r="X213" s="24" t="s">
        <v>38</v>
      </c>
      <c r="Y213" s="23">
        <v>1</v>
      </c>
      <c r="Z213" s="43" cm="1">
        <f t="array" ref="Z213:AA213">_xlfn.XLOOKUP(L213,'Customer Ledger'!$O:$O,'Customer Ledger'!$P:$Q,,0)</f>
        <v>0</v>
      </c>
      <c r="AA213" s="43">
        <v>35324.775199999996</v>
      </c>
      <c r="AB213" s="43">
        <f t="shared" si="51"/>
        <v>35324.775199999996</v>
      </c>
      <c r="AC213" s="43">
        <f t="shared" si="52"/>
        <v>3956.0348000000013</v>
      </c>
      <c r="AD213" s="51">
        <f t="shared" si="53"/>
        <v>0.10071164011129102</v>
      </c>
      <c r="AE213" s="24" t="s">
        <v>244</v>
      </c>
      <c r="AF213" s="24" t="s">
        <v>40</v>
      </c>
      <c r="AG213" s="24" t="s">
        <v>40</v>
      </c>
      <c r="AH213" s="24" t="s">
        <v>40</v>
      </c>
      <c r="AI213" s="25">
        <v>45842</v>
      </c>
      <c r="AJ213" s="25"/>
      <c r="AK213" s="24" t="s">
        <v>40</v>
      </c>
    </row>
    <row r="214" spans="1:37" x14ac:dyDescent="0.35">
      <c r="A214" s="3" t="s">
        <v>32</v>
      </c>
      <c r="B214" s="3" t="s">
        <v>33</v>
      </c>
      <c r="C214" s="3" t="s">
        <v>34</v>
      </c>
      <c r="D214" s="3" t="s">
        <v>35</v>
      </c>
      <c r="E214" s="3" t="s">
        <v>36</v>
      </c>
      <c r="F214" s="4">
        <v>45842</v>
      </c>
      <c r="G214" s="23">
        <v>1800010215</v>
      </c>
      <c r="H214" s="24" t="s">
        <v>47</v>
      </c>
      <c r="I214" s="25">
        <v>45842</v>
      </c>
      <c r="J214" s="25">
        <v>45847</v>
      </c>
      <c r="K214" s="24" t="s">
        <v>38</v>
      </c>
      <c r="L214" s="26">
        <v>256779414975</v>
      </c>
      <c r="M214" s="23">
        <v>212100</v>
      </c>
      <c r="N214" s="24" t="s">
        <v>39</v>
      </c>
      <c r="O214" s="24" t="s">
        <v>40</v>
      </c>
      <c r="P214" s="23">
        <v>1</v>
      </c>
      <c r="Q214" s="24" t="s">
        <v>42</v>
      </c>
      <c r="R214" s="27">
        <v>54.05</v>
      </c>
      <c r="S214" s="24" t="s">
        <v>43</v>
      </c>
      <c r="T214" s="42">
        <v>4648.34</v>
      </c>
      <c r="U214" s="24" t="s">
        <v>44</v>
      </c>
      <c r="V214" s="23">
        <v>6779224500</v>
      </c>
      <c r="W214" s="24" t="s">
        <v>40</v>
      </c>
      <c r="X214" s="24" t="s">
        <v>38</v>
      </c>
      <c r="Y214" s="23">
        <v>1</v>
      </c>
      <c r="Z214" s="43" cm="1">
        <f t="array" ref="Z214:AA214">_xlfn.XLOOKUP(L214,'Customer Ledger'!$O:$O,'Customer Ledger'!$P:$Q,,0)</f>
        <v>0</v>
      </c>
      <c r="AA214" s="43">
        <v>4562.3355000000001</v>
      </c>
      <c r="AB214" s="43">
        <f t="shared" si="51"/>
        <v>4562.3355000000001</v>
      </c>
      <c r="AC214" s="43">
        <f t="shared" si="52"/>
        <v>86.004500000000007</v>
      </c>
      <c r="AD214" s="51">
        <f t="shared" si="53"/>
        <v>1.850219648304556E-2</v>
      </c>
      <c r="AE214" s="24" t="s">
        <v>40</v>
      </c>
      <c r="AF214" s="24" t="s">
        <v>40</v>
      </c>
      <c r="AG214" s="24" t="s">
        <v>40</v>
      </c>
      <c r="AH214" s="24" t="s">
        <v>40</v>
      </c>
      <c r="AI214" s="25">
        <v>45842</v>
      </c>
      <c r="AJ214" s="25"/>
      <c r="AK214" s="24" t="s">
        <v>40</v>
      </c>
    </row>
    <row r="215" spans="1:37" x14ac:dyDescent="0.35">
      <c r="A215" s="3" t="s">
        <v>32</v>
      </c>
      <c r="B215" s="3" t="s">
        <v>33</v>
      </c>
      <c r="C215" s="3" t="s">
        <v>34</v>
      </c>
      <c r="D215" s="3" t="s">
        <v>35</v>
      </c>
      <c r="E215" s="3" t="s">
        <v>36</v>
      </c>
      <c r="F215" s="4">
        <v>45842</v>
      </c>
      <c r="G215" s="23">
        <v>1800010281</v>
      </c>
      <c r="H215" s="24" t="s">
        <v>47</v>
      </c>
      <c r="I215" s="25">
        <v>45842</v>
      </c>
      <c r="J215" s="25">
        <v>45847</v>
      </c>
      <c r="K215" s="24" t="s">
        <v>38</v>
      </c>
      <c r="L215" s="26">
        <v>256779415041</v>
      </c>
      <c r="M215" s="23">
        <v>212100</v>
      </c>
      <c r="N215" s="24" t="s">
        <v>39</v>
      </c>
      <c r="O215" s="24" t="s">
        <v>40</v>
      </c>
      <c r="P215" s="23">
        <v>1</v>
      </c>
      <c r="Q215" s="24" t="s">
        <v>42</v>
      </c>
      <c r="R215" s="27">
        <v>155.09</v>
      </c>
      <c r="S215" s="24" t="s">
        <v>43</v>
      </c>
      <c r="T215" s="27">
        <v>13337.84</v>
      </c>
      <c r="U215" s="24" t="s">
        <v>44</v>
      </c>
      <c r="V215" s="23">
        <v>6779224500</v>
      </c>
      <c r="W215" s="24" t="s">
        <v>40</v>
      </c>
      <c r="X215" s="24" t="s">
        <v>38</v>
      </c>
      <c r="Y215" s="23">
        <v>1</v>
      </c>
      <c r="Z215" s="43" t="e" cm="1">
        <f t="array" ref="Z215">_xlfn.XLOOKUP(L215,'Customer Ledger'!$O:$O,'Customer Ledger'!$P:$Q,,0)</f>
        <v>#N/A</v>
      </c>
      <c r="AA215" s="43"/>
      <c r="AB215" s="43"/>
      <c r="AC215" s="23"/>
      <c r="AD215" s="23"/>
      <c r="AE215" s="24" t="s">
        <v>245</v>
      </c>
      <c r="AF215" s="24" t="s">
        <v>40</v>
      </c>
      <c r="AG215" s="24" t="s">
        <v>40</v>
      </c>
      <c r="AH215" s="24" t="s">
        <v>40</v>
      </c>
      <c r="AI215" s="25">
        <v>45842</v>
      </c>
      <c r="AJ215" s="25"/>
      <c r="AK215" s="24" t="s">
        <v>40</v>
      </c>
    </row>
    <row r="216" spans="1:37" x14ac:dyDescent="0.35">
      <c r="A216" s="3" t="s">
        <v>32</v>
      </c>
      <c r="B216" s="3" t="s">
        <v>33</v>
      </c>
      <c r="C216" s="3" t="s">
        <v>34</v>
      </c>
      <c r="D216" s="3" t="s">
        <v>35</v>
      </c>
      <c r="E216" s="3" t="s">
        <v>36</v>
      </c>
      <c r="F216" s="4">
        <v>45842</v>
      </c>
      <c r="G216" s="23">
        <v>1800010288</v>
      </c>
      <c r="H216" s="24" t="s">
        <v>47</v>
      </c>
      <c r="I216" s="25">
        <v>45842</v>
      </c>
      <c r="J216" s="25">
        <v>45847</v>
      </c>
      <c r="K216" s="24" t="s">
        <v>38</v>
      </c>
      <c r="L216" s="26">
        <v>256779415048</v>
      </c>
      <c r="M216" s="23">
        <v>212100</v>
      </c>
      <c r="N216" s="24" t="s">
        <v>39</v>
      </c>
      <c r="O216" s="24" t="s">
        <v>40</v>
      </c>
      <c r="P216" s="23">
        <v>1</v>
      </c>
      <c r="Q216" s="24" t="s">
        <v>42</v>
      </c>
      <c r="R216" s="27">
        <v>6.43</v>
      </c>
      <c r="S216" s="24" t="s">
        <v>43</v>
      </c>
      <c r="T216" s="42">
        <v>552.98</v>
      </c>
      <c r="U216" s="24" t="s">
        <v>44</v>
      </c>
      <c r="V216" s="23">
        <v>6779224500</v>
      </c>
      <c r="W216" s="24" t="s">
        <v>40</v>
      </c>
      <c r="X216" s="24" t="s">
        <v>38</v>
      </c>
      <c r="Y216" s="23">
        <v>1</v>
      </c>
      <c r="Z216" s="43" cm="1">
        <f t="array" ref="Z216:AA216">_xlfn.XLOOKUP(L216,'Customer Ledger'!$O:$O,'Customer Ledger'!$P:$Q,,0)</f>
        <v>0</v>
      </c>
      <c r="AA216" s="43">
        <v>552.98429999999996</v>
      </c>
      <c r="AB216" s="43">
        <f t="shared" ref="AB216:AB226" si="54">AA216-Z216</f>
        <v>552.98429999999996</v>
      </c>
      <c r="AC216" s="43">
        <f t="shared" ref="AC216:AC226" si="55">T216-AB216</f>
        <v>-4.2999999999437932E-3</v>
      </c>
      <c r="AD216" s="51">
        <f t="shared" ref="AD216:AD226" si="56">AC216/T216</f>
        <v>-7.7760497666168628E-6</v>
      </c>
      <c r="AE216" s="24" t="s">
        <v>246</v>
      </c>
      <c r="AF216" s="24" t="s">
        <v>40</v>
      </c>
      <c r="AG216" s="24" t="s">
        <v>40</v>
      </c>
      <c r="AH216" s="24" t="s">
        <v>40</v>
      </c>
      <c r="AI216" s="25">
        <v>45842</v>
      </c>
      <c r="AJ216" s="25"/>
      <c r="AK216" s="24" t="s">
        <v>40</v>
      </c>
    </row>
    <row r="217" spans="1:37" x14ac:dyDescent="0.35">
      <c r="A217" s="3" t="s">
        <v>32</v>
      </c>
      <c r="B217" s="3" t="s">
        <v>33</v>
      </c>
      <c r="C217" s="3" t="s">
        <v>34</v>
      </c>
      <c r="D217" s="3" t="s">
        <v>35</v>
      </c>
      <c r="E217" s="3" t="s">
        <v>36</v>
      </c>
      <c r="F217" s="4">
        <v>45842</v>
      </c>
      <c r="G217" s="23">
        <v>1800010438</v>
      </c>
      <c r="H217" s="24" t="s">
        <v>47</v>
      </c>
      <c r="I217" s="25">
        <v>45842</v>
      </c>
      <c r="J217" s="25">
        <v>45847</v>
      </c>
      <c r="K217" s="24" t="s">
        <v>38</v>
      </c>
      <c r="L217" s="26">
        <v>256779415198</v>
      </c>
      <c r="M217" s="23">
        <v>212100</v>
      </c>
      <c r="N217" s="24" t="s">
        <v>39</v>
      </c>
      <c r="O217" s="24" t="s">
        <v>40</v>
      </c>
      <c r="P217" s="23">
        <v>1</v>
      </c>
      <c r="Q217" s="24" t="s">
        <v>42</v>
      </c>
      <c r="R217" s="27">
        <v>3330.8</v>
      </c>
      <c r="S217" s="24" t="s">
        <v>43</v>
      </c>
      <c r="T217" s="42">
        <v>286451.03000000003</v>
      </c>
      <c r="U217" s="24" t="s">
        <v>44</v>
      </c>
      <c r="V217" s="23">
        <v>6779224500</v>
      </c>
      <c r="W217" s="24" t="s">
        <v>40</v>
      </c>
      <c r="X217" s="24" t="s">
        <v>38</v>
      </c>
      <c r="Y217" s="23">
        <v>1</v>
      </c>
      <c r="Z217" s="43" cm="1">
        <f t="array" ref="Z217:AA217">_xlfn.XLOOKUP(L217,'Customer Ledger'!$O:$O,'Customer Ledger'!$P:$Q,,0)</f>
        <v>0</v>
      </c>
      <c r="AA217" s="43">
        <v>257812.80850000001</v>
      </c>
      <c r="AB217" s="43">
        <f t="shared" si="54"/>
        <v>257812.80850000001</v>
      </c>
      <c r="AC217" s="43">
        <f t="shared" si="55"/>
        <v>28638.221500000014</v>
      </c>
      <c r="AD217" s="51">
        <f t="shared" si="56"/>
        <v>9.9975976696610278E-2</v>
      </c>
      <c r="AE217" s="24" t="s">
        <v>247</v>
      </c>
      <c r="AF217" s="24" t="s">
        <v>40</v>
      </c>
      <c r="AG217" s="24" t="s">
        <v>40</v>
      </c>
      <c r="AH217" s="24" t="s">
        <v>40</v>
      </c>
      <c r="AI217" s="25">
        <v>45842</v>
      </c>
      <c r="AJ217" s="25"/>
      <c r="AK217" s="24" t="s">
        <v>40</v>
      </c>
    </row>
    <row r="218" spans="1:37" x14ac:dyDescent="0.35">
      <c r="A218" s="3" t="s">
        <v>32</v>
      </c>
      <c r="B218" s="3" t="s">
        <v>33</v>
      </c>
      <c r="C218" s="3" t="s">
        <v>34</v>
      </c>
      <c r="D218" s="3" t="s">
        <v>35</v>
      </c>
      <c r="E218" s="3" t="s">
        <v>36</v>
      </c>
      <c r="F218" s="4">
        <v>45842</v>
      </c>
      <c r="G218" s="23">
        <v>1800010503</v>
      </c>
      <c r="H218" s="24" t="s">
        <v>47</v>
      </c>
      <c r="I218" s="25">
        <v>45842</v>
      </c>
      <c r="J218" s="25">
        <v>45847</v>
      </c>
      <c r="K218" s="24" t="s">
        <v>38</v>
      </c>
      <c r="L218" s="26">
        <v>256779415263</v>
      </c>
      <c r="M218" s="23">
        <v>212100</v>
      </c>
      <c r="N218" s="24" t="s">
        <v>39</v>
      </c>
      <c r="O218" s="24" t="s">
        <v>40</v>
      </c>
      <c r="P218" s="23">
        <v>1</v>
      </c>
      <c r="Q218" s="24" t="s">
        <v>42</v>
      </c>
      <c r="R218" s="27">
        <v>2.34</v>
      </c>
      <c r="S218" s="24" t="s">
        <v>43</v>
      </c>
      <c r="T218" s="42">
        <v>201.24</v>
      </c>
      <c r="U218" s="24" t="s">
        <v>44</v>
      </c>
      <c r="V218" s="23">
        <v>6779224500</v>
      </c>
      <c r="W218" s="24" t="s">
        <v>40</v>
      </c>
      <c r="X218" s="24" t="s">
        <v>40</v>
      </c>
      <c r="Y218" s="23">
        <v>1</v>
      </c>
      <c r="Z218" s="43" cm="1">
        <f t="array" ref="Z218:AA218">_xlfn.XLOOKUP(L218,'Customer Ledger'!$O:$O,'Customer Ledger'!$P:$Q,,0)</f>
        <v>0</v>
      </c>
      <c r="AA218" s="43">
        <v>201.24160000000001</v>
      </c>
      <c r="AB218" s="43">
        <f t="shared" si="54"/>
        <v>201.24160000000001</v>
      </c>
      <c r="AC218" s="43">
        <f t="shared" si="55"/>
        <v>-1.5999999999962711E-3</v>
      </c>
      <c r="AD218" s="51">
        <f t="shared" si="56"/>
        <v>-7.9507056251056991E-6</v>
      </c>
      <c r="AE218" s="24" t="s">
        <v>248</v>
      </c>
      <c r="AF218" s="24" t="s">
        <v>40</v>
      </c>
      <c r="AG218" s="24" t="s">
        <v>40</v>
      </c>
      <c r="AH218" s="24" t="s">
        <v>40</v>
      </c>
      <c r="AI218" s="25">
        <v>45842</v>
      </c>
      <c r="AJ218" s="25"/>
      <c r="AK218" s="24" t="s">
        <v>40</v>
      </c>
    </row>
    <row r="219" spans="1:37" x14ac:dyDescent="0.35">
      <c r="A219" s="3" t="s">
        <v>32</v>
      </c>
      <c r="B219" s="3" t="s">
        <v>33</v>
      </c>
      <c r="C219" s="3" t="s">
        <v>34</v>
      </c>
      <c r="D219" s="3" t="s">
        <v>35</v>
      </c>
      <c r="E219" s="3" t="s">
        <v>41</v>
      </c>
      <c r="F219" s="4">
        <v>45966</v>
      </c>
      <c r="G219" s="23">
        <v>1800014263</v>
      </c>
      <c r="H219" s="24" t="s">
        <v>47</v>
      </c>
      <c r="I219" s="25">
        <v>45966</v>
      </c>
      <c r="J219" s="25">
        <v>45966</v>
      </c>
      <c r="K219" s="24" t="s">
        <v>38</v>
      </c>
      <c r="L219" s="26">
        <v>256779418802</v>
      </c>
      <c r="M219" s="23">
        <v>212100</v>
      </c>
      <c r="N219" s="24" t="s">
        <v>39</v>
      </c>
      <c r="O219" s="24" t="s">
        <v>40</v>
      </c>
      <c r="P219" s="23">
        <v>1</v>
      </c>
      <c r="Q219" s="24" t="s">
        <v>42</v>
      </c>
      <c r="R219" s="27">
        <v>456.75</v>
      </c>
      <c r="S219" s="24" t="s">
        <v>43</v>
      </c>
      <c r="T219" s="42">
        <v>40195.550000000003</v>
      </c>
      <c r="U219" s="24" t="s">
        <v>44</v>
      </c>
      <c r="V219" s="23">
        <v>6779224500</v>
      </c>
      <c r="W219" s="24" t="s">
        <v>40</v>
      </c>
      <c r="X219" s="23">
        <v>2123159</v>
      </c>
      <c r="Y219" s="23">
        <v>1</v>
      </c>
      <c r="Z219" s="43" cm="1">
        <f t="array" ref="Z219:AA219">_xlfn.XLOOKUP(L219,'Customer Ledger'!$O:$O,'Customer Ledger'!$P:$Q,,0)</f>
        <v>4048</v>
      </c>
      <c r="AA219" s="43">
        <v>40195.392399999997</v>
      </c>
      <c r="AB219" s="43">
        <f t="shared" si="54"/>
        <v>36147.392399999997</v>
      </c>
      <c r="AC219" s="43">
        <f t="shared" si="55"/>
        <v>4048.1576000000059</v>
      </c>
      <c r="AD219" s="51">
        <f t="shared" si="56"/>
        <v>0.10071158623280452</v>
      </c>
      <c r="AE219" s="24" t="s">
        <v>249</v>
      </c>
      <c r="AF219" s="24" t="s">
        <v>40</v>
      </c>
      <c r="AG219" s="24" t="s">
        <v>40</v>
      </c>
      <c r="AH219" s="24" t="s">
        <v>40</v>
      </c>
      <c r="AI219" s="25">
        <v>45966</v>
      </c>
      <c r="AJ219" s="25"/>
      <c r="AK219" s="24" t="s">
        <v>40</v>
      </c>
    </row>
    <row r="220" spans="1:37" x14ac:dyDescent="0.35">
      <c r="A220" s="3" t="s">
        <v>32</v>
      </c>
      <c r="B220" s="3" t="s">
        <v>33</v>
      </c>
      <c r="C220" s="3" t="s">
        <v>34</v>
      </c>
      <c r="D220" s="3" t="s">
        <v>35</v>
      </c>
      <c r="E220" s="3" t="s">
        <v>41</v>
      </c>
      <c r="F220" s="4">
        <v>45966</v>
      </c>
      <c r="G220" s="23">
        <v>1800014282</v>
      </c>
      <c r="H220" s="24" t="s">
        <v>47</v>
      </c>
      <c r="I220" s="25">
        <v>45966</v>
      </c>
      <c r="J220" s="25">
        <v>45967</v>
      </c>
      <c r="K220" s="24" t="s">
        <v>38</v>
      </c>
      <c r="L220" s="26">
        <v>256779418819</v>
      </c>
      <c r="M220" s="23">
        <v>212100</v>
      </c>
      <c r="N220" s="24" t="s">
        <v>39</v>
      </c>
      <c r="O220" s="24" t="s">
        <v>40</v>
      </c>
      <c r="P220" s="23">
        <v>1</v>
      </c>
      <c r="Q220" s="24" t="s">
        <v>42</v>
      </c>
      <c r="R220" s="27">
        <v>32.74</v>
      </c>
      <c r="S220" s="24" t="s">
        <v>43</v>
      </c>
      <c r="T220" s="42">
        <v>2881.23</v>
      </c>
      <c r="U220" s="24" t="s">
        <v>44</v>
      </c>
      <c r="V220" s="23">
        <v>6779224500</v>
      </c>
      <c r="W220" s="24" t="s">
        <v>40</v>
      </c>
      <c r="X220" s="23">
        <v>2123387</v>
      </c>
      <c r="Y220" s="23">
        <v>1</v>
      </c>
      <c r="Z220" s="43" cm="1">
        <f t="array" ref="Z220:AA220">_xlfn.XLOOKUP(L220,'Customer Ledger'!$O:$O,'Customer Ledger'!$P:$Q,,0)</f>
        <v>0</v>
      </c>
      <c r="AA220" s="43">
        <v>2793.2276000000002</v>
      </c>
      <c r="AB220" s="43">
        <f t="shared" si="54"/>
        <v>2793.2276000000002</v>
      </c>
      <c r="AC220" s="43">
        <f t="shared" si="55"/>
        <v>88.002399999999852</v>
      </c>
      <c r="AD220" s="51">
        <f t="shared" si="56"/>
        <v>3.0543344335578849E-2</v>
      </c>
      <c r="AE220" s="24" t="s">
        <v>250</v>
      </c>
      <c r="AF220" s="24" t="s">
        <v>40</v>
      </c>
      <c r="AG220" s="24" t="s">
        <v>40</v>
      </c>
      <c r="AH220" s="24" t="s">
        <v>40</v>
      </c>
      <c r="AI220" s="25">
        <v>45966</v>
      </c>
      <c r="AJ220" s="25"/>
      <c r="AK220" s="24" t="s">
        <v>40</v>
      </c>
    </row>
    <row r="221" spans="1:37" x14ac:dyDescent="0.35">
      <c r="A221" s="3" t="s">
        <v>32</v>
      </c>
      <c r="B221" s="3" t="s">
        <v>33</v>
      </c>
      <c r="C221" s="3" t="s">
        <v>34</v>
      </c>
      <c r="D221" s="3" t="s">
        <v>35</v>
      </c>
      <c r="E221" s="3" t="s">
        <v>41</v>
      </c>
      <c r="F221" s="4">
        <v>45966</v>
      </c>
      <c r="G221" s="23">
        <v>1800014537</v>
      </c>
      <c r="H221" s="24" t="s">
        <v>47</v>
      </c>
      <c r="I221" s="25">
        <v>45966</v>
      </c>
      <c r="J221" s="25">
        <v>45967</v>
      </c>
      <c r="K221" s="24" t="s">
        <v>38</v>
      </c>
      <c r="L221" s="26">
        <v>256779418869</v>
      </c>
      <c r="M221" s="23">
        <v>212100</v>
      </c>
      <c r="N221" s="24" t="s">
        <v>39</v>
      </c>
      <c r="O221" s="24" t="s">
        <v>40</v>
      </c>
      <c r="P221" s="23">
        <v>1</v>
      </c>
      <c r="Q221" s="24" t="s">
        <v>42</v>
      </c>
      <c r="R221" s="27">
        <v>6685.47</v>
      </c>
      <c r="S221" s="24" t="s">
        <v>43</v>
      </c>
      <c r="T221" s="42">
        <v>588344.02</v>
      </c>
      <c r="U221" s="24" t="s">
        <v>44</v>
      </c>
      <c r="V221" s="23">
        <v>6779224500</v>
      </c>
      <c r="W221" s="24" t="s">
        <v>40</v>
      </c>
      <c r="X221" s="23">
        <v>2123390</v>
      </c>
      <c r="Y221" s="23">
        <v>1</v>
      </c>
      <c r="Z221" s="43" cm="1">
        <f t="array" ref="Z221:AA221">_xlfn.XLOOKUP(L221,'Customer Ledger'!$O:$O,'Customer Ledger'!$P:$Q,,0)</f>
        <v>0</v>
      </c>
      <c r="AA221" s="43">
        <v>529469.75580000004</v>
      </c>
      <c r="AB221" s="43">
        <f t="shared" si="54"/>
        <v>529469.75580000004</v>
      </c>
      <c r="AC221" s="43">
        <f t="shared" si="55"/>
        <v>58874.264199999976</v>
      </c>
      <c r="AD221" s="51">
        <f t="shared" si="56"/>
        <v>0.10006775321690187</v>
      </c>
      <c r="AE221" s="24" t="s">
        <v>251</v>
      </c>
      <c r="AF221" s="24" t="s">
        <v>40</v>
      </c>
      <c r="AG221" s="24" t="s">
        <v>40</v>
      </c>
      <c r="AH221" s="24" t="s">
        <v>40</v>
      </c>
      <c r="AI221" s="25">
        <v>45966</v>
      </c>
      <c r="AJ221" s="25"/>
      <c r="AK221" s="24" t="s">
        <v>40</v>
      </c>
    </row>
    <row r="222" spans="1:37" x14ac:dyDescent="0.35">
      <c r="A222" s="3" t="s">
        <v>32</v>
      </c>
      <c r="B222" s="3" t="s">
        <v>33</v>
      </c>
      <c r="C222" s="3" t="s">
        <v>34</v>
      </c>
      <c r="D222" s="3" t="s">
        <v>35</v>
      </c>
      <c r="E222" s="3" t="s">
        <v>41</v>
      </c>
      <c r="F222" s="4">
        <v>45966</v>
      </c>
      <c r="G222" s="23">
        <v>1800014590</v>
      </c>
      <c r="H222" s="24" t="s">
        <v>47</v>
      </c>
      <c r="I222" s="25">
        <v>45966</v>
      </c>
      <c r="J222" s="25">
        <v>45967</v>
      </c>
      <c r="K222" s="24" t="s">
        <v>38</v>
      </c>
      <c r="L222" s="26">
        <v>256779418897</v>
      </c>
      <c r="M222" s="23">
        <v>212100</v>
      </c>
      <c r="N222" s="24" t="s">
        <v>39</v>
      </c>
      <c r="O222" s="24" t="s">
        <v>40</v>
      </c>
      <c r="P222" s="23">
        <v>1</v>
      </c>
      <c r="Q222" s="24" t="s">
        <v>42</v>
      </c>
      <c r="R222" s="27">
        <v>108.45</v>
      </c>
      <c r="S222" s="24" t="s">
        <v>43</v>
      </c>
      <c r="T222" s="42">
        <v>9543.9699999999993</v>
      </c>
      <c r="U222" s="24" t="s">
        <v>44</v>
      </c>
      <c r="V222" s="23">
        <v>6779224500</v>
      </c>
      <c r="W222" s="24" t="s">
        <v>40</v>
      </c>
      <c r="X222" s="23">
        <v>2123392</v>
      </c>
      <c r="Y222" s="23">
        <v>1</v>
      </c>
      <c r="Z222" s="43" cm="1">
        <f t="array" ref="Z222:AA222">_xlfn.XLOOKUP(L222,'Customer Ledger'!$O:$O,'Customer Ledger'!$P:$Q,,0)</f>
        <v>0</v>
      </c>
      <c r="AA222" s="43">
        <v>9367.9609</v>
      </c>
      <c r="AB222" s="43">
        <f t="shared" si="54"/>
        <v>9367.9609</v>
      </c>
      <c r="AC222" s="43">
        <f t="shared" si="55"/>
        <v>176.00909999999931</v>
      </c>
      <c r="AD222" s="51">
        <f t="shared" si="56"/>
        <v>1.8441916728573048E-2</v>
      </c>
      <c r="AE222" s="24" t="s">
        <v>252</v>
      </c>
      <c r="AF222" s="24" t="s">
        <v>40</v>
      </c>
      <c r="AG222" s="24" t="s">
        <v>40</v>
      </c>
      <c r="AH222" s="24" t="s">
        <v>40</v>
      </c>
      <c r="AI222" s="25">
        <v>45966</v>
      </c>
      <c r="AJ222" s="25"/>
      <c r="AK222" s="24" t="s">
        <v>40</v>
      </c>
    </row>
    <row r="223" spans="1:37" x14ac:dyDescent="0.35">
      <c r="A223" s="3" t="s">
        <v>32</v>
      </c>
      <c r="B223" s="3" t="s">
        <v>33</v>
      </c>
      <c r="C223" s="3" t="s">
        <v>34</v>
      </c>
      <c r="D223" s="3" t="s">
        <v>35</v>
      </c>
      <c r="E223" s="3" t="s">
        <v>41</v>
      </c>
      <c r="F223" s="4">
        <v>45966</v>
      </c>
      <c r="G223" s="23">
        <v>1800014641</v>
      </c>
      <c r="H223" s="24" t="s">
        <v>47</v>
      </c>
      <c r="I223" s="25">
        <v>45966</v>
      </c>
      <c r="J223" s="25">
        <v>45967</v>
      </c>
      <c r="K223" s="24" t="s">
        <v>38</v>
      </c>
      <c r="L223" s="26">
        <v>256779418906</v>
      </c>
      <c r="M223" s="23">
        <v>212100</v>
      </c>
      <c r="N223" s="24" t="s">
        <v>39</v>
      </c>
      <c r="O223" s="24" t="s">
        <v>40</v>
      </c>
      <c r="P223" s="23">
        <v>1</v>
      </c>
      <c r="Q223" s="24" t="s">
        <v>42</v>
      </c>
      <c r="R223" s="27">
        <v>35.25</v>
      </c>
      <c r="S223" s="24" t="s">
        <v>43</v>
      </c>
      <c r="T223" s="42">
        <v>3102.12</v>
      </c>
      <c r="U223" s="24" t="s">
        <v>44</v>
      </c>
      <c r="V223" s="23">
        <v>6779224500</v>
      </c>
      <c r="W223" s="24" t="s">
        <v>40</v>
      </c>
      <c r="X223" s="23">
        <v>2123393</v>
      </c>
      <c r="Y223" s="23">
        <v>1</v>
      </c>
      <c r="Z223" s="43" cm="1">
        <f t="array" ref="Z223:AA223">_xlfn.XLOOKUP(L223,'Customer Ledger'!$O:$O,'Customer Ledger'!$P:$Q,,0)</f>
        <v>0</v>
      </c>
      <c r="AA223" s="43">
        <v>3014.1161000000002</v>
      </c>
      <c r="AB223" s="43">
        <f t="shared" si="54"/>
        <v>3014.1161000000002</v>
      </c>
      <c r="AC223" s="43">
        <f t="shared" si="55"/>
        <v>88.003899999999703</v>
      </c>
      <c r="AD223" s="51">
        <f t="shared" si="56"/>
        <v>2.8368954134591732E-2</v>
      </c>
      <c r="AE223" s="24" t="s">
        <v>253</v>
      </c>
      <c r="AF223" s="24" t="s">
        <v>40</v>
      </c>
      <c r="AG223" s="24" t="s">
        <v>40</v>
      </c>
      <c r="AH223" s="24" t="s">
        <v>40</v>
      </c>
      <c r="AI223" s="25">
        <v>45966</v>
      </c>
      <c r="AJ223" s="25"/>
      <c r="AK223" s="24" t="s">
        <v>40</v>
      </c>
    </row>
    <row r="224" spans="1:37" x14ac:dyDescent="0.35">
      <c r="A224" s="3" t="s">
        <v>32</v>
      </c>
      <c r="B224" s="3" t="s">
        <v>33</v>
      </c>
      <c r="C224" s="3" t="s">
        <v>34</v>
      </c>
      <c r="D224" s="3" t="s">
        <v>35</v>
      </c>
      <c r="E224" s="3" t="s">
        <v>41</v>
      </c>
      <c r="F224" s="4">
        <v>45966</v>
      </c>
      <c r="G224" s="23">
        <v>1800014455</v>
      </c>
      <c r="H224" s="24" t="s">
        <v>47</v>
      </c>
      <c r="I224" s="25">
        <v>45966</v>
      </c>
      <c r="J224" s="25">
        <v>45967</v>
      </c>
      <c r="K224" s="24" t="s">
        <v>38</v>
      </c>
      <c r="L224" s="26">
        <v>256779419069</v>
      </c>
      <c r="M224" s="23">
        <v>212100</v>
      </c>
      <c r="N224" s="24" t="s">
        <v>39</v>
      </c>
      <c r="O224" s="24" t="s">
        <v>40</v>
      </c>
      <c r="P224" s="23">
        <v>1</v>
      </c>
      <c r="Q224" s="24" t="s">
        <v>42</v>
      </c>
      <c r="R224" s="27">
        <v>337.59</v>
      </c>
      <c r="S224" s="24" t="s">
        <v>43</v>
      </c>
      <c r="T224" s="42">
        <v>29709.06</v>
      </c>
      <c r="U224" s="24" t="s">
        <v>44</v>
      </c>
      <c r="V224" s="23">
        <v>6779224500</v>
      </c>
      <c r="W224" s="24" t="s">
        <v>40</v>
      </c>
      <c r="X224" s="23">
        <v>2123402</v>
      </c>
      <c r="Y224" s="23">
        <v>1</v>
      </c>
      <c r="Z224" s="43" cm="1">
        <f t="array" ref="Z224:AA224">_xlfn.XLOOKUP(L224,'Customer Ledger'!$O:$O,'Customer Ledger'!$P:$Q,,0)</f>
        <v>0</v>
      </c>
      <c r="AA224" s="43">
        <v>26716.949199999999</v>
      </c>
      <c r="AB224" s="43">
        <f t="shared" si="54"/>
        <v>26716.949199999999</v>
      </c>
      <c r="AC224" s="43">
        <f t="shared" si="55"/>
        <v>2992.1108000000022</v>
      </c>
      <c r="AD224" s="51">
        <f t="shared" si="56"/>
        <v>0.10071374860059532</v>
      </c>
      <c r="AE224" s="24" t="s">
        <v>254</v>
      </c>
      <c r="AF224" s="24" t="s">
        <v>40</v>
      </c>
      <c r="AG224" s="24" t="s">
        <v>40</v>
      </c>
      <c r="AH224" s="24" t="s">
        <v>40</v>
      </c>
      <c r="AI224" s="25">
        <v>45966</v>
      </c>
      <c r="AJ224" s="25"/>
      <c r="AK224" s="24" t="s">
        <v>40</v>
      </c>
    </row>
    <row r="225" spans="1:37" x14ac:dyDescent="0.35">
      <c r="A225" s="3" t="s">
        <v>32</v>
      </c>
      <c r="B225" s="3" t="s">
        <v>33</v>
      </c>
      <c r="C225" s="3" t="s">
        <v>34</v>
      </c>
      <c r="D225" s="3" t="s">
        <v>35</v>
      </c>
      <c r="E225" s="3" t="s">
        <v>41</v>
      </c>
      <c r="F225" s="4">
        <v>45966</v>
      </c>
      <c r="G225" s="23">
        <v>1800014633</v>
      </c>
      <c r="H225" s="24" t="s">
        <v>47</v>
      </c>
      <c r="I225" s="25">
        <v>45966</v>
      </c>
      <c r="J225" s="25">
        <v>45967</v>
      </c>
      <c r="K225" s="24" t="s">
        <v>38</v>
      </c>
      <c r="L225" s="26">
        <v>256779419076</v>
      </c>
      <c r="M225" s="23">
        <v>212100</v>
      </c>
      <c r="N225" s="24" t="s">
        <v>39</v>
      </c>
      <c r="O225" s="24" t="s">
        <v>40</v>
      </c>
      <c r="P225" s="23">
        <v>1</v>
      </c>
      <c r="Q225" s="24" t="s">
        <v>42</v>
      </c>
      <c r="R225" s="27">
        <v>799</v>
      </c>
      <c r="S225" s="24" t="s">
        <v>43</v>
      </c>
      <c r="T225" s="42">
        <v>70314.710000000006</v>
      </c>
      <c r="U225" s="24" t="s">
        <v>44</v>
      </c>
      <c r="V225" s="23">
        <v>6779224500</v>
      </c>
      <c r="W225" s="24" t="s">
        <v>40</v>
      </c>
      <c r="X225" s="23">
        <v>2123404</v>
      </c>
      <c r="Y225" s="23">
        <v>1</v>
      </c>
      <c r="Z225" s="43" cm="1">
        <f t="array" ref="Z225:AA225">_xlfn.XLOOKUP(L225,'Customer Ledger'!$O:$O,'Customer Ledger'!$P:$Q,,0)</f>
        <v>0</v>
      </c>
      <c r="AA225" s="43">
        <v>63274.437400000003</v>
      </c>
      <c r="AB225" s="43">
        <f t="shared" si="54"/>
        <v>63274.437400000003</v>
      </c>
      <c r="AC225" s="43">
        <f t="shared" si="55"/>
        <v>7040.2726000000039</v>
      </c>
      <c r="AD225" s="51">
        <f t="shared" si="56"/>
        <v>0.10012517437674141</v>
      </c>
      <c r="AE225" s="24" t="s">
        <v>255</v>
      </c>
      <c r="AF225" s="24" t="s">
        <v>40</v>
      </c>
      <c r="AG225" s="24" t="s">
        <v>40</v>
      </c>
      <c r="AH225" s="24" t="s">
        <v>40</v>
      </c>
      <c r="AI225" s="25">
        <v>45966</v>
      </c>
      <c r="AJ225" s="25"/>
      <c r="AK225" s="24" t="s">
        <v>40</v>
      </c>
    </row>
    <row r="226" spans="1:37" x14ac:dyDescent="0.35">
      <c r="A226" s="3" t="s">
        <v>32</v>
      </c>
      <c r="B226" s="3" t="s">
        <v>33</v>
      </c>
      <c r="C226" s="3" t="s">
        <v>34</v>
      </c>
      <c r="D226" s="3" t="s">
        <v>35</v>
      </c>
      <c r="E226" s="3" t="s">
        <v>41</v>
      </c>
      <c r="F226" s="4">
        <v>45966</v>
      </c>
      <c r="G226" s="23">
        <v>1800014523</v>
      </c>
      <c r="H226" s="24" t="s">
        <v>47</v>
      </c>
      <c r="I226" s="25">
        <v>45966</v>
      </c>
      <c r="J226" s="25">
        <v>45967</v>
      </c>
      <c r="K226" s="24" t="s">
        <v>38</v>
      </c>
      <c r="L226" s="26">
        <v>256779419172</v>
      </c>
      <c r="M226" s="23">
        <v>212100</v>
      </c>
      <c r="N226" s="24" t="s">
        <v>39</v>
      </c>
      <c r="O226" s="24" t="s">
        <v>40</v>
      </c>
      <c r="P226" s="23">
        <v>1</v>
      </c>
      <c r="Q226" s="24" t="s">
        <v>42</v>
      </c>
      <c r="R226" s="27">
        <v>68.150000000000006</v>
      </c>
      <c r="S226" s="24" t="s">
        <v>43</v>
      </c>
      <c r="T226" s="42">
        <v>5997.43</v>
      </c>
      <c r="U226" s="24" t="s">
        <v>44</v>
      </c>
      <c r="V226" s="23">
        <v>6779224500</v>
      </c>
      <c r="W226" s="24" t="s">
        <v>40</v>
      </c>
      <c r="X226" s="23">
        <v>2123410</v>
      </c>
      <c r="Y226" s="23">
        <v>1</v>
      </c>
      <c r="Z226" s="43" cm="1">
        <f t="array" ref="Z226:AA226">_xlfn.XLOOKUP(L226,'Customer Ledger'!$O:$O,'Customer Ledger'!$P:$Q,,0)</f>
        <v>0</v>
      </c>
      <c r="AA226" s="43">
        <v>5909.4276</v>
      </c>
      <c r="AB226" s="43">
        <f t="shared" si="54"/>
        <v>5909.4276</v>
      </c>
      <c r="AC226" s="43">
        <f t="shared" si="55"/>
        <v>88.002400000000307</v>
      </c>
      <c r="AD226" s="51">
        <f t="shared" si="56"/>
        <v>1.4673351752333967E-2</v>
      </c>
      <c r="AE226" s="24" t="s">
        <v>256</v>
      </c>
      <c r="AF226" s="24" t="s">
        <v>40</v>
      </c>
      <c r="AG226" s="24" t="s">
        <v>40</v>
      </c>
      <c r="AH226" s="24" t="s">
        <v>40</v>
      </c>
      <c r="AI226" s="25">
        <v>45966</v>
      </c>
      <c r="AJ226" s="25"/>
      <c r="AK226" s="24" t="s">
        <v>40</v>
      </c>
    </row>
    <row r="227" spans="1:37" x14ac:dyDescent="0.35">
      <c r="A227" s="3" t="s">
        <v>32</v>
      </c>
      <c r="B227" s="3" t="s">
        <v>33</v>
      </c>
      <c r="C227" s="3" t="s">
        <v>34</v>
      </c>
      <c r="D227" s="3" t="s">
        <v>35</v>
      </c>
      <c r="E227" s="3" t="s">
        <v>41</v>
      </c>
      <c r="F227" s="4">
        <v>45966</v>
      </c>
      <c r="G227" s="23">
        <v>1800014729</v>
      </c>
      <c r="H227" s="24" t="s">
        <v>47</v>
      </c>
      <c r="I227" s="25">
        <v>45966</v>
      </c>
      <c r="J227" s="25">
        <v>45968</v>
      </c>
      <c r="K227" s="23">
        <v>2123630</v>
      </c>
      <c r="L227" s="26">
        <v>256779419230</v>
      </c>
      <c r="M227" s="23">
        <v>212100</v>
      </c>
      <c r="N227" s="24" t="s">
        <v>39</v>
      </c>
      <c r="O227" s="24" t="s">
        <v>40</v>
      </c>
      <c r="P227" s="23">
        <v>1</v>
      </c>
      <c r="Q227" s="24" t="s">
        <v>42</v>
      </c>
      <c r="R227" s="27">
        <v>179.58</v>
      </c>
      <c r="S227" s="24" t="s">
        <v>43</v>
      </c>
      <c r="T227" s="27">
        <v>15803.65</v>
      </c>
      <c r="U227" s="24" t="s">
        <v>44</v>
      </c>
      <c r="V227" s="23">
        <v>6779224500</v>
      </c>
      <c r="W227" s="24" t="s">
        <v>40</v>
      </c>
      <c r="X227" s="24" t="s">
        <v>38</v>
      </c>
      <c r="Y227" s="23">
        <v>1</v>
      </c>
      <c r="Z227" s="43" t="e" cm="1">
        <f t="array" ref="Z227">_xlfn.XLOOKUP(L227,'Customer Ledger'!$O:$O,'Customer Ledger'!$P:$Q,,0)</f>
        <v>#N/A</v>
      </c>
      <c r="AA227" s="43"/>
      <c r="AB227" s="43"/>
      <c r="AC227" s="23"/>
      <c r="AD227" s="23"/>
      <c r="AE227" s="24" t="s">
        <v>257</v>
      </c>
      <c r="AF227" s="24" t="s">
        <v>40</v>
      </c>
      <c r="AG227" s="24" t="s">
        <v>40</v>
      </c>
      <c r="AH227" s="24" t="s">
        <v>40</v>
      </c>
      <c r="AI227" s="25">
        <v>45966</v>
      </c>
      <c r="AJ227" s="25"/>
      <c r="AK227" s="24" t="s">
        <v>40</v>
      </c>
    </row>
    <row r="228" spans="1:37" x14ac:dyDescent="0.35">
      <c r="A228" s="3" t="s">
        <v>32</v>
      </c>
      <c r="B228" s="3" t="s">
        <v>33</v>
      </c>
      <c r="C228" s="3" t="s">
        <v>34</v>
      </c>
      <c r="D228" s="3" t="s">
        <v>35</v>
      </c>
      <c r="E228" s="3" t="s">
        <v>41</v>
      </c>
      <c r="F228" s="4">
        <v>45966</v>
      </c>
      <c r="G228" s="23">
        <v>1800014745</v>
      </c>
      <c r="H228" s="24" t="s">
        <v>47</v>
      </c>
      <c r="I228" s="25">
        <v>45966</v>
      </c>
      <c r="J228" s="25">
        <v>45968</v>
      </c>
      <c r="K228" s="24" t="s">
        <v>38</v>
      </c>
      <c r="L228" s="26">
        <v>256779419248</v>
      </c>
      <c r="M228" s="23">
        <v>212100</v>
      </c>
      <c r="N228" s="24" t="s">
        <v>39</v>
      </c>
      <c r="O228" s="24" t="s">
        <v>40</v>
      </c>
      <c r="P228" s="23">
        <v>1</v>
      </c>
      <c r="Q228" s="24" t="s">
        <v>42</v>
      </c>
      <c r="R228" s="27">
        <v>11.27</v>
      </c>
      <c r="S228" s="24" t="s">
        <v>43</v>
      </c>
      <c r="T228" s="42">
        <v>991.8</v>
      </c>
      <c r="U228" s="24" t="s">
        <v>44</v>
      </c>
      <c r="V228" s="23">
        <v>6779224500</v>
      </c>
      <c r="W228" s="24" t="s">
        <v>40</v>
      </c>
      <c r="X228" s="23">
        <v>2123648</v>
      </c>
      <c r="Y228" s="23">
        <v>1</v>
      </c>
      <c r="Z228" s="43" cm="1">
        <f t="array" ref="Z228:AA228">_xlfn.XLOOKUP(L228,'Customer Ledger'!$O:$O,'Customer Ledger'!$P:$Q,,0)</f>
        <v>0</v>
      </c>
      <c r="AA228" s="43">
        <v>991.79819999999995</v>
      </c>
      <c r="AB228" s="43">
        <f t="shared" ref="AB228:AB233" si="57">AA228-Z228</f>
        <v>991.79819999999995</v>
      </c>
      <c r="AC228" s="43">
        <f t="shared" ref="AC228:AC233" si="58">T228-AB228</f>
        <v>1.8000000000029104E-3</v>
      </c>
      <c r="AD228" s="51">
        <f t="shared" ref="AD228:AD233" si="59">AC228/T228</f>
        <v>1.8148820326708112E-6</v>
      </c>
      <c r="AE228" s="24" t="s">
        <v>258</v>
      </c>
      <c r="AF228" s="24" t="s">
        <v>40</v>
      </c>
      <c r="AG228" s="24" t="s">
        <v>40</v>
      </c>
      <c r="AH228" s="24" t="s">
        <v>40</v>
      </c>
      <c r="AI228" s="25">
        <v>45966</v>
      </c>
      <c r="AJ228" s="25"/>
      <c r="AK228" s="24" t="s">
        <v>40</v>
      </c>
    </row>
    <row r="229" spans="1:37" x14ac:dyDescent="0.35">
      <c r="A229" s="3" t="s">
        <v>32</v>
      </c>
      <c r="B229" s="3" t="s">
        <v>33</v>
      </c>
      <c r="C229" s="3" t="s">
        <v>34</v>
      </c>
      <c r="D229" s="3" t="s">
        <v>35</v>
      </c>
      <c r="E229" s="3" t="s">
        <v>212</v>
      </c>
      <c r="F229" s="4">
        <v>45877</v>
      </c>
      <c r="G229" s="23">
        <v>1800011658</v>
      </c>
      <c r="H229" s="24" t="s">
        <v>47</v>
      </c>
      <c r="I229" s="25">
        <v>45877</v>
      </c>
      <c r="J229" s="25">
        <v>45877</v>
      </c>
      <c r="K229" s="24" t="s">
        <v>38</v>
      </c>
      <c r="L229" s="26">
        <v>256779416088</v>
      </c>
      <c r="M229" s="23">
        <v>212100</v>
      </c>
      <c r="N229" s="24" t="s">
        <v>39</v>
      </c>
      <c r="O229" s="24" t="s">
        <v>40</v>
      </c>
      <c r="P229" s="23">
        <v>1</v>
      </c>
      <c r="Q229" s="24" t="s">
        <v>42</v>
      </c>
      <c r="R229" s="27">
        <v>5977.6</v>
      </c>
      <c r="S229" s="24" t="s">
        <v>43</v>
      </c>
      <c r="T229" s="42">
        <v>514253.65</v>
      </c>
      <c r="U229" s="24" t="s">
        <v>44</v>
      </c>
      <c r="V229" s="23">
        <v>6779224500</v>
      </c>
      <c r="W229" s="24" t="s">
        <v>40</v>
      </c>
      <c r="X229" s="24" t="s">
        <v>38</v>
      </c>
      <c r="Y229" s="23">
        <v>1</v>
      </c>
      <c r="Z229" s="43" cm="1">
        <f t="array" ref="Z229:AA229">_xlfn.XLOOKUP(L229,'Customer Ledger'!$O:$O,'Customer Ledger'!$P:$Q,,0)</f>
        <v>0</v>
      </c>
      <c r="AA229" s="43">
        <v>462828</v>
      </c>
      <c r="AB229" s="43">
        <f t="shared" si="57"/>
        <v>462828</v>
      </c>
      <c r="AC229" s="43">
        <f t="shared" si="58"/>
        <v>51425.650000000023</v>
      </c>
      <c r="AD229" s="51">
        <f t="shared" si="59"/>
        <v>0.10000055420121962</v>
      </c>
      <c r="AE229" s="24" t="s">
        <v>259</v>
      </c>
      <c r="AF229" s="24" t="s">
        <v>40</v>
      </c>
      <c r="AG229" s="24" t="s">
        <v>40</v>
      </c>
      <c r="AH229" s="24" t="s">
        <v>40</v>
      </c>
      <c r="AI229" s="25">
        <v>45877</v>
      </c>
      <c r="AJ229" s="25"/>
      <c r="AK229" s="24" t="s">
        <v>40</v>
      </c>
    </row>
    <row r="230" spans="1:37" x14ac:dyDescent="0.35">
      <c r="A230" s="3" t="s">
        <v>32</v>
      </c>
      <c r="B230" s="3" t="s">
        <v>33</v>
      </c>
      <c r="C230" s="3" t="s">
        <v>34</v>
      </c>
      <c r="D230" s="3" t="s">
        <v>35</v>
      </c>
      <c r="E230" s="3" t="s">
        <v>212</v>
      </c>
      <c r="F230" s="4">
        <v>45877</v>
      </c>
      <c r="G230" s="23">
        <v>1800011787</v>
      </c>
      <c r="H230" s="24" t="s">
        <v>47</v>
      </c>
      <c r="I230" s="25">
        <v>45877</v>
      </c>
      <c r="J230" s="25">
        <v>45877</v>
      </c>
      <c r="K230" s="24" t="s">
        <v>38</v>
      </c>
      <c r="L230" s="26">
        <v>256779416178</v>
      </c>
      <c r="M230" s="23">
        <v>212100</v>
      </c>
      <c r="N230" s="24" t="s">
        <v>39</v>
      </c>
      <c r="O230" s="24" t="s">
        <v>40</v>
      </c>
      <c r="P230" s="23">
        <v>1</v>
      </c>
      <c r="Q230" s="24" t="s">
        <v>42</v>
      </c>
      <c r="R230" s="27">
        <v>782.3</v>
      </c>
      <c r="S230" s="24" t="s">
        <v>43</v>
      </c>
      <c r="T230" s="42">
        <v>67301.36</v>
      </c>
      <c r="U230" s="24" t="s">
        <v>44</v>
      </c>
      <c r="V230" s="23">
        <v>6779224500</v>
      </c>
      <c r="W230" s="24" t="s">
        <v>40</v>
      </c>
      <c r="X230" s="24" t="s">
        <v>38</v>
      </c>
      <c r="Y230" s="23">
        <v>1</v>
      </c>
      <c r="Z230" s="43" cm="1">
        <f t="array" ref="Z230:AA230">_xlfn.XLOOKUP(L230,'Customer Ledger'!$O:$O,'Customer Ledger'!$P:$Q,,0)</f>
        <v>1351</v>
      </c>
      <c r="AA230" s="43">
        <v>67557</v>
      </c>
      <c r="AB230" s="43">
        <f t="shared" si="57"/>
        <v>66206</v>
      </c>
      <c r="AC230" s="43">
        <f t="shared" si="58"/>
        <v>1095.3600000000006</v>
      </c>
      <c r="AD230" s="51">
        <f t="shared" si="59"/>
        <v>1.6275451194448381E-2</v>
      </c>
      <c r="AE230" s="24" t="s">
        <v>260</v>
      </c>
      <c r="AF230" s="24" t="s">
        <v>40</v>
      </c>
      <c r="AG230" s="24" t="s">
        <v>40</v>
      </c>
      <c r="AH230" s="24" t="s">
        <v>40</v>
      </c>
      <c r="AI230" s="25">
        <v>45877</v>
      </c>
      <c r="AJ230" s="25"/>
      <c r="AK230" s="24" t="s">
        <v>40</v>
      </c>
    </row>
    <row r="231" spans="1:37" x14ac:dyDescent="0.35">
      <c r="A231" s="3" t="s">
        <v>32</v>
      </c>
      <c r="B231" s="3" t="s">
        <v>33</v>
      </c>
      <c r="C231" s="3" t="s">
        <v>34</v>
      </c>
      <c r="D231" s="3" t="s">
        <v>35</v>
      </c>
      <c r="E231" s="3" t="s">
        <v>212</v>
      </c>
      <c r="F231" s="4">
        <v>45877</v>
      </c>
      <c r="G231" s="23">
        <v>1800011705</v>
      </c>
      <c r="H231" s="24" t="s">
        <v>47</v>
      </c>
      <c r="I231" s="25">
        <v>45877</v>
      </c>
      <c r="J231" s="25">
        <v>45877</v>
      </c>
      <c r="K231" s="24" t="s">
        <v>38</v>
      </c>
      <c r="L231" s="26">
        <v>256779416223</v>
      </c>
      <c r="M231" s="23">
        <v>212100</v>
      </c>
      <c r="N231" s="24" t="s">
        <v>39</v>
      </c>
      <c r="O231" s="24" t="s">
        <v>40</v>
      </c>
      <c r="P231" s="23">
        <v>1</v>
      </c>
      <c r="Q231" s="24" t="s">
        <v>42</v>
      </c>
      <c r="R231" s="27">
        <v>108.22</v>
      </c>
      <c r="S231" s="24" t="s">
        <v>43</v>
      </c>
      <c r="T231" s="42">
        <v>9310.18</v>
      </c>
      <c r="U231" s="24" t="s">
        <v>44</v>
      </c>
      <c r="V231" s="23">
        <v>6779224500</v>
      </c>
      <c r="W231" s="24" t="s">
        <v>40</v>
      </c>
      <c r="X231" s="24" t="s">
        <v>38</v>
      </c>
      <c r="Y231" s="23">
        <v>1</v>
      </c>
      <c r="Z231" s="43" cm="1">
        <f t="array" ref="Z231:AA231">_xlfn.XLOOKUP(L231,'Customer Ledger'!$O:$O,'Customer Ledger'!$P:$Q,,0)</f>
        <v>0</v>
      </c>
      <c r="AA231" s="43">
        <v>9124</v>
      </c>
      <c r="AB231" s="43">
        <f t="shared" si="57"/>
        <v>9124</v>
      </c>
      <c r="AC231" s="43">
        <f t="shared" si="58"/>
        <v>186.18000000000029</v>
      </c>
      <c r="AD231" s="51">
        <f t="shared" si="59"/>
        <v>1.9997465140308812E-2</v>
      </c>
      <c r="AE231" s="24" t="s">
        <v>261</v>
      </c>
      <c r="AF231" s="24" t="s">
        <v>40</v>
      </c>
      <c r="AG231" s="24" t="s">
        <v>40</v>
      </c>
      <c r="AH231" s="24" t="s">
        <v>40</v>
      </c>
      <c r="AI231" s="25">
        <v>45877</v>
      </c>
      <c r="AJ231" s="25"/>
      <c r="AK231" s="24" t="s">
        <v>40</v>
      </c>
    </row>
    <row r="232" spans="1:37" x14ac:dyDescent="0.35">
      <c r="A232" s="3" t="s">
        <v>32</v>
      </c>
      <c r="B232" s="3" t="s">
        <v>33</v>
      </c>
      <c r="C232" s="3" t="s">
        <v>34</v>
      </c>
      <c r="D232" s="3" t="s">
        <v>35</v>
      </c>
      <c r="E232" s="3" t="s">
        <v>212</v>
      </c>
      <c r="F232" s="4">
        <v>45877</v>
      </c>
      <c r="G232" s="23">
        <v>1800011406</v>
      </c>
      <c r="H232" s="24" t="s">
        <v>47</v>
      </c>
      <c r="I232" s="25">
        <v>45877</v>
      </c>
      <c r="J232" s="25">
        <v>45877</v>
      </c>
      <c r="K232" s="24" t="s">
        <v>38</v>
      </c>
      <c r="L232" s="26">
        <v>256779416256</v>
      </c>
      <c r="M232" s="23">
        <v>212100</v>
      </c>
      <c r="N232" s="24" t="s">
        <v>39</v>
      </c>
      <c r="O232" s="24" t="s">
        <v>40</v>
      </c>
      <c r="P232" s="23">
        <v>1</v>
      </c>
      <c r="Q232" s="24" t="s">
        <v>42</v>
      </c>
      <c r="R232" s="27">
        <v>56.4</v>
      </c>
      <c r="S232" s="24" t="s">
        <v>43</v>
      </c>
      <c r="T232" s="42">
        <v>4852.1000000000004</v>
      </c>
      <c r="U232" s="24" t="s">
        <v>44</v>
      </c>
      <c r="V232" s="23">
        <v>6779224500</v>
      </c>
      <c r="W232" s="24" t="s">
        <v>40</v>
      </c>
      <c r="X232" s="24" t="s">
        <v>38</v>
      </c>
      <c r="Y232" s="23">
        <v>1</v>
      </c>
      <c r="Z232" s="43" cm="1">
        <f t="array" ref="Z232:AA232">_xlfn.XLOOKUP(L232,'Customer Ledger'!$O:$O,'Customer Ledger'!$P:$Q,,0)</f>
        <v>0</v>
      </c>
      <c r="AA232" s="43">
        <v>4755</v>
      </c>
      <c r="AB232" s="43">
        <f t="shared" si="57"/>
        <v>4755</v>
      </c>
      <c r="AC232" s="43">
        <f t="shared" si="58"/>
        <v>97.100000000000364</v>
      </c>
      <c r="AD232" s="51">
        <f t="shared" si="59"/>
        <v>2.0011953587106689E-2</v>
      </c>
      <c r="AE232" s="24" t="s">
        <v>262</v>
      </c>
      <c r="AF232" s="24" t="s">
        <v>40</v>
      </c>
      <c r="AG232" s="24" t="s">
        <v>40</v>
      </c>
      <c r="AH232" s="24" t="s">
        <v>40</v>
      </c>
      <c r="AI232" s="25">
        <v>45877</v>
      </c>
      <c r="AJ232" s="25"/>
      <c r="AK232" s="24" t="s">
        <v>40</v>
      </c>
    </row>
    <row r="233" spans="1:37" x14ac:dyDescent="0.35">
      <c r="A233" s="3" t="s">
        <v>32</v>
      </c>
      <c r="B233" s="3" t="s">
        <v>33</v>
      </c>
      <c r="C233" s="3" t="s">
        <v>34</v>
      </c>
      <c r="D233" s="3" t="s">
        <v>35</v>
      </c>
      <c r="E233" s="3" t="s">
        <v>212</v>
      </c>
      <c r="F233" s="4">
        <v>45877</v>
      </c>
      <c r="G233" s="23">
        <v>1800011594</v>
      </c>
      <c r="H233" s="24" t="s">
        <v>47</v>
      </c>
      <c r="I233" s="25">
        <v>45877</v>
      </c>
      <c r="J233" s="25">
        <v>45877</v>
      </c>
      <c r="K233" s="24" t="s">
        <v>38</v>
      </c>
      <c r="L233" s="26">
        <v>256779416444</v>
      </c>
      <c r="M233" s="23">
        <v>212100</v>
      </c>
      <c r="N233" s="24" t="s">
        <v>39</v>
      </c>
      <c r="O233" s="24" t="s">
        <v>40</v>
      </c>
      <c r="P233" s="23">
        <v>1</v>
      </c>
      <c r="Q233" s="24" t="s">
        <v>42</v>
      </c>
      <c r="R233" s="27">
        <v>109.64</v>
      </c>
      <c r="S233" s="24" t="s">
        <v>43</v>
      </c>
      <c r="T233" s="42">
        <v>9432.34</v>
      </c>
      <c r="U233" s="24" t="s">
        <v>44</v>
      </c>
      <c r="V233" s="23">
        <v>6779224500</v>
      </c>
      <c r="W233" s="24" t="s">
        <v>40</v>
      </c>
      <c r="X233" s="24" t="s">
        <v>38</v>
      </c>
      <c r="Y233" s="23">
        <v>1</v>
      </c>
      <c r="Z233" s="43" cm="1">
        <f t="array" ref="Z233:AA233">_xlfn.XLOOKUP(L233,'Customer Ledger'!$O:$O,'Customer Ledger'!$P:$Q,,0)</f>
        <v>0</v>
      </c>
      <c r="AA233" s="43">
        <v>9260.2821000000004</v>
      </c>
      <c r="AB233" s="43">
        <f t="shared" si="57"/>
        <v>9260.2821000000004</v>
      </c>
      <c r="AC233" s="43">
        <f t="shared" si="58"/>
        <v>172.05789999999979</v>
      </c>
      <c r="AD233" s="51">
        <f t="shared" si="59"/>
        <v>1.8241274169506164E-2</v>
      </c>
      <c r="AE233" s="24" t="s">
        <v>263</v>
      </c>
      <c r="AF233" s="24" t="s">
        <v>40</v>
      </c>
      <c r="AG233" s="24" t="s">
        <v>40</v>
      </c>
      <c r="AH233" s="24" t="s">
        <v>40</v>
      </c>
      <c r="AI233" s="25">
        <v>45877</v>
      </c>
      <c r="AJ233" s="25"/>
      <c r="AK233" s="24" t="s">
        <v>40</v>
      </c>
    </row>
    <row r="234" spans="1:37" x14ac:dyDescent="0.35">
      <c r="A234" s="3" t="s">
        <v>32</v>
      </c>
      <c r="B234" s="3" t="s">
        <v>33</v>
      </c>
      <c r="C234" s="3" t="s">
        <v>34</v>
      </c>
      <c r="D234" s="3" t="s">
        <v>35</v>
      </c>
      <c r="E234" s="3" t="s">
        <v>212</v>
      </c>
      <c r="F234" s="4">
        <v>45877</v>
      </c>
      <c r="G234" s="23">
        <v>1800011863</v>
      </c>
      <c r="H234" s="24" t="s">
        <v>47</v>
      </c>
      <c r="I234" s="25">
        <v>45877</v>
      </c>
      <c r="J234" s="25">
        <v>45877</v>
      </c>
      <c r="K234" s="24" t="s">
        <v>38</v>
      </c>
      <c r="L234" s="26">
        <v>256779416514</v>
      </c>
      <c r="M234" s="23">
        <v>212100</v>
      </c>
      <c r="N234" s="24" t="s">
        <v>39</v>
      </c>
      <c r="O234" s="24" t="s">
        <v>40</v>
      </c>
      <c r="P234" s="23">
        <v>1</v>
      </c>
      <c r="Q234" s="24" t="s">
        <v>42</v>
      </c>
      <c r="R234" s="27">
        <v>1804.03</v>
      </c>
      <c r="S234" s="24" t="s">
        <v>43</v>
      </c>
      <c r="T234" s="27">
        <v>155200.92000000001</v>
      </c>
      <c r="U234" s="24" t="s">
        <v>44</v>
      </c>
      <c r="V234" s="23">
        <v>6779224500</v>
      </c>
      <c r="W234" s="24" t="s">
        <v>40</v>
      </c>
      <c r="X234" s="24" t="s">
        <v>38</v>
      </c>
      <c r="Y234" s="23">
        <v>1</v>
      </c>
      <c r="Z234" s="43" t="e" cm="1">
        <f t="array" ref="Z234">_xlfn.XLOOKUP(L234,'Customer Ledger'!$O:$O,'Customer Ledger'!$P:$Q,,0)</f>
        <v>#N/A</v>
      </c>
      <c r="AA234" s="43"/>
      <c r="AB234" s="43"/>
      <c r="AC234" s="23"/>
      <c r="AD234" s="23"/>
      <c r="AE234" s="24" t="s">
        <v>264</v>
      </c>
      <c r="AF234" s="24" t="s">
        <v>40</v>
      </c>
      <c r="AG234" s="24" t="s">
        <v>40</v>
      </c>
      <c r="AH234" s="24" t="s">
        <v>40</v>
      </c>
      <c r="AI234" s="25">
        <v>45877</v>
      </c>
      <c r="AJ234" s="25"/>
      <c r="AK234" s="24" t="s">
        <v>40</v>
      </c>
    </row>
    <row r="235" spans="1:37" x14ac:dyDescent="0.35">
      <c r="A235" s="3" t="s">
        <v>32</v>
      </c>
      <c r="B235" s="3" t="s">
        <v>33</v>
      </c>
      <c r="C235" s="3" t="s">
        <v>34</v>
      </c>
      <c r="D235" s="3" t="s">
        <v>35</v>
      </c>
      <c r="E235" s="3" t="s">
        <v>212</v>
      </c>
      <c r="F235" s="4">
        <v>45877</v>
      </c>
      <c r="G235" s="23">
        <v>1800011887</v>
      </c>
      <c r="H235" s="24" t="s">
        <v>47</v>
      </c>
      <c r="I235" s="25">
        <v>45877</v>
      </c>
      <c r="J235" s="25">
        <v>45877</v>
      </c>
      <c r="K235" s="24" t="s">
        <v>38</v>
      </c>
      <c r="L235" s="26">
        <v>256779416538</v>
      </c>
      <c r="M235" s="23">
        <v>212100</v>
      </c>
      <c r="N235" s="24" t="s">
        <v>39</v>
      </c>
      <c r="O235" s="24" t="s">
        <v>40</v>
      </c>
      <c r="P235" s="23">
        <v>1</v>
      </c>
      <c r="Q235" s="24" t="s">
        <v>42</v>
      </c>
      <c r="R235" s="27">
        <v>353.44</v>
      </c>
      <c r="S235" s="24" t="s">
        <v>43</v>
      </c>
      <c r="T235" s="42">
        <v>30406.49</v>
      </c>
      <c r="U235" s="24" t="s">
        <v>44</v>
      </c>
      <c r="V235" s="23">
        <v>6779224500</v>
      </c>
      <c r="W235" s="24" t="s">
        <v>40</v>
      </c>
      <c r="X235" s="24" t="s">
        <v>38</v>
      </c>
      <c r="Y235" s="23">
        <v>1</v>
      </c>
      <c r="Z235" s="43" cm="1">
        <f t="array" ref="Z235:AA235">_xlfn.XLOOKUP(L235,'Customer Ledger'!$O:$O,'Customer Ledger'!$P:$Q,,0)</f>
        <v>0</v>
      </c>
      <c r="AA235" s="43">
        <v>27395.431400000001</v>
      </c>
      <c r="AB235" s="43">
        <f t="shared" ref="AB235:AB237" si="60">AA235-Z235</f>
        <v>27395.431400000001</v>
      </c>
      <c r="AC235" s="43">
        <f t="shared" ref="AC235:AC237" si="61">T235-AB235</f>
        <v>3011.0586000000003</v>
      </c>
      <c r="AD235" s="51">
        <f t="shared" ref="AD235:AD237" si="62">AC235/T235</f>
        <v>9.9026839335944403E-2</v>
      </c>
      <c r="AE235" s="24" t="s">
        <v>265</v>
      </c>
      <c r="AF235" s="24" t="s">
        <v>40</v>
      </c>
      <c r="AG235" s="24" t="s">
        <v>40</v>
      </c>
      <c r="AH235" s="24" t="s">
        <v>40</v>
      </c>
      <c r="AI235" s="25">
        <v>45877</v>
      </c>
      <c r="AJ235" s="25"/>
      <c r="AK235" s="24" t="s">
        <v>40</v>
      </c>
    </row>
    <row r="236" spans="1:37" x14ac:dyDescent="0.35">
      <c r="A236" s="3" t="s">
        <v>32</v>
      </c>
      <c r="B236" s="3" t="s">
        <v>33</v>
      </c>
      <c r="C236" s="3" t="s">
        <v>34</v>
      </c>
      <c r="D236" s="3" t="s">
        <v>35</v>
      </c>
      <c r="E236" s="3" t="s">
        <v>111</v>
      </c>
      <c r="F236" s="4">
        <v>45812</v>
      </c>
      <c r="G236" s="23">
        <v>1800009394</v>
      </c>
      <c r="H236" s="24" t="s">
        <v>47</v>
      </c>
      <c r="I236" s="25">
        <v>45812</v>
      </c>
      <c r="J236" s="25">
        <v>45817</v>
      </c>
      <c r="K236" s="24" t="s">
        <v>38</v>
      </c>
      <c r="L236" s="26">
        <v>256779414158</v>
      </c>
      <c r="M236" s="23">
        <v>212100</v>
      </c>
      <c r="N236" s="24" t="s">
        <v>39</v>
      </c>
      <c r="O236" s="24" t="s">
        <v>40</v>
      </c>
      <c r="P236" s="23">
        <v>1</v>
      </c>
      <c r="Q236" s="24" t="s">
        <v>42</v>
      </c>
      <c r="R236" s="27">
        <v>498.55</v>
      </c>
      <c r="S236" s="24" t="s">
        <v>43</v>
      </c>
      <c r="T236" s="42">
        <v>42621.43</v>
      </c>
      <c r="U236" s="24" t="s">
        <v>44</v>
      </c>
      <c r="V236" s="23">
        <v>6779224500</v>
      </c>
      <c r="W236" s="24" t="s">
        <v>40</v>
      </c>
      <c r="X236" s="24" t="s">
        <v>38</v>
      </c>
      <c r="Y236" s="23">
        <v>1</v>
      </c>
      <c r="Z236" s="43" cm="1">
        <f t="array" ref="Z236:AA236">_xlfn.XLOOKUP(L236,'Customer Ledger'!$O:$O,'Customer Ledger'!$P:$Q,,0)</f>
        <v>0</v>
      </c>
      <c r="AA236" s="43">
        <v>41769</v>
      </c>
      <c r="AB236" s="43">
        <f t="shared" si="60"/>
        <v>41769</v>
      </c>
      <c r="AC236" s="43">
        <f t="shared" si="61"/>
        <v>852.43000000000029</v>
      </c>
      <c r="AD236" s="51">
        <f t="shared" si="62"/>
        <v>2.000003284732587E-2</v>
      </c>
      <c r="AE236" s="24" t="s">
        <v>266</v>
      </c>
      <c r="AF236" s="24" t="s">
        <v>40</v>
      </c>
      <c r="AG236" s="24" t="s">
        <v>40</v>
      </c>
      <c r="AH236" s="24" t="s">
        <v>40</v>
      </c>
      <c r="AI236" s="25">
        <v>45812</v>
      </c>
      <c r="AJ236" s="25"/>
      <c r="AK236" s="24" t="s">
        <v>40</v>
      </c>
    </row>
    <row r="237" spans="1:37" x14ac:dyDescent="0.35">
      <c r="A237" s="3" t="s">
        <v>32</v>
      </c>
      <c r="B237" s="3" t="s">
        <v>33</v>
      </c>
      <c r="C237" s="3" t="s">
        <v>34</v>
      </c>
      <c r="D237" s="3" t="s">
        <v>35</v>
      </c>
      <c r="E237" s="3" t="s">
        <v>111</v>
      </c>
      <c r="F237" s="4">
        <v>45812</v>
      </c>
      <c r="G237" s="23">
        <v>1800009401</v>
      </c>
      <c r="H237" s="24" t="s">
        <v>47</v>
      </c>
      <c r="I237" s="25">
        <v>45812</v>
      </c>
      <c r="J237" s="25">
        <v>45817</v>
      </c>
      <c r="K237" s="24" t="s">
        <v>38</v>
      </c>
      <c r="L237" s="26">
        <v>256779414165</v>
      </c>
      <c r="M237" s="23">
        <v>212100</v>
      </c>
      <c r="N237" s="24" t="s">
        <v>39</v>
      </c>
      <c r="O237" s="24" t="s">
        <v>40</v>
      </c>
      <c r="P237" s="23">
        <v>1</v>
      </c>
      <c r="Q237" s="24" t="s">
        <v>42</v>
      </c>
      <c r="R237" s="27">
        <v>117.5</v>
      </c>
      <c r="S237" s="24" t="s">
        <v>43</v>
      </c>
      <c r="T237" s="42">
        <v>10045.17</v>
      </c>
      <c r="U237" s="24" t="s">
        <v>44</v>
      </c>
      <c r="V237" s="23">
        <v>6779224500</v>
      </c>
      <c r="W237" s="24" t="s">
        <v>40</v>
      </c>
      <c r="X237" s="24" t="s">
        <v>38</v>
      </c>
      <c r="Y237" s="23">
        <v>1</v>
      </c>
      <c r="Z237" s="43" cm="1">
        <f t="array" ref="Z237:AA237">_xlfn.XLOOKUP(L237,'Customer Ledger'!$O:$O,'Customer Ledger'!$P:$Q,,0)</f>
        <v>0</v>
      </c>
      <c r="AA237" s="43">
        <v>9844</v>
      </c>
      <c r="AB237" s="43">
        <f t="shared" si="60"/>
        <v>9844</v>
      </c>
      <c r="AC237" s="43">
        <f t="shared" si="61"/>
        <v>201.17000000000007</v>
      </c>
      <c r="AD237" s="51">
        <f t="shared" si="62"/>
        <v>2.002654011828571E-2</v>
      </c>
      <c r="AE237" s="24" t="s">
        <v>267</v>
      </c>
      <c r="AF237" s="24" t="s">
        <v>40</v>
      </c>
      <c r="AG237" s="24" t="s">
        <v>40</v>
      </c>
      <c r="AH237" s="24" t="s">
        <v>40</v>
      </c>
      <c r="AI237" s="25">
        <v>45812</v>
      </c>
      <c r="AJ237" s="25"/>
      <c r="AK237" s="24" t="s">
        <v>40</v>
      </c>
    </row>
    <row r="238" spans="1:37" x14ac:dyDescent="0.35">
      <c r="A238" s="3" t="s">
        <v>32</v>
      </c>
      <c r="B238" s="3" t="s">
        <v>33</v>
      </c>
      <c r="C238" s="3" t="s">
        <v>34</v>
      </c>
      <c r="D238" s="3" t="s">
        <v>35</v>
      </c>
      <c r="E238" s="3" t="s">
        <v>111</v>
      </c>
      <c r="F238" s="4">
        <v>45812</v>
      </c>
      <c r="G238" s="23">
        <v>1800009411</v>
      </c>
      <c r="H238" s="24" t="s">
        <v>47</v>
      </c>
      <c r="I238" s="25">
        <v>45812</v>
      </c>
      <c r="J238" s="25">
        <v>45817</v>
      </c>
      <c r="K238" s="24" t="s">
        <v>38</v>
      </c>
      <c r="L238" s="26">
        <v>256779414175</v>
      </c>
      <c r="M238" s="23">
        <v>212100</v>
      </c>
      <c r="N238" s="24" t="s">
        <v>39</v>
      </c>
      <c r="O238" s="24" t="s">
        <v>40</v>
      </c>
      <c r="P238" s="23">
        <v>1</v>
      </c>
      <c r="Q238" s="24" t="s">
        <v>42</v>
      </c>
      <c r="R238" s="27">
        <v>472.4</v>
      </c>
      <c r="S238" s="24" t="s">
        <v>43</v>
      </c>
      <c r="T238" s="27">
        <v>40385.839999999997</v>
      </c>
      <c r="U238" s="24" t="s">
        <v>44</v>
      </c>
      <c r="V238" s="23">
        <v>6779224500</v>
      </c>
      <c r="W238" s="24" t="s">
        <v>40</v>
      </c>
      <c r="X238" s="24" t="s">
        <v>38</v>
      </c>
      <c r="Y238" s="23">
        <v>1</v>
      </c>
      <c r="Z238" s="43" t="e" cm="1">
        <f t="array" ref="Z238">_xlfn.XLOOKUP(L238,'Customer Ledger'!$O:$O,'Customer Ledger'!$P:$Q,,0)</f>
        <v>#N/A</v>
      </c>
      <c r="AA238" s="43"/>
      <c r="AB238" s="43"/>
      <c r="AC238" s="23"/>
      <c r="AD238" s="23"/>
      <c r="AE238" s="24" t="s">
        <v>268</v>
      </c>
      <c r="AF238" s="24" t="s">
        <v>40</v>
      </c>
      <c r="AG238" s="24" t="s">
        <v>40</v>
      </c>
      <c r="AH238" s="24" t="s">
        <v>40</v>
      </c>
      <c r="AI238" s="25">
        <v>45812</v>
      </c>
      <c r="AJ238" s="25"/>
      <c r="AK238" s="24" t="s">
        <v>40</v>
      </c>
    </row>
    <row r="239" spans="1:37" x14ac:dyDescent="0.35">
      <c r="A239" s="3" t="s">
        <v>32</v>
      </c>
      <c r="B239" s="3" t="s">
        <v>33</v>
      </c>
      <c r="C239" s="3" t="s">
        <v>34</v>
      </c>
      <c r="D239" s="3" t="s">
        <v>35</v>
      </c>
      <c r="E239" s="3" t="s">
        <v>111</v>
      </c>
      <c r="F239" s="4">
        <v>45812</v>
      </c>
      <c r="G239" s="23">
        <v>1800009452</v>
      </c>
      <c r="H239" s="24" t="s">
        <v>47</v>
      </c>
      <c r="I239" s="25">
        <v>45812</v>
      </c>
      <c r="J239" s="25">
        <v>45817</v>
      </c>
      <c r="K239" s="24" t="s">
        <v>38</v>
      </c>
      <c r="L239" s="26">
        <v>256779414216</v>
      </c>
      <c r="M239" s="23">
        <v>212100</v>
      </c>
      <c r="N239" s="24" t="s">
        <v>39</v>
      </c>
      <c r="O239" s="24" t="s">
        <v>40</v>
      </c>
      <c r="P239" s="23">
        <v>1</v>
      </c>
      <c r="Q239" s="24" t="s">
        <v>42</v>
      </c>
      <c r="R239" s="27">
        <v>100.35</v>
      </c>
      <c r="S239" s="24" t="s">
        <v>43</v>
      </c>
      <c r="T239" s="42">
        <v>8579</v>
      </c>
      <c r="U239" s="24" t="s">
        <v>44</v>
      </c>
      <c r="V239" s="23">
        <v>6779224500</v>
      </c>
      <c r="W239" s="24" t="s">
        <v>40</v>
      </c>
      <c r="X239" s="24" t="s">
        <v>38</v>
      </c>
      <c r="Y239" s="23">
        <v>1</v>
      </c>
      <c r="Z239" s="43" cm="1">
        <f t="array" ref="Z239:AA239">_xlfn.XLOOKUP(L239,'Customer Ledger'!$O:$O,'Customer Ledger'!$P:$Q,,0)</f>
        <v>0</v>
      </c>
      <c r="AA239" s="43">
        <v>8407</v>
      </c>
      <c r="AB239" s="43">
        <f t="shared" ref="AB239:AB240" si="63">AA239-Z239</f>
        <v>8407</v>
      </c>
      <c r="AC239" s="43">
        <f t="shared" ref="AC239:AC240" si="64">T239-AB239</f>
        <v>172</v>
      </c>
      <c r="AD239" s="51">
        <f t="shared" ref="AD239:AD240" si="65">AC239/T239</f>
        <v>2.0048956754866534E-2</v>
      </c>
      <c r="AE239" s="24" t="s">
        <v>269</v>
      </c>
      <c r="AF239" s="24" t="s">
        <v>40</v>
      </c>
      <c r="AG239" s="24" t="s">
        <v>40</v>
      </c>
      <c r="AH239" s="24" t="s">
        <v>40</v>
      </c>
      <c r="AI239" s="25">
        <v>45812</v>
      </c>
      <c r="AJ239" s="25"/>
      <c r="AK239" s="24" t="s">
        <v>40</v>
      </c>
    </row>
    <row r="240" spans="1:37" x14ac:dyDescent="0.35">
      <c r="A240" s="3" t="s">
        <v>32</v>
      </c>
      <c r="B240" s="3" t="s">
        <v>33</v>
      </c>
      <c r="C240" s="3" t="s">
        <v>34</v>
      </c>
      <c r="D240" s="3" t="s">
        <v>35</v>
      </c>
      <c r="E240" s="3" t="s">
        <v>111</v>
      </c>
      <c r="F240" s="4">
        <v>45812</v>
      </c>
      <c r="G240" s="23">
        <v>1800009524</v>
      </c>
      <c r="H240" s="24" t="s">
        <v>47</v>
      </c>
      <c r="I240" s="25">
        <v>45812</v>
      </c>
      <c r="J240" s="25">
        <v>45817</v>
      </c>
      <c r="K240" s="24" t="s">
        <v>38</v>
      </c>
      <c r="L240" s="26">
        <v>256779414288</v>
      </c>
      <c r="M240" s="23">
        <v>212100</v>
      </c>
      <c r="N240" s="24" t="s">
        <v>39</v>
      </c>
      <c r="O240" s="24" t="s">
        <v>40</v>
      </c>
      <c r="P240" s="23">
        <v>1</v>
      </c>
      <c r="Q240" s="24" t="s">
        <v>42</v>
      </c>
      <c r="R240" s="27">
        <v>190</v>
      </c>
      <c r="S240" s="24" t="s">
        <v>43</v>
      </c>
      <c r="T240" s="42">
        <v>16243.25</v>
      </c>
      <c r="U240" s="24" t="s">
        <v>44</v>
      </c>
      <c r="V240" s="23">
        <v>6779224500</v>
      </c>
      <c r="W240" s="24" t="s">
        <v>40</v>
      </c>
      <c r="X240" s="24" t="s">
        <v>38</v>
      </c>
      <c r="Y240" s="23">
        <v>1</v>
      </c>
      <c r="Z240" s="43" cm="1">
        <f t="array" ref="Z240:AA240">_xlfn.XLOOKUP(L240,'Customer Ledger'!$O:$O,'Customer Ledger'!$P:$Q,,0)</f>
        <v>0</v>
      </c>
      <c r="AA240" s="43">
        <v>17313</v>
      </c>
      <c r="AB240" s="43">
        <f t="shared" si="63"/>
        <v>17313</v>
      </c>
      <c r="AC240" s="43">
        <f t="shared" si="64"/>
        <v>-1069.75</v>
      </c>
      <c r="AD240" s="51">
        <f t="shared" si="65"/>
        <v>-6.5858125682975999E-2</v>
      </c>
      <c r="AE240" s="24" t="s">
        <v>270</v>
      </c>
      <c r="AF240" s="24" t="s">
        <v>40</v>
      </c>
      <c r="AG240" s="24" t="s">
        <v>40</v>
      </c>
      <c r="AH240" s="24" t="s">
        <v>40</v>
      </c>
      <c r="AI240" s="25">
        <v>45812</v>
      </c>
      <c r="AJ240" s="25">
        <v>45976</v>
      </c>
      <c r="AK240" s="23">
        <v>1400001901</v>
      </c>
    </row>
    <row r="241" spans="1:37" x14ac:dyDescent="0.35">
      <c r="A241" s="3" t="s">
        <v>32</v>
      </c>
      <c r="B241" s="3" t="s">
        <v>33</v>
      </c>
      <c r="C241" s="3" t="s">
        <v>34</v>
      </c>
      <c r="D241" s="3" t="s">
        <v>35</v>
      </c>
      <c r="E241" s="3" t="s">
        <v>81</v>
      </c>
      <c r="F241" s="4">
        <v>45791</v>
      </c>
      <c r="G241" s="23">
        <v>1600000595</v>
      </c>
      <c r="H241" s="24" t="s">
        <v>37</v>
      </c>
      <c r="I241" s="25">
        <v>45791</v>
      </c>
      <c r="J241" s="25">
        <v>45793</v>
      </c>
      <c r="K241" s="24" t="s">
        <v>38</v>
      </c>
      <c r="L241" s="26">
        <v>256779420304</v>
      </c>
      <c r="M241" s="23">
        <v>212100</v>
      </c>
      <c r="N241" s="24" t="s">
        <v>39</v>
      </c>
      <c r="O241" s="24" t="s">
        <v>40</v>
      </c>
      <c r="P241" s="23">
        <v>11</v>
      </c>
      <c r="Q241" s="24" t="s">
        <v>42</v>
      </c>
      <c r="R241" s="27">
        <v>-14.31</v>
      </c>
      <c r="S241" s="24" t="s">
        <v>43</v>
      </c>
      <c r="T241" s="27">
        <v>-1240.55</v>
      </c>
      <c r="U241" s="24" t="s">
        <v>44</v>
      </c>
      <c r="V241" s="23">
        <v>6779224500</v>
      </c>
      <c r="W241" s="24" t="s">
        <v>40</v>
      </c>
      <c r="X241" s="24" t="s">
        <v>38</v>
      </c>
      <c r="Y241" s="23">
        <v>1</v>
      </c>
      <c r="Z241" s="43" t="e" cm="1">
        <f t="array" ref="Z241">_xlfn.XLOOKUP(L241,'Customer Ledger'!$O:$O,'Customer Ledger'!$P:$Q,,0)</f>
        <v>#N/A</v>
      </c>
      <c r="AA241" s="43"/>
      <c r="AB241" s="43"/>
      <c r="AC241" s="23"/>
      <c r="AD241" s="23"/>
      <c r="AE241" s="24" t="s">
        <v>271</v>
      </c>
      <c r="AF241" s="24" t="s">
        <v>40</v>
      </c>
      <c r="AG241" s="24" t="s">
        <v>40</v>
      </c>
      <c r="AH241" s="24" t="s">
        <v>40</v>
      </c>
      <c r="AI241" s="25">
        <v>45791</v>
      </c>
      <c r="AJ241" s="25">
        <v>45842</v>
      </c>
      <c r="AK241" s="23">
        <v>1400000245</v>
      </c>
    </row>
    <row r="242" spans="1:37" x14ac:dyDescent="0.35">
      <c r="A242" s="3" t="s">
        <v>32</v>
      </c>
      <c r="B242" s="3" t="s">
        <v>33</v>
      </c>
      <c r="C242" s="3" t="s">
        <v>34</v>
      </c>
      <c r="D242" s="3" t="s">
        <v>35</v>
      </c>
      <c r="E242" s="3" t="s">
        <v>81</v>
      </c>
      <c r="F242" s="4">
        <v>45791</v>
      </c>
      <c r="G242" s="23">
        <v>1600000715</v>
      </c>
      <c r="H242" s="24" t="s">
        <v>37</v>
      </c>
      <c r="I242" s="25">
        <v>45791</v>
      </c>
      <c r="J242" s="25">
        <v>45793</v>
      </c>
      <c r="K242" s="24" t="s">
        <v>38</v>
      </c>
      <c r="L242" s="26">
        <v>256779420424</v>
      </c>
      <c r="M242" s="23">
        <v>212100</v>
      </c>
      <c r="N242" s="24" t="s">
        <v>39</v>
      </c>
      <c r="O242" s="24" t="s">
        <v>40</v>
      </c>
      <c r="P242" s="23">
        <v>11</v>
      </c>
      <c r="Q242" s="24" t="s">
        <v>42</v>
      </c>
      <c r="R242" s="27">
        <v>-456.75</v>
      </c>
      <c r="S242" s="24" t="s">
        <v>43</v>
      </c>
      <c r="T242" s="27">
        <v>-39701.54</v>
      </c>
      <c r="U242" s="24" t="s">
        <v>44</v>
      </c>
      <c r="V242" s="23">
        <v>6779224500</v>
      </c>
      <c r="W242" s="24" t="s">
        <v>40</v>
      </c>
      <c r="X242" s="24" t="s">
        <v>38</v>
      </c>
      <c r="Y242" s="23">
        <v>1</v>
      </c>
      <c r="Z242" s="43" t="e" cm="1">
        <f t="array" ref="Z242">_xlfn.XLOOKUP(L242,'Customer Ledger'!$O:$O,'Customer Ledger'!$P:$Q,,0)</f>
        <v>#N/A</v>
      </c>
      <c r="AA242" s="43"/>
      <c r="AB242" s="43"/>
      <c r="AC242" s="23"/>
      <c r="AD242" s="23"/>
      <c r="AE242" s="24" t="s">
        <v>272</v>
      </c>
      <c r="AF242" s="24" t="s">
        <v>40</v>
      </c>
      <c r="AG242" s="24" t="s">
        <v>40</v>
      </c>
      <c r="AH242" s="24" t="s">
        <v>40</v>
      </c>
      <c r="AI242" s="25">
        <v>45791</v>
      </c>
      <c r="AJ242" s="25">
        <v>45842</v>
      </c>
      <c r="AK242" s="23">
        <v>1400000246</v>
      </c>
    </row>
    <row r="243" spans="1:37" x14ac:dyDescent="0.35">
      <c r="A243" s="3" t="s">
        <v>32</v>
      </c>
      <c r="B243" s="3" t="s">
        <v>33</v>
      </c>
      <c r="C243" s="3" t="s">
        <v>34</v>
      </c>
      <c r="D243" s="3" t="s">
        <v>35</v>
      </c>
      <c r="E243" s="3" t="s">
        <v>81</v>
      </c>
      <c r="F243" s="4">
        <v>45791</v>
      </c>
      <c r="G243" s="23">
        <v>1600000802</v>
      </c>
      <c r="H243" s="24" t="s">
        <v>37</v>
      </c>
      <c r="I243" s="25">
        <v>45791</v>
      </c>
      <c r="J243" s="25">
        <v>45793</v>
      </c>
      <c r="K243" s="24" t="s">
        <v>38</v>
      </c>
      <c r="L243" s="26">
        <v>256779420511</v>
      </c>
      <c r="M243" s="23">
        <v>212100</v>
      </c>
      <c r="N243" s="24" t="s">
        <v>39</v>
      </c>
      <c r="O243" s="24" t="s">
        <v>40</v>
      </c>
      <c r="P243" s="23">
        <v>11</v>
      </c>
      <c r="Q243" s="24" t="s">
        <v>42</v>
      </c>
      <c r="R243" s="27">
        <v>-456.75</v>
      </c>
      <c r="S243" s="24" t="s">
        <v>43</v>
      </c>
      <c r="T243" s="27">
        <v>-39701.54</v>
      </c>
      <c r="U243" s="24" t="s">
        <v>44</v>
      </c>
      <c r="V243" s="23">
        <v>6779224500</v>
      </c>
      <c r="W243" s="24" t="s">
        <v>40</v>
      </c>
      <c r="X243" s="24" t="s">
        <v>38</v>
      </c>
      <c r="Y243" s="23">
        <v>1</v>
      </c>
      <c r="Z243" s="43" t="e" cm="1">
        <f t="array" ref="Z243">_xlfn.XLOOKUP(L243,'Customer Ledger'!$O:$O,'Customer Ledger'!$P:$Q,,0)</f>
        <v>#N/A</v>
      </c>
      <c r="AA243" s="43"/>
      <c r="AB243" s="43"/>
      <c r="AC243" s="23"/>
      <c r="AD243" s="23"/>
      <c r="AE243" s="24" t="s">
        <v>273</v>
      </c>
      <c r="AF243" s="24" t="s">
        <v>40</v>
      </c>
      <c r="AG243" s="24" t="s">
        <v>40</v>
      </c>
      <c r="AH243" s="24" t="s">
        <v>40</v>
      </c>
      <c r="AI243" s="25">
        <v>45791</v>
      </c>
      <c r="AJ243" s="25">
        <v>45842</v>
      </c>
      <c r="AK243" s="23">
        <v>1400000247</v>
      </c>
    </row>
    <row r="244" spans="1:37" x14ac:dyDescent="0.35">
      <c r="A244" s="3" t="s">
        <v>32</v>
      </c>
      <c r="B244" s="3" t="s">
        <v>33</v>
      </c>
      <c r="C244" s="3" t="s">
        <v>34</v>
      </c>
      <c r="D244" s="3" t="s">
        <v>35</v>
      </c>
      <c r="E244" s="3" t="s">
        <v>81</v>
      </c>
      <c r="F244" s="4">
        <v>45793</v>
      </c>
      <c r="G244" s="23">
        <v>1800008593</v>
      </c>
      <c r="H244" s="24" t="s">
        <v>47</v>
      </c>
      <c r="I244" s="25">
        <v>45793</v>
      </c>
      <c r="J244" s="25">
        <v>45800</v>
      </c>
      <c r="K244" s="24" t="s">
        <v>38</v>
      </c>
      <c r="L244" s="26">
        <v>256779413357</v>
      </c>
      <c r="M244" s="23">
        <v>212100</v>
      </c>
      <c r="N244" s="24" t="s">
        <v>39</v>
      </c>
      <c r="O244" s="24" t="s">
        <v>40</v>
      </c>
      <c r="P244" s="23">
        <v>1</v>
      </c>
      <c r="Q244" s="24" t="s">
        <v>42</v>
      </c>
      <c r="R244" s="27">
        <v>15</v>
      </c>
      <c r="S244" s="24" t="s">
        <v>43</v>
      </c>
      <c r="T244" s="42">
        <v>1289.76</v>
      </c>
      <c r="U244" s="24" t="s">
        <v>44</v>
      </c>
      <c r="V244" s="23">
        <v>6779224500</v>
      </c>
      <c r="W244" s="24" t="s">
        <v>40</v>
      </c>
      <c r="X244" s="24" t="s">
        <v>38</v>
      </c>
      <c r="Y244" s="23">
        <v>1</v>
      </c>
      <c r="Z244" s="43" cm="1">
        <f t="array" ref="Z244:AA244">_xlfn.XLOOKUP(L244,'Customer Ledger'!$O:$O,'Customer Ledger'!$P:$Q,,0)</f>
        <v>0</v>
      </c>
      <c r="AA244" s="43">
        <v>1264</v>
      </c>
      <c r="AB244" s="43">
        <f t="shared" ref="AB244:AB246" si="66">AA244-Z244</f>
        <v>1264</v>
      </c>
      <c r="AC244" s="43">
        <f t="shared" ref="AC244:AC246" si="67">T244-AB244</f>
        <v>25.759999999999991</v>
      </c>
      <c r="AD244" s="51">
        <f t="shared" ref="AD244:AD246" si="68">AC244/T244</f>
        <v>1.9972708100731911E-2</v>
      </c>
      <c r="AE244" s="24" t="s">
        <v>274</v>
      </c>
      <c r="AF244" s="24" t="s">
        <v>40</v>
      </c>
      <c r="AG244" s="24" t="s">
        <v>40</v>
      </c>
      <c r="AH244" s="24" t="s">
        <v>40</v>
      </c>
      <c r="AI244" s="25">
        <v>45793</v>
      </c>
      <c r="AJ244" s="25"/>
      <c r="AK244" s="24" t="s">
        <v>40</v>
      </c>
    </row>
    <row r="245" spans="1:37" x14ac:dyDescent="0.35">
      <c r="A245" s="3" t="s">
        <v>32</v>
      </c>
      <c r="B245" s="3" t="s">
        <v>33</v>
      </c>
      <c r="C245" s="3" t="s">
        <v>34</v>
      </c>
      <c r="D245" s="3" t="s">
        <v>35</v>
      </c>
      <c r="E245" s="3" t="s">
        <v>81</v>
      </c>
      <c r="F245" s="4">
        <v>45793</v>
      </c>
      <c r="G245" s="23">
        <v>1800008519</v>
      </c>
      <c r="H245" s="24" t="s">
        <v>47</v>
      </c>
      <c r="I245" s="25">
        <v>45793</v>
      </c>
      <c r="J245" s="25">
        <v>45800</v>
      </c>
      <c r="K245" s="24" t="s">
        <v>38</v>
      </c>
      <c r="L245" s="26">
        <v>256779413283</v>
      </c>
      <c r="M245" s="23">
        <v>212100</v>
      </c>
      <c r="N245" s="24" t="s">
        <v>39</v>
      </c>
      <c r="O245" s="24" t="s">
        <v>40</v>
      </c>
      <c r="P245" s="23">
        <v>1</v>
      </c>
      <c r="Q245" s="24" t="s">
        <v>42</v>
      </c>
      <c r="R245" s="27">
        <v>140</v>
      </c>
      <c r="S245" s="24" t="s">
        <v>43</v>
      </c>
      <c r="T245" s="42">
        <v>12037.72</v>
      </c>
      <c r="U245" s="24" t="s">
        <v>44</v>
      </c>
      <c r="V245" s="23">
        <v>6779224500</v>
      </c>
      <c r="W245" s="24" t="s">
        <v>40</v>
      </c>
      <c r="X245" s="24" t="s">
        <v>38</v>
      </c>
      <c r="Y245" s="23">
        <v>1</v>
      </c>
      <c r="Z245" s="43" cm="1">
        <f t="array" ref="Z245:AA245">_xlfn.XLOOKUP(L245,'Customer Ledger'!$O:$O,'Customer Ledger'!$P:$Q,,0)</f>
        <v>0</v>
      </c>
      <c r="AA245" s="43">
        <v>11797</v>
      </c>
      <c r="AB245" s="43">
        <f t="shared" si="66"/>
        <v>11797</v>
      </c>
      <c r="AC245" s="43">
        <f t="shared" si="67"/>
        <v>240.71999999999935</v>
      </c>
      <c r="AD245" s="51">
        <f t="shared" si="68"/>
        <v>1.9997142315986694E-2</v>
      </c>
      <c r="AE245" s="24" t="s">
        <v>275</v>
      </c>
      <c r="AF245" s="24" t="s">
        <v>40</v>
      </c>
      <c r="AG245" s="24" t="s">
        <v>40</v>
      </c>
      <c r="AH245" s="24" t="s">
        <v>40</v>
      </c>
      <c r="AI245" s="25">
        <v>45793</v>
      </c>
      <c r="AJ245" s="25">
        <v>45976</v>
      </c>
      <c r="AK245" s="23">
        <v>1400001901</v>
      </c>
    </row>
    <row r="246" spans="1:37" x14ac:dyDescent="0.35">
      <c r="A246" s="3" t="s">
        <v>32</v>
      </c>
      <c r="B246" s="3" t="s">
        <v>33</v>
      </c>
      <c r="C246" s="3" t="s">
        <v>34</v>
      </c>
      <c r="D246" s="3" t="s">
        <v>35</v>
      </c>
      <c r="E246" s="3" t="s">
        <v>81</v>
      </c>
      <c r="F246" s="4">
        <v>45805</v>
      </c>
      <c r="G246" s="23">
        <v>1800009135</v>
      </c>
      <c r="H246" s="24" t="s">
        <v>47</v>
      </c>
      <c r="I246" s="25">
        <v>45805</v>
      </c>
      <c r="J246" s="25">
        <v>45805</v>
      </c>
      <c r="K246" s="24" t="s">
        <v>38</v>
      </c>
      <c r="L246" s="26">
        <v>256779413899</v>
      </c>
      <c r="M246" s="23">
        <v>212100</v>
      </c>
      <c r="N246" s="24" t="s">
        <v>39</v>
      </c>
      <c r="O246" s="24" t="s">
        <v>40</v>
      </c>
      <c r="P246" s="23">
        <v>1</v>
      </c>
      <c r="Q246" s="24" t="s">
        <v>42</v>
      </c>
      <c r="R246" s="27">
        <v>4312.12</v>
      </c>
      <c r="S246" s="24" t="s">
        <v>43</v>
      </c>
      <c r="T246" s="42">
        <v>370772.03</v>
      </c>
      <c r="U246" s="24" t="s">
        <v>44</v>
      </c>
      <c r="V246" s="23">
        <v>6779224500</v>
      </c>
      <c r="W246" s="24" t="s">
        <v>40</v>
      </c>
      <c r="X246" s="24" t="s">
        <v>38</v>
      </c>
      <c r="Y246" s="23">
        <v>1</v>
      </c>
      <c r="Z246" s="43" cm="1">
        <f t="array" ref="Z246:AA246">_xlfn.XLOOKUP(L246,'Customer Ledger'!$O:$O,'Customer Ledger'!$P:$Q,,0)</f>
        <v>0</v>
      </c>
      <c r="AA246" s="43">
        <v>333696</v>
      </c>
      <c r="AB246" s="43">
        <f t="shared" si="66"/>
        <v>333696</v>
      </c>
      <c r="AC246" s="43">
        <f t="shared" si="67"/>
        <v>37076.030000000028</v>
      </c>
      <c r="AD246" s="51">
        <f t="shared" si="68"/>
        <v>9.999683633093906E-2</v>
      </c>
      <c r="AE246" s="24" t="s">
        <v>276</v>
      </c>
      <c r="AF246" s="24" t="s">
        <v>40</v>
      </c>
      <c r="AG246" s="24" t="s">
        <v>40</v>
      </c>
      <c r="AH246" s="24" t="s">
        <v>40</v>
      </c>
      <c r="AI246" s="25">
        <v>45805</v>
      </c>
      <c r="AJ246" s="25"/>
      <c r="AK246" s="24" t="s">
        <v>40</v>
      </c>
    </row>
    <row r="247" spans="1:37" x14ac:dyDescent="0.35">
      <c r="A247" s="3" t="s">
        <v>32</v>
      </c>
      <c r="B247" s="3" t="s">
        <v>33</v>
      </c>
      <c r="C247" s="3" t="s">
        <v>34</v>
      </c>
      <c r="D247" s="3" t="s">
        <v>35</v>
      </c>
      <c r="E247" s="3" t="s">
        <v>36</v>
      </c>
      <c r="F247" s="4">
        <v>45856</v>
      </c>
      <c r="G247" s="23">
        <v>1800010769</v>
      </c>
      <c r="H247" s="24" t="s">
        <v>47</v>
      </c>
      <c r="I247" s="25">
        <v>45856</v>
      </c>
      <c r="J247" s="25">
        <v>45859</v>
      </c>
      <c r="K247" s="24" t="s">
        <v>38</v>
      </c>
      <c r="L247" s="26">
        <v>256779415431</v>
      </c>
      <c r="M247" s="23">
        <v>212100</v>
      </c>
      <c r="N247" s="24" t="s">
        <v>39</v>
      </c>
      <c r="O247" s="24" t="s">
        <v>40</v>
      </c>
      <c r="P247" s="23">
        <v>1</v>
      </c>
      <c r="Q247" s="24" t="s">
        <v>42</v>
      </c>
      <c r="R247" s="27">
        <v>358.33</v>
      </c>
      <c r="S247" s="24" t="s">
        <v>43</v>
      </c>
      <c r="T247" s="27">
        <v>30816.62</v>
      </c>
      <c r="U247" s="24" t="s">
        <v>44</v>
      </c>
      <c r="V247" s="23">
        <v>6779224500</v>
      </c>
      <c r="W247" s="24" t="s">
        <v>40</v>
      </c>
      <c r="X247" s="24" t="s">
        <v>38</v>
      </c>
      <c r="Y247" s="23">
        <v>1</v>
      </c>
      <c r="Z247" s="43" t="e" cm="1">
        <f t="array" ref="Z247">_xlfn.XLOOKUP(L247,'Customer Ledger'!$O:$O,'Customer Ledger'!$P:$Q,,0)</f>
        <v>#N/A</v>
      </c>
      <c r="AA247" s="43"/>
      <c r="AB247" s="43"/>
      <c r="AC247" s="23"/>
      <c r="AD247" s="23"/>
      <c r="AE247" s="24" t="s">
        <v>277</v>
      </c>
      <c r="AF247" s="24" t="s">
        <v>40</v>
      </c>
      <c r="AG247" s="24" t="s">
        <v>40</v>
      </c>
      <c r="AH247" s="24" t="s">
        <v>40</v>
      </c>
      <c r="AI247" s="25">
        <v>45856</v>
      </c>
      <c r="AJ247" s="25"/>
      <c r="AK247" s="24" t="s">
        <v>40</v>
      </c>
    </row>
    <row r="248" spans="1:37" x14ac:dyDescent="0.35">
      <c r="A248" s="3" t="s">
        <v>32</v>
      </c>
      <c r="B248" s="3" t="s">
        <v>33</v>
      </c>
      <c r="C248" s="3" t="s">
        <v>34</v>
      </c>
      <c r="D248" s="3" t="s">
        <v>35</v>
      </c>
      <c r="E248" s="3" t="s">
        <v>36</v>
      </c>
      <c r="F248" s="4">
        <v>45856</v>
      </c>
      <c r="G248" s="23">
        <v>1800010660</v>
      </c>
      <c r="H248" s="24" t="s">
        <v>47</v>
      </c>
      <c r="I248" s="25">
        <v>45856</v>
      </c>
      <c r="J248" s="25">
        <v>45859</v>
      </c>
      <c r="K248" s="24" t="s">
        <v>38</v>
      </c>
      <c r="L248" s="26">
        <v>256779415444</v>
      </c>
      <c r="M248" s="23">
        <v>212100</v>
      </c>
      <c r="N248" s="24" t="s">
        <v>39</v>
      </c>
      <c r="O248" s="24" t="s">
        <v>40</v>
      </c>
      <c r="P248" s="23">
        <v>1</v>
      </c>
      <c r="Q248" s="24" t="s">
        <v>42</v>
      </c>
      <c r="R248" s="27">
        <v>99</v>
      </c>
      <c r="S248" s="24" t="s">
        <v>43</v>
      </c>
      <c r="T248" s="42">
        <v>8514.07</v>
      </c>
      <c r="U248" s="24" t="s">
        <v>44</v>
      </c>
      <c r="V248" s="23">
        <v>6779224500</v>
      </c>
      <c r="W248" s="24" t="s">
        <v>40</v>
      </c>
      <c r="X248" s="24" t="s">
        <v>38</v>
      </c>
      <c r="Y248" s="23">
        <v>1</v>
      </c>
      <c r="Z248" s="43" cm="1">
        <f t="array" ref="Z248:AA248">_xlfn.XLOOKUP(L248,'Customer Ledger'!$O:$O,'Customer Ledger'!$P:$Q,,0)</f>
        <v>0</v>
      </c>
      <c r="AA248" s="43">
        <v>8342.0650000000005</v>
      </c>
      <c r="AB248" s="43">
        <f t="shared" ref="AB248:AB311" si="69">AA248-Z248</f>
        <v>8342.0650000000005</v>
      </c>
      <c r="AC248" s="43">
        <f t="shared" ref="AC248:AC311" si="70">T248-AB248</f>
        <v>172.0049999999992</v>
      </c>
      <c r="AD248" s="51">
        <f t="shared" ref="AD248:AD311" si="71">AC248/T248</f>
        <v>2.0202441370578254E-2</v>
      </c>
      <c r="AE248" s="24" t="s">
        <v>278</v>
      </c>
      <c r="AF248" s="24" t="s">
        <v>40</v>
      </c>
      <c r="AG248" s="24" t="s">
        <v>40</v>
      </c>
      <c r="AH248" s="24" t="s">
        <v>40</v>
      </c>
      <c r="AI248" s="25">
        <v>45856</v>
      </c>
      <c r="AJ248" s="25"/>
      <c r="AK248" s="24" t="s">
        <v>40</v>
      </c>
    </row>
    <row r="249" spans="1:37" x14ac:dyDescent="0.35">
      <c r="A249" s="3" t="s">
        <v>32</v>
      </c>
      <c r="B249" s="3" t="s">
        <v>33</v>
      </c>
      <c r="C249" s="3" t="s">
        <v>34</v>
      </c>
      <c r="D249" s="3" t="s">
        <v>35</v>
      </c>
      <c r="E249" s="3" t="s">
        <v>36</v>
      </c>
      <c r="F249" s="4">
        <v>45856</v>
      </c>
      <c r="G249" s="23">
        <v>1800010672</v>
      </c>
      <c r="H249" s="24" t="s">
        <v>47</v>
      </c>
      <c r="I249" s="25">
        <v>45856</v>
      </c>
      <c r="J249" s="25">
        <v>45859</v>
      </c>
      <c r="K249" s="24" t="s">
        <v>38</v>
      </c>
      <c r="L249" s="26">
        <v>256779415456</v>
      </c>
      <c r="M249" s="23">
        <v>212100</v>
      </c>
      <c r="N249" s="24" t="s">
        <v>39</v>
      </c>
      <c r="O249" s="24" t="s">
        <v>40</v>
      </c>
      <c r="P249" s="23">
        <v>1</v>
      </c>
      <c r="Q249" s="24" t="s">
        <v>42</v>
      </c>
      <c r="R249" s="27">
        <v>160.24</v>
      </c>
      <c r="S249" s="24" t="s">
        <v>43</v>
      </c>
      <c r="T249" s="42">
        <v>13780.75</v>
      </c>
      <c r="U249" s="24" t="s">
        <v>44</v>
      </c>
      <c r="V249" s="23">
        <v>6779224500</v>
      </c>
      <c r="W249" s="24" t="s">
        <v>40</v>
      </c>
      <c r="X249" s="24" t="s">
        <v>38</v>
      </c>
      <c r="Y249" s="23">
        <v>1</v>
      </c>
      <c r="Z249" s="43" cm="1">
        <f t="array" ref="Z249:AA249">_xlfn.XLOOKUP(L249,'Customer Ledger'!$O:$O,'Customer Ledger'!$P:$Q,,0)</f>
        <v>0</v>
      </c>
      <c r="AA249" s="43">
        <v>13522.7454</v>
      </c>
      <c r="AB249" s="43">
        <f t="shared" si="69"/>
        <v>13522.7454</v>
      </c>
      <c r="AC249" s="43">
        <f t="shared" si="70"/>
        <v>258.00460000000021</v>
      </c>
      <c r="AD249" s="51">
        <f t="shared" si="71"/>
        <v>1.8722101482139958E-2</v>
      </c>
      <c r="AE249" s="24" t="s">
        <v>279</v>
      </c>
      <c r="AF249" s="24" t="s">
        <v>40</v>
      </c>
      <c r="AG249" s="24" t="s">
        <v>40</v>
      </c>
      <c r="AH249" s="24" t="s">
        <v>40</v>
      </c>
      <c r="AI249" s="25">
        <v>45856</v>
      </c>
      <c r="AJ249" s="25"/>
      <c r="AK249" s="24" t="s">
        <v>40</v>
      </c>
    </row>
    <row r="250" spans="1:37" x14ac:dyDescent="0.35">
      <c r="A250" s="3" t="s">
        <v>32</v>
      </c>
      <c r="B250" s="3" t="s">
        <v>33</v>
      </c>
      <c r="C250" s="3" t="s">
        <v>34</v>
      </c>
      <c r="D250" s="3" t="s">
        <v>35</v>
      </c>
      <c r="E250" s="3" t="s">
        <v>36</v>
      </c>
      <c r="F250" s="4">
        <v>45856</v>
      </c>
      <c r="G250" s="23">
        <v>1800011041</v>
      </c>
      <c r="H250" s="24" t="s">
        <v>47</v>
      </c>
      <c r="I250" s="25">
        <v>45856</v>
      </c>
      <c r="J250" s="25">
        <v>45859</v>
      </c>
      <c r="K250" s="24" t="s">
        <v>38</v>
      </c>
      <c r="L250" s="26">
        <v>256779415801</v>
      </c>
      <c r="M250" s="23">
        <v>212100</v>
      </c>
      <c r="N250" s="24" t="s">
        <v>39</v>
      </c>
      <c r="O250" s="24" t="s">
        <v>40</v>
      </c>
      <c r="P250" s="23">
        <v>1</v>
      </c>
      <c r="Q250" s="24" t="s">
        <v>42</v>
      </c>
      <c r="R250" s="27">
        <v>1762.2</v>
      </c>
      <c r="S250" s="24" t="s">
        <v>43</v>
      </c>
      <c r="T250" s="42">
        <v>151550.38</v>
      </c>
      <c r="U250" s="24" t="s">
        <v>44</v>
      </c>
      <c r="V250" s="23">
        <v>6779224500</v>
      </c>
      <c r="W250" s="24" t="s">
        <v>40</v>
      </c>
      <c r="X250" s="24" t="s">
        <v>38</v>
      </c>
      <c r="Y250" s="23">
        <v>1</v>
      </c>
      <c r="Z250" s="43" cm="1">
        <f t="array" ref="Z250:AA250">_xlfn.XLOOKUP(L250,'Customer Ledger'!$O:$O,'Customer Ledger'!$P:$Q,,0)</f>
        <v>0</v>
      </c>
      <c r="AA250" s="43">
        <v>148540.3572</v>
      </c>
      <c r="AB250" s="43">
        <f t="shared" si="69"/>
        <v>148540.3572</v>
      </c>
      <c r="AC250" s="43">
        <f t="shared" si="70"/>
        <v>3010.0228000000061</v>
      </c>
      <c r="AD250" s="51">
        <f t="shared" si="71"/>
        <v>1.9861532514798087E-2</v>
      </c>
      <c r="AE250" s="24" t="s">
        <v>280</v>
      </c>
      <c r="AF250" s="24" t="s">
        <v>40</v>
      </c>
      <c r="AG250" s="24" t="s">
        <v>40</v>
      </c>
      <c r="AH250" s="24" t="s">
        <v>40</v>
      </c>
      <c r="AI250" s="25">
        <v>45856</v>
      </c>
      <c r="AJ250" s="25"/>
      <c r="AK250" s="24" t="s">
        <v>40</v>
      </c>
    </row>
    <row r="251" spans="1:37" x14ac:dyDescent="0.35">
      <c r="A251" s="3" t="s">
        <v>32</v>
      </c>
      <c r="B251" s="3" t="s">
        <v>33</v>
      </c>
      <c r="C251" s="3" t="s">
        <v>34</v>
      </c>
      <c r="D251" s="3" t="s">
        <v>35</v>
      </c>
      <c r="E251" s="3" t="s">
        <v>114</v>
      </c>
      <c r="F251" s="4">
        <v>45729</v>
      </c>
      <c r="G251" s="23">
        <v>1800001410</v>
      </c>
      <c r="H251" s="24" t="s">
        <v>47</v>
      </c>
      <c r="I251" s="25">
        <v>45729</v>
      </c>
      <c r="J251" s="25">
        <v>45731</v>
      </c>
      <c r="K251" s="24" t="s">
        <v>38</v>
      </c>
      <c r="L251" s="26">
        <v>246779411278</v>
      </c>
      <c r="M251" s="23">
        <v>212100</v>
      </c>
      <c r="N251" s="24" t="s">
        <v>39</v>
      </c>
      <c r="O251" s="24" t="s">
        <v>40</v>
      </c>
      <c r="P251" s="23">
        <v>1</v>
      </c>
      <c r="Q251" s="24" t="s">
        <v>42</v>
      </c>
      <c r="R251" s="27">
        <v>525</v>
      </c>
      <c r="S251" s="24" t="s">
        <v>43</v>
      </c>
      <c r="T251" s="42">
        <v>45512.91</v>
      </c>
      <c r="U251" s="24" t="s">
        <v>44</v>
      </c>
      <c r="V251" s="23">
        <v>6779224500</v>
      </c>
      <c r="W251" s="24" t="s">
        <v>40</v>
      </c>
      <c r="X251" s="24" t="s">
        <v>38</v>
      </c>
      <c r="Y251" s="23">
        <v>1</v>
      </c>
      <c r="Z251" s="43" cm="1">
        <f t="array" ref="Z251:AA251">_xlfn.XLOOKUP(L251,'Customer Ledger'!$O:$O,'Customer Ledger'!$P:$Q,,0)</f>
        <v>0</v>
      </c>
      <c r="AA251" s="43">
        <v>44602</v>
      </c>
      <c r="AB251" s="43">
        <f t="shared" si="69"/>
        <v>44602</v>
      </c>
      <c r="AC251" s="43">
        <f t="shared" si="70"/>
        <v>910.91000000000349</v>
      </c>
      <c r="AD251" s="51">
        <f t="shared" si="71"/>
        <v>2.0014321211278368E-2</v>
      </c>
      <c r="AE251" s="24" t="s">
        <v>281</v>
      </c>
      <c r="AF251" s="24" t="s">
        <v>40</v>
      </c>
      <c r="AG251" s="24" t="s">
        <v>40</v>
      </c>
      <c r="AH251" s="24" t="s">
        <v>40</v>
      </c>
      <c r="AI251" s="25">
        <v>45729</v>
      </c>
      <c r="AJ251" s="25"/>
      <c r="AK251" s="24" t="s">
        <v>40</v>
      </c>
    </row>
    <row r="252" spans="1:37" x14ac:dyDescent="0.35">
      <c r="A252" s="3" t="s">
        <v>32</v>
      </c>
      <c r="B252" s="3" t="s">
        <v>33</v>
      </c>
      <c r="C252" s="3" t="s">
        <v>34</v>
      </c>
      <c r="D252" s="3" t="s">
        <v>35</v>
      </c>
      <c r="E252" s="3" t="s">
        <v>114</v>
      </c>
      <c r="F252" s="4">
        <v>45729</v>
      </c>
      <c r="G252" s="23">
        <v>1800001426</v>
      </c>
      <c r="H252" s="24" t="s">
        <v>47</v>
      </c>
      <c r="I252" s="25">
        <v>45729</v>
      </c>
      <c r="J252" s="25">
        <v>45733</v>
      </c>
      <c r="K252" s="24" t="s">
        <v>38</v>
      </c>
      <c r="L252" s="26">
        <v>246779411339</v>
      </c>
      <c r="M252" s="23">
        <v>212100</v>
      </c>
      <c r="N252" s="24" t="s">
        <v>39</v>
      </c>
      <c r="O252" s="24" t="s">
        <v>40</v>
      </c>
      <c r="P252" s="23">
        <v>1</v>
      </c>
      <c r="Q252" s="24" t="s">
        <v>42</v>
      </c>
      <c r="R252" s="27">
        <v>220</v>
      </c>
      <c r="S252" s="24" t="s">
        <v>43</v>
      </c>
      <c r="T252" s="42">
        <v>19072.080000000002</v>
      </c>
      <c r="U252" s="24" t="s">
        <v>44</v>
      </c>
      <c r="V252" s="23">
        <v>6779224500</v>
      </c>
      <c r="W252" s="24" t="s">
        <v>40</v>
      </c>
      <c r="X252" s="24" t="s">
        <v>38</v>
      </c>
      <c r="Y252" s="23">
        <v>1</v>
      </c>
      <c r="Z252" s="43" cm="1">
        <f t="array" ref="Z252:AA252">_xlfn.XLOOKUP(L252,'Customer Ledger'!$O:$O,'Customer Ledger'!$P:$Q,,0)</f>
        <v>0</v>
      </c>
      <c r="AA252" s="43">
        <v>17857</v>
      </c>
      <c r="AB252" s="43">
        <f t="shared" si="69"/>
        <v>17857</v>
      </c>
      <c r="AC252" s="43">
        <f t="shared" si="70"/>
        <v>1215.0800000000017</v>
      </c>
      <c r="AD252" s="51">
        <f t="shared" si="71"/>
        <v>6.3709883767266162E-2</v>
      </c>
      <c r="AE252" s="24" t="s">
        <v>282</v>
      </c>
      <c r="AF252" s="24" t="s">
        <v>40</v>
      </c>
      <c r="AG252" s="24" t="s">
        <v>40</v>
      </c>
      <c r="AH252" s="24" t="s">
        <v>40</v>
      </c>
      <c r="AI252" s="25">
        <v>45729</v>
      </c>
      <c r="AJ252" s="25">
        <v>45976</v>
      </c>
      <c r="AK252" s="23">
        <v>1400001901</v>
      </c>
    </row>
    <row r="253" spans="1:37" x14ac:dyDescent="0.35">
      <c r="A253" s="3" t="s">
        <v>32</v>
      </c>
      <c r="B253" s="3" t="s">
        <v>33</v>
      </c>
      <c r="C253" s="3" t="s">
        <v>34</v>
      </c>
      <c r="D253" s="3" t="s">
        <v>35</v>
      </c>
      <c r="E253" s="3" t="s">
        <v>114</v>
      </c>
      <c r="F253" s="4">
        <v>45729</v>
      </c>
      <c r="G253" s="23">
        <v>1800001437</v>
      </c>
      <c r="H253" s="24" t="s">
        <v>47</v>
      </c>
      <c r="I253" s="25">
        <v>45729</v>
      </c>
      <c r="J253" s="25">
        <v>45733</v>
      </c>
      <c r="K253" s="24" t="s">
        <v>38</v>
      </c>
      <c r="L253" s="26">
        <v>246779411326</v>
      </c>
      <c r="M253" s="23">
        <v>212100</v>
      </c>
      <c r="N253" s="24" t="s">
        <v>39</v>
      </c>
      <c r="O253" s="24" t="s">
        <v>40</v>
      </c>
      <c r="P253" s="23">
        <v>1</v>
      </c>
      <c r="Q253" s="24" t="s">
        <v>42</v>
      </c>
      <c r="R253" s="27">
        <v>245</v>
      </c>
      <c r="S253" s="24" t="s">
        <v>43</v>
      </c>
      <c r="T253" s="42">
        <v>21239.360000000001</v>
      </c>
      <c r="U253" s="24" t="s">
        <v>44</v>
      </c>
      <c r="V253" s="23">
        <v>6779224500</v>
      </c>
      <c r="W253" s="24" t="s">
        <v>40</v>
      </c>
      <c r="X253" s="24" t="s">
        <v>38</v>
      </c>
      <c r="Y253" s="23">
        <v>1</v>
      </c>
      <c r="Z253" s="43" cm="1">
        <f t="array" ref="Z253:AA253">_xlfn.XLOOKUP(L253,'Customer Ledger'!$O:$O,'Customer Ledger'!$P:$Q,,0)</f>
        <v>0</v>
      </c>
      <c r="AA253" s="43">
        <v>20874</v>
      </c>
      <c r="AB253" s="43">
        <f t="shared" si="69"/>
        <v>20874</v>
      </c>
      <c r="AC253" s="43">
        <f t="shared" si="70"/>
        <v>365.36000000000058</v>
      </c>
      <c r="AD253" s="51">
        <f t="shared" si="71"/>
        <v>1.720202491977162E-2</v>
      </c>
      <c r="AE253" s="24" t="s">
        <v>283</v>
      </c>
      <c r="AF253" s="24" t="s">
        <v>40</v>
      </c>
      <c r="AG253" s="24" t="s">
        <v>40</v>
      </c>
      <c r="AH253" s="24" t="s">
        <v>40</v>
      </c>
      <c r="AI253" s="25">
        <v>45729</v>
      </c>
      <c r="AJ253" s="25">
        <v>45976</v>
      </c>
      <c r="AK253" s="23">
        <v>1400001901</v>
      </c>
    </row>
    <row r="254" spans="1:37" x14ac:dyDescent="0.35">
      <c r="A254" s="3" t="s">
        <v>32</v>
      </c>
      <c r="B254" s="3" t="s">
        <v>33</v>
      </c>
      <c r="C254" s="3" t="s">
        <v>34</v>
      </c>
      <c r="D254" s="3" t="s">
        <v>35</v>
      </c>
      <c r="E254" s="3" t="s">
        <v>114</v>
      </c>
      <c r="F254" s="4">
        <v>45729</v>
      </c>
      <c r="G254" s="23">
        <v>1800001450</v>
      </c>
      <c r="H254" s="24" t="s">
        <v>47</v>
      </c>
      <c r="I254" s="25">
        <v>45729</v>
      </c>
      <c r="J254" s="25">
        <v>45733</v>
      </c>
      <c r="K254" s="24" t="s">
        <v>38</v>
      </c>
      <c r="L254" s="26">
        <v>246779411314</v>
      </c>
      <c r="M254" s="23">
        <v>212100</v>
      </c>
      <c r="N254" s="24" t="s">
        <v>39</v>
      </c>
      <c r="O254" s="24" t="s">
        <v>40</v>
      </c>
      <c r="P254" s="23">
        <v>1</v>
      </c>
      <c r="Q254" s="24" t="s">
        <v>42</v>
      </c>
      <c r="R254" s="27">
        <v>105</v>
      </c>
      <c r="S254" s="24" t="s">
        <v>43</v>
      </c>
      <c r="T254" s="42">
        <v>9102.58</v>
      </c>
      <c r="U254" s="24" t="s">
        <v>44</v>
      </c>
      <c r="V254" s="23">
        <v>6779224500</v>
      </c>
      <c r="W254" s="24" t="s">
        <v>40</v>
      </c>
      <c r="X254" s="24" t="s">
        <v>38</v>
      </c>
      <c r="Y254" s="23">
        <v>1</v>
      </c>
      <c r="Z254" s="43" cm="1">
        <f t="array" ref="Z254:AA254">_xlfn.XLOOKUP(L254,'Customer Ledger'!$O:$O,'Customer Ledger'!$P:$Q,,0)</f>
        <v>0</v>
      </c>
      <c r="AA254" s="43">
        <v>8522</v>
      </c>
      <c r="AB254" s="43">
        <f t="shared" si="69"/>
        <v>8522</v>
      </c>
      <c r="AC254" s="43">
        <f t="shared" si="70"/>
        <v>580.57999999999993</v>
      </c>
      <c r="AD254" s="51">
        <f t="shared" si="71"/>
        <v>6.3781916775243933E-2</v>
      </c>
      <c r="AE254" s="24" t="s">
        <v>284</v>
      </c>
      <c r="AF254" s="24" t="s">
        <v>40</v>
      </c>
      <c r="AG254" s="24" t="s">
        <v>40</v>
      </c>
      <c r="AH254" s="24" t="s">
        <v>40</v>
      </c>
      <c r="AI254" s="25">
        <v>45729</v>
      </c>
      <c r="AJ254" s="25">
        <v>45976</v>
      </c>
      <c r="AK254" s="23">
        <v>1400001901</v>
      </c>
    </row>
    <row r="255" spans="1:37" x14ac:dyDescent="0.35">
      <c r="A255" s="3" t="s">
        <v>32</v>
      </c>
      <c r="B255" s="3" t="s">
        <v>33</v>
      </c>
      <c r="C255" s="3" t="s">
        <v>34</v>
      </c>
      <c r="D255" s="3" t="s">
        <v>35</v>
      </c>
      <c r="E255" s="3" t="s">
        <v>114</v>
      </c>
      <c r="F255" s="4">
        <v>45729</v>
      </c>
      <c r="G255" s="23">
        <v>1800001468</v>
      </c>
      <c r="H255" s="24" t="s">
        <v>47</v>
      </c>
      <c r="I255" s="25">
        <v>45729</v>
      </c>
      <c r="J255" s="25">
        <v>45733</v>
      </c>
      <c r="K255" s="24" t="s">
        <v>38</v>
      </c>
      <c r="L255" s="26">
        <v>246779411300</v>
      </c>
      <c r="M255" s="23">
        <v>212100</v>
      </c>
      <c r="N255" s="24" t="s">
        <v>39</v>
      </c>
      <c r="O255" s="24" t="s">
        <v>40</v>
      </c>
      <c r="P255" s="23">
        <v>1</v>
      </c>
      <c r="Q255" s="24" t="s">
        <v>42</v>
      </c>
      <c r="R255" s="27">
        <v>385</v>
      </c>
      <c r="S255" s="24" t="s">
        <v>43</v>
      </c>
      <c r="T255" s="42">
        <v>33376.14</v>
      </c>
      <c r="U255" s="24" t="s">
        <v>44</v>
      </c>
      <c r="V255" s="23">
        <v>6779224500</v>
      </c>
      <c r="W255" s="24" t="s">
        <v>40</v>
      </c>
      <c r="X255" s="24" t="s">
        <v>38</v>
      </c>
      <c r="Y255" s="23">
        <v>1</v>
      </c>
      <c r="Z255" s="43" cm="1">
        <f t="array" ref="Z255:AA255">_xlfn.XLOOKUP(L255,'Customer Ledger'!$O:$O,'Customer Ledger'!$P:$Q,,0)</f>
        <v>0</v>
      </c>
      <c r="AA255" s="43">
        <v>33376</v>
      </c>
      <c r="AB255" s="43">
        <f t="shared" si="69"/>
        <v>33376</v>
      </c>
      <c r="AC255" s="43">
        <f t="shared" si="70"/>
        <v>0.13999999999941792</v>
      </c>
      <c r="AD255" s="51">
        <f t="shared" si="71"/>
        <v>4.1946132776114293E-6</v>
      </c>
      <c r="AE255" s="24" t="s">
        <v>285</v>
      </c>
      <c r="AF255" s="24" t="s">
        <v>40</v>
      </c>
      <c r="AG255" s="24" t="s">
        <v>40</v>
      </c>
      <c r="AH255" s="24" t="s">
        <v>40</v>
      </c>
      <c r="AI255" s="25">
        <v>45729</v>
      </c>
      <c r="AJ255" s="25">
        <v>45976</v>
      </c>
      <c r="AK255" s="23">
        <v>1400001901</v>
      </c>
    </row>
    <row r="256" spans="1:37" x14ac:dyDescent="0.35">
      <c r="A256" s="3" t="s">
        <v>32</v>
      </c>
      <c r="B256" s="3" t="s">
        <v>33</v>
      </c>
      <c r="C256" s="3" t="s">
        <v>34</v>
      </c>
      <c r="D256" s="3" t="s">
        <v>35</v>
      </c>
      <c r="E256" s="3" t="s">
        <v>114</v>
      </c>
      <c r="F256" s="4">
        <v>45736</v>
      </c>
      <c r="G256" s="23">
        <v>1800007722</v>
      </c>
      <c r="H256" s="24" t="s">
        <v>47</v>
      </c>
      <c r="I256" s="25">
        <v>45769</v>
      </c>
      <c r="J256" s="25">
        <v>45770</v>
      </c>
      <c r="K256" s="24" t="s">
        <v>38</v>
      </c>
      <c r="L256" s="26">
        <v>256779412613</v>
      </c>
      <c r="M256" s="23">
        <v>212100</v>
      </c>
      <c r="N256" s="24" t="s">
        <v>39</v>
      </c>
      <c r="O256" s="24" t="s">
        <v>40</v>
      </c>
      <c r="P256" s="23">
        <v>1</v>
      </c>
      <c r="Q256" s="24" t="s">
        <v>42</v>
      </c>
      <c r="R256" s="27">
        <v>47</v>
      </c>
      <c r="S256" s="24" t="s">
        <v>43</v>
      </c>
      <c r="T256" s="42">
        <v>4085.33</v>
      </c>
      <c r="U256" s="24" t="s">
        <v>44</v>
      </c>
      <c r="V256" s="23">
        <v>6779224500</v>
      </c>
      <c r="W256" s="24" t="s">
        <v>40</v>
      </c>
      <c r="X256" s="24" t="s">
        <v>38</v>
      </c>
      <c r="Y256" s="23">
        <v>1</v>
      </c>
      <c r="Z256" s="43" cm="1">
        <f t="array" ref="Z256:AA256">_xlfn.XLOOKUP(L256,'Customer Ledger'!$O:$O,'Customer Ledger'!$P:$Q,,0)</f>
        <v>0</v>
      </c>
      <c r="AA256" s="43">
        <v>3922</v>
      </c>
      <c r="AB256" s="43">
        <f t="shared" si="69"/>
        <v>3922</v>
      </c>
      <c r="AC256" s="43">
        <f t="shared" si="70"/>
        <v>163.32999999999993</v>
      </c>
      <c r="AD256" s="51">
        <f t="shared" si="71"/>
        <v>3.997963444813514E-2</v>
      </c>
      <c r="AE256" s="24" t="s">
        <v>132</v>
      </c>
      <c r="AF256" s="24" t="s">
        <v>40</v>
      </c>
      <c r="AG256" s="24" t="s">
        <v>40</v>
      </c>
      <c r="AH256" s="24" t="s">
        <v>40</v>
      </c>
      <c r="AI256" s="25">
        <v>45769</v>
      </c>
      <c r="AJ256" s="25"/>
      <c r="AK256" s="24" t="s">
        <v>40</v>
      </c>
    </row>
    <row r="257" spans="1:37" x14ac:dyDescent="0.35">
      <c r="A257" s="3" t="s">
        <v>32</v>
      </c>
      <c r="B257" s="3" t="s">
        <v>33</v>
      </c>
      <c r="C257" s="3" t="s">
        <v>34</v>
      </c>
      <c r="D257" s="3" t="s">
        <v>35</v>
      </c>
      <c r="E257" s="3" t="s">
        <v>114</v>
      </c>
      <c r="F257" s="4">
        <v>45736</v>
      </c>
      <c r="G257" s="23">
        <v>1800003760</v>
      </c>
      <c r="H257" s="24" t="s">
        <v>47</v>
      </c>
      <c r="I257" s="25">
        <v>45736</v>
      </c>
      <c r="J257" s="25">
        <v>45736</v>
      </c>
      <c r="K257" s="24" t="s">
        <v>38</v>
      </c>
      <c r="L257" s="26">
        <v>246779413627</v>
      </c>
      <c r="M257" s="23">
        <v>212100</v>
      </c>
      <c r="N257" s="24" t="s">
        <v>39</v>
      </c>
      <c r="O257" s="24" t="s">
        <v>40</v>
      </c>
      <c r="P257" s="23">
        <v>1</v>
      </c>
      <c r="Q257" s="24" t="s">
        <v>42</v>
      </c>
      <c r="R257" s="27">
        <v>42.3</v>
      </c>
      <c r="S257" s="24" t="s">
        <v>43</v>
      </c>
      <c r="T257" s="42">
        <v>3667.04</v>
      </c>
      <c r="U257" s="24" t="s">
        <v>44</v>
      </c>
      <c r="V257" s="23">
        <v>6779224500</v>
      </c>
      <c r="W257" s="24" t="s">
        <v>40</v>
      </c>
      <c r="X257" s="24" t="s">
        <v>38</v>
      </c>
      <c r="Y257" s="23">
        <v>1</v>
      </c>
      <c r="Z257" s="43" cm="1">
        <f t="array" ref="Z257:AA257">_xlfn.XLOOKUP(L257,'Customer Ledger'!$O:$O,'Customer Ledger'!$P:$Q,,0)</f>
        <v>0</v>
      </c>
      <c r="AA257" s="43">
        <v>3578</v>
      </c>
      <c r="AB257" s="43">
        <f t="shared" si="69"/>
        <v>3578</v>
      </c>
      <c r="AC257" s="43">
        <f t="shared" si="70"/>
        <v>89.039999999999964</v>
      </c>
      <c r="AD257" s="51">
        <f t="shared" si="71"/>
        <v>2.4281164099655299E-2</v>
      </c>
      <c r="AE257" s="24" t="s">
        <v>286</v>
      </c>
      <c r="AF257" s="24" t="s">
        <v>40</v>
      </c>
      <c r="AG257" s="24" t="s">
        <v>40</v>
      </c>
      <c r="AH257" s="24" t="s">
        <v>40</v>
      </c>
      <c r="AI257" s="25">
        <v>45736</v>
      </c>
      <c r="AJ257" s="25"/>
      <c r="AK257" s="24" t="s">
        <v>40</v>
      </c>
    </row>
    <row r="258" spans="1:37" x14ac:dyDescent="0.35">
      <c r="A258" s="3" t="s">
        <v>32</v>
      </c>
      <c r="B258" s="3" t="s">
        <v>33</v>
      </c>
      <c r="C258" s="3" t="s">
        <v>34</v>
      </c>
      <c r="D258" s="3" t="s">
        <v>35</v>
      </c>
      <c r="E258" s="3" t="s">
        <v>114</v>
      </c>
      <c r="F258" s="4">
        <v>45736</v>
      </c>
      <c r="G258" s="23">
        <v>1800003832</v>
      </c>
      <c r="H258" s="24" t="s">
        <v>47</v>
      </c>
      <c r="I258" s="25">
        <v>45736</v>
      </c>
      <c r="J258" s="25">
        <v>45736</v>
      </c>
      <c r="K258" s="24" t="s">
        <v>38</v>
      </c>
      <c r="L258" s="26">
        <v>246779413694</v>
      </c>
      <c r="M258" s="23">
        <v>212100</v>
      </c>
      <c r="N258" s="24" t="s">
        <v>39</v>
      </c>
      <c r="O258" s="24" t="s">
        <v>40</v>
      </c>
      <c r="P258" s="23">
        <v>1</v>
      </c>
      <c r="Q258" s="24" t="s">
        <v>42</v>
      </c>
      <c r="R258" s="27">
        <v>42.3</v>
      </c>
      <c r="S258" s="24" t="s">
        <v>43</v>
      </c>
      <c r="T258" s="42">
        <v>3667.04</v>
      </c>
      <c r="U258" s="24" t="s">
        <v>44</v>
      </c>
      <c r="V258" s="23">
        <v>6779224500</v>
      </c>
      <c r="W258" s="24" t="s">
        <v>40</v>
      </c>
      <c r="X258" s="24" t="s">
        <v>38</v>
      </c>
      <c r="Y258" s="23">
        <v>1</v>
      </c>
      <c r="Z258" s="43" cm="1">
        <f t="array" ref="Z258:AA258">_xlfn.XLOOKUP(L258,'Customer Ledger'!$O:$O,'Customer Ledger'!$P:$Q,,0)</f>
        <v>0</v>
      </c>
      <c r="AA258" s="43">
        <v>3448</v>
      </c>
      <c r="AB258" s="43">
        <f t="shared" si="69"/>
        <v>3448</v>
      </c>
      <c r="AC258" s="43">
        <f t="shared" si="70"/>
        <v>219.03999999999996</v>
      </c>
      <c r="AD258" s="51">
        <f t="shared" si="71"/>
        <v>5.973210000436318E-2</v>
      </c>
      <c r="AE258" s="24" t="s">
        <v>286</v>
      </c>
      <c r="AF258" s="24" t="s">
        <v>40</v>
      </c>
      <c r="AG258" s="24" t="s">
        <v>40</v>
      </c>
      <c r="AH258" s="24" t="s">
        <v>40</v>
      </c>
      <c r="AI258" s="25">
        <v>45736</v>
      </c>
      <c r="AJ258" s="25"/>
      <c r="AK258" s="24" t="s">
        <v>40</v>
      </c>
    </row>
    <row r="259" spans="1:37" x14ac:dyDescent="0.35">
      <c r="A259" s="3" t="s">
        <v>32</v>
      </c>
      <c r="B259" s="3" t="s">
        <v>33</v>
      </c>
      <c r="C259" s="3" t="s">
        <v>34</v>
      </c>
      <c r="D259" s="3" t="s">
        <v>35</v>
      </c>
      <c r="E259" s="3" t="s">
        <v>114</v>
      </c>
      <c r="F259" s="4">
        <v>45736</v>
      </c>
      <c r="G259" s="23">
        <v>1800003866</v>
      </c>
      <c r="H259" s="24" t="s">
        <v>47</v>
      </c>
      <c r="I259" s="25">
        <v>45736</v>
      </c>
      <c r="J259" s="25">
        <v>45736</v>
      </c>
      <c r="K259" s="24" t="s">
        <v>38</v>
      </c>
      <c r="L259" s="26">
        <v>246779413734</v>
      </c>
      <c r="M259" s="23">
        <v>212100</v>
      </c>
      <c r="N259" s="24" t="s">
        <v>39</v>
      </c>
      <c r="O259" s="24" t="s">
        <v>40</v>
      </c>
      <c r="P259" s="23">
        <v>1</v>
      </c>
      <c r="Q259" s="24" t="s">
        <v>42</v>
      </c>
      <c r="R259" s="27">
        <v>42.3</v>
      </c>
      <c r="S259" s="24" t="s">
        <v>43</v>
      </c>
      <c r="T259" s="42">
        <v>3667.04</v>
      </c>
      <c r="U259" s="24" t="s">
        <v>44</v>
      </c>
      <c r="V259" s="23">
        <v>6779224500</v>
      </c>
      <c r="W259" s="24" t="s">
        <v>40</v>
      </c>
      <c r="X259" s="24" t="s">
        <v>38</v>
      </c>
      <c r="Y259" s="23">
        <v>1</v>
      </c>
      <c r="Z259" s="43" cm="1">
        <f t="array" ref="Z259:AA259">_xlfn.XLOOKUP(L259,'Customer Ledger'!$O:$O,'Customer Ledger'!$P:$Q,,0)</f>
        <v>0</v>
      </c>
      <c r="AA259" s="43">
        <v>3448</v>
      </c>
      <c r="AB259" s="43">
        <f t="shared" si="69"/>
        <v>3448</v>
      </c>
      <c r="AC259" s="43">
        <f t="shared" si="70"/>
        <v>219.03999999999996</v>
      </c>
      <c r="AD259" s="51">
        <f t="shared" si="71"/>
        <v>5.973210000436318E-2</v>
      </c>
      <c r="AE259" s="24" t="s">
        <v>286</v>
      </c>
      <c r="AF259" s="24" t="s">
        <v>40</v>
      </c>
      <c r="AG259" s="24" t="s">
        <v>40</v>
      </c>
      <c r="AH259" s="24" t="s">
        <v>40</v>
      </c>
      <c r="AI259" s="25">
        <v>45736</v>
      </c>
      <c r="AJ259" s="25"/>
      <c r="AK259" s="24" t="s">
        <v>40</v>
      </c>
    </row>
    <row r="260" spans="1:37" x14ac:dyDescent="0.35">
      <c r="A260" s="3" t="s">
        <v>32</v>
      </c>
      <c r="B260" s="3" t="s">
        <v>33</v>
      </c>
      <c r="C260" s="3" t="s">
        <v>34</v>
      </c>
      <c r="D260" s="3" t="s">
        <v>35</v>
      </c>
      <c r="E260" s="3" t="s">
        <v>114</v>
      </c>
      <c r="F260" s="4">
        <v>45736</v>
      </c>
      <c r="G260" s="23">
        <v>1800003870</v>
      </c>
      <c r="H260" s="24" t="s">
        <v>47</v>
      </c>
      <c r="I260" s="25">
        <v>45736</v>
      </c>
      <c r="J260" s="25">
        <v>45736</v>
      </c>
      <c r="K260" s="24" t="s">
        <v>38</v>
      </c>
      <c r="L260" s="26">
        <v>246779413738</v>
      </c>
      <c r="M260" s="23">
        <v>212100</v>
      </c>
      <c r="N260" s="24" t="s">
        <v>39</v>
      </c>
      <c r="O260" s="24" t="s">
        <v>40</v>
      </c>
      <c r="P260" s="23">
        <v>1</v>
      </c>
      <c r="Q260" s="24" t="s">
        <v>42</v>
      </c>
      <c r="R260" s="27">
        <v>42.3</v>
      </c>
      <c r="S260" s="24" t="s">
        <v>43</v>
      </c>
      <c r="T260" s="42">
        <v>3667.04</v>
      </c>
      <c r="U260" s="24" t="s">
        <v>44</v>
      </c>
      <c r="V260" s="23">
        <v>6779224500</v>
      </c>
      <c r="W260" s="24" t="s">
        <v>40</v>
      </c>
      <c r="X260" s="24" t="s">
        <v>38</v>
      </c>
      <c r="Y260" s="23">
        <v>1</v>
      </c>
      <c r="Z260" s="43" cm="1">
        <f t="array" ref="Z260:AA260">_xlfn.XLOOKUP(L260,'Customer Ledger'!$O:$O,'Customer Ledger'!$P:$Q,,0)</f>
        <v>0</v>
      </c>
      <c r="AA260" s="43">
        <v>3603</v>
      </c>
      <c r="AB260" s="43">
        <f t="shared" si="69"/>
        <v>3603</v>
      </c>
      <c r="AC260" s="43">
        <f t="shared" si="70"/>
        <v>64.039999999999964</v>
      </c>
      <c r="AD260" s="51">
        <f t="shared" si="71"/>
        <v>1.7463676425673012E-2</v>
      </c>
      <c r="AE260" s="24" t="s">
        <v>286</v>
      </c>
      <c r="AF260" s="24" t="s">
        <v>40</v>
      </c>
      <c r="AG260" s="24" t="s">
        <v>40</v>
      </c>
      <c r="AH260" s="24" t="s">
        <v>40</v>
      </c>
      <c r="AI260" s="25">
        <v>45736</v>
      </c>
      <c r="AJ260" s="25"/>
      <c r="AK260" s="24" t="s">
        <v>40</v>
      </c>
    </row>
    <row r="261" spans="1:37" x14ac:dyDescent="0.35">
      <c r="A261" s="3" t="s">
        <v>32</v>
      </c>
      <c r="B261" s="3" t="s">
        <v>33</v>
      </c>
      <c r="C261" s="3" t="s">
        <v>34</v>
      </c>
      <c r="D261" s="3" t="s">
        <v>35</v>
      </c>
      <c r="E261" s="3" t="s">
        <v>114</v>
      </c>
      <c r="F261" s="4">
        <v>45736</v>
      </c>
      <c r="G261" s="23">
        <v>1800000750</v>
      </c>
      <c r="H261" s="24" t="s">
        <v>47</v>
      </c>
      <c r="I261" s="25">
        <v>45720</v>
      </c>
      <c r="J261" s="25">
        <v>45720</v>
      </c>
      <c r="K261" s="24" t="s">
        <v>38</v>
      </c>
      <c r="L261" s="26">
        <v>246779410690</v>
      </c>
      <c r="M261" s="23">
        <v>212100</v>
      </c>
      <c r="N261" s="24" t="s">
        <v>39</v>
      </c>
      <c r="O261" s="24" t="s">
        <v>40</v>
      </c>
      <c r="P261" s="23">
        <v>1</v>
      </c>
      <c r="Q261" s="24" t="s">
        <v>42</v>
      </c>
      <c r="R261" s="27">
        <v>42.3</v>
      </c>
      <c r="S261" s="24" t="s">
        <v>43</v>
      </c>
      <c r="T261" s="42">
        <v>3667.04</v>
      </c>
      <c r="U261" s="24" t="s">
        <v>44</v>
      </c>
      <c r="V261" s="23">
        <v>6779224500</v>
      </c>
      <c r="W261" s="24" t="s">
        <v>40</v>
      </c>
      <c r="X261" s="24" t="s">
        <v>38</v>
      </c>
      <c r="Y261" s="23">
        <v>1</v>
      </c>
      <c r="Z261" s="43" cm="1">
        <f t="array" ref="Z261:AA261">_xlfn.XLOOKUP(L261,'Customer Ledger'!$O:$O,'Customer Ledger'!$P:$Q,,0)</f>
        <v>0</v>
      </c>
      <c r="AA261" s="43">
        <v>3622</v>
      </c>
      <c r="AB261" s="43">
        <f t="shared" si="69"/>
        <v>3622</v>
      </c>
      <c r="AC261" s="43">
        <f t="shared" si="70"/>
        <v>45.039999999999964</v>
      </c>
      <c r="AD261" s="51">
        <f t="shared" si="71"/>
        <v>1.2282385793446475E-2</v>
      </c>
      <c r="AE261" s="24" t="s">
        <v>337</v>
      </c>
      <c r="AF261" s="24" t="s">
        <v>40</v>
      </c>
      <c r="AG261" s="24" t="s">
        <v>40</v>
      </c>
      <c r="AH261" s="24" t="s">
        <v>40</v>
      </c>
      <c r="AI261" s="25">
        <v>45720</v>
      </c>
      <c r="AJ261" s="25"/>
      <c r="AK261" s="24" t="s">
        <v>40</v>
      </c>
    </row>
    <row r="262" spans="1:37" x14ac:dyDescent="0.35">
      <c r="A262" s="3" t="s">
        <v>32</v>
      </c>
      <c r="B262" s="3" t="s">
        <v>33</v>
      </c>
      <c r="C262" s="3" t="s">
        <v>34</v>
      </c>
      <c r="D262" s="3" t="s">
        <v>35</v>
      </c>
      <c r="E262" s="3" t="s">
        <v>114</v>
      </c>
      <c r="F262" s="4">
        <v>45736</v>
      </c>
      <c r="G262" s="23">
        <v>1800000815</v>
      </c>
      <c r="H262" s="24" t="s">
        <v>47</v>
      </c>
      <c r="I262" s="25">
        <v>45720</v>
      </c>
      <c r="J262" s="25">
        <v>45721</v>
      </c>
      <c r="K262" s="24" t="s">
        <v>38</v>
      </c>
      <c r="L262" s="26">
        <v>246779410755</v>
      </c>
      <c r="M262" s="23">
        <v>212100</v>
      </c>
      <c r="N262" s="24" t="s">
        <v>39</v>
      </c>
      <c r="O262" s="24" t="s">
        <v>40</v>
      </c>
      <c r="P262" s="23">
        <v>1</v>
      </c>
      <c r="Q262" s="24" t="s">
        <v>42</v>
      </c>
      <c r="R262" s="27">
        <v>42.3</v>
      </c>
      <c r="S262" s="24" t="s">
        <v>43</v>
      </c>
      <c r="T262" s="42">
        <v>3667.04</v>
      </c>
      <c r="U262" s="24" t="s">
        <v>44</v>
      </c>
      <c r="V262" s="23">
        <v>6779224500</v>
      </c>
      <c r="W262" s="24" t="s">
        <v>40</v>
      </c>
      <c r="X262" s="24" t="s">
        <v>38</v>
      </c>
      <c r="Y262" s="23">
        <v>1</v>
      </c>
      <c r="Z262" s="43" cm="1">
        <f t="array" ref="Z262:AA262">_xlfn.XLOOKUP(L262,'Customer Ledger'!$O:$O,'Customer Ledger'!$P:$Q,,0)</f>
        <v>0</v>
      </c>
      <c r="AA262" s="43">
        <v>3594</v>
      </c>
      <c r="AB262" s="43">
        <f t="shared" si="69"/>
        <v>3594</v>
      </c>
      <c r="AC262" s="43">
        <f t="shared" si="70"/>
        <v>73.039999999999964</v>
      </c>
      <c r="AD262" s="51">
        <f t="shared" si="71"/>
        <v>1.9917971988306634E-2</v>
      </c>
      <c r="AE262" s="24" t="s">
        <v>332</v>
      </c>
      <c r="AF262" s="24" t="s">
        <v>40</v>
      </c>
      <c r="AG262" s="24" t="s">
        <v>40</v>
      </c>
      <c r="AH262" s="24" t="s">
        <v>40</v>
      </c>
      <c r="AI262" s="25">
        <v>45720</v>
      </c>
      <c r="AJ262" s="25"/>
      <c r="AK262" s="24" t="s">
        <v>40</v>
      </c>
    </row>
    <row r="263" spans="1:37" x14ac:dyDescent="0.35">
      <c r="A263" s="3" t="s">
        <v>32</v>
      </c>
      <c r="B263" s="3" t="s">
        <v>33</v>
      </c>
      <c r="C263" s="3" t="s">
        <v>34</v>
      </c>
      <c r="D263" s="3" t="s">
        <v>35</v>
      </c>
      <c r="E263" s="3" t="s">
        <v>114</v>
      </c>
      <c r="F263" s="4">
        <v>45736</v>
      </c>
      <c r="G263" s="23">
        <v>1800000908</v>
      </c>
      <c r="H263" s="24" t="s">
        <v>47</v>
      </c>
      <c r="I263" s="25">
        <v>45720</v>
      </c>
      <c r="J263" s="25">
        <v>45721</v>
      </c>
      <c r="K263" s="24" t="s">
        <v>38</v>
      </c>
      <c r="L263" s="26">
        <v>246779410849</v>
      </c>
      <c r="M263" s="23">
        <v>212100</v>
      </c>
      <c r="N263" s="24" t="s">
        <v>39</v>
      </c>
      <c r="O263" s="24" t="s">
        <v>40</v>
      </c>
      <c r="P263" s="23">
        <v>1</v>
      </c>
      <c r="Q263" s="24" t="s">
        <v>42</v>
      </c>
      <c r="R263" s="27">
        <v>42.3</v>
      </c>
      <c r="S263" s="24" t="s">
        <v>43</v>
      </c>
      <c r="T263" s="42">
        <v>3667.04</v>
      </c>
      <c r="U263" s="24" t="s">
        <v>44</v>
      </c>
      <c r="V263" s="23">
        <v>6779224500</v>
      </c>
      <c r="W263" s="24" t="s">
        <v>40</v>
      </c>
      <c r="X263" s="24" t="s">
        <v>38</v>
      </c>
      <c r="Y263" s="23">
        <v>1</v>
      </c>
      <c r="Z263" s="43" cm="1">
        <f t="array" ref="Z263:AA263">_xlfn.XLOOKUP(L263,'Customer Ledger'!$O:$O,'Customer Ledger'!$P:$Q,,0)</f>
        <v>0</v>
      </c>
      <c r="AA263" s="43">
        <v>3436</v>
      </c>
      <c r="AB263" s="43">
        <f t="shared" si="69"/>
        <v>3436</v>
      </c>
      <c r="AC263" s="43">
        <f t="shared" si="70"/>
        <v>231.03999999999996</v>
      </c>
      <c r="AD263" s="51">
        <f t="shared" si="71"/>
        <v>6.3004494087874674E-2</v>
      </c>
      <c r="AE263" s="24" t="s">
        <v>338</v>
      </c>
      <c r="AF263" s="24" t="s">
        <v>40</v>
      </c>
      <c r="AG263" s="24" t="s">
        <v>40</v>
      </c>
      <c r="AH263" s="24" t="s">
        <v>40</v>
      </c>
      <c r="AI263" s="25">
        <v>45720</v>
      </c>
      <c r="AJ263" s="25"/>
      <c r="AK263" s="24" t="s">
        <v>40</v>
      </c>
    </row>
    <row r="264" spans="1:37" x14ac:dyDescent="0.35">
      <c r="A264" s="3" t="s">
        <v>32</v>
      </c>
      <c r="B264" s="3" t="s">
        <v>33</v>
      </c>
      <c r="C264" s="3" t="s">
        <v>34</v>
      </c>
      <c r="D264" s="3" t="s">
        <v>35</v>
      </c>
      <c r="E264" s="3" t="s">
        <v>114</v>
      </c>
      <c r="F264" s="4">
        <v>45736</v>
      </c>
      <c r="G264" s="23">
        <v>1800001379</v>
      </c>
      <c r="H264" s="24" t="s">
        <v>47</v>
      </c>
      <c r="I264" s="25">
        <v>45722</v>
      </c>
      <c r="J264" s="25">
        <v>45723</v>
      </c>
      <c r="K264" s="24" t="s">
        <v>38</v>
      </c>
      <c r="L264" s="26">
        <v>246779411248</v>
      </c>
      <c r="M264" s="23">
        <v>212100</v>
      </c>
      <c r="N264" s="24" t="s">
        <v>39</v>
      </c>
      <c r="O264" s="24" t="s">
        <v>40</v>
      </c>
      <c r="P264" s="23">
        <v>1</v>
      </c>
      <c r="Q264" s="24" t="s">
        <v>42</v>
      </c>
      <c r="R264" s="27">
        <v>42.3</v>
      </c>
      <c r="S264" s="24" t="s">
        <v>43</v>
      </c>
      <c r="T264" s="42">
        <v>3667.04</v>
      </c>
      <c r="U264" s="24" t="s">
        <v>44</v>
      </c>
      <c r="V264" s="23">
        <v>6779224500</v>
      </c>
      <c r="W264" s="24" t="s">
        <v>40</v>
      </c>
      <c r="X264" s="24" t="s">
        <v>38</v>
      </c>
      <c r="Y264" s="23">
        <v>1</v>
      </c>
      <c r="Z264" s="43" cm="1">
        <f t="array" ref="Z264:AA264">_xlfn.XLOOKUP(L264,'Customer Ledger'!$O:$O,'Customer Ledger'!$P:$Q,,0)</f>
        <v>0</v>
      </c>
      <c r="AA264" s="43">
        <v>3434</v>
      </c>
      <c r="AB264" s="43">
        <f t="shared" si="69"/>
        <v>3434</v>
      </c>
      <c r="AC264" s="43">
        <f t="shared" si="70"/>
        <v>233.03999999999996</v>
      </c>
      <c r="AD264" s="51">
        <f t="shared" si="71"/>
        <v>6.3549893101793264E-2</v>
      </c>
      <c r="AE264" s="24" t="s">
        <v>216</v>
      </c>
      <c r="AF264" s="24" t="s">
        <v>40</v>
      </c>
      <c r="AG264" s="24" t="s">
        <v>40</v>
      </c>
      <c r="AH264" s="24" t="s">
        <v>40</v>
      </c>
      <c r="AI264" s="25">
        <v>45722</v>
      </c>
      <c r="AJ264" s="25"/>
      <c r="AK264" s="24" t="s">
        <v>40</v>
      </c>
    </row>
    <row r="265" spans="1:37" x14ac:dyDescent="0.35">
      <c r="A265" s="3" t="s">
        <v>32</v>
      </c>
      <c r="B265" s="3" t="s">
        <v>33</v>
      </c>
      <c r="C265" s="3" t="s">
        <v>34</v>
      </c>
      <c r="D265" s="3" t="s">
        <v>35</v>
      </c>
      <c r="E265" s="3" t="s">
        <v>114</v>
      </c>
      <c r="F265" s="4">
        <v>45736</v>
      </c>
      <c r="G265" s="23">
        <v>1800003877</v>
      </c>
      <c r="H265" s="24" t="s">
        <v>47</v>
      </c>
      <c r="I265" s="25">
        <v>45736</v>
      </c>
      <c r="J265" s="25">
        <v>45736</v>
      </c>
      <c r="K265" s="24" t="s">
        <v>38</v>
      </c>
      <c r="L265" s="26">
        <v>246779413745</v>
      </c>
      <c r="M265" s="23">
        <v>212100</v>
      </c>
      <c r="N265" s="24" t="s">
        <v>39</v>
      </c>
      <c r="O265" s="24" t="s">
        <v>40</v>
      </c>
      <c r="P265" s="23">
        <v>1</v>
      </c>
      <c r="Q265" s="24" t="s">
        <v>42</v>
      </c>
      <c r="R265" s="27">
        <v>37.6</v>
      </c>
      <c r="S265" s="24" t="s">
        <v>43</v>
      </c>
      <c r="T265" s="42">
        <v>3259.59</v>
      </c>
      <c r="U265" s="24" t="s">
        <v>44</v>
      </c>
      <c r="V265" s="23">
        <v>6779224500</v>
      </c>
      <c r="W265" s="24" t="s">
        <v>40</v>
      </c>
      <c r="X265" s="24" t="s">
        <v>38</v>
      </c>
      <c r="Y265" s="23">
        <v>1</v>
      </c>
      <c r="Z265" s="43" cm="1">
        <f t="array" ref="Z265:AA265">_xlfn.XLOOKUP(L265,'Customer Ledger'!$O:$O,'Customer Ledger'!$P:$Q,,0)</f>
        <v>0</v>
      </c>
      <c r="AA265" s="43">
        <v>3064</v>
      </c>
      <c r="AB265" s="43">
        <f t="shared" si="69"/>
        <v>3064</v>
      </c>
      <c r="AC265" s="43">
        <f t="shared" si="70"/>
        <v>195.59000000000015</v>
      </c>
      <c r="AD265" s="51">
        <f t="shared" si="71"/>
        <v>6.0004479090928653E-2</v>
      </c>
      <c r="AE265" s="24" t="s">
        <v>286</v>
      </c>
      <c r="AF265" s="24" t="s">
        <v>40</v>
      </c>
      <c r="AG265" s="24" t="s">
        <v>40</v>
      </c>
      <c r="AH265" s="24" t="s">
        <v>40</v>
      </c>
      <c r="AI265" s="25">
        <v>45736</v>
      </c>
      <c r="AJ265" s="25"/>
      <c r="AK265" s="24" t="s">
        <v>40</v>
      </c>
    </row>
    <row r="266" spans="1:37" x14ac:dyDescent="0.35">
      <c r="A266" s="3" t="s">
        <v>32</v>
      </c>
      <c r="B266" s="3" t="s">
        <v>33</v>
      </c>
      <c r="C266" s="3" t="s">
        <v>34</v>
      </c>
      <c r="D266" s="3" t="s">
        <v>35</v>
      </c>
      <c r="E266" s="3" t="s">
        <v>114</v>
      </c>
      <c r="F266" s="4">
        <v>45736</v>
      </c>
      <c r="G266" s="23">
        <v>1800000818</v>
      </c>
      <c r="H266" s="24" t="s">
        <v>47</v>
      </c>
      <c r="I266" s="25">
        <v>45720</v>
      </c>
      <c r="J266" s="25">
        <v>45721</v>
      </c>
      <c r="K266" s="24" t="s">
        <v>38</v>
      </c>
      <c r="L266" s="26">
        <v>246779410758</v>
      </c>
      <c r="M266" s="23">
        <v>212100</v>
      </c>
      <c r="N266" s="24" t="s">
        <v>39</v>
      </c>
      <c r="O266" s="24" t="s">
        <v>40</v>
      </c>
      <c r="P266" s="23">
        <v>1</v>
      </c>
      <c r="Q266" s="24" t="s">
        <v>42</v>
      </c>
      <c r="R266" s="27">
        <v>37.6</v>
      </c>
      <c r="S266" s="24" t="s">
        <v>43</v>
      </c>
      <c r="T266" s="42">
        <v>3259.59</v>
      </c>
      <c r="U266" s="24" t="s">
        <v>44</v>
      </c>
      <c r="V266" s="23">
        <v>6779224500</v>
      </c>
      <c r="W266" s="24" t="s">
        <v>40</v>
      </c>
      <c r="X266" s="24" t="s">
        <v>38</v>
      </c>
      <c r="Y266" s="23">
        <v>1</v>
      </c>
      <c r="Z266" s="43" cm="1">
        <f t="array" ref="Z266:AA266">_xlfn.XLOOKUP(L266,'Customer Ledger'!$O:$O,'Customer Ledger'!$P:$Q,,0)</f>
        <v>0</v>
      </c>
      <c r="AA266" s="43">
        <v>3219</v>
      </c>
      <c r="AB266" s="43">
        <f t="shared" si="69"/>
        <v>3219</v>
      </c>
      <c r="AC266" s="43">
        <f t="shared" si="70"/>
        <v>40.590000000000146</v>
      </c>
      <c r="AD266" s="51">
        <f t="shared" si="71"/>
        <v>1.2452486355645999E-2</v>
      </c>
      <c r="AE266" s="24" t="s">
        <v>332</v>
      </c>
      <c r="AF266" s="24" t="s">
        <v>40</v>
      </c>
      <c r="AG266" s="24" t="s">
        <v>40</v>
      </c>
      <c r="AH266" s="24" t="s">
        <v>40</v>
      </c>
      <c r="AI266" s="25">
        <v>45720</v>
      </c>
      <c r="AJ266" s="25"/>
      <c r="AK266" s="24" t="s">
        <v>40</v>
      </c>
    </row>
    <row r="267" spans="1:37" x14ac:dyDescent="0.35">
      <c r="A267" s="3" t="s">
        <v>32</v>
      </c>
      <c r="B267" s="3" t="s">
        <v>33</v>
      </c>
      <c r="C267" s="3" t="s">
        <v>34</v>
      </c>
      <c r="D267" s="3" t="s">
        <v>35</v>
      </c>
      <c r="E267" s="3" t="s">
        <v>114</v>
      </c>
      <c r="F267" s="4">
        <v>45736</v>
      </c>
      <c r="G267" s="23">
        <v>1800000669</v>
      </c>
      <c r="H267" s="24" t="s">
        <v>47</v>
      </c>
      <c r="I267" s="25">
        <v>45719</v>
      </c>
      <c r="J267" s="25">
        <v>45720</v>
      </c>
      <c r="K267" s="24" t="s">
        <v>38</v>
      </c>
      <c r="L267" s="26">
        <v>246779410609</v>
      </c>
      <c r="M267" s="23">
        <v>212100</v>
      </c>
      <c r="N267" s="24" t="s">
        <v>39</v>
      </c>
      <c r="O267" s="24" t="s">
        <v>40</v>
      </c>
      <c r="P267" s="23">
        <v>1</v>
      </c>
      <c r="Q267" s="24" t="s">
        <v>42</v>
      </c>
      <c r="R267" s="27">
        <v>37.6</v>
      </c>
      <c r="S267" s="24" t="s">
        <v>43</v>
      </c>
      <c r="T267" s="42">
        <v>3259.59</v>
      </c>
      <c r="U267" s="24" t="s">
        <v>44</v>
      </c>
      <c r="V267" s="23">
        <v>6779224500</v>
      </c>
      <c r="W267" s="24" t="s">
        <v>40</v>
      </c>
      <c r="X267" s="24" t="s">
        <v>38</v>
      </c>
      <c r="Y267" s="23">
        <v>1</v>
      </c>
      <c r="Z267" s="43" cm="1">
        <f t="array" ref="Z267:AA267">_xlfn.XLOOKUP(L267,'Customer Ledger'!$O:$O,'Customer Ledger'!$P:$Q,,0)</f>
        <v>0</v>
      </c>
      <c r="AA267" s="43">
        <v>3203</v>
      </c>
      <c r="AB267" s="43">
        <f t="shared" si="69"/>
        <v>3203</v>
      </c>
      <c r="AC267" s="43">
        <f t="shared" si="70"/>
        <v>56.590000000000146</v>
      </c>
      <c r="AD267" s="51">
        <f t="shared" si="71"/>
        <v>1.7361079154126789E-2</v>
      </c>
      <c r="AE267" s="24" t="s">
        <v>331</v>
      </c>
      <c r="AF267" s="24" t="s">
        <v>40</v>
      </c>
      <c r="AG267" s="24" t="s">
        <v>40</v>
      </c>
      <c r="AH267" s="24" t="s">
        <v>40</v>
      </c>
      <c r="AI267" s="25">
        <v>45719</v>
      </c>
      <c r="AJ267" s="25"/>
      <c r="AK267" s="24" t="s">
        <v>40</v>
      </c>
    </row>
    <row r="268" spans="1:37" x14ac:dyDescent="0.35">
      <c r="A268" s="3" t="s">
        <v>32</v>
      </c>
      <c r="B268" s="3" t="s">
        <v>33</v>
      </c>
      <c r="C268" s="3" t="s">
        <v>34</v>
      </c>
      <c r="D268" s="3" t="s">
        <v>35</v>
      </c>
      <c r="E268" s="3" t="s">
        <v>114</v>
      </c>
      <c r="F268" s="4">
        <v>45736</v>
      </c>
      <c r="G268" s="23">
        <v>1800001033</v>
      </c>
      <c r="H268" s="24" t="s">
        <v>47</v>
      </c>
      <c r="I268" s="25">
        <v>45722</v>
      </c>
      <c r="J268" s="25">
        <v>45722</v>
      </c>
      <c r="K268" s="24" t="s">
        <v>38</v>
      </c>
      <c r="L268" s="26">
        <v>246779410973</v>
      </c>
      <c r="M268" s="23">
        <v>212100</v>
      </c>
      <c r="N268" s="24" t="s">
        <v>39</v>
      </c>
      <c r="O268" s="24" t="s">
        <v>40</v>
      </c>
      <c r="P268" s="23">
        <v>1</v>
      </c>
      <c r="Q268" s="24" t="s">
        <v>42</v>
      </c>
      <c r="R268" s="27">
        <v>33.799999999999997</v>
      </c>
      <c r="S268" s="24" t="s">
        <v>43</v>
      </c>
      <c r="T268" s="42">
        <v>2930.16</v>
      </c>
      <c r="U268" s="24" t="s">
        <v>44</v>
      </c>
      <c r="V268" s="23">
        <v>6779224500</v>
      </c>
      <c r="W268" s="24" t="s">
        <v>40</v>
      </c>
      <c r="X268" s="24" t="s">
        <v>38</v>
      </c>
      <c r="Y268" s="23">
        <v>1</v>
      </c>
      <c r="Z268" s="43" cm="1">
        <f t="array" ref="Z268:AA268">_xlfn.XLOOKUP(L268,'Customer Ledger'!$O:$O,'Customer Ledger'!$P:$Q,,0)</f>
        <v>0</v>
      </c>
      <c r="AA268" s="43">
        <v>2884</v>
      </c>
      <c r="AB268" s="43">
        <f t="shared" si="69"/>
        <v>2884</v>
      </c>
      <c r="AC268" s="43">
        <f t="shared" si="70"/>
        <v>46.159999999999854</v>
      </c>
      <c r="AD268" s="51">
        <f t="shared" si="71"/>
        <v>1.5753405957353816E-2</v>
      </c>
      <c r="AE268" s="24" t="s">
        <v>347</v>
      </c>
      <c r="AF268" s="24" t="s">
        <v>40</v>
      </c>
      <c r="AG268" s="24" t="s">
        <v>40</v>
      </c>
      <c r="AH268" s="24" t="s">
        <v>40</v>
      </c>
      <c r="AI268" s="25">
        <v>45722</v>
      </c>
      <c r="AJ268" s="25"/>
      <c r="AK268" s="24" t="s">
        <v>40</v>
      </c>
    </row>
    <row r="269" spans="1:37" x14ac:dyDescent="0.35">
      <c r="A269" s="3" t="s">
        <v>32</v>
      </c>
      <c r="B269" s="3" t="s">
        <v>33</v>
      </c>
      <c r="C269" s="3" t="s">
        <v>34</v>
      </c>
      <c r="D269" s="3" t="s">
        <v>35</v>
      </c>
      <c r="E269" s="3" t="s">
        <v>114</v>
      </c>
      <c r="F269" s="4">
        <v>45736</v>
      </c>
      <c r="G269" s="23">
        <v>1800006258</v>
      </c>
      <c r="H269" s="24" t="s">
        <v>47</v>
      </c>
      <c r="I269" s="25">
        <v>45762</v>
      </c>
      <c r="J269" s="25">
        <v>45763</v>
      </c>
      <c r="K269" s="24" t="s">
        <v>38</v>
      </c>
      <c r="L269" s="26">
        <v>256779411149</v>
      </c>
      <c r="M269" s="23">
        <v>212100</v>
      </c>
      <c r="N269" s="24" t="s">
        <v>39</v>
      </c>
      <c r="O269" s="24" t="s">
        <v>40</v>
      </c>
      <c r="P269" s="23">
        <v>1</v>
      </c>
      <c r="Q269" s="24" t="s">
        <v>42</v>
      </c>
      <c r="R269" s="27">
        <v>31.72</v>
      </c>
      <c r="S269" s="24" t="s">
        <v>43</v>
      </c>
      <c r="T269" s="42">
        <v>2757.16</v>
      </c>
      <c r="U269" s="24" t="s">
        <v>44</v>
      </c>
      <c r="V269" s="24" t="s">
        <v>40</v>
      </c>
      <c r="W269" s="24" t="s">
        <v>40</v>
      </c>
      <c r="X269" s="24" t="s">
        <v>38</v>
      </c>
      <c r="Y269" s="23">
        <v>1</v>
      </c>
      <c r="Z269" s="43" cm="1">
        <f t="array" ref="Z269:AA269">_xlfn.XLOOKUP(L269,'Customer Ledger'!$O:$O,'Customer Ledger'!$P:$Q,,0)</f>
        <v>0</v>
      </c>
      <c r="AA269" s="43">
        <v>2664</v>
      </c>
      <c r="AB269" s="43">
        <f t="shared" si="69"/>
        <v>2664</v>
      </c>
      <c r="AC269" s="43">
        <f t="shared" si="70"/>
        <v>93.159999999999854</v>
      </c>
      <c r="AD269" s="51">
        <f t="shared" si="71"/>
        <v>3.3788390953009569E-2</v>
      </c>
      <c r="AE269" s="24" t="s">
        <v>209</v>
      </c>
      <c r="AF269" s="24" t="s">
        <v>40</v>
      </c>
      <c r="AG269" s="24" t="s">
        <v>40</v>
      </c>
      <c r="AH269" s="24" t="s">
        <v>40</v>
      </c>
      <c r="AI269" s="25">
        <v>45762</v>
      </c>
      <c r="AJ269" s="25"/>
      <c r="AK269" s="24" t="s">
        <v>40</v>
      </c>
    </row>
    <row r="270" spans="1:37" x14ac:dyDescent="0.35">
      <c r="A270" s="3" t="s">
        <v>32</v>
      </c>
      <c r="B270" s="3" t="s">
        <v>33</v>
      </c>
      <c r="C270" s="3" t="s">
        <v>34</v>
      </c>
      <c r="D270" s="3" t="s">
        <v>35</v>
      </c>
      <c r="E270" s="3" t="s">
        <v>114</v>
      </c>
      <c r="F270" s="4">
        <v>45736</v>
      </c>
      <c r="G270" s="23">
        <v>1800004599</v>
      </c>
      <c r="H270" s="24" t="s">
        <v>47</v>
      </c>
      <c r="I270" s="25">
        <v>45736</v>
      </c>
      <c r="J270" s="25">
        <v>45737</v>
      </c>
      <c r="K270" s="24" t="s">
        <v>38</v>
      </c>
      <c r="L270" s="26">
        <v>246779414467</v>
      </c>
      <c r="M270" s="23">
        <v>212100</v>
      </c>
      <c r="N270" s="24" t="s">
        <v>39</v>
      </c>
      <c r="O270" s="24" t="s">
        <v>40</v>
      </c>
      <c r="P270" s="23">
        <v>1</v>
      </c>
      <c r="Q270" s="24" t="s">
        <v>42</v>
      </c>
      <c r="R270" s="27">
        <v>31.73</v>
      </c>
      <c r="S270" s="24" t="s">
        <v>43</v>
      </c>
      <c r="T270" s="42">
        <v>2750.71</v>
      </c>
      <c r="U270" s="24" t="s">
        <v>44</v>
      </c>
      <c r="V270" s="23">
        <v>6779224500</v>
      </c>
      <c r="W270" s="24" t="s">
        <v>40</v>
      </c>
      <c r="X270" s="24" t="s">
        <v>38</v>
      </c>
      <c r="Y270" s="23">
        <v>1</v>
      </c>
      <c r="Z270" s="43" cm="1">
        <f t="array" ref="Z270:AA270">_xlfn.XLOOKUP(L270,'Customer Ledger'!$O:$O,'Customer Ledger'!$P:$Q,,0)</f>
        <v>0</v>
      </c>
      <c r="AA270" s="43">
        <v>2674</v>
      </c>
      <c r="AB270" s="43">
        <f t="shared" si="69"/>
        <v>2674</v>
      </c>
      <c r="AC270" s="43">
        <f t="shared" si="70"/>
        <v>76.710000000000036</v>
      </c>
      <c r="AD270" s="51">
        <f t="shared" si="71"/>
        <v>2.788734544899318E-2</v>
      </c>
      <c r="AE270" s="24" t="s">
        <v>294</v>
      </c>
      <c r="AF270" s="24" t="s">
        <v>40</v>
      </c>
      <c r="AG270" s="24" t="s">
        <v>40</v>
      </c>
      <c r="AH270" s="24" t="s">
        <v>40</v>
      </c>
      <c r="AI270" s="25">
        <v>45736</v>
      </c>
      <c r="AJ270" s="25"/>
      <c r="AK270" s="24" t="s">
        <v>40</v>
      </c>
    </row>
    <row r="271" spans="1:37" x14ac:dyDescent="0.35">
      <c r="A271" s="3" t="s">
        <v>32</v>
      </c>
      <c r="B271" s="3" t="s">
        <v>33</v>
      </c>
      <c r="C271" s="3" t="s">
        <v>34</v>
      </c>
      <c r="D271" s="3" t="s">
        <v>35</v>
      </c>
      <c r="E271" s="3" t="s">
        <v>114</v>
      </c>
      <c r="F271" s="4">
        <v>45736</v>
      </c>
      <c r="G271" s="23">
        <v>1800001259</v>
      </c>
      <c r="H271" s="24" t="s">
        <v>47</v>
      </c>
      <c r="I271" s="25">
        <v>45722</v>
      </c>
      <c r="J271" s="25">
        <v>45723</v>
      </c>
      <c r="K271" s="24" t="s">
        <v>38</v>
      </c>
      <c r="L271" s="26">
        <v>246779411128</v>
      </c>
      <c r="M271" s="23">
        <v>212100</v>
      </c>
      <c r="N271" s="24" t="s">
        <v>39</v>
      </c>
      <c r="O271" s="24" t="s">
        <v>40</v>
      </c>
      <c r="P271" s="23">
        <v>1</v>
      </c>
      <c r="Q271" s="24" t="s">
        <v>42</v>
      </c>
      <c r="R271" s="27">
        <v>28.2</v>
      </c>
      <c r="S271" s="24" t="s">
        <v>43</v>
      </c>
      <c r="T271" s="42">
        <v>2444.69</v>
      </c>
      <c r="U271" s="24" t="s">
        <v>44</v>
      </c>
      <c r="V271" s="23">
        <v>6779224500</v>
      </c>
      <c r="W271" s="24" t="s">
        <v>40</v>
      </c>
      <c r="X271" s="24" t="s">
        <v>38</v>
      </c>
      <c r="Y271" s="23">
        <v>1</v>
      </c>
      <c r="Z271" s="43" cm="1">
        <f t="array" ref="Z271:AA271">_xlfn.XLOOKUP(L271,'Customer Ledger'!$O:$O,'Customer Ledger'!$P:$Q,,0)</f>
        <v>0</v>
      </c>
      <c r="AA271" s="43">
        <v>2406</v>
      </c>
      <c r="AB271" s="43">
        <f t="shared" si="69"/>
        <v>2406</v>
      </c>
      <c r="AC271" s="43">
        <f t="shared" si="70"/>
        <v>38.690000000000055</v>
      </c>
      <c r="AD271" s="51">
        <f t="shared" si="71"/>
        <v>1.5826137465281918E-2</v>
      </c>
      <c r="AE271" s="24" t="s">
        <v>150</v>
      </c>
      <c r="AF271" s="24" t="s">
        <v>40</v>
      </c>
      <c r="AG271" s="24" t="s">
        <v>40</v>
      </c>
      <c r="AH271" s="24" t="s">
        <v>40</v>
      </c>
      <c r="AI271" s="25">
        <v>45722</v>
      </c>
      <c r="AJ271" s="25"/>
      <c r="AK271" s="24" t="s">
        <v>40</v>
      </c>
    </row>
    <row r="272" spans="1:37" x14ac:dyDescent="0.35">
      <c r="A272" s="3" t="s">
        <v>32</v>
      </c>
      <c r="B272" s="3" t="s">
        <v>33</v>
      </c>
      <c r="C272" s="3" t="s">
        <v>34</v>
      </c>
      <c r="D272" s="3" t="s">
        <v>35</v>
      </c>
      <c r="E272" s="3" t="s">
        <v>114</v>
      </c>
      <c r="F272" s="4">
        <v>45736</v>
      </c>
      <c r="G272" s="23">
        <v>1800003779</v>
      </c>
      <c r="H272" s="24" t="s">
        <v>47</v>
      </c>
      <c r="I272" s="25">
        <v>45736</v>
      </c>
      <c r="J272" s="25">
        <v>45736</v>
      </c>
      <c r="K272" s="24" t="s">
        <v>38</v>
      </c>
      <c r="L272" s="26">
        <v>246779413701</v>
      </c>
      <c r="M272" s="23">
        <v>212100</v>
      </c>
      <c r="N272" s="24" t="s">
        <v>39</v>
      </c>
      <c r="O272" s="24" t="s">
        <v>40</v>
      </c>
      <c r="P272" s="23">
        <v>1</v>
      </c>
      <c r="Q272" s="24" t="s">
        <v>42</v>
      </c>
      <c r="R272" s="27">
        <v>216.2</v>
      </c>
      <c r="S272" s="24" t="s">
        <v>43</v>
      </c>
      <c r="T272" s="42">
        <v>18742.650000000001</v>
      </c>
      <c r="U272" s="24" t="s">
        <v>44</v>
      </c>
      <c r="V272" s="23">
        <v>6779224500</v>
      </c>
      <c r="W272" s="24" t="s">
        <v>40</v>
      </c>
      <c r="X272" s="24" t="s">
        <v>38</v>
      </c>
      <c r="Y272" s="23">
        <v>1</v>
      </c>
      <c r="Z272" s="43" cm="1">
        <f t="array" ref="Z272:AA272">_xlfn.XLOOKUP(L272,'Customer Ledger'!$O:$O,'Customer Ledger'!$P:$Q,,0)</f>
        <v>0</v>
      </c>
      <c r="AA272" s="43">
        <v>18367</v>
      </c>
      <c r="AB272" s="43">
        <f t="shared" si="69"/>
        <v>18367</v>
      </c>
      <c r="AC272" s="43">
        <f t="shared" si="70"/>
        <v>375.65000000000146</v>
      </c>
      <c r="AD272" s="51">
        <f t="shared" si="71"/>
        <v>2.0042523335814383E-2</v>
      </c>
      <c r="AE272" s="24" t="s">
        <v>287</v>
      </c>
      <c r="AF272" s="24" t="s">
        <v>40</v>
      </c>
      <c r="AG272" s="24" t="s">
        <v>40</v>
      </c>
      <c r="AH272" s="24" t="s">
        <v>40</v>
      </c>
      <c r="AI272" s="25">
        <v>45736</v>
      </c>
      <c r="AJ272" s="25"/>
      <c r="AK272" s="24" t="s">
        <v>40</v>
      </c>
    </row>
    <row r="273" spans="1:37" x14ac:dyDescent="0.35">
      <c r="A273" s="3" t="s">
        <v>32</v>
      </c>
      <c r="B273" s="3" t="s">
        <v>33</v>
      </c>
      <c r="C273" s="3" t="s">
        <v>34</v>
      </c>
      <c r="D273" s="3" t="s">
        <v>35</v>
      </c>
      <c r="E273" s="3" t="s">
        <v>114</v>
      </c>
      <c r="F273" s="4">
        <v>45736</v>
      </c>
      <c r="G273" s="23">
        <v>1800003782</v>
      </c>
      <c r="H273" s="24" t="s">
        <v>47</v>
      </c>
      <c r="I273" s="25">
        <v>45736</v>
      </c>
      <c r="J273" s="25">
        <v>45736</v>
      </c>
      <c r="K273" s="24" t="s">
        <v>38</v>
      </c>
      <c r="L273" s="26">
        <v>246779413704</v>
      </c>
      <c r="M273" s="23">
        <v>212100</v>
      </c>
      <c r="N273" s="24" t="s">
        <v>39</v>
      </c>
      <c r="O273" s="24" t="s">
        <v>40</v>
      </c>
      <c r="P273" s="23">
        <v>1</v>
      </c>
      <c r="Q273" s="24" t="s">
        <v>42</v>
      </c>
      <c r="R273" s="27">
        <v>152.75</v>
      </c>
      <c r="S273" s="24" t="s">
        <v>43</v>
      </c>
      <c r="T273" s="42">
        <v>13242.09</v>
      </c>
      <c r="U273" s="24" t="s">
        <v>44</v>
      </c>
      <c r="V273" s="23">
        <v>6779224500</v>
      </c>
      <c r="W273" s="24" t="s">
        <v>40</v>
      </c>
      <c r="X273" s="24" t="s">
        <v>38</v>
      </c>
      <c r="Y273" s="23">
        <v>1</v>
      </c>
      <c r="Z273" s="43" cm="1">
        <f t="array" ref="Z273:AA273">_xlfn.XLOOKUP(L273,'Customer Ledger'!$O:$O,'Customer Ledger'!$P:$Q,,0)</f>
        <v>0</v>
      </c>
      <c r="AA273" s="43">
        <v>13011</v>
      </c>
      <c r="AB273" s="43">
        <f t="shared" si="69"/>
        <v>13011</v>
      </c>
      <c r="AC273" s="43">
        <f t="shared" si="70"/>
        <v>231.09000000000015</v>
      </c>
      <c r="AD273" s="51">
        <f t="shared" si="71"/>
        <v>1.7451172737838222E-2</v>
      </c>
      <c r="AE273" s="24" t="s">
        <v>288</v>
      </c>
      <c r="AF273" s="24" t="s">
        <v>40</v>
      </c>
      <c r="AG273" s="24" t="s">
        <v>40</v>
      </c>
      <c r="AH273" s="24" t="s">
        <v>40</v>
      </c>
      <c r="AI273" s="25">
        <v>45736</v>
      </c>
      <c r="AJ273" s="25"/>
      <c r="AK273" s="24" t="s">
        <v>40</v>
      </c>
    </row>
    <row r="274" spans="1:37" x14ac:dyDescent="0.35">
      <c r="A274" s="3" t="s">
        <v>32</v>
      </c>
      <c r="B274" s="3" t="s">
        <v>33</v>
      </c>
      <c r="C274" s="3" t="s">
        <v>34</v>
      </c>
      <c r="D274" s="3" t="s">
        <v>35</v>
      </c>
      <c r="E274" s="3" t="s">
        <v>114</v>
      </c>
      <c r="F274" s="4">
        <v>45736</v>
      </c>
      <c r="G274" s="23">
        <v>1800007764</v>
      </c>
      <c r="H274" s="24" t="s">
        <v>47</v>
      </c>
      <c r="I274" s="25">
        <v>45769</v>
      </c>
      <c r="J274" s="25">
        <v>45770</v>
      </c>
      <c r="K274" s="24" t="s">
        <v>38</v>
      </c>
      <c r="L274" s="26">
        <v>256779412655</v>
      </c>
      <c r="M274" s="23">
        <v>212100</v>
      </c>
      <c r="N274" s="24" t="s">
        <v>39</v>
      </c>
      <c r="O274" s="24" t="s">
        <v>40</v>
      </c>
      <c r="P274" s="23">
        <v>1</v>
      </c>
      <c r="Q274" s="24" t="s">
        <v>42</v>
      </c>
      <c r="R274" s="27">
        <v>25</v>
      </c>
      <c r="S274" s="24" t="s">
        <v>43</v>
      </c>
      <c r="T274" s="42">
        <v>2173.0500000000002</v>
      </c>
      <c r="U274" s="24" t="s">
        <v>44</v>
      </c>
      <c r="V274" s="23">
        <v>6779224500</v>
      </c>
      <c r="W274" s="24" t="s">
        <v>40</v>
      </c>
      <c r="X274" s="24" t="s">
        <v>38</v>
      </c>
      <c r="Y274" s="23">
        <v>1</v>
      </c>
      <c r="Z274" s="43" cm="1">
        <f t="array" ref="Z274:AA274">_xlfn.XLOOKUP(L274,'Customer Ledger'!$O:$O,'Customer Ledger'!$P:$Q,,0)</f>
        <v>0</v>
      </c>
      <c r="AA274" s="43">
        <v>2085</v>
      </c>
      <c r="AB274" s="43">
        <f t="shared" si="69"/>
        <v>2085</v>
      </c>
      <c r="AC274" s="43">
        <f t="shared" si="70"/>
        <v>88.050000000000182</v>
      </c>
      <c r="AD274" s="51">
        <f t="shared" si="71"/>
        <v>4.0519086077172715E-2</v>
      </c>
      <c r="AE274" s="24" t="s">
        <v>133</v>
      </c>
      <c r="AF274" s="24" t="s">
        <v>40</v>
      </c>
      <c r="AG274" s="24" t="s">
        <v>40</v>
      </c>
      <c r="AH274" s="24" t="s">
        <v>40</v>
      </c>
      <c r="AI274" s="25">
        <v>45769</v>
      </c>
      <c r="AJ274" s="25"/>
      <c r="AK274" s="24" t="s">
        <v>40</v>
      </c>
    </row>
    <row r="275" spans="1:37" x14ac:dyDescent="0.35">
      <c r="A275" s="3" t="s">
        <v>32</v>
      </c>
      <c r="B275" s="3" t="s">
        <v>33</v>
      </c>
      <c r="C275" s="3" t="s">
        <v>34</v>
      </c>
      <c r="D275" s="3" t="s">
        <v>35</v>
      </c>
      <c r="E275" s="3" t="s">
        <v>114</v>
      </c>
      <c r="F275" s="4">
        <v>45736</v>
      </c>
      <c r="G275" s="23">
        <v>1800004449</v>
      </c>
      <c r="H275" s="24" t="s">
        <v>47</v>
      </c>
      <c r="I275" s="25">
        <v>45737</v>
      </c>
      <c r="J275" s="25">
        <v>45737</v>
      </c>
      <c r="K275" s="24" t="s">
        <v>38</v>
      </c>
      <c r="L275" s="26">
        <v>246779414317</v>
      </c>
      <c r="M275" s="23">
        <v>212100</v>
      </c>
      <c r="N275" s="24" t="s">
        <v>39</v>
      </c>
      <c r="O275" s="24" t="s">
        <v>40</v>
      </c>
      <c r="P275" s="23">
        <v>1</v>
      </c>
      <c r="Q275" s="24" t="s">
        <v>42</v>
      </c>
      <c r="R275" s="27">
        <v>25</v>
      </c>
      <c r="S275" s="24" t="s">
        <v>43</v>
      </c>
      <c r="T275" s="42">
        <v>2167.2800000000002</v>
      </c>
      <c r="U275" s="24" t="s">
        <v>44</v>
      </c>
      <c r="V275" s="23">
        <v>6779224500</v>
      </c>
      <c r="W275" s="24" t="s">
        <v>40</v>
      </c>
      <c r="X275" s="24" t="s">
        <v>38</v>
      </c>
      <c r="Y275" s="23">
        <v>1</v>
      </c>
      <c r="Z275" s="43" cm="1">
        <f t="array" ref="Z275:AA275">_xlfn.XLOOKUP(L275,'Customer Ledger'!$O:$O,'Customer Ledger'!$P:$Q,,0)</f>
        <v>0</v>
      </c>
      <c r="AA275" s="43">
        <v>1907</v>
      </c>
      <c r="AB275" s="43">
        <f t="shared" si="69"/>
        <v>1907</v>
      </c>
      <c r="AC275" s="43">
        <f t="shared" si="70"/>
        <v>260.2800000000002</v>
      </c>
      <c r="AD275" s="51">
        <f t="shared" si="71"/>
        <v>0.12009523457974981</v>
      </c>
      <c r="AE275" s="24" t="s">
        <v>150</v>
      </c>
      <c r="AF275" s="24" t="s">
        <v>40</v>
      </c>
      <c r="AG275" s="24" t="s">
        <v>40</v>
      </c>
      <c r="AH275" s="24" t="s">
        <v>40</v>
      </c>
      <c r="AI275" s="25">
        <v>45737</v>
      </c>
      <c r="AJ275" s="25"/>
      <c r="AK275" s="24" t="s">
        <v>40</v>
      </c>
    </row>
    <row r="276" spans="1:37" x14ac:dyDescent="0.35">
      <c r="A276" s="3" t="s">
        <v>32</v>
      </c>
      <c r="B276" s="3" t="s">
        <v>33</v>
      </c>
      <c r="C276" s="3" t="s">
        <v>34</v>
      </c>
      <c r="D276" s="3" t="s">
        <v>35</v>
      </c>
      <c r="E276" s="3" t="s">
        <v>114</v>
      </c>
      <c r="F276" s="4">
        <v>45736</v>
      </c>
      <c r="G276" s="23">
        <v>1800001117</v>
      </c>
      <c r="H276" s="24" t="s">
        <v>47</v>
      </c>
      <c r="I276" s="25">
        <v>45722</v>
      </c>
      <c r="J276" s="25">
        <v>45723</v>
      </c>
      <c r="K276" s="24" t="s">
        <v>38</v>
      </c>
      <c r="L276" s="26">
        <v>246779411053</v>
      </c>
      <c r="M276" s="23">
        <v>212100</v>
      </c>
      <c r="N276" s="24" t="s">
        <v>39</v>
      </c>
      <c r="O276" s="24" t="s">
        <v>40</v>
      </c>
      <c r="P276" s="23">
        <v>1</v>
      </c>
      <c r="Q276" s="24" t="s">
        <v>42</v>
      </c>
      <c r="R276" s="27">
        <v>24.4</v>
      </c>
      <c r="S276" s="24" t="s">
        <v>43</v>
      </c>
      <c r="T276" s="42">
        <v>2115.27</v>
      </c>
      <c r="U276" s="24" t="s">
        <v>44</v>
      </c>
      <c r="V276" s="23">
        <v>6779224500</v>
      </c>
      <c r="W276" s="24" t="s">
        <v>40</v>
      </c>
      <c r="X276" s="24" t="s">
        <v>38</v>
      </c>
      <c r="Y276" s="23">
        <v>1</v>
      </c>
      <c r="Z276" s="43" cm="1">
        <f t="array" ref="Z276:AA276">_xlfn.XLOOKUP(L276,'Customer Ledger'!$O:$O,'Customer Ledger'!$P:$Q,,0)</f>
        <v>0</v>
      </c>
      <c r="AA276" s="43">
        <v>1981</v>
      </c>
      <c r="AB276" s="43">
        <f t="shared" si="69"/>
        <v>1981</v>
      </c>
      <c r="AC276" s="43">
        <f t="shared" si="70"/>
        <v>134.26999999999998</v>
      </c>
      <c r="AD276" s="51">
        <f t="shared" si="71"/>
        <v>6.3476530182908081E-2</v>
      </c>
      <c r="AE276" s="24" t="s">
        <v>348</v>
      </c>
      <c r="AF276" s="24" t="s">
        <v>40</v>
      </c>
      <c r="AG276" s="24" t="s">
        <v>40</v>
      </c>
      <c r="AH276" s="24" t="s">
        <v>40</v>
      </c>
      <c r="AI276" s="25">
        <v>45722</v>
      </c>
      <c r="AJ276" s="25"/>
      <c r="AK276" s="24" t="s">
        <v>40</v>
      </c>
    </row>
    <row r="277" spans="1:37" x14ac:dyDescent="0.35">
      <c r="A277" s="3" t="s">
        <v>32</v>
      </c>
      <c r="B277" s="3" t="s">
        <v>33</v>
      </c>
      <c r="C277" s="3" t="s">
        <v>34</v>
      </c>
      <c r="D277" s="3" t="s">
        <v>35</v>
      </c>
      <c r="E277" s="3" t="s">
        <v>114</v>
      </c>
      <c r="F277" s="4">
        <v>45736</v>
      </c>
      <c r="G277" s="23">
        <v>1800006916</v>
      </c>
      <c r="H277" s="24" t="s">
        <v>47</v>
      </c>
      <c r="I277" s="25">
        <v>45763</v>
      </c>
      <c r="J277" s="25">
        <v>45764</v>
      </c>
      <c r="K277" s="24" t="s">
        <v>38</v>
      </c>
      <c r="L277" s="26">
        <v>256779411807</v>
      </c>
      <c r="M277" s="23">
        <v>212100</v>
      </c>
      <c r="N277" s="24" t="s">
        <v>39</v>
      </c>
      <c r="O277" s="24" t="s">
        <v>40</v>
      </c>
      <c r="P277" s="23">
        <v>1</v>
      </c>
      <c r="Q277" s="24" t="s">
        <v>42</v>
      </c>
      <c r="R277" s="27">
        <v>23.5</v>
      </c>
      <c r="S277" s="24" t="s">
        <v>43</v>
      </c>
      <c r="T277" s="42">
        <v>2042.66</v>
      </c>
      <c r="U277" s="24" t="s">
        <v>44</v>
      </c>
      <c r="V277" s="23">
        <v>6779224500</v>
      </c>
      <c r="W277" s="24" t="s">
        <v>40</v>
      </c>
      <c r="X277" s="24" t="s">
        <v>38</v>
      </c>
      <c r="Y277" s="23">
        <v>1</v>
      </c>
      <c r="Z277" s="43" cm="1">
        <f t="array" ref="Z277:AA277">_xlfn.XLOOKUP(L277,'Customer Ledger'!$O:$O,'Customer Ledger'!$P:$Q,,0)</f>
        <v>0</v>
      </c>
      <c r="AA277" s="43">
        <v>2053.9</v>
      </c>
      <c r="AB277" s="43">
        <f t="shared" si="69"/>
        <v>2053.9</v>
      </c>
      <c r="AC277" s="43">
        <f t="shared" si="70"/>
        <v>-11.240000000000009</v>
      </c>
      <c r="AD277" s="51">
        <f t="shared" si="71"/>
        <v>-5.502628925029133E-3</v>
      </c>
      <c r="AE277" s="24" t="s">
        <v>216</v>
      </c>
      <c r="AF277" s="24" t="s">
        <v>40</v>
      </c>
      <c r="AG277" s="24" t="s">
        <v>40</v>
      </c>
      <c r="AH277" s="24" t="s">
        <v>40</v>
      </c>
      <c r="AI277" s="25">
        <v>45763</v>
      </c>
      <c r="AJ277" s="25"/>
      <c r="AK277" s="24" t="s">
        <v>40</v>
      </c>
    </row>
    <row r="278" spans="1:37" x14ac:dyDescent="0.35">
      <c r="A278" s="3" t="s">
        <v>32</v>
      </c>
      <c r="B278" s="3" t="s">
        <v>33</v>
      </c>
      <c r="C278" s="3" t="s">
        <v>34</v>
      </c>
      <c r="D278" s="3" t="s">
        <v>35</v>
      </c>
      <c r="E278" s="3" t="s">
        <v>114</v>
      </c>
      <c r="F278" s="4">
        <v>45736</v>
      </c>
      <c r="G278" s="23">
        <v>1800001383</v>
      </c>
      <c r="H278" s="24" t="s">
        <v>47</v>
      </c>
      <c r="I278" s="25">
        <v>45722</v>
      </c>
      <c r="J278" s="25">
        <v>45723</v>
      </c>
      <c r="K278" s="24" t="s">
        <v>38</v>
      </c>
      <c r="L278" s="26">
        <v>246779411252</v>
      </c>
      <c r="M278" s="23">
        <v>212100</v>
      </c>
      <c r="N278" s="24" t="s">
        <v>39</v>
      </c>
      <c r="O278" s="24" t="s">
        <v>40</v>
      </c>
      <c r="P278" s="23">
        <v>1</v>
      </c>
      <c r="Q278" s="24" t="s">
        <v>42</v>
      </c>
      <c r="R278" s="27">
        <v>23.5</v>
      </c>
      <c r="S278" s="24" t="s">
        <v>43</v>
      </c>
      <c r="T278" s="42">
        <v>2037.24</v>
      </c>
      <c r="U278" s="24" t="s">
        <v>44</v>
      </c>
      <c r="V278" s="23">
        <v>6779224500</v>
      </c>
      <c r="W278" s="24" t="s">
        <v>40</v>
      </c>
      <c r="X278" s="24" t="s">
        <v>38</v>
      </c>
      <c r="Y278" s="23">
        <v>1</v>
      </c>
      <c r="Z278" s="43" cm="1">
        <f t="array" ref="Z278:AA278">_xlfn.XLOOKUP(L278,'Customer Ledger'!$O:$O,'Customer Ledger'!$P:$Q,,0)</f>
        <v>0</v>
      </c>
      <c r="AA278" s="43">
        <v>1907</v>
      </c>
      <c r="AB278" s="43">
        <f t="shared" si="69"/>
        <v>1907</v>
      </c>
      <c r="AC278" s="43">
        <f t="shared" si="70"/>
        <v>130.24</v>
      </c>
      <c r="AD278" s="51">
        <f t="shared" si="71"/>
        <v>6.3929630284109876E-2</v>
      </c>
      <c r="AE278" s="24" t="s">
        <v>216</v>
      </c>
      <c r="AF278" s="24" t="s">
        <v>40</v>
      </c>
      <c r="AG278" s="24" t="s">
        <v>40</v>
      </c>
      <c r="AH278" s="24" t="s">
        <v>40</v>
      </c>
      <c r="AI278" s="25">
        <v>45722</v>
      </c>
      <c r="AJ278" s="25"/>
      <c r="AK278" s="24" t="s">
        <v>40</v>
      </c>
    </row>
    <row r="279" spans="1:37" x14ac:dyDescent="0.35">
      <c r="A279" s="3" t="s">
        <v>32</v>
      </c>
      <c r="B279" s="3" t="s">
        <v>33</v>
      </c>
      <c r="C279" s="3" t="s">
        <v>34</v>
      </c>
      <c r="D279" s="3" t="s">
        <v>35</v>
      </c>
      <c r="E279" s="3" t="s">
        <v>114</v>
      </c>
      <c r="F279" s="4">
        <v>45736</v>
      </c>
      <c r="G279" s="23">
        <v>1800001114</v>
      </c>
      <c r="H279" s="24" t="s">
        <v>47</v>
      </c>
      <c r="I279" s="25">
        <v>45722</v>
      </c>
      <c r="J279" s="25">
        <v>45723</v>
      </c>
      <c r="K279" s="24" t="s">
        <v>38</v>
      </c>
      <c r="L279" s="26">
        <v>246779411050</v>
      </c>
      <c r="M279" s="23">
        <v>212100</v>
      </c>
      <c r="N279" s="24" t="s">
        <v>39</v>
      </c>
      <c r="O279" s="24" t="s">
        <v>40</v>
      </c>
      <c r="P279" s="23">
        <v>1</v>
      </c>
      <c r="Q279" s="24" t="s">
        <v>42</v>
      </c>
      <c r="R279" s="27">
        <v>23.5</v>
      </c>
      <c r="S279" s="24" t="s">
        <v>43</v>
      </c>
      <c r="T279" s="42">
        <v>2037.24</v>
      </c>
      <c r="U279" s="24" t="s">
        <v>44</v>
      </c>
      <c r="V279" s="23">
        <v>6779224500</v>
      </c>
      <c r="W279" s="24" t="s">
        <v>40</v>
      </c>
      <c r="X279" s="24" t="s">
        <v>38</v>
      </c>
      <c r="Y279" s="23">
        <v>1</v>
      </c>
      <c r="Z279" s="43" cm="1">
        <f t="array" ref="Z279:AA279">_xlfn.XLOOKUP(L279,'Customer Ledger'!$O:$O,'Customer Ledger'!$P:$Q,,0)</f>
        <v>0</v>
      </c>
      <c r="AA279" s="43">
        <v>1907</v>
      </c>
      <c r="AB279" s="43">
        <f t="shared" si="69"/>
        <v>1907</v>
      </c>
      <c r="AC279" s="43">
        <f t="shared" si="70"/>
        <v>130.24</v>
      </c>
      <c r="AD279" s="51">
        <f t="shared" si="71"/>
        <v>6.3929630284109876E-2</v>
      </c>
      <c r="AE279" s="24" t="s">
        <v>348</v>
      </c>
      <c r="AF279" s="24" t="s">
        <v>40</v>
      </c>
      <c r="AG279" s="24" t="s">
        <v>40</v>
      </c>
      <c r="AH279" s="24" t="s">
        <v>40</v>
      </c>
      <c r="AI279" s="25">
        <v>45722</v>
      </c>
      <c r="AJ279" s="25"/>
      <c r="AK279" s="24" t="s">
        <v>40</v>
      </c>
    </row>
    <row r="280" spans="1:37" x14ac:dyDescent="0.35">
      <c r="A280" s="3" t="s">
        <v>32</v>
      </c>
      <c r="B280" s="3" t="s">
        <v>33</v>
      </c>
      <c r="C280" s="3" t="s">
        <v>34</v>
      </c>
      <c r="D280" s="3" t="s">
        <v>35</v>
      </c>
      <c r="E280" s="3" t="s">
        <v>114</v>
      </c>
      <c r="F280" s="4">
        <v>45736</v>
      </c>
      <c r="G280" s="23">
        <v>1800001316</v>
      </c>
      <c r="H280" s="24" t="s">
        <v>47</v>
      </c>
      <c r="I280" s="25">
        <v>45722</v>
      </c>
      <c r="J280" s="25">
        <v>45723</v>
      </c>
      <c r="K280" s="24" t="s">
        <v>38</v>
      </c>
      <c r="L280" s="26">
        <v>246779411185</v>
      </c>
      <c r="M280" s="23">
        <v>212100</v>
      </c>
      <c r="N280" s="24" t="s">
        <v>39</v>
      </c>
      <c r="O280" s="24" t="s">
        <v>40</v>
      </c>
      <c r="P280" s="23">
        <v>1</v>
      </c>
      <c r="Q280" s="24" t="s">
        <v>42</v>
      </c>
      <c r="R280" s="27">
        <v>23.5</v>
      </c>
      <c r="S280" s="24" t="s">
        <v>43</v>
      </c>
      <c r="T280" s="42">
        <v>2037.24</v>
      </c>
      <c r="U280" s="24" t="s">
        <v>44</v>
      </c>
      <c r="V280" s="23">
        <v>6779224500</v>
      </c>
      <c r="W280" s="24" t="s">
        <v>40</v>
      </c>
      <c r="X280" s="24" t="s">
        <v>38</v>
      </c>
      <c r="Y280" s="23">
        <v>1</v>
      </c>
      <c r="Z280" s="43" cm="1">
        <f t="array" ref="Z280:AA280">_xlfn.XLOOKUP(L280,'Customer Ledger'!$O:$O,'Customer Ledger'!$P:$Q,,0)</f>
        <v>0</v>
      </c>
      <c r="AA280" s="43">
        <v>2004</v>
      </c>
      <c r="AB280" s="43">
        <f t="shared" si="69"/>
        <v>2004</v>
      </c>
      <c r="AC280" s="43">
        <f t="shared" si="70"/>
        <v>33.240000000000009</v>
      </c>
      <c r="AD280" s="51">
        <f t="shared" si="71"/>
        <v>1.631619249572952E-2</v>
      </c>
      <c r="AE280" s="24" t="s">
        <v>349</v>
      </c>
      <c r="AF280" s="24" t="s">
        <v>40</v>
      </c>
      <c r="AG280" s="24" t="s">
        <v>40</v>
      </c>
      <c r="AH280" s="24" t="s">
        <v>40</v>
      </c>
      <c r="AI280" s="25">
        <v>45722</v>
      </c>
      <c r="AJ280" s="25"/>
      <c r="AK280" s="24" t="s">
        <v>40</v>
      </c>
    </row>
    <row r="281" spans="1:37" x14ac:dyDescent="0.35">
      <c r="A281" s="3" t="s">
        <v>32</v>
      </c>
      <c r="B281" s="3" t="s">
        <v>33</v>
      </c>
      <c r="C281" s="3" t="s">
        <v>34</v>
      </c>
      <c r="D281" s="3" t="s">
        <v>35</v>
      </c>
      <c r="E281" s="3" t="s">
        <v>114</v>
      </c>
      <c r="F281" s="4">
        <v>45736</v>
      </c>
      <c r="G281" s="23">
        <v>1800001317</v>
      </c>
      <c r="H281" s="24" t="s">
        <v>47</v>
      </c>
      <c r="I281" s="25">
        <v>45722</v>
      </c>
      <c r="J281" s="25">
        <v>45723</v>
      </c>
      <c r="K281" s="24" t="s">
        <v>38</v>
      </c>
      <c r="L281" s="26">
        <v>246779411186</v>
      </c>
      <c r="M281" s="23">
        <v>212100</v>
      </c>
      <c r="N281" s="24" t="s">
        <v>39</v>
      </c>
      <c r="O281" s="24" t="s">
        <v>40</v>
      </c>
      <c r="P281" s="23">
        <v>1</v>
      </c>
      <c r="Q281" s="24" t="s">
        <v>42</v>
      </c>
      <c r="R281" s="27">
        <v>23.5</v>
      </c>
      <c r="S281" s="24" t="s">
        <v>43</v>
      </c>
      <c r="T281" s="42">
        <v>2037.24</v>
      </c>
      <c r="U281" s="24" t="s">
        <v>44</v>
      </c>
      <c r="V281" s="23">
        <v>6779224500</v>
      </c>
      <c r="W281" s="24" t="s">
        <v>40</v>
      </c>
      <c r="X281" s="24" t="s">
        <v>38</v>
      </c>
      <c r="Y281" s="23">
        <v>1</v>
      </c>
      <c r="Z281" s="43" cm="1">
        <f t="array" ref="Z281:AA281">_xlfn.XLOOKUP(L281,'Customer Ledger'!$O:$O,'Customer Ledger'!$P:$Q,,0)</f>
        <v>0</v>
      </c>
      <c r="AA281" s="43">
        <v>2004</v>
      </c>
      <c r="AB281" s="43">
        <f t="shared" si="69"/>
        <v>2004</v>
      </c>
      <c r="AC281" s="43">
        <f t="shared" si="70"/>
        <v>33.240000000000009</v>
      </c>
      <c r="AD281" s="51">
        <f t="shared" si="71"/>
        <v>1.631619249572952E-2</v>
      </c>
      <c r="AE281" s="24" t="s">
        <v>349</v>
      </c>
      <c r="AF281" s="24" t="s">
        <v>40</v>
      </c>
      <c r="AG281" s="24" t="s">
        <v>40</v>
      </c>
      <c r="AH281" s="24" t="s">
        <v>40</v>
      </c>
      <c r="AI281" s="25">
        <v>45722</v>
      </c>
      <c r="AJ281" s="25"/>
      <c r="AK281" s="24" t="s">
        <v>40</v>
      </c>
    </row>
    <row r="282" spans="1:37" x14ac:dyDescent="0.35">
      <c r="A282" s="3" t="s">
        <v>32</v>
      </c>
      <c r="B282" s="3" t="s">
        <v>33</v>
      </c>
      <c r="C282" s="3" t="s">
        <v>34</v>
      </c>
      <c r="D282" s="3" t="s">
        <v>35</v>
      </c>
      <c r="E282" s="3" t="s">
        <v>114</v>
      </c>
      <c r="F282" s="4">
        <v>45736</v>
      </c>
      <c r="G282" s="23">
        <v>1800001318</v>
      </c>
      <c r="H282" s="24" t="s">
        <v>47</v>
      </c>
      <c r="I282" s="25">
        <v>45722</v>
      </c>
      <c r="J282" s="25">
        <v>45723</v>
      </c>
      <c r="K282" s="24" t="s">
        <v>38</v>
      </c>
      <c r="L282" s="26">
        <v>246779411187</v>
      </c>
      <c r="M282" s="23">
        <v>212100</v>
      </c>
      <c r="N282" s="24" t="s">
        <v>39</v>
      </c>
      <c r="O282" s="24" t="s">
        <v>40</v>
      </c>
      <c r="P282" s="23">
        <v>1</v>
      </c>
      <c r="Q282" s="24" t="s">
        <v>42</v>
      </c>
      <c r="R282" s="27">
        <v>23.5</v>
      </c>
      <c r="S282" s="24" t="s">
        <v>43</v>
      </c>
      <c r="T282" s="42">
        <v>2037.24</v>
      </c>
      <c r="U282" s="24" t="s">
        <v>44</v>
      </c>
      <c r="V282" s="23">
        <v>6779224500</v>
      </c>
      <c r="W282" s="24" t="s">
        <v>40</v>
      </c>
      <c r="X282" s="24" t="s">
        <v>38</v>
      </c>
      <c r="Y282" s="23">
        <v>1</v>
      </c>
      <c r="Z282" s="43" cm="1">
        <f t="array" ref="Z282:AA282">_xlfn.XLOOKUP(L282,'Customer Ledger'!$O:$O,'Customer Ledger'!$P:$Q,,0)</f>
        <v>0</v>
      </c>
      <c r="AA282" s="43">
        <v>2004</v>
      </c>
      <c r="AB282" s="43">
        <f t="shared" si="69"/>
        <v>2004</v>
      </c>
      <c r="AC282" s="43">
        <f t="shared" si="70"/>
        <v>33.240000000000009</v>
      </c>
      <c r="AD282" s="51">
        <f t="shared" si="71"/>
        <v>1.631619249572952E-2</v>
      </c>
      <c r="AE282" s="24" t="s">
        <v>349</v>
      </c>
      <c r="AF282" s="24" t="s">
        <v>40</v>
      </c>
      <c r="AG282" s="24" t="s">
        <v>40</v>
      </c>
      <c r="AH282" s="24" t="s">
        <v>40</v>
      </c>
      <c r="AI282" s="25">
        <v>45722</v>
      </c>
      <c r="AJ282" s="25"/>
      <c r="AK282" s="24" t="s">
        <v>40</v>
      </c>
    </row>
    <row r="283" spans="1:37" x14ac:dyDescent="0.35">
      <c r="A283" s="3" t="s">
        <v>32</v>
      </c>
      <c r="B283" s="3" t="s">
        <v>33</v>
      </c>
      <c r="C283" s="3" t="s">
        <v>34</v>
      </c>
      <c r="D283" s="3" t="s">
        <v>35</v>
      </c>
      <c r="E283" s="3" t="s">
        <v>114</v>
      </c>
      <c r="F283" s="4">
        <v>45736</v>
      </c>
      <c r="G283" s="23">
        <v>1800001319</v>
      </c>
      <c r="H283" s="24" t="s">
        <v>47</v>
      </c>
      <c r="I283" s="25">
        <v>45722</v>
      </c>
      <c r="J283" s="25">
        <v>45723</v>
      </c>
      <c r="K283" s="24" t="s">
        <v>38</v>
      </c>
      <c r="L283" s="26">
        <v>246779411188</v>
      </c>
      <c r="M283" s="23">
        <v>212100</v>
      </c>
      <c r="N283" s="24" t="s">
        <v>39</v>
      </c>
      <c r="O283" s="24" t="s">
        <v>40</v>
      </c>
      <c r="P283" s="23">
        <v>1</v>
      </c>
      <c r="Q283" s="24" t="s">
        <v>42</v>
      </c>
      <c r="R283" s="27">
        <v>23.5</v>
      </c>
      <c r="S283" s="24" t="s">
        <v>43</v>
      </c>
      <c r="T283" s="42">
        <v>2037.24</v>
      </c>
      <c r="U283" s="24" t="s">
        <v>44</v>
      </c>
      <c r="V283" s="23">
        <v>6779224500</v>
      </c>
      <c r="W283" s="24" t="s">
        <v>40</v>
      </c>
      <c r="X283" s="24" t="s">
        <v>38</v>
      </c>
      <c r="Y283" s="23">
        <v>1</v>
      </c>
      <c r="Z283" s="43" cm="1">
        <f t="array" ref="Z283:AA283">_xlfn.XLOOKUP(L283,'Customer Ledger'!$O:$O,'Customer Ledger'!$P:$Q,,0)</f>
        <v>0</v>
      </c>
      <c r="AA283" s="43">
        <v>2004</v>
      </c>
      <c r="AB283" s="43">
        <f t="shared" si="69"/>
        <v>2004</v>
      </c>
      <c r="AC283" s="43">
        <f t="shared" si="70"/>
        <v>33.240000000000009</v>
      </c>
      <c r="AD283" s="51">
        <f t="shared" si="71"/>
        <v>1.631619249572952E-2</v>
      </c>
      <c r="AE283" s="24" t="s">
        <v>349</v>
      </c>
      <c r="AF283" s="24" t="s">
        <v>40</v>
      </c>
      <c r="AG283" s="24" t="s">
        <v>40</v>
      </c>
      <c r="AH283" s="24" t="s">
        <v>40</v>
      </c>
      <c r="AI283" s="25">
        <v>45722</v>
      </c>
      <c r="AJ283" s="25"/>
      <c r="AK283" s="24" t="s">
        <v>40</v>
      </c>
    </row>
    <row r="284" spans="1:37" x14ac:dyDescent="0.35">
      <c r="A284" s="3" t="s">
        <v>32</v>
      </c>
      <c r="B284" s="3" t="s">
        <v>33</v>
      </c>
      <c r="C284" s="3" t="s">
        <v>34</v>
      </c>
      <c r="D284" s="3" t="s">
        <v>35</v>
      </c>
      <c r="E284" s="3" t="s">
        <v>114</v>
      </c>
      <c r="F284" s="4">
        <v>45736</v>
      </c>
      <c r="G284" s="23">
        <v>1800001320</v>
      </c>
      <c r="H284" s="24" t="s">
        <v>47</v>
      </c>
      <c r="I284" s="25">
        <v>45722</v>
      </c>
      <c r="J284" s="25">
        <v>45723</v>
      </c>
      <c r="K284" s="24" t="s">
        <v>38</v>
      </c>
      <c r="L284" s="26">
        <v>246779411189</v>
      </c>
      <c r="M284" s="23">
        <v>212100</v>
      </c>
      <c r="N284" s="24" t="s">
        <v>39</v>
      </c>
      <c r="O284" s="24" t="s">
        <v>40</v>
      </c>
      <c r="P284" s="23">
        <v>1</v>
      </c>
      <c r="Q284" s="24" t="s">
        <v>42</v>
      </c>
      <c r="R284" s="27">
        <v>23.5</v>
      </c>
      <c r="S284" s="24" t="s">
        <v>43</v>
      </c>
      <c r="T284" s="42">
        <v>2037.24</v>
      </c>
      <c r="U284" s="24" t="s">
        <v>44</v>
      </c>
      <c r="V284" s="23">
        <v>6779224500</v>
      </c>
      <c r="W284" s="24" t="s">
        <v>40</v>
      </c>
      <c r="X284" s="24" t="s">
        <v>38</v>
      </c>
      <c r="Y284" s="23">
        <v>1</v>
      </c>
      <c r="Z284" s="43" cm="1">
        <f t="array" ref="Z284:AA284">_xlfn.XLOOKUP(L284,'Customer Ledger'!$O:$O,'Customer Ledger'!$P:$Q,,0)</f>
        <v>0</v>
      </c>
      <c r="AA284" s="43">
        <v>2004</v>
      </c>
      <c r="AB284" s="43">
        <f t="shared" si="69"/>
        <v>2004</v>
      </c>
      <c r="AC284" s="43">
        <f t="shared" si="70"/>
        <v>33.240000000000009</v>
      </c>
      <c r="AD284" s="51">
        <f t="shared" si="71"/>
        <v>1.631619249572952E-2</v>
      </c>
      <c r="AE284" s="24" t="s">
        <v>349</v>
      </c>
      <c r="AF284" s="24" t="s">
        <v>40</v>
      </c>
      <c r="AG284" s="24" t="s">
        <v>40</v>
      </c>
      <c r="AH284" s="24" t="s">
        <v>40</v>
      </c>
      <c r="AI284" s="25">
        <v>45722</v>
      </c>
      <c r="AJ284" s="25"/>
      <c r="AK284" s="24" t="s">
        <v>40</v>
      </c>
    </row>
    <row r="285" spans="1:37" x14ac:dyDescent="0.35">
      <c r="A285" s="3" t="s">
        <v>32</v>
      </c>
      <c r="B285" s="3" t="s">
        <v>33</v>
      </c>
      <c r="C285" s="3" t="s">
        <v>34</v>
      </c>
      <c r="D285" s="3" t="s">
        <v>35</v>
      </c>
      <c r="E285" s="3" t="s">
        <v>114</v>
      </c>
      <c r="F285" s="4">
        <v>45736</v>
      </c>
      <c r="G285" s="23">
        <v>1800000545</v>
      </c>
      <c r="H285" s="24" t="s">
        <v>47</v>
      </c>
      <c r="I285" s="25">
        <v>45719</v>
      </c>
      <c r="J285" s="25">
        <v>45719</v>
      </c>
      <c r="K285" s="24" t="s">
        <v>38</v>
      </c>
      <c r="L285" s="26">
        <v>246779410495</v>
      </c>
      <c r="M285" s="23">
        <v>212100</v>
      </c>
      <c r="N285" s="24" t="s">
        <v>39</v>
      </c>
      <c r="O285" s="24" t="s">
        <v>40</v>
      </c>
      <c r="P285" s="23">
        <v>1</v>
      </c>
      <c r="Q285" s="24" t="s">
        <v>42</v>
      </c>
      <c r="R285" s="27">
        <v>23.5</v>
      </c>
      <c r="S285" s="24" t="s">
        <v>43</v>
      </c>
      <c r="T285" s="42">
        <v>2037.24</v>
      </c>
      <c r="U285" s="24" t="s">
        <v>44</v>
      </c>
      <c r="V285" s="23">
        <v>6779224500</v>
      </c>
      <c r="W285" s="24" t="s">
        <v>40</v>
      </c>
      <c r="X285" s="24" t="s">
        <v>38</v>
      </c>
      <c r="Y285" s="23">
        <v>1</v>
      </c>
      <c r="Z285" s="43" cm="1">
        <f t="array" ref="Z285:AA285">_xlfn.XLOOKUP(L285,'Customer Ledger'!$O:$O,'Customer Ledger'!$P:$Q,,0)</f>
        <v>0</v>
      </c>
      <c r="AA285" s="43">
        <v>2009</v>
      </c>
      <c r="AB285" s="43">
        <f t="shared" si="69"/>
        <v>2009</v>
      </c>
      <c r="AC285" s="43">
        <f t="shared" si="70"/>
        <v>28.240000000000009</v>
      </c>
      <c r="AD285" s="51">
        <f t="shared" si="71"/>
        <v>1.3861891578802698E-2</v>
      </c>
      <c r="AE285" s="24" t="s">
        <v>351</v>
      </c>
      <c r="AF285" s="24" t="s">
        <v>40</v>
      </c>
      <c r="AG285" s="24" t="s">
        <v>40</v>
      </c>
      <c r="AH285" s="24" t="s">
        <v>40</v>
      </c>
      <c r="AI285" s="25">
        <v>45719</v>
      </c>
      <c r="AJ285" s="25"/>
      <c r="AK285" s="24" t="s">
        <v>40</v>
      </c>
    </row>
    <row r="286" spans="1:37" x14ac:dyDescent="0.35">
      <c r="A286" s="3" t="s">
        <v>32</v>
      </c>
      <c r="B286" s="3" t="s">
        <v>33</v>
      </c>
      <c r="C286" s="3" t="s">
        <v>34</v>
      </c>
      <c r="D286" s="3" t="s">
        <v>35</v>
      </c>
      <c r="E286" s="3" t="s">
        <v>114</v>
      </c>
      <c r="F286" s="4">
        <v>45736</v>
      </c>
      <c r="G286" s="23">
        <v>1800000552</v>
      </c>
      <c r="H286" s="24" t="s">
        <v>47</v>
      </c>
      <c r="I286" s="25">
        <v>45719</v>
      </c>
      <c r="J286" s="25">
        <v>45719</v>
      </c>
      <c r="K286" s="24" t="s">
        <v>38</v>
      </c>
      <c r="L286" s="26">
        <v>246779410502</v>
      </c>
      <c r="M286" s="23">
        <v>212100</v>
      </c>
      <c r="N286" s="24" t="s">
        <v>39</v>
      </c>
      <c r="O286" s="24" t="s">
        <v>40</v>
      </c>
      <c r="P286" s="23">
        <v>1</v>
      </c>
      <c r="Q286" s="24" t="s">
        <v>42</v>
      </c>
      <c r="R286" s="27">
        <v>23.5</v>
      </c>
      <c r="S286" s="24" t="s">
        <v>43</v>
      </c>
      <c r="T286" s="42">
        <v>2037.24</v>
      </c>
      <c r="U286" s="24" t="s">
        <v>44</v>
      </c>
      <c r="V286" s="23">
        <v>6779224500</v>
      </c>
      <c r="W286" s="24" t="s">
        <v>40</v>
      </c>
      <c r="X286" s="24" t="s">
        <v>38</v>
      </c>
      <c r="Y286" s="23">
        <v>1</v>
      </c>
      <c r="Z286" s="43" cm="1">
        <f t="array" ref="Z286:AA286">_xlfn.XLOOKUP(L286,'Customer Ledger'!$O:$O,'Customer Ledger'!$P:$Q,,0)</f>
        <v>0</v>
      </c>
      <c r="AA286" s="43">
        <v>2009</v>
      </c>
      <c r="AB286" s="43">
        <f t="shared" si="69"/>
        <v>2009</v>
      </c>
      <c r="AC286" s="43">
        <f t="shared" si="70"/>
        <v>28.240000000000009</v>
      </c>
      <c r="AD286" s="51">
        <f t="shared" si="71"/>
        <v>1.3861891578802698E-2</v>
      </c>
      <c r="AE286" s="24" t="s">
        <v>351</v>
      </c>
      <c r="AF286" s="24" t="s">
        <v>40</v>
      </c>
      <c r="AG286" s="24" t="s">
        <v>40</v>
      </c>
      <c r="AH286" s="24" t="s">
        <v>40</v>
      </c>
      <c r="AI286" s="25">
        <v>45719</v>
      </c>
      <c r="AJ286" s="25"/>
      <c r="AK286" s="24" t="s">
        <v>40</v>
      </c>
    </row>
    <row r="287" spans="1:37" x14ac:dyDescent="0.35">
      <c r="A287" s="3" t="s">
        <v>32</v>
      </c>
      <c r="B287" s="3" t="s">
        <v>33</v>
      </c>
      <c r="C287" s="3" t="s">
        <v>34</v>
      </c>
      <c r="D287" s="3" t="s">
        <v>35</v>
      </c>
      <c r="E287" s="3" t="s">
        <v>114</v>
      </c>
      <c r="F287" s="4">
        <v>45736</v>
      </c>
      <c r="G287" s="23">
        <v>1800003928</v>
      </c>
      <c r="H287" s="24" t="s">
        <v>47</v>
      </c>
      <c r="I287" s="25">
        <v>45736</v>
      </c>
      <c r="J287" s="25">
        <v>45736</v>
      </c>
      <c r="K287" s="24" t="s">
        <v>38</v>
      </c>
      <c r="L287" s="26">
        <v>246779413796</v>
      </c>
      <c r="M287" s="23">
        <v>212100</v>
      </c>
      <c r="N287" s="24" t="s">
        <v>39</v>
      </c>
      <c r="O287" s="24" t="s">
        <v>40</v>
      </c>
      <c r="P287" s="23">
        <v>1</v>
      </c>
      <c r="Q287" s="24" t="s">
        <v>42</v>
      </c>
      <c r="R287" s="27">
        <v>1926.06</v>
      </c>
      <c r="S287" s="24" t="s">
        <v>43</v>
      </c>
      <c r="T287" s="42">
        <v>166972.57</v>
      </c>
      <c r="U287" s="24" t="s">
        <v>44</v>
      </c>
      <c r="V287" s="23">
        <v>6779224500</v>
      </c>
      <c r="W287" s="24" t="s">
        <v>40</v>
      </c>
      <c r="X287" s="24" t="s">
        <v>38</v>
      </c>
      <c r="Y287" s="23">
        <v>1</v>
      </c>
      <c r="Z287" s="43" cm="1">
        <f t="array" ref="Z287:AA287">_xlfn.XLOOKUP(L287,'Customer Ledger'!$O:$O,'Customer Ledger'!$P:$Q,,0)</f>
        <v>0</v>
      </c>
      <c r="AA287" s="43">
        <v>163631</v>
      </c>
      <c r="AB287" s="43">
        <f t="shared" si="69"/>
        <v>163631</v>
      </c>
      <c r="AC287" s="43">
        <f t="shared" si="70"/>
        <v>3341.570000000007</v>
      </c>
      <c r="AD287" s="51">
        <f t="shared" si="71"/>
        <v>2.0012688311619131E-2</v>
      </c>
      <c r="AE287" s="24" t="s">
        <v>289</v>
      </c>
      <c r="AF287" s="24" t="s">
        <v>40</v>
      </c>
      <c r="AG287" s="24" t="s">
        <v>40</v>
      </c>
      <c r="AH287" s="24" t="s">
        <v>40</v>
      </c>
      <c r="AI287" s="25">
        <v>45736</v>
      </c>
      <c r="AJ287" s="25"/>
      <c r="AK287" s="24" t="s">
        <v>40</v>
      </c>
    </row>
    <row r="288" spans="1:37" x14ac:dyDescent="0.35">
      <c r="A288" s="3" t="s">
        <v>32</v>
      </c>
      <c r="B288" s="3" t="s">
        <v>33</v>
      </c>
      <c r="C288" s="3" t="s">
        <v>34</v>
      </c>
      <c r="D288" s="3" t="s">
        <v>35</v>
      </c>
      <c r="E288" s="3" t="s">
        <v>114</v>
      </c>
      <c r="F288" s="4">
        <v>45736</v>
      </c>
      <c r="G288" s="23">
        <v>1800003989</v>
      </c>
      <c r="H288" s="24" t="s">
        <v>47</v>
      </c>
      <c r="I288" s="25">
        <v>45736</v>
      </c>
      <c r="J288" s="25">
        <v>45737</v>
      </c>
      <c r="K288" s="24" t="s">
        <v>38</v>
      </c>
      <c r="L288" s="26">
        <v>246779413845</v>
      </c>
      <c r="M288" s="23">
        <v>212100</v>
      </c>
      <c r="N288" s="24" t="s">
        <v>39</v>
      </c>
      <c r="O288" s="24" t="s">
        <v>40</v>
      </c>
      <c r="P288" s="23">
        <v>1</v>
      </c>
      <c r="Q288" s="24" t="s">
        <v>42</v>
      </c>
      <c r="R288" s="27">
        <v>531.9</v>
      </c>
      <c r="S288" s="24" t="s">
        <v>43</v>
      </c>
      <c r="T288" s="42">
        <v>46111.08</v>
      </c>
      <c r="U288" s="24" t="s">
        <v>44</v>
      </c>
      <c r="V288" s="23">
        <v>6779224500</v>
      </c>
      <c r="W288" s="24" t="s">
        <v>40</v>
      </c>
      <c r="X288" s="24" t="s">
        <v>38</v>
      </c>
      <c r="Y288" s="23">
        <v>1</v>
      </c>
      <c r="Z288" s="43" cm="1">
        <f t="array" ref="Z288:AA288">_xlfn.XLOOKUP(L288,'Customer Ledger'!$O:$O,'Customer Ledger'!$P:$Q,,0)</f>
        <v>0</v>
      </c>
      <c r="AA288" s="43">
        <v>45188</v>
      </c>
      <c r="AB288" s="43">
        <f t="shared" si="69"/>
        <v>45188</v>
      </c>
      <c r="AC288" s="43">
        <f t="shared" si="70"/>
        <v>923.08000000000175</v>
      </c>
      <c r="AD288" s="51">
        <f t="shared" si="71"/>
        <v>2.0018615916174633E-2</v>
      </c>
      <c r="AE288" s="24" t="s">
        <v>290</v>
      </c>
      <c r="AF288" s="24" t="s">
        <v>40</v>
      </c>
      <c r="AG288" s="24" t="s">
        <v>40</v>
      </c>
      <c r="AH288" s="24" t="s">
        <v>40</v>
      </c>
      <c r="AI288" s="25">
        <v>45736</v>
      </c>
      <c r="AJ288" s="25"/>
      <c r="AK288" s="24" t="s">
        <v>40</v>
      </c>
    </row>
    <row r="289" spans="1:39" x14ac:dyDescent="0.35">
      <c r="A289" s="3" t="s">
        <v>32</v>
      </c>
      <c r="B289" s="3" t="s">
        <v>33</v>
      </c>
      <c r="C289" s="3" t="s">
        <v>34</v>
      </c>
      <c r="D289" s="3" t="s">
        <v>35</v>
      </c>
      <c r="E289" s="3" t="s">
        <v>114</v>
      </c>
      <c r="F289" s="4">
        <v>45736</v>
      </c>
      <c r="G289" s="23">
        <v>1800000665</v>
      </c>
      <c r="H289" s="24" t="s">
        <v>47</v>
      </c>
      <c r="I289" s="25">
        <v>45719</v>
      </c>
      <c r="J289" s="25">
        <v>45720</v>
      </c>
      <c r="K289" s="24" t="s">
        <v>38</v>
      </c>
      <c r="L289" s="26">
        <v>246779410605</v>
      </c>
      <c r="M289" s="23">
        <v>212100</v>
      </c>
      <c r="N289" s="24" t="s">
        <v>39</v>
      </c>
      <c r="O289" s="24" t="s">
        <v>40</v>
      </c>
      <c r="P289" s="23">
        <v>1</v>
      </c>
      <c r="Q289" s="24" t="s">
        <v>42</v>
      </c>
      <c r="R289" s="27">
        <v>23.5</v>
      </c>
      <c r="S289" s="24" t="s">
        <v>43</v>
      </c>
      <c r="T289" s="42">
        <v>2037.24</v>
      </c>
      <c r="U289" s="24" t="s">
        <v>44</v>
      </c>
      <c r="V289" s="23">
        <v>6779224500</v>
      </c>
      <c r="W289" s="24" t="s">
        <v>40</v>
      </c>
      <c r="X289" s="24" t="s">
        <v>38</v>
      </c>
      <c r="Y289" s="23">
        <v>1</v>
      </c>
      <c r="Z289" s="43" cm="1">
        <f t="array" ref="Z289:AA289">_xlfn.XLOOKUP(L289,'Customer Ledger'!$O:$O,'Customer Ledger'!$P:$Q,,0)</f>
        <v>0</v>
      </c>
      <c r="AA289" s="43">
        <v>2009</v>
      </c>
      <c r="AB289" s="43">
        <f t="shared" si="69"/>
        <v>2009</v>
      </c>
      <c r="AC289" s="43">
        <f t="shared" si="70"/>
        <v>28.240000000000009</v>
      </c>
      <c r="AD289" s="51">
        <f t="shared" si="71"/>
        <v>1.3861891578802698E-2</v>
      </c>
      <c r="AE289" s="24" t="s">
        <v>331</v>
      </c>
      <c r="AF289" s="24" t="s">
        <v>40</v>
      </c>
      <c r="AG289" s="24" t="s">
        <v>40</v>
      </c>
      <c r="AH289" s="24" t="s">
        <v>40</v>
      </c>
      <c r="AI289" s="25">
        <v>45719</v>
      </c>
      <c r="AJ289" s="25"/>
      <c r="AK289" s="24" t="s">
        <v>40</v>
      </c>
    </row>
    <row r="290" spans="1:39" x14ac:dyDescent="0.35">
      <c r="A290" s="3" t="s">
        <v>32</v>
      </c>
      <c r="B290" s="3" t="s">
        <v>33</v>
      </c>
      <c r="C290" s="3" t="s">
        <v>34</v>
      </c>
      <c r="D290" s="3" t="s">
        <v>35</v>
      </c>
      <c r="E290" s="3" t="s">
        <v>114</v>
      </c>
      <c r="F290" s="4">
        <v>45736</v>
      </c>
      <c r="G290" s="23">
        <v>1800001030</v>
      </c>
      <c r="H290" s="24" t="s">
        <v>47</v>
      </c>
      <c r="I290" s="25">
        <v>45722</v>
      </c>
      <c r="J290" s="25">
        <v>45722</v>
      </c>
      <c r="K290" s="24" t="s">
        <v>38</v>
      </c>
      <c r="L290" s="26">
        <v>246779410970</v>
      </c>
      <c r="M290" s="23">
        <v>212100</v>
      </c>
      <c r="N290" s="24" t="s">
        <v>39</v>
      </c>
      <c r="O290" s="24" t="s">
        <v>40</v>
      </c>
      <c r="P290" s="23">
        <v>1</v>
      </c>
      <c r="Q290" s="24" t="s">
        <v>42</v>
      </c>
      <c r="R290" s="27">
        <v>22.05</v>
      </c>
      <c r="S290" s="24" t="s">
        <v>43</v>
      </c>
      <c r="T290" s="42">
        <v>1911.54</v>
      </c>
      <c r="U290" s="24" t="s">
        <v>44</v>
      </c>
      <c r="V290" s="23">
        <v>6779224500</v>
      </c>
      <c r="W290" s="24" t="s">
        <v>40</v>
      </c>
      <c r="X290" s="24" t="s">
        <v>38</v>
      </c>
      <c r="Y290" s="23">
        <v>1</v>
      </c>
      <c r="Z290" s="43" cm="1">
        <f t="array" ref="Z290:AA290">_xlfn.XLOOKUP(L290,'Customer Ledger'!$O:$O,'Customer Ledger'!$P:$Q,,0)</f>
        <v>0</v>
      </c>
      <c r="AA290" s="43">
        <v>1882</v>
      </c>
      <c r="AB290" s="43">
        <f t="shared" si="69"/>
        <v>1882</v>
      </c>
      <c r="AC290" s="43">
        <f t="shared" si="70"/>
        <v>29.539999999999964</v>
      </c>
      <c r="AD290" s="51">
        <f t="shared" si="71"/>
        <v>1.5453508689329003E-2</v>
      </c>
      <c r="AE290" s="24" t="s">
        <v>347</v>
      </c>
      <c r="AF290" s="24" t="s">
        <v>40</v>
      </c>
      <c r="AG290" s="24" t="s">
        <v>40</v>
      </c>
      <c r="AH290" s="24" t="s">
        <v>40</v>
      </c>
      <c r="AI290" s="25">
        <v>45722</v>
      </c>
      <c r="AJ290" s="25"/>
      <c r="AK290" s="24" t="s">
        <v>40</v>
      </c>
      <c r="AM290" s="39"/>
    </row>
    <row r="291" spans="1:39" x14ac:dyDescent="0.35">
      <c r="A291" s="3" t="s">
        <v>32</v>
      </c>
      <c r="B291" s="3" t="s">
        <v>33</v>
      </c>
      <c r="C291" s="3" t="s">
        <v>34</v>
      </c>
      <c r="D291" s="3" t="s">
        <v>35</v>
      </c>
      <c r="E291" s="3" t="s">
        <v>114</v>
      </c>
      <c r="F291" s="4">
        <v>45736</v>
      </c>
      <c r="G291" s="23">
        <v>1800004274</v>
      </c>
      <c r="H291" s="24" t="s">
        <v>47</v>
      </c>
      <c r="I291" s="25">
        <v>45736</v>
      </c>
      <c r="J291" s="25">
        <v>45737</v>
      </c>
      <c r="K291" s="24" t="s">
        <v>38</v>
      </c>
      <c r="L291" s="26">
        <v>246779414142</v>
      </c>
      <c r="M291" s="23">
        <v>212100</v>
      </c>
      <c r="N291" s="24" t="s">
        <v>39</v>
      </c>
      <c r="O291" s="24" t="s">
        <v>40</v>
      </c>
      <c r="P291" s="23">
        <v>1</v>
      </c>
      <c r="Q291" s="24" t="s">
        <v>42</v>
      </c>
      <c r="R291" s="27">
        <v>15</v>
      </c>
      <c r="S291" s="24" t="s">
        <v>43</v>
      </c>
      <c r="T291" s="42">
        <v>1300.3699999999999</v>
      </c>
      <c r="U291" s="24" t="s">
        <v>44</v>
      </c>
      <c r="V291" s="23">
        <v>6779224500</v>
      </c>
      <c r="W291" s="24" t="s">
        <v>40</v>
      </c>
      <c r="X291" s="24" t="s">
        <v>38</v>
      </c>
      <c r="Y291" s="23">
        <v>1</v>
      </c>
      <c r="Z291" s="43" cm="1">
        <f t="array" ref="Z291:AA291">_xlfn.XLOOKUP(L291,'Customer Ledger'!$O:$O,'Customer Ledger'!$P:$Q,,0)</f>
        <v>0</v>
      </c>
      <c r="AA291" s="43">
        <v>1268</v>
      </c>
      <c r="AB291" s="43">
        <f t="shared" si="69"/>
        <v>1268</v>
      </c>
      <c r="AC291" s="43">
        <f t="shared" si="70"/>
        <v>32.369999999999891</v>
      </c>
      <c r="AD291" s="51">
        <f t="shared" si="71"/>
        <v>2.4892915093396414E-2</v>
      </c>
      <c r="AE291" s="24" t="s">
        <v>292</v>
      </c>
      <c r="AF291" s="24" t="s">
        <v>40</v>
      </c>
      <c r="AG291" s="24" t="s">
        <v>40</v>
      </c>
      <c r="AH291" s="24" t="s">
        <v>40</v>
      </c>
      <c r="AI291" s="25">
        <v>45736</v>
      </c>
      <c r="AJ291" s="25"/>
      <c r="AK291" s="24" t="s">
        <v>40</v>
      </c>
    </row>
    <row r="292" spans="1:39" x14ac:dyDescent="0.35">
      <c r="A292" s="3" t="s">
        <v>32</v>
      </c>
      <c r="B292" s="3" t="s">
        <v>33</v>
      </c>
      <c r="C292" s="3" t="s">
        <v>34</v>
      </c>
      <c r="D292" s="3" t="s">
        <v>35</v>
      </c>
      <c r="E292" s="3" t="s">
        <v>114</v>
      </c>
      <c r="F292" s="4">
        <v>45736</v>
      </c>
      <c r="G292" s="23">
        <v>1800003871</v>
      </c>
      <c r="H292" s="24" t="s">
        <v>47</v>
      </c>
      <c r="I292" s="25">
        <v>45736</v>
      </c>
      <c r="J292" s="25">
        <v>45736</v>
      </c>
      <c r="K292" s="24" t="s">
        <v>38</v>
      </c>
      <c r="L292" s="26">
        <v>246779413739</v>
      </c>
      <c r="M292" s="23">
        <v>212100</v>
      </c>
      <c r="N292" s="24" t="s">
        <v>39</v>
      </c>
      <c r="O292" s="24" t="s">
        <v>40</v>
      </c>
      <c r="P292" s="23">
        <v>1</v>
      </c>
      <c r="Q292" s="24" t="s">
        <v>42</v>
      </c>
      <c r="R292" s="27">
        <v>21.15</v>
      </c>
      <c r="S292" s="24" t="s">
        <v>43</v>
      </c>
      <c r="T292" s="42">
        <v>1833.52</v>
      </c>
      <c r="U292" s="24" t="s">
        <v>44</v>
      </c>
      <c r="V292" s="23">
        <v>6779224500</v>
      </c>
      <c r="W292" s="24" t="s">
        <v>40</v>
      </c>
      <c r="X292" s="24" t="s">
        <v>38</v>
      </c>
      <c r="Y292" s="23">
        <v>1</v>
      </c>
      <c r="Z292" s="43" cm="1">
        <f t="array" ref="Z292:AA292">_xlfn.XLOOKUP(L292,'Customer Ledger'!$O:$O,'Customer Ledger'!$P:$Q,,0)</f>
        <v>0</v>
      </c>
      <c r="AA292" s="43">
        <v>1724</v>
      </c>
      <c r="AB292" s="43">
        <f t="shared" si="69"/>
        <v>1724</v>
      </c>
      <c r="AC292" s="43">
        <f t="shared" si="70"/>
        <v>109.51999999999998</v>
      </c>
      <c r="AD292" s="51">
        <f t="shared" si="71"/>
        <v>5.973210000436318E-2</v>
      </c>
      <c r="AE292" s="24" t="s">
        <v>286</v>
      </c>
      <c r="AF292" s="24" t="s">
        <v>40</v>
      </c>
      <c r="AG292" s="24" t="s">
        <v>40</v>
      </c>
      <c r="AH292" s="24" t="s">
        <v>40</v>
      </c>
      <c r="AI292" s="25">
        <v>45736</v>
      </c>
      <c r="AJ292" s="25"/>
      <c r="AK292" s="24" t="s">
        <v>40</v>
      </c>
    </row>
    <row r="293" spans="1:39" x14ac:dyDescent="0.35">
      <c r="A293" s="3" t="s">
        <v>32</v>
      </c>
      <c r="B293" s="3" t="s">
        <v>33</v>
      </c>
      <c r="C293" s="3" t="s">
        <v>34</v>
      </c>
      <c r="D293" s="3" t="s">
        <v>35</v>
      </c>
      <c r="E293" s="3" t="s">
        <v>114</v>
      </c>
      <c r="F293" s="4">
        <v>45736</v>
      </c>
      <c r="G293" s="23">
        <v>1800000747</v>
      </c>
      <c r="H293" s="24" t="s">
        <v>47</v>
      </c>
      <c r="I293" s="25">
        <v>45720</v>
      </c>
      <c r="J293" s="25">
        <v>45720</v>
      </c>
      <c r="K293" s="24" t="s">
        <v>38</v>
      </c>
      <c r="L293" s="26">
        <v>246779410687</v>
      </c>
      <c r="M293" s="23">
        <v>212100</v>
      </c>
      <c r="N293" s="24" t="s">
        <v>39</v>
      </c>
      <c r="O293" s="24" t="s">
        <v>40</v>
      </c>
      <c r="P293" s="23">
        <v>1</v>
      </c>
      <c r="Q293" s="24" t="s">
        <v>42</v>
      </c>
      <c r="R293" s="27">
        <v>21.15</v>
      </c>
      <c r="S293" s="24" t="s">
        <v>43</v>
      </c>
      <c r="T293" s="42">
        <v>1833.52</v>
      </c>
      <c r="U293" s="24" t="s">
        <v>44</v>
      </c>
      <c r="V293" s="23">
        <v>6779224500</v>
      </c>
      <c r="W293" s="24" t="s">
        <v>40</v>
      </c>
      <c r="X293" s="24" t="s">
        <v>38</v>
      </c>
      <c r="Y293" s="23">
        <v>1</v>
      </c>
      <c r="Z293" s="43" cm="1">
        <f t="array" ref="Z293:AA293">_xlfn.XLOOKUP(L293,'Customer Ledger'!$O:$O,'Customer Ledger'!$P:$Q,,0)</f>
        <v>0</v>
      </c>
      <c r="AA293" s="43">
        <v>1797</v>
      </c>
      <c r="AB293" s="43">
        <f t="shared" si="69"/>
        <v>1797</v>
      </c>
      <c r="AC293" s="43">
        <f t="shared" si="70"/>
        <v>36.519999999999982</v>
      </c>
      <c r="AD293" s="51">
        <f t="shared" si="71"/>
        <v>1.9917971988306634E-2</v>
      </c>
      <c r="AE293" s="24" t="s">
        <v>337</v>
      </c>
      <c r="AF293" s="24" t="s">
        <v>40</v>
      </c>
      <c r="AG293" s="24" t="s">
        <v>40</v>
      </c>
      <c r="AH293" s="24" t="s">
        <v>40</v>
      </c>
      <c r="AI293" s="25">
        <v>45720</v>
      </c>
      <c r="AJ293" s="25"/>
      <c r="AK293" s="24" t="s">
        <v>40</v>
      </c>
    </row>
    <row r="294" spans="1:39" x14ac:dyDescent="0.35">
      <c r="A294" s="3" t="s">
        <v>32</v>
      </c>
      <c r="B294" s="3" t="s">
        <v>33</v>
      </c>
      <c r="C294" s="3" t="s">
        <v>34</v>
      </c>
      <c r="D294" s="3" t="s">
        <v>35</v>
      </c>
      <c r="E294" s="3" t="s">
        <v>114</v>
      </c>
      <c r="F294" s="4">
        <v>45736</v>
      </c>
      <c r="G294" s="23">
        <v>1800001381</v>
      </c>
      <c r="H294" s="24" t="s">
        <v>47</v>
      </c>
      <c r="I294" s="25">
        <v>45722</v>
      </c>
      <c r="J294" s="25">
        <v>45723</v>
      </c>
      <c r="K294" s="24" t="s">
        <v>38</v>
      </c>
      <c r="L294" s="26">
        <v>246779411250</v>
      </c>
      <c r="M294" s="23">
        <v>212100</v>
      </c>
      <c r="N294" s="24" t="s">
        <v>39</v>
      </c>
      <c r="O294" s="24" t="s">
        <v>40</v>
      </c>
      <c r="P294" s="23">
        <v>1</v>
      </c>
      <c r="Q294" s="24" t="s">
        <v>42</v>
      </c>
      <c r="R294" s="27">
        <v>19.7</v>
      </c>
      <c r="S294" s="24" t="s">
        <v>43</v>
      </c>
      <c r="T294" s="42">
        <v>1707.82</v>
      </c>
      <c r="U294" s="24" t="s">
        <v>44</v>
      </c>
      <c r="V294" s="23">
        <v>6779224500</v>
      </c>
      <c r="W294" s="24" t="s">
        <v>40</v>
      </c>
      <c r="X294" s="24" t="s">
        <v>38</v>
      </c>
      <c r="Y294" s="23">
        <v>1</v>
      </c>
      <c r="Z294" s="43" cm="1">
        <f t="array" ref="Z294:AA294">_xlfn.XLOOKUP(L294,'Customer Ledger'!$O:$O,'Customer Ledger'!$P:$Q,,0)</f>
        <v>0</v>
      </c>
      <c r="AA294" s="43">
        <v>1599</v>
      </c>
      <c r="AB294" s="43">
        <f t="shared" si="69"/>
        <v>1599</v>
      </c>
      <c r="AC294" s="43">
        <f t="shared" si="70"/>
        <v>108.81999999999994</v>
      </c>
      <c r="AD294" s="51">
        <f t="shared" si="71"/>
        <v>6.3718658875057052E-2</v>
      </c>
      <c r="AE294" s="24" t="s">
        <v>216</v>
      </c>
      <c r="AF294" s="24" t="s">
        <v>40</v>
      </c>
      <c r="AG294" s="24" t="s">
        <v>40</v>
      </c>
      <c r="AH294" s="24" t="s">
        <v>40</v>
      </c>
      <c r="AI294" s="25">
        <v>45722</v>
      </c>
      <c r="AJ294" s="25"/>
      <c r="AK294" s="24" t="s">
        <v>40</v>
      </c>
    </row>
    <row r="295" spans="1:39" x14ac:dyDescent="0.35">
      <c r="A295" s="3" t="s">
        <v>32</v>
      </c>
      <c r="B295" s="3" t="s">
        <v>33</v>
      </c>
      <c r="C295" s="3" t="s">
        <v>34</v>
      </c>
      <c r="D295" s="3" t="s">
        <v>35</v>
      </c>
      <c r="E295" s="3" t="s">
        <v>114</v>
      </c>
      <c r="F295" s="4">
        <v>45736</v>
      </c>
      <c r="G295" s="23">
        <v>1800003755</v>
      </c>
      <c r="H295" s="24" t="s">
        <v>47</v>
      </c>
      <c r="I295" s="25">
        <v>45736</v>
      </c>
      <c r="J295" s="25">
        <v>45736</v>
      </c>
      <c r="K295" s="24" t="s">
        <v>38</v>
      </c>
      <c r="L295" s="26">
        <v>246779413622</v>
      </c>
      <c r="M295" s="23">
        <v>212100</v>
      </c>
      <c r="N295" s="24" t="s">
        <v>39</v>
      </c>
      <c r="O295" s="24" t="s">
        <v>40</v>
      </c>
      <c r="P295" s="23">
        <v>1</v>
      </c>
      <c r="Q295" s="24" t="s">
        <v>42</v>
      </c>
      <c r="R295" s="27">
        <v>18.8</v>
      </c>
      <c r="S295" s="24" t="s">
        <v>43</v>
      </c>
      <c r="T295" s="42">
        <v>1629.8</v>
      </c>
      <c r="U295" s="24" t="s">
        <v>44</v>
      </c>
      <c r="V295" s="23">
        <v>6779224500</v>
      </c>
      <c r="W295" s="24" t="s">
        <v>40</v>
      </c>
      <c r="X295" s="24" t="s">
        <v>38</v>
      </c>
      <c r="Y295" s="23">
        <v>1</v>
      </c>
      <c r="Z295" s="43" cm="1">
        <f t="array" ref="Z295:AA295">_xlfn.XLOOKUP(L295,'Customer Ledger'!$O:$O,'Customer Ledger'!$P:$Q,,0)</f>
        <v>0</v>
      </c>
      <c r="AA295" s="43">
        <v>1590</v>
      </c>
      <c r="AB295" s="43">
        <f t="shared" si="69"/>
        <v>1590</v>
      </c>
      <c r="AC295" s="43">
        <f t="shared" si="70"/>
        <v>39.799999999999955</v>
      </c>
      <c r="AD295" s="51">
        <f t="shared" si="71"/>
        <v>2.4420174254509729E-2</v>
      </c>
      <c r="AE295" s="24" t="s">
        <v>286</v>
      </c>
      <c r="AF295" s="24" t="s">
        <v>40</v>
      </c>
      <c r="AG295" s="24" t="s">
        <v>40</v>
      </c>
      <c r="AH295" s="24" t="s">
        <v>40</v>
      </c>
      <c r="AI295" s="25">
        <v>45736</v>
      </c>
      <c r="AJ295" s="25"/>
      <c r="AK295" s="24" t="s">
        <v>40</v>
      </c>
    </row>
    <row r="296" spans="1:39" x14ac:dyDescent="0.35">
      <c r="A296" s="3" t="s">
        <v>32</v>
      </c>
      <c r="B296" s="3" t="s">
        <v>33</v>
      </c>
      <c r="C296" s="3" t="s">
        <v>34</v>
      </c>
      <c r="D296" s="3" t="s">
        <v>35</v>
      </c>
      <c r="E296" s="3" t="s">
        <v>114</v>
      </c>
      <c r="F296" s="4">
        <v>45736</v>
      </c>
      <c r="G296" s="23">
        <v>1800003827</v>
      </c>
      <c r="H296" s="24" t="s">
        <v>47</v>
      </c>
      <c r="I296" s="25">
        <v>45736</v>
      </c>
      <c r="J296" s="25">
        <v>45736</v>
      </c>
      <c r="K296" s="24" t="s">
        <v>38</v>
      </c>
      <c r="L296" s="26">
        <v>246779413689</v>
      </c>
      <c r="M296" s="23">
        <v>212100</v>
      </c>
      <c r="N296" s="24" t="s">
        <v>39</v>
      </c>
      <c r="O296" s="24" t="s">
        <v>40</v>
      </c>
      <c r="P296" s="23">
        <v>1</v>
      </c>
      <c r="Q296" s="24" t="s">
        <v>42</v>
      </c>
      <c r="R296" s="27">
        <v>18.8</v>
      </c>
      <c r="S296" s="24" t="s">
        <v>43</v>
      </c>
      <c r="T296" s="42">
        <v>1629.8</v>
      </c>
      <c r="U296" s="24" t="s">
        <v>44</v>
      </c>
      <c r="V296" s="23">
        <v>6779224500</v>
      </c>
      <c r="W296" s="24" t="s">
        <v>40</v>
      </c>
      <c r="X296" s="24" t="s">
        <v>38</v>
      </c>
      <c r="Y296" s="23">
        <v>1</v>
      </c>
      <c r="Z296" s="43" cm="1">
        <f t="array" ref="Z296:AA296">_xlfn.XLOOKUP(L296,'Customer Ledger'!$O:$O,'Customer Ledger'!$P:$Q,,0)</f>
        <v>0</v>
      </c>
      <c r="AA296" s="43">
        <v>1591</v>
      </c>
      <c r="AB296" s="43">
        <f t="shared" si="69"/>
        <v>1591</v>
      </c>
      <c r="AC296" s="43">
        <f t="shared" si="70"/>
        <v>38.799999999999955</v>
      </c>
      <c r="AD296" s="51">
        <f t="shared" si="71"/>
        <v>2.3806602037059733E-2</v>
      </c>
      <c r="AE296" s="24" t="s">
        <v>286</v>
      </c>
      <c r="AF296" s="24" t="s">
        <v>40</v>
      </c>
      <c r="AG296" s="24" t="s">
        <v>40</v>
      </c>
      <c r="AH296" s="24" t="s">
        <v>40</v>
      </c>
      <c r="AI296" s="25">
        <v>45736</v>
      </c>
      <c r="AJ296" s="25"/>
      <c r="AK296" s="24" t="s">
        <v>40</v>
      </c>
    </row>
    <row r="297" spans="1:39" x14ac:dyDescent="0.35">
      <c r="A297" s="3" t="s">
        <v>32</v>
      </c>
      <c r="B297" s="3" t="s">
        <v>33</v>
      </c>
      <c r="C297" s="3" t="s">
        <v>34</v>
      </c>
      <c r="D297" s="3" t="s">
        <v>35</v>
      </c>
      <c r="E297" s="3" t="s">
        <v>114</v>
      </c>
      <c r="F297" s="4">
        <v>45736</v>
      </c>
      <c r="G297" s="23">
        <v>1800003780</v>
      </c>
      <c r="H297" s="24" t="s">
        <v>47</v>
      </c>
      <c r="I297" s="25">
        <v>45736</v>
      </c>
      <c r="J297" s="25">
        <v>45736</v>
      </c>
      <c r="K297" s="24" t="s">
        <v>38</v>
      </c>
      <c r="L297" s="26">
        <v>246779413702</v>
      </c>
      <c r="M297" s="23">
        <v>212100</v>
      </c>
      <c r="N297" s="24" t="s">
        <v>39</v>
      </c>
      <c r="O297" s="24" t="s">
        <v>40</v>
      </c>
      <c r="P297" s="23">
        <v>1</v>
      </c>
      <c r="Q297" s="24" t="s">
        <v>42</v>
      </c>
      <c r="R297" s="27">
        <v>364.25</v>
      </c>
      <c r="S297" s="24" t="s">
        <v>43</v>
      </c>
      <c r="T297" s="42">
        <v>31577.29</v>
      </c>
      <c r="U297" s="24" t="s">
        <v>44</v>
      </c>
      <c r="V297" s="23">
        <v>6779224500</v>
      </c>
      <c r="W297" s="24" t="s">
        <v>40</v>
      </c>
      <c r="X297" s="24" t="s">
        <v>38</v>
      </c>
      <c r="Y297" s="23">
        <v>1</v>
      </c>
      <c r="Z297" s="43" cm="1">
        <f t="array" ref="Z297:AA297">_xlfn.XLOOKUP(L297,'Customer Ledger'!$O:$O,'Customer Ledger'!$P:$Q,,0)</f>
        <v>0</v>
      </c>
      <c r="AA297" s="43">
        <v>31577</v>
      </c>
      <c r="AB297" s="43">
        <f t="shared" si="69"/>
        <v>31577</v>
      </c>
      <c r="AC297" s="43">
        <f t="shared" si="70"/>
        <v>0.29000000000087311</v>
      </c>
      <c r="AD297" s="51">
        <f t="shared" si="71"/>
        <v>9.1838153306022493E-6</v>
      </c>
      <c r="AE297" s="24" t="s">
        <v>296</v>
      </c>
      <c r="AF297" s="24" t="s">
        <v>40</v>
      </c>
      <c r="AG297" s="24" t="s">
        <v>40</v>
      </c>
      <c r="AH297" s="24" t="s">
        <v>40</v>
      </c>
      <c r="AI297" s="25">
        <v>45736</v>
      </c>
      <c r="AJ297" s="25">
        <v>45976</v>
      </c>
      <c r="AK297" s="23">
        <v>1400001901</v>
      </c>
    </row>
    <row r="298" spans="1:39" x14ac:dyDescent="0.35">
      <c r="A298" s="3" t="s">
        <v>32</v>
      </c>
      <c r="B298" s="3" t="s">
        <v>33</v>
      </c>
      <c r="C298" s="3" t="s">
        <v>34</v>
      </c>
      <c r="D298" s="3" t="s">
        <v>35</v>
      </c>
      <c r="E298" s="3" t="s">
        <v>114</v>
      </c>
      <c r="F298" s="4">
        <v>45736</v>
      </c>
      <c r="G298" s="23">
        <v>1800003783</v>
      </c>
      <c r="H298" s="24" t="s">
        <v>47</v>
      </c>
      <c r="I298" s="25">
        <v>45736</v>
      </c>
      <c r="J298" s="25">
        <v>45736</v>
      </c>
      <c r="K298" s="24" t="s">
        <v>38</v>
      </c>
      <c r="L298" s="26">
        <v>246779413705</v>
      </c>
      <c r="M298" s="23">
        <v>212100</v>
      </c>
      <c r="N298" s="24" t="s">
        <v>39</v>
      </c>
      <c r="O298" s="24" t="s">
        <v>40</v>
      </c>
      <c r="P298" s="23">
        <v>1</v>
      </c>
      <c r="Q298" s="24" t="s">
        <v>42</v>
      </c>
      <c r="R298" s="27">
        <v>237.35</v>
      </c>
      <c r="S298" s="24" t="s">
        <v>43</v>
      </c>
      <c r="T298" s="42">
        <v>20576.169999999998</v>
      </c>
      <c r="U298" s="24" t="s">
        <v>44</v>
      </c>
      <c r="V298" s="23">
        <v>6779224500</v>
      </c>
      <c r="W298" s="24" t="s">
        <v>40</v>
      </c>
      <c r="X298" s="24" t="s">
        <v>38</v>
      </c>
      <c r="Y298" s="23">
        <v>1</v>
      </c>
      <c r="Z298" s="43" cm="1">
        <f t="array" ref="Z298:AA298">_xlfn.XLOOKUP(L298,'Customer Ledger'!$O:$O,'Customer Ledger'!$P:$Q,,0)</f>
        <v>0</v>
      </c>
      <c r="AA298" s="43">
        <v>19429</v>
      </c>
      <c r="AB298" s="43">
        <f t="shared" si="69"/>
        <v>19429</v>
      </c>
      <c r="AC298" s="43">
        <f t="shared" si="70"/>
        <v>1147.1699999999983</v>
      </c>
      <c r="AD298" s="51">
        <f t="shared" si="71"/>
        <v>5.5752358189108973E-2</v>
      </c>
      <c r="AE298" s="24" t="s">
        <v>297</v>
      </c>
      <c r="AF298" s="24" t="s">
        <v>40</v>
      </c>
      <c r="AG298" s="24" t="s">
        <v>40</v>
      </c>
      <c r="AH298" s="24" t="s">
        <v>40</v>
      </c>
      <c r="AI298" s="25">
        <v>45736</v>
      </c>
      <c r="AJ298" s="25">
        <v>45976</v>
      </c>
      <c r="AK298" s="23">
        <v>1400001901</v>
      </c>
    </row>
    <row r="299" spans="1:39" x14ac:dyDescent="0.35">
      <c r="A299" s="3" t="s">
        <v>32</v>
      </c>
      <c r="B299" s="3" t="s">
        <v>33</v>
      </c>
      <c r="C299" s="3" t="s">
        <v>34</v>
      </c>
      <c r="D299" s="3" t="s">
        <v>35</v>
      </c>
      <c r="E299" s="3" t="s">
        <v>114</v>
      </c>
      <c r="F299" s="4">
        <v>45736</v>
      </c>
      <c r="G299" s="23">
        <v>1800003960</v>
      </c>
      <c r="H299" s="24" t="s">
        <v>47</v>
      </c>
      <c r="I299" s="25">
        <v>45736</v>
      </c>
      <c r="J299" s="25">
        <v>45737</v>
      </c>
      <c r="K299" s="24" t="s">
        <v>38</v>
      </c>
      <c r="L299" s="26">
        <v>246779413816</v>
      </c>
      <c r="M299" s="23">
        <v>212100</v>
      </c>
      <c r="N299" s="24" t="s">
        <v>39</v>
      </c>
      <c r="O299" s="24" t="s">
        <v>40</v>
      </c>
      <c r="P299" s="23">
        <v>1</v>
      </c>
      <c r="Q299" s="24" t="s">
        <v>42</v>
      </c>
      <c r="R299" s="27">
        <v>220</v>
      </c>
      <c r="S299" s="24" t="s">
        <v>43</v>
      </c>
      <c r="T299" s="42">
        <v>19072.080000000002</v>
      </c>
      <c r="U299" s="24" t="s">
        <v>44</v>
      </c>
      <c r="V299" s="23">
        <v>6779224500</v>
      </c>
      <c r="W299" s="24" t="s">
        <v>40</v>
      </c>
      <c r="X299" s="24" t="s">
        <v>38</v>
      </c>
      <c r="Y299" s="23">
        <v>1</v>
      </c>
      <c r="Z299" s="43" cm="1">
        <f t="array" ref="Z299:AA299">_xlfn.XLOOKUP(L299,'Customer Ledger'!$O:$O,'Customer Ledger'!$P:$Q,,0)</f>
        <v>0</v>
      </c>
      <c r="AA299" s="43">
        <v>18610</v>
      </c>
      <c r="AB299" s="43">
        <f t="shared" si="69"/>
        <v>18610</v>
      </c>
      <c r="AC299" s="43">
        <f t="shared" si="70"/>
        <v>462.08000000000175</v>
      </c>
      <c r="AD299" s="51">
        <f t="shared" si="71"/>
        <v>2.4228086291584437E-2</v>
      </c>
      <c r="AE299" s="24" t="s">
        <v>298</v>
      </c>
      <c r="AF299" s="24" t="s">
        <v>40</v>
      </c>
      <c r="AG299" s="24" t="s">
        <v>40</v>
      </c>
      <c r="AH299" s="24" t="s">
        <v>40</v>
      </c>
      <c r="AI299" s="25">
        <v>45736</v>
      </c>
      <c r="AJ299" s="25">
        <v>45976</v>
      </c>
      <c r="AK299" s="23">
        <v>1400001901</v>
      </c>
    </row>
    <row r="300" spans="1:39" x14ac:dyDescent="0.35">
      <c r="A300" s="3" t="s">
        <v>32</v>
      </c>
      <c r="B300" s="3" t="s">
        <v>33</v>
      </c>
      <c r="C300" s="3" t="s">
        <v>34</v>
      </c>
      <c r="D300" s="3" t="s">
        <v>35</v>
      </c>
      <c r="E300" s="3" t="s">
        <v>114</v>
      </c>
      <c r="F300" s="4">
        <v>45736</v>
      </c>
      <c r="G300" s="23">
        <v>1800003971</v>
      </c>
      <c r="H300" s="24" t="s">
        <v>47</v>
      </c>
      <c r="I300" s="25">
        <v>45736</v>
      </c>
      <c r="J300" s="25">
        <v>45737</v>
      </c>
      <c r="K300" s="24" t="s">
        <v>38</v>
      </c>
      <c r="L300" s="26">
        <v>246779413827</v>
      </c>
      <c r="M300" s="23">
        <v>212100</v>
      </c>
      <c r="N300" s="24" t="s">
        <v>39</v>
      </c>
      <c r="O300" s="24" t="s">
        <v>40</v>
      </c>
      <c r="P300" s="23">
        <v>1</v>
      </c>
      <c r="Q300" s="24" t="s">
        <v>42</v>
      </c>
      <c r="R300" s="27">
        <v>375</v>
      </c>
      <c r="S300" s="24" t="s">
        <v>43</v>
      </c>
      <c r="T300" s="42">
        <v>32509.22</v>
      </c>
      <c r="U300" s="24" t="s">
        <v>44</v>
      </c>
      <c r="V300" s="23">
        <v>6779224500</v>
      </c>
      <c r="W300" s="24" t="s">
        <v>40</v>
      </c>
      <c r="X300" s="24" t="s">
        <v>38</v>
      </c>
      <c r="Y300" s="23">
        <v>1</v>
      </c>
      <c r="Z300" s="43" cm="1">
        <f t="array" ref="Z300:AA300">_xlfn.XLOOKUP(L300,'Customer Ledger'!$O:$O,'Customer Ledger'!$P:$Q,,0)</f>
        <v>0</v>
      </c>
      <c r="AA300" s="43">
        <v>31723</v>
      </c>
      <c r="AB300" s="43">
        <f t="shared" si="69"/>
        <v>31723</v>
      </c>
      <c r="AC300" s="43">
        <f t="shared" si="70"/>
        <v>786.22000000000116</v>
      </c>
      <c r="AD300" s="51">
        <f t="shared" si="71"/>
        <v>2.4184523652059357E-2</v>
      </c>
      <c r="AE300" s="24" t="s">
        <v>299</v>
      </c>
      <c r="AF300" s="24" t="s">
        <v>40</v>
      </c>
      <c r="AG300" s="24" t="s">
        <v>40</v>
      </c>
      <c r="AH300" s="24" t="s">
        <v>40</v>
      </c>
      <c r="AI300" s="25">
        <v>45736</v>
      </c>
      <c r="AJ300" s="25">
        <v>45976</v>
      </c>
      <c r="AK300" s="23">
        <v>1400001901</v>
      </c>
    </row>
    <row r="301" spans="1:39" x14ac:dyDescent="0.35">
      <c r="A301" s="3" t="s">
        <v>32</v>
      </c>
      <c r="B301" s="3" t="s">
        <v>33</v>
      </c>
      <c r="C301" s="3" t="s">
        <v>34</v>
      </c>
      <c r="D301" s="3" t="s">
        <v>35</v>
      </c>
      <c r="E301" s="3" t="s">
        <v>114</v>
      </c>
      <c r="F301" s="4">
        <v>45736</v>
      </c>
      <c r="G301" s="23">
        <v>1800000906</v>
      </c>
      <c r="H301" s="24" t="s">
        <v>47</v>
      </c>
      <c r="I301" s="25">
        <v>45720</v>
      </c>
      <c r="J301" s="25">
        <v>45721</v>
      </c>
      <c r="K301" s="24" t="s">
        <v>38</v>
      </c>
      <c r="L301" s="26">
        <v>246779410847</v>
      </c>
      <c r="M301" s="23">
        <v>212100</v>
      </c>
      <c r="N301" s="24" t="s">
        <v>39</v>
      </c>
      <c r="O301" s="24" t="s">
        <v>40</v>
      </c>
      <c r="P301" s="23">
        <v>1</v>
      </c>
      <c r="Q301" s="24" t="s">
        <v>42</v>
      </c>
      <c r="R301" s="27">
        <v>18.8</v>
      </c>
      <c r="S301" s="24" t="s">
        <v>43</v>
      </c>
      <c r="T301" s="42">
        <v>1629.8</v>
      </c>
      <c r="U301" s="24" t="s">
        <v>44</v>
      </c>
      <c r="V301" s="23">
        <v>6779224500</v>
      </c>
      <c r="W301" s="24" t="s">
        <v>40</v>
      </c>
      <c r="X301" s="24" t="s">
        <v>38</v>
      </c>
      <c r="Y301" s="23">
        <v>1</v>
      </c>
      <c r="Z301" s="43" cm="1">
        <f t="array" ref="Z301:AA301">_xlfn.XLOOKUP(L301,'Customer Ledger'!$O:$O,'Customer Ledger'!$P:$Q,,0)</f>
        <v>0</v>
      </c>
      <c r="AA301" s="43">
        <v>1528</v>
      </c>
      <c r="AB301" s="43">
        <f t="shared" si="69"/>
        <v>1528</v>
      </c>
      <c r="AC301" s="43">
        <f t="shared" si="70"/>
        <v>101.79999999999995</v>
      </c>
      <c r="AD301" s="51">
        <f t="shared" si="71"/>
        <v>6.246165173640935E-2</v>
      </c>
      <c r="AE301" s="24" t="s">
        <v>338</v>
      </c>
      <c r="AF301" s="24" t="s">
        <v>40</v>
      </c>
      <c r="AG301" s="24" t="s">
        <v>40</v>
      </c>
      <c r="AH301" s="24" t="s">
        <v>40</v>
      </c>
      <c r="AI301" s="25">
        <v>45720</v>
      </c>
      <c r="AJ301" s="25"/>
      <c r="AK301" s="24" t="s">
        <v>40</v>
      </c>
    </row>
    <row r="302" spans="1:39" x14ac:dyDescent="0.35">
      <c r="A302" s="3" t="s">
        <v>32</v>
      </c>
      <c r="B302" s="3" t="s">
        <v>33</v>
      </c>
      <c r="C302" s="3" t="s">
        <v>34</v>
      </c>
      <c r="D302" s="3" t="s">
        <v>35</v>
      </c>
      <c r="E302" s="3" t="s">
        <v>114</v>
      </c>
      <c r="F302" s="4">
        <v>45736</v>
      </c>
      <c r="G302" s="23">
        <v>1800000914</v>
      </c>
      <c r="H302" s="24" t="s">
        <v>47</v>
      </c>
      <c r="I302" s="25">
        <v>45720</v>
      </c>
      <c r="J302" s="25">
        <v>45721</v>
      </c>
      <c r="K302" s="24" t="s">
        <v>38</v>
      </c>
      <c r="L302" s="26">
        <v>246779410855</v>
      </c>
      <c r="M302" s="23">
        <v>212100</v>
      </c>
      <c r="N302" s="24" t="s">
        <v>39</v>
      </c>
      <c r="O302" s="24" t="s">
        <v>40</v>
      </c>
      <c r="P302" s="23">
        <v>1</v>
      </c>
      <c r="Q302" s="24" t="s">
        <v>42</v>
      </c>
      <c r="R302" s="27">
        <v>18.8</v>
      </c>
      <c r="S302" s="24" t="s">
        <v>43</v>
      </c>
      <c r="T302" s="42">
        <v>1629.8</v>
      </c>
      <c r="U302" s="24" t="s">
        <v>44</v>
      </c>
      <c r="V302" s="23">
        <v>6779224500</v>
      </c>
      <c r="W302" s="24" t="s">
        <v>40</v>
      </c>
      <c r="X302" s="24" t="s">
        <v>38</v>
      </c>
      <c r="Y302" s="23">
        <v>1</v>
      </c>
      <c r="Z302" s="43" cm="1">
        <f t="array" ref="Z302:AA302">_xlfn.XLOOKUP(L302,'Customer Ledger'!$O:$O,'Customer Ledger'!$P:$Q,,0)</f>
        <v>0</v>
      </c>
      <c r="AA302" s="43">
        <v>1527</v>
      </c>
      <c r="AB302" s="43">
        <f t="shared" si="69"/>
        <v>1527</v>
      </c>
      <c r="AC302" s="43">
        <f t="shared" si="70"/>
        <v>102.79999999999995</v>
      </c>
      <c r="AD302" s="51">
        <f t="shared" si="71"/>
        <v>6.3075223953859338E-2</v>
      </c>
      <c r="AE302" s="24" t="s">
        <v>338</v>
      </c>
      <c r="AF302" s="24" t="s">
        <v>40</v>
      </c>
      <c r="AG302" s="24" t="s">
        <v>40</v>
      </c>
      <c r="AH302" s="24" t="s">
        <v>40</v>
      </c>
      <c r="AI302" s="25">
        <v>45720</v>
      </c>
      <c r="AJ302" s="25"/>
      <c r="AK302" s="24" t="s">
        <v>40</v>
      </c>
    </row>
    <row r="303" spans="1:39" x14ac:dyDescent="0.35">
      <c r="A303" s="3" t="s">
        <v>32</v>
      </c>
      <c r="B303" s="3" t="s">
        <v>33</v>
      </c>
      <c r="C303" s="3" t="s">
        <v>34</v>
      </c>
      <c r="D303" s="3" t="s">
        <v>35</v>
      </c>
      <c r="E303" s="3" t="s">
        <v>114</v>
      </c>
      <c r="F303" s="4">
        <v>45736</v>
      </c>
      <c r="G303" s="23">
        <v>1800000551</v>
      </c>
      <c r="H303" s="24" t="s">
        <v>47</v>
      </c>
      <c r="I303" s="25">
        <v>45719</v>
      </c>
      <c r="J303" s="25">
        <v>45719</v>
      </c>
      <c r="K303" s="24" t="s">
        <v>38</v>
      </c>
      <c r="L303" s="26">
        <v>246779410501</v>
      </c>
      <c r="M303" s="23">
        <v>212100</v>
      </c>
      <c r="N303" s="24" t="s">
        <v>39</v>
      </c>
      <c r="O303" s="24" t="s">
        <v>40</v>
      </c>
      <c r="P303" s="23">
        <v>1</v>
      </c>
      <c r="Q303" s="24" t="s">
        <v>42</v>
      </c>
      <c r="R303" s="27">
        <v>18.8</v>
      </c>
      <c r="S303" s="24" t="s">
        <v>43</v>
      </c>
      <c r="T303" s="42">
        <v>1629.8</v>
      </c>
      <c r="U303" s="24" t="s">
        <v>44</v>
      </c>
      <c r="V303" s="23">
        <v>6779224500</v>
      </c>
      <c r="W303" s="24" t="s">
        <v>40</v>
      </c>
      <c r="X303" s="24" t="s">
        <v>38</v>
      </c>
      <c r="Y303" s="23">
        <v>1</v>
      </c>
      <c r="Z303" s="43" cm="1">
        <f t="array" ref="Z303:AA303">_xlfn.XLOOKUP(L303,'Customer Ledger'!$O:$O,'Customer Ledger'!$P:$Q,,0)</f>
        <v>0</v>
      </c>
      <c r="AA303" s="43">
        <v>1607</v>
      </c>
      <c r="AB303" s="43">
        <f t="shared" si="69"/>
        <v>1607</v>
      </c>
      <c r="AC303" s="43">
        <f t="shared" si="70"/>
        <v>22.799999999999955</v>
      </c>
      <c r="AD303" s="51">
        <f t="shared" si="71"/>
        <v>1.3989446557859832E-2</v>
      </c>
      <c r="AE303" s="24" t="s">
        <v>351</v>
      </c>
      <c r="AF303" s="24" t="s">
        <v>40</v>
      </c>
      <c r="AG303" s="24" t="s">
        <v>40</v>
      </c>
      <c r="AH303" s="24" t="s">
        <v>40</v>
      </c>
      <c r="AI303" s="25">
        <v>45719</v>
      </c>
      <c r="AJ303" s="25"/>
      <c r="AK303" s="24" t="s">
        <v>40</v>
      </c>
    </row>
    <row r="304" spans="1:39" x14ac:dyDescent="0.35">
      <c r="A304" s="3" t="s">
        <v>32</v>
      </c>
      <c r="B304" s="3" t="s">
        <v>33</v>
      </c>
      <c r="C304" s="3" t="s">
        <v>34</v>
      </c>
      <c r="D304" s="3" t="s">
        <v>35</v>
      </c>
      <c r="E304" s="3" t="s">
        <v>114</v>
      </c>
      <c r="F304" s="4">
        <v>45736</v>
      </c>
      <c r="G304" s="23">
        <v>1800007784</v>
      </c>
      <c r="H304" s="24" t="s">
        <v>47</v>
      </c>
      <c r="I304" s="25">
        <v>45769</v>
      </c>
      <c r="J304" s="25">
        <v>45770</v>
      </c>
      <c r="K304" s="24" t="s">
        <v>38</v>
      </c>
      <c r="L304" s="26">
        <v>256779412675</v>
      </c>
      <c r="M304" s="23">
        <v>212100</v>
      </c>
      <c r="N304" s="24" t="s">
        <v>39</v>
      </c>
      <c r="O304" s="24" t="s">
        <v>40</v>
      </c>
      <c r="P304" s="23">
        <v>1</v>
      </c>
      <c r="Q304" s="24" t="s">
        <v>42</v>
      </c>
      <c r="R304" s="27">
        <v>17.350000000000001</v>
      </c>
      <c r="S304" s="24" t="s">
        <v>43</v>
      </c>
      <c r="T304" s="42">
        <v>1508.09</v>
      </c>
      <c r="U304" s="24" t="s">
        <v>44</v>
      </c>
      <c r="V304" s="23">
        <v>6779224500</v>
      </c>
      <c r="W304" s="24" t="s">
        <v>40</v>
      </c>
      <c r="X304" s="24" t="s">
        <v>38</v>
      </c>
      <c r="Y304" s="23">
        <v>1</v>
      </c>
      <c r="Z304" s="43" cm="1">
        <f t="array" ref="Z304:AA304">_xlfn.XLOOKUP(L304,'Customer Ledger'!$O:$O,'Customer Ledger'!$P:$Q,,0)</f>
        <v>0</v>
      </c>
      <c r="AA304" s="43">
        <v>1447</v>
      </c>
      <c r="AB304" s="43">
        <f t="shared" si="69"/>
        <v>1447</v>
      </c>
      <c r="AC304" s="43">
        <f t="shared" si="70"/>
        <v>61.089999999999918</v>
      </c>
      <c r="AD304" s="51">
        <f t="shared" si="71"/>
        <v>4.0508192481881006E-2</v>
      </c>
      <c r="AE304" s="24" t="s">
        <v>134</v>
      </c>
      <c r="AF304" s="24" t="s">
        <v>40</v>
      </c>
      <c r="AG304" s="24" t="s">
        <v>40</v>
      </c>
      <c r="AH304" s="24" t="s">
        <v>40</v>
      </c>
      <c r="AI304" s="25">
        <v>45769</v>
      </c>
      <c r="AJ304" s="25"/>
      <c r="AK304" s="24" t="s">
        <v>40</v>
      </c>
    </row>
    <row r="305" spans="1:37" x14ac:dyDescent="0.35">
      <c r="A305" s="3" t="s">
        <v>32</v>
      </c>
      <c r="B305" s="3" t="s">
        <v>33</v>
      </c>
      <c r="C305" s="3" t="s">
        <v>34</v>
      </c>
      <c r="D305" s="3" t="s">
        <v>35</v>
      </c>
      <c r="E305" s="3" t="s">
        <v>114</v>
      </c>
      <c r="F305" s="4">
        <v>45736</v>
      </c>
      <c r="G305" s="23">
        <v>1800001032</v>
      </c>
      <c r="H305" s="24" t="s">
        <v>47</v>
      </c>
      <c r="I305" s="25">
        <v>45722</v>
      </c>
      <c r="J305" s="25">
        <v>45722</v>
      </c>
      <c r="K305" s="24" t="s">
        <v>38</v>
      </c>
      <c r="L305" s="26">
        <v>246779410972</v>
      </c>
      <c r="M305" s="23">
        <v>212100</v>
      </c>
      <c r="N305" s="24" t="s">
        <v>39</v>
      </c>
      <c r="O305" s="24" t="s">
        <v>40</v>
      </c>
      <c r="P305" s="23">
        <v>1</v>
      </c>
      <c r="Q305" s="24" t="s">
        <v>42</v>
      </c>
      <c r="R305" s="27">
        <v>17.350000000000001</v>
      </c>
      <c r="S305" s="24" t="s">
        <v>43</v>
      </c>
      <c r="T305" s="42">
        <v>1504.09</v>
      </c>
      <c r="U305" s="24" t="s">
        <v>44</v>
      </c>
      <c r="V305" s="23">
        <v>6779224500</v>
      </c>
      <c r="W305" s="24" t="s">
        <v>40</v>
      </c>
      <c r="X305" s="24" t="s">
        <v>38</v>
      </c>
      <c r="Y305" s="23">
        <v>1</v>
      </c>
      <c r="Z305" s="43" cm="1">
        <f t="array" ref="Z305:AA305">_xlfn.XLOOKUP(L305,'Customer Ledger'!$O:$O,'Customer Ledger'!$P:$Q,,0)</f>
        <v>0</v>
      </c>
      <c r="AA305" s="43">
        <v>1481</v>
      </c>
      <c r="AB305" s="43">
        <f t="shared" si="69"/>
        <v>1481</v>
      </c>
      <c r="AC305" s="43">
        <f t="shared" si="70"/>
        <v>23.089999999999918</v>
      </c>
      <c r="AD305" s="51">
        <f t="shared" si="71"/>
        <v>1.5351474978225983E-2</v>
      </c>
      <c r="AE305" s="24" t="s">
        <v>347</v>
      </c>
      <c r="AF305" s="24" t="s">
        <v>40</v>
      </c>
      <c r="AG305" s="24" t="s">
        <v>40</v>
      </c>
      <c r="AH305" s="24" t="s">
        <v>40</v>
      </c>
      <c r="AI305" s="25">
        <v>45722</v>
      </c>
      <c r="AJ305" s="25"/>
      <c r="AK305" s="24" t="s">
        <v>40</v>
      </c>
    </row>
    <row r="306" spans="1:37" x14ac:dyDescent="0.35">
      <c r="A306" s="3" t="s">
        <v>32</v>
      </c>
      <c r="B306" s="3" t="s">
        <v>33</v>
      </c>
      <c r="C306" s="3" t="s">
        <v>34</v>
      </c>
      <c r="D306" s="3" t="s">
        <v>35</v>
      </c>
      <c r="E306" s="3" t="s">
        <v>148</v>
      </c>
      <c r="F306" s="4">
        <v>45708</v>
      </c>
      <c r="G306" s="23">
        <v>1800000121</v>
      </c>
      <c r="H306" s="24" t="s">
        <v>47</v>
      </c>
      <c r="I306" s="25">
        <v>45708</v>
      </c>
      <c r="J306" s="25">
        <v>45708</v>
      </c>
      <c r="K306" s="24" t="s">
        <v>38</v>
      </c>
      <c r="L306" s="26">
        <v>246779410049</v>
      </c>
      <c r="M306" s="23">
        <v>212100</v>
      </c>
      <c r="N306" s="24" t="s">
        <v>39</v>
      </c>
      <c r="O306" s="24" t="s">
        <v>40</v>
      </c>
      <c r="P306" s="23">
        <v>1</v>
      </c>
      <c r="Q306" s="24" t="s">
        <v>42</v>
      </c>
      <c r="R306" s="27">
        <v>456.75</v>
      </c>
      <c r="S306" s="24" t="s">
        <v>43</v>
      </c>
      <c r="T306" s="42">
        <v>39419.199999999997</v>
      </c>
      <c r="U306" s="24" t="s">
        <v>44</v>
      </c>
      <c r="V306" s="23">
        <v>6779224500</v>
      </c>
      <c r="W306" s="24" t="s">
        <v>40</v>
      </c>
      <c r="X306" s="24" t="s">
        <v>38</v>
      </c>
      <c r="Y306" s="23">
        <v>1</v>
      </c>
      <c r="Z306" s="43" cm="1">
        <f t="array" ref="Z306:AA306">_xlfn.XLOOKUP(L306,'Customer Ledger'!$O:$O,'Customer Ledger'!$P:$Q,,0)</f>
        <v>0</v>
      </c>
      <c r="AA306" s="43">
        <v>35554.519999999997</v>
      </c>
      <c r="AB306" s="43">
        <f t="shared" si="69"/>
        <v>35554.519999999997</v>
      </c>
      <c r="AC306" s="43">
        <f t="shared" si="70"/>
        <v>3864.6800000000003</v>
      </c>
      <c r="AD306" s="51">
        <f t="shared" si="71"/>
        <v>9.8040548768113009E-2</v>
      </c>
      <c r="AE306" s="24" t="s">
        <v>302</v>
      </c>
      <c r="AF306" s="24" t="s">
        <v>40</v>
      </c>
      <c r="AG306" s="24" t="s">
        <v>40</v>
      </c>
      <c r="AH306" s="24" t="s">
        <v>40</v>
      </c>
      <c r="AI306" s="25">
        <v>45708</v>
      </c>
      <c r="AJ306" s="25"/>
      <c r="AK306" s="24" t="s">
        <v>40</v>
      </c>
    </row>
    <row r="307" spans="1:37" x14ac:dyDescent="0.35">
      <c r="A307" s="3" t="s">
        <v>32</v>
      </c>
      <c r="B307" s="3" t="s">
        <v>33</v>
      </c>
      <c r="C307" s="3" t="s">
        <v>34</v>
      </c>
      <c r="D307" s="3" t="s">
        <v>35</v>
      </c>
      <c r="E307" s="3" t="s">
        <v>148</v>
      </c>
      <c r="F307" s="4">
        <v>45708</v>
      </c>
      <c r="G307" s="23">
        <v>1800000032</v>
      </c>
      <c r="H307" s="24" t="s">
        <v>47</v>
      </c>
      <c r="I307" s="25">
        <v>45708</v>
      </c>
      <c r="J307" s="25">
        <v>45708</v>
      </c>
      <c r="K307" s="24" t="s">
        <v>38</v>
      </c>
      <c r="L307" s="26">
        <v>246779410072</v>
      </c>
      <c r="M307" s="23">
        <v>212100</v>
      </c>
      <c r="N307" s="24" t="s">
        <v>39</v>
      </c>
      <c r="O307" s="24" t="s">
        <v>40</v>
      </c>
      <c r="P307" s="23">
        <v>1</v>
      </c>
      <c r="Q307" s="24" t="s">
        <v>42</v>
      </c>
      <c r="R307" s="27">
        <v>456.75</v>
      </c>
      <c r="S307" s="24" t="s">
        <v>43</v>
      </c>
      <c r="T307" s="42">
        <v>39419.199999999997</v>
      </c>
      <c r="U307" s="24" t="s">
        <v>44</v>
      </c>
      <c r="V307" s="23">
        <v>6779224500</v>
      </c>
      <c r="W307" s="24" t="s">
        <v>40</v>
      </c>
      <c r="X307" s="24" t="s">
        <v>38</v>
      </c>
      <c r="Y307" s="23">
        <v>1</v>
      </c>
      <c r="Z307" s="43" cm="1">
        <f t="array" ref="Z307:AA307">_xlfn.XLOOKUP(L307,'Customer Ledger'!$O:$O,'Customer Ledger'!$P:$Q,,0)</f>
        <v>0</v>
      </c>
      <c r="AA307" s="43">
        <v>35477</v>
      </c>
      <c r="AB307" s="43">
        <f t="shared" si="69"/>
        <v>35477</v>
      </c>
      <c r="AC307" s="43">
        <f t="shared" si="70"/>
        <v>3942.1999999999971</v>
      </c>
      <c r="AD307" s="51">
        <f t="shared" si="71"/>
        <v>0.10000710313755727</v>
      </c>
      <c r="AE307" s="24" t="s">
        <v>303</v>
      </c>
      <c r="AF307" s="24" t="s">
        <v>40</v>
      </c>
      <c r="AG307" s="24" t="s">
        <v>40</v>
      </c>
      <c r="AH307" s="24" t="s">
        <v>40</v>
      </c>
      <c r="AI307" s="25">
        <v>45708</v>
      </c>
      <c r="AJ307" s="25"/>
      <c r="AK307" s="24" t="s">
        <v>40</v>
      </c>
    </row>
    <row r="308" spans="1:37" x14ac:dyDescent="0.35">
      <c r="A308" s="3" t="s">
        <v>32</v>
      </c>
      <c r="B308" s="3" t="s">
        <v>33</v>
      </c>
      <c r="C308" s="3" t="s">
        <v>34</v>
      </c>
      <c r="D308" s="3" t="s">
        <v>35</v>
      </c>
      <c r="E308" s="3" t="s">
        <v>148</v>
      </c>
      <c r="F308" s="4">
        <v>45708</v>
      </c>
      <c r="G308" s="23">
        <v>1800000190</v>
      </c>
      <c r="H308" s="24" t="s">
        <v>47</v>
      </c>
      <c r="I308" s="25">
        <v>45708</v>
      </c>
      <c r="J308" s="25">
        <v>45708</v>
      </c>
      <c r="K308" s="24" t="s">
        <v>38</v>
      </c>
      <c r="L308" s="26">
        <v>246779410117</v>
      </c>
      <c r="M308" s="23">
        <v>212100</v>
      </c>
      <c r="N308" s="24" t="s">
        <v>39</v>
      </c>
      <c r="O308" s="24" t="s">
        <v>40</v>
      </c>
      <c r="P308" s="23">
        <v>1</v>
      </c>
      <c r="Q308" s="24" t="s">
        <v>42</v>
      </c>
      <c r="R308" s="27">
        <v>456.75</v>
      </c>
      <c r="S308" s="24" t="s">
        <v>43</v>
      </c>
      <c r="T308" s="42">
        <v>39419.199999999997</v>
      </c>
      <c r="U308" s="24" t="s">
        <v>44</v>
      </c>
      <c r="V308" s="23">
        <v>6779224500</v>
      </c>
      <c r="W308" s="24" t="s">
        <v>40</v>
      </c>
      <c r="X308" s="24" t="s">
        <v>38</v>
      </c>
      <c r="Y308" s="23">
        <v>1</v>
      </c>
      <c r="Z308" s="43" cm="1">
        <f t="array" ref="Z308:AA308">_xlfn.XLOOKUP(L308,'Customer Ledger'!$O:$O,'Customer Ledger'!$P:$Q,,0)</f>
        <v>0</v>
      </c>
      <c r="AA308" s="43">
        <v>35554.519999999997</v>
      </c>
      <c r="AB308" s="43">
        <f t="shared" si="69"/>
        <v>35554.519999999997</v>
      </c>
      <c r="AC308" s="43">
        <f t="shared" si="70"/>
        <v>3864.6800000000003</v>
      </c>
      <c r="AD308" s="51">
        <f t="shared" si="71"/>
        <v>9.8040548768113009E-2</v>
      </c>
      <c r="AE308" s="24" t="s">
        <v>304</v>
      </c>
      <c r="AF308" s="24" t="s">
        <v>40</v>
      </c>
      <c r="AG308" s="24" t="s">
        <v>40</v>
      </c>
      <c r="AH308" s="24" t="s">
        <v>40</v>
      </c>
      <c r="AI308" s="25">
        <v>45708</v>
      </c>
      <c r="AJ308" s="25"/>
      <c r="AK308" s="24" t="s">
        <v>40</v>
      </c>
    </row>
    <row r="309" spans="1:37" x14ac:dyDescent="0.35">
      <c r="A309" s="3" t="s">
        <v>32</v>
      </c>
      <c r="B309" s="3" t="s">
        <v>33</v>
      </c>
      <c r="C309" s="3" t="s">
        <v>34</v>
      </c>
      <c r="D309" s="3" t="s">
        <v>35</v>
      </c>
      <c r="E309" s="3" t="s">
        <v>148</v>
      </c>
      <c r="F309" s="4">
        <v>45708</v>
      </c>
      <c r="G309" s="23">
        <v>1800000233</v>
      </c>
      <c r="H309" s="24" t="s">
        <v>47</v>
      </c>
      <c r="I309" s="25">
        <v>45708</v>
      </c>
      <c r="J309" s="25">
        <v>45708</v>
      </c>
      <c r="K309" s="24" t="s">
        <v>38</v>
      </c>
      <c r="L309" s="26">
        <v>246779410160</v>
      </c>
      <c r="M309" s="23">
        <v>212100</v>
      </c>
      <c r="N309" s="24" t="s">
        <v>39</v>
      </c>
      <c r="O309" s="24" t="s">
        <v>40</v>
      </c>
      <c r="P309" s="23">
        <v>1</v>
      </c>
      <c r="Q309" s="24" t="s">
        <v>42</v>
      </c>
      <c r="R309" s="27">
        <v>456.75</v>
      </c>
      <c r="S309" s="24" t="s">
        <v>43</v>
      </c>
      <c r="T309" s="42">
        <v>39419.199999999997</v>
      </c>
      <c r="U309" s="24" t="s">
        <v>44</v>
      </c>
      <c r="V309" s="23">
        <v>6779224500</v>
      </c>
      <c r="W309" s="24" t="s">
        <v>40</v>
      </c>
      <c r="X309" s="24" t="s">
        <v>38</v>
      </c>
      <c r="Y309" s="23">
        <v>1</v>
      </c>
      <c r="Z309" s="43" cm="1">
        <f t="array" ref="Z309:AA309">_xlfn.XLOOKUP(L309,'Customer Ledger'!$O:$O,'Customer Ledger'!$P:$Q,,0)</f>
        <v>0</v>
      </c>
      <c r="AA309" s="43">
        <v>35554.519999999997</v>
      </c>
      <c r="AB309" s="43">
        <f t="shared" si="69"/>
        <v>35554.519999999997</v>
      </c>
      <c r="AC309" s="43">
        <f t="shared" si="70"/>
        <v>3864.6800000000003</v>
      </c>
      <c r="AD309" s="51">
        <f t="shared" si="71"/>
        <v>9.8040548768113009E-2</v>
      </c>
      <c r="AE309" s="24" t="s">
        <v>305</v>
      </c>
      <c r="AF309" s="24" t="s">
        <v>40</v>
      </c>
      <c r="AG309" s="24" t="s">
        <v>40</v>
      </c>
      <c r="AH309" s="24" t="s">
        <v>40</v>
      </c>
      <c r="AI309" s="25">
        <v>45708</v>
      </c>
      <c r="AJ309" s="25"/>
      <c r="AK309" s="24" t="s">
        <v>40</v>
      </c>
    </row>
    <row r="310" spans="1:37" x14ac:dyDescent="0.35">
      <c r="A310" s="3" t="s">
        <v>32</v>
      </c>
      <c r="B310" s="3" t="s">
        <v>33</v>
      </c>
      <c r="C310" s="3" t="s">
        <v>34</v>
      </c>
      <c r="D310" s="3" t="s">
        <v>35</v>
      </c>
      <c r="E310" s="3" t="s">
        <v>148</v>
      </c>
      <c r="F310" s="4">
        <v>45708</v>
      </c>
      <c r="G310" s="23">
        <v>1800000276</v>
      </c>
      <c r="H310" s="24" t="s">
        <v>47</v>
      </c>
      <c r="I310" s="25">
        <v>45708</v>
      </c>
      <c r="J310" s="25">
        <v>45708</v>
      </c>
      <c r="K310" s="24" t="s">
        <v>38</v>
      </c>
      <c r="L310" s="26">
        <v>246779410203</v>
      </c>
      <c r="M310" s="23">
        <v>212100</v>
      </c>
      <c r="N310" s="24" t="s">
        <v>39</v>
      </c>
      <c r="O310" s="24" t="s">
        <v>40</v>
      </c>
      <c r="P310" s="23">
        <v>1</v>
      </c>
      <c r="Q310" s="24" t="s">
        <v>42</v>
      </c>
      <c r="R310" s="27">
        <v>456.75</v>
      </c>
      <c r="S310" s="24" t="s">
        <v>43</v>
      </c>
      <c r="T310" s="42">
        <v>39419.199999999997</v>
      </c>
      <c r="U310" s="24" t="s">
        <v>44</v>
      </c>
      <c r="V310" s="23">
        <v>6779224500</v>
      </c>
      <c r="W310" s="24" t="s">
        <v>40</v>
      </c>
      <c r="X310" s="24" t="s">
        <v>38</v>
      </c>
      <c r="Y310" s="23">
        <v>1</v>
      </c>
      <c r="Z310" s="43" cm="1">
        <f t="array" ref="Z310:AA310">_xlfn.XLOOKUP(L310,'Customer Ledger'!$O:$O,'Customer Ledger'!$P:$Q,,0)</f>
        <v>0</v>
      </c>
      <c r="AA310" s="43">
        <v>35554.519999999997</v>
      </c>
      <c r="AB310" s="43">
        <f t="shared" si="69"/>
        <v>35554.519999999997</v>
      </c>
      <c r="AC310" s="43">
        <f t="shared" si="70"/>
        <v>3864.6800000000003</v>
      </c>
      <c r="AD310" s="51">
        <f t="shared" si="71"/>
        <v>9.8040548768113009E-2</v>
      </c>
      <c r="AE310" s="24" t="s">
        <v>93</v>
      </c>
      <c r="AF310" s="24" t="s">
        <v>40</v>
      </c>
      <c r="AG310" s="24" t="s">
        <v>40</v>
      </c>
      <c r="AH310" s="24" t="s">
        <v>40</v>
      </c>
      <c r="AI310" s="25">
        <v>45708</v>
      </c>
      <c r="AJ310" s="25"/>
      <c r="AK310" s="24" t="s">
        <v>40</v>
      </c>
    </row>
    <row r="311" spans="1:37" x14ac:dyDescent="0.35">
      <c r="A311" s="3" t="s">
        <v>32</v>
      </c>
      <c r="B311" s="3" t="s">
        <v>33</v>
      </c>
      <c r="C311" s="3" t="s">
        <v>34</v>
      </c>
      <c r="D311" s="3" t="s">
        <v>35</v>
      </c>
      <c r="E311" s="3" t="s">
        <v>148</v>
      </c>
      <c r="F311" s="4">
        <v>45708</v>
      </c>
      <c r="G311" s="23">
        <v>1800000319</v>
      </c>
      <c r="H311" s="24" t="s">
        <v>47</v>
      </c>
      <c r="I311" s="25">
        <v>45708</v>
      </c>
      <c r="J311" s="25">
        <v>45708</v>
      </c>
      <c r="K311" s="24" t="s">
        <v>38</v>
      </c>
      <c r="L311" s="26">
        <v>246779410246</v>
      </c>
      <c r="M311" s="23">
        <v>212100</v>
      </c>
      <c r="N311" s="24" t="s">
        <v>39</v>
      </c>
      <c r="O311" s="24" t="s">
        <v>40</v>
      </c>
      <c r="P311" s="23">
        <v>1</v>
      </c>
      <c r="Q311" s="24" t="s">
        <v>42</v>
      </c>
      <c r="R311" s="27">
        <v>456.75</v>
      </c>
      <c r="S311" s="24" t="s">
        <v>43</v>
      </c>
      <c r="T311" s="42">
        <v>39419.199999999997</v>
      </c>
      <c r="U311" s="24" t="s">
        <v>44</v>
      </c>
      <c r="V311" s="23">
        <v>6779224500</v>
      </c>
      <c r="W311" s="24" t="s">
        <v>40</v>
      </c>
      <c r="X311" s="24" t="s">
        <v>38</v>
      </c>
      <c r="Y311" s="23">
        <v>1</v>
      </c>
      <c r="Z311" s="43" cm="1">
        <f t="array" ref="Z311:AA311">_xlfn.XLOOKUP(L311,'Customer Ledger'!$O:$O,'Customer Ledger'!$P:$Q,,0)</f>
        <v>0</v>
      </c>
      <c r="AA311" s="43">
        <v>35554.519999999997</v>
      </c>
      <c r="AB311" s="43">
        <f t="shared" si="69"/>
        <v>35554.519999999997</v>
      </c>
      <c r="AC311" s="43">
        <f t="shared" si="70"/>
        <v>3864.6800000000003</v>
      </c>
      <c r="AD311" s="51">
        <f t="shared" si="71"/>
        <v>9.8040548768113009E-2</v>
      </c>
      <c r="AE311" s="24" t="s">
        <v>92</v>
      </c>
      <c r="AF311" s="24" t="s">
        <v>40</v>
      </c>
      <c r="AG311" s="24" t="s">
        <v>40</v>
      </c>
      <c r="AH311" s="24" t="s">
        <v>40</v>
      </c>
      <c r="AI311" s="25">
        <v>45708</v>
      </c>
      <c r="AJ311" s="25"/>
      <c r="AK311" s="24" t="s">
        <v>40</v>
      </c>
    </row>
    <row r="312" spans="1:37" x14ac:dyDescent="0.35">
      <c r="A312" s="3" t="s">
        <v>32</v>
      </c>
      <c r="B312" s="3" t="s">
        <v>33</v>
      </c>
      <c r="C312" s="3" t="s">
        <v>34</v>
      </c>
      <c r="D312" s="3" t="s">
        <v>35</v>
      </c>
      <c r="E312" s="3" t="s">
        <v>148</v>
      </c>
      <c r="F312" s="4">
        <v>45708</v>
      </c>
      <c r="G312" s="23">
        <v>1800000150</v>
      </c>
      <c r="H312" s="24" t="s">
        <v>47</v>
      </c>
      <c r="I312" s="25">
        <v>45708</v>
      </c>
      <c r="J312" s="25">
        <v>45709</v>
      </c>
      <c r="K312" s="24" t="s">
        <v>38</v>
      </c>
      <c r="L312" s="26">
        <v>246779410303</v>
      </c>
      <c r="M312" s="23">
        <v>212100</v>
      </c>
      <c r="N312" s="24" t="s">
        <v>39</v>
      </c>
      <c r="O312" s="24" t="s">
        <v>40</v>
      </c>
      <c r="P312" s="23">
        <v>1</v>
      </c>
      <c r="Q312" s="24" t="s">
        <v>42</v>
      </c>
      <c r="R312" s="27">
        <v>456.75</v>
      </c>
      <c r="S312" s="24" t="s">
        <v>43</v>
      </c>
      <c r="T312" s="42">
        <v>39419.199999999997</v>
      </c>
      <c r="U312" s="24" t="s">
        <v>44</v>
      </c>
      <c r="V312" s="23">
        <v>6779224500</v>
      </c>
      <c r="W312" s="24" t="s">
        <v>40</v>
      </c>
      <c r="X312" s="24" t="s">
        <v>38</v>
      </c>
      <c r="Y312" s="23">
        <v>1</v>
      </c>
      <c r="Z312" s="43" cm="1">
        <f t="array" ref="Z312:AA312">_xlfn.XLOOKUP(L312,'Customer Ledger'!$O:$O,'Customer Ledger'!$P:$Q,,0)</f>
        <v>0</v>
      </c>
      <c r="AA312" s="43">
        <v>35554.519999999997</v>
      </c>
      <c r="AB312" s="43">
        <f t="shared" ref="AB312:AB319" si="72">AA312-Z312</f>
        <v>35554.519999999997</v>
      </c>
      <c r="AC312" s="43">
        <f t="shared" ref="AC312:AC319" si="73">T312-AB312</f>
        <v>3864.6800000000003</v>
      </c>
      <c r="AD312" s="51">
        <f t="shared" ref="AD312:AD319" si="74">AC312/T312</f>
        <v>9.8040548768113009E-2</v>
      </c>
      <c r="AE312" s="24" t="s">
        <v>306</v>
      </c>
      <c r="AF312" s="24" t="s">
        <v>40</v>
      </c>
      <c r="AG312" s="24" t="s">
        <v>40</v>
      </c>
      <c r="AH312" s="24" t="s">
        <v>40</v>
      </c>
      <c r="AI312" s="25">
        <v>45708</v>
      </c>
      <c r="AJ312" s="25"/>
      <c r="AK312" s="24" t="s">
        <v>40</v>
      </c>
    </row>
    <row r="313" spans="1:37" x14ac:dyDescent="0.35">
      <c r="A313" s="3" t="s">
        <v>32</v>
      </c>
      <c r="B313" s="3" t="s">
        <v>33</v>
      </c>
      <c r="C313" s="3" t="s">
        <v>34</v>
      </c>
      <c r="D313" s="3" t="s">
        <v>35</v>
      </c>
      <c r="E313" s="3" t="s">
        <v>212</v>
      </c>
      <c r="F313" s="4">
        <v>45889</v>
      </c>
      <c r="G313" s="23">
        <v>1800012068</v>
      </c>
      <c r="H313" s="24" t="s">
        <v>47</v>
      </c>
      <c r="I313" s="25">
        <v>45889</v>
      </c>
      <c r="J313" s="25">
        <v>45891</v>
      </c>
      <c r="K313" s="24" t="s">
        <v>38</v>
      </c>
      <c r="L313" s="26">
        <v>256779416603</v>
      </c>
      <c r="M313" s="23">
        <v>212100</v>
      </c>
      <c r="N313" s="24" t="s">
        <v>39</v>
      </c>
      <c r="O313" s="24" t="s">
        <v>40</v>
      </c>
      <c r="P313" s="23">
        <v>1</v>
      </c>
      <c r="Q313" s="24" t="s">
        <v>42</v>
      </c>
      <c r="R313" s="27">
        <v>17.350000000000001</v>
      </c>
      <c r="S313" s="24" t="s">
        <v>43</v>
      </c>
      <c r="T313" s="42">
        <v>1492.62</v>
      </c>
      <c r="U313" s="24" t="s">
        <v>44</v>
      </c>
      <c r="V313" s="23">
        <v>6779224500</v>
      </c>
      <c r="W313" s="24" t="s">
        <v>40</v>
      </c>
      <c r="X313" s="24" t="s">
        <v>38</v>
      </c>
      <c r="Y313" s="23">
        <v>1</v>
      </c>
      <c r="Z313" s="43" cm="1">
        <f t="array" ref="Z313:AA313">_xlfn.XLOOKUP(L313,'Customer Ledger'!$O:$O,'Customer Ledger'!$P:$Q,,0)</f>
        <v>0</v>
      </c>
      <c r="AA313" s="43">
        <v>1463</v>
      </c>
      <c r="AB313" s="43">
        <f t="shared" si="72"/>
        <v>1463</v>
      </c>
      <c r="AC313" s="43">
        <f t="shared" si="73"/>
        <v>29.619999999999891</v>
      </c>
      <c r="AD313" s="51">
        <f t="shared" si="74"/>
        <v>1.9844300625745263E-2</v>
      </c>
      <c r="AE313" s="24" t="s">
        <v>307</v>
      </c>
      <c r="AF313" s="24" t="s">
        <v>40</v>
      </c>
      <c r="AG313" s="24" t="s">
        <v>40</v>
      </c>
      <c r="AH313" s="24" t="s">
        <v>40</v>
      </c>
      <c r="AI313" s="25">
        <v>45889</v>
      </c>
      <c r="AJ313" s="25"/>
      <c r="AK313" s="24" t="s">
        <v>40</v>
      </c>
    </row>
    <row r="314" spans="1:37" x14ac:dyDescent="0.35">
      <c r="A314" s="3" t="s">
        <v>32</v>
      </c>
      <c r="B314" s="3" t="s">
        <v>33</v>
      </c>
      <c r="C314" s="3" t="s">
        <v>34</v>
      </c>
      <c r="D314" s="3" t="s">
        <v>35</v>
      </c>
      <c r="E314" s="3" t="s">
        <v>212</v>
      </c>
      <c r="F314" s="4">
        <v>45889</v>
      </c>
      <c r="G314" s="23">
        <v>1800012177</v>
      </c>
      <c r="H314" s="24" t="s">
        <v>47</v>
      </c>
      <c r="I314" s="25">
        <v>45889</v>
      </c>
      <c r="J314" s="25">
        <v>45891</v>
      </c>
      <c r="K314" s="24" t="s">
        <v>38</v>
      </c>
      <c r="L314" s="26">
        <v>256779416615</v>
      </c>
      <c r="M314" s="23">
        <v>212100</v>
      </c>
      <c r="N314" s="24" t="s">
        <v>39</v>
      </c>
      <c r="O314" s="24" t="s">
        <v>40</v>
      </c>
      <c r="P314" s="23">
        <v>1</v>
      </c>
      <c r="Q314" s="24" t="s">
        <v>42</v>
      </c>
      <c r="R314" s="27">
        <v>56.82</v>
      </c>
      <c r="S314" s="24" t="s">
        <v>43</v>
      </c>
      <c r="T314" s="42">
        <v>4888.2299999999996</v>
      </c>
      <c r="U314" s="24" t="s">
        <v>44</v>
      </c>
      <c r="V314" s="23">
        <v>6779224500</v>
      </c>
      <c r="W314" s="24" t="s">
        <v>40</v>
      </c>
      <c r="X314" s="24" t="s">
        <v>38</v>
      </c>
      <c r="Y314" s="23">
        <v>1</v>
      </c>
      <c r="Z314" s="43" cm="1">
        <f t="array" ref="Z314:AA314">_xlfn.XLOOKUP(L314,'Customer Ledger'!$O:$O,'Customer Ledger'!$P:$Q,,0)</f>
        <v>0</v>
      </c>
      <c r="AA314" s="43">
        <v>4790</v>
      </c>
      <c r="AB314" s="43">
        <f t="shared" si="72"/>
        <v>4790</v>
      </c>
      <c r="AC314" s="43">
        <f t="shared" si="73"/>
        <v>98.229999999999563</v>
      </c>
      <c r="AD314" s="51">
        <f t="shared" si="74"/>
        <v>2.0095208286025734E-2</v>
      </c>
      <c r="AE314" s="24" t="s">
        <v>308</v>
      </c>
      <c r="AF314" s="24" t="s">
        <v>40</v>
      </c>
      <c r="AG314" s="24" t="s">
        <v>40</v>
      </c>
      <c r="AH314" s="24" t="s">
        <v>40</v>
      </c>
      <c r="AI314" s="25">
        <v>45889</v>
      </c>
      <c r="AJ314" s="25"/>
      <c r="AK314" s="24" t="s">
        <v>40</v>
      </c>
    </row>
    <row r="315" spans="1:37" x14ac:dyDescent="0.35">
      <c r="A315" s="3" t="s">
        <v>32</v>
      </c>
      <c r="B315" s="3" t="s">
        <v>33</v>
      </c>
      <c r="C315" s="3" t="s">
        <v>34</v>
      </c>
      <c r="D315" s="3" t="s">
        <v>35</v>
      </c>
      <c r="E315" s="3" t="s">
        <v>212</v>
      </c>
      <c r="F315" s="4">
        <v>45889</v>
      </c>
      <c r="G315" s="23">
        <v>1800012164</v>
      </c>
      <c r="H315" s="24" t="s">
        <v>47</v>
      </c>
      <c r="I315" s="25">
        <v>45889</v>
      </c>
      <c r="J315" s="25">
        <v>45891</v>
      </c>
      <c r="K315" s="24" t="s">
        <v>38</v>
      </c>
      <c r="L315" s="26">
        <v>256779416809</v>
      </c>
      <c r="M315" s="23">
        <v>212100</v>
      </c>
      <c r="N315" s="24" t="s">
        <v>39</v>
      </c>
      <c r="O315" s="24" t="s">
        <v>40</v>
      </c>
      <c r="P315" s="23">
        <v>1</v>
      </c>
      <c r="Q315" s="24" t="s">
        <v>42</v>
      </c>
      <c r="R315" s="27">
        <v>82.8</v>
      </c>
      <c r="S315" s="24" t="s">
        <v>43</v>
      </c>
      <c r="T315" s="42">
        <v>7123.29</v>
      </c>
      <c r="U315" s="24" t="s">
        <v>44</v>
      </c>
      <c r="V315" s="23">
        <v>6779224500</v>
      </c>
      <c r="W315" s="24" t="s">
        <v>40</v>
      </c>
      <c r="X315" s="24" t="s">
        <v>38</v>
      </c>
      <c r="Y315" s="23">
        <v>1</v>
      </c>
      <c r="Z315" s="43" cm="1">
        <f t="array" ref="Z315:AA315">_xlfn.XLOOKUP(L315,'Customer Ledger'!$O:$O,'Customer Ledger'!$P:$Q,,0)</f>
        <v>0</v>
      </c>
      <c r="AA315" s="43">
        <v>6981</v>
      </c>
      <c r="AB315" s="43">
        <f t="shared" si="72"/>
        <v>6981</v>
      </c>
      <c r="AC315" s="43">
        <f t="shared" si="73"/>
        <v>142.28999999999996</v>
      </c>
      <c r="AD315" s="51">
        <f t="shared" si="74"/>
        <v>1.9975320392683713E-2</v>
      </c>
      <c r="AE315" s="24" t="s">
        <v>309</v>
      </c>
      <c r="AF315" s="24" t="s">
        <v>40</v>
      </c>
      <c r="AG315" s="24" t="s">
        <v>40</v>
      </c>
      <c r="AH315" s="24" t="s">
        <v>40</v>
      </c>
      <c r="AI315" s="25">
        <v>45889</v>
      </c>
      <c r="AJ315" s="25"/>
      <c r="AK315" s="24" t="s">
        <v>40</v>
      </c>
    </row>
    <row r="316" spans="1:37" x14ac:dyDescent="0.35">
      <c r="A316" s="3" t="s">
        <v>32</v>
      </c>
      <c r="B316" s="3" t="s">
        <v>33</v>
      </c>
      <c r="C316" s="3" t="s">
        <v>34</v>
      </c>
      <c r="D316" s="3" t="s">
        <v>35</v>
      </c>
      <c r="E316" s="3" t="s">
        <v>212</v>
      </c>
      <c r="F316" s="4">
        <v>45889</v>
      </c>
      <c r="G316" s="23">
        <v>1800012248</v>
      </c>
      <c r="H316" s="24" t="s">
        <v>47</v>
      </c>
      <c r="I316" s="25">
        <v>45889</v>
      </c>
      <c r="J316" s="25">
        <v>45891</v>
      </c>
      <c r="K316" s="24" t="s">
        <v>38</v>
      </c>
      <c r="L316" s="26">
        <v>256779416844</v>
      </c>
      <c r="M316" s="23">
        <v>212100</v>
      </c>
      <c r="N316" s="24" t="s">
        <v>39</v>
      </c>
      <c r="O316" s="24" t="s">
        <v>40</v>
      </c>
      <c r="P316" s="23">
        <v>1</v>
      </c>
      <c r="Q316" s="24" t="s">
        <v>42</v>
      </c>
      <c r="R316" s="27">
        <v>141.4</v>
      </c>
      <c r="S316" s="24" t="s">
        <v>43</v>
      </c>
      <c r="T316" s="42">
        <v>12164.66</v>
      </c>
      <c r="U316" s="24" t="s">
        <v>44</v>
      </c>
      <c r="V316" s="23">
        <v>6779224500</v>
      </c>
      <c r="W316" s="24" t="s">
        <v>40</v>
      </c>
      <c r="X316" s="24" t="s">
        <v>38</v>
      </c>
      <c r="Y316" s="23">
        <v>1</v>
      </c>
      <c r="Z316" s="43" cm="1">
        <f t="array" ref="Z316:AA316">_xlfn.XLOOKUP(L316,'Customer Ledger'!$O:$O,'Customer Ledger'!$P:$Q,,0)</f>
        <v>0</v>
      </c>
      <c r="AA316" s="43">
        <v>11922</v>
      </c>
      <c r="AB316" s="43">
        <f t="shared" si="72"/>
        <v>11922</v>
      </c>
      <c r="AC316" s="43">
        <f t="shared" si="73"/>
        <v>242.65999999999985</v>
      </c>
      <c r="AD316" s="51">
        <f t="shared" si="74"/>
        <v>1.9947947579299369E-2</v>
      </c>
      <c r="AE316" s="24" t="s">
        <v>310</v>
      </c>
      <c r="AF316" s="24" t="s">
        <v>40</v>
      </c>
      <c r="AG316" s="24" t="s">
        <v>40</v>
      </c>
      <c r="AH316" s="24" t="s">
        <v>40</v>
      </c>
      <c r="AI316" s="25">
        <v>45889</v>
      </c>
      <c r="AJ316" s="25"/>
      <c r="AK316" s="24" t="s">
        <v>40</v>
      </c>
    </row>
    <row r="317" spans="1:37" x14ac:dyDescent="0.35">
      <c r="A317" s="3" t="s">
        <v>32</v>
      </c>
      <c r="B317" s="3" t="s">
        <v>33</v>
      </c>
      <c r="C317" s="3" t="s">
        <v>34</v>
      </c>
      <c r="D317" s="3" t="s">
        <v>35</v>
      </c>
      <c r="E317" s="3" t="s">
        <v>212</v>
      </c>
      <c r="F317" s="4">
        <v>45889</v>
      </c>
      <c r="G317" s="23">
        <v>1800012216</v>
      </c>
      <c r="H317" s="24" t="s">
        <v>47</v>
      </c>
      <c r="I317" s="25">
        <v>45889</v>
      </c>
      <c r="J317" s="25">
        <v>45891</v>
      </c>
      <c r="K317" s="24" t="s">
        <v>38</v>
      </c>
      <c r="L317" s="26">
        <v>256779416878</v>
      </c>
      <c r="M317" s="23">
        <v>212100</v>
      </c>
      <c r="N317" s="24" t="s">
        <v>39</v>
      </c>
      <c r="O317" s="24" t="s">
        <v>40</v>
      </c>
      <c r="P317" s="23">
        <v>1</v>
      </c>
      <c r="Q317" s="24" t="s">
        <v>42</v>
      </c>
      <c r="R317" s="27">
        <v>11.52</v>
      </c>
      <c r="S317" s="24" t="s">
        <v>43</v>
      </c>
      <c r="T317" s="42">
        <v>991.07</v>
      </c>
      <c r="U317" s="24" t="s">
        <v>44</v>
      </c>
      <c r="V317" s="23">
        <v>6779224500</v>
      </c>
      <c r="W317" s="24" t="s">
        <v>40</v>
      </c>
      <c r="X317" s="24" t="s">
        <v>38</v>
      </c>
      <c r="Y317" s="23">
        <v>1</v>
      </c>
      <c r="Z317" s="43" cm="1">
        <f t="array" ref="Z317:AA317">_xlfn.XLOOKUP(L317,'Customer Ledger'!$O:$O,'Customer Ledger'!$P:$Q,,0)</f>
        <v>0</v>
      </c>
      <c r="AA317" s="43">
        <v>971</v>
      </c>
      <c r="AB317" s="43">
        <f t="shared" si="72"/>
        <v>971</v>
      </c>
      <c r="AC317" s="43">
        <f t="shared" si="73"/>
        <v>20.07000000000005</v>
      </c>
      <c r="AD317" s="51">
        <f t="shared" si="74"/>
        <v>2.025084000121086E-2</v>
      </c>
      <c r="AE317" s="24" t="s">
        <v>311</v>
      </c>
      <c r="AF317" s="24" t="s">
        <v>40</v>
      </c>
      <c r="AG317" s="24" t="s">
        <v>40</v>
      </c>
      <c r="AH317" s="24" t="s">
        <v>40</v>
      </c>
      <c r="AI317" s="25">
        <v>45889</v>
      </c>
      <c r="AJ317" s="25"/>
      <c r="AK317" s="24" t="s">
        <v>40</v>
      </c>
    </row>
    <row r="318" spans="1:37" x14ac:dyDescent="0.35">
      <c r="A318" s="3" t="s">
        <v>32</v>
      </c>
      <c r="B318" s="3" t="s">
        <v>33</v>
      </c>
      <c r="C318" s="3" t="s">
        <v>34</v>
      </c>
      <c r="D318" s="3" t="s">
        <v>35</v>
      </c>
      <c r="E318" s="3" t="s">
        <v>141</v>
      </c>
      <c r="F318" s="4">
        <v>45999</v>
      </c>
      <c r="G318" s="23">
        <v>1800015418</v>
      </c>
      <c r="H318" s="24" t="s">
        <v>47</v>
      </c>
      <c r="I318" s="25">
        <v>45999</v>
      </c>
      <c r="J318" s="25">
        <v>46000</v>
      </c>
      <c r="K318" s="24" t="s">
        <v>38</v>
      </c>
      <c r="L318" s="26">
        <v>256779419867</v>
      </c>
      <c r="M318" s="23">
        <v>212100</v>
      </c>
      <c r="N318" s="24" t="s">
        <v>39</v>
      </c>
      <c r="O318" s="24" t="s">
        <v>40</v>
      </c>
      <c r="P318" s="23">
        <v>1</v>
      </c>
      <c r="Q318" s="24" t="s">
        <v>42</v>
      </c>
      <c r="R318" s="27">
        <v>703.51</v>
      </c>
      <c r="S318" s="24" t="s">
        <v>43</v>
      </c>
      <c r="T318" s="42">
        <v>62401.440000000002</v>
      </c>
      <c r="U318" s="24" t="s">
        <v>44</v>
      </c>
      <c r="V318" s="23">
        <v>6779224500</v>
      </c>
      <c r="W318" s="24" t="s">
        <v>40</v>
      </c>
      <c r="X318" s="23">
        <v>2140083</v>
      </c>
      <c r="Y318" s="23">
        <v>1</v>
      </c>
      <c r="Z318" s="43" cm="1">
        <f t="array" ref="Z318:AA318">_xlfn.XLOOKUP(L318,'Customer Ledger'!$O:$O,'Customer Ledger'!$P:$Q,,0)</f>
        <v>0</v>
      </c>
      <c r="AA318" s="43">
        <v>61159.633500000004</v>
      </c>
      <c r="AB318" s="43">
        <f t="shared" si="72"/>
        <v>61159.633500000004</v>
      </c>
      <c r="AC318" s="43">
        <f t="shared" si="73"/>
        <v>1241.8064999999988</v>
      </c>
      <c r="AD318" s="51">
        <f t="shared" si="74"/>
        <v>1.9900285954939482E-2</v>
      </c>
      <c r="AE318" s="24" t="s">
        <v>181</v>
      </c>
      <c r="AF318" s="24" t="s">
        <v>40</v>
      </c>
      <c r="AG318" s="24" t="s">
        <v>40</v>
      </c>
      <c r="AH318" s="24" t="s">
        <v>40</v>
      </c>
      <c r="AI318" s="25">
        <v>45999</v>
      </c>
      <c r="AJ318" s="25"/>
      <c r="AK318" s="24" t="s">
        <v>40</v>
      </c>
    </row>
    <row r="319" spans="1:37" x14ac:dyDescent="0.35">
      <c r="A319" s="3" t="s">
        <v>32</v>
      </c>
      <c r="B319" s="3" t="s">
        <v>33</v>
      </c>
      <c r="C319" s="3" t="s">
        <v>34</v>
      </c>
      <c r="D319" s="3" t="s">
        <v>35</v>
      </c>
      <c r="E319" s="3" t="s">
        <v>111</v>
      </c>
      <c r="F319" s="4">
        <v>45821</v>
      </c>
      <c r="G319" s="23">
        <v>1800009576</v>
      </c>
      <c r="H319" s="24" t="s">
        <v>47</v>
      </c>
      <c r="I319" s="25">
        <v>45821</v>
      </c>
      <c r="J319" s="25">
        <v>45825</v>
      </c>
      <c r="K319" s="24" t="s">
        <v>38</v>
      </c>
      <c r="L319" s="26">
        <v>256779414340</v>
      </c>
      <c r="M319" s="23">
        <v>212100</v>
      </c>
      <c r="N319" s="24" t="s">
        <v>39</v>
      </c>
      <c r="O319" s="24" t="s">
        <v>40</v>
      </c>
      <c r="P319" s="23">
        <v>1</v>
      </c>
      <c r="Q319" s="24" t="s">
        <v>42</v>
      </c>
      <c r="R319" s="27">
        <v>586.09</v>
      </c>
      <c r="S319" s="24" t="s">
        <v>43</v>
      </c>
      <c r="T319" s="42">
        <v>50105.29</v>
      </c>
      <c r="U319" s="24" t="s">
        <v>44</v>
      </c>
      <c r="V319" s="23">
        <v>6779224500</v>
      </c>
      <c r="W319" s="24" t="s">
        <v>40</v>
      </c>
      <c r="X319" s="24" t="s">
        <v>38</v>
      </c>
      <c r="Y319" s="23">
        <v>1</v>
      </c>
      <c r="Z319" s="43" cm="1">
        <f t="array" ref="Z319:AA319">_xlfn.XLOOKUP(L319,'Customer Ledger'!$O:$O,'Customer Ledger'!$P:$Q,,0)</f>
        <v>0</v>
      </c>
      <c r="AA319" s="43">
        <v>45061.335200000001</v>
      </c>
      <c r="AB319" s="43">
        <f t="shared" si="72"/>
        <v>45061.335200000001</v>
      </c>
      <c r="AC319" s="43">
        <f t="shared" si="73"/>
        <v>5043.9547999999995</v>
      </c>
      <c r="AD319" s="51">
        <f t="shared" si="74"/>
        <v>0.10066711119724084</v>
      </c>
      <c r="AE319" s="24" t="s">
        <v>312</v>
      </c>
      <c r="AF319" s="24" t="s">
        <v>40</v>
      </c>
      <c r="AG319" s="24" t="s">
        <v>40</v>
      </c>
      <c r="AH319" s="24" t="s">
        <v>40</v>
      </c>
      <c r="AI319" s="25">
        <v>45821</v>
      </c>
      <c r="AJ319" s="25"/>
      <c r="AK319" s="24" t="s">
        <v>40</v>
      </c>
    </row>
    <row r="320" spans="1:37" x14ac:dyDescent="0.35">
      <c r="A320" s="3" t="s">
        <v>32</v>
      </c>
      <c r="B320" s="3" t="s">
        <v>33</v>
      </c>
      <c r="C320" s="3" t="s">
        <v>34</v>
      </c>
      <c r="D320" s="3" t="s">
        <v>35</v>
      </c>
      <c r="E320" s="3" t="s">
        <v>135</v>
      </c>
      <c r="F320" s="4">
        <v>45902</v>
      </c>
      <c r="G320" s="23">
        <v>1400001112</v>
      </c>
      <c r="H320" s="24" t="s">
        <v>313</v>
      </c>
      <c r="I320" s="25">
        <v>45902</v>
      </c>
      <c r="J320" s="25">
        <v>45902</v>
      </c>
      <c r="K320" s="24" t="s">
        <v>40</v>
      </c>
      <c r="L320" s="26" t="s">
        <v>40</v>
      </c>
      <c r="M320" s="23">
        <v>212100</v>
      </c>
      <c r="N320" s="24" t="s">
        <v>39</v>
      </c>
      <c r="O320" s="24" t="s">
        <v>40</v>
      </c>
      <c r="P320" s="23">
        <v>8</v>
      </c>
      <c r="Q320" s="24" t="s">
        <v>43</v>
      </c>
      <c r="R320" s="27">
        <v>79944.34</v>
      </c>
      <c r="S320" s="24" t="s">
        <v>43</v>
      </c>
      <c r="T320" s="27">
        <v>78561.62</v>
      </c>
      <c r="U320" s="24" t="s">
        <v>40</v>
      </c>
      <c r="V320" s="23">
        <v>6779224500</v>
      </c>
      <c r="W320" s="24" t="s">
        <v>40</v>
      </c>
      <c r="X320" s="24" t="s">
        <v>40</v>
      </c>
      <c r="Y320" s="23">
        <v>1</v>
      </c>
      <c r="Z320" s="43" t="e" cm="1">
        <f t="array" ref="Z320">_xlfn.XLOOKUP(L320,'Customer Ledger'!$O:$O,'Customer Ledger'!$P:$Q,,0)</f>
        <v>#N/A</v>
      </c>
      <c r="AA320" s="43"/>
      <c r="AB320" s="43"/>
      <c r="AC320" s="23"/>
      <c r="AD320" s="23"/>
      <c r="AE320" s="24" t="s">
        <v>40</v>
      </c>
      <c r="AF320" s="24" t="s">
        <v>40</v>
      </c>
      <c r="AG320" s="24" t="s">
        <v>40</v>
      </c>
      <c r="AH320" s="24" t="s">
        <v>40</v>
      </c>
      <c r="AI320" s="25">
        <v>45902</v>
      </c>
      <c r="AJ320" s="25">
        <v>45902</v>
      </c>
      <c r="AK320" s="23">
        <v>1400001112</v>
      </c>
    </row>
    <row r="321" spans="1:37" x14ac:dyDescent="0.35">
      <c r="A321" s="3" t="s">
        <v>32</v>
      </c>
      <c r="B321" s="3" t="s">
        <v>33</v>
      </c>
      <c r="C321" s="3" t="s">
        <v>34</v>
      </c>
      <c r="D321" s="3" t="s">
        <v>35</v>
      </c>
      <c r="E321" s="3" t="s">
        <v>135</v>
      </c>
      <c r="F321" s="4">
        <v>45902</v>
      </c>
      <c r="G321" s="23">
        <v>1400001112</v>
      </c>
      <c r="H321" s="24" t="s">
        <v>313</v>
      </c>
      <c r="I321" s="25">
        <v>45902</v>
      </c>
      <c r="J321" s="25">
        <v>45902</v>
      </c>
      <c r="K321" s="24" t="s">
        <v>40</v>
      </c>
      <c r="L321" s="26" t="s">
        <v>40</v>
      </c>
      <c r="M321" s="23">
        <v>212100</v>
      </c>
      <c r="N321" s="24" t="s">
        <v>39</v>
      </c>
      <c r="O321" s="24" t="s">
        <v>40</v>
      </c>
      <c r="P321" s="23">
        <v>15</v>
      </c>
      <c r="Q321" s="24" t="s">
        <v>43</v>
      </c>
      <c r="R321" s="27">
        <v>-79944.34</v>
      </c>
      <c r="S321" s="24" t="s">
        <v>43</v>
      </c>
      <c r="T321" s="27">
        <v>-78095.820000000007</v>
      </c>
      <c r="U321" s="24" t="s">
        <v>40</v>
      </c>
      <c r="V321" s="23">
        <v>6779224500</v>
      </c>
      <c r="W321" s="24" t="s">
        <v>40</v>
      </c>
      <c r="X321" s="24" t="s">
        <v>40</v>
      </c>
      <c r="Y321" s="23">
        <v>2</v>
      </c>
      <c r="Z321" s="43" t="e" cm="1">
        <f t="array" ref="Z321">_xlfn.XLOOKUP(L321,'Customer Ledger'!$O:$O,'Customer Ledger'!$P:$Q,,0)</f>
        <v>#N/A</v>
      </c>
      <c r="AA321" s="43"/>
      <c r="AB321" s="43"/>
      <c r="AC321" s="23"/>
      <c r="AD321" s="23"/>
      <c r="AE321" s="24" t="s">
        <v>40</v>
      </c>
      <c r="AF321" s="24" t="s">
        <v>40</v>
      </c>
      <c r="AG321" s="24" t="s">
        <v>40</v>
      </c>
      <c r="AH321" s="24" t="s">
        <v>40</v>
      </c>
      <c r="AI321" s="25">
        <v>45902</v>
      </c>
      <c r="AJ321" s="25">
        <v>45902</v>
      </c>
      <c r="AK321" s="23">
        <v>1400001112</v>
      </c>
    </row>
    <row r="322" spans="1:37" x14ac:dyDescent="0.35">
      <c r="A322" s="3" t="s">
        <v>32</v>
      </c>
      <c r="B322" s="3" t="s">
        <v>33</v>
      </c>
      <c r="C322" s="3" t="s">
        <v>34</v>
      </c>
      <c r="D322" s="3" t="s">
        <v>35</v>
      </c>
      <c r="E322" s="3" t="s">
        <v>36</v>
      </c>
      <c r="F322" s="4">
        <v>45854</v>
      </c>
      <c r="G322" s="23">
        <v>1400000285</v>
      </c>
      <c r="H322" s="24" t="s">
        <v>313</v>
      </c>
      <c r="I322" s="25">
        <v>45854</v>
      </c>
      <c r="J322" s="25">
        <v>45855</v>
      </c>
      <c r="K322" s="24" t="s">
        <v>38</v>
      </c>
      <c r="L322" s="26" t="s">
        <v>40</v>
      </c>
      <c r="M322" s="23">
        <v>212100</v>
      </c>
      <c r="N322" s="24" t="s">
        <v>39</v>
      </c>
      <c r="O322" s="24" t="s">
        <v>40</v>
      </c>
      <c r="P322" s="23">
        <v>8</v>
      </c>
      <c r="Q322" s="24" t="s">
        <v>42</v>
      </c>
      <c r="R322" s="27">
        <v>1793.99</v>
      </c>
      <c r="S322" s="24" t="s">
        <v>43</v>
      </c>
      <c r="T322" s="27">
        <v>154827.9</v>
      </c>
      <c r="U322" s="24" t="s">
        <v>40</v>
      </c>
      <c r="V322" s="23">
        <v>6779224500</v>
      </c>
      <c r="W322" s="24" t="s">
        <v>40</v>
      </c>
      <c r="X322" s="24" t="s">
        <v>40</v>
      </c>
      <c r="Y322" s="23">
        <v>1</v>
      </c>
      <c r="Z322" s="43" t="e" cm="1">
        <f t="array" ref="Z322">_xlfn.XLOOKUP(L322,'Customer Ledger'!$O:$O,'Customer Ledger'!$P:$Q,,0)</f>
        <v>#N/A</v>
      </c>
      <c r="AA322" s="43"/>
      <c r="AB322" s="43"/>
      <c r="AC322" s="23"/>
      <c r="AD322" s="23"/>
      <c r="AE322" s="24" t="s">
        <v>40</v>
      </c>
      <c r="AF322" s="24" t="s">
        <v>40</v>
      </c>
      <c r="AG322" s="24" t="s">
        <v>40</v>
      </c>
      <c r="AH322" s="24" t="s">
        <v>40</v>
      </c>
      <c r="AI322" s="25">
        <v>45854</v>
      </c>
      <c r="AJ322" s="25">
        <v>45854</v>
      </c>
      <c r="AK322" s="23">
        <v>1400000285</v>
      </c>
    </row>
    <row r="323" spans="1:37" x14ac:dyDescent="0.35">
      <c r="A323" s="3" t="s">
        <v>32</v>
      </c>
      <c r="B323" s="3" t="s">
        <v>33</v>
      </c>
      <c r="C323" s="3" t="s">
        <v>34</v>
      </c>
      <c r="D323" s="3" t="s">
        <v>35</v>
      </c>
      <c r="E323" s="3" t="s">
        <v>36</v>
      </c>
      <c r="F323" s="4">
        <v>45854</v>
      </c>
      <c r="G323" s="23">
        <v>1400000285</v>
      </c>
      <c r="H323" s="24" t="s">
        <v>313</v>
      </c>
      <c r="I323" s="25">
        <v>45854</v>
      </c>
      <c r="J323" s="25">
        <v>45855</v>
      </c>
      <c r="K323" s="24" t="s">
        <v>38</v>
      </c>
      <c r="L323" s="26" t="s">
        <v>40</v>
      </c>
      <c r="M323" s="23">
        <v>212100</v>
      </c>
      <c r="N323" s="24" t="s">
        <v>39</v>
      </c>
      <c r="O323" s="24" t="s">
        <v>40</v>
      </c>
      <c r="P323" s="23">
        <v>15</v>
      </c>
      <c r="Q323" s="24" t="s">
        <v>42</v>
      </c>
      <c r="R323" s="27">
        <v>-1793.99</v>
      </c>
      <c r="S323" s="24" t="s">
        <v>43</v>
      </c>
      <c r="T323" s="27">
        <v>-154827.9</v>
      </c>
      <c r="U323" s="24" t="s">
        <v>40</v>
      </c>
      <c r="V323" s="23">
        <v>6779224500</v>
      </c>
      <c r="W323" s="24" t="s">
        <v>40</v>
      </c>
      <c r="X323" s="24" t="s">
        <v>40</v>
      </c>
      <c r="Y323" s="23">
        <v>2</v>
      </c>
      <c r="Z323" s="43" t="e" cm="1">
        <f t="array" ref="Z323">_xlfn.XLOOKUP(L323,'Customer Ledger'!$O:$O,'Customer Ledger'!$P:$Q,,0)</f>
        <v>#N/A</v>
      </c>
      <c r="AA323" s="43"/>
      <c r="AB323" s="43"/>
      <c r="AC323" s="23"/>
      <c r="AD323" s="23"/>
      <c r="AE323" s="24" t="s">
        <v>40</v>
      </c>
      <c r="AF323" s="24" t="s">
        <v>40</v>
      </c>
      <c r="AG323" s="24" t="s">
        <v>40</v>
      </c>
      <c r="AH323" s="24" t="s">
        <v>40</v>
      </c>
      <c r="AI323" s="25">
        <v>45854</v>
      </c>
      <c r="AJ323" s="25">
        <v>45854</v>
      </c>
      <c r="AK323" s="23">
        <v>1400000285</v>
      </c>
    </row>
    <row r="324" spans="1:37" x14ac:dyDescent="0.35">
      <c r="A324" s="3" t="s">
        <v>32</v>
      </c>
      <c r="B324" s="3" t="s">
        <v>33</v>
      </c>
      <c r="C324" s="3" t="s">
        <v>34</v>
      </c>
      <c r="D324" s="3" t="s">
        <v>35</v>
      </c>
      <c r="E324" s="3" t="s">
        <v>36</v>
      </c>
      <c r="F324" s="4">
        <v>45854</v>
      </c>
      <c r="G324" s="23">
        <v>1400000286</v>
      </c>
      <c r="H324" s="24" t="s">
        <v>313</v>
      </c>
      <c r="I324" s="25">
        <v>45854</v>
      </c>
      <c r="J324" s="25">
        <v>45855</v>
      </c>
      <c r="K324" s="24" t="s">
        <v>38</v>
      </c>
      <c r="L324" s="26" t="s">
        <v>40</v>
      </c>
      <c r="M324" s="23">
        <v>212100</v>
      </c>
      <c r="N324" s="24" t="s">
        <v>39</v>
      </c>
      <c r="O324" s="24" t="s">
        <v>40</v>
      </c>
      <c r="P324" s="23">
        <v>8</v>
      </c>
      <c r="Q324" s="24" t="s">
        <v>42</v>
      </c>
      <c r="R324" s="27">
        <v>705</v>
      </c>
      <c r="S324" s="24" t="s">
        <v>43</v>
      </c>
      <c r="T324" s="27">
        <v>60844.08</v>
      </c>
      <c r="U324" s="24" t="s">
        <v>40</v>
      </c>
      <c r="V324" s="23">
        <v>6779224500</v>
      </c>
      <c r="W324" s="24" t="s">
        <v>40</v>
      </c>
      <c r="X324" s="24" t="s">
        <v>40</v>
      </c>
      <c r="Y324" s="23">
        <v>1</v>
      </c>
      <c r="Z324" s="43" t="e" cm="1">
        <f t="array" ref="Z324">_xlfn.XLOOKUP(L324,'Customer Ledger'!$O:$O,'Customer Ledger'!$P:$Q,,0)</f>
        <v>#N/A</v>
      </c>
      <c r="AA324" s="43"/>
      <c r="AB324" s="43"/>
      <c r="AC324" s="23"/>
      <c r="AD324" s="23"/>
      <c r="AE324" s="24" t="s">
        <v>40</v>
      </c>
      <c r="AF324" s="24" t="s">
        <v>40</v>
      </c>
      <c r="AG324" s="24" t="s">
        <v>40</v>
      </c>
      <c r="AH324" s="24" t="s">
        <v>40</v>
      </c>
      <c r="AI324" s="25">
        <v>45854</v>
      </c>
      <c r="AJ324" s="25">
        <v>45854</v>
      </c>
      <c r="AK324" s="23">
        <v>1400000286</v>
      </c>
    </row>
    <row r="325" spans="1:37" x14ac:dyDescent="0.35">
      <c r="A325" s="3" t="s">
        <v>32</v>
      </c>
      <c r="B325" s="3" t="s">
        <v>33</v>
      </c>
      <c r="C325" s="3" t="s">
        <v>34</v>
      </c>
      <c r="D325" s="3" t="s">
        <v>35</v>
      </c>
      <c r="E325" s="3" t="s">
        <v>36</v>
      </c>
      <c r="F325" s="4">
        <v>45854</v>
      </c>
      <c r="G325" s="23">
        <v>1400000286</v>
      </c>
      <c r="H325" s="24" t="s">
        <v>313</v>
      </c>
      <c r="I325" s="25">
        <v>45854</v>
      </c>
      <c r="J325" s="25">
        <v>45855</v>
      </c>
      <c r="K325" s="24" t="s">
        <v>38</v>
      </c>
      <c r="L325" s="26" t="s">
        <v>40</v>
      </c>
      <c r="M325" s="23">
        <v>212100</v>
      </c>
      <c r="N325" s="24" t="s">
        <v>39</v>
      </c>
      <c r="O325" s="24" t="s">
        <v>40</v>
      </c>
      <c r="P325" s="23">
        <v>15</v>
      </c>
      <c r="Q325" s="24" t="s">
        <v>42</v>
      </c>
      <c r="R325" s="27">
        <v>-705</v>
      </c>
      <c r="S325" s="24" t="s">
        <v>43</v>
      </c>
      <c r="T325" s="27">
        <v>-60844.08</v>
      </c>
      <c r="U325" s="24" t="s">
        <v>40</v>
      </c>
      <c r="V325" s="23">
        <v>6779224500</v>
      </c>
      <c r="W325" s="24" t="s">
        <v>40</v>
      </c>
      <c r="X325" s="24" t="s">
        <v>40</v>
      </c>
      <c r="Y325" s="23">
        <v>2</v>
      </c>
      <c r="Z325" s="43" t="e" cm="1">
        <f t="array" ref="Z325">_xlfn.XLOOKUP(L325,'Customer Ledger'!$O:$O,'Customer Ledger'!$P:$Q,,0)</f>
        <v>#N/A</v>
      </c>
      <c r="AA325" s="43"/>
      <c r="AB325" s="43"/>
      <c r="AC325" s="23"/>
      <c r="AD325" s="23"/>
      <c r="AE325" s="24" t="s">
        <v>40</v>
      </c>
      <c r="AF325" s="24" t="s">
        <v>40</v>
      </c>
      <c r="AG325" s="24" t="s">
        <v>40</v>
      </c>
      <c r="AH325" s="24" t="s">
        <v>40</v>
      </c>
      <c r="AI325" s="25">
        <v>45854</v>
      </c>
      <c r="AJ325" s="25">
        <v>45854</v>
      </c>
      <c r="AK325" s="23">
        <v>1400000286</v>
      </c>
    </row>
    <row r="326" spans="1:37" x14ac:dyDescent="0.35">
      <c r="A326" s="3" t="s">
        <v>32</v>
      </c>
      <c r="B326" s="3" t="s">
        <v>33</v>
      </c>
      <c r="C326" s="3" t="s">
        <v>34</v>
      </c>
      <c r="D326" s="3" t="s">
        <v>35</v>
      </c>
      <c r="E326" s="3" t="s">
        <v>36</v>
      </c>
      <c r="F326" s="4">
        <v>45854</v>
      </c>
      <c r="G326" s="23">
        <v>1400000287</v>
      </c>
      <c r="H326" s="24" t="s">
        <v>313</v>
      </c>
      <c r="I326" s="25">
        <v>45854</v>
      </c>
      <c r="J326" s="25">
        <v>45855</v>
      </c>
      <c r="K326" s="24" t="s">
        <v>38</v>
      </c>
      <c r="L326" s="26" t="s">
        <v>40</v>
      </c>
      <c r="M326" s="23">
        <v>212100</v>
      </c>
      <c r="N326" s="24" t="s">
        <v>39</v>
      </c>
      <c r="O326" s="24" t="s">
        <v>40</v>
      </c>
      <c r="P326" s="23">
        <v>8</v>
      </c>
      <c r="Q326" s="24" t="s">
        <v>42</v>
      </c>
      <c r="R326" s="27">
        <v>216.2</v>
      </c>
      <c r="S326" s="24" t="s">
        <v>43</v>
      </c>
      <c r="T326" s="27">
        <v>18742.650000000001</v>
      </c>
      <c r="U326" s="24" t="s">
        <v>40</v>
      </c>
      <c r="V326" s="23">
        <v>6779224500</v>
      </c>
      <c r="W326" s="24" t="s">
        <v>40</v>
      </c>
      <c r="X326" s="24" t="s">
        <v>40</v>
      </c>
      <c r="Y326" s="23">
        <v>1</v>
      </c>
      <c r="Z326" s="43" t="e" cm="1">
        <f t="array" ref="Z326">_xlfn.XLOOKUP(L326,'Customer Ledger'!$O:$O,'Customer Ledger'!$P:$Q,,0)</f>
        <v>#N/A</v>
      </c>
      <c r="AA326" s="43"/>
      <c r="AB326" s="43"/>
      <c r="AC326" s="23"/>
      <c r="AD326" s="23"/>
      <c r="AE326" s="24" t="s">
        <v>40</v>
      </c>
      <c r="AF326" s="24" t="s">
        <v>40</v>
      </c>
      <c r="AG326" s="24" t="s">
        <v>40</v>
      </c>
      <c r="AH326" s="24" t="s">
        <v>40</v>
      </c>
      <c r="AI326" s="25">
        <v>45854</v>
      </c>
      <c r="AJ326" s="25">
        <v>45854</v>
      </c>
      <c r="AK326" s="23">
        <v>1400000287</v>
      </c>
    </row>
    <row r="327" spans="1:37" x14ac:dyDescent="0.35">
      <c r="A327" s="3" t="s">
        <v>32</v>
      </c>
      <c r="B327" s="3" t="s">
        <v>33</v>
      </c>
      <c r="C327" s="3" t="s">
        <v>34</v>
      </c>
      <c r="D327" s="3" t="s">
        <v>35</v>
      </c>
      <c r="E327" s="3" t="s">
        <v>36</v>
      </c>
      <c r="F327" s="4">
        <v>45854</v>
      </c>
      <c r="G327" s="23">
        <v>1400000287</v>
      </c>
      <c r="H327" s="24" t="s">
        <v>313</v>
      </c>
      <c r="I327" s="25">
        <v>45854</v>
      </c>
      <c r="J327" s="25">
        <v>45855</v>
      </c>
      <c r="K327" s="24" t="s">
        <v>38</v>
      </c>
      <c r="L327" s="26" t="s">
        <v>40</v>
      </c>
      <c r="M327" s="23">
        <v>212100</v>
      </c>
      <c r="N327" s="24" t="s">
        <v>39</v>
      </c>
      <c r="O327" s="24" t="s">
        <v>40</v>
      </c>
      <c r="P327" s="23">
        <v>15</v>
      </c>
      <c r="Q327" s="24" t="s">
        <v>42</v>
      </c>
      <c r="R327" s="27">
        <v>-216.2</v>
      </c>
      <c r="S327" s="24" t="s">
        <v>43</v>
      </c>
      <c r="T327" s="27">
        <v>-18742.650000000001</v>
      </c>
      <c r="U327" s="24" t="s">
        <v>40</v>
      </c>
      <c r="V327" s="23">
        <v>6779224500</v>
      </c>
      <c r="W327" s="24" t="s">
        <v>40</v>
      </c>
      <c r="X327" s="24" t="s">
        <v>40</v>
      </c>
      <c r="Y327" s="23">
        <v>2</v>
      </c>
      <c r="Z327" s="43" t="e" cm="1">
        <f t="array" ref="Z327">_xlfn.XLOOKUP(L327,'Customer Ledger'!$O:$O,'Customer Ledger'!$P:$Q,,0)</f>
        <v>#N/A</v>
      </c>
      <c r="AA327" s="43"/>
      <c r="AB327" s="43"/>
      <c r="AC327" s="23"/>
      <c r="AD327" s="23"/>
      <c r="AE327" s="24" t="s">
        <v>40</v>
      </c>
      <c r="AF327" s="24" t="s">
        <v>40</v>
      </c>
      <c r="AG327" s="24" t="s">
        <v>40</v>
      </c>
      <c r="AH327" s="24" t="s">
        <v>40</v>
      </c>
      <c r="AI327" s="25">
        <v>45854</v>
      </c>
      <c r="AJ327" s="25">
        <v>45854</v>
      </c>
      <c r="AK327" s="23">
        <v>1400000287</v>
      </c>
    </row>
    <row r="328" spans="1:37" x14ac:dyDescent="0.35">
      <c r="A328" s="3" t="s">
        <v>32</v>
      </c>
      <c r="B328" s="3" t="s">
        <v>33</v>
      </c>
      <c r="C328" s="3" t="s">
        <v>34</v>
      </c>
      <c r="D328" s="3" t="s">
        <v>35</v>
      </c>
      <c r="E328" s="3" t="s">
        <v>36</v>
      </c>
      <c r="F328" s="4">
        <v>45854</v>
      </c>
      <c r="G328" s="23">
        <v>1400000288</v>
      </c>
      <c r="H328" s="24" t="s">
        <v>313</v>
      </c>
      <c r="I328" s="25">
        <v>45854</v>
      </c>
      <c r="J328" s="25">
        <v>45855</v>
      </c>
      <c r="K328" s="24" t="s">
        <v>38</v>
      </c>
      <c r="L328" s="26" t="s">
        <v>40</v>
      </c>
      <c r="M328" s="23">
        <v>212100</v>
      </c>
      <c r="N328" s="24" t="s">
        <v>39</v>
      </c>
      <c r="O328" s="24" t="s">
        <v>40</v>
      </c>
      <c r="P328" s="23">
        <v>8</v>
      </c>
      <c r="Q328" s="24" t="s">
        <v>42</v>
      </c>
      <c r="R328" s="27">
        <v>1926.06</v>
      </c>
      <c r="S328" s="24" t="s">
        <v>43</v>
      </c>
      <c r="T328" s="27">
        <v>166972.57</v>
      </c>
      <c r="U328" s="24" t="s">
        <v>40</v>
      </c>
      <c r="V328" s="23">
        <v>6779224500</v>
      </c>
      <c r="W328" s="24" t="s">
        <v>40</v>
      </c>
      <c r="X328" s="24" t="s">
        <v>40</v>
      </c>
      <c r="Y328" s="23">
        <v>1</v>
      </c>
      <c r="Z328" s="43" t="e" cm="1">
        <f t="array" ref="Z328">_xlfn.XLOOKUP(L328,'Customer Ledger'!$O:$O,'Customer Ledger'!$P:$Q,,0)</f>
        <v>#N/A</v>
      </c>
      <c r="AA328" s="43"/>
      <c r="AB328" s="43"/>
      <c r="AC328" s="23"/>
      <c r="AD328" s="23"/>
      <c r="AE328" s="24" t="s">
        <v>40</v>
      </c>
      <c r="AF328" s="24" t="s">
        <v>40</v>
      </c>
      <c r="AG328" s="24" t="s">
        <v>40</v>
      </c>
      <c r="AH328" s="24" t="s">
        <v>40</v>
      </c>
      <c r="AI328" s="25">
        <v>45854</v>
      </c>
      <c r="AJ328" s="25">
        <v>45854</v>
      </c>
      <c r="AK328" s="23">
        <v>1400000288</v>
      </c>
    </row>
    <row r="329" spans="1:37" x14ac:dyDescent="0.35">
      <c r="A329" s="3" t="s">
        <v>32</v>
      </c>
      <c r="B329" s="3" t="s">
        <v>33</v>
      </c>
      <c r="C329" s="3" t="s">
        <v>34</v>
      </c>
      <c r="D329" s="3" t="s">
        <v>35</v>
      </c>
      <c r="E329" s="3" t="s">
        <v>36</v>
      </c>
      <c r="F329" s="4">
        <v>45854</v>
      </c>
      <c r="G329" s="23">
        <v>1400000288</v>
      </c>
      <c r="H329" s="24" t="s">
        <v>313</v>
      </c>
      <c r="I329" s="25">
        <v>45854</v>
      </c>
      <c r="J329" s="25">
        <v>45855</v>
      </c>
      <c r="K329" s="24" t="s">
        <v>38</v>
      </c>
      <c r="L329" s="26" t="s">
        <v>40</v>
      </c>
      <c r="M329" s="23">
        <v>212100</v>
      </c>
      <c r="N329" s="24" t="s">
        <v>39</v>
      </c>
      <c r="O329" s="24" t="s">
        <v>40</v>
      </c>
      <c r="P329" s="23">
        <v>15</v>
      </c>
      <c r="Q329" s="24" t="s">
        <v>42</v>
      </c>
      <c r="R329" s="27">
        <v>-1926.06</v>
      </c>
      <c r="S329" s="24" t="s">
        <v>43</v>
      </c>
      <c r="T329" s="27">
        <v>-166972.57</v>
      </c>
      <c r="U329" s="24" t="s">
        <v>40</v>
      </c>
      <c r="V329" s="23">
        <v>6779224500</v>
      </c>
      <c r="W329" s="24" t="s">
        <v>40</v>
      </c>
      <c r="X329" s="24" t="s">
        <v>40</v>
      </c>
      <c r="Y329" s="23">
        <v>2</v>
      </c>
      <c r="Z329" s="43" t="e" cm="1">
        <f t="array" ref="Z329">_xlfn.XLOOKUP(L329,'Customer Ledger'!$O:$O,'Customer Ledger'!$P:$Q,,0)</f>
        <v>#N/A</v>
      </c>
      <c r="AA329" s="43"/>
      <c r="AB329" s="43"/>
      <c r="AC329" s="23"/>
      <c r="AD329" s="23"/>
      <c r="AE329" s="24" t="s">
        <v>40</v>
      </c>
      <c r="AF329" s="24" t="s">
        <v>40</v>
      </c>
      <c r="AG329" s="24" t="s">
        <v>40</v>
      </c>
      <c r="AH329" s="24" t="s">
        <v>40</v>
      </c>
      <c r="AI329" s="25">
        <v>45854</v>
      </c>
      <c r="AJ329" s="25">
        <v>45854</v>
      </c>
      <c r="AK329" s="23">
        <v>1400000288</v>
      </c>
    </row>
    <row r="330" spans="1:37" x14ac:dyDescent="0.35">
      <c r="A330" s="3" t="s">
        <v>32</v>
      </c>
      <c r="B330" s="3" t="s">
        <v>33</v>
      </c>
      <c r="C330" s="3" t="s">
        <v>34</v>
      </c>
      <c r="D330" s="3" t="s">
        <v>35</v>
      </c>
      <c r="E330" s="3" t="s">
        <v>36</v>
      </c>
      <c r="F330" s="4">
        <v>45854</v>
      </c>
      <c r="G330" s="23">
        <v>1400000289</v>
      </c>
      <c r="H330" s="24" t="s">
        <v>313</v>
      </c>
      <c r="I330" s="25">
        <v>45854</v>
      </c>
      <c r="J330" s="25">
        <v>45855</v>
      </c>
      <c r="K330" s="24" t="s">
        <v>38</v>
      </c>
      <c r="L330" s="26" t="s">
        <v>40</v>
      </c>
      <c r="M330" s="23">
        <v>212100</v>
      </c>
      <c r="N330" s="24" t="s">
        <v>39</v>
      </c>
      <c r="O330" s="24" t="s">
        <v>40</v>
      </c>
      <c r="P330" s="23">
        <v>8</v>
      </c>
      <c r="Q330" s="24" t="s">
        <v>42</v>
      </c>
      <c r="R330" s="27">
        <v>531.9</v>
      </c>
      <c r="S330" s="24" t="s">
        <v>43</v>
      </c>
      <c r="T330" s="27">
        <v>46111.08</v>
      </c>
      <c r="U330" s="24" t="s">
        <v>40</v>
      </c>
      <c r="V330" s="23">
        <v>6779224500</v>
      </c>
      <c r="W330" s="24" t="s">
        <v>40</v>
      </c>
      <c r="X330" s="24" t="s">
        <v>40</v>
      </c>
      <c r="Y330" s="23">
        <v>1</v>
      </c>
      <c r="Z330" s="43" t="e" cm="1">
        <f t="array" ref="Z330">_xlfn.XLOOKUP(L330,'Customer Ledger'!$O:$O,'Customer Ledger'!$P:$Q,,0)</f>
        <v>#N/A</v>
      </c>
      <c r="AA330" s="43"/>
      <c r="AB330" s="43"/>
      <c r="AC330" s="23"/>
      <c r="AD330" s="23"/>
      <c r="AE330" s="24" t="s">
        <v>40</v>
      </c>
      <c r="AF330" s="24" t="s">
        <v>40</v>
      </c>
      <c r="AG330" s="24" t="s">
        <v>40</v>
      </c>
      <c r="AH330" s="24" t="s">
        <v>40</v>
      </c>
      <c r="AI330" s="25">
        <v>45854</v>
      </c>
      <c r="AJ330" s="25">
        <v>45854</v>
      </c>
      <c r="AK330" s="23">
        <v>1400000289</v>
      </c>
    </row>
    <row r="331" spans="1:37" x14ac:dyDescent="0.35">
      <c r="A331" s="3" t="s">
        <v>32</v>
      </c>
      <c r="B331" s="3" t="s">
        <v>33</v>
      </c>
      <c r="C331" s="3" t="s">
        <v>34</v>
      </c>
      <c r="D331" s="3" t="s">
        <v>35</v>
      </c>
      <c r="E331" s="3" t="s">
        <v>36</v>
      </c>
      <c r="F331" s="4">
        <v>45854</v>
      </c>
      <c r="G331" s="23">
        <v>1400000289</v>
      </c>
      <c r="H331" s="24" t="s">
        <v>313</v>
      </c>
      <c r="I331" s="25">
        <v>45854</v>
      </c>
      <c r="J331" s="25">
        <v>45855</v>
      </c>
      <c r="K331" s="24" t="s">
        <v>38</v>
      </c>
      <c r="L331" s="26" t="s">
        <v>40</v>
      </c>
      <c r="M331" s="23">
        <v>212100</v>
      </c>
      <c r="N331" s="24" t="s">
        <v>39</v>
      </c>
      <c r="O331" s="24" t="s">
        <v>40</v>
      </c>
      <c r="P331" s="23">
        <v>15</v>
      </c>
      <c r="Q331" s="24" t="s">
        <v>42</v>
      </c>
      <c r="R331" s="27">
        <v>-531.9</v>
      </c>
      <c r="S331" s="24" t="s">
        <v>43</v>
      </c>
      <c r="T331" s="27">
        <v>-46111.08</v>
      </c>
      <c r="U331" s="24" t="s">
        <v>40</v>
      </c>
      <c r="V331" s="23">
        <v>6779224500</v>
      </c>
      <c r="W331" s="24" t="s">
        <v>40</v>
      </c>
      <c r="X331" s="24" t="s">
        <v>40</v>
      </c>
      <c r="Y331" s="23">
        <v>2</v>
      </c>
      <c r="Z331" s="43" t="e" cm="1">
        <f t="array" ref="Z331">_xlfn.XLOOKUP(L331,'Customer Ledger'!$O:$O,'Customer Ledger'!$P:$Q,,0)</f>
        <v>#N/A</v>
      </c>
      <c r="AA331" s="43"/>
      <c r="AB331" s="43"/>
      <c r="AC331" s="23"/>
      <c r="AD331" s="23"/>
      <c r="AE331" s="24" t="s">
        <v>40</v>
      </c>
      <c r="AF331" s="24" t="s">
        <v>40</v>
      </c>
      <c r="AG331" s="24" t="s">
        <v>40</v>
      </c>
      <c r="AH331" s="24" t="s">
        <v>40</v>
      </c>
      <c r="AI331" s="25">
        <v>45854</v>
      </c>
      <c r="AJ331" s="25">
        <v>45854</v>
      </c>
      <c r="AK331" s="23">
        <v>1400000289</v>
      </c>
    </row>
    <row r="332" spans="1:37" x14ac:dyDescent="0.35">
      <c r="A332" s="3" t="s">
        <v>32</v>
      </c>
      <c r="B332" s="3" t="s">
        <v>33</v>
      </c>
      <c r="C332" s="3" t="s">
        <v>34</v>
      </c>
      <c r="D332" s="3" t="s">
        <v>35</v>
      </c>
      <c r="E332" s="3" t="s">
        <v>95</v>
      </c>
      <c r="F332" s="4">
        <v>45946</v>
      </c>
      <c r="G332" s="23">
        <v>1400001437</v>
      </c>
      <c r="H332" s="24" t="s">
        <v>183</v>
      </c>
      <c r="I332" s="25">
        <v>45946</v>
      </c>
      <c r="J332" s="25">
        <v>45946</v>
      </c>
      <c r="K332" s="24" t="s">
        <v>314</v>
      </c>
      <c r="L332" s="26" t="s">
        <v>40</v>
      </c>
      <c r="M332" s="23">
        <v>212100</v>
      </c>
      <c r="N332" s="24" t="s">
        <v>39</v>
      </c>
      <c r="O332" s="24" t="s">
        <v>40</v>
      </c>
      <c r="P332" s="23">
        <v>15</v>
      </c>
      <c r="Q332" s="24" t="s">
        <v>43</v>
      </c>
      <c r="R332" s="27">
        <v>-500000</v>
      </c>
      <c r="S332" s="24" t="s">
        <v>43</v>
      </c>
      <c r="T332" s="27">
        <v>-500000</v>
      </c>
      <c r="U332" s="24" t="s">
        <v>40</v>
      </c>
      <c r="V332" s="23">
        <v>6779220000</v>
      </c>
      <c r="W332" s="24" t="s">
        <v>40</v>
      </c>
      <c r="X332" s="24" t="s">
        <v>40</v>
      </c>
      <c r="Y332" s="23">
        <v>2</v>
      </c>
      <c r="Z332" s="43" t="e" cm="1">
        <f t="array" ref="Z332">_xlfn.XLOOKUP(L332,'Customer Ledger'!$O:$O,'Customer Ledger'!$P:$Q,,0)</f>
        <v>#N/A</v>
      </c>
      <c r="AA332" s="43"/>
      <c r="AB332" s="43"/>
      <c r="AC332" s="23"/>
      <c r="AD332" s="23"/>
      <c r="AE332" s="24" t="s">
        <v>40</v>
      </c>
      <c r="AF332" s="24" t="s">
        <v>40</v>
      </c>
      <c r="AG332" s="24" t="s">
        <v>40</v>
      </c>
      <c r="AH332" s="24" t="s">
        <v>40</v>
      </c>
      <c r="AI332" s="25">
        <v>45946</v>
      </c>
      <c r="AJ332" s="25"/>
      <c r="AK332" s="24" t="s">
        <v>40</v>
      </c>
    </row>
    <row r="333" spans="1:37" x14ac:dyDescent="0.35">
      <c r="A333" s="3" t="s">
        <v>32</v>
      </c>
      <c r="B333" s="3" t="s">
        <v>33</v>
      </c>
      <c r="C333" s="3" t="s">
        <v>34</v>
      </c>
      <c r="D333" s="3" t="s">
        <v>35</v>
      </c>
      <c r="E333" s="3" t="s">
        <v>95</v>
      </c>
      <c r="F333" s="4">
        <v>45959</v>
      </c>
      <c r="G333" s="23">
        <v>1400001551</v>
      </c>
      <c r="H333" s="24" t="s">
        <v>183</v>
      </c>
      <c r="I333" s="25">
        <v>45959</v>
      </c>
      <c r="J333" s="25">
        <v>45959</v>
      </c>
      <c r="K333" s="24" t="s">
        <v>315</v>
      </c>
      <c r="L333" s="26" t="s">
        <v>40</v>
      </c>
      <c r="M333" s="23">
        <v>212100</v>
      </c>
      <c r="N333" s="24" t="s">
        <v>39</v>
      </c>
      <c r="O333" s="24" t="s">
        <v>40</v>
      </c>
      <c r="P333" s="23">
        <v>15</v>
      </c>
      <c r="Q333" s="24" t="s">
        <v>43</v>
      </c>
      <c r="R333" s="27">
        <v>-500000</v>
      </c>
      <c r="S333" s="24" t="s">
        <v>43</v>
      </c>
      <c r="T333" s="27">
        <v>-500000</v>
      </c>
      <c r="U333" s="24" t="s">
        <v>40</v>
      </c>
      <c r="V333" s="23">
        <v>6779220000</v>
      </c>
      <c r="W333" s="24" t="s">
        <v>40</v>
      </c>
      <c r="X333" s="24" t="s">
        <v>40</v>
      </c>
      <c r="Y333" s="23">
        <v>2</v>
      </c>
      <c r="Z333" s="43" t="e" cm="1">
        <f t="array" ref="Z333">_xlfn.XLOOKUP(L333,'Customer Ledger'!$O:$O,'Customer Ledger'!$P:$Q,,0)</f>
        <v>#N/A</v>
      </c>
      <c r="AA333" s="43"/>
      <c r="AB333" s="43"/>
      <c r="AC333" s="23"/>
      <c r="AD333" s="23"/>
      <c r="AE333" s="24" t="s">
        <v>40</v>
      </c>
      <c r="AF333" s="24" t="s">
        <v>40</v>
      </c>
      <c r="AG333" s="24" t="s">
        <v>40</v>
      </c>
      <c r="AH333" s="24" t="s">
        <v>40</v>
      </c>
      <c r="AI333" s="25">
        <v>45959</v>
      </c>
      <c r="AJ333" s="25"/>
      <c r="AK333" s="24" t="s">
        <v>40</v>
      </c>
    </row>
    <row r="334" spans="1:37" x14ac:dyDescent="0.35">
      <c r="A334" s="3" t="s">
        <v>32</v>
      </c>
      <c r="B334" s="3" t="s">
        <v>33</v>
      </c>
      <c r="C334" s="3" t="s">
        <v>34</v>
      </c>
      <c r="D334" s="3" t="s">
        <v>35</v>
      </c>
      <c r="E334" s="3" t="s">
        <v>41</v>
      </c>
      <c r="F334" s="4">
        <v>45972</v>
      </c>
      <c r="G334" s="23">
        <v>1400001616</v>
      </c>
      <c r="H334" s="24" t="s">
        <v>183</v>
      </c>
      <c r="I334" s="25">
        <v>45972</v>
      </c>
      <c r="J334" s="25">
        <v>45972</v>
      </c>
      <c r="K334" s="24" t="s">
        <v>316</v>
      </c>
      <c r="L334" s="26" t="s">
        <v>40</v>
      </c>
      <c r="M334" s="23">
        <v>212100</v>
      </c>
      <c r="N334" s="24" t="s">
        <v>39</v>
      </c>
      <c r="O334" s="24" t="s">
        <v>40</v>
      </c>
      <c r="P334" s="23">
        <v>15</v>
      </c>
      <c r="Q334" s="24" t="s">
        <v>43</v>
      </c>
      <c r="R334" s="27">
        <v>-500000</v>
      </c>
      <c r="S334" s="24" t="s">
        <v>43</v>
      </c>
      <c r="T334" s="27">
        <v>-500000</v>
      </c>
      <c r="U334" s="24" t="s">
        <v>40</v>
      </c>
      <c r="V334" s="23">
        <v>6779220000</v>
      </c>
      <c r="W334" s="24" t="s">
        <v>40</v>
      </c>
      <c r="X334" s="24" t="s">
        <v>40</v>
      </c>
      <c r="Y334" s="23">
        <v>2</v>
      </c>
      <c r="Z334" s="43" t="e" cm="1">
        <f t="array" ref="Z334">_xlfn.XLOOKUP(L334,'Customer Ledger'!$O:$O,'Customer Ledger'!$P:$Q,,0)</f>
        <v>#N/A</v>
      </c>
      <c r="AA334" s="43"/>
      <c r="AB334" s="43"/>
      <c r="AC334" s="23"/>
      <c r="AD334" s="23"/>
      <c r="AE334" s="24" t="s">
        <v>40</v>
      </c>
      <c r="AF334" s="24" t="s">
        <v>40</v>
      </c>
      <c r="AG334" s="24" t="s">
        <v>40</v>
      </c>
      <c r="AH334" s="24" t="s">
        <v>40</v>
      </c>
      <c r="AI334" s="25">
        <v>45972</v>
      </c>
      <c r="AJ334" s="25"/>
      <c r="AK334" s="24" t="s">
        <v>40</v>
      </c>
    </row>
    <row r="335" spans="1:37" x14ac:dyDescent="0.35">
      <c r="A335" s="3" t="s">
        <v>32</v>
      </c>
      <c r="B335" s="3" t="s">
        <v>33</v>
      </c>
      <c r="C335" s="3" t="s">
        <v>34</v>
      </c>
      <c r="D335" s="3" t="s">
        <v>35</v>
      </c>
      <c r="E335" s="3" t="s">
        <v>41</v>
      </c>
      <c r="F335" s="4">
        <v>45972</v>
      </c>
      <c r="G335" s="23">
        <v>1400001985</v>
      </c>
      <c r="H335" s="24" t="s">
        <v>183</v>
      </c>
      <c r="I335" s="25">
        <v>45972</v>
      </c>
      <c r="J335" s="25">
        <v>45985</v>
      </c>
      <c r="K335" s="24" t="s">
        <v>316</v>
      </c>
      <c r="L335" s="26" t="s">
        <v>40</v>
      </c>
      <c r="M335" s="23">
        <v>212100</v>
      </c>
      <c r="N335" s="24" t="s">
        <v>39</v>
      </c>
      <c r="O335" s="24" t="s">
        <v>40</v>
      </c>
      <c r="P335" s="23">
        <v>5</v>
      </c>
      <c r="Q335" s="24" t="s">
        <v>43</v>
      </c>
      <c r="R335" s="27">
        <v>500000</v>
      </c>
      <c r="S335" s="24" t="s">
        <v>43</v>
      </c>
      <c r="T335" s="27">
        <v>500000</v>
      </c>
      <c r="U335" s="24" t="s">
        <v>40</v>
      </c>
      <c r="V335" s="23">
        <v>6779220000</v>
      </c>
      <c r="W335" s="24" t="s">
        <v>40</v>
      </c>
      <c r="X335" s="24" t="s">
        <v>40</v>
      </c>
      <c r="Y335" s="23">
        <v>2</v>
      </c>
      <c r="Z335" s="43" t="e" cm="1">
        <f t="array" ref="Z335">_xlfn.XLOOKUP(L335,'Customer Ledger'!$O:$O,'Customer Ledger'!$P:$Q,,0)</f>
        <v>#N/A</v>
      </c>
      <c r="AA335" s="43"/>
      <c r="AB335" s="43"/>
      <c r="AC335" s="23"/>
      <c r="AD335" s="23"/>
      <c r="AE335" s="24" t="s">
        <v>40</v>
      </c>
      <c r="AF335" s="24" t="s">
        <v>40</v>
      </c>
      <c r="AG335" s="24" t="s">
        <v>40</v>
      </c>
      <c r="AH335" s="24" t="s">
        <v>40</v>
      </c>
      <c r="AI335" s="25">
        <v>45972</v>
      </c>
      <c r="AJ335" s="25">
        <v>45972</v>
      </c>
      <c r="AK335" s="23">
        <v>1400001985</v>
      </c>
    </row>
    <row r="336" spans="1:37" x14ac:dyDescent="0.35">
      <c r="A336" s="3" t="s">
        <v>32</v>
      </c>
      <c r="B336" s="3" t="s">
        <v>33</v>
      </c>
      <c r="C336" s="3" t="s">
        <v>34</v>
      </c>
      <c r="D336" s="3" t="s">
        <v>35</v>
      </c>
      <c r="E336" s="3" t="s">
        <v>41</v>
      </c>
      <c r="F336" s="4">
        <v>45972</v>
      </c>
      <c r="G336" s="23">
        <v>1400001619</v>
      </c>
      <c r="H336" s="24" t="s">
        <v>183</v>
      </c>
      <c r="I336" s="25">
        <v>45972</v>
      </c>
      <c r="J336" s="25">
        <v>45972</v>
      </c>
      <c r="K336" s="24" t="s">
        <v>316</v>
      </c>
      <c r="L336" s="26" t="s">
        <v>40</v>
      </c>
      <c r="M336" s="23">
        <v>212100</v>
      </c>
      <c r="N336" s="24" t="s">
        <v>39</v>
      </c>
      <c r="O336" s="24" t="s">
        <v>40</v>
      </c>
      <c r="P336" s="23">
        <v>15</v>
      </c>
      <c r="Q336" s="24" t="s">
        <v>43</v>
      </c>
      <c r="R336" s="27">
        <v>-500000</v>
      </c>
      <c r="S336" s="24" t="s">
        <v>43</v>
      </c>
      <c r="T336" s="27">
        <v>-500000</v>
      </c>
      <c r="U336" s="24" t="s">
        <v>40</v>
      </c>
      <c r="V336" s="23">
        <v>6779220000</v>
      </c>
      <c r="W336" s="24" t="s">
        <v>40</v>
      </c>
      <c r="X336" s="24" t="s">
        <v>40</v>
      </c>
      <c r="Y336" s="23">
        <v>2</v>
      </c>
      <c r="Z336" s="43" t="e" cm="1">
        <f t="array" ref="Z336">_xlfn.XLOOKUP(L336,'Customer Ledger'!$O:$O,'Customer Ledger'!$P:$Q,,0)</f>
        <v>#N/A</v>
      </c>
      <c r="AA336" s="43"/>
      <c r="AB336" s="43"/>
      <c r="AC336" s="23"/>
      <c r="AD336" s="23"/>
      <c r="AE336" s="24" t="s">
        <v>40</v>
      </c>
      <c r="AF336" s="24" t="s">
        <v>40</v>
      </c>
      <c r="AG336" s="24" t="s">
        <v>40</v>
      </c>
      <c r="AH336" s="24" t="s">
        <v>40</v>
      </c>
      <c r="AI336" s="25">
        <v>45972</v>
      </c>
      <c r="AJ336" s="25">
        <v>45972</v>
      </c>
      <c r="AK336" s="23">
        <v>1400001985</v>
      </c>
    </row>
    <row r="337" spans="1:37" x14ac:dyDescent="0.35">
      <c r="A337" s="3" t="s">
        <v>32</v>
      </c>
      <c r="B337" s="3" t="s">
        <v>33</v>
      </c>
      <c r="C337" s="3" t="s">
        <v>34</v>
      </c>
      <c r="D337" s="3" t="s">
        <v>35</v>
      </c>
      <c r="E337" s="3" t="s">
        <v>141</v>
      </c>
      <c r="F337" s="4">
        <v>46007</v>
      </c>
      <c r="G337" s="23">
        <v>1400002209</v>
      </c>
      <c r="H337" s="24" t="s">
        <v>183</v>
      </c>
      <c r="I337" s="25">
        <v>46007</v>
      </c>
      <c r="J337" s="25">
        <v>46007</v>
      </c>
      <c r="K337" s="24" t="s">
        <v>317</v>
      </c>
      <c r="L337" s="26" t="s">
        <v>40</v>
      </c>
      <c r="M337" s="23">
        <v>212100</v>
      </c>
      <c r="N337" s="24" t="s">
        <v>39</v>
      </c>
      <c r="O337" s="24" t="s">
        <v>40</v>
      </c>
      <c r="P337" s="23">
        <v>15</v>
      </c>
      <c r="Q337" s="24" t="s">
        <v>43</v>
      </c>
      <c r="R337" s="27">
        <v>-500000</v>
      </c>
      <c r="S337" s="24" t="s">
        <v>43</v>
      </c>
      <c r="T337" s="27">
        <v>-500000</v>
      </c>
      <c r="U337" s="24" t="s">
        <v>40</v>
      </c>
      <c r="V337" s="23">
        <v>6779220000</v>
      </c>
      <c r="W337" s="24" t="s">
        <v>40</v>
      </c>
      <c r="X337" s="24" t="s">
        <v>40</v>
      </c>
      <c r="Y337" s="23">
        <v>2</v>
      </c>
      <c r="Z337" s="43" t="e" cm="1">
        <f t="array" ref="Z337">_xlfn.XLOOKUP(L337,'Customer Ledger'!$O:$O,'Customer Ledger'!$P:$Q,,0)</f>
        <v>#N/A</v>
      </c>
      <c r="AA337" s="43"/>
      <c r="AB337" s="43"/>
      <c r="AC337" s="23"/>
      <c r="AD337" s="23"/>
      <c r="AE337" s="24" t="s">
        <v>40</v>
      </c>
      <c r="AF337" s="24" t="s">
        <v>40</v>
      </c>
      <c r="AG337" s="24" t="s">
        <v>40</v>
      </c>
      <c r="AH337" s="24" t="s">
        <v>40</v>
      </c>
      <c r="AI337" s="25">
        <v>46007</v>
      </c>
      <c r="AJ337" s="25"/>
      <c r="AK337" s="24" t="s">
        <v>40</v>
      </c>
    </row>
    <row r="338" spans="1:37" x14ac:dyDescent="0.35">
      <c r="A338" s="3" t="s">
        <v>32</v>
      </c>
      <c r="B338" s="3" t="s">
        <v>33</v>
      </c>
      <c r="C338" s="3" t="s">
        <v>34</v>
      </c>
      <c r="D338" s="3" t="s">
        <v>35</v>
      </c>
      <c r="E338" s="3" t="s">
        <v>212</v>
      </c>
      <c r="F338" s="4">
        <v>45890</v>
      </c>
      <c r="G338" s="23">
        <v>1400000896</v>
      </c>
      <c r="H338" s="24" t="s">
        <v>183</v>
      </c>
      <c r="I338" s="25">
        <v>45890</v>
      </c>
      <c r="J338" s="25">
        <v>45890</v>
      </c>
      <c r="K338" s="24" t="s">
        <v>318</v>
      </c>
      <c r="L338" s="26" t="s">
        <v>40</v>
      </c>
      <c r="M338" s="23">
        <v>212100</v>
      </c>
      <c r="N338" s="24" t="s">
        <v>39</v>
      </c>
      <c r="O338" s="24" t="s">
        <v>40</v>
      </c>
      <c r="P338" s="23">
        <v>15</v>
      </c>
      <c r="Q338" s="24" t="s">
        <v>43</v>
      </c>
      <c r="R338" s="27">
        <v>-700000</v>
      </c>
      <c r="S338" s="24" t="s">
        <v>43</v>
      </c>
      <c r="T338" s="27">
        <v>-700000</v>
      </c>
      <c r="U338" s="24" t="s">
        <v>40</v>
      </c>
      <c r="V338" s="23">
        <v>6779220000</v>
      </c>
      <c r="W338" s="24" t="s">
        <v>40</v>
      </c>
      <c r="X338" s="24" t="s">
        <v>40</v>
      </c>
      <c r="Y338" s="23">
        <v>2</v>
      </c>
      <c r="Z338" s="43" t="e" cm="1">
        <f t="array" ref="Z338">_xlfn.XLOOKUP(L338,'Customer Ledger'!$O:$O,'Customer Ledger'!$P:$Q,,0)</f>
        <v>#N/A</v>
      </c>
      <c r="AA338" s="43"/>
      <c r="AB338" s="43"/>
      <c r="AC338" s="23"/>
      <c r="AD338" s="23"/>
      <c r="AE338" s="24" t="s">
        <v>40</v>
      </c>
      <c r="AF338" s="24" t="s">
        <v>40</v>
      </c>
      <c r="AG338" s="24" t="s">
        <v>40</v>
      </c>
      <c r="AH338" s="24" t="s">
        <v>40</v>
      </c>
      <c r="AI338" s="25">
        <v>45890</v>
      </c>
      <c r="AJ338" s="25"/>
      <c r="AK338" s="24" t="s">
        <v>40</v>
      </c>
    </row>
    <row r="339" spans="1:37" x14ac:dyDescent="0.35">
      <c r="A339" s="3" t="s">
        <v>32</v>
      </c>
      <c r="B339" s="3" t="s">
        <v>33</v>
      </c>
      <c r="C339" s="3" t="s">
        <v>34</v>
      </c>
      <c r="D339" s="3" t="s">
        <v>35</v>
      </c>
      <c r="E339" s="3" t="s">
        <v>212</v>
      </c>
      <c r="F339" s="4">
        <v>45890</v>
      </c>
      <c r="G339" s="23">
        <v>1400000909</v>
      </c>
      <c r="H339" s="24" t="s">
        <v>183</v>
      </c>
      <c r="I339" s="25">
        <v>45890</v>
      </c>
      <c r="J339" s="25">
        <v>45890</v>
      </c>
      <c r="K339" s="24" t="s">
        <v>319</v>
      </c>
      <c r="L339" s="26" t="s">
        <v>40</v>
      </c>
      <c r="M339" s="23">
        <v>212100</v>
      </c>
      <c r="N339" s="24" t="s">
        <v>39</v>
      </c>
      <c r="O339" s="24" t="s">
        <v>40</v>
      </c>
      <c r="P339" s="23">
        <v>15</v>
      </c>
      <c r="Q339" s="24" t="s">
        <v>43</v>
      </c>
      <c r="R339" s="27">
        <v>-700000</v>
      </c>
      <c r="S339" s="24" t="s">
        <v>43</v>
      </c>
      <c r="T339" s="27">
        <v>-700000</v>
      </c>
      <c r="U339" s="24" t="s">
        <v>40</v>
      </c>
      <c r="V339" s="23">
        <v>6779220000</v>
      </c>
      <c r="W339" s="24" t="s">
        <v>40</v>
      </c>
      <c r="X339" s="24" t="s">
        <v>40</v>
      </c>
      <c r="Y339" s="23">
        <v>2</v>
      </c>
      <c r="Z339" s="43" t="e" cm="1">
        <f t="array" ref="Z339">_xlfn.XLOOKUP(L339,'Customer Ledger'!$O:$O,'Customer Ledger'!$P:$Q,,0)</f>
        <v>#N/A</v>
      </c>
      <c r="AA339" s="43"/>
      <c r="AB339" s="43"/>
      <c r="AC339" s="23"/>
      <c r="AD339" s="23"/>
      <c r="AE339" s="24" t="s">
        <v>40</v>
      </c>
      <c r="AF339" s="24" t="s">
        <v>40</v>
      </c>
      <c r="AG339" s="24" t="s">
        <v>40</v>
      </c>
      <c r="AH339" s="24" t="s">
        <v>40</v>
      </c>
      <c r="AI339" s="25">
        <v>45890</v>
      </c>
      <c r="AJ339" s="25"/>
      <c r="AK339" s="24" t="s">
        <v>40</v>
      </c>
    </row>
    <row r="340" spans="1:37" x14ac:dyDescent="0.35">
      <c r="A340" s="3" t="s">
        <v>32</v>
      </c>
      <c r="B340" s="3" t="s">
        <v>33</v>
      </c>
      <c r="C340" s="3" t="s">
        <v>34</v>
      </c>
      <c r="D340" s="3" t="s">
        <v>35</v>
      </c>
      <c r="E340" s="3" t="s">
        <v>212</v>
      </c>
      <c r="F340" s="4">
        <v>45890</v>
      </c>
      <c r="G340" s="23">
        <v>1400000924</v>
      </c>
      <c r="H340" s="24" t="s">
        <v>183</v>
      </c>
      <c r="I340" s="25">
        <v>45890</v>
      </c>
      <c r="J340" s="25">
        <v>45890</v>
      </c>
      <c r="K340" s="24" t="s">
        <v>320</v>
      </c>
      <c r="L340" s="26" t="s">
        <v>40</v>
      </c>
      <c r="M340" s="23">
        <v>212100</v>
      </c>
      <c r="N340" s="24" t="s">
        <v>39</v>
      </c>
      <c r="O340" s="24" t="s">
        <v>40</v>
      </c>
      <c r="P340" s="23">
        <v>15</v>
      </c>
      <c r="Q340" s="24" t="s">
        <v>43</v>
      </c>
      <c r="R340" s="27">
        <v>-700000</v>
      </c>
      <c r="S340" s="24" t="s">
        <v>43</v>
      </c>
      <c r="T340" s="27">
        <v>-700000</v>
      </c>
      <c r="U340" s="24" t="s">
        <v>40</v>
      </c>
      <c r="V340" s="23">
        <v>6779220000</v>
      </c>
      <c r="W340" s="24" t="s">
        <v>40</v>
      </c>
      <c r="X340" s="24" t="s">
        <v>40</v>
      </c>
      <c r="Y340" s="23">
        <v>2</v>
      </c>
      <c r="Z340" s="43" t="e" cm="1">
        <f t="array" ref="Z340">_xlfn.XLOOKUP(L340,'Customer Ledger'!$O:$O,'Customer Ledger'!$P:$Q,,0)</f>
        <v>#N/A</v>
      </c>
      <c r="AA340" s="43"/>
      <c r="AB340" s="43"/>
      <c r="AC340" s="23"/>
      <c r="AD340" s="23"/>
      <c r="AE340" s="24" t="s">
        <v>40</v>
      </c>
      <c r="AF340" s="24" t="s">
        <v>40</v>
      </c>
      <c r="AG340" s="24" t="s">
        <v>40</v>
      </c>
      <c r="AH340" s="24" t="s">
        <v>40</v>
      </c>
      <c r="AI340" s="25">
        <v>45890</v>
      </c>
      <c r="AJ340" s="25"/>
      <c r="AK340" s="24" t="s">
        <v>40</v>
      </c>
    </row>
    <row r="341" spans="1:37" x14ac:dyDescent="0.35">
      <c r="A341" s="3" t="s">
        <v>32</v>
      </c>
      <c r="B341" s="3" t="s">
        <v>33</v>
      </c>
      <c r="C341" s="3" t="s">
        <v>34</v>
      </c>
      <c r="D341" s="3" t="s">
        <v>35</v>
      </c>
      <c r="E341" s="3" t="s">
        <v>212</v>
      </c>
      <c r="F341" s="4">
        <v>45890</v>
      </c>
      <c r="G341" s="23">
        <v>1400000939</v>
      </c>
      <c r="H341" s="24" t="s">
        <v>183</v>
      </c>
      <c r="I341" s="25">
        <v>45890</v>
      </c>
      <c r="J341" s="25">
        <v>45890</v>
      </c>
      <c r="K341" s="24" t="s">
        <v>321</v>
      </c>
      <c r="L341" s="26" t="s">
        <v>40</v>
      </c>
      <c r="M341" s="23">
        <v>212100</v>
      </c>
      <c r="N341" s="24" t="s">
        <v>39</v>
      </c>
      <c r="O341" s="24" t="s">
        <v>40</v>
      </c>
      <c r="P341" s="23">
        <v>15</v>
      </c>
      <c r="Q341" s="24" t="s">
        <v>43</v>
      </c>
      <c r="R341" s="27">
        <v>-700000</v>
      </c>
      <c r="S341" s="24" t="s">
        <v>43</v>
      </c>
      <c r="T341" s="27">
        <v>-700000</v>
      </c>
      <c r="U341" s="24" t="s">
        <v>40</v>
      </c>
      <c r="V341" s="23">
        <v>6779220000</v>
      </c>
      <c r="W341" s="24" t="s">
        <v>40</v>
      </c>
      <c r="X341" s="24" t="s">
        <v>40</v>
      </c>
      <c r="Y341" s="23">
        <v>2</v>
      </c>
      <c r="Z341" s="43" t="e" cm="1">
        <f t="array" ref="Z341">_xlfn.XLOOKUP(L341,'Customer Ledger'!$O:$O,'Customer Ledger'!$P:$Q,,0)</f>
        <v>#N/A</v>
      </c>
      <c r="AA341" s="43"/>
      <c r="AB341" s="43"/>
      <c r="AC341" s="23"/>
      <c r="AD341" s="23"/>
      <c r="AE341" s="24" t="s">
        <v>40</v>
      </c>
      <c r="AF341" s="24" t="s">
        <v>40</v>
      </c>
      <c r="AG341" s="24" t="s">
        <v>40</v>
      </c>
      <c r="AH341" s="24" t="s">
        <v>40</v>
      </c>
      <c r="AI341" s="25">
        <v>45890</v>
      </c>
      <c r="AJ341" s="25"/>
      <c r="AK341" s="24" t="s">
        <v>40</v>
      </c>
    </row>
    <row r="342" spans="1:37" x14ac:dyDescent="0.35">
      <c r="A342" s="3" t="s">
        <v>32</v>
      </c>
      <c r="B342" s="3" t="s">
        <v>33</v>
      </c>
      <c r="C342" s="3" t="s">
        <v>34</v>
      </c>
      <c r="D342" s="3" t="s">
        <v>35</v>
      </c>
      <c r="E342" s="3" t="s">
        <v>212</v>
      </c>
      <c r="F342" s="4">
        <v>45890</v>
      </c>
      <c r="G342" s="23">
        <v>1400000954</v>
      </c>
      <c r="H342" s="24" t="s">
        <v>183</v>
      </c>
      <c r="I342" s="25">
        <v>45890</v>
      </c>
      <c r="J342" s="25">
        <v>45890</v>
      </c>
      <c r="K342" s="24" t="s">
        <v>322</v>
      </c>
      <c r="L342" s="26" t="s">
        <v>40</v>
      </c>
      <c r="M342" s="23">
        <v>212100</v>
      </c>
      <c r="N342" s="24" t="s">
        <v>39</v>
      </c>
      <c r="O342" s="24" t="s">
        <v>40</v>
      </c>
      <c r="P342" s="23">
        <v>15</v>
      </c>
      <c r="Q342" s="24" t="s">
        <v>43</v>
      </c>
      <c r="R342" s="27">
        <v>-700000</v>
      </c>
      <c r="S342" s="24" t="s">
        <v>43</v>
      </c>
      <c r="T342" s="27">
        <v>-700000</v>
      </c>
      <c r="U342" s="24" t="s">
        <v>40</v>
      </c>
      <c r="V342" s="23">
        <v>6779220000</v>
      </c>
      <c r="W342" s="24" t="s">
        <v>40</v>
      </c>
      <c r="X342" s="24" t="s">
        <v>40</v>
      </c>
      <c r="Y342" s="23">
        <v>2</v>
      </c>
      <c r="Z342" s="43" t="e" cm="1">
        <f t="array" ref="Z342">_xlfn.XLOOKUP(L342,'Customer Ledger'!$O:$O,'Customer Ledger'!$P:$Q,,0)</f>
        <v>#N/A</v>
      </c>
      <c r="AA342" s="43"/>
      <c r="AB342" s="43"/>
      <c r="AC342" s="23"/>
      <c r="AD342" s="23"/>
      <c r="AE342" s="24" t="s">
        <v>40</v>
      </c>
      <c r="AF342" s="24" t="s">
        <v>40</v>
      </c>
      <c r="AG342" s="24" t="s">
        <v>40</v>
      </c>
      <c r="AH342" s="24" t="s">
        <v>40</v>
      </c>
      <c r="AI342" s="25">
        <v>45890</v>
      </c>
      <c r="AJ342" s="25"/>
      <c r="AK342" s="24" t="s">
        <v>40</v>
      </c>
    </row>
    <row r="343" spans="1:37" x14ac:dyDescent="0.35">
      <c r="A343" s="3" t="s">
        <v>32</v>
      </c>
      <c r="B343" s="3" t="s">
        <v>33</v>
      </c>
      <c r="C343" s="3" t="s">
        <v>34</v>
      </c>
      <c r="D343" s="3" t="s">
        <v>35</v>
      </c>
      <c r="E343" s="3" t="s">
        <v>212</v>
      </c>
      <c r="F343" s="4">
        <v>45890</v>
      </c>
      <c r="G343" s="23">
        <v>1400000963</v>
      </c>
      <c r="H343" s="24" t="s">
        <v>183</v>
      </c>
      <c r="I343" s="25">
        <v>45890</v>
      </c>
      <c r="J343" s="25">
        <v>45890</v>
      </c>
      <c r="K343" s="24" t="s">
        <v>323</v>
      </c>
      <c r="L343" s="26" t="s">
        <v>40</v>
      </c>
      <c r="M343" s="23">
        <v>212100</v>
      </c>
      <c r="N343" s="24" t="s">
        <v>39</v>
      </c>
      <c r="O343" s="24" t="s">
        <v>40</v>
      </c>
      <c r="P343" s="23">
        <v>15</v>
      </c>
      <c r="Q343" s="24" t="s">
        <v>43</v>
      </c>
      <c r="R343" s="27">
        <v>-350672</v>
      </c>
      <c r="S343" s="24" t="s">
        <v>43</v>
      </c>
      <c r="T343" s="27">
        <v>-350672</v>
      </c>
      <c r="U343" s="24" t="s">
        <v>40</v>
      </c>
      <c r="V343" s="23">
        <v>6779220000</v>
      </c>
      <c r="W343" s="24" t="s">
        <v>40</v>
      </c>
      <c r="X343" s="24" t="s">
        <v>40</v>
      </c>
      <c r="Y343" s="23">
        <v>2</v>
      </c>
      <c r="Z343" s="43" t="e" cm="1">
        <f t="array" ref="Z343">_xlfn.XLOOKUP(L343,'Customer Ledger'!$O:$O,'Customer Ledger'!$P:$Q,,0)</f>
        <v>#N/A</v>
      </c>
      <c r="AA343" s="43"/>
      <c r="AB343" s="43"/>
      <c r="AC343" s="23"/>
      <c r="AD343" s="23"/>
      <c r="AE343" s="24" t="s">
        <v>40</v>
      </c>
      <c r="AF343" s="24" t="s">
        <v>40</v>
      </c>
      <c r="AG343" s="24" t="s">
        <v>40</v>
      </c>
      <c r="AH343" s="24" t="s">
        <v>40</v>
      </c>
      <c r="AI343" s="25">
        <v>45890</v>
      </c>
      <c r="AJ343" s="25"/>
      <c r="AK343" s="24" t="s">
        <v>40</v>
      </c>
    </row>
    <row r="344" spans="1:37" x14ac:dyDescent="0.35">
      <c r="A344" s="3" t="s">
        <v>32</v>
      </c>
      <c r="B344" s="3" t="s">
        <v>33</v>
      </c>
      <c r="C344" s="3" t="s">
        <v>34</v>
      </c>
      <c r="D344" s="3" t="s">
        <v>35</v>
      </c>
      <c r="E344" s="3" t="s">
        <v>95</v>
      </c>
      <c r="F344" s="4">
        <v>45946</v>
      </c>
      <c r="G344" s="23">
        <v>1400001439</v>
      </c>
      <c r="H344" s="24" t="s">
        <v>183</v>
      </c>
      <c r="I344" s="25">
        <v>45946</v>
      </c>
      <c r="J344" s="25">
        <v>45946</v>
      </c>
      <c r="K344" s="24" t="s">
        <v>324</v>
      </c>
      <c r="L344" s="26" t="s">
        <v>40</v>
      </c>
      <c r="M344" s="23">
        <v>212100</v>
      </c>
      <c r="N344" s="24" t="s">
        <v>39</v>
      </c>
      <c r="O344" s="24" t="s">
        <v>40</v>
      </c>
      <c r="P344" s="23">
        <v>15</v>
      </c>
      <c r="Q344" s="24" t="s">
        <v>43</v>
      </c>
      <c r="R344" s="27">
        <v>-108564</v>
      </c>
      <c r="S344" s="24" t="s">
        <v>43</v>
      </c>
      <c r="T344" s="27">
        <v>-108564</v>
      </c>
      <c r="U344" s="24" t="s">
        <v>40</v>
      </c>
      <c r="V344" s="23">
        <v>6779220000</v>
      </c>
      <c r="W344" s="24" t="s">
        <v>40</v>
      </c>
      <c r="X344" s="24" t="s">
        <v>40</v>
      </c>
      <c r="Y344" s="23">
        <v>2</v>
      </c>
      <c r="Z344" s="43" t="e" cm="1">
        <f t="array" ref="Z344">_xlfn.XLOOKUP(L344,'Customer Ledger'!$O:$O,'Customer Ledger'!$P:$Q,,0)</f>
        <v>#N/A</v>
      </c>
      <c r="AA344" s="43"/>
      <c r="AB344" s="43"/>
      <c r="AC344" s="23"/>
      <c r="AD344" s="23"/>
      <c r="AE344" s="24" t="s">
        <v>40</v>
      </c>
      <c r="AF344" s="24" t="s">
        <v>40</v>
      </c>
      <c r="AG344" s="24" t="s">
        <v>40</v>
      </c>
      <c r="AH344" s="24" t="s">
        <v>40</v>
      </c>
      <c r="AI344" s="25">
        <v>45946</v>
      </c>
      <c r="AJ344" s="25"/>
      <c r="AK344" s="24" t="s">
        <v>40</v>
      </c>
    </row>
    <row r="345" spans="1:37" x14ac:dyDescent="0.35">
      <c r="A345" s="3" t="s">
        <v>32</v>
      </c>
      <c r="B345" s="3" t="s">
        <v>33</v>
      </c>
      <c r="C345" s="3" t="s">
        <v>34</v>
      </c>
      <c r="D345" s="3" t="s">
        <v>35</v>
      </c>
      <c r="E345" s="3" t="s">
        <v>36</v>
      </c>
      <c r="F345" s="4">
        <v>45839</v>
      </c>
      <c r="G345" s="23">
        <v>1400000091</v>
      </c>
      <c r="H345" s="24" t="s">
        <v>183</v>
      </c>
      <c r="I345" s="25">
        <v>45832</v>
      </c>
      <c r="J345" s="25">
        <v>45832</v>
      </c>
      <c r="K345" s="24" t="s">
        <v>325</v>
      </c>
      <c r="L345" s="26" t="s">
        <v>40</v>
      </c>
      <c r="M345" s="23">
        <v>212100</v>
      </c>
      <c r="N345" s="24" t="s">
        <v>39</v>
      </c>
      <c r="O345" s="24" t="s">
        <v>40</v>
      </c>
      <c r="P345" s="23">
        <v>15</v>
      </c>
      <c r="Q345" s="24" t="s">
        <v>43</v>
      </c>
      <c r="R345" s="27">
        <v>-177773</v>
      </c>
      <c r="S345" s="24" t="s">
        <v>43</v>
      </c>
      <c r="T345" s="27">
        <v>-177773</v>
      </c>
      <c r="U345" s="24" t="s">
        <v>40</v>
      </c>
      <c r="V345" s="23">
        <v>6779220000</v>
      </c>
      <c r="W345" s="24" t="s">
        <v>40</v>
      </c>
      <c r="X345" s="24" t="s">
        <v>40</v>
      </c>
      <c r="Y345" s="23">
        <v>2</v>
      </c>
      <c r="Z345" s="43" t="e" cm="1">
        <f t="array" ref="Z345">_xlfn.XLOOKUP(L345,'Customer Ledger'!$O:$O,'Customer Ledger'!$P:$Q,,0)</f>
        <v>#N/A</v>
      </c>
      <c r="AA345" s="43"/>
      <c r="AB345" s="43"/>
      <c r="AC345" s="23"/>
      <c r="AD345" s="23"/>
      <c r="AE345" s="24" t="s">
        <v>40</v>
      </c>
      <c r="AF345" s="24" t="s">
        <v>40</v>
      </c>
      <c r="AG345" s="24" t="s">
        <v>40</v>
      </c>
      <c r="AH345" s="24" t="s">
        <v>40</v>
      </c>
      <c r="AI345" s="25">
        <v>45832</v>
      </c>
      <c r="AJ345" s="25"/>
      <c r="AK345" s="24" t="s">
        <v>40</v>
      </c>
    </row>
    <row r="346" spans="1:37" x14ac:dyDescent="0.35">
      <c r="A346" s="3" t="s">
        <v>32</v>
      </c>
      <c r="B346" s="3" t="s">
        <v>33</v>
      </c>
      <c r="C346" s="3" t="s">
        <v>34</v>
      </c>
      <c r="D346" s="3" t="s">
        <v>35</v>
      </c>
      <c r="E346" s="3" t="s">
        <v>36</v>
      </c>
      <c r="F346" s="4">
        <v>45839</v>
      </c>
      <c r="G346" s="23">
        <v>1400000095</v>
      </c>
      <c r="H346" s="24" t="s">
        <v>183</v>
      </c>
      <c r="I346" s="25">
        <v>45832</v>
      </c>
      <c r="J346" s="25">
        <v>45832</v>
      </c>
      <c r="K346" s="24" t="s">
        <v>326</v>
      </c>
      <c r="L346" s="26" t="s">
        <v>40</v>
      </c>
      <c r="M346" s="23">
        <v>212100</v>
      </c>
      <c r="N346" s="24" t="s">
        <v>39</v>
      </c>
      <c r="O346" s="24" t="s">
        <v>40</v>
      </c>
      <c r="P346" s="23">
        <v>15</v>
      </c>
      <c r="Q346" s="24" t="s">
        <v>43</v>
      </c>
      <c r="R346" s="27">
        <v>-500947</v>
      </c>
      <c r="S346" s="24" t="s">
        <v>43</v>
      </c>
      <c r="T346" s="27">
        <v>-500947</v>
      </c>
      <c r="U346" s="24" t="s">
        <v>40</v>
      </c>
      <c r="V346" s="23">
        <v>6779220000</v>
      </c>
      <c r="W346" s="24" t="s">
        <v>40</v>
      </c>
      <c r="X346" s="24" t="s">
        <v>40</v>
      </c>
      <c r="Y346" s="23">
        <v>2</v>
      </c>
      <c r="Z346" s="43" t="e" cm="1">
        <f t="array" ref="Z346">_xlfn.XLOOKUP(L346,'Customer Ledger'!$O:$O,'Customer Ledger'!$P:$Q,,0)</f>
        <v>#N/A</v>
      </c>
      <c r="AA346" s="43"/>
      <c r="AB346" s="43"/>
      <c r="AC346" s="23"/>
      <c r="AD346" s="23"/>
      <c r="AE346" s="24" t="s">
        <v>40</v>
      </c>
      <c r="AF346" s="24" t="s">
        <v>40</v>
      </c>
      <c r="AG346" s="24" t="s">
        <v>40</v>
      </c>
      <c r="AH346" s="24" t="s">
        <v>40</v>
      </c>
      <c r="AI346" s="25">
        <v>45832</v>
      </c>
      <c r="AJ346" s="25"/>
      <c r="AK346" s="24" t="s">
        <v>40</v>
      </c>
    </row>
    <row r="347" spans="1:37" x14ac:dyDescent="0.35">
      <c r="A347" s="3" t="s">
        <v>32</v>
      </c>
      <c r="B347" s="3" t="s">
        <v>33</v>
      </c>
      <c r="C347" s="3" t="s">
        <v>34</v>
      </c>
      <c r="D347" s="3" t="s">
        <v>35</v>
      </c>
      <c r="E347" s="3" t="s">
        <v>36</v>
      </c>
      <c r="F347" s="4">
        <v>45839</v>
      </c>
      <c r="G347" s="23">
        <v>1400000097</v>
      </c>
      <c r="H347" s="24" t="s">
        <v>183</v>
      </c>
      <c r="I347" s="25">
        <v>45832</v>
      </c>
      <c r="J347" s="25">
        <v>45832</v>
      </c>
      <c r="K347" s="24" t="s">
        <v>327</v>
      </c>
      <c r="L347" s="26" t="s">
        <v>40</v>
      </c>
      <c r="M347" s="23">
        <v>212100</v>
      </c>
      <c r="N347" s="24" t="s">
        <v>39</v>
      </c>
      <c r="O347" s="24" t="s">
        <v>40</v>
      </c>
      <c r="P347" s="23">
        <v>15</v>
      </c>
      <c r="Q347" s="24" t="s">
        <v>43</v>
      </c>
      <c r="R347" s="27">
        <v>-700000</v>
      </c>
      <c r="S347" s="24" t="s">
        <v>43</v>
      </c>
      <c r="T347" s="27">
        <v>-700000</v>
      </c>
      <c r="U347" s="24" t="s">
        <v>40</v>
      </c>
      <c r="V347" s="23">
        <v>6779220000</v>
      </c>
      <c r="W347" s="24" t="s">
        <v>40</v>
      </c>
      <c r="X347" s="24" t="s">
        <v>40</v>
      </c>
      <c r="Y347" s="23">
        <v>2</v>
      </c>
      <c r="Z347" s="43" t="e" cm="1">
        <f t="array" ref="Z347">_xlfn.XLOOKUP(L347,'Customer Ledger'!$O:$O,'Customer Ledger'!$P:$Q,,0)</f>
        <v>#N/A</v>
      </c>
      <c r="AA347" s="43"/>
      <c r="AB347" s="43"/>
      <c r="AC347" s="23"/>
      <c r="AD347" s="23"/>
      <c r="AE347" s="24" t="s">
        <v>40</v>
      </c>
      <c r="AF347" s="24" t="s">
        <v>40</v>
      </c>
      <c r="AG347" s="24" t="s">
        <v>40</v>
      </c>
      <c r="AH347" s="24" t="s">
        <v>40</v>
      </c>
      <c r="AI347" s="25">
        <v>45832</v>
      </c>
      <c r="AJ347" s="25"/>
      <c r="AK347" s="24" t="s">
        <v>40</v>
      </c>
    </row>
    <row r="348" spans="1:37" x14ac:dyDescent="0.35">
      <c r="A348" s="3" t="s">
        <v>32</v>
      </c>
      <c r="B348" s="3" t="s">
        <v>33</v>
      </c>
      <c r="C348" s="3" t="s">
        <v>34</v>
      </c>
      <c r="D348" s="3" t="s">
        <v>35</v>
      </c>
      <c r="E348" s="3" t="s">
        <v>41</v>
      </c>
      <c r="F348" s="4">
        <v>45964</v>
      </c>
      <c r="G348" s="23">
        <v>1400001594</v>
      </c>
      <c r="H348" s="24" t="s">
        <v>183</v>
      </c>
      <c r="I348" s="25">
        <v>45964</v>
      </c>
      <c r="J348" s="25">
        <v>45964</v>
      </c>
      <c r="K348" s="24" t="s">
        <v>328</v>
      </c>
      <c r="L348" s="26" t="s">
        <v>40</v>
      </c>
      <c r="M348" s="23">
        <v>212100</v>
      </c>
      <c r="N348" s="24" t="s">
        <v>39</v>
      </c>
      <c r="O348" s="24" t="s">
        <v>40</v>
      </c>
      <c r="P348" s="23">
        <v>15</v>
      </c>
      <c r="Q348" s="24" t="s">
        <v>43</v>
      </c>
      <c r="R348" s="27">
        <v>-300000</v>
      </c>
      <c r="S348" s="24" t="s">
        <v>43</v>
      </c>
      <c r="T348" s="27">
        <v>-300000</v>
      </c>
      <c r="U348" s="24" t="s">
        <v>40</v>
      </c>
      <c r="V348" s="23">
        <v>6779220000</v>
      </c>
      <c r="W348" s="24" t="s">
        <v>40</v>
      </c>
      <c r="X348" s="24" t="s">
        <v>40</v>
      </c>
      <c r="Y348" s="23">
        <v>2</v>
      </c>
      <c r="Z348" s="43" t="e" cm="1">
        <f t="array" ref="Z348">_xlfn.XLOOKUP(L348,'Customer Ledger'!$O:$O,'Customer Ledger'!$P:$Q,,0)</f>
        <v>#N/A</v>
      </c>
      <c r="AA348" s="43"/>
      <c r="AB348" s="43"/>
      <c r="AC348" s="23"/>
      <c r="AD348" s="23"/>
      <c r="AE348" s="24" t="s">
        <v>40</v>
      </c>
      <c r="AF348" s="24" t="s">
        <v>40</v>
      </c>
      <c r="AG348" s="24" t="s">
        <v>40</v>
      </c>
      <c r="AH348" s="24" t="s">
        <v>40</v>
      </c>
      <c r="AI348" s="25">
        <v>45964</v>
      </c>
      <c r="AJ348" s="25"/>
      <c r="AK348" s="24" t="s">
        <v>40</v>
      </c>
    </row>
    <row r="349" spans="1:37" x14ac:dyDescent="0.35">
      <c r="A349" s="3" t="s">
        <v>32</v>
      </c>
      <c r="B349" s="3" t="s">
        <v>33</v>
      </c>
      <c r="C349" s="3" t="s">
        <v>34</v>
      </c>
      <c r="D349" s="3" t="s">
        <v>35</v>
      </c>
      <c r="E349" s="3" t="s">
        <v>36</v>
      </c>
      <c r="F349" s="4">
        <v>45842</v>
      </c>
      <c r="G349" s="23">
        <v>1400000245</v>
      </c>
      <c r="H349" s="24" t="s">
        <v>313</v>
      </c>
      <c r="I349" s="25">
        <v>45842</v>
      </c>
      <c r="J349" s="25">
        <v>45842</v>
      </c>
      <c r="K349" s="24" t="s">
        <v>38</v>
      </c>
      <c r="L349" s="26" t="s">
        <v>329</v>
      </c>
      <c r="M349" s="23">
        <v>212100</v>
      </c>
      <c r="N349" s="24" t="s">
        <v>39</v>
      </c>
      <c r="O349" s="24" t="s">
        <v>40</v>
      </c>
      <c r="P349" s="23">
        <v>15</v>
      </c>
      <c r="Q349" s="24" t="s">
        <v>42</v>
      </c>
      <c r="R349" s="27">
        <v>0</v>
      </c>
      <c r="S349" s="24" t="s">
        <v>43</v>
      </c>
      <c r="T349" s="27">
        <v>0</v>
      </c>
      <c r="U349" s="24" t="s">
        <v>40</v>
      </c>
      <c r="V349" s="23">
        <v>6779224500</v>
      </c>
      <c r="W349" s="24" t="s">
        <v>40</v>
      </c>
      <c r="X349" s="24" t="s">
        <v>40</v>
      </c>
      <c r="Y349" s="23">
        <v>1</v>
      </c>
      <c r="Z349" s="43" t="e" cm="1">
        <f t="array" ref="Z349">_xlfn.XLOOKUP(L349,'Customer Ledger'!$O:$O,'Customer Ledger'!$P:$Q,,0)</f>
        <v>#N/A</v>
      </c>
      <c r="AA349" s="43"/>
      <c r="AB349" s="43"/>
      <c r="AC349" s="23"/>
      <c r="AD349" s="23"/>
      <c r="AE349" s="24" t="s">
        <v>40</v>
      </c>
      <c r="AF349" s="24" t="s">
        <v>40</v>
      </c>
      <c r="AG349" s="24" t="s">
        <v>40</v>
      </c>
      <c r="AH349" s="24" t="s">
        <v>40</v>
      </c>
      <c r="AI349" s="25">
        <v>45842</v>
      </c>
      <c r="AJ349" s="25">
        <v>45842</v>
      </c>
      <c r="AK349" s="23">
        <v>1400000245</v>
      </c>
    </row>
    <row r="350" spans="1:37" x14ac:dyDescent="0.35">
      <c r="A350" s="3" t="s">
        <v>32</v>
      </c>
      <c r="B350" s="3" t="s">
        <v>33</v>
      </c>
      <c r="C350" s="3" t="s">
        <v>34</v>
      </c>
      <c r="D350" s="3" t="s">
        <v>35</v>
      </c>
      <c r="E350" s="3" t="s">
        <v>36</v>
      </c>
      <c r="F350" s="4">
        <v>45842</v>
      </c>
      <c r="G350" s="23">
        <v>1400000248</v>
      </c>
      <c r="H350" s="24" t="s">
        <v>313</v>
      </c>
      <c r="I350" s="25">
        <v>45842</v>
      </c>
      <c r="J350" s="25">
        <v>45842</v>
      </c>
      <c r="K350" s="24" t="s">
        <v>38</v>
      </c>
      <c r="L350" s="26" t="s">
        <v>329</v>
      </c>
      <c r="M350" s="23">
        <v>212100</v>
      </c>
      <c r="N350" s="24" t="s">
        <v>39</v>
      </c>
      <c r="O350" s="24" t="s">
        <v>40</v>
      </c>
      <c r="P350" s="23">
        <v>15</v>
      </c>
      <c r="Q350" s="24" t="s">
        <v>42</v>
      </c>
      <c r="R350" s="27">
        <v>0</v>
      </c>
      <c r="S350" s="24" t="s">
        <v>43</v>
      </c>
      <c r="T350" s="27">
        <v>0</v>
      </c>
      <c r="U350" s="24" t="s">
        <v>40</v>
      </c>
      <c r="V350" s="23">
        <v>6779224500</v>
      </c>
      <c r="W350" s="24" t="s">
        <v>40</v>
      </c>
      <c r="X350" s="24" t="s">
        <v>40</v>
      </c>
      <c r="Y350" s="23">
        <v>1</v>
      </c>
      <c r="Z350" s="43" t="e" cm="1">
        <f t="array" ref="Z350">_xlfn.XLOOKUP(L350,'Customer Ledger'!$O:$O,'Customer Ledger'!$P:$Q,,0)</f>
        <v>#N/A</v>
      </c>
      <c r="AA350" s="43"/>
      <c r="AB350" s="43"/>
      <c r="AC350" s="23"/>
      <c r="AD350" s="23"/>
      <c r="AE350" s="24" t="s">
        <v>40</v>
      </c>
      <c r="AF350" s="24" t="s">
        <v>40</v>
      </c>
      <c r="AG350" s="24" t="s">
        <v>40</v>
      </c>
      <c r="AH350" s="24" t="s">
        <v>40</v>
      </c>
      <c r="AI350" s="25">
        <v>45842</v>
      </c>
      <c r="AJ350" s="25">
        <v>45842</v>
      </c>
      <c r="AK350" s="23">
        <v>1400000248</v>
      </c>
    </row>
    <row r="351" spans="1:37" x14ac:dyDescent="0.35">
      <c r="A351" s="3" t="s">
        <v>32</v>
      </c>
      <c r="B351" s="3" t="s">
        <v>33</v>
      </c>
      <c r="C351" s="3" t="s">
        <v>34</v>
      </c>
      <c r="D351" s="3" t="s">
        <v>35</v>
      </c>
      <c r="E351" s="3" t="s">
        <v>36</v>
      </c>
      <c r="F351" s="4">
        <v>45842</v>
      </c>
      <c r="G351" s="23">
        <v>1400000246</v>
      </c>
      <c r="H351" s="24" t="s">
        <v>313</v>
      </c>
      <c r="I351" s="25">
        <v>45842</v>
      </c>
      <c r="J351" s="25">
        <v>45842</v>
      </c>
      <c r="K351" s="24" t="s">
        <v>38</v>
      </c>
      <c r="L351" s="26" t="s">
        <v>329</v>
      </c>
      <c r="M351" s="23">
        <v>212100</v>
      </c>
      <c r="N351" s="24" t="s">
        <v>39</v>
      </c>
      <c r="O351" s="24" t="s">
        <v>40</v>
      </c>
      <c r="P351" s="23">
        <v>8</v>
      </c>
      <c r="Q351" s="24" t="s">
        <v>42</v>
      </c>
      <c r="R351" s="27">
        <v>456.75</v>
      </c>
      <c r="S351" s="24" t="s">
        <v>43</v>
      </c>
      <c r="T351" s="27">
        <v>39701.54</v>
      </c>
      <c r="U351" s="24" t="s">
        <v>40</v>
      </c>
      <c r="V351" s="23">
        <v>6779224500</v>
      </c>
      <c r="W351" s="24" t="s">
        <v>40</v>
      </c>
      <c r="X351" s="24" t="s">
        <v>40</v>
      </c>
      <c r="Y351" s="23">
        <v>1</v>
      </c>
      <c r="Z351" s="43" t="e" cm="1">
        <f t="array" ref="Z351">_xlfn.XLOOKUP(L351,'Customer Ledger'!$O:$O,'Customer Ledger'!$P:$Q,,0)</f>
        <v>#N/A</v>
      </c>
      <c r="AA351" s="43"/>
      <c r="AB351" s="43"/>
      <c r="AC351" s="23"/>
      <c r="AD351" s="23"/>
      <c r="AE351" s="24" t="s">
        <v>40</v>
      </c>
      <c r="AF351" s="24" t="s">
        <v>40</v>
      </c>
      <c r="AG351" s="24" t="s">
        <v>40</v>
      </c>
      <c r="AH351" s="24" t="s">
        <v>40</v>
      </c>
      <c r="AI351" s="25">
        <v>45842</v>
      </c>
      <c r="AJ351" s="25">
        <v>45842</v>
      </c>
      <c r="AK351" s="23">
        <v>1400000246</v>
      </c>
    </row>
    <row r="352" spans="1:37" x14ac:dyDescent="0.35">
      <c r="A352" s="3" t="s">
        <v>32</v>
      </c>
      <c r="B352" s="3" t="s">
        <v>33</v>
      </c>
      <c r="C352" s="3" t="s">
        <v>34</v>
      </c>
      <c r="D352" s="3" t="s">
        <v>35</v>
      </c>
      <c r="E352" s="3" t="s">
        <v>36</v>
      </c>
      <c r="F352" s="4">
        <v>45842</v>
      </c>
      <c r="G352" s="23">
        <v>1400000246</v>
      </c>
      <c r="H352" s="24" t="s">
        <v>313</v>
      </c>
      <c r="I352" s="25">
        <v>45842</v>
      </c>
      <c r="J352" s="25">
        <v>45842</v>
      </c>
      <c r="K352" s="24" t="s">
        <v>38</v>
      </c>
      <c r="L352" s="26" t="s">
        <v>329</v>
      </c>
      <c r="M352" s="23">
        <v>212100</v>
      </c>
      <c r="N352" s="24" t="s">
        <v>39</v>
      </c>
      <c r="O352" s="24" t="s">
        <v>40</v>
      </c>
      <c r="P352" s="23">
        <v>15</v>
      </c>
      <c r="Q352" s="24" t="s">
        <v>42</v>
      </c>
      <c r="R352" s="27">
        <v>-456.75</v>
      </c>
      <c r="S352" s="24" t="s">
        <v>43</v>
      </c>
      <c r="T352" s="27">
        <v>-39701.54</v>
      </c>
      <c r="U352" s="24" t="s">
        <v>40</v>
      </c>
      <c r="V352" s="23">
        <v>6779224500</v>
      </c>
      <c r="W352" s="24" t="s">
        <v>40</v>
      </c>
      <c r="X352" s="24" t="s">
        <v>40</v>
      </c>
      <c r="Y352" s="23">
        <v>2</v>
      </c>
      <c r="Z352" s="43" t="e" cm="1">
        <f t="array" ref="Z352">_xlfn.XLOOKUP(L352,'Customer Ledger'!$O:$O,'Customer Ledger'!$P:$Q,,0)</f>
        <v>#N/A</v>
      </c>
      <c r="AA352" s="43"/>
      <c r="AB352" s="43"/>
      <c r="AC352" s="23"/>
      <c r="AD352" s="23"/>
      <c r="AE352" s="24" t="s">
        <v>40</v>
      </c>
      <c r="AF352" s="24" t="s">
        <v>40</v>
      </c>
      <c r="AG352" s="24" t="s">
        <v>40</v>
      </c>
      <c r="AH352" s="24" t="s">
        <v>40</v>
      </c>
      <c r="AI352" s="25">
        <v>45842</v>
      </c>
      <c r="AJ352" s="25">
        <v>45842</v>
      </c>
      <c r="AK352" s="23">
        <v>1400000246</v>
      </c>
    </row>
    <row r="353" spans="1:37" x14ac:dyDescent="0.35">
      <c r="A353" s="3" t="s">
        <v>32</v>
      </c>
      <c r="B353" s="3" t="s">
        <v>33</v>
      </c>
      <c r="C353" s="3" t="s">
        <v>34</v>
      </c>
      <c r="D353" s="3" t="s">
        <v>35</v>
      </c>
      <c r="E353" s="3" t="s">
        <v>36</v>
      </c>
      <c r="F353" s="4">
        <v>45842</v>
      </c>
      <c r="G353" s="23">
        <v>1400000247</v>
      </c>
      <c r="H353" s="24" t="s">
        <v>313</v>
      </c>
      <c r="I353" s="25">
        <v>45842</v>
      </c>
      <c r="J353" s="25">
        <v>45842</v>
      </c>
      <c r="K353" s="24" t="s">
        <v>38</v>
      </c>
      <c r="L353" s="26" t="s">
        <v>329</v>
      </c>
      <c r="M353" s="23">
        <v>212100</v>
      </c>
      <c r="N353" s="24" t="s">
        <v>39</v>
      </c>
      <c r="O353" s="24" t="s">
        <v>40</v>
      </c>
      <c r="P353" s="23">
        <v>8</v>
      </c>
      <c r="Q353" s="24" t="s">
        <v>42</v>
      </c>
      <c r="R353" s="27">
        <v>456.75</v>
      </c>
      <c r="S353" s="24" t="s">
        <v>43</v>
      </c>
      <c r="T353" s="27">
        <v>39701.54</v>
      </c>
      <c r="U353" s="24" t="s">
        <v>40</v>
      </c>
      <c r="V353" s="23">
        <v>6779224500</v>
      </c>
      <c r="W353" s="24" t="s">
        <v>40</v>
      </c>
      <c r="X353" s="24" t="s">
        <v>40</v>
      </c>
      <c r="Y353" s="23">
        <v>1</v>
      </c>
      <c r="Z353" s="43" t="e" cm="1">
        <f t="array" ref="Z353">_xlfn.XLOOKUP(L353,'Customer Ledger'!$O:$O,'Customer Ledger'!$P:$Q,,0)</f>
        <v>#N/A</v>
      </c>
      <c r="AA353" s="43"/>
      <c r="AB353" s="43"/>
      <c r="AC353" s="23"/>
      <c r="AD353" s="23"/>
      <c r="AE353" s="24" t="s">
        <v>40</v>
      </c>
      <c r="AF353" s="24" t="s">
        <v>40</v>
      </c>
      <c r="AG353" s="24" t="s">
        <v>40</v>
      </c>
      <c r="AH353" s="24" t="s">
        <v>40</v>
      </c>
      <c r="AI353" s="25">
        <v>45842</v>
      </c>
      <c r="AJ353" s="25">
        <v>45842</v>
      </c>
      <c r="AK353" s="23">
        <v>1400000247</v>
      </c>
    </row>
    <row r="354" spans="1:37" x14ac:dyDescent="0.35">
      <c r="A354" s="3" t="s">
        <v>32</v>
      </c>
      <c r="B354" s="3" t="s">
        <v>33</v>
      </c>
      <c r="C354" s="3" t="s">
        <v>34</v>
      </c>
      <c r="D354" s="3" t="s">
        <v>35</v>
      </c>
      <c r="E354" s="3" t="s">
        <v>36</v>
      </c>
      <c r="F354" s="4">
        <v>45842</v>
      </c>
      <c r="G354" s="23">
        <v>1400000247</v>
      </c>
      <c r="H354" s="24" t="s">
        <v>313</v>
      </c>
      <c r="I354" s="25">
        <v>45842</v>
      </c>
      <c r="J354" s="25">
        <v>45842</v>
      </c>
      <c r="K354" s="24" t="s">
        <v>38</v>
      </c>
      <c r="L354" s="26" t="s">
        <v>329</v>
      </c>
      <c r="M354" s="23">
        <v>212100</v>
      </c>
      <c r="N354" s="24" t="s">
        <v>39</v>
      </c>
      <c r="O354" s="24" t="s">
        <v>40</v>
      </c>
      <c r="P354" s="23">
        <v>15</v>
      </c>
      <c r="Q354" s="24" t="s">
        <v>42</v>
      </c>
      <c r="R354" s="27">
        <v>-456.75</v>
      </c>
      <c r="S354" s="24" t="s">
        <v>43</v>
      </c>
      <c r="T354" s="27">
        <v>-39701.54</v>
      </c>
      <c r="U354" s="24" t="s">
        <v>40</v>
      </c>
      <c r="V354" s="23">
        <v>6779224500</v>
      </c>
      <c r="W354" s="24" t="s">
        <v>40</v>
      </c>
      <c r="X354" s="24" t="s">
        <v>40</v>
      </c>
      <c r="Y354" s="23">
        <v>2</v>
      </c>
      <c r="Z354" s="43" t="e" cm="1">
        <f t="array" ref="Z354">_xlfn.XLOOKUP(L354,'Customer Ledger'!$O:$O,'Customer Ledger'!$P:$Q,,0)</f>
        <v>#N/A</v>
      </c>
      <c r="AA354" s="43"/>
      <c r="AB354" s="43"/>
      <c r="AC354" s="23"/>
      <c r="AD354" s="23"/>
      <c r="AE354" s="24" t="s">
        <v>40</v>
      </c>
      <c r="AF354" s="24" t="s">
        <v>40</v>
      </c>
      <c r="AG354" s="24" t="s">
        <v>40</v>
      </c>
      <c r="AH354" s="24" t="s">
        <v>40</v>
      </c>
      <c r="AI354" s="25">
        <v>45842</v>
      </c>
      <c r="AJ354" s="25">
        <v>45842</v>
      </c>
      <c r="AK354" s="23">
        <v>1400000247</v>
      </c>
    </row>
    <row r="355" spans="1:37" x14ac:dyDescent="0.35">
      <c r="A355" s="3" t="s">
        <v>32</v>
      </c>
      <c r="B355" s="3" t="s">
        <v>33</v>
      </c>
      <c r="C355" s="3" t="s">
        <v>34</v>
      </c>
      <c r="D355" s="3" t="s">
        <v>35</v>
      </c>
      <c r="E355" s="3" t="s">
        <v>36</v>
      </c>
      <c r="F355" s="4">
        <v>45854</v>
      </c>
      <c r="G355" s="23">
        <v>1400000290</v>
      </c>
      <c r="H355" s="24" t="s">
        <v>313</v>
      </c>
      <c r="I355" s="25">
        <v>45854</v>
      </c>
      <c r="J355" s="25">
        <v>45855</v>
      </c>
      <c r="K355" s="24" t="s">
        <v>38</v>
      </c>
      <c r="L355" s="26" t="s">
        <v>329</v>
      </c>
      <c r="M355" s="23">
        <v>212100</v>
      </c>
      <c r="N355" s="24" t="s">
        <v>39</v>
      </c>
      <c r="O355" s="24" t="s">
        <v>40</v>
      </c>
      <c r="P355" s="23">
        <v>8</v>
      </c>
      <c r="Q355" s="24" t="s">
        <v>42</v>
      </c>
      <c r="R355" s="27">
        <v>525</v>
      </c>
      <c r="S355" s="24" t="s">
        <v>43</v>
      </c>
      <c r="T355" s="27">
        <v>45512.91</v>
      </c>
      <c r="U355" s="24" t="s">
        <v>40</v>
      </c>
      <c r="V355" s="23">
        <v>6779224500</v>
      </c>
      <c r="W355" s="24" t="s">
        <v>40</v>
      </c>
      <c r="X355" s="24" t="s">
        <v>40</v>
      </c>
      <c r="Y355" s="23">
        <v>1</v>
      </c>
      <c r="Z355" s="43" t="e" cm="1">
        <f t="array" ref="Z355">_xlfn.XLOOKUP(L355,'Customer Ledger'!$O:$O,'Customer Ledger'!$P:$Q,,0)</f>
        <v>#N/A</v>
      </c>
      <c r="AA355" s="43"/>
      <c r="AB355" s="43"/>
      <c r="AC355" s="23"/>
      <c r="AD355" s="23"/>
      <c r="AE355" s="24" t="s">
        <v>40</v>
      </c>
      <c r="AF355" s="24" t="s">
        <v>40</v>
      </c>
      <c r="AG355" s="24" t="s">
        <v>40</v>
      </c>
      <c r="AH355" s="24" t="s">
        <v>40</v>
      </c>
      <c r="AI355" s="25">
        <v>45854</v>
      </c>
      <c r="AJ355" s="25">
        <v>45854</v>
      </c>
      <c r="AK355" s="23">
        <v>1400000290</v>
      </c>
    </row>
    <row r="356" spans="1:37" x14ac:dyDescent="0.35">
      <c r="A356" s="3" t="s">
        <v>32</v>
      </c>
      <c r="B356" s="3" t="s">
        <v>33</v>
      </c>
      <c r="C356" s="3" t="s">
        <v>34</v>
      </c>
      <c r="D356" s="3" t="s">
        <v>35</v>
      </c>
      <c r="E356" s="3" t="s">
        <v>36</v>
      </c>
      <c r="F356" s="4">
        <v>45854</v>
      </c>
      <c r="G356" s="23">
        <v>1400000290</v>
      </c>
      <c r="H356" s="24" t="s">
        <v>313</v>
      </c>
      <c r="I356" s="25">
        <v>45854</v>
      </c>
      <c r="J356" s="25">
        <v>45855</v>
      </c>
      <c r="K356" s="24" t="s">
        <v>38</v>
      </c>
      <c r="L356" s="26" t="s">
        <v>329</v>
      </c>
      <c r="M356" s="23">
        <v>212100</v>
      </c>
      <c r="N356" s="24" t="s">
        <v>39</v>
      </c>
      <c r="O356" s="24" t="s">
        <v>40</v>
      </c>
      <c r="P356" s="23">
        <v>15</v>
      </c>
      <c r="Q356" s="24" t="s">
        <v>42</v>
      </c>
      <c r="R356" s="27">
        <v>-525</v>
      </c>
      <c r="S356" s="24" t="s">
        <v>43</v>
      </c>
      <c r="T356" s="27">
        <v>-45512.91</v>
      </c>
      <c r="U356" s="24" t="s">
        <v>40</v>
      </c>
      <c r="V356" s="23">
        <v>6779224500</v>
      </c>
      <c r="W356" s="24" t="s">
        <v>40</v>
      </c>
      <c r="X356" s="24" t="s">
        <v>40</v>
      </c>
      <c r="Y356" s="23">
        <v>2</v>
      </c>
      <c r="Z356" s="43" t="e" cm="1">
        <f t="array" ref="Z356">_xlfn.XLOOKUP(L356,'Customer Ledger'!$O:$O,'Customer Ledger'!$P:$Q,,0)</f>
        <v>#N/A</v>
      </c>
      <c r="AA356" s="43"/>
      <c r="AB356" s="43"/>
      <c r="AC356" s="23"/>
      <c r="AD356" s="23"/>
      <c r="AE356" s="24" t="s">
        <v>40</v>
      </c>
      <c r="AF356" s="24" t="s">
        <v>40</v>
      </c>
      <c r="AG356" s="24" t="s">
        <v>40</v>
      </c>
      <c r="AH356" s="24" t="s">
        <v>40</v>
      </c>
      <c r="AI356" s="25">
        <v>45854</v>
      </c>
      <c r="AJ356" s="25">
        <v>45854</v>
      </c>
      <c r="AK356" s="23">
        <v>1400000290</v>
      </c>
    </row>
    <row r="357" spans="1:37" x14ac:dyDescent="0.35">
      <c r="A357" s="3" t="s">
        <v>32</v>
      </c>
      <c r="B357" s="3" t="s">
        <v>33</v>
      </c>
      <c r="C357" s="3" t="s">
        <v>34</v>
      </c>
      <c r="D357" s="3" t="s">
        <v>35</v>
      </c>
      <c r="E357" s="3" t="s">
        <v>114</v>
      </c>
      <c r="F357" s="4">
        <v>45735</v>
      </c>
      <c r="G357" s="23">
        <v>1800003221</v>
      </c>
      <c r="H357" s="24" t="s">
        <v>47</v>
      </c>
      <c r="I357" s="25">
        <v>45735</v>
      </c>
      <c r="J357" s="25">
        <v>45736</v>
      </c>
      <c r="K357" s="24" t="s">
        <v>38</v>
      </c>
      <c r="L357" s="26">
        <v>246779413088</v>
      </c>
      <c r="M357" s="23">
        <v>212100</v>
      </c>
      <c r="N357" s="24" t="s">
        <v>39</v>
      </c>
      <c r="O357" s="24" t="s">
        <v>40</v>
      </c>
      <c r="P357" s="23">
        <v>1</v>
      </c>
      <c r="Q357" s="24" t="s">
        <v>42</v>
      </c>
      <c r="R357" s="27">
        <v>500.63</v>
      </c>
      <c r="S357" s="24" t="s">
        <v>43</v>
      </c>
      <c r="T357" s="27">
        <v>43400.25</v>
      </c>
      <c r="U357" s="24" t="s">
        <v>152</v>
      </c>
      <c r="V357" s="23">
        <v>6779224500</v>
      </c>
      <c r="W357" s="24" t="s">
        <v>40</v>
      </c>
      <c r="X357" s="24" t="s">
        <v>38</v>
      </c>
      <c r="Y357" s="23">
        <v>1</v>
      </c>
      <c r="Z357" s="43" t="e" cm="1">
        <f t="array" ref="Z357">_xlfn.XLOOKUP(L357,'Customer Ledger'!$O:$O,'Customer Ledger'!$P:$Q,,0)</f>
        <v>#N/A</v>
      </c>
      <c r="AA357" s="43"/>
      <c r="AB357" s="43"/>
      <c r="AC357" s="23"/>
      <c r="AD357" s="23"/>
      <c r="AE357" s="24" t="s">
        <v>330</v>
      </c>
      <c r="AF357" s="24" t="s">
        <v>40</v>
      </c>
      <c r="AG357" s="24" t="s">
        <v>40</v>
      </c>
      <c r="AH357" s="24" t="s">
        <v>40</v>
      </c>
      <c r="AI357" s="25">
        <v>45735</v>
      </c>
      <c r="AJ357" s="25">
        <v>45842</v>
      </c>
      <c r="AK357" s="23">
        <v>1400000248</v>
      </c>
    </row>
    <row r="358" spans="1:37" x14ac:dyDescent="0.35">
      <c r="A358" s="3" t="s">
        <v>32</v>
      </c>
      <c r="B358" s="3" t="s">
        <v>33</v>
      </c>
      <c r="C358" s="3" t="s">
        <v>34</v>
      </c>
      <c r="D358" s="3" t="s">
        <v>35</v>
      </c>
      <c r="E358" s="3" t="s">
        <v>41</v>
      </c>
      <c r="F358" s="4">
        <v>45976</v>
      </c>
      <c r="G358" s="23">
        <v>1400001901</v>
      </c>
      <c r="H358" s="24" t="s">
        <v>313</v>
      </c>
      <c r="I358" s="25">
        <v>45976</v>
      </c>
      <c r="J358" s="25">
        <v>45976</v>
      </c>
      <c r="K358" s="24" t="s">
        <v>38</v>
      </c>
      <c r="L358" s="26" t="s">
        <v>329</v>
      </c>
      <c r="M358" s="23">
        <v>212100</v>
      </c>
      <c r="N358" s="24" t="s">
        <v>39</v>
      </c>
      <c r="O358" s="24" t="s">
        <v>40</v>
      </c>
      <c r="P358" s="23">
        <v>8</v>
      </c>
      <c r="Q358" s="24" t="s">
        <v>42</v>
      </c>
      <c r="R358" s="27">
        <v>3813.11</v>
      </c>
      <c r="S358" s="24" t="s">
        <v>43</v>
      </c>
      <c r="T358" s="27">
        <v>331442.46000000002</v>
      </c>
      <c r="U358" s="24" t="s">
        <v>40</v>
      </c>
      <c r="V358" s="23">
        <v>6779224500</v>
      </c>
      <c r="W358" s="24" t="s">
        <v>40</v>
      </c>
      <c r="X358" s="24" t="s">
        <v>40</v>
      </c>
      <c r="Y358" s="23">
        <v>1</v>
      </c>
      <c r="Z358" s="43" t="e" cm="1">
        <f t="array" ref="Z358">_xlfn.XLOOKUP(L358,'Customer Ledger'!$O:$O,'Customer Ledger'!$P:$Q,,0)</f>
        <v>#N/A</v>
      </c>
      <c r="AA358" s="43"/>
      <c r="AB358" s="43"/>
      <c r="AC358" s="23"/>
      <c r="AD358" s="23"/>
      <c r="AE358" s="24" t="s">
        <v>40</v>
      </c>
      <c r="AF358" s="24" t="s">
        <v>40</v>
      </c>
      <c r="AG358" s="24" t="s">
        <v>40</v>
      </c>
      <c r="AH358" s="24" t="s">
        <v>40</v>
      </c>
      <c r="AI358" s="25">
        <v>45976</v>
      </c>
      <c r="AJ358" s="25">
        <v>45976</v>
      </c>
      <c r="AK358" s="23">
        <v>1400001901</v>
      </c>
    </row>
    <row r="359" spans="1:37" x14ac:dyDescent="0.35">
      <c r="A359" s="3" t="s">
        <v>32</v>
      </c>
      <c r="B359" s="3" t="s">
        <v>33</v>
      </c>
      <c r="C359" s="3" t="s">
        <v>34</v>
      </c>
      <c r="D359" s="3" t="s">
        <v>35</v>
      </c>
      <c r="E359" s="3" t="s">
        <v>41</v>
      </c>
      <c r="F359" s="4">
        <v>45976</v>
      </c>
      <c r="G359" s="23">
        <v>1400001901</v>
      </c>
      <c r="H359" s="24" t="s">
        <v>313</v>
      </c>
      <c r="I359" s="25">
        <v>45976</v>
      </c>
      <c r="J359" s="25">
        <v>45976</v>
      </c>
      <c r="K359" s="24" t="s">
        <v>38</v>
      </c>
      <c r="L359" s="26" t="s">
        <v>329</v>
      </c>
      <c r="M359" s="23">
        <v>212100</v>
      </c>
      <c r="N359" s="24" t="s">
        <v>39</v>
      </c>
      <c r="O359" s="24" t="s">
        <v>40</v>
      </c>
      <c r="P359" s="23">
        <v>15</v>
      </c>
      <c r="Q359" s="24" t="s">
        <v>42</v>
      </c>
      <c r="R359" s="27">
        <v>-3813.11</v>
      </c>
      <c r="S359" s="24" t="s">
        <v>43</v>
      </c>
      <c r="T359" s="27">
        <v>-331442.46000000002</v>
      </c>
      <c r="U359" s="24" t="s">
        <v>40</v>
      </c>
      <c r="V359" s="23">
        <v>6779224500</v>
      </c>
      <c r="W359" s="24" t="s">
        <v>40</v>
      </c>
      <c r="X359" s="24" t="s">
        <v>40</v>
      </c>
      <c r="Y359" s="23">
        <v>2</v>
      </c>
      <c r="Z359" s="43" t="e" cm="1">
        <f t="array" ref="Z359">_xlfn.XLOOKUP(L359,'Customer Ledger'!$O:$O,'Customer Ledger'!$P:$Q,,0)</f>
        <v>#N/A</v>
      </c>
      <c r="AA359" s="43"/>
      <c r="AB359" s="43"/>
      <c r="AC359" s="23"/>
      <c r="AD359" s="23"/>
      <c r="AE359" s="24" t="s">
        <v>40</v>
      </c>
      <c r="AF359" s="24" t="s">
        <v>40</v>
      </c>
      <c r="AG359" s="24" t="s">
        <v>40</v>
      </c>
      <c r="AH359" s="24" t="s">
        <v>40</v>
      </c>
      <c r="AI359" s="25">
        <v>45976</v>
      </c>
      <c r="AJ359" s="25">
        <v>45976</v>
      </c>
      <c r="AK359" s="23">
        <v>1400001901</v>
      </c>
    </row>
    <row r="360" spans="1:37" x14ac:dyDescent="0.35">
      <c r="A360" s="3" t="s">
        <v>32</v>
      </c>
      <c r="B360" s="3" t="s">
        <v>33</v>
      </c>
      <c r="C360" s="3" t="s">
        <v>34</v>
      </c>
      <c r="D360" s="3" t="s">
        <v>35</v>
      </c>
      <c r="E360" s="3" t="s">
        <v>41</v>
      </c>
      <c r="F360" s="4">
        <v>45976</v>
      </c>
      <c r="G360" s="23">
        <v>1400001902</v>
      </c>
      <c r="H360" s="24" t="s">
        <v>313</v>
      </c>
      <c r="I360" s="25">
        <v>45976</v>
      </c>
      <c r="J360" s="25">
        <v>45976</v>
      </c>
      <c r="K360" s="24" t="s">
        <v>38</v>
      </c>
      <c r="L360" s="26" t="s">
        <v>329</v>
      </c>
      <c r="M360" s="23">
        <v>212100</v>
      </c>
      <c r="N360" s="24" t="s">
        <v>39</v>
      </c>
      <c r="O360" s="24" t="s">
        <v>40</v>
      </c>
      <c r="P360" s="23">
        <v>8</v>
      </c>
      <c r="Q360" s="24" t="s">
        <v>42</v>
      </c>
      <c r="R360" s="27">
        <v>1117.6600000000001</v>
      </c>
      <c r="S360" s="24" t="s">
        <v>43</v>
      </c>
      <c r="T360" s="27">
        <v>96798.99</v>
      </c>
      <c r="U360" s="24" t="s">
        <v>40</v>
      </c>
      <c r="V360" s="23">
        <v>6779224500</v>
      </c>
      <c r="W360" s="24" t="s">
        <v>40</v>
      </c>
      <c r="X360" s="24" t="s">
        <v>40</v>
      </c>
      <c r="Y360" s="23">
        <v>7</v>
      </c>
      <c r="Z360" s="43" t="e" cm="1">
        <f t="array" ref="Z360">_xlfn.XLOOKUP(L360,'Customer Ledger'!$O:$O,'Customer Ledger'!$P:$Q,,0)</f>
        <v>#N/A</v>
      </c>
      <c r="AA360" s="43"/>
      <c r="AB360" s="43"/>
      <c r="AC360" s="23"/>
      <c r="AD360" s="23"/>
      <c r="AE360" s="24" t="s">
        <v>40</v>
      </c>
      <c r="AF360" s="24" t="s">
        <v>40</v>
      </c>
      <c r="AG360" s="24" t="s">
        <v>40</v>
      </c>
      <c r="AH360" s="24" t="s">
        <v>40</v>
      </c>
      <c r="AI360" s="25">
        <v>45976</v>
      </c>
      <c r="AJ360" s="25">
        <v>45976</v>
      </c>
      <c r="AK360" s="23">
        <v>1400001902</v>
      </c>
    </row>
    <row r="361" spans="1:37" x14ac:dyDescent="0.35">
      <c r="A361" s="3" t="s">
        <v>32</v>
      </c>
      <c r="B361" s="3" t="s">
        <v>33</v>
      </c>
      <c r="C361" s="3" t="s">
        <v>34</v>
      </c>
      <c r="D361" s="3" t="s">
        <v>35</v>
      </c>
      <c r="E361" s="3" t="s">
        <v>41</v>
      </c>
      <c r="F361" s="4">
        <v>45976</v>
      </c>
      <c r="G361" s="23">
        <v>1400001902</v>
      </c>
      <c r="H361" s="24" t="s">
        <v>313</v>
      </c>
      <c r="I361" s="25">
        <v>45976</v>
      </c>
      <c r="J361" s="25">
        <v>45976</v>
      </c>
      <c r="K361" s="24" t="s">
        <v>38</v>
      </c>
      <c r="L361" s="26" t="s">
        <v>329</v>
      </c>
      <c r="M361" s="23">
        <v>212100</v>
      </c>
      <c r="N361" s="24" t="s">
        <v>39</v>
      </c>
      <c r="O361" s="24" t="s">
        <v>40</v>
      </c>
      <c r="P361" s="23">
        <v>15</v>
      </c>
      <c r="Q361" s="24" t="s">
        <v>42</v>
      </c>
      <c r="R361" s="27">
        <v>-182.83</v>
      </c>
      <c r="S361" s="24" t="s">
        <v>43</v>
      </c>
      <c r="T361" s="27">
        <v>-16089.66</v>
      </c>
      <c r="U361" s="24" t="s">
        <v>40</v>
      </c>
      <c r="V361" s="23">
        <v>6779224500</v>
      </c>
      <c r="W361" s="24" t="s">
        <v>40</v>
      </c>
      <c r="X361" s="24" t="s">
        <v>38</v>
      </c>
      <c r="Y361" s="23">
        <v>1</v>
      </c>
      <c r="Z361" s="43" t="e" cm="1">
        <f t="array" ref="Z361">_xlfn.XLOOKUP(L361,'Customer Ledger'!$O:$O,'Customer Ledger'!$P:$Q,,0)</f>
        <v>#N/A</v>
      </c>
      <c r="AA361" s="43"/>
      <c r="AB361" s="43"/>
      <c r="AC361" s="23"/>
      <c r="AD361" s="23"/>
      <c r="AE361" s="24" t="s">
        <v>40</v>
      </c>
      <c r="AF361" s="24" t="s">
        <v>40</v>
      </c>
      <c r="AG361" s="24" t="s">
        <v>40</v>
      </c>
      <c r="AH361" s="24" t="s">
        <v>40</v>
      </c>
      <c r="AI361" s="25">
        <v>45976</v>
      </c>
      <c r="AJ361" s="25"/>
      <c r="AK361" s="24" t="s">
        <v>40</v>
      </c>
    </row>
    <row r="362" spans="1:37" x14ac:dyDescent="0.35">
      <c r="A362" s="3" t="s">
        <v>32</v>
      </c>
      <c r="B362" s="3" t="s">
        <v>33</v>
      </c>
      <c r="C362" s="3" t="s">
        <v>34</v>
      </c>
      <c r="D362" s="3" t="s">
        <v>35</v>
      </c>
      <c r="E362" s="3" t="s">
        <v>41</v>
      </c>
      <c r="F362" s="4">
        <v>45976</v>
      </c>
      <c r="G362" s="23">
        <v>1400001902</v>
      </c>
      <c r="H362" s="24" t="s">
        <v>313</v>
      </c>
      <c r="I362" s="25">
        <v>45976</v>
      </c>
      <c r="J362" s="25">
        <v>45976</v>
      </c>
      <c r="K362" s="24" t="s">
        <v>38</v>
      </c>
      <c r="L362" s="26" t="s">
        <v>329</v>
      </c>
      <c r="M362" s="23">
        <v>212100</v>
      </c>
      <c r="N362" s="24" t="s">
        <v>39</v>
      </c>
      <c r="O362" s="24" t="s">
        <v>40</v>
      </c>
      <c r="P362" s="23">
        <v>15</v>
      </c>
      <c r="Q362" s="24" t="s">
        <v>42</v>
      </c>
      <c r="R362" s="27">
        <v>-55.46</v>
      </c>
      <c r="S362" s="24" t="s">
        <v>43</v>
      </c>
      <c r="T362" s="27">
        <v>-4880.67</v>
      </c>
      <c r="U362" s="24" t="s">
        <v>40</v>
      </c>
      <c r="V362" s="23">
        <v>6779224500</v>
      </c>
      <c r="W362" s="24" t="s">
        <v>40</v>
      </c>
      <c r="X362" s="24" t="s">
        <v>38</v>
      </c>
      <c r="Y362" s="23">
        <v>2</v>
      </c>
      <c r="Z362" s="43" t="e" cm="1">
        <f t="array" ref="Z362">_xlfn.XLOOKUP(L362,'Customer Ledger'!$O:$O,'Customer Ledger'!$P:$Q,,0)</f>
        <v>#N/A</v>
      </c>
      <c r="AA362" s="43"/>
      <c r="AB362" s="43"/>
      <c r="AC362" s="23"/>
      <c r="AD362" s="23"/>
      <c r="AE362" s="24" t="s">
        <v>40</v>
      </c>
      <c r="AF362" s="24" t="s">
        <v>40</v>
      </c>
      <c r="AG362" s="24" t="s">
        <v>40</v>
      </c>
      <c r="AH362" s="24" t="s">
        <v>40</v>
      </c>
      <c r="AI362" s="25">
        <v>45976</v>
      </c>
      <c r="AJ362" s="25"/>
      <c r="AK362" s="24" t="s">
        <v>40</v>
      </c>
    </row>
    <row r="363" spans="1:37" x14ac:dyDescent="0.35">
      <c r="A363" s="3" t="s">
        <v>32</v>
      </c>
      <c r="B363" s="3" t="s">
        <v>33</v>
      </c>
      <c r="C363" s="3" t="s">
        <v>34</v>
      </c>
      <c r="D363" s="3" t="s">
        <v>35</v>
      </c>
      <c r="E363" s="3" t="s">
        <v>41</v>
      </c>
      <c r="F363" s="4">
        <v>45976</v>
      </c>
      <c r="G363" s="23">
        <v>1400001902</v>
      </c>
      <c r="H363" s="24" t="s">
        <v>313</v>
      </c>
      <c r="I363" s="25">
        <v>45976</v>
      </c>
      <c r="J363" s="25">
        <v>45976</v>
      </c>
      <c r="K363" s="24" t="s">
        <v>38</v>
      </c>
      <c r="L363" s="26" t="s">
        <v>329</v>
      </c>
      <c r="M363" s="23">
        <v>212100</v>
      </c>
      <c r="N363" s="24" t="s">
        <v>39</v>
      </c>
      <c r="O363" s="24" t="s">
        <v>40</v>
      </c>
      <c r="P363" s="23">
        <v>15</v>
      </c>
      <c r="Q363" s="24" t="s">
        <v>42</v>
      </c>
      <c r="R363" s="27">
        <v>-420</v>
      </c>
      <c r="S363" s="24" t="s">
        <v>43</v>
      </c>
      <c r="T363" s="27">
        <v>-36961.42</v>
      </c>
      <c r="U363" s="24" t="s">
        <v>40</v>
      </c>
      <c r="V363" s="23">
        <v>6779224500</v>
      </c>
      <c r="W363" s="24" t="s">
        <v>40</v>
      </c>
      <c r="X363" s="24" t="s">
        <v>38</v>
      </c>
      <c r="Y363" s="23">
        <v>3</v>
      </c>
      <c r="Z363" s="43" t="e" cm="1">
        <f t="array" ref="Z363">_xlfn.XLOOKUP(L363,'Customer Ledger'!$O:$O,'Customer Ledger'!$P:$Q,,0)</f>
        <v>#N/A</v>
      </c>
      <c r="AA363" s="43"/>
      <c r="AB363" s="43"/>
      <c r="AC363" s="23"/>
      <c r="AD363" s="23"/>
      <c r="AE363" s="24" t="s">
        <v>40</v>
      </c>
      <c r="AF363" s="24" t="s">
        <v>40</v>
      </c>
      <c r="AG363" s="24" t="s">
        <v>40</v>
      </c>
      <c r="AH363" s="24" t="s">
        <v>40</v>
      </c>
      <c r="AI363" s="25">
        <v>45976</v>
      </c>
      <c r="AJ363" s="25"/>
      <c r="AK363" s="24" t="s">
        <v>40</v>
      </c>
    </row>
    <row r="364" spans="1:37" x14ac:dyDescent="0.35">
      <c r="A364" s="3" t="s">
        <v>32</v>
      </c>
      <c r="B364" s="3" t="s">
        <v>33</v>
      </c>
      <c r="C364" s="3" t="s">
        <v>34</v>
      </c>
      <c r="D364" s="3" t="s">
        <v>35</v>
      </c>
      <c r="E364" s="3" t="s">
        <v>41</v>
      </c>
      <c r="F364" s="4">
        <v>45976</v>
      </c>
      <c r="G364" s="23">
        <v>1400001902</v>
      </c>
      <c r="H364" s="24" t="s">
        <v>313</v>
      </c>
      <c r="I364" s="25">
        <v>45976</v>
      </c>
      <c r="J364" s="25">
        <v>45976</v>
      </c>
      <c r="K364" s="24" t="s">
        <v>38</v>
      </c>
      <c r="L364" s="26" t="s">
        <v>329</v>
      </c>
      <c r="M364" s="23">
        <v>212100</v>
      </c>
      <c r="N364" s="24" t="s">
        <v>39</v>
      </c>
      <c r="O364" s="24" t="s">
        <v>40</v>
      </c>
      <c r="P364" s="23">
        <v>15</v>
      </c>
      <c r="Q364" s="24" t="s">
        <v>42</v>
      </c>
      <c r="R364" s="27">
        <v>-177.66</v>
      </c>
      <c r="S364" s="24" t="s">
        <v>43</v>
      </c>
      <c r="T364" s="27">
        <v>-15634.68</v>
      </c>
      <c r="U364" s="24" t="s">
        <v>40</v>
      </c>
      <c r="V364" s="23">
        <v>6779224500</v>
      </c>
      <c r="W364" s="24" t="s">
        <v>40</v>
      </c>
      <c r="X364" s="24" t="s">
        <v>38</v>
      </c>
      <c r="Y364" s="23">
        <v>4</v>
      </c>
      <c r="Z364" s="43" t="e" cm="1">
        <f t="array" ref="Z364">_xlfn.XLOOKUP(L364,'Customer Ledger'!$O:$O,'Customer Ledger'!$P:$Q,,0)</f>
        <v>#N/A</v>
      </c>
      <c r="AA364" s="43"/>
      <c r="AB364" s="43"/>
      <c r="AC364" s="23"/>
      <c r="AD364" s="23"/>
      <c r="AE364" s="24" t="s">
        <v>40</v>
      </c>
      <c r="AF364" s="24" t="s">
        <v>40</v>
      </c>
      <c r="AG364" s="24" t="s">
        <v>40</v>
      </c>
      <c r="AH364" s="24" t="s">
        <v>40</v>
      </c>
      <c r="AI364" s="25">
        <v>45976</v>
      </c>
      <c r="AJ364" s="25"/>
      <c r="AK364" s="24" t="s">
        <v>40</v>
      </c>
    </row>
    <row r="365" spans="1:37" x14ac:dyDescent="0.35">
      <c r="A365" s="3" t="s">
        <v>32</v>
      </c>
      <c r="B365" s="3" t="s">
        <v>33</v>
      </c>
      <c r="C365" s="3" t="s">
        <v>34</v>
      </c>
      <c r="D365" s="3" t="s">
        <v>35</v>
      </c>
      <c r="E365" s="3" t="s">
        <v>41</v>
      </c>
      <c r="F365" s="4">
        <v>45976</v>
      </c>
      <c r="G365" s="23">
        <v>1400001902</v>
      </c>
      <c r="H365" s="24" t="s">
        <v>313</v>
      </c>
      <c r="I365" s="25">
        <v>45976</v>
      </c>
      <c r="J365" s="25">
        <v>45976</v>
      </c>
      <c r="K365" s="24" t="s">
        <v>38</v>
      </c>
      <c r="L365" s="26" t="s">
        <v>329</v>
      </c>
      <c r="M365" s="23">
        <v>212100</v>
      </c>
      <c r="N365" s="24" t="s">
        <v>39</v>
      </c>
      <c r="O365" s="24" t="s">
        <v>40</v>
      </c>
      <c r="P365" s="23">
        <v>15</v>
      </c>
      <c r="Q365" s="24" t="s">
        <v>42</v>
      </c>
      <c r="R365" s="27">
        <v>-143.81</v>
      </c>
      <c r="S365" s="24" t="s">
        <v>43</v>
      </c>
      <c r="T365" s="27">
        <v>-12655.77</v>
      </c>
      <c r="U365" s="24" t="s">
        <v>40</v>
      </c>
      <c r="V365" s="23">
        <v>6779224500</v>
      </c>
      <c r="W365" s="24" t="s">
        <v>40</v>
      </c>
      <c r="X365" s="24" t="s">
        <v>38</v>
      </c>
      <c r="Y365" s="23">
        <v>5</v>
      </c>
      <c r="Z365" s="43" t="e" cm="1">
        <f t="array" ref="Z365">_xlfn.XLOOKUP(L365,'Customer Ledger'!$O:$O,'Customer Ledger'!$P:$Q,,0)</f>
        <v>#N/A</v>
      </c>
      <c r="AA365" s="43"/>
      <c r="AB365" s="43"/>
      <c r="AC365" s="23"/>
      <c r="AD365" s="23"/>
      <c r="AE365" s="24" t="s">
        <v>40</v>
      </c>
      <c r="AF365" s="24" t="s">
        <v>40</v>
      </c>
      <c r="AG365" s="24" t="s">
        <v>40</v>
      </c>
      <c r="AH365" s="24" t="s">
        <v>40</v>
      </c>
      <c r="AI365" s="25">
        <v>45976</v>
      </c>
      <c r="AJ365" s="25"/>
      <c r="AK365" s="24" t="s">
        <v>40</v>
      </c>
    </row>
    <row r="366" spans="1:37" x14ac:dyDescent="0.35">
      <c r="A366" s="3" t="s">
        <v>32</v>
      </c>
      <c r="B366" s="3" t="s">
        <v>33</v>
      </c>
      <c r="C366" s="3" t="s">
        <v>34</v>
      </c>
      <c r="D366" s="3" t="s">
        <v>35</v>
      </c>
      <c r="E366" s="3" t="s">
        <v>41</v>
      </c>
      <c r="F366" s="4">
        <v>45976</v>
      </c>
      <c r="G366" s="23">
        <v>1400001902</v>
      </c>
      <c r="H366" s="24" t="s">
        <v>313</v>
      </c>
      <c r="I366" s="25">
        <v>45976</v>
      </c>
      <c r="J366" s="25">
        <v>45976</v>
      </c>
      <c r="K366" s="24" t="s">
        <v>38</v>
      </c>
      <c r="L366" s="26" t="s">
        <v>329</v>
      </c>
      <c r="M366" s="23">
        <v>212100</v>
      </c>
      <c r="N366" s="24" t="s">
        <v>39</v>
      </c>
      <c r="O366" s="24" t="s">
        <v>40</v>
      </c>
      <c r="P366" s="23">
        <v>15</v>
      </c>
      <c r="Q366" s="24" t="s">
        <v>42</v>
      </c>
      <c r="R366" s="27">
        <v>-137.9</v>
      </c>
      <c r="S366" s="24" t="s">
        <v>43</v>
      </c>
      <c r="T366" s="27">
        <v>-12135.67</v>
      </c>
      <c r="U366" s="24" t="s">
        <v>40</v>
      </c>
      <c r="V366" s="23">
        <v>6779224500</v>
      </c>
      <c r="W366" s="24" t="s">
        <v>40</v>
      </c>
      <c r="X366" s="24" t="s">
        <v>38</v>
      </c>
      <c r="Y366" s="23">
        <v>6</v>
      </c>
      <c r="Z366" s="43" t="e" cm="1">
        <f t="array" ref="Z366">_xlfn.XLOOKUP(L366,'Customer Ledger'!$O:$O,'Customer Ledger'!$P:$Q,,0)</f>
        <v>#N/A</v>
      </c>
      <c r="AA366" s="43"/>
      <c r="AB366" s="43"/>
      <c r="AC366" s="23"/>
      <c r="AD366" s="23"/>
      <c r="AE366" s="24" t="s">
        <v>40</v>
      </c>
      <c r="AF366" s="24" t="s">
        <v>40</v>
      </c>
      <c r="AG366" s="24" t="s">
        <v>40</v>
      </c>
      <c r="AH366" s="24" t="s">
        <v>40</v>
      </c>
      <c r="AI366" s="25">
        <v>45976</v>
      </c>
      <c r="AJ366" s="25"/>
      <c r="AK366" s="24" t="s">
        <v>40</v>
      </c>
    </row>
    <row r="367" spans="1:37" x14ac:dyDescent="0.35">
      <c r="A367" s="3" t="s">
        <v>32</v>
      </c>
      <c r="B367" s="3" t="s">
        <v>33</v>
      </c>
      <c r="C367" s="3" t="s">
        <v>34</v>
      </c>
      <c r="D367" s="3" t="s">
        <v>35</v>
      </c>
      <c r="E367" s="3" t="s">
        <v>114</v>
      </c>
      <c r="F367" s="4">
        <v>45719</v>
      </c>
      <c r="G367" s="23">
        <v>1800001115</v>
      </c>
      <c r="H367" s="24" t="s">
        <v>47</v>
      </c>
      <c r="I367" s="25">
        <v>45722</v>
      </c>
      <c r="J367" s="25">
        <v>45723</v>
      </c>
      <c r="K367" s="24" t="s">
        <v>38</v>
      </c>
      <c r="L367" s="26">
        <v>246779411051</v>
      </c>
      <c r="M367" s="23">
        <v>212100</v>
      </c>
      <c r="N367" s="24" t="s">
        <v>39</v>
      </c>
      <c r="O367" s="24" t="s">
        <v>40</v>
      </c>
      <c r="P367" s="23">
        <v>1</v>
      </c>
      <c r="Q367" s="24" t="s">
        <v>42</v>
      </c>
      <c r="R367" s="27">
        <v>17.350000000000001</v>
      </c>
      <c r="S367" s="24" t="s">
        <v>43</v>
      </c>
      <c r="T367" s="42">
        <v>1504.09</v>
      </c>
      <c r="U367" s="24" t="s">
        <v>44</v>
      </c>
      <c r="V367" s="23">
        <v>6779224500</v>
      </c>
      <c r="W367" s="24" t="s">
        <v>40</v>
      </c>
      <c r="X367" s="24" t="s">
        <v>38</v>
      </c>
      <c r="Y367" s="23">
        <v>1</v>
      </c>
      <c r="Z367" s="43" cm="1">
        <f t="array" ref="Z367:AA367">_xlfn.XLOOKUP(L367,'Customer Ledger'!$O:$O,'Customer Ledger'!$P:$Q,,0)</f>
        <v>0</v>
      </c>
      <c r="AA367" s="43">
        <v>1408</v>
      </c>
      <c r="AB367" s="43">
        <f t="shared" ref="AB367:AB430" si="75">AA367-Z367</f>
        <v>1408</v>
      </c>
      <c r="AC367" s="43">
        <f t="shared" ref="AC367:AC430" si="76">T367-AB367</f>
        <v>96.089999999999918</v>
      </c>
      <c r="AD367" s="51">
        <f t="shared" ref="AD367:AD430" si="77">AC367/T367</f>
        <v>6.3885804705835367E-2</v>
      </c>
      <c r="AE367" s="24" t="s">
        <v>348</v>
      </c>
      <c r="AF367" s="24" t="s">
        <v>40</v>
      </c>
      <c r="AG367" s="24" t="s">
        <v>40</v>
      </c>
      <c r="AH367" s="24" t="s">
        <v>40</v>
      </c>
      <c r="AI367" s="25">
        <v>45722</v>
      </c>
      <c r="AJ367" s="25"/>
      <c r="AK367" s="24" t="s">
        <v>40</v>
      </c>
    </row>
    <row r="368" spans="1:37" x14ac:dyDescent="0.35">
      <c r="A368" s="3" t="s">
        <v>32</v>
      </c>
      <c r="B368" s="3" t="s">
        <v>33</v>
      </c>
      <c r="C368" s="3" t="s">
        <v>34</v>
      </c>
      <c r="D368" s="3" t="s">
        <v>35</v>
      </c>
      <c r="E368" s="3" t="s">
        <v>114</v>
      </c>
      <c r="F368" s="4">
        <v>45720</v>
      </c>
      <c r="G368" s="23">
        <v>1800001119</v>
      </c>
      <c r="H368" s="24" t="s">
        <v>47</v>
      </c>
      <c r="I368" s="25">
        <v>45722</v>
      </c>
      <c r="J368" s="25">
        <v>45723</v>
      </c>
      <c r="K368" s="24" t="s">
        <v>38</v>
      </c>
      <c r="L368" s="26">
        <v>246779411055</v>
      </c>
      <c r="M368" s="23">
        <v>212100</v>
      </c>
      <c r="N368" s="24" t="s">
        <v>39</v>
      </c>
      <c r="O368" s="24" t="s">
        <v>40</v>
      </c>
      <c r="P368" s="23">
        <v>1</v>
      </c>
      <c r="Q368" s="24" t="s">
        <v>42</v>
      </c>
      <c r="R368" s="27">
        <v>17.350000000000001</v>
      </c>
      <c r="S368" s="24" t="s">
        <v>43</v>
      </c>
      <c r="T368" s="42">
        <v>1504.09</v>
      </c>
      <c r="U368" s="24" t="s">
        <v>44</v>
      </c>
      <c r="V368" s="23">
        <v>6779224500</v>
      </c>
      <c r="W368" s="24" t="s">
        <v>40</v>
      </c>
      <c r="X368" s="24" t="s">
        <v>38</v>
      </c>
      <c r="Y368" s="23">
        <v>1</v>
      </c>
      <c r="Z368" s="43" cm="1">
        <f t="array" ref="Z368:AA368">_xlfn.XLOOKUP(L368,'Customer Ledger'!$O:$O,'Customer Ledger'!$P:$Q,,0)</f>
        <v>0</v>
      </c>
      <c r="AA368" s="43">
        <v>1408</v>
      </c>
      <c r="AB368" s="43">
        <f t="shared" si="75"/>
        <v>1408</v>
      </c>
      <c r="AC368" s="43">
        <f t="shared" si="76"/>
        <v>96.089999999999918</v>
      </c>
      <c r="AD368" s="51">
        <f t="shared" si="77"/>
        <v>6.3885804705835367E-2</v>
      </c>
      <c r="AE368" s="24" t="s">
        <v>348</v>
      </c>
      <c r="AF368" s="24" t="s">
        <v>40</v>
      </c>
      <c r="AG368" s="24" t="s">
        <v>40</v>
      </c>
      <c r="AH368" s="24" t="s">
        <v>40</v>
      </c>
      <c r="AI368" s="25">
        <v>45722</v>
      </c>
      <c r="AJ368" s="25"/>
      <c r="AK368" s="24" t="s">
        <v>40</v>
      </c>
    </row>
    <row r="369" spans="1:37" x14ac:dyDescent="0.35">
      <c r="A369" s="3" t="s">
        <v>32</v>
      </c>
      <c r="B369" s="3" t="s">
        <v>33</v>
      </c>
      <c r="C369" s="3" t="s">
        <v>34</v>
      </c>
      <c r="D369" s="3" t="s">
        <v>35</v>
      </c>
      <c r="E369" s="3" t="s">
        <v>114</v>
      </c>
      <c r="F369" s="4">
        <v>45736</v>
      </c>
      <c r="G369" s="23">
        <v>1800006994</v>
      </c>
      <c r="H369" s="24" t="s">
        <v>47</v>
      </c>
      <c r="I369" s="25">
        <v>45763</v>
      </c>
      <c r="J369" s="25">
        <v>45764</v>
      </c>
      <c r="K369" s="24" t="s">
        <v>38</v>
      </c>
      <c r="L369" s="26">
        <v>256779411885</v>
      </c>
      <c r="M369" s="23">
        <v>212100</v>
      </c>
      <c r="N369" s="24" t="s">
        <v>39</v>
      </c>
      <c r="O369" s="24" t="s">
        <v>40</v>
      </c>
      <c r="P369" s="23">
        <v>1</v>
      </c>
      <c r="Q369" s="24" t="s">
        <v>42</v>
      </c>
      <c r="R369" s="27">
        <v>15</v>
      </c>
      <c r="S369" s="24" t="s">
        <v>43</v>
      </c>
      <c r="T369" s="42">
        <v>1303.83</v>
      </c>
      <c r="U369" s="24" t="s">
        <v>44</v>
      </c>
      <c r="V369" s="23">
        <v>6779224500</v>
      </c>
      <c r="W369" s="24" t="s">
        <v>40</v>
      </c>
      <c r="X369" s="24" t="s">
        <v>38</v>
      </c>
      <c r="Y369" s="23">
        <v>1</v>
      </c>
      <c r="Z369" s="43" cm="1">
        <f t="array" ref="Z369:AA369">_xlfn.XLOOKUP(L369,'Customer Ledger'!$O:$O,'Customer Ledger'!$P:$Q,,0)</f>
        <v>0</v>
      </c>
      <c r="AA369" s="43">
        <v>1256</v>
      </c>
      <c r="AB369" s="43">
        <f t="shared" si="75"/>
        <v>1256</v>
      </c>
      <c r="AC369" s="43">
        <f t="shared" si="76"/>
        <v>47.829999999999927</v>
      </c>
      <c r="AD369" s="51">
        <f t="shared" si="77"/>
        <v>3.6684230306098131E-2</v>
      </c>
      <c r="AE369" s="24" t="s">
        <v>217</v>
      </c>
      <c r="AF369" s="24" t="s">
        <v>40</v>
      </c>
      <c r="AG369" s="24" t="s">
        <v>40</v>
      </c>
      <c r="AH369" s="24" t="s">
        <v>40</v>
      </c>
      <c r="AI369" s="25">
        <v>45763</v>
      </c>
      <c r="AJ369" s="25"/>
      <c r="AK369" s="24" t="s">
        <v>40</v>
      </c>
    </row>
    <row r="370" spans="1:37" x14ac:dyDescent="0.35">
      <c r="A370" s="3" t="s">
        <v>32</v>
      </c>
      <c r="B370" s="3" t="s">
        <v>33</v>
      </c>
      <c r="C370" s="3" t="s">
        <v>34</v>
      </c>
      <c r="D370" s="3" t="s">
        <v>35</v>
      </c>
      <c r="E370" s="3" t="s">
        <v>81</v>
      </c>
      <c r="F370" s="4">
        <v>45798</v>
      </c>
      <c r="G370" s="23">
        <v>1800008663</v>
      </c>
      <c r="H370" s="24" t="s">
        <v>47</v>
      </c>
      <c r="I370" s="25">
        <v>45798</v>
      </c>
      <c r="J370" s="25">
        <v>45800</v>
      </c>
      <c r="K370" s="24" t="s">
        <v>38</v>
      </c>
      <c r="L370" s="26">
        <v>256779413427</v>
      </c>
      <c r="M370" s="23">
        <v>212100</v>
      </c>
      <c r="N370" s="24" t="s">
        <v>39</v>
      </c>
      <c r="O370" s="24" t="s">
        <v>40</v>
      </c>
      <c r="P370" s="23">
        <v>1</v>
      </c>
      <c r="Q370" s="24" t="s">
        <v>42</v>
      </c>
      <c r="R370" s="27">
        <v>11.75</v>
      </c>
      <c r="S370" s="24" t="s">
        <v>43</v>
      </c>
      <c r="T370" s="42">
        <v>1010.31</v>
      </c>
      <c r="U370" s="24" t="s">
        <v>44</v>
      </c>
      <c r="V370" s="23">
        <v>6779224500</v>
      </c>
      <c r="W370" s="24" t="s">
        <v>40</v>
      </c>
      <c r="X370" s="24" t="s">
        <v>38</v>
      </c>
      <c r="Y370" s="23">
        <v>1</v>
      </c>
      <c r="Z370" s="43" cm="1">
        <f t="array" ref="Z370:AA370">_xlfn.XLOOKUP(L370,'Customer Ledger'!$O:$O,'Customer Ledger'!$P:$Q,,0)</f>
        <v>0</v>
      </c>
      <c r="AA370" s="43">
        <v>990</v>
      </c>
      <c r="AB370" s="43">
        <f t="shared" si="75"/>
        <v>990</v>
      </c>
      <c r="AC370" s="43">
        <f t="shared" si="76"/>
        <v>20.309999999999945</v>
      </c>
      <c r="AD370" s="51">
        <f t="shared" si="77"/>
        <v>2.0102740742940231E-2</v>
      </c>
      <c r="AE370" s="24" t="s">
        <v>333</v>
      </c>
      <c r="AF370" s="24" t="s">
        <v>40</v>
      </c>
      <c r="AG370" s="24" t="s">
        <v>40</v>
      </c>
      <c r="AH370" s="24" t="s">
        <v>40</v>
      </c>
      <c r="AI370" s="25">
        <v>45798</v>
      </c>
      <c r="AJ370" s="25"/>
      <c r="AK370" s="24" t="s">
        <v>40</v>
      </c>
    </row>
    <row r="371" spans="1:37" x14ac:dyDescent="0.35">
      <c r="A371" s="3" t="s">
        <v>32</v>
      </c>
      <c r="B371" s="3" t="s">
        <v>33</v>
      </c>
      <c r="C371" s="3" t="s">
        <v>34</v>
      </c>
      <c r="D371" s="3" t="s">
        <v>35</v>
      </c>
      <c r="E371" s="3" t="s">
        <v>81</v>
      </c>
      <c r="F371" s="4">
        <v>45798</v>
      </c>
      <c r="G371" s="23">
        <v>1800008664</v>
      </c>
      <c r="H371" s="24" t="s">
        <v>47</v>
      </c>
      <c r="I371" s="25">
        <v>45798</v>
      </c>
      <c r="J371" s="25">
        <v>45800</v>
      </c>
      <c r="K371" s="24" t="s">
        <v>38</v>
      </c>
      <c r="L371" s="26">
        <v>256779413428</v>
      </c>
      <c r="M371" s="23">
        <v>212100</v>
      </c>
      <c r="N371" s="24" t="s">
        <v>39</v>
      </c>
      <c r="O371" s="24" t="s">
        <v>40</v>
      </c>
      <c r="P371" s="23">
        <v>1</v>
      </c>
      <c r="Q371" s="24" t="s">
        <v>42</v>
      </c>
      <c r="R371" s="27">
        <v>11.75</v>
      </c>
      <c r="S371" s="24" t="s">
        <v>43</v>
      </c>
      <c r="T371" s="42">
        <v>1010.31</v>
      </c>
      <c r="U371" s="24" t="s">
        <v>44</v>
      </c>
      <c r="V371" s="23">
        <v>6779224500</v>
      </c>
      <c r="W371" s="24" t="s">
        <v>40</v>
      </c>
      <c r="X371" s="24" t="s">
        <v>38</v>
      </c>
      <c r="Y371" s="23">
        <v>1</v>
      </c>
      <c r="Z371" s="43" cm="1">
        <f t="array" ref="Z371:AA371">_xlfn.XLOOKUP(L371,'Customer Ledger'!$O:$O,'Customer Ledger'!$P:$Q,,0)</f>
        <v>0</v>
      </c>
      <c r="AA371" s="43">
        <v>990</v>
      </c>
      <c r="AB371" s="43">
        <f t="shared" si="75"/>
        <v>990</v>
      </c>
      <c r="AC371" s="43">
        <f t="shared" si="76"/>
        <v>20.309999999999945</v>
      </c>
      <c r="AD371" s="51">
        <f t="shared" si="77"/>
        <v>2.0102740742940231E-2</v>
      </c>
      <c r="AE371" s="24" t="s">
        <v>334</v>
      </c>
      <c r="AF371" s="24" t="s">
        <v>40</v>
      </c>
      <c r="AG371" s="24" t="s">
        <v>40</v>
      </c>
      <c r="AH371" s="24" t="s">
        <v>40</v>
      </c>
      <c r="AI371" s="25">
        <v>45798</v>
      </c>
      <c r="AJ371" s="25"/>
      <c r="AK371" s="24" t="s">
        <v>40</v>
      </c>
    </row>
    <row r="372" spans="1:37" x14ac:dyDescent="0.35">
      <c r="A372" s="3" t="s">
        <v>32</v>
      </c>
      <c r="B372" s="3" t="s">
        <v>33</v>
      </c>
      <c r="C372" s="3" t="s">
        <v>34</v>
      </c>
      <c r="D372" s="3" t="s">
        <v>35</v>
      </c>
      <c r="E372" s="3" t="s">
        <v>135</v>
      </c>
      <c r="F372" s="4">
        <v>45918</v>
      </c>
      <c r="G372" s="23">
        <v>1800012858</v>
      </c>
      <c r="H372" s="24" t="s">
        <v>47</v>
      </c>
      <c r="I372" s="25">
        <v>45918</v>
      </c>
      <c r="J372" s="25">
        <v>45922</v>
      </c>
      <c r="K372" s="24" t="s">
        <v>38</v>
      </c>
      <c r="L372" s="26">
        <v>256779417594</v>
      </c>
      <c r="M372" s="23">
        <v>212100</v>
      </c>
      <c r="N372" s="24" t="s">
        <v>39</v>
      </c>
      <c r="O372" s="24" t="s">
        <v>40</v>
      </c>
      <c r="P372" s="23">
        <v>1</v>
      </c>
      <c r="Q372" s="24" t="s">
        <v>42</v>
      </c>
      <c r="R372" s="27">
        <v>11.75</v>
      </c>
      <c r="S372" s="24" t="s">
        <v>43</v>
      </c>
      <c r="T372" s="42">
        <v>1028.29</v>
      </c>
      <c r="U372" s="24" t="s">
        <v>44</v>
      </c>
      <c r="V372" s="23">
        <v>6779224500</v>
      </c>
      <c r="W372" s="24" t="s">
        <v>40</v>
      </c>
      <c r="X372" s="23">
        <v>2102528</v>
      </c>
      <c r="Y372" s="23">
        <v>1</v>
      </c>
      <c r="Z372" s="43" cm="1">
        <f t="array" ref="Z372:AA372">_xlfn.XLOOKUP(L372,'Customer Ledger'!$O:$O,'Customer Ledger'!$P:$Q,,0)</f>
        <v>0</v>
      </c>
      <c r="AA372" s="43">
        <v>1028.2935</v>
      </c>
      <c r="AB372" s="43">
        <f t="shared" si="75"/>
        <v>1028.2935</v>
      </c>
      <c r="AC372" s="43">
        <f t="shared" si="76"/>
        <v>-3.5000000000309228E-3</v>
      </c>
      <c r="AD372" s="51">
        <f t="shared" si="77"/>
        <v>-3.4037090704285006E-6</v>
      </c>
      <c r="AE372" s="24" t="s">
        <v>335</v>
      </c>
      <c r="AF372" s="24" t="s">
        <v>40</v>
      </c>
      <c r="AG372" s="24" t="s">
        <v>40</v>
      </c>
      <c r="AH372" s="24" t="s">
        <v>40</v>
      </c>
      <c r="AI372" s="25">
        <v>45918</v>
      </c>
      <c r="AJ372" s="25"/>
      <c r="AK372" s="24" t="s">
        <v>40</v>
      </c>
    </row>
    <row r="373" spans="1:37" x14ac:dyDescent="0.35">
      <c r="A373" s="3" t="s">
        <v>32</v>
      </c>
      <c r="B373" s="3" t="s">
        <v>33</v>
      </c>
      <c r="C373" s="3" t="s">
        <v>34</v>
      </c>
      <c r="D373" s="3" t="s">
        <v>35</v>
      </c>
      <c r="E373" s="3" t="s">
        <v>95</v>
      </c>
      <c r="F373" s="4">
        <v>45937</v>
      </c>
      <c r="G373" s="23">
        <v>1800013527</v>
      </c>
      <c r="H373" s="24" t="s">
        <v>47</v>
      </c>
      <c r="I373" s="25">
        <v>45937</v>
      </c>
      <c r="J373" s="25">
        <v>45940</v>
      </c>
      <c r="K373" s="24" t="s">
        <v>38</v>
      </c>
      <c r="L373" s="26">
        <v>256779418351</v>
      </c>
      <c r="M373" s="23">
        <v>212100</v>
      </c>
      <c r="N373" s="24" t="s">
        <v>39</v>
      </c>
      <c r="O373" s="24" t="s">
        <v>40</v>
      </c>
      <c r="P373" s="23">
        <v>1</v>
      </c>
      <c r="Q373" s="24" t="s">
        <v>42</v>
      </c>
      <c r="R373" s="27">
        <v>11.75</v>
      </c>
      <c r="S373" s="24" t="s">
        <v>43</v>
      </c>
      <c r="T373" s="42">
        <v>1036.24</v>
      </c>
      <c r="U373" s="24" t="s">
        <v>44</v>
      </c>
      <c r="V373" s="23">
        <v>6779224500</v>
      </c>
      <c r="W373" s="24" t="s">
        <v>40</v>
      </c>
      <c r="X373" s="23">
        <v>2110864</v>
      </c>
      <c r="Y373" s="23">
        <v>1</v>
      </c>
      <c r="Z373" s="43" cm="1">
        <f t="array" ref="Z373:AA373">_xlfn.XLOOKUP(L373,'Customer Ledger'!$O:$O,'Customer Ledger'!$P:$Q,,0)</f>
        <v>0</v>
      </c>
      <c r="AA373" s="43">
        <v>1036.08</v>
      </c>
      <c r="AB373" s="43">
        <f t="shared" si="75"/>
        <v>1036.08</v>
      </c>
      <c r="AC373" s="43">
        <f t="shared" si="76"/>
        <v>0.16000000000008185</v>
      </c>
      <c r="AD373" s="51">
        <f t="shared" si="77"/>
        <v>1.5440438508461539E-4</v>
      </c>
      <c r="AE373" s="24" t="s">
        <v>336</v>
      </c>
      <c r="AF373" s="24" t="s">
        <v>40</v>
      </c>
      <c r="AG373" s="24" t="s">
        <v>40</v>
      </c>
      <c r="AH373" s="24" t="s">
        <v>40</v>
      </c>
      <c r="AI373" s="25">
        <v>45937</v>
      </c>
      <c r="AJ373" s="25"/>
      <c r="AK373" s="24" t="s">
        <v>40</v>
      </c>
    </row>
    <row r="374" spans="1:37" x14ac:dyDescent="0.35">
      <c r="A374" s="3" t="s">
        <v>32</v>
      </c>
      <c r="B374" s="3" t="s">
        <v>33</v>
      </c>
      <c r="C374" s="3" t="s">
        <v>34</v>
      </c>
      <c r="D374" s="3" t="s">
        <v>35</v>
      </c>
      <c r="E374" s="3" t="s">
        <v>114</v>
      </c>
      <c r="F374" s="4">
        <v>45720</v>
      </c>
      <c r="G374" s="23">
        <v>1800004813</v>
      </c>
      <c r="H374" s="24" t="s">
        <v>47</v>
      </c>
      <c r="I374" s="25">
        <v>45736</v>
      </c>
      <c r="J374" s="25">
        <v>45737</v>
      </c>
      <c r="K374" s="24" t="s">
        <v>38</v>
      </c>
      <c r="L374" s="26">
        <v>246779414681</v>
      </c>
      <c r="M374" s="23">
        <v>212100</v>
      </c>
      <c r="N374" s="24" t="s">
        <v>39</v>
      </c>
      <c r="O374" s="24" t="s">
        <v>40</v>
      </c>
      <c r="P374" s="23">
        <v>1</v>
      </c>
      <c r="Q374" s="24" t="s">
        <v>42</v>
      </c>
      <c r="R374" s="27">
        <v>15</v>
      </c>
      <c r="S374" s="24" t="s">
        <v>43</v>
      </c>
      <c r="T374" s="42">
        <v>1300.3699999999999</v>
      </c>
      <c r="U374" s="24" t="s">
        <v>44</v>
      </c>
      <c r="V374" s="23">
        <v>6779224500</v>
      </c>
      <c r="W374" s="24" t="s">
        <v>40</v>
      </c>
      <c r="X374" s="24" t="s">
        <v>38</v>
      </c>
      <c r="Y374" s="23">
        <v>1</v>
      </c>
      <c r="Z374" s="43" cm="1">
        <f t="array" ref="Z374:AA374">_xlfn.XLOOKUP(L374,'Customer Ledger'!$O:$O,'Customer Ledger'!$P:$Q,,0)</f>
        <v>0</v>
      </c>
      <c r="AA374" s="43">
        <v>1268</v>
      </c>
      <c r="AB374" s="43">
        <f t="shared" si="75"/>
        <v>1268</v>
      </c>
      <c r="AC374" s="43">
        <f t="shared" si="76"/>
        <v>32.369999999999891</v>
      </c>
      <c r="AD374" s="51">
        <f t="shared" si="77"/>
        <v>2.4892915093396414E-2</v>
      </c>
      <c r="AE374" s="24" t="s">
        <v>295</v>
      </c>
      <c r="AF374" s="24" t="s">
        <v>40</v>
      </c>
      <c r="AG374" s="24" t="s">
        <v>40</v>
      </c>
      <c r="AH374" s="24" t="s">
        <v>40</v>
      </c>
      <c r="AI374" s="25">
        <v>45736</v>
      </c>
      <c r="AJ374" s="25"/>
      <c r="AK374" s="24" t="s">
        <v>40</v>
      </c>
    </row>
    <row r="375" spans="1:37" x14ac:dyDescent="0.35">
      <c r="A375" s="3" t="s">
        <v>32</v>
      </c>
      <c r="B375" s="3" t="s">
        <v>33</v>
      </c>
      <c r="C375" s="3" t="s">
        <v>34</v>
      </c>
      <c r="D375" s="3" t="s">
        <v>35</v>
      </c>
      <c r="E375" s="3" t="s">
        <v>114</v>
      </c>
      <c r="F375" s="4">
        <v>45720</v>
      </c>
      <c r="G375" s="23">
        <v>1800003874</v>
      </c>
      <c r="H375" s="24" t="s">
        <v>47</v>
      </c>
      <c r="I375" s="25">
        <v>45736</v>
      </c>
      <c r="J375" s="25">
        <v>45736</v>
      </c>
      <c r="K375" s="24" t="s">
        <v>38</v>
      </c>
      <c r="L375" s="26">
        <v>246779413742</v>
      </c>
      <c r="M375" s="23">
        <v>212100</v>
      </c>
      <c r="N375" s="24" t="s">
        <v>39</v>
      </c>
      <c r="O375" s="24" t="s">
        <v>40</v>
      </c>
      <c r="P375" s="23">
        <v>1</v>
      </c>
      <c r="Q375" s="24" t="s">
        <v>42</v>
      </c>
      <c r="R375" s="27">
        <v>14.1</v>
      </c>
      <c r="S375" s="24" t="s">
        <v>43</v>
      </c>
      <c r="T375" s="42">
        <v>1222.3499999999999</v>
      </c>
      <c r="U375" s="24" t="s">
        <v>44</v>
      </c>
      <c r="V375" s="23">
        <v>6779224500</v>
      </c>
      <c r="W375" s="24" t="s">
        <v>40</v>
      </c>
      <c r="X375" s="24" t="s">
        <v>38</v>
      </c>
      <c r="Y375" s="23">
        <v>1</v>
      </c>
      <c r="Z375" s="43" cm="1">
        <f t="array" ref="Z375:AA375">_xlfn.XLOOKUP(L375,'Customer Ledger'!$O:$O,'Customer Ledger'!$P:$Q,,0)</f>
        <v>0</v>
      </c>
      <c r="AA375" s="43">
        <v>1149</v>
      </c>
      <c r="AB375" s="43">
        <f t="shared" si="75"/>
        <v>1149</v>
      </c>
      <c r="AC375" s="43">
        <f t="shared" si="76"/>
        <v>73.349999999999909</v>
      </c>
      <c r="AD375" s="51">
        <f t="shared" si="77"/>
        <v>6.0007362866609328E-2</v>
      </c>
      <c r="AE375" s="24" t="s">
        <v>286</v>
      </c>
      <c r="AF375" s="24" t="s">
        <v>40</v>
      </c>
      <c r="AG375" s="24" t="s">
        <v>40</v>
      </c>
      <c r="AH375" s="24" t="s">
        <v>40</v>
      </c>
      <c r="AI375" s="25">
        <v>45736</v>
      </c>
      <c r="AJ375" s="25"/>
      <c r="AK375" s="24" t="s">
        <v>40</v>
      </c>
    </row>
    <row r="376" spans="1:37" x14ac:dyDescent="0.35">
      <c r="A376" s="3" t="s">
        <v>32</v>
      </c>
      <c r="B376" s="3" t="s">
        <v>33</v>
      </c>
      <c r="C376" s="3" t="s">
        <v>34</v>
      </c>
      <c r="D376" s="3" t="s">
        <v>35</v>
      </c>
      <c r="E376" s="3" t="s">
        <v>114</v>
      </c>
      <c r="F376" s="4">
        <v>45720</v>
      </c>
      <c r="G376" s="23">
        <v>1800000740</v>
      </c>
      <c r="H376" s="24" t="s">
        <v>47</v>
      </c>
      <c r="I376" s="25">
        <v>45720</v>
      </c>
      <c r="J376" s="25">
        <v>45720</v>
      </c>
      <c r="K376" s="24" t="s">
        <v>38</v>
      </c>
      <c r="L376" s="26">
        <v>246779410680</v>
      </c>
      <c r="M376" s="23">
        <v>212100</v>
      </c>
      <c r="N376" s="24" t="s">
        <v>39</v>
      </c>
      <c r="O376" s="24" t="s">
        <v>40</v>
      </c>
      <c r="P376" s="23">
        <v>1</v>
      </c>
      <c r="Q376" s="24" t="s">
        <v>42</v>
      </c>
      <c r="R376" s="27">
        <v>14.1</v>
      </c>
      <c r="S376" s="24" t="s">
        <v>43</v>
      </c>
      <c r="T376" s="42">
        <v>1222.3499999999999</v>
      </c>
      <c r="U376" s="24" t="s">
        <v>44</v>
      </c>
      <c r="V376" s="23">
        <v>6779224500</v>
      </c>
      <c r="W376" s="24" t="s">
        <v>40</v>
      </c>
      <c r="X376" s="24" t="s">
        <v>38</v>
      </c>
      <c r="Y376" s="23">
        <v>1</v>
      </c>
      <c r="Z376" s="43" cm="1">
        <f t="array" ref="Z376:AA376">_xlfn.XLOOKUP(L376,'Customer Ledger'!$O:$O,'Customer Ledger'!$P:$Q,,0)</f>
        <v>0</v>
      </c>
      <c r="AA376" s="43">
        <v>1207</v>
      </c>
      <c r="AB376" s="43">
        <f t="shared" si="75"/>
        <v>1207</v>
      </c>
      <c r="AC376" s="43">
        <f t="shared" si="76"/>
        <v>15.349999999999909</v>
      </c>
      <c r="AD376" s="51">
        <f t="shared" si="77"/>
        <v>1.2557778050476467E-2</v>
      </c>
      <c r="AE376" s="24" t="s">
        <v>337</v>
      </c>
      <c r="AF376" s="24" t="s">
        <v>40</v>
      </c>
      <c r="AG376" s="24" t="s">
        <v>40</v>
      </c>
      <c r="AH376" s="24" t="s">
        <v>40</v>
      </c>
      <c r="AI376" s="25">
        <v>45720</v>
      </c>
      <c r="AJ376" s="25"/>
      <c r="AK376" s="24" t="s">
        <v>40</v>
      </c>
    </row>
    <row r="377" spans="1:37" x14ac:dyDescent="0.35">
      <c r="A377" s="3" t="s">
        <v>32</v>
      </c>
      <c r="B377" s="3" t="s">
        <v>33</v>
      </c>
      <c r="C377" s="3" t="s">
        <v>34</v>
      </c>
      <c r="D377" s="3" t="s">
        <v>35</v>
      </c>
      <c r="E377" s="3" t="s">
        <v>114</v>
      </c>
      <c r="F377" s="4">
        <v>45720</v>
      </c>
      <c r="G377" s="23">
        <v>1800000821</v>
      </c>
      <c r="H377" s="24" t="s">
        <v>47</v>
      </c>
      <c r="I377" s="25">
        <v>45720</v>
      </c>
      <c r="J377" s="25">
        <v>45721</v>
      </c>
      <c r="K377" s="24" t="s">
        <v>38</v>
      </c>
      <c r="L377" s="26">
        <v>246779410761</v>
      </c>
      <c r="M377" s="23">
        <v>212100</v>
      </c>
      <c r="N377" s="24" t="s">
        <v>39</v>
      </c>
      <c r="O377" s="24" t="s">
        <v>40</v>
      </c>
      <c r="P377" s="23">
        <v>1</v>
      </c>
      <c r="Q377" s="24" t="s">
        <v>42</v>
      </c>
      <c r="R377" s="27">
        <v>14.1</v>
      </c>
      <c r="S377" s="24" t="s">
        <v>43</v>
      </c>
      <c r="T377" s="42">
        <v>1222.3499999999999</v>
      </c>
      <c r="U377" s="24" t="s">
        <v>44</v>
      </c>
      <c r="V377" s="23">
        <v>6779224500</v>
      </c>
      <c r="W377" s="24" t="s">
        <v>40</v>
      </c>
      <c r="X377" s="24" t="s">
        <v>38</v>
      </c>
      <c r="Y377" s="23">
        <v>1</v>
      </c>
      <c r="Z377" s="43" cm="1">
        <f t="array" ref="Z377:AA377">_xlfn.XLOOKUP(L377,'Customer Ledger'!$O:$O,'Customer Ledger'!$P:$Q,,0)</f>
        <v>0</v>
      </c>
      <c r="AA377" s="43">
        <v>1207</v>
      </c>
      <c r="AB377" s="43">
        <f t="shared" si="75"/>
        <v>1207</v>
      </c>
      <c r="AC377" s="43">
        <f t="shared" si="76"/>
        <v>15.349999999999909</v>
      </c>
      <c r="AD377" s="51">
        <f t="shared" si="77"/>
        <v>1.2557778050476467E-2</v>
      </c>
      <c r="AE377" s="24" t="s">
        <v>332</v>
      </c>
      <c r="AF377" s="24" t="s">
        <v>40</v>
      </c>
      <c r="AG377" s="24" t="s">
        <v>40</v>
      </c>
      <c r="AH377" s="24" t="s">
        <v>40</v>
      </c>
      <c r="AI377" s="25">
        <v>45720</v>
      </c>
      <c r="AJ377" s="25"/>
      <c r="AK377" s="24" t="s">
        <v>40</v>
      </c>
    </row>
    <row r="378" spans="1:37" x14ac:dyDescent="0.35">
      <c r="A378" s="3" t="s">
        <v>32</v>
      </c>
      <c r="B378" s="3" t="s">
        <v>33</v>
      </c>
      <c r="C378" s="3" t="s">
        <v>34</v>
      </c>
      <c r="D378" s="3" t="s">
        <v>35</v>
      </c>
      <c r="E378" s="3" t="s">
        <v>114</v>
      </c>
      <c r="F378" s="4">
        <v>45720</v>
      </c>
      <c r="G378" s="23">
        <v>1800000913</v>
      </c>
      <c r="H378" s="24" t="s">
        <v>47</v>
      </c>
      <c r="I378" s="25">
        <v>45720</v>
      </c>
      <c r="J378" s="25">
        <v>45721</v>
      </c>
      <c r="K378" s="24" t="s">
        <v>38</v>
      </c>
      <c r="L378" s="26">
        <v>246779410854</v>
      </c>
      <c r="M378" s="23">
        <v>212100</v>
      </c>
      <c r="N378" s="24" t="s">
        <v>39</v>
      </c>
      <c r="O378" s="24" t="s">
        <v>40</v>
      </c>
      <c r="P378" s="23">
        <v>1</v>
      </c>
      <c r="Q378" s="24" t="s">
        <v>42</v>
      </c>
      <c r="R378" s="27">
        <v>14.1</v>
      </c>
      <c r="S378" s="24" t="s">
        <v>43</v>
      </c>
      <c r="T378" s="42">
        <v>1222.3499999999999</v>
      </c>
      <c r="U378" s="24" t="s">
        <v>44</v>
      </c>
      <c r="V378" s="23">
        <v>6779224500</v>
      </c>
      <c r="W378" s="24" t="s">
        <v>40</v>
      </c>
      <c r="X378" s="24" t="s">
        <v>38</v>
      </c>
      <c r="Y378" s="23">
        <v>1</v>
      </c>
      <c r="Z378" s="43" cm="1">
        <f t="array" ref="Z378:AA378">_xlfn.XLOOKUP(L378,'Customer Ledger'!$O:$O,'Customer Ledger'!$P:$Q,,0)</f>
        <v>0</v>
      </c>
      <c r="AA378" s="43">
        <v>1145</v>
      </c>
      <c r="AB378" s="43">
        <f t="shared" si="75"/>
        <v>1145</v>
      </c>
      <c r="AC378" s="43">
        <f t="shared" si="76"/>
        <v>77.349999999999909</v>
      </c>
      <c r="AD378" s="51">
        <f t="shared" si="77"/>
        <v>6.3279748026342633E-2</v>
      </c>
      <c r="AE378" s="24" t="s">
        <v>338</v>
      </c>
      <c r="AF378" s="24" t="s">
        <v>40</v>
      </c>
      <c r="AG378" s="24" t="s">
        <v>40</v>
      </c>
      <c r="AH378" s="24" t="s">
        <v>40</v>
      </c>
      <c r="AI378" s="25">
        <v>45720</v>
      </c>
      <c r="AJ378" s="25"/>
      <c r="AK378" s="24" t="s">
        <v>40</v>
      </c>
    </row>
    <row r="379" spans="1:37" x14ac:dyDescent="0.35">
      <c r="A379" s="3" t="s">
        <v>32</v>
      </c>
      <c r="B379" s="3" t="s">
        <v>33</v>
      </c>
      <c r="C379" s="3" t="s">
        <v>34</v>
      </c>
      <c r="D379" s="3" t="s">
        <v>35</v>
      </c>
      <c r="E379" s="3" t="s">
        <v>114</v>
      </c>
      <c r="F379" s="4">
        <v>45720</v>
      </c>
      <c r="G379" s="23">
        <v>1800000672</v>
      </c>
      <c r="H379" s="24" t="s">
        <v>47</v>
      </c>
      <c r="I379" s="25">
        <v>45719</v>
      </c>
      <c r="J379" s="25">
        <v>45720</v>
      </c>
      <c r="K379" s="24" t="s">
        <v>38</v>
      </c>
      <c r="L379" s="26">
        <v>246779410612</v>
      </c>
      <c r="M379" s="23">
        <v>212100</v>
      </c>
      <c r="N379" s="24" t="s">
        <v>39</v>
      </c>
      <c r="O379" s="24" t="s">
        <v>40</v>
      </c>
      <c r="P379" s="23">
        <v>1</v>
      </c>
      <c r="Q379" s="24" t="s">
        <v>42</v>
      </c>
      <c r="R379" s="27">
        <v>11.75</v>
      </c>
      <c r="S379" s="24" t="s">
        <v>43</v>
      </c>
      <c r="T379" s="42">
        <v>1018.62</v>
      </c>
      <c r="U379" s="24" t="s">
        <v>44</v>
      </c>
      <c r="V379" s="23">
        <v>6779224500</v>
      </c>
      <c r="W379" s="24" t="s">
        <v>40</v>
      </c>
      <c r="X379" s="24" t="s">
        <v>38</v>
      </c>
      <c r="Y379" s="23">
        <v>1</v>
      </c>
      <c r="Z379" s="43" cm="1">
        <f t="array" ref="Z379:AA379">_xlfn.XLOOKUP(L379,'Customer Ledger'!$O:$O,'Customer Ledger'!$P:$Q,,0)</f>
        <v>0</v>
      </c>
      <c r="AA379" s="43">
        <v>1004</v>
      </c>
      <c r="AB379" s="43">
        <f t="shared" si="75"/>
        <v>1004</v>
      </c>
      <c r="AC379" s="43">
        <f t="shared" si="76"/>
        <v>14.620000000000005</v>
      </c>
      <c r="AD379" s="51">
        <f t="shared" si="77"/>
        <v>1.4352751762188063E-2</v>
      </c>
      <c r="AE379" s="24" t="s">
        <v>331</v>
      </c>
      <c r="AF379" s="24" t="s">
        <v>40</v>
      </c>
      <c r="AG379" s="24" t="s">
        <v>40</v>
      </c>
      <c r="AH379" s="24" t="s">
        <v>40</v>
      </c>
      <c r="AI379" s="25">
        <v>45719</v>
      </c>
      <c r="AJ379" s="25"/>
      <c r="AK379" s="24" t="s">
        <v>40</v>
      </c>
    </row>
    <row r="380" spans="1:37" x14ac:dyDescent="0.35">
      <c r="A380" s="3" t="s">
        <v>32</v>
      </c>
      <c r="B380" s="3" t="s">
        <v>33</v>
      </c>
      <c r="C380" s="3" t="s">
        <v>34</v>
      </c>
      <c r="D380" s="3" t="s">
        <v>35</v>
      </c>
      <c r="E380" s="3" t="s">
        <v>114</v>
      </c>
      <c r="F380" s="4">
        <v>45720</v>
      </c>
      <c r="G380" s="23">
        <v>1800000820</v>
      </c>
      <c r="H380" s="24" t="s">
        <v>47</v>
      </c>
      <c r="I380" s="25">
        <v>45720</v>
      </c>
      <c r="J380" s="25">
        <v>45721</v>
      </c>
      <c r="K380" s="24" t="s">
        <v>38</v>
      </c>
      <c r="L380" s="26">
        <v>246779410760</v>
      </c>
      <c r="M380" s="23">
        <v>212100</v>
      </c>
      <c r="N380" s="24" t="s">
        <v>39</v>
      </c>
      <c r="O380" s="24" t="s">
        <v>40</v>
      </c>
      <c r="P380" s="23">
        <v>1</v>
      </c>
      <c r="Q380" s="24" t="s">
        <v>42</v>
      </c>
      <c r="R380" s="27">
        <v>11.75</v>
      </c>
      <c r="S380" s="24" t="s">
        <v>43</v>
      </c>
      <c r="T380" s="42">
        <v>1018.62</v>
      </c>
      <c r="U380" s="24" t="s">
        <v>44</v>
      </c>
      <c r="V380" s="23">
        <v>6779224500</v>
      </c>
      <c r="W380" s="24" t="s">
        <v>40</v>
      </c>
      <c r="X380" s="24" t="s">
        <v>38</v>
      </c>
      <c r="Y380" s="23">
        <v>1</v>
      </c>
      <c r="Z380" s="43" cm="1">
        <f t="array" ref="Z380:AA380">_xlfn.XLOOKUP(L380,'Customer Ledger'!$O:$O,'Customer Ledger'!$P:$Q,,0)</f>
        <v>0</v>
      </c>
      <c r="AA380" s="43">
        <v>1006</v>
      </c>
      <c r="AB380" s="43">
        <f t="shared" si="75"/>
        <v>1006</v>
      </c>
      <c r="AC380" s="43">
        <f t="shared" si="76"/>
        <v>12.620000000000005</v>
      </c>
      <c r="AD380" s="51">
        <f t="shared" si="77"/>
        <v>1.2389311028646604E-2</v>
      </c>
      <c r="AE380" s="24" t="s">
        <v>332</v>
      </c>
      <c r="AF380" s="24" t="s">
        <v>40</v>
      </c>
      <c r="AG380" s="24" t="s">
        <v>40</v>
      </c>
      <c r="AH380" s="24" t="s">
        <v>40</v>
      </c>
      <c r="AI380" s="25">
        <v>45720</v>
      </c>
      <c r="AJ380" s="25"/>
      <c r="AK380" s="24" t="s">
        <v>40</v>
      </c>
    </row>
    <row r="381" spans="1:37" x14ac:dyDescent="0.35">
      <c r="A381" s="3" t="s">
        <v>32</v>
      </c>
      <c r="B381" s="3" t="s">
        <v>33</v>
      </c>
      <c r="C381" s="3" t="s">
        <v>34</v>
      </c>
      <c r="D381" s="3" t="s">
        <v>35</v>
      </c>
      <c r="E381" s="3" t="s">
        <v>114</v>
      </c>
      <c r="F381" s="4">
        <v>45720</v>
      </c>
      <c r="G381" s="23">
        <v>1800003904</v>
      </c>
      <c r="H381" s="24" t="s">
        <v>47</v>
      </c>
      <c r="I381" s="25">
        <v>45736</v>
      </c>
      <c r="J381" s="25">
        <v>45736</v>
      </c>
      <c r="K381" s="24" t="s">
        <v>38</v>
      </c>
      <c r="L381" s="26">
        <v>246779413772</v>
      </c>
      <c r="M381" s="23">
        <v>212100</v>
      </c>
      <c r="N381" s="24" t="s">
        <v>39</v>
      </c>
      <c r="O381" s="24" t="s">
        <v>40</v>
      </c>
      <c r="P381" s="23">
        <v>1</v>
      </c>
      <c r="Q381" s="24" t="s">
        <v>42</v>
      </c>
      <c r="R381" s="27">
        <v>11.75</v>
      </c>
      <c r="S381" s="24" t="s">
        <v>43</v>
      </c>
      <c r="T381" s="42">
        <v>1018.62</v>
      </c>
      <c r="U381" s="24" t="s">
        <v>44</v>
      </c>
      <c r="V381" s="23">
        <v>6779224500</v>
      </c>
      <c r="W381" s="24" t="s">
        <v>40</v>
      </c>
      <c r="X381" s="24" t="s">
        <v>38</v>
      </c>
      <c r="Y381" s="23">
        <v>1</v>
      </c>
      <c r="Z381" s="43" cm="1">
        <f t="array" ref="Z381:AA381">_xlfn.XLOOKUP(L381,'Customer Ledger'!$O:$O,'Customer Ledger'!$P:$Q,,0)</f>
        <v>0</v>
      </c>
      <c r="AA381" s="43">
        <v>994</v>
      </c>
      <c r="AB381" s="43">
        <f t="shared" si="75"/>
        <v>994</v>
      </c>
      <c r="AC381" s="43">
        <f t="shared" si="76"/>
        <v>24.620000000000005</v>
      </c>
      <c r="AD381" s="51">
        <f t="shared" si="77"/>
        <v>2.4169955429895352E-2</v>
      </c>
      <c r="AE381" s="24" t="s">
        <v>90</v>
      </c>
      <c r="AF381" s="24" t="s">
        <v>40</v>
      </c>
      <c r="AG381" s="24" t="s">
        <v>40</v>
      </c>
      <c r="AH381" s="24" t="s">
        <v>40</v>
      </c>
      <c r="AI381" s="25">
        <v>45736</v>
      </c>
      <c r="AJ381" s="25"/>
      <c r="AK381" s="24" t="s">
        <v>40</v>
      </c>
    </row>
    <row r="382" spans="1:37" x14ac:dyDescent="0.35">
      <c r="A382" s="3" t="s">
        <v>32</v>
      </c>
      <c r="B382" s="3" t="s">
        <v>33</v>
      </c>
      <c r="C382" s="3" t="s">
        <v>34</v>
      </c>
      <c r="D382" s="3" t="s">
        <v>35</v>
      </c>
      <c r="E382" s="3" t="s">
        <v>114</v>
      </c>
      <c r="F382" s="4">
        <v>45720</v>
      </c>
      <c r="G382" s="23">
        <v>1800004077</v>
      </c>
      <c r="H382" s="24" t="s">
        <v>47</v>
      </c>
      <c r="I382" s="25">
        <v>45736</v>
      </c>
      <c r="J382" s="25">
        <v>45737</v>
      </c>
      <c r="K382" s="24" t="s">
        <v>38</v>
      </c>
      <c r="L382" s="26">
        <v>246779413933</v>
      </c>
      <c r="M382" s="23">
        <v>212100</v>
      </c>
      <c r="N382" s="24" t="s">
        <v>39</v>
      </c>
      <c r="O382" s="24" t="s">
        <v>40</v>
      </c>
      <c r="P382" s="23">
        <v>1</v>
      </c>
      <c r="Q382" s="24" t="s">
        <v>42</v>
      </c>
      <c r="R382" s="27">
        <v>10</v>
      </c>
      <c r="S382" s="24" t="s">
        <v>43</v>
      </c>
      <c r="T382" s="42">
        <v>866.91</v>
      </c>
      <c r="U382" s="24" t="s">
        <v>44</v>
      </c>
      <c r="V382" s="23">
        <v>6779224500</v>
      </c>
      <c r="W382" s="24" t="s">
        <v>40</v>
      </c>
      <c r="X382" s="24" t="s">
        <v>38</v>
      </c>
      <c r="Y382" s="23">
        <v>1</v>
      </c>
      <c r="Z382" s="43" cm="1">
        <f t="array" ref="Z382:AA382">_xlfn.XLOOKUP(L382,'Customer Ledger'!$O:$O,'Customer Ledger'!$P:$Q,,0)</f>
        <v>0</v>
      </c>
      <c r="AA382" s="43">
        <v>846</v>
      </c>
      <c r="AB382" s="43">
        <f t="shared" si="75"/>
        <v>846</v>
      </c>
      <c r="AC382" s="43">
        <f t="shared" si="76"/>
        <v>20.909999999999968</v>
      </c>
      <c r="AD382" s="51">
        <f t="shared" si="77"/>
        <v>2.4120150880714224E-2</v>
      </c>
      <c r="AE382" s="24" t="s">
        <v>90</v>
      </c>
      <c r="AF382" s="24" t="s">
        <v>40</v>
      </c>
      <c r="AG382" s="24" t="s">
        <v>40</v>
      </c>
      <c r="AH382" s="24" t="s">
        <v>40</v>
      </c>
      <c r="AI382" s="25">
        <v>45736</v>
      </c>
      <c r="AJ382" s="25"/>
      <c r="AK382" s="24" t="s">
        <v>40</v>
      </c>
    </row>
    <row r="383" spans="1:37" x14ac:dyDescent="0.35">
      <c r="A383" s="3" t="s">
        <v>32</v>
      </c>
      <c r="B383" s="3" t="s">
        <v>33</v>
      </c>
      <c r="C383" s="3" t="s">
        <v>34</v>
      </c>
      <c r="D383" s="3" t="s">
        <v>35</v>
      </c>
      <c r="E383" s="3" t="s">
        <v>114</v>
      </c>
      <c r="F383" s="4">
        <v>45720</v>
      </c>
      <c r="G383" s="23">
        <v>1800006673</v>
      </c>
      <c r="H383" s="24" t="s">
        <v>47</v>
      </c>
      <c r="I383" s="25">
        <v>45762</v>
      </c>
      <c r="J383" s="25">
        <v>45763</v>
      </c>
      <c r="K383" s="24" t="s">
        <v>38</v>
      </c>
      <c r="L383" s="26">
        <v>256779411564</v>
      </c>
      <c r="M383" s="23">
        <v>212100</v>
      </c>
      <c r="N383" s="24" t="s">
        <v>39</v>
      </c>
      <c r="O383" s="24" t="s">
        <v>40</v>
      </c>
      <c r="P383" s="23">
        <v>1</v>
      </c>
      <c r="Q383" s="24" t="s">
        <v>42</v>
      </c>
      <c r="R383" s="27">
        <v>9.4</v>
      </c>
      <c r="S383" s="24" t="s">
        <v>43</v>
      </c>
      <c r="T383" s="42">
        <v>817.07</v>
      </c>
      <c r="U383" s="24" t="s">
        <v>44</v>
      </c>
      <c r="V383" s="24" t="s">
        <v>40</v>
      </c>
      <c r="W383" s="24" t="s">
        <v>40</v>
      </c>
      <c r="X383" s="24" t="s">
        <v>38</v>
      </c>
      <c r="Y383" s="23">
        <v>1</v>
      </c>
      <c r="Z383" s="43" cm="1">
        <f t="array" ref="Z383:AA383">_xlfn.XLOOKUP(L383,'Customer Ledger'!$O:$O,'Customer Ledger'!$P:$Q,,0)</f>
        <v>0</v>
      </c>
      <c r="AA383" s="43">
        <v>790</v>
      </c>
      <c r="AB383" s="43">
        <f t="shared" si="75"/>
        <v>790</v>
      </c>
      <c r="AC383" s="43">
        <f t="shared" si="76"/>
        <v>27.07000000000005</v>
      </c>
      <c r="AD383" s="51">
        <f t="shared" si="77"/>
        <v>3.3130576327609691E-2</v>
      </c>
      <c r="AE383" s="24" t="s">
        <v>211</v>
      </c>
      <c r="AF383" s="24" t="s">
        <v>40</v>
      </c>
      <c r="AG383" s="24" t="s">
        <v>40</v>
      </c>
      <c r="AH383" s="24" t="s">
        <v>40</v>
      </c>
      <c r="AI383" s="25">
        <v>45762</v>
      </c>
      <c r="AJ383" s="25"/>
      <c r="AK383" s="24" t="s">
        <v>40</v>
      </c>
    </row>
    <row r="384" spans="1:37" x14ac:dyDescent="0.35">
      <c r="A384" s="3" t="s">
        <v>32</v>
      </c>
      <c r="B384" s="3" t="s">
        <v>33</v>
      </c>
      <c r="C384" s="3" t="s">
        <v>34</v>
      </c>
      <c r="D384" s="3" t="s">
        <v>35</v>
      </c>
      <c r="E384" s="3" t="s">
        <v>114</v>
      </c>
      <c r="F384" s="4">
        <v>45720</v>
      </c>
      <c r="G384" s="23">
        <v>1800000746</v>
      </c>
      <c r="H384" s="24" t="s">
        <v>47</v>
      </c>
      <c r="I384" s="25">
        <v>45720</v>
      </c>
      <c r="J384" s="25">
        <v>45720</v>
      </c>
      <c r="K384" s="24" t="s">
        <v>38</v>
      </c>
      <c r="L384" s="26">
        <v>246779410686</v>
      </c>
      <c r="M384" s="23">
        <v>212100</v>
      </c>
      <c r="N384" s="24" t="s">
        <v>39</v>
      </c>
      <c r="O384" s="24" t="s">
        <v>40</v>
      </c>
      <c r="P384" s="23">
        <v>1</v>
      </c>
      <c r="Q384" s="24" t="s">
        <v>42</v>
      </c>
      <c r="R384" s="27">
        <v>9.4</v>
      </c>
      <c r="S384" s="24" t="s">
        <v>43</v>
      </c>
      <c r="T384" s="42">
        <v>814.9</v>
      </c>
      <c r="U384" s="24" t="s">
        <v>44</v>
      </c>
      <c r="V384" s="23">
        <v>6779224500</v>
      </c>
      <c r="W384" s="24" t="s">
        <v>40</v>
      </c>
      <c r="X384" s="24" t="s">
        <v>38</v>
      </c>
      <c r="Y384" s="23">
        <v>1</v>
      </c>
      <c r="Z384" s="43" cm="1">
        <f t="array" ref="Z384:AA384">_xlfn.XLOOKUP(L384,'Customer Ledger'!$O:$O,'Customer Ledger'!$P:$Q,,0)</f>
        <v>0</v>
      </c>
      <c r="AA384" s="43">
        <v>805</v>
      </c>
      <c r="AB384" s="43">
        <f t="shared" si="75"/>
        <v>805</v>
      </c>
      <c r="AC384" s="43">
        <f t="shared" si="76"/>
        <v>9.8999999999999773</v>
      </c>
      <c r="AD384" s="51">
        <f t="shared" si="77"/>
        <v>1.2148729905509852E-2</v>
      </c>
      <c r="AE384" s="24" t="s">
        <v>337</v>
      </c>
      <c r="AF384" s="24" t="s">
        <v>40</v>
      </c>
      <c r="AG384" s="24" t="s">
        <v>40</v>
      </c>
      <c r="AH384" s="24" t="s">
        <v>40</v>
      </c>
      <c r="AI384" s="25">
        <v>45720</v>
      </c>
      <c r="AJ384" s="25"/>
      <c r="AK384" s="24" t="s">
        <v>40</v>
      </c>
    </row>
    <row r="385" spans="1:37" x14ac:dyDescent="0.35">
      <c r="A385" s="3" t="s">
        <v>32</v>
      </c>
      <c r="B385" s="3" t="s">
        <v>33</v>
      </c>
      <c r="C385" s="3" t="s">
        <v>34</v>
      </c>
      <c r="D385" s="3" t="s">
        <v>35</v>
      </c>
      <c r="E385" s="3" t="s">
        <v>114</v>
      </c>
      <c r="F385" s="4">
        <v>45720</v>
      </c>
      <c r="G385" s="23">
        <v>1800000748</v>
      </c>
      <c r="H385" s="24" t="s">
        <v>47</v>
      </c>
      <c r="I385" s="25">
        <v>45720</v>
      </c>
      <c r="J385" s="25">
        <v>45720</v>
      </c>
      <c r="K385" s="24" t="s">
        <v>38</v>
      </c>
      <c r="L385" s="26">
        <v>246779410688</v>
      </c>
      <c r="M385" s="23">
        <v>212100</v>
      </c>
      <c r="N385" s="24" t="s">
        <v>39</v>
      </c>
      <c r="O385" s="24" t="s">
        <v>40</v>
      </c>
      <c r="P385" s="23">
        <v>1</v>
      </c>
      <c r="Q385" s="24" t="s">
        <v>42</v>
      </c>
      <c r="R385" s="27">
        <v>9.4</v>
      </c>
      <c r="S385" s="24" t="s">
        <v>43</v>
      </c>
      <c r="T385" s="42">
        <v>814.9</v>
      </c>
      <c r="U385" s="24" t="s">
        <v>44</v>
      </c>
      <c r="V385" s="23">
        <v>6779224500</v>
      </c>
      <c r="W385" s="24" t="s">
        <v>40</v>
      </c>
      <c r="X385" s="24" t="s">
        <v>38</v>
      </c>
      <c r="Y385" s="23">
        <v>1</v>
      </c>
      <c r="Z385" s="43" cm="1">
        <f t="array" ref="Z385:AA385">_xlfn.XLOOKUP(L385,'Customer Ledger'!$O:$O,'Customer Ledger'!$P:$Q,,0)</f>
        <v>0</v>
      </c>
      <c r="AA385" s="43">
        <v>799</v>
      </c>
      <c r="AB385" s="43">
        <f t="shared" si="75"/>
        <v>799</v>
      </c>
      <c r="AC385" s="43">
        <f t="shared" si="76"/>
        <v>15.899999999999977</v>
      </c>
      <c r="AD385" s="51">
        <f t="shared" si="77"/>
        <v>1.9511596514909777E-2</v>
      </c>
      <c r="AE385" s="24" t="s">
        <v>337</v>
      </c>
      <c r="AF385" s="24" t="s">
        <v>40</v>
      </c>
      <c r="AG385" s="24" t="s">
        <v>40</v>
      </c>
      <c r="AH385" s="24" t="s">
        <v>40</v>
      </c>
      <c r="AI385" s="25">
        <v>45720</v>
      </c>
      <c r="AJ385" s="25"/>
      <c r="AK385" s="24" t="s">
        <v>40</v>
      </c>
    </row>
    <row r="386" spans="1:37" x14ac:dyDescent="0.35">
      <c r="A386" s="3" t="s">
        <v>32</v>
      </c>
      <c r="B386" s="3" t="s">
        <v>33</v>
      </c>
      <c r="C386" s="3" t="s">
        <v>34</v>
      </c>
      <c r="D386" s="3" t="s">
        <v>35</v>
      </c>
      <c r="E386" s="3" t="s">
        <v>114</v>
      </c>
      <c r="F386" s="4">
        <v>45720</v>
      </c>
      <c r="G386" s="23">
        <v>1800000752</v>
      </c>
      <c r="H386" s="24" t="s">
        <v>47</v>
      </c>
      <c r="I386" s="25">
        <v>45720</v>
      </c>
      <c r="J386" s="25">
        <v>45720</v>
      </c>
      <c r="K386" s="24" t="s">
        <v>38</v>
      </c>
      <c r="L386" s="26">
        <v>246779410692</v>
      </c>
      <c r="M386" s="23">
        <v>212100</v>
      </c>
      <c r="N386" s="24" t="s">
        <v>39</v>
      </c>
      <c r="O386" s="24" t="s">
        <v>40</v>
      </c>
      <c r="P386" s="23">
        <v>1</v>
      </c>
      <c r="Q386" s="24" t="s">
        <v>42</v>
      </c>
      <c r="R386" s="27">
        <v>9.4</v>
      </c>
      <c r="S386" s="24" t="s">
        <v>43</v>
      </c>
      <c r="T386" s="42">
        <v>814.9</v>
      </c>
      <c r="U386" s="24" t="s">
        <v>44</v>
      </c>
      <c r="V386" s="23">
        <v>6779224500</v>
      </c>
      <c r="W386" s="24" t="s">
        <v>40</v>
      </c>
      <c r="X386" s="24" t="s">
        <v>38</v>
      </c>
      <c r="Y386" s="23">
        <v>1</v>
      </c>
      <c r="Z386" s="43" cm="1">
        <f t="array" ref="Z386:AA386">_xlfn.XLOOKUP(L386,'Customer Ledger'!$O:$O,'Customer Ledger'!$P:$Q,,0)</f>
        <v>0</v>
      </c>
      <c r="AA386" s="43">
        <v>805</v>
      </c>
      <c r="AB386" s="43">
        <f t="shared" si="75"/>
        <v>805</v>
      </c>
      <c r="AC386" s="43">
        <f t="shared" si="76"/>
        <v>9.8999999999999773</v>
      </c>
      <c r="AD386" s="51">
        <f t="shared" si="77"/>
        <v>1.2148729905509852E-2</v>
      </c>
      <c r="AE386" s="24" t="s">
        <v>337</v>
      </c>
      <c r="AF386" s="24" t="s">
        <v>40</v>
      </c>
      <c r="AG386" s="24" t="s">
        <v>40</v>
      </c>
      <c r="AH386" s="24" t="s">
        <v>40</v>
      </c>
      <c r="AI386" s="25">
        <v>45720</v>
      </c>
      <c r="AJ386" s="25"/>
      <c r="AK386" s="24" t="s">
        <v>40</v>
      </c>
    </row>
    <row r="387" spans="1:37" x14ac:dyDescent="0.35">
      <c r="A387" s="3" t="s">
        <v>32</v>
      </c>
      <c r="B387" s="3" t="s">
        <v>33</v>
      </c>
      <c r="C387" s="3" t="s">
        <v>34</v>
      </c>
      <c r="D387" s="3" t="s">
        <v>35</v>
      </c>
      <c r="E387" s="3" t="s">
        <v>114</v>
      </c>
      <c r="F387" s="4">
        <v>45720</v>
      </c>
      <c r="G387" s="23">
        <v>1800000753</v>
      </c>
      <c r="H387" s="24" t="s">
        <v>47</v>
      </c>
      <c r="I387" s="25">
        <v>45720</v>
      </c>
      <c r="J387" s="25">
        <v>45720</v>
      </c>
      <c r="K387" s="24" t="s">
        <v>38</v>
      </c>
      <c r="L387" s="26">
        <v>246779410693</v>
      </c>
      <c r="M387" s="23">
        <v>212100</v>
      </c>
      <c r="N387" s="24" t="s">
        <v>39</v>
      </c>
      <c r="O387" s="24" t="s">
        <v>40</v>
      </c>
      <c r="P387" s="23">
        <v>1</v>
      </c>
      <c r="Q387" s="24" t="s">
        <v>42</v>
      </c>
      <c r="R387" s="27">
        <v>9.4</v>
      </c>
      <c r="S387" s="24" t="s">
        <v>43</v>
      </c>
      <c r="T387" s="42">
        <v>814.9</v>
      </c>
      <c r="U387" s="24" t="s">
        <v>44</v>
      </c>
      <c r="V387" s="23">
        <v>6779224500</v>
      </c>
      <c r="W387" s="24" t="s">
        <v>40</v>
      </c>
      <c r="X387" s="24" t="s">
        <v>38</v>
      </c>
      <c r="Y387" s="23">
        <v>1</v>
      </c>
      <c r="Z387" s="43" cm="1">
        <f t="array" ref="Z387:AA387">_xlfn.XLOOKUP(L387,'Customer Ledger'!$O:$O,'Customer Ledger'!$P:$Q,,0)</f>
        <v>0</v>
      </c>
      <c r="AA387" s="43">
        <v>805</v>
      </c>
      <c r="AB387" s="43">
        <f t="shared" si="75"/>
        <v>805</v>
      </c>
      <c r="AC387" s="43">
        <f t="shared" si="76"/>
        <v>9.8999999999999773</v>
      </c>
      <c r="AD387" s="51">
        <f t="shared" si="77"/>
        <v>1.2148729905509852E-2</v>
      </c>
      <c r="AE387" s="24" t="s">
        <v>337</v>
      </c>
      <c r="AF387" s="24" t="s">
        <v>40</v>
      </c>
      <c r="AG387" s="24" t="s">
        <v>40</v>
      </c>
      <c r="AH387" s="24" t="s">
        <v>40</v>
      </c>
      <c r="AI387" s="25">
        <v>45720</v>
      </c>
      <c r="AJ387" s="25"/>
      <c r="AK387" s="24" t="s">
        <v>40</v>
      </c>
    </row>
    <row r="388" spans="1:37" x14ac:dyDescent="0.35">
      <c r="A388" s="3" t="s">
        <v>32</v>
      </c>
      <c r="B388" s="3" t="s">
        <v>33</v>
      </c>
      <c r="C388" s="3" t="s">
        <v>34</v>
      </c>
      <c r="D388" s="3" t="s">
        <v>35</v>
      </c>
      <c r="E388" s="3" t="s">
        <v>114</v>
      </c>
      <c r="F388" s="4">
        <v>45720</v>
      </c>
      <c r="G388" s="23">
        <v>1800000904</v>
      </c>
      <c r="H388" s="24" t="s">
        <v>47</v>
      </c>
      <c r="I388" s="25">
        <v>45720</v>
      </c>
      <c r="J388" s="25">
        <v>45721</v>
      </c>
      <c r="K388" s="24" t="s">
        <v>38</v>
      </c>
      <c r="L388" s="26">
        <v>246779410845</v>
      </c>
      <c r="M388" s="23">
        <v>212100</v>
      </c>
      <c r="N388" s="24" t="s">
        <v>39</v>
      </c>
      <c r="O388" s="24" t="s">
        <v>40</v>
      </c>
      <c r="P388" s="23">
        <v>1</v>
      </c>
      <c r="Q388" s="24" t="s">
        <v>42</v>
      </c>
      <c r="R388" s="27">
        <v>9.4</v>
      </c>
      <c r="S388" s="24" t="s">
        <v>43</v>
      </c>
      <c r="T388" s="42">
        <v>814.9</v>
      </c>
      <c r="U388" s="24" t="s">
        <v>44</v>
      </c>
      <c r="V388" s="23">
        <v>6779224500</v>
      </c>
      <c r="W388" s="24" t="s">
        <v>40</v>
      </c>
      <c r="X388" s="24" t="s">
        <v>38</v>
      </c>
      <c r="Y388" s="23">
        <v>1</v>
      </c>
      <c r="Z388" s="43" cm="1">
        <f t="array" ref="Z388:AA388">_xlfn.XLOOKUP(L388,'Customer Ledger'!$O:$O,'Customer Ledger'!$P:$Q,,0)</f>
        <v>0</v>
      </c>
      <c r="AA388" s="43">
        <v>805</v>
      </c>
      <c r="AB388" s="43">
        <f t="shared" si="75"/>
        <v>805</v>
      </c>
      <c r="AC388" s="43">
        <f t="shared" si="76"/>
        <v>9.8999999999999773</v>
      </c>
      <c r="AD388" s="51">
        <f t="shared" si="77"/>
        <v>1.2148729905509852E-2</v>
      </c>
      <c r="AE388" s="24" t="s">
        <v>338</v>
      </c>
      <c r="AF388" s="24" t="s">
        <v>40</v>
      </c>
      <c r="AG388" s="24" t="s">
        <v>40</v>
      </c>
      <c r="AH388" s="24" t="s">
        <v>40</v>
      </c>
      <c r="AI388" s="25">
        <v>45720</v>
      </c>
      <c r="AJ388" s="25"/>
      <c r="AK388" s="24" t="s">
        <v>40</v>
      </c>
    </row>
    <row r="389" spans="1:37" x14ac:dyDescent="0.35">
      <c r="A389" s="3" t="s">
        <v>32</v>
      </c>
      <c r="B389" s="3" t="s">
        <v>33</v>
      </c>
      <c r="C389" s="3" t="s">
        <v>34</v>
      </c>
      <c r="D389" s="3" t="s">
        <v>35</v>
      </c>
      <c r="E389" s="3" t="s">
        <v>114</v>
      </c>
      <c r="F389" s="4">
        <v>45720</v>
      </c>
      <c r="G389" s="23">
        <v>1800000909</v>
      </c>
      <c r="H389" s="24" t="s">
        <v>47</v>
      </c>
      <c r="I389" s="25">
        <v>45720</v>
      </c>
      <c r="J389" s="25">
        <v>45721</v>
      </c>
      <c r="K389" s="24" t="s">
        <v>38</v>
      </c>
      <c r="L389" s="26">
        <v>246779410850</v>
      </c>
      <c r="M389" s="23">
        <v>212100</v>
      </c>
      <c r="N389" s="24" t="s">
        <v>39</v>
      </c>
      <c r="O389" s="24" t="s">
        <v>40</v>
      </c>
      <c r="P389" s="23">
        <v>1</v>
      </c>
      <c r="Q389" s="24" t="s">
        <v>42</v>
      </c>
      <c r="R389" s="27">
        <v>9.4</v>
      </c>
      <c r="S389" s="24" t="s">
        <v>43</v>
      </c>
      <c r="T389" s="42">
        <v>814.9</v>
      </c>
      <c r="U389" s="24" t="s">
        <v>44</v>
      </c>
      <c r="V389" s="23">
        <v>6779224500</v>
      </c>
      <c r="W389" s="24" t="s">
        <v>40</v>
      </c>
      <c r="X389" s="24" t="s">
        <v>38</v>
      </c>
      <c r="Y389" s="23">
        <v>1</v>
      </c>
      <c r="Z389" s="43" cm="1">
        <f t="array" ref="Z389:AA389">_xlfn.XLOOKUP(L389,'Customer Ledger'!$O:$O,'Customer Ledger'!$P:$Q,,0)</f>
        <v>0</v>
      </c>
      <c r="AA389" s="43">
        <v>763</v>
      </c>
      <c r="AB389" s="43">
        <f t="shared" si="75"/>
        <v>763</v>
      </c>
      <c r="AC389" s="43">
        <f t="shared" si="76"/>
        <v>51.899999999999977</v>
      </c>
      <c r="AD389" s="51">
        <f t="shared" si="77"/>
        <v>6.3688796171309334E-2</v>
      </c>
      <c r="AE389" s="24" t="s">
        <v>338</v>
      </c>
      <c r="AF389" s="24" t="s">
        <v>40</v>
      </c>
      <c r="AG389" s="24" t="s">
        <v>40</v>
      </c>
      <c r="AH389" s="24" t="s">
        <v>40</v>
      </c>
      <c r="AI389" s="25">
        <v>45720</v>
      </c>
      <c r="AJ389" s="25"/>
      <c r="AK389" s="24" t="s">
        <v>40</v>
      </c>
    </row>
    <row r="390" spans="1:37" x14ac:dyDescent="0.35">
      <c r="A390" s="3" t="s">
        <v>32</v>
      </c>
      <c r="B390" s="3" t="s">
        <v>33</v>
      </c>
      <c r="C390" s="3" t="s">
        <v>34</v>
      </c>
      <c r="D390" s="3" t="s">
        <v>35</v>
      </c>
      <c r="E390" s="3" t="s">
        <v>114</v>
      </c>
      <c r="F390" s="4">
        <v>45720</v>
      </c>
      <c r="G390" s="23">
        <v>1800000549</v>
      </c>
      <c r="H390" s="24" t="s">
        <v>47</v>
      </c>
      <c r="I390" s="25">
        <v>45719</v>
      </c>
      <c r="J390" s="25">
        <v>45719</v>
      </c>
      <c r="K390" s="24" t="s">
        <v>38</v>
      </c>
      <c r="L390" s="26">
        <v>246779410499</v>
      </c>
      <c r="M390" s="23">
        <v>212100</v>
      </c>
      <c r="N390" s="24" t="s">
        <v>39</v>
      </c>
      <c r="O390" s="24" t="s">
        <v>40</v>
      </c>
      <c r="P390" s="23">
        <v>1</v>
      </c>
      <c r="Q390" s="24" t="s">
        <v>42</v>
      </c>
      <c r="R390" s="27">
        <v>9.4</v>
      </c>
      <c r="S390" s="24" t="s">
        <v>43</v>
      </c>
      <c r="T390" s="42">
        <v>814.9</v>
      </c>
      <c r="U390" s="24" t="s">
        <v>44</v>
      </c>
      <c r="V390" s="23">
        <v>6779224500</v>
      </c>
      <c r="W390" s="24" t="s">
        <v>40</v>
      </c>
      <c r="X390" s="24" t="s">
        <v>38</v>
      </c>
      <c r="Y390" s="23">
        <v>1</v>
      </c>
      <c r="Z390" s="43" cm="1">
        <f t="array" ref="Z390:AA390">_xlfn.XLOOKUP(L390,'Customer Ledger'!$O:$O,'Customer Ledger'!$P:$Q,,0)</f>
        <v>0</v>
      </c>
      <c r="AA390" s="43">
        <v>804</v>
      </c>
      <c r="AB390" s="43">
        <f t="shared" si="75"/>
        <v>804</v>
      </c>
      <c r="AC390" s="43">
        <f t="shared" si="76"/>
        <v>10.899999999999977</v>
      </c>
      <c r="AD390" s="51">
        <f t="shared" si="77"/>
        <v>1.3375874340409839E-2</v>
      </c>
      <c r="AE390" s="24" t="s">
        <v>351</v>
      </c>
      <c r="AF390" s="24" t="s">
        <v>40</v>
      </c>
      <c r="AG390" s="24" t="s">
        <v>40</v>
      </c>
      <c r="AH390" s="24" t="s">
        <v>40</v>
      </c>
      <c r="AI390" s="25">
        <v>45719</v>
      </c>
      <c r="AJ390" s="25"/>
      <c r="AK390" s="24" t="s">
        <v>40</v>
      </c>
    </row>
    <row r="391" spans="1:37" x14ac:dyDescent="0.35">
      <c r="A391" s="3" t="s">
        <v>32</v>
      </c>
      <c r="B391" s="3" t="s">
        <v>33</v>
      </c>
      <c r="C391" s="3" t="s">
        <v>34</v>
      </c>
      <c r="D391" s="3" t="s">
        <v>35</v>
      </c>
      <c r="E391" s="3" t="s">
        <v>114</v>
      </c>
      <c r="F391" s="4">
        <v>45720</v>
      </c>
      <c r="G391" s="23">
        <v>1800000553</v>
      </c>
      <c r="H391" s="24" t="s">
        <v>47</v>
      </c>
      <c r="I391" s="25">
        <v>45719</v>
      </c>
      <c r="J391" s="25">
        <v>45719</v>
      </c>
      <c r="K391" s="24" t="s">
        <v>38</v>
      </c>
      <c r="L391" s="26">
        <v>246779410503</v>
      </c>
      <c r="M391" s="23">
        <v>212100</v>
      </c>
      <c r="N391" s="24" t="s">
        <v>39</v>
      </c>
      <c r="O391" s="24" t="s">
        <v>40</v>
      </c>
      <c r="P391" s="23">
        <v>1</v>
      </c>
      <c r="Q391" s="24" t="s">
        <v>42</v>
      </c>
      <c r="R391" s="27">
        <v>9.4</v>
      </c>
      <c r="S391" s="24" t="s">
        <v>43</v>
      </c>
      <c r="T391" s="42">
        <v>814.9</v>
      </c>
      <c r="U391" s="24" t="s">
        <v>44</v>
      </c>
      <c r="V391" s="23">
        <v>6779224500</v>
      </c>
      <c r="W391" s="24" t="s">
        <v>40</v>
      </c>
      <c r="X391" s="24" t="s">
        <v>38</v>
      </c>
      <c r="Y391" s="23">
        <v>1</v>
      </c>
      <c r="Z391" s="43" cm="1">
        <f t="array" ref="Z391:AA391">_xlfn.XLOOKUP(L391,'Customer Ledger'!$O:$O,'Customer Ledger'!$P:$Q,,0)</f>
        <v>0</v>
      </c>
      <c r="AA391" s="43">
        <v>2009</v>
      </c>
      <c r="AB391" s="43">
        <f t="shared" si="75"/>
        <v>2009</v>
      </c>
      <c r="AC391" s="43">
        <f t="shared" si="76"/>
        <v>-1194.0999999999999</v>
      </c>
      <c r="AD391" s="51">
        <f t="shared" si="77"/>
        <v>-1.4653331697140752</v>
      </c>
      <c r="AE391" s="24" t="s">
        <v>351</v>
      </c>
      <c r="AF391" s="24" t="s">
        <v>40</v>
      </c>
      <c r="AG391" s="24" t="s">
        <v>40</v>
      </c>
      <c r="AH391" s="24" t="s">
        <v>40</v>
      </c>
      <c r="AI391" s="25">
        <v>45719</v>
      </c>
      <c r="AJ391" s="25"/>
      <c r="AK391" s="24" t="s">
        <v>40</v>
      </c>
    </row>
    <row r="392" spans="1:37" x14ac:dyDescent="0.35">
      <c r="A392" s="3" t="s">
        <v>32</v>
      </c>
      <c r="B392" s="3" t="s">
        <v>33</v>
      </c>
      <c r="C392" s="3" t="s">
        <v>34</v>
      </c>
      <c r="D392" s="3" t="s">
        <v>35</v>
      </c>
      <c r="E392" s="3" t="s">
        <v>114</v>
      </c>
      <c r="F392" s="4">
        <v>45720</v>
      </c>
      <c r="G392" s="23">
        <v>1800000668</v>
      </c>
      <c r="H392" s="24" t="s">
        <v>47</v>
      </c>
      <c r="I392" s="25">
        <v>45719</v>
      </c>
      <c r="J392" s="25">
        <v>45720</v>
      </c>
      <c r="K392" s="24" t="s">
        <v>38</v>
      </c>
      <c r="L392" s="26">
        <v>246779410608</v>
      </c>
      <c r="M392" s="23">
        <v>212100</v>
      </c>
      <c r="N392" s="24" t="s">
        <v>39</v>
      </c>
      <c r="O392" s="24" t="s">
        <v>40</v>
      </c>
      <c r="P392" s="23">
        <v>1</v>
      </c>
      <c r="Q392" s="24" t="s">
        <v>42</v>
      </c>
      <c r="R392" s="27">
        <v>9.4</v>
      </c>
      <c r="S392" s="24" t="s">
        <v>43</v>
      </c>
      <c r="T392" s="42">
        <v>814.9</v>
      </c>
      <c r="U392" s="24" t="s">
        <v>44</v>
      </c>
      <c r="V392" s="23">
        <v>6779224500</v>
      </c>
      <c r="W392" s="24" t="s">
        <v>40</v>
      </c>
      <c r="X392" s="24" t="s">
        <v>38</v>
      </c>
      <c r="Y392" s="23">
        <v>1</v>
      </c>
      <c r="Z392" s="43" cm="1">
        <f t="array" ref="Z392:AA392">_xlfn.XLOOKUP(L392,'Customer Ledger'!$O:$O,'Customer Ledger'!$P:$Q,,0)</f>
        <v>0</v>
      </c>
      <c r="AA392" s="43">
        <v>804</v>
      </c>
      <c r="AB392" s="43">
        <f t="shared" si="75"/>
        <v>804</v>
      </c>
      <c r="AC392" s="43">
        <f t="shared" si="76"/>
        <v>10.899999999999977</v>
      </c>
      <c r="AD392" s="51">
        <f t="shared" si="77"/>
        <v>1.3375874340409839E-2</v>
      </c>
      <c r="AE392" s="24" t="s">
        <v>331</v>
      </c>
      <c r="AF392" s="24" t="s">
        <v>40</v>
      </c>
      <c r="AG392" s="24" t="s">
        <v>40</v>
      </c>
      <c r="AH392" s="24" t="s">
        <v>40</v>
      </c>
      <c r="AI392" s="25">
        <v>45719</v>
      </c>
      <c r="AJ392" s="25"/>
      <c r="AK392" s="24" t="s">
        <v>40</v>
      </c>
    </row>
    <row r="393" spans="1:37" x14ac:dyDescent="0.35">
      <c r="A393" s="3" t="s">
        <v>32</v>
      </c>
      <c r="B393" s="3" t="s">
        <v>33</v>
      </c>
      <c r="C393" s="3" t="s">
        <v>34</v>
      </c>
      <c r="D393" s="3" t="s">
        <v>35</v>
      </c>
      <c r="E393" s="3" t="s">
        <v>114</v>
      </c>
      <c r="F393" s="4">
        <v>45720</v>
      </c>
      <c r="G393" s="23">
        <v>1800000673</v>
      </c>
      <c r="H393" s="24" t="s">
        <v>47</v>
      </c>
      <c r="I393" s="25">
        <v>45719</v>
      </c>
      <c r="J393" s="25">
        <v>45720</v>
      </c>
      <c r="K393" s="24" t="s">
        <v>38</v>
      </c>
      <c r="L393" s="26">
        <v>246779410613</v>
      </c>
      <c r="M393" s="23">
        <v>212100</v>
      </c>
      <c r="N393" s="24" t="s">
        <v>39</v>
      </c>
      <c r="O393" s="24" t="s">
        <v>40</v>
      </c>
      <c r="P393" s="23">
        <v>1</v>
      </c>
      <c r="Q393" s="24" t="s">
        <v>42</v>
      </c>
      <c r="R393" s="27">
        <v>9.4</v>
      </c>
      <c r="S393" s="24" t="s">
        <v>43</v>
      </c>
      <c r="T393" s="42">
        <v>814.9</v>
      </c>
      <c r="U393" s="24" t="s">
        <v>44</v>
      </c>
      <c r="V393" s="23">
        <v>6779224500</v>
      </c>
      <c r="W393" s="24" t="s">
        <v>40</v>
      </c>
      <c r="X393" s="24" t="s">
        <v>38</v>
      </c>
      <c r="Y393" s="23">
        <v>1</v>
      </c>
      <c r="Z393" s="43" cm="1">
        <f t="array" ref="Z393:AA393">_xlfn.XLOOKUP(L393,'Customer Ledger'!$O:$O,'Customer Ledger'!$P:$Q,,0)</f>
        <v>0</v>
      </c>
      <c r="AA393" s="43">
        <v>804</v>
      </c>
      <c r="AB393" s="43">
        <f t="shared" si="75"/>
        <v>804</v>
      </c>
      <c r="AC393" s="43">
        <f t="shared" si="76"/>
        <v>10.899999999999977</v>
      </c>
      <c r="AD393" s="51">
        <f t="shared" si="77"/>
        <v>1.3375874340409839E-2</v>
      </c>
      <c r="AE393" s="24" t="s">
        <v>331</v>
      </c>
      <c r="AF393" s="24" t="s">
        <v>40</v>
      </c>
      <c r="AG393" s="24" t="s">
        <v>40</v>
      </c>
      <c r="AH393" s="24" t="s">
        <v>40</v>
      </c>
      <c r="AI393" s="25">
        <v>45719</v>
      </c>
      <c r="AJ393" s="25"/>
      <c r="AK393" s="24" t="s">
        <v>40</v>
      </c>
    </row>
    <row r="394" spans="1:37" x14ac:dyDescent="0.35">
      <c r="A394" s="3" t="s">
        <v>32</v>
      </c>
      <c r="B394" s="3" t="s">
        <v>33</v>
      </c>
      <c r="C394" s="3" t="s">
        <v>34</v>
      </c>
      <c r="D394" s="3" t="s">
        <v>35</v>
      </c>
      <c r="E394" s="3" t="s">
        <v>114</v>
      </c>
      <c r="F394" s="4">
        <v>45720</v>
      </c>
      <c r="G394" s="23">
        <v>1800005188</v>
      </c>
      <c r="H394" s="24" t="s">
        <v>47</v>
      </c>
      <c r="I394" s="25">
        <v>45750</v>
      </c>
      <c r="J394" s="25">
        <v>45752</v>
      </c>
      <c r="K394" s="24" t="s">
        <v>38</v>
      </c>
      <c r="L394" s="26">
        <v>256779410134</v>
      </c>
      <c r="M394" s="23">
        <v>212100</v>
      </c>
      <c r="N394" s="24" t="s">
        <v>39</v>
      </c>
      <c r="O394" s="24" t="s">
        <v>40</v>
      </c>
      <c r="P394" s="23">
        <v>1</v>
      </c>
      <c r="Q394" s="24" t="s">
        <v>42</v>
      </c>
      <c r="R394" s="27">
        <v>7.5</v>
      </c>
      <c r="S394" s="24" t="s">
        <v>43</v>
      </c>
      <c r="T394" s="42">
        <v>651.91</v>
      </c>
      <c r="U394" s="24" t="s">
        <v>44</v>
      </c>
      <c r="V394" s="24" t="s">
        <v>40</v>
      </c>
      <c r="W394" s="24" t="s">
        <v>40</v>
      </c>
      <c r="X394" s="24" t="s">
        <v>38</v>
      </c>
      <c r="Y394" s="23">
        <v>1</v>
      </c>
      <c r="Z394" s="43" cm="1">
        <f t="array" ref="Z394:AA394">_xlfn.XLOOKUP(L394,'Customer Ledger'!$O:$O,'Customer Ledger'!$P:$Q,,0)</f>
        <v>0</v>
      </c>
      <c r="AA394" s="43">
        <v>639</v>
      </c>
      <c r="AB394" s="43">
        <f t="shared" si="75"/>
        <v>639</v>
      </c>
      <c r="AC394" s="43">
        <f t="shared" si="76"/>
        <v>12.909999999999968</v>
      </c>
      <c r="AD394" s="51">
        <f t="shared" si="77"/>
        <v>1.9803347087788144E-2</v>
      </c>
      <c r="AE394" s="24" t="s">
        <v>86</v>
      </c>
      <c r="AF394" s="24" t="s">
        <v>40</v>
      </c>
      <c r="AG394" s="24" t="s">
        <v>40</v>
      </c>
      <c r="AH394" s="24" t="s">
        <v>40</v>
      </c>
      <c r="AI394" s="25">
        <v>45750</v>
      </c>
      <c r="AJ394" s="25"/>
      <c r="AK394" s="24" t="s">
        <v>40</v>
      </c>
    </row>
    <row r="395" spans="1:37" x14ac:dyDescent="0.35">
      <c r="A395" s="3" t="s">
        <v>32</v>
      </c>
      <c r="B395" s="3" t="s">
        <v>33</v>
      </c>
      <c r="C395" s="3" t="s">
        <v>34</v>
      </c>
      <c r="D395" s="3" t="s">
        <v>35</v>
      </c>
      <c r="E395" s="3" t="s">
        <v>114</v>
      </c>
      <c r="F395" s="4">
        <v>45720</v>
      </c>
      <c r="G395" s="23">
        <v>1800003757</v>
      </c>
      <c r="H395" s="24" t="s">
        <v>47</v>
      </c>
      <c r="I395" s="25">
        <v>45736</v>
      </c>
      <c r="J395" s="25">
        <v>45736</v>
      </c>
      <c r="K395" s="24" t="s">
        <v>38</v>
      </c>
      <c r="L395" s="26">
        <v>246779413624</v>
      </c>
      <c r="M395" s="23">
        <v>212100</v>
      </c>
      <c r="N395" s="24" t="s">
        <v>39</v>
      </c>
      <c r="O395" s="24" t="s">
        <v>40</v>
      </c>
      <c r="P395" s="23">
        <v>1</v>
      </c>
      <c r="Q395" s="24" t="s">
        <v>42</v>
      </c>
      <c r="R395" s="27">
        <v>7.05</v>
      </c>
      <c r="S395" s="24" t="s">
        <v>43</v>
      </c>
      <c r="T395" s="42">
        <v>611.16999999999996</v>
      </c>
      <c r="U395" s="24" t="s">
        <v>44</v>
      </c>
      <c r="V395" s="23">
        <v>6779224500</v>
      </c>
      <c r="W395" s="24" t="s">
        <v>40</v>
      </c>
      <c r="X395" s="24" t="s">
        <v>38</v>
      </c>
      <c r="Y395" s="23">
        <v>1</v>
      </c>
      <c r="Z395" s="43" cm="1">
        <f t="array" ref="Z395:AA395">_xlfn.XLOOKUP(L395,'Customer Ledger'!$O:$O,'Customer Ledger'!$P:$Q,,0)</f>
        <v>0</v>
      </c>
      <c r="AA395" s="43">
        <v>596</v>
      </c>
      <c r="AB395" s="43">
        <f t="shared" si="75"/>
        <v>596</v>
      </c>
      <c r="AC395" s="43">
        <f t="shared" si="76"/>
        <v>15.169999999999959</v>
      </c>
      <c r="AD395" s="51">
        <f t="shared" si="77"/>
        <v>2.4821244498257376E-2</v>
      </c>
      <c r="AE395" s="24" t="s">
        <v>286</v>
      </c>
      <c r="AF395" s="24" t="s">
        <v>40</v>
      </c>
      <c r="AG395" s="24" t="s">
        <v>40</v>
      </c>
      <c r="AH395" s="24" t="s">
        <v>40</v>
      </c>
      <c r="AI395" s="25">
        <v>45736</v>
      </c>
      <c r="AJ395" s="25"/>
      <c r="AK395" s="24" t="s">
        <v>40</v>
      </c>
    </row>
    <row r="396" spans="1:37" x14ac:dyDescent="0.35">
      <c r="A396" s="3" t="s">
        <v>32</v>
      </c>
      <c r="B396" s="3" t="s">
        <v>33</v>
      </c>
      <c r="C396" s="3" t="s">
        <v>34</v>
      </c>
      <c r="D396" s="3" t="s">
        <v>35</v>
      </c>
      <c r="E396" s="3" t="s">
        <v>114</v>
      </c>
      <c r="F396" s="4">
        <v>45720</v>
      </c>
      <c r="G396" s="23">
        <v>1800003829</v>
      </c>
      <c r="H396" s="24" t="s">
        <v>47</v>
      </c>
      <c r="I396" s="25">
        <v>45736</v>
      </c>
      <c r="J396" s="25">
        <v>45736</v>
      </c>
      <c r="K396" s="24" t="s">
        <v>38</v>
      </c>
      <c r="L396" s="26">
        <v>246779413691</v>
      </c>
      <c r="M396" s="23">
        <v>212100</v>
      </c>
      <c r="N396" s="24" t="s">
        <v>39</v>
      </c>
      <c r="O396" s="24" t="s">
        <v>40</v>
      </c>
      <c r="P396" s="23">
        <v>1</v>
      </c>
      <c r="Q396" s="24" t="s">
        <v>42</v>
      </c>
      <c r="R396" s="27">
        <v>7.05</v>
      </c>
      <c r="S396" s="24" t="s">
        <v>43</v>
      </c>
      <c r="T396" s="42">
        <v>611.16999999999996</v>
      </c>
      <c r="U396" s="24" t="s">
        <v>44</v>
      </c>
      <c r="V396" s="23">
        <v>6779224500</v>
      </c>
      <c r="W396" s="24" t="s">
        <v>40</v>
      </c>
      <c r="X396" s="24" t="s">
        <v>38</v>
      </c>
      <c r="Y396" s="23">
        <v>1</v>
      </c>
      <c r="Z396" s="43" cm="1">
        <f t="array" ref="Z396:AA396">_xlfn.XLOOKUP(L396,'Customer Ledger'!$O:$O,'Customer Ledger'!$P:$Q,,0)</f>
        <v>0</v>
      </c>
      <c r="AA396" s="43">
        <v>596</v>
      </c>
      <c r="AB396" s="43">
        <f t="shared" si="75"/>
        <v>596</v>
      </c>
      <c r="AC396" s="43">
        <f t="shared" si="76"/>
        <v>15.169999999999959</v>
      </c>
      <c r="AD396" s="51">
        <f t="shared" si="77"/>
        <v>2.4821244498257376E-2</v>
      </c>
      <c r="AE396" s="24" t="s">
        <v>286</v>
      </c>
      <c r="AF396" s="24" t="s">
        <v>40</v>
      </c>
      <c r="AG396" s="24" t="s">
        <v>40</v>
      </c>
      <c r="AH396" s="24" t="s">
        <v>40</v>
      </c>
      <c r="AI396" s="25">
        <v>45736</v>
      </c>
      <c r="AJ396" s="25"/>
      <c r="AK396" s="24" t="s">
        <v>40</v>
      </c>
    </row>
    <row r="397" spans="1:37" x14ac:dyDescent="0.35">
      <c r="A397" s="3" t="s">
        <v>32</v>
      </c>
      <c r="B397" s="3" t="s">
        <v>33</v>
      </c>
      <c r="C397" s="3" t="s">
        <v>34</v>
      </c>
      <c r="D397" s="3" t="s">
        <v>35</v>
      </c>
      <c r="E397" s="3" t="s">
        <v>114</v>
      </c>
      <c r="F397" s="4">
        <v>45720</v>
      </c>
      <c r="G397" s="23">
        <v>1800003872</v>
      </c>
      <c r="H397" s="24" t="s">
        <v>47</v>
      </c>
      <c r="I397" s="25">
        <v>45736</v>
      </c>
      <c r="J397" s="25">
        <v>45736</v>
      </c>
      <c r="K397" s="24" t="s">
        <v>38</v>
      </c>
      <c r="L397" s="26">
        <v>246779413740</v>
      </c>
      <c r="M397" s="23">
        <v>212100</v>
      </c>
      <c r="N397" s="24" t="s">
        <v>39</v>
      </c>
      <c r="O397" s="24" t="s">
        <v>40</v>
      </c>
      <c r="P397" s="23">
        <v>1</v>
      </c>
      <c r="Q397" s="24" t="s">
        <v>42</v>
      </c>
      <c r="R397" s="27">
        <v>7.05</v>
      </c>
      <c r="S397" s="24" t="s">
        <v>43</v>
      </c>
      <c r="T397" s="42">
        <v>611.16999999999996</v>
      </c>
      <c r="U397" s="24" t="s">
        <v>44</v>
      </c>
      <c r="V397" s="23">
        <v>6779224500</v>
      </c>
      <c r="W397" s="24" t="s">
        <v>40</v>
      </c>
      <c r="X397" s="24" t="s">
        <v>38</v>
      </c>
      <c r="Y397" s="23">
        <v>1</v>
      </c>
      <c r="Z397" s="43" cm="1">
        <f t="array" ref="Z397:AA397">_xlfn.XLOOKUP(L397,'Customer Ledger'!$O:$O,'Customer Ledger'!$P:$Q,,0)</f>
        <v>0</v>
      </c>
      <c r="AA397" s="43">
        <v>574</v>
      </c>
      <c r="AB397" s="43">
        <f t="shared" si="75"/>
        <v>574</v>
      </c>
      <c r="AC397" s="43">
        <f t="shared" si="76"/>
        <v>37.169999999999959</v>
      </c>
      <c r="AD397" s="51">
        <f t="shared" si="77"/>
        <v>6.0817775741610292E-2</v>
      </c>
      <c r="AE397" s="24" t="s">
        <v>286</v>
      </c>
      <c r="AF397" s="24" t="s">
        <v>40</v>
      </c>
      <c r="AG397" s="24" t="s">
        <v>40</v>
      </c>
      <c r="AH397" s="24" t="s">
        <v>40</v>
      </c>
      <c r="AI397" s="25">
        <v>45736</v>
      </c>
      <c r="AJ397" s="25"/>
      <c r="AK397" s="24" t="s">
        <v>40</v>
      </c>
    </row>
    <row r="398" spans="1:37" x14ac:dyDescent="0.35">
      <c r="A398" s="3" t="s">
        <v>32</v>
      </c>
      <c r="B398" s="3" t="s">
        <v>33</v>
      </c>
      <c r="C398" s="3" t="s">
        <v>34</v>
      </c>
      <c r="D398" s="3" t="s">
        <v>35</v>
      </c>
      <c r="E398" s="3" t="s">
        <v>114</v>
      </c>
      <c r="F398" s="4">
        <v>45720</v>
      </c>
      <c r="G398" s="23">
        <v>1800003914</v>
      </c>
      <c r="H398" s="24" t="s">
        <v>47</v>
      </c>
      <c r="I398" s="25">
        <v>45736</v>
      </c>
      <c r="J398" s="25">
        <v>45736</v>
      </c>
      <c r="K398" s="24" t="s">
        <v>38</v>
      </c>
      <c r="L398" s="26">
        <v>246779413782</v>
      </c>
      <c r="M398" s="23">
        <v>212100</v>
      </c>
      <c r="N398" s="24" t="s">
        <v>39</v>
      </c>
      <c r="O398" s="24" t="s">
        <v>40</v>
      </c>
      <c r="P398" s="23">
        <v>1</v>
      </c>
      <c r="Q398" s="24" t="s">
        <v>42</v>
      </c>
      <c r="R398" s="27">
        <v>7.05</v>
      </c>
      <c r="S398" s="24" t="s">
        <v>43</v>
      </c>
      <c r="T398" s="42">
        <v>611.16999999999996</v>
      </c>
      <c r="U398" s="24" t="s">
        <v>44</v>
      </c>
      <c r="V398" s="23">
        <v>6779224500</v>
      </c>
      <c r="W398" s="24" t="s">
        <v>40</v>
      </c>
      <c r="X398" s="24" t="s">
        <v>38</v>
      </c>
      <c r="Y398" s="23">
        <v>1</v>
      </c>
      <c r="Z398" s="43" cm="1">
        <f t="array" ref="Z398:AA398">_xlfn.XLOOKUP(L398,'Customer Ledger'!$O:$O,'Customer Ledger'!$P:$Q,,0)</f>
        <v>0</v>
      </c>
      <c r="AA398" s="43">
        <v>596</v>
      </c>
      <c r="AB398" s="43">
        <f t="shared" si="75"/>
        <v>596</v>
      </c>
      <c r="AC398" s="43">
        <f t="shared" si="76"/>
        <v>15.169999999999959</v>
      </c>
      <c r="AD398" s="51">
        <f t="shared" si="77"/>
        <v>2.4821244498257376E-2</v>
      </c>
      <c r="AE398" s="24" t="s">
        <v>90</v>
      </c>
      <c r="AF398" s="24" t="s">
        <v>40</v>
      </c>
      <c r="AG398" s="24" t="s">
        <v>40</v>
      </c>
      <c r="AH398" s="24" t="s">
        <v>40</v>
      </c>
      <c r="AI398" s="25">
        <v>45736</v>
      </c>
      <c r="AJ398" s="25"/>
      <c r="AK398" s="24" t="s">
        <v>40</v>
      </c>
    </row>
    <row r="399" spans="1:37" x14ac:dyDescent="0.35">
      <c r="A399" s="3" t="s">
        <v>32</v>
      </c>
      <c r="B399" s="3" t="s">
        <v>33</v>
      </c>
      <c r="C399" s="3" t="s">
        <v>34</v>
      </c>
      <c r="D399" s="3" t="s">
        <v>35</v>
      </c>
      <c r="E399" s="3" t="s">
        <v>114</v>
      </c>
      <c r="F399" s="4">
        <v>45720</v>
      </c>
      <c r="G399" s="23">
        <v>1800000744</v>
      </c>
      <c r="H399" s="24" t="s">
        <v>47</v>
      </c>
      <c r="I399" s="25">
        <v>45720</v>
      </c>
      <c r="J399" s="25">
        <v>45720</v>
      </c>
      <c r="K399" s="24" t="s">
        <v>38</v>
      </c>
      <c r="L399" s="26">
        <v>246779410684</v>
      </c>
      <c r="M399" s="23">
        <v>212100</v>
      </c>
      <c r="N399" s="24" t="s">
        <v>39</v>
      </c>
      <c r="O399" s="24" t="s">
        <v>40</v>
      </c>
      <c r="P399" s="23">
        <v>1</v>
      </c>
      <c r="Q399" s="24" t="s">
        <v>42</v>
      </c>
      <c r="R399" s="27">
        <v>7.05</v>
      </c>
      <c r="S399" s="24" t="s">
        <v>43</v>
      </c>
      <c r="T399" s="42">
        <v>611.16999999999996</v>
      </c>
      <c r="U399" s="24" t="s">
        <v>44</v>
      </c>
      <c r="V399" s="23">
        <v>6779224500</v>
      </c>
      <c r="W399" s="24" t="s">
        <v>40</v>
      </c>
      <c r="X399" s="24" t="s">
        <v>38</v>
      </c>
      <c r="Y399" s="23">
        <v>1</v>
      </c>
      <c r="Z399" s="43" cm="1">
        <f t="array" ref="Z399:AA399">_xlfn.XLOOKUP(L399,'Customer Ledger'!$O:$O,'Customer Ledger'!$P:$Q,,0)</f>
        <v>0</v>
      </c>
      <c r="AA399" s="43">
        <v>604</v>
      </c>
      <c r="AB399" s="43">
        <f t="shared" si="75"/>
        <v>604</v>
      </c>
      <c r="AC399" s="43">
        <f t="shared" si="76"/>
        <v>7.1699999999999591</v>
      </c>
      <c r="AD399" s="51">
        <f t="shared" si="77"/>
        <v>1.173159677340177E-2</v>
      </c>
      <c r="AE399" s="24" t="s">
        <v>337</v>
      </c>
      <c r="AF399" s="24" t="s">
        <v>40</v>
      </c>
      <c r="AG399" s="24" t="s">
        <v>40</v>
      </c>
      <c r="AH399" s="24" t="s">
        <v>40</v>
      </c>
      <c r="AI399" s="25">
        <v>45720</v>
      </c>
      <c r="AJ399" s="25"/>
      <c r="AK399" s="24" t="s">
        <v>40</v>
      </c>
    </row>
    <row r="400" spans="1:37" x14ac:dyDescent="0.35">
      <c r="A400" s="3" t="s">
        <v>32</v>
      </c>
      <c r="B400" s="3" t="s">
        <v>33</v>
      </c>
      <c r="C400" s="3" t="s">
        <v>34</v>
      </c>
      <c r="D400" s="3" t="s">
        <v>35</v>
      </c>
      <c r="E400" s="3" t="s">
        <v>114</v>
      </c>
      <c r="F400" s="4">
        <v>45720</v>
      </c>
      <c r="G400" s="23">
        <v>1800000751</v>
      </c>
      <c r="H400" s="24" t="s">
        <v>47</v>
      </c>
      <c r="I400" s="25">
        <v>45720</v>
      </c>
      <c r="J400" s="25">
        <v>45720</v>
      </c>
      <c r="K400" s="24" t="s">
        <v>38</v>
      </c>
      <c r="L400" s="26">
        <v>246779410691</v>
      </c>
      <c r="M400" s="23">
        <v>212100</v>
      </c>
      <c r="N400" s="24" t="s">
        <v>39</v>
      </c>
      <c r="O400" s="24" t="s">
        <v>40</v>
      </c>
      <c r="P400" s="23">
        <v>1</v>
      </c>
      <c r="Q400" s="24" t="s">
        <v>42</v>
      </c>
      <c r="R400" s="27">
        <v>7.05</v>
      </c>
      <c r="S400" s="24" t="s">
        <v>43</v>
      </c>
      <c r="T400" s="42">
        <v>611.16999999999996</v>
      </c>
      <c r="U400" s="24" t="s">
        <v>44</v>
      </c>
      <c r="V400" s="23">
        <v>6779224500</v>
      </c>
      <c r="W400" s="24" t="s">
        <v>40</v>
      </c>
      <c r="X400" s="24" t="s">
        <v>38</v>
      </c>
      <c r="Y400" s="23">
        <v>1</v>
      </c>
      <c r="Z400" s="43" cm="1">
        <f t="array" ref="Z400:AA400">_xlfn.XLOOKUP(L400,'Customer Ledger'!$O:$O,'Customer Ledger'!$P:$Q,,0)</f>
        <v>0</v>
      </c>
      <c r="AA400" s="43">
        <v>604</v>
      </c>
      <c r="AB400" s="43">
        <f t="shared" si="75"/>
        <v>604</v>
      </c>
      <c r="AC400" s="43">
        <f t="shared" si="76"/>
        <v>7.1699999999999591</v>
      </c>
      <c r="AD400" s="51">
        <f t="shared" si="77"/>
        <v>1.173159677340177E-2</v>
      </c>
      <c r="AE400" s="24" t="s">
        <v>337</v>
      </c>
      <c r="AF400" s="24" t="s">
        <v>40</v>
      </c>
      <c r="AG400" s="24" t="s">
        <v>40</v>
      </c>
      <c r="AH400" s="24" t="s">
        <v>40</v>
      </c>
      <c r="AI400" s="25">
        <v>45720</v>
      </c>
      <c r="AJ400" s="25"/>
      <c r="AK400" s="24" t="s">
        <v>40</v>
      </c>
    </row>
    <row r="401" spans="1:37" x14ac:dyDescent="0.35">
      <c r="A401" s="3" t="s">
        <v>32</v>
      </c>
      <c r="B401" s="3" t="s">
        <v>33</v>
      </c>
      <c r="C401" s="3" t="s">
        <v>34</v>
      </c>
      <c r="D401" s="3" t="s">
        <v>35</v>
      </c>
      <c r="E401" s="3" t="s">
        <v>114</v>
      </c>
      <c r="F401" s="4">
        <v>45720</v>
      </c>
      <c r="G401" s="23">
        <v>1800000819</v>
      </c>
      <c r="H401" s="24" t="s">
        <v>47</v>
      </c>
      <c r="I401" s="25">
        <v>45720</v>
      </c>
      <c r="J401" s="25">
        <v>45721</v>
      </c>
      <c r="K401" s="24" t="s">
        <v>38</v>
      </c>
      <c r="L401" s="26">
        <v>246779410759</v>
      </c>
      <c r="M401" s="23">
        <v>212100</v>
      </c>
      <c r="N401" s="24" t="s">
        <v>39</v>
      </c>
      <c r="O401" s="24" t="s">
        <v>40</v>
      </c>
      <c r="P401" s="23">
        <v>1</v>
      </c>
      <c r="Q401" s="24" t="s">
        <v>42</v>
      </c>
      <c r="R401" s="27">
        <v>7.05</v>
      </c>
      <c r="S401" s="24" t="s">
        <v>43</v>
      </c>
      <c r="T401" s="42">
        <v>611.16999999999996</v>
      </c>
      <c r="U401" s="24" t="s">
        <v>44</v>
      </c>
      <c r="V401" s="23">
        <v>6779224500</v>
      </c>
      <c r="W401" s="24" t="s">
        <v>40</v>
      </c>
      <c r="X401" s="24" t="s">
        <v>38</v>
      </c>
      <c r="Y401" s="23">
        <v>1</v>
      </c>
      <c r="Z401" s="43" cm="1">
        <f t="array" ref="Z401:AA401">_xlfn.XLOOKUP(L401,'Customer Ledger'!$O:$O,'Customer Ledger'!$P:$Q,,0)</f>
        <v>0</v>
      </c>
      <c r="AA401" s="43">
        <v>604</v>
      </c>
      <c r="AB401" s="43">
        <f t="shared" si="75"/>
        <v>604</v>
      </c>
      <c r="AC401" s="43">
        <f t="shared" si="76"/>
        <v>7.1699999999999591</v>
      </c>
      <c r="AD401" s="51">
        <f t="shared" si="77"/>
        <v>1.173159677340177E-2</v>
      </c>
      <c r="AE401" s="24" t="s">
        <v>332</v>
      </c>
      <c r="AF401" s="24" t="s">
        <v>40</v>
      </c>
      <c r="AG401" s="24" t="s">
        <v>40</v>
      </c>
      <c r="AH401" s="24" t="s">
        <v>40</v>
      </c>
      <c r="AI401" s="25">
        <v>45720</v>
      </c>
      <c r="AJ401" s="25"/>
      <c r="AK401" s="24" t="s">
        <v>40</v>
      </c>
    </row>
    <row r="402" spans="1:37" x14ac:dyDescent="0.35">
      <c r="A402" s="3" t="s">
        <v>32</v>
      </c>
      <c r="B402" s="3" t="s">
        <v>33</v>
      </c>
      <c r="C402" s="3" t="s">
        <v>34</v>
      </c>
      <c r="D402" s="3" t="s">
        <v>35</v>
      </c>
      <c r="E402" s="3" t="s">
        <v>114</v>
      </c>
      <c r="F402" s="4">
        <v>45720</v>
      </c>
      <c r="G402" s="23">
        <v>1800000900</v>
      </c>
      <c r="H402" s="24" t="s">
        <v>47</v>
      </c>
      <c r="I402" s="25">
        <v>45720</v>
      </c>
      <c r="J402" s="25">
        <v>45721</v>
      </c>
      <c r="K402" s="24" t="s">
        <v>38</v>
      </c>
      <c r="L402" s="26">
        <v>246779410841</v>
      </c>
      <c r="M402" s="23">
        <v>212100</v>
      </c>
      <c r="N402" s="24" t="s">
        <v>39</v>
      </c>
      <c r="O402" s="24" t="s">
        <v>40</v>
      </c>
      <c r="P402" s="23">
        <v>1</v>
      </c>
      <c r="Q402" s="24" t="s">
        <v>42</v>
      </c>
      <c r="R402" s="27">
        <v>7.05</v>
      </c>
      <c r="S402" s="24" t="s">
        <v>43</v>
      </c>
      <c r="T402" s="42">
        <v>611.16999999999996</v>
      </c>
      <c r="U402" s="24" t="s">
        <v>44</v>
      </c>
      <c r="V402" s="23">
        <v>6779224500</v>
      </c>
      <c r="W402" s="24" t="s">
        <v>40</v>
      </c>
      <c r="X402" s="24" t="s">
        <v>38</v>
      </c>
      <c r="Y402" s="23">
        <v>1</v>
      </c>
      <c r="Z402" s="43" cm="1">
        <f t="array" ref="Z402:AA402">_xlfn.XLOOKUP(L402,'Customer Ledger'!$O:$O,'Customer Ledger'!$P:$Q,,0)</f>
        <v>0</v>
      </c>
      <c r="AA402" s="43">
        <v>604</v>
      </c>
      <c r="AB402" s="43">
        <f t="shared" si="75"/>
        <v>604</v>
      </c>
      <c r="AC402" s="43">
        <f t="shared" si="76"/>
        <v>7.1699999999999591</v>
      </c>
      <c r="AD402" s="51">
        <f t="shared" si="77"/>
        <v>1.173159677340177E-2</v>
      </c>
      <c r="AE402" s="24" t="s">
        <v>338</v>
      </c>
      <c r="AF402" s="24" t="s">
        <v>40</v>
      </c>
      <c r="AG402" s="24" t="s">
        <v>40</v>
      </c>
      <c r="AH402" s="24" t="s">
        <v>40</v>
      </c>
      <c r="AI402" s="25">
        <v>45720</v>
      </c>
      <c r="AJ402" s="25"/>
      <c r="AK402" s="24" t="s">
        <v>40</v>
      </c>
    </row>
    <row r="403" spans="1:37" x14ac:dyDescent="0.35">
      <c r="A403" s="3" t="s">
        <v>32</v>
      </c>
      <c r="B403" s="3" t="s">
        <v>33</v>
      </c>
      <c r="C403" s="3" t="s">
        <v>34</v>
      </c>
      <c r="D403" s="3" t="s">
        <v>35</v>
      </c>
      <c r="E403" s="3" t="s">
        <v>114</v>
      </c>
      <c r="F403" s="4">
        <v>45720</v>
      </c>
      <c r="G403" s="23">
        <v>1800000555</v>
      </c>
      <c r="H403" s="24" t="s">
        <v>47</v>
      </c>
      <c r="I403" s="25">
        <v>45719</v>
      </c>
      <c r="J403" s="25">
        <v>45719</v>
      </c>
      <c r="K403" s="24" t="s">
        <v>38</v>
      </c>
      <c r="L403" s="26">
        <v>246779410505</v>
      </c>
      <c r="M403" s="23">
        <v>212100</v>
      </c>
      <c r="N403" s="24" t="s">
        <v>39</v>
      </c>
      <c r="O403" s="24" t="s">
        <v>40</v>
      </c>
      <c r="P403" s="23">
        <v>1</v>
      </c>
      <c r="Q403" s="24" t="s">
        <v>42</v>
      </c>
      <c r="R403" s="27">
        <v>7.05</v>
      </c>
      <c r="S403" s="24" t="s">
        <v>43</v>
      </c>
      <c r="T403" s="42">
        <v>611.16999999999996</v>
      </c>
      <c r="U403" s="24" t="s">
        <v>44</v>
      </c>
      <c r="V403" s="23">
        <v>6779224500</v>
      </c>
      <c r="W403" s="24" t="s">
        <v>40</v>
      </c>
      <c r="X403" s="24" t="s">
        <v>38</v>
      </c>
      <c r="Y403" s="23">
        <v>1</v>
      </c>
      <c r="Z403" s="43" cm="1">
        <f t="array" ref="Z403:AA403">_xlfn.XLOOKUP(L403,'Customer Ledger'!$O:$O,'Customer Ledger'!$P:$Q,,0)</f>
        <v>0</v>
      </c>
      <c r="AA403" s="43">
        <v>603</v>
      </c>
      <c r="AB403" s="43">
        <f t="shared" si="75"/>
        <v>603</v>
      </c>
      <c r="AC403" s="43">
        <f t="shared" si="76"/>
        <v>8.1699999999999591</v>
      </c>
      <c r="AD403" s="51">
        <f t="shared" si="77"/>
        <v>1.336780273900872E-2</v>
      </c>
      <c r="AE403" s="24" t="s">
        <v>351</v>
      </c>
      <c r="AF403" s="24" t="s">
        <v>40</v>
      </c>
      <c r="AG403" s="24" t="s">
        <v>40</v>
      </c>
      <c r="AH403" s="24" t="s">
        <v>40</v>
      </c>
      <c r="AI403" s="25">
        <v>45719</v>
      </c>
      <c r="AJ403" s="25"/>
      <c r="AK403" s="24" t="s">
        <v>40</v>
      </c>
    </row>
    <row r="404" spans="1:37" x14ac:dyDescent="0.35">
      <c r="A404" s="3" t="s">
        <v>32</v>
      </c>
      <c r="B404" s="3" t="s">
        <v>33</v>
      </c>
      <c r="C404" s="3" t="s">
        <v>34</v>
      </c>
      <c r="D404" s="3" t="s">
        <v>35</v>
      </c>
      <c r="E404" s="3" t="s">
        <v>114</v>
      </c>
      <c r="F404" s="4">
        <v>45720</v>
      </c>
      <c r="G404" s="23">
        <v>1800006995</v>
      </c>
      <c r="H404" s="24" t="s">
        <v>47</v>
      </c>
      <c r="I404" s="25">
        <v>45763</v>
      </c>
      <c r="J404" s="25">
        <v>45764</v>
      </c>
      <c r="K404" s="24" t="s">
        <v>38</v>
      </c>
      <c r="L404" s="26">
        <v>256779411886</v>
      </c>
      <c r="M404" s="23">
        <v>212100</v>
      </c>
      <c r="N404" s="24" t="s">
        <v>39</v>
      </c>
      <c r="O404" s="24" t="s">
        <v>40</v>
      </c>
      <c r="P404" s="23">
        <v>1</v>
      </c>
      <c r="Q404" s="24" t="s">
        <v>42</v>
      </c>
      <c r="R404" s="27">
        <v>5.25</v>
      </c>
      <c r="S404" s="24" t="s">
        <v>43</v>
      </c>
      <c r="T404" s="42">
        <v>456.34</v>
      </c>
      <c r="U404" s="24" t="s">
        <v>44</v>
      </c>
      <c r="V404" s="23">
        <v>6779224500</v>
      </c>
      <c r="W404" s="24" t="s">
        <v>40</v>
      </c>
      <c r="X404" s="24" t="s">
        <v>38</v>
      </c>
      <c r="Y404" s="23">
        <v>1</v>
      </c>
      <c r="Z404" s="43" cm="1">
        <f t="array" ref="Z404:AA404">_xlfn.XLOOKUP(L404,'Customer Ledger'!$O:$O,'Customer Ledger'!$P:$Q,,0)</f>
        <v>0</v>
      </c>
      <c r="AA404" s="43">
        <v>447</v>
      </c>
      <c r="AB404" s="43">
        <f t="shared" si="75"/>
        <v>447</v>
      </c>
      <c r="AC404" s="43">
        <f t="shared" si="76"/>
        <v>9.339999999999975</v>
      </c>
      <c r="AD404" s="51">
        <f t="shared" si="77"/>
        <v>2.0467195512118105E-2</v>
      </c>
      <c r="AE404" s="24" t="s">
        <v>218</v>
      </c>
      <c r="AF404" s="24" t="s">
        <v>40</v>
      </c>
      <c r="AG404" s="24" t="s">
        <v>40</v>
      </c>
      <c r="AH404" s="24" t="s">
        <v>40</v>
      </c>
      <c r="AI404" s="25">
        <v>45763</v>
      </c>
      <c r="AJ404" s="25"/>
      <c r="AK404" s="24" t="s">
        <v>40</v>
      </c>
    </row>
    <row r="405" spans="1:37" x14ac:dyDescent="0.35">
      <c r="A405" s="3" t="s">
        <v>32</v>
      </c>
      <c r="B405" s="3" t="s">
        <v>33</v>
      </c>
      <c r="C405" s="3" t="s">
        <v>34</v>
      </c>
      <c r="D405" s="3" t="s">
        <v>35</v>
      </c>
      <c r="E405" s="3" t="s">
        <v>114</v>
      </c>
      <c r="F405" s="4">
        <v>45720</v>
      </c>
      <c r="G405" s="23">
        <v>1800003762</v>
      </c>
      <c r="H405" s="24" t="s">
        <v>47</v>
      </c>
      <c r="I405" s="25">
        <v>45736</v>
      </c>
      <c r="J405" s="25">
        <v>45736</v>
      </c>
      <c r="K405" s="24" t="s">
        <v>38</v>
      </c>
      <c r="L405" s="26">
        <v>246779413629</v>
      </c>
      <c r="M405" s="23">
        <v>212100</v>
      </c>
      <c r="N405" s="24" t="s">
        <v>39</v>
      </c>
      <c r="O405" s="24" t="s">
        <v>40</v>
      </c>
      <c r="P405" s="23">
        <v>1</v>
      </c>
      <c r="Q405" s="24" t="s">
        <v>42</v>
      </c>
      <c r="R405" s="27">
        <v>4.7</v>
      </c>
      <c r="S405" s="24" t="s">
        <v>43</v>
      </c>
      <c r="T405" s="42">
        <v>407.45</v>
      </c>
      <c r="U405" s="24" t="s">
        <v>44</v>
      </c>
      <c r="V405" s="23">
        <v>6779224500</v>
      </c>
      <c r="W405" s="24" t="s">
        <v>40</v>
      </c>
      <c r="X405" s="24" t="s">
        <v>38</v>
      </c>
      <c r="Y405" s="23">
        <v>1</v>
      </c>
      <c r="Z405" s="43" cm="1">
        <f t="array" ref="Z405:AA405">_xlfn.XLOOKUP(L405,'Customer Ledger'!$O:$O,'Customer Ledger'!$P:$Q,,0)</f>
        <v>0</v>
      </c>
      <c r="AA405" s="43">
        <v>397</v>
      </c>
      <c r="AB405" s="43">
        <f t="shared" si="75"/>
        <v>397</v>
      </c>
      <c r="AC405" s="43">
        <f t="shared" si="76"/>
        <v>10.449999999999989</v>
      </c>
      <c r="AD405" s="51">
        <f t="shared" si="77"/>
        <v>2.5647318689409716E-2</v>
      </c>
      <c r="AE405" s="24" t="s">
        <v>286</v>
      </c>
      <c r="AF405" s="24" t="s">
        <v>40</v>
      </c>
      <c r="AG405" s="24" t="s">
        <v>40</v>
      </c>
      <c r="AH405" s="24" t="s">
        <v>40</v>
      </c>
      <c r="AI405" s="25">
        <v>45736</v>
      </c>
      <c r="AJ405" s="25"/>
      <c r="AK405" s="24" t="s">
        <v>40</v>
      </c>
    </row>
    <row r="406" spans="1:37" x14ac:dyDescent="0.35">
      <c r="A406" s="3" t="s">
        <v>32</v>
      </c>
      <c r="B406" s="3" t="s">
        <v>33</v>
      </c>
      <c r="C406" s="3" t="s">
        <v>34</v>
      </c>
      <c r="D406" s="3" t="s">
        <v>35</v>
      </c>
      <c r="E406" s="3" t="s">
        <v>114</v>
      </c>
      <c r="F406" s="4">
        <v>45720</v>
      </c>
      <c r="G406" s="23">
        <v>1800003834</v>
      </c>
      <c r="H406" s="24" t="s">
        <v>47</v>
      </c>
      <c r="I406" s="25">
        <v>45736</v>
      </c>
      <c r="J406" s="25">
        <v>45736</v>
      </c>
      <c r="K406" s="24" t="s">
        <v>38</v>
      </c>
      <c r="L406" s="26">
        <v>246779413696</v>
      </c>
      <c r="M406" s="23">
        <v>212100</v>
      </c>
      <c r="N406" s="24" t="s">
        <v>39</v>
      </c>
      <c r="O406" s="24" t="s">
        <v>40</v>
      </c>
      <c r="P406" s="23">
        <v>1</v>
      </c>
      <c r="Q406" s="24" t="s">
        <v>42</v>
      </c>
      <c r="R406" s="27">
        <v>4.7</v>
      </c>
      <c r="S406" s="24" t="s">
        <v>43</v>
      </c>
      <c r="T406" s="42">
        <v>407.45</v>
      </c>
      <c r="U406" s="24" t="s">
        <v>44</v>
      </c>
      <c r="V406" s="23">
        <v>6779224500</v>
      </c>
      <c r="W406" s="24" t="s">
        <v>40</v>
      </c>
      <c r="X406" s="24" t="s">
        <v>38</v>
      </c>
      <c r="Y406" s="23">
        <v>1</v>
      </c>
      <c r="Z406" s="43" cm="1">
        <f t="array" ref="Z406:AA406">_xlfn.XLOOKUP(L406,'Customer Ledger'!$O:$O,'Customer Ledger'!$P:$Q,,0)</f>
        <v>0</v>
      </c>
      <c r="AA406" s="43">
        <v>382</v>
      </c>
      <c r="AB406" s="43">
        <f t="shared" si="75"/>
        <v>382</v>
      </c>
      <c r="AC406" s="43">
        <f t="shared" si="76"/>
        <v>25.449999999999989</v>
      </c>
      <c r="AD406" s="51">
        <f t="shared" si="77"/>
        <v>6.246165173640935E-2</v>
      </c>
      <c r="AE406" s="24" t="s">
        <v>286</v>
      </c>
      <c r="AF406" s="24" t="s">
        <v>40</v>
      </c>
      <c r="AG406" s="24" t="s">
        <v>40</v>
      </c>
      <c r="AH406" s="24" t="s">
        <v>40</v>
      </c>
      <c r="AI406" s="25">
        <v>45736</v>
      </c>
      <c r="AJ406" s="25"/>
      <c r="AK406" s="24" t="s">
        <v>40</v>
      </c>
    </row>
    <row r="407" spans="1:37" x14ac:dyDescent="0.35">
      <c r="A407" s="3" t="s">
        <v>32</v>
      </c>
      <c r="B407" s="3" t="s">
        <v>33</v>
      </c>
      <c r="C407" s="3" t="s">
        <v>34</v>
      </c>
      <c r="D407" s="3" t="s">
        <v>35</v>
      </c>
      <c r="E407" s="3" t="s">
        <v>114</v>
      </c>
      <c r="F407" s="4">
        <v>45720</v>
      </c>
      <c r="G407" s="23">
        <v>1800003875</v>
      </c>
      <c r="H407" s="24" t="s">
        <v>47</v>
      </c>
      <c r="I407" s="25">
        <v>45736</v>
      </c>
      <c r="J407" s="25">
        <v>45736</v>
      </c>
      <c r="K407" s="24" t="s">
        <v>38</v>
      </c>
      <c r="L407" s="26">
        <v>246779413743</v>
      </c>
      <c r="M407" s="23">
        <v>212100</v>
      </c>
      <c r="N407" s="24" t="s">
        <v>39</v>
      </c>
      <c r="O407" s="24" t="s">
        <v>40</v>
      </c>
      <c r="P407" s="23">
        <v>1</v>
      </c>
      <c r="Q407" s="24" t="s">
        <v>42</v>
      </c>
      <c r="R407" s="27">
        <v>4.7</v>
      </c>
      <c r="S407" s="24" t="s">
        <v>43</v>
      </c>
      <c r="T407" s="42">
        <v>407.45</v>
      </c>
      <c r="U407" s="24" t="s">
        <v>44</v>
      </c>
      <c r="V407" s="23">
        <v>6779224500</v>
      </c>
      <c r="W407" s="24" t="s">
        <v>40</v>
      </c>
      <c r="X407" s="24" t="s">
        <v>38</v>
      </c>
      <c r="Y407" s="23">
        <v>1</v>
      </c>
      <c r="Z407" s="43" cm="1">
        <f t="array" ref="Z407:AA407">_xlfn.XLOOKUP(L407,'Customer Ledger'!$O:$O,'Customer Ledger'!$P:$Q,,0)</f>
        <v>0</v>
      </c>
      <c r="AA407" s="43">
        <v>383</v>
      </c>
      <c r="AB407" s="43">
        <f t="shared" si="75"/>
        <v>383</v>
      </c>
      <c r="AC407" s="43">
        <f t="shared" si="76"/>
        <v>24.449999999999989</v>
      </c>
      <c r="AD407" s="51">
        <f t="shared" si="77"/>
        <v>6.0007362866609376E-2</v>
      </c>
      <c r="AE407" s="24" t="s">
        <v>286</v>
      </c>
      <c r="AF407" s="24" t="s">
        <v>40</v>
      </c>
      <c r="AG407" s="24" t="s">
        <v>40</v>
      </c>
      <c r="AH407" s="24" t="s">
        <v>40</v>
      </c>
      <c r="AI407" s="25">
        <v>45736</v>
      </c>
      <c r="AJ407" s="25"/>
      <c r="AK407" s="24" t="s">
        <v>40</v>
      </c>
    </row>
    <row r="408" spans="1:37" x14ac:dyDescent="0.35">
      <c r="A408" s="3" t="s">
        <v>32</v>
      </c>
      <c r="B408" s="3" t="s">
        <v>33</v>
      </c>
      <c r="C408" s="3" t="s">
        <v>34</v>
      </c>
      <c r="D408" s="3" t="s">
        <v>35</v>
      </c>
      <c r="E408" s="3" t="s">
        <v>114</v>
      </c>
      <c r="F408" s="4">
        <v>45720</v>
      </c>
      <c r="G408" s="23">
        <v>1800000742</v>
      </c>
      <c r="H408" s="24" t="s">
        <v>47</v>
      </c>
      <c r="I408" s="25">
        <v>45720</v>
      </c>
      <c r="J408" s="25">
        <v>45720</v>
      </c>
      <c r="K408" s="24" t="s">
        <v>38</v>
      </c>
      <c r="L408" s="26">
        <v>246779410682</v>
      </c>
      <c r="M408" s="23">
        <v>212100</v>
      </c>
      <c r="N408" s="24" t="s">
        <v>39</v>
      </c>
      <c r="O408" s="24" t="s">
        <v>40</v>
      </c>
      <c r="P408" s="23">
        <v>1</v>
      </c>
      <c r="Q408" s="24" t="s">
        <v>42</v>
      </c>
      <c r="R408" s="27">
        <v>4.7</v>
      </c>
      <c r="S408" s="24" t="s">
        <v>43</v>
      </c>
      <c r="T408" s="42">
        <v>407.45</v>
      </c>
      <c r="U408" s="24" t="s">
        <v>44</v>
      </c>
      <c r="V408" s="23">
        <v>6779224500</v>
      </c>
      <c r="W408" s="24" t="s">
        <v>40</v>
      </c>
      <c r="X408" s="24" t="s">
        <v>38</v>
      </c>
      <c r="Y408" s="23">
        <v>1</v>
      </c>
      <c r="Z408" s="43" cm="1">
        <f t="array" ref="Z408:AA408">_xlfn.XLOOKUP(L408,'Customer Ledger'!$O:$O,'Customer Ledger'!$P:$Q,,0)</f>
        <v>0</v>
      </c>
      <c r="AA408" s="43">
        <v>201</v>
      </c>
      <c r="AB408" s="43">
        <f t="shared" si="75"/>
        <v>201</v>
      </c>
      <c r="AC408" s="43">
        <f t="shared" si="76"/>
        <v>206.45</v>
      </c>
      <c r="AD408" s="51">
        <f t="shared" si="77"/>
        <v>0.50668793717020488</v>
      </c>
      <c r="AE408" s="24" t="s">
        <v>337</v>
      </c>
      <c r="AF408" s="24" t="s">
        <v>40</v>
      </c>
      <c r="AG408" s="24" t="s">
        <v>40</v>
      </c>
      <c r="AH408" s="24" t="s">
        <v>40</v>
      </c>
      <c r="AI408" s="25">
        <v>45720</v>
      </c>
      <c r="AJ408" s="25"/>
      <c r="AK408" s="24" t="s">
        <v>40</v>
      </c>
    </row>
    <row r="409" spans="1:37" x14ac:dyDescent="0.35">
      <c r="A409" s="3" t="s">
        <v>32</v>
      </c>
      <c r="B409" s="3" t="s">
        <v>33</v>
      </c>
      <c r="C409" s="3" t="s">
        <v>34</v>
      </c>
      <c r="D409" s="3" t="s">
        <v>35</v>
      </c>
      <c r="E409" s="3" t="s">
        <v>114</v>
      </c>
      <c r="F409" s="4">
        <v>45720</v>
      </c>
      <c r="G409" s="23">
        <v>1800000749</v>
      </c>
      <c r="H409" s="24" t="s">
        <v>47</v>
      </c>
      <c r="I409" s="25">
        <v>45720</v>
      </c>
      <c r="J409" s="25">
        <v>45720</v>
      </c>
      <c r="K409" s="24" t="s">
        <v>38</v>
      </c>
      <c r="L409" s="26">
        <v>246779410689</v>
      </c>
      <c r="M409" s="23">
        <v>212100</v>
      </c>
      <c r="N409" s="24" t="s">
        <v>39</v>
      </c>
      <c r="O409" s="24" t="s">
        <v>40</v>
      </c>
      <c r="P409" s="23">
        <v>1</v>
      </c>
      <c r="Q409" s="24" t="s">
        <v>42</v>
      </c>
      <c r="R409" s="27">
        <v>4.7</v>
      </c>
      <c r="S409" s="24" t="s">
        <v>43</v>
      </c>
      <c r="T409" s="42">
        <v>407.45</v>
      </c>
      <c r="U409" s="24" t="s">
        <v>44</v>
      </c>
      <c r="V409" s="23">
        <v>6779224500</v>
      </c>
      <c r="W409" s="24" t="s">
        <v>40</v>
      </c>
      <c r="X409" s="24" t="s">
        <v>38</v>
      </c>
      <c r="Y409" s="23">
        <v>1</v>
      </c>
      <c r="Z409" s="43" cm="1">
        <f t="array" ref="Z409:AA409">_xlfn.XLOOKUP(L409,'Customer Ledger'!$O:$O,'Customer Ledger'!$P:$Q,,0)</f>
        <v>0</v>
      </c>
      <c r="AA409" s="43">
        <v>403</v>
      </c>
      <c r="AB409" s="43">
        <f t="shared" si="75"/>
        <v>403</v>
      </c>
      <c r="AC409" s="43">
        <f t="shared" si="76"/>
        <v>4.4499999999999886</v>
      </c>
      <c r="AD409" s="51">
        <f t="shared" si="77"/>
        <v>1.0921585470609863E-2</v>
      </c>
      <c r="AE409" s="24" t="s">
        <v>337</v>
      </c>
      <c r="AF409" s="24" t="s">
        <v>40</v>
      </c>
      <c r="AG409" s="24" t="s">
        <v>40</v>
      </c>
      <c r="AH409" s="24" t="s">
        <v>40</v>
      </c>
      <c r="AI409" s="25">
        <v>45720</v>
      </c>
      <c r="AJ409" s="25"/>
      <c r="AK409" s="24" t="s">
        <v>40</v>
      </c>
    </row>
    <row r="410" spans="1:37" x14ac:dyDescent="0.35">
      <c r="A410" s="3" t="s">
        <v>32</v>
      </c>
      <c r="B410" s="3" t="s">
        <v>33</v>
      </c>
      <c r="C410" s="3" t="s">
        <v>34</v>
      </c>
      <c r="D410" s="3" t="s">
        <v>35</v>
      </c>
      <c r="E410" s="3" t="s">
        <v>114</v>
      </c>
      <c r="F410" s="4">
        <v>45720</v>
      </c>
      <c r="G410" s="23">
        <v>1800000816</v>
      </c>
      <c r="H410" s="24" t="s">
        <v>47</v>
      </c>
      <c r="I410" s="25">
        <v>45720</v>
      </c>
      <c r="J410" s="25">
        <v>45721</v>
      </c>
      <c r="K410" s="24" t="s">
        <v>38</v>
      </c>
      <c r="L410" s="26">
        <v>246779410756</v>
      </c>
      <c r="M410" s="23">
        <v>212100</v>
      </c>
      <c r="N410" s="24" t="s">
        <v>39</v>
      </c>
      <c r="O410" s="24" t="s">
        <v>40</v>
      </c>
      <c r="P410" s="23">
        <v>1</v>
      </c>
      <c r="Q410" s="24" t="s">
        <v>42</v>
      </c>
      <c r="R410" s="27">
        <v>4.7</v>
      </c>
      <c r="S410" s="24" t="s">
        <v>43</v>
      </c>
      <c r="T410" s="42">
        <v>407.45</v>
      </c>
      <c r="U410" s="24" t="s">
        <v>44</v>
      </c>
      <c r="V410" s="23">
        <v>6779224500</v>
      </c>
      <c r="W410" s="24" t="s">
        <v>40</v>
      </c>
      <c r="X410" s="24" t="s">
        <v>38</v>
      </c>
      <c r="Y410" s="23">
        <v>1</v>
      </c>
      <c r="Z410" s="43" cm="1">
        <f t="array" ref="Z410:AA410">_xlfn.XLOOKUP(L410,'Customer Ledger'!$O:$O,'Customer Ledger'!$P:$Q,,0)</f>
        <v>0</v>
      </c>
      <c r="AA410" s="43">
        <v>403</v>
      </c>
      <c r="AB410" s="43">
        <f t="shared" si="75"/>
        <v>403</v>
      </c>
      <c r="AC410" s="43">
        <f t="shared" si="76"/>
        <v>4.4499999999999886</v>
      </c>
      <c r="AD410" s="51">
        <f t="shared" si="77"/>
        <v>1.0921585470609863E-2</v>
      </c>
      <c r="AE410" s="24" t="s">
        <v>332</v>
      </c>
      <c r="AF410" s="24" t="s">
        <v>40</v>
      </c>
      <c r="AG410" s="24" t="s">
        <v>40</v>
      </c>
      <c r="AH410" s="24" t="s">
        <v>40</v>
      </c>
      <c r="AI410" s="25">
        <v>45720</v>
      </c>
      <c r="AJ410" s="25"/>
      <c r="AK410" s="24" t="s">
        <v>40</v>
      </c>
    </row>
    <row r="411" spans="1:37" x14ac:dyDescent="0.35">
      <c r="A411" s="3" t="s">
        <v>32</v>
      </c>
      <c r="B411" s="3" t="s">
        <v>33</v>
      </c>
      <c r="C411" s="3" t="s">
        <v>34</v>
      </c>
      <c r="D411" s="3" t="s">
        <v>35</v>
      </c>
      <c r="E411" s="3" t="s">
        <v>114</v>
      </c>
      <c r="F411" s="4">
        <v>45720</v>
      </c>
      <c r="G411" s="23">
        <v>1800000817</v>
      </c>
      <c r="H411" s="24" t="s">
        <v>47</v>
      </c>
      <c r="I411" s="25">
        <v>45720</v>
      </c>
      <c r="J411" s="25">
        <v>45721</v>
      </c>
      <c r="K411" s="24" t="s">
        <v>38</v>
      </c>
      <c r="L411" s="26">
        <v>246779410757</v>
      </c>
      <c r="M411" s="23">
        <v>212100</v>
      </c>
      <c r="N411" s="24" t="s">
        <v>39</v>
      </c>
      <c r="O411" s="24" t="s">
        <v>40</v>
      </c>
      <c r="P411" s="23">
        <v>1</v>
      </c>
      <c r="Q411" s="24" t="s">
        <v>42</v>
      </c>
      <c r="R411" s="27">
        <v>4.7</v>
      </c>
      <c r="S411" s="24" t="s">
        <v>43</v>
      </c>
      <c r="T411" s="42">
        <v>407.45</v>
      </c>
      <c r="U411" s="24" t="s">
        <v>44</v>
      </c>
      <c r="V411" s="23">
        <v>6779224500</v>
      </c>
      <c r="W411" s="24" t="s">
        <v>40</v>
      </c>
      <c r="X411" s="24" t="s">
        <v>38</v>
      </c>
      <c r="Y411" s="23">
        <v>1</v>
      </c>
      <c r="Z411" s="43" cm="1">
        <f t="array" ref="Z411:AA411">_xlfn.XLOOKUP(L411,'Customer Ledger'!$O:$O,'Customer Ledger'!$P:$Q,,0)</f>
        <v>0</v>
      </c>
      <c r="AA411" s="43">
        <v>403</v>
      </c>
      <c r="AB411" s="43">
        <f t="shared" si="75"/>
        <v>403</v>
      </c>
      <c r="AC411" s="43">
        <f t="shared" si="76"/>
        <v>4.4499999999999886</v>
      </c>
      <c r="AD411" s="51">
        <f t="shared" si="77"/>
        <v>1.0921585470609863E-2</v>
      </c>
      <c r="AE411" s="24" t="s">
        <v>332</v>
      </c>
      <c r="AF411" s="24" t="s">
        <v>40</v>
      </c>
      <c r="AG411" s="24" t="s">
        <v>40</v>
      </c>
      <c r="AH411" s="24" t="s">
        <v>40</v>
      </c>
      <c r="AI411" s="25">
        <v>45720</v>
      </c>
      <c r="AJ411" s="25"/>
      <c r="AK411" s="24" t="s">
        <v>40</v>
      </c>
    </row>
    <row r="412" spans="1:37" x14ac:dyDescent="0.35">
      <c r="A412" s="3" t="s">
        <v>32</v>
      </c>
      <c r="B412" s="3" t="s">
        <v>33</v>
      </c>
      <c r="C412" s="3" t="s">
        <v>34</v>
      </c>
      <c r="D412" s="3" t="s">
        <v>35</v>
      </c>
      <c r="E412" s="3" t="s">
        <v>114</v>
      </c>
      <c r="F412" s="4">
        <v>45720</v>
      </c>
      <c r="G412" s="23">
        <v>1800000822</v>
      </c>
      <c r="H412" s="24" t="s">
        <v>47</v>
      </c>
      <c r="I412" s="25">
        <v>45720</v>
      </c>
      <c r="J412" s="25">
        <v>45721</v>
      </c>
      <c r="K412" s="24" t="s">
        <v>38</v>
      </c>
      <c r="L412" s="26">
        <v>246779410762</v>
      </c>
      <c r="M412" s="23">
        <v>212100</v>
      </c>
      <c r="N412" s="24" t="s">
        <v>39</v>
      </c>
      <c r="O412" s="24" t="s">
        <v>40</v>
      </c>
      <c r="P412" s="23">
        <v>1</v>
      </c>
      <c r="Q412" s="24" t="s">
        <v>42</v>
      </c>
      <c r="R412" s="27">
        <v>4.7</v>
      </c>
      <c r="S412" s="24" t="s">
        <v>43</v>
      </c>
      <c r="T412" s="42">
        <v>407.45</v>
      </c>
      <c r="U412" s="24" t="s">
        <v>44</v>
      </c>
      <c r="V412" s="23">
        <v>6779224500</v>
      </c>
      <c r="W412" s="24" t="s">
        <v>40</v>
      </c>
      <c r="X412" s="24" t="s">
        <v>38</v>
      </c>
      <c r="Y412" s="23">
        <v>1</v>
      </c>
      <c r="Z412" s="43" cm="1">
        <f t="array" ref="Z412:AA412">_xlfn.XLOOKUP(L412,'Customer Ledger'!$O:$O,'Customer Ledger'!$P:$Q,,0)</f>
        <v>0</v>
      </c>
      <c r="AA412" s="43">
        <v>403</v>
      </c>
      <c r="AB412" s="43">
        <f t="shared" si="75"/>
        <v>403</v>
      </c>
      <c r="AC412" s="43">
        <f t="shared" si="76"/>
        <v>4.4499999999999886</v>
      </c>
      <c r="AD412" s="51">
        <f t="shared" si="77"/>
        <v>1.0921585470609863E-2</v>
      </c>
      <c r="AE412" s="24" t="s">
        <v>332</v>
      </c>
      <c r="AF412" s="24" t="s">
        <v>40</v>
      </c>
      <c r="AG412" s="24" t="s">
        <v>40</v>
      </c>
      <c r="AH412" s="24" t="s">
        <v>40</v>
      </c>
      <c r="AI412" s="25">
        <v>45720</v>
      </c>
      <c r="AJ412" s="25"/>
      <c r="AK412" s="24" t="s">
        <v>40</v>
      </c>
    </row>
    <row r="413" spans="1:37" x14ac:dyDescent="0.35">
      <c r="A413" s="3" t="s">
        <v>32</v>
      </c>
      <c r="B413" s="3" t="s">
        <v>33</v>
      </c>
      <c r="C413" s="3" t="s">
        <v>34</v>
      </c>
      <c r="D413" s="3" t="s">
        <v>35</v>
      </c>
      <c r="E413" s="3" t="s">
        <v>114</v>
      </c>
      <c r="F413" s="4">
        <v>45720</v>
      </c>
      <c r="G413" s="23">
        <v>1800000826</v>
      </c>
      <c r="H413" s="24" t="s">
        <v>47</v>
      </c>
      <c r="I413" s="25">
        <v>45720</v>
      </c>
      <c r="J413" s="25">
        <v>45721</v>
      </c>
      <c r="K413" s="24" t="s">
        <v>38</v>
      </c>
      <c r="L413" s="26">
        <v>246779410766</v>
      </c>
      <c r="M413" s="23">
        <v>212100</v>
      </c>
      <c r="N413" s="24" t="s">
        <v>39</v>
      </c>
      <c r="O413" s="24" t="s">
        <v>40</v>
      </c>
      <c r="P413" s="23">
        <v>1</v>
      </c>
      <c r="Q413" s="24" t="s">
        <v>42</v>
      </c>
      <c r="R413" s="27">
        <v>4.7</v>
      </c>
      <c r="S413" s="24" t="s">
        <v>43</v>
      </c>
      <c r="T413" s="42">
        <v>407.45</v>
      </c>
      <c r="U413" s="24" t="s">
        <v>44</v>
      </c>
      <c r="V413" s="23">
        <v>6779224500</v>
      </c>
      <c r="W413" s="24" t="s">
        <v>40</v>
      </c>
      <c r="X413" s="24" t="s">
        <v>38</v>
      </c>
      <c r="Y413" s="23">
        <v>1</v>
      </c>
      <c r="Z413" s="43" cm="1">
        <f t="array" ref="Z413:AA413">_xlfn.XLOOKUP(L413,'Customer Ledger'!$O:$O,'Customer Ledger'!$P:$Q,,0)</f>
        <v>0</v>
      </c>
      <c r="AA413" s="43">
        <v>403</v>
      </c>
      <c r="AB413" s="43">
        <f t="shared" si="75"/>
        <v>403</v>
      </c>
      <c r="AC413" s="43">
        <f t="shared" si="76"/>
        <v>4.4499999999999886</v>
      </c>
      <c r="AD413" s="51">
        <f t="shared" si="77"/>
        <v>1.0921585470609863E-2</v>
      </c>
      <c r="AE413" s="24" t="s">
        <v>332</v>
      </c>
      <c r="AF413" s="24" t="s">
        <v>40</v>
      </c>
      <c r="AG413" s="24" t="s">
        <v>40</v>
      </c>
      <c r="AH413" s="24" t="s">
        <v>40</v>
      </c>
      <c r="AI413" s="25">
        <v>45720</v>
      </c>
      <c r="AJ413" s="25"/>
      <c r="AK413" s="24" t="s">
        <v>40</v>
      </c>
    </row>
    <row r="414" spans="1:37" x14ac:dyDescent="0.35">
      <c r="A414" s="3" t="s">
        <v>32</v>
      </c>
      <c r="B414" s="3" t="s">
        <v>33</v>
      </c>
      <c r="C414" s="3" t="s">
        <v>34</v>
      </c>
      <c r="D414" s="3" t="s">
        <v>35</v>
      </c>
      <c r="E414" s="3" t="s">
        <v>114</v>
      </c>
      <c r="F414" s="4">
        <v>45720</v>
      </c>
      <c r="G414" s="23">
        <v>1800000901</v>
      </c>
      <c r="H414" s="24" t="s">
        <v>47</v>
      </c>
      <c r="I414" s="25">
        <v>45720</v>
      </c>
      <c r="J414" s="25">
        <v>45721</v>
      </c>
      <c r="K414" s="24" t="s">
        <v>38</v>
      </c>
      <c r="L414" s="26">
        <v>246779410842</v>
      </c>
      <c r="M414" s="23">
        <v>212100</v>
      </c>
      <c r="N414" s="24" t="s">
        <v>39</v>
      </c>
      <c r="O414" s="24" t="s">
        <v>40</v>
      </c>
      <c r="P414" s="23">
        <v>1</v>
      </c>
      <c r="Q414" s="24" t="s">
        <v>42</v>
      </c>
      <c r="R414" s="27">
        <v>4.7</v>
      </c>
      <c r="S414" s="24" t="s">
        <v>43</v>
      </c>
      <c r="T414" s="42">
        <v>407.45</v>
      </c>
      <c r="U414" s="24" t="s">
        <v>44</v>
      </c>
      <c r="V414" s="23">
        <v>6779224500</v>
      </c>
      <c r="W414" s="24" t="s">
        <v>40</v>
      </c>
      <c r="X414" s="24" t="s">
        <v>38</v>
      </c>
      <c r="Y414" s="23">
        <v>1</v>
      </c>
      <c r="Z414" s="43" cm="1">
        <f t="array" ref="Z414:AA414">_xlfn.XLOOKUP(L414,'Customer Ledger'!$O:$O,'Customer Ledger'!$P:$Q,,0)</f>
        <v>0</v>
      </c>
      <c r="AA414" s="43">
        <v>403</v>
      </c>
      <c r="AB414" s="43">
        <f t="shared" si="75"/>
        <v>403</v>
      </c>
      <c r="AC414" s="43">
        <f t="shared" si="76"/>
        <v>4.4499999999999886</v>
      </c>
      <c r="AD414" s="51">
        <f t="shared" si="77"/>
        <v>1.0921585470609863E-2</v>
      </c>
      <c r="AE414" s="24" t="s">
        <v>338</v>
      </c>
      <c r="AF414" s="24" t="s">
        <v>40</v>
      </c>
      <c r="AG414" s="24" t="s">
        <v>40</v>
      </c>
      <c r="AH414" s="24" t="s">
        <v>40</v>
      </c>
      <c r="AI414" s="25">
        <v>45720</v>
      </c>
      <c r="AJ414" s="25"/>
      <c r="AK414" s="24" t="s">
        <v>40</v>
      </c>
    </row>
    <row r="415" spans="1:37" x14ac:dyDescent="0.35">
      <c r="A415" s="3" t="s">
        <v>32</v>
      </c>
      <c r="B415" s="3" t="s">
        <v>33</v>
      </c>
      <c r="C415" s="3" t="s">
        <v>34</v>
      </c>
      <c r="D415" s="3" t="s">
        <v>35</v>
      </c>
      <c r="E415" s="3" t="s">
        <v>114</v>
      </c>
      <c r="F415" s="4">
        <v>45720</v>
      </c>
      <c r="G415" s="23">
        <v>1800000902</v>
      </c>
      <c r="H415" s="24" t="s">
        <v>47</v>
      </c>
      <c r="I415" s="25">
        <v>45720</v>
      </c>
      <c r="J415" s="25">
        <v>45721</v>
      </c>
      <c r="K415" s="24" t="s">
        <v>38</v>
      </c>
      <c r="L415" s="26">
        <v>246779410843</v>
      </c>
      <c r="M415" s="23">
        <v>212100</v>
      </c>
      <c r="N415" s="24" t="s">
        <v>39</v>
      </c>
      <c r="O415" s="24" t="s">
        <v>40</v>
      </c>
      <c r="P415" s="23">
        <v>1</v>
      </c>
      <c r="Q415" s="24" t="s">
        <v>42</v>
      </c>
      <c r="R415" s="27">
        <v>4.7</v>
      </c>
      <c r="S415" s="24" t="s">
        <v>43</v>
      </c>
      <c r="T415" s="42">
        <v>407.45</v>
      </c>
      <c r="U415" s="24" t="s">
        <v>44</v>
      </c>
      <c r="V415" s="23">
        <v>6779224500</v>
      </c>
      <c r="W415" s="24" t="s">
        <v>40</v>
      </c>
      <c r="X415" s="24" t="s">
        <v>38</v>
      </c>
      <c r="Y415" s="23">
        <v>1</v>
      </c>
      <c r="Z415" s="43" cm="1">
        <f t="array" ref="Z415:AA415">_xlfn.XLOOKUP(L415,'Customer Ledger'!$O:$O,'Customer Ledger'!$P:$Q,,0)</f>
        <v>0</v>
      </c>
      <c r="AA415" s="43">
        <v>403</v>
      </c>
      <c r="AB415" s="43">
        <f t="shared" si="75"/>
        <v>403</v>
      </c>
      <c r="AC415" s="43">
        <f t="shared" si="76"/>
        <v>4.4499999999999886</v>
      </c>
      <c r="AD415" s="51">
        <f t="shared" si="77"/>
        <v>1.0921585470609863E-2</v>
      </c>
      <c r="AE415" s="24" t="s">
        <v>338</v>
      </c>
      <c r="AF415" s="24" t="s">
        <v>40</v>
      </c>
      <c r="AG415" s="24" t="s">
        <v>40</v>
      </c>
      <c r="AH415" s="24" t="s">
        <v>40</v>
      </c>
      <c r="AI415" s="25">
        <v>45720</v>
      </c>
      <c r="AJ415" s="25"/>
      <c r="AK415" s="24" t="s">
        <v>40</v>
      </c>
    </row>
    <row r="416" spans="1:37" x14ac:dyDescent="0.35">
      <c r="A416" s="3" t="s">
        <v>32</v>
      </c>
      <c r="B416" s="3" t="s">
        <v>33</v>
      </c>
      <c r="C416" s="3" t="s">
        <v>34</v>
      </c>
      <c r="D416" s="3" t="s">
        <v>35</v>
      </c>
      <c r="E416" s="3" t="s">
        <v>85</v>
      </c>
      <c r="F416" s="4">
        <v>45751</v>
      </c>
      <c r="G416" s="23">
        <v>1800005904</v>
      </c>
      <c r="H416" s="24" t="s">
        <v>47</v>
      </c>
      <c r="I416" s="25">
        <v>45751</v>
      </c>
      <c r="J416" s="25">
        <v>45752</v>
      </c>
      <c r="K416" s="24" t="s">
        <v>38</v>
      </c>
      <c r="L416" s="26">
        <v>256779410795</v>
      </c>
      <c r="M416" s="23">
        <v>212100</v>
      </c>
      <c r="N416" s="24" t="s">
        <v>39</v>
      </c>
      <c r="O416" s="24" t="s">
        <v>40</v>
      </c>
      <c r="P416" s="23">
        <v>1</v>
      </c>
      <c r="Q416" s="24" t="s">
        <v>42</v>
      </c>
      <c r="R416" s="27">
        <v>5005.59</v>
      </c>
      <c r="S416" s="24" t="s">
        <v>43</v>
      </c>
      <c r="T416" s="42">
        <v>435094.99</v>
      </c>
      <c r="U416" s="24" t="s">
        <v>44</v>
      </c>
      <c r="V416" s="24" t="s">
        <v>40</v>
      </c>
      <c r="W416" s="24" t="s">
        <v>40</v>
      </c>
      <c r="X416" s="24" t="s">
        <v>38</v>
      </c>
      <c r="Y416" s="23">
        <v>1</v>
      </c>
      <c r="Z416" s="43" cm="1">
        <f t="array" ref="Z416:AA416">_xlfn.XLOOKUP(L416,'Customer Ledger'!$O:$O,'Customer Ledger'!$P:$Q,,0)</f>
        <v>0</v>
      </c>
      <c r="AA416" s="43">
        <v>384955</v>
      </c>
      <c r="AB416" s="43">
        <f t="shared" si="75"/>
        <v>384955</v>
      </c>
      <c r="AC416" s="43">
        <f t="shared" si="76"/>
        <v>50139.989999999991</v>
      </c>
      <c r="AD416" s="51">
        <f t="shared" si="77"/>
        <v>0.11523918029945597</v>
      </c>
      <c r="AE416" s="24" t="s">
        <v>339</v>
      </c>
      <c r="AF416" s="24" t="s">
        <v>40</v>
      </c>
      <c r="AG416" s="24" t="s">
        <v>40</v>
      </c>
      <c r="AH416" s="24" t="s">
        <v>40</v>
      </c>
      <c r="AI416" s="25">
        <v>45751</v>
      </c>
      <c r="AJ416" s="25"/>
      <c r="AK416" s="24" t="s">
        <v>40</v>
      </c>
    </row>
    <row r="417" spans="1:37" x14ac:dyDescent="0.35">
      <c r="A417" s="3" t="s">
        <v>32</v>
      </c>
      <c r="B417" s="3" t="s">
        <v>33</v>
      </c>
      <c r="C417" s="3" t="s">
        <v>34</v>
      </c>
      <c r="D417" s="3" t="s">
        <v>35</v>
      </c>
      <c r="E417" s="3" t="s">
        <v>85</v>
      </c>
      <c r="F417" s="4">
        <v>45751</v>
      </c>
      <c r="G417" s="23">
        <v>1800005921</v>
      </c>
      <c r="H417" s="24" t="s">
        <v>47</v>
      </c>
      <c r="I417" s="25">
        <v>45751</v>
      </c>
      <c r="J417" s="25">
        <v>45752</v>
      </c>
      <c r="K417" s="24" t="s">
        <v>38</v>
      </c>
      <c r="L417" s="26">
        <v>256779410812</v>
      </c>
      <c r="M417" s="23">
        <v>212100</v>
      </c>
      <c r="N417" s="24" t="s">
        <v>39</v>
      </c>
      <c r="O417" s="24" t="s">
        <v>40</v>
      </c>
      <c r="P417" s="23">
        <v>1</v>
      </c>
      <c r="Q417" s="24" t="s">
        <v>42</v>
      </c>
      <c r="R417" s="27">
        <v>4311.37</v>
      </c>
      <c r="S417" s="24" t="s">
        <v>43</v>
      </c>
      <c r="T417" s="42">
        <v>374752.13</v>
      </c>
      <c r="U417" s="24" t="s">
        <v>44</v>
      </c>
      <c r="V417" s="24" t="s">
        <v>40</v>
      </c>
      <c r="W417" s="24" t="s">
        <v>40</v>
      </c>
      <c r="X417" s="24" t="s">
        <v>38</v>
      </c>
      <c r="Y417" s="23">
        <v>1</v>
      </c>
      <c r="Z417" s="43" cm="1">
        <f t="array" ref="Z417:AA417">_xlfn.XLOOKUP(L417,'Customer Ledger'!$O:$O,'Customer Ledger'!$P:$Q,,0)</f>
        <v>0</v>
      </c>
      <c r="AA417" s="43">
        <v>331566</v>
      </c>
      <c r="AB417" s="43">
        <f t="shared" si="75"/>
        <v>331566</v>
      </c>
      <c r="AC417" s="43">
        <f t="shared" si="76"/>
        <v>43186.130000000005</v>
      </c>
      <c r="AD417" s="51">
        <f t="shared" si="77"/>
        <v>0.11523918489802848</v>
      </c>
      <c r="AE417" s="24" t="s">
        <v>340</v>
      </c>
      <c r="AF417" s="24" t="s">
        <v>40</v>
      </c>
      <c r="AG417" s="24" t="s">
        <v>40</v>
      </c>
      <c r="AH417" s="24" t="s">
        <v>40</v>
      </c>
      <c r="AI417" s="25">
        <v>45751</v>
      </c>
      <c r="AJ417" s="25"/>
      <c r="AK417" s="24" t="s">
        <v>40</v>
      </c>
    </row>
    <row r="418" spans="1:37" x14ac:dyDescent="0.35">
      <c r="A418" s="3" t="s">
        <v>32</v>
      </c>
      <c r="B418" s="3" t="s">
        <v>33</v>
      </c>
      <c r="C418" s="3" t="s">
        <v>34</v>
      </c>
      <c r="D418" s="3" t="s">
        <v>35</v>
      </c>
      <c r="E418" s="3" t="s">
        <v>148</v>
      </c>
      <c r="F418" s="4">
        <v>45716</v>
      </c>
      <c r="G418" s="23">
        <v>1800000364</v>
      </c>
      <c r="H418" s="24" t="s">
        <v>47</v>
      </c>
      <c r="I418" s="25">
        <v>45716</v>
      </c>
      <c r="J418" s="25">
        <v>45716</v>
      </c>
      <c r="K418" s="24" t="s">
        <v>38</v>
      </c>
      <c r="L418" s="26">
        <v>246779410333</v>
      </c>
      <c r="M418" s="23">
        <v>212100</v>
      </c>
      <c r="N418" s="24" t="s">
        <v>39</v>
      </c>
      <c r="O418" s="24" t="s">
        <v>40</v>
      </c>
      <c r="P418" s="23">
        <v>1</v>
      </c>
      <c r="Q418" s="24" t="s">
        <v>42</v>
      </c>
      <c r="R418" s="27">
        <v>386.34</v>
      </c>
      <c r="S418" s="24" t="s">
        <v>43</v>
      </c>
      <c r="T418" s="42">
        <v>33342.559999999998</v>
      </c>
      <c r="U418" s="24" t="s">
        <v>44</v>
      </c>
      <c r="V418" s="23">
        <v>6779224500</v>
      </c>
      <c r="W418" s="24" t="s">
        <v>40</v>
      </c>
      <c r="X418" s="24" t="s">
        <v>38</v>
      </c>
      <c r="Y418" s="23">
        <v>1</v>
      </c>
      <c r="Z418" s="43" cm="1">
        <f t="array" ref="Z418:AA418">_xlfn.XLOOKUP(L418,'Customer Ledger'!$O:$O,'Customer Ledger'!$P:$Q,,0)</f>
        <v>0</v>
      </c>
      <c r="AA418" s="43">
        <v>29975.441999999999</v>
      </c>
      <c r="AB418" s="43">
        <f t="shared" si="75"/>
        <v>29975.441999999999</v>
      </c>
      <c r="AC418" s="43">
        <f t="shared" si="76"/>
        <v>3367.1179999999986</v>
      </c>
      <c r="AD418" s="51">
        <f t="shared" si="77"/>
        <v>0.10098558718946592</v>
      </c>
      <c r="AE418" s="24" t="s">
        <v>341</v>
      </c>
      <c r="AF418" s="24" t="s">
        <v>40</v>
      </c>
      <c r="AG418" s="24" t="s">
        <v>40</v>
      </c>
      <c r="AH418" s="24" t="s">
        <v>40</v>
      </c>
      <c r="AI418" s="25">
        <v>45716</v>
      </c>
      <c r="AJ418" s="25"/>
      <c r="AK418" s="24" t="s">
        <v>40</v>
      </c>
    </row>
    <row r="419" spans="1:37" x14ac:dyDescent="0.35">
      <c r="A419" s="3" t="s">
        <v>32</v>
      </c>
      <c r="B419" s="3" t="s">
        <v>33</v>
      </c>
      <c r="C419" s="3" t="s">
        <v>34</v>
      </c>
      <c r="D419" s="3" t="s">
        <v>35</v>
      </c>
      <c r="E419" s="3" t="s">
        <v>148</v>
      </c>
      <c r="F419" s="4">
        <v>45716</v>
      </c>
      <c r="G419" s="23">
        <v>1800000369</v>
      </c>
      <c r="H419" s="24" t="s">
        <v>47</v>
      </c>
      <c r="I419" s="25">
        <v>45716</v>
      </c>
      <c r="J419" s="25">
        <v>45716</v>
      </c>
      <c r="K419" s="24" t="s">
        <v>38</v>
      </c>
      <c r="L419" s="26">
        <v>246779410338</v>
      </c>
      <c r="M419" s="23">
        <v>212100</v>
      </c>
      <c r="N419" s="24" t="s">
        <v>39</v>
      </c>
      <c r="O419" s="24" t="s">
        <v>40</v>
      </c>
      <c r="P419" s="23">
        <v>1</v>
      </c>
      <c r="Q419" s="24" t="s">
        <v>42</v>
      </c>
      <c r="R419" s="27">
        <v>178.6</v>
      </c>
      <c r="S419" s="24" t="s">
        <v>43</v>
      </c>
      <c r="T419" s="42">
        <v>15413.83</v>
      </c>
      <c r="U419" s="24" t="s">
        <v>44</v>
      </c>
      <c r="V419" s="23">
        <v>6779224500</v>
      </c>
      <c r="W419" s="24" t="s">
        <v>40</v>
      </c>
      <c r="X419" s="24" t="s">
        <v>38</v>
      </c>
      <c r="Y419" s="23">
        <v>1</v>
      </c>
      <c r="Z419" s="43" cm="1">
        <f t="array" ref="Z419:AA419">_xlfn.XLOOKUP(L419,'Customer Ledger'!$O:$O,'Customer Ledger'!$P:$Q,,0)</f>
        <v>0</v>
      </c>
      <c r="AA419" s="43">
        <v>13859.78</v>
      </c>
      <c r="AB419" s="43">
        <f t="shared" si="75"/>
        <v>13859.78</v>
      </c>
      <c r="AC419" s="43">
        <f t="shared" si="76"/>
        <v>1554.0499999999993</v>
      </c>
      <c r="AD419" s="51">
        <f t="shared" si="77"/>
        <v>0.10082179445342263</v>
      </c>
      <c r="AE419" s="24" t="s">
        <v>342</v>
      </c>
      <c r="AF419" s="24" t="s">
        <v>40</v>
      </c>
      <c r="AG419" s="24" t="s">
        <v>40</v>
      </c>
      <c r="AH419" s="24" t="s">
        <v>40</v>
      </c>
      <c r="AI419" s="25">
        <v>45716</v>
      </c>
      <c r="AJ419" s="25"/>
      <c r="AK419" s="24" t="s">
        <v>40</v>
      </c>
    </row>
    <row r="420" spans="1:37" x14ac:dyDescent="0.35">
      <c r="A420" s="3" t="s">
        <v>32</v>
      </c>
      <c r="B420" s="3" t="s">
        <v>33</v>
      </c>
      <c r="C420" s="3" t="s">
        <v>34</v>
      </c>
      <c r="D420" s="3" t="s">
        <v>35</v>
      </c>
      <c r="E420" s="3" t="s">
        <v>148</v>
      </c>
      <c r="F420" s="4">
        <v>45716</v>
      </c>
      <c r="G420" s="23">
        <v>1800000370</v>
      </c>
      <c r="H420" s="24" t="s">
        <v>47</v>
      </c>
      <c r="I420" s="25">
        <v>45716</v>
      </c>
      <c r="J420" s="25">
        <v>45716</v>
      </c>
      <c r="K420" s="24" t="s">
        <v>38</v>
      </c>
      <c r="L420" s="26">
        <v>246779410339</v>
      </c>
      <c r="M420" s="23">
        <v>212100</v>
      </c>
      <c r="N420" s="24" t="s">
        <v>39</v>
      </c>
      <c r="O420" s="24" t="s">
        <v>40</v>
      </c>
      <c r="P420" s="23">
        <v>1</v>
      </c>
      <c r="Q420" s="24" t="s">
        <v>42</v>
      </c>
      <c r="R420" s="27">
        <v>575.75</v>
      </c>
      <c r="S420" s="24" t="s">
        <v>43</v>
      </c>
      <c r="T420" s="42">
        <v>49689.33</v>
      </c>
      <c r="U420" s="24" t="s">
        <v>44</v>
      </c>
      <c r="V420" s="23">
        <v>6779224500</v>
      </c>
      <c r="W420" s="24" t="s">
        <v>40</v>
      </c>
      <c r="X420" s="24" t="s">
        <v>38</v>
      </c>
      <c r="Y420" s="23">
        <v>1</v>
      </c>
      <c r="Z420" s="43" cm="1">
        <f t="array" ref="Z420:AA420">_xlfn.XLOOKUP(L420,'Customer Ledger'!$O:$O,'Customer Ledger'!$P:$Q,,0)</f>
        <v>0</v>
      </c>
      <c r="AA420" s="43">
        <v>44681.824999999997</v>
      </c>
      <c r="AB420" s="43">
        <f t="shared" si="75"/>
        <v>44681.824999999997</v>
      </c>
      <c r="AC420" s="43">
        <f t="shared" si="76"/>
        <v>5007.5050000000047</v>
      </c>
      <c r="AD420" s="51">
        <f t="shared" si="77"/>
        <v>0.10077626323397809</v>
      </c>
      <c r="AE420" s="24" t="s">
        <v>343</v>
      </c>
      <c r="AF420" s="24" t="s">
        <v>40</v>
      </c>
      <c r="AG420" s="24" t="s">
        <v>40</v>
      </c>
      <c r="AH420" s="24" t="s">
        <v>40</v>
      </c>
      <c r="AI420" s="25">
        <v>45716</v>
      </c>
      <c r="AJ420" s="25"/>
      <c r="AK420" s="24" t="s">
        <v>40</v>
      </c>
    </row>
    <row r="421" spans="1:37" x14ac:dyDescent="0.35">
      <c r="A421" s="3" t="s">
        <v>32</v>
      </c>
      <c r="B421" s="3" t="s">
        <v>33</v>
      </c>
      <c r="C421" s="3" t="s">
        <v>34</v>
      </c>
      <c r="D421" s="3" t="s">
        <v>35</v>
      </c>
      <c r="E421" s="3" t="s">
        <v>148</v>
      </c>
      <c r="F421" s="4">
        <v>45716</v>
      </c>
      <c r="G421" s="23">
        <v>1800000371</v>
      </c>
      <c r="H421" s="24" t="s">
        <v>47</v>
      </c>
      <c r="I421" s="25">
        <v>45716</v>
      </c>
      <c r="J421" s="25">
        <v>45716</v>
      </c>
      <c r="K421" s="24" t="s">
        <v>38</v>
      </c>
      <c r="L421" s="26">
        <v>246779410340</v>
      </c>
      <c r="M421" s="23">
        <v>212100</v>
      </c>
      <c r="N421" s="24" t="s">
        <v>39</v>
      </c>
      <c r="O421" s="24" t="s">
        <v>40</v>
      </c>
      <c r="P421" s="23">
        <v>1</v>
      </c>
      <c r="Q421" s="24" t="s">
        <v>42</v>
      </c>
      <c r="R421" s="27">
        <v>1863.55</v>
      </c>
      <c r="S421" s="24" t="s">
        <v>43</v>
      </c>
      <c r="T421" s="42">
        <v>160831.19</v>
      </c>
      <c r="U421" s="24" t="s">
        <v>44</v>
      </c>
      <c r="V421" s="23">
        <v>6779224500</v>
      </c>
      <c r="W421" s="24" t="s">
        <v>40</v>
      </c>
      <c r="X421" s="24" t="s">
        <v>38</v>
      </c>
      <c r="Y421" s="23">
        <v>1</v>
      </c>
      <c r="Z421" s="43" cm="1">
        <f t="array" ref="Z421:AA421">_xlfn.XLOOKUP(L421,'Customer Ledger'!$O:$O,'Customer Ledger'!$P:$Q,,0)</f>
        <v>0</v>
      </c>
      <c r="AA421" s="43">
        <v>144772.565</v>
      </c>
      <c r="AB421" s="43">
        <f t="shared" si="75"/>
        <v>144772.565</v>
      </c>
      <c r="AC421" s="43">
        <f t="shared" si="76"/>
        <v>16058.625</v>
      </c>
      <c r="AD421" s="51">
        <f t="shared" si="77"/>
        <v>9.9847703669916257E-2</v>
      </c>
      <c r="AE421" s="24" t="s">
        <v>344</v>
      </c>
      <c r="AF421" s="24" t="s">
        <v>40</v>
      </c>
      <c r="AG421" s="24" t="s">
        <v>40</v>
      </c>
      <c r="AH421" s="24" t="s">
        <v>40</v>
      </c>
      <c r="AI421" s="25">
        <v>45716</v>
      </c>
      <c r="AJ421" s="25"/>
      <c r="AK421" s="24" t="s">
        <v>40</v>
      </c>
    </row>
    <row r="422" spans="1:37" x14ac:dyDescent="0.35">
      <c r="A422" s="3" t="s">
        <v>32</v>
      </c>
      <c r="B422" s="3" t="s">
        <v>33</v>
      </c>
      <c r="C422" s="3" t="s">
        <v>34</v>
      </c>
      <c r="D422" s="3" t="s">
        <v>35</v>
      </c>
      <c r="E422" s="3" t="s">
        <v>148</v>
      </c>
      <c r="F422" s="4">
        <v>45716</v>
      </c>
      <c r="G422" s="23">
        <v>1800000379</v>
      </c>
      <c r="H422" s="24" t="s">
        <v>47</v>
      </c>
      <c r="I422" s="25">
        <v>45716</v>
      </c>
      <c r="J422" s="25">
        <v>45716</v>
      </c>
      <c r="K422" s="24" t="s">
        <v>38</v>
      </c>
      <c r="L422" s="26">
        <v>246779410348</v>
      </c>
      <c r="M422" s="23">
        <v>212100</v>
      </c>
      <c r="N422" s="24" t="s">
        <v>39</v>
      </c>
      <c r="O422" s="24" t="s">
        <v>40</v>
      </c>
      <c r="P422" s="23">
        <v>1</v>
      </c>
      <c r="Q422" s="24" t="s">
        <v>42</v>
      </c>
      <c r="R422" s="27">
        <v>1793.99</v>
      </c>
      <c r="S422" s="24" t="s">
        <v>43</v>
      </c>
      <c r="T422" s="42">
        <v>154827.9</v>
      </c>
      <c r="U422" s="24" t="s">
        <v>44</v>
      </c>
      <c r="V422" s="23">
        <v>6779224500</v>
      </c>
      <c r="W422" s="24" t="s">
        <v>40</v>
      </c>
      <c r="X422" s="24" t="s">
        <v>38</v>
      </c>
      <c r="Y422" s="23">
        <v>1</v>
      </c>
      <c r="Z422" s="43" cm="1">
        <f t="array" ref="Z422:AA422">_xlfn.XLOOKUP(L422,'Customer Ledger'!$O:$O,'Customer Ledger'!$P:$Q,,0)</f>
        <v>0</v>
      </c>
      <c r="AA422" s="43">
        <v>151725</v>
      </c>
      <c r="AB422" s="43">
        <f t="shared" si="75"/>
        <v>151725</v>
      </c>
      <c r="AC422" s="43">
        <f t="shared" si="76"/>
        <v>3102.8999999999942</v>
      </c>
      <c r="AD422" s="51">
        <f t="shared" si="77"/>
        <v>2.0040961609632337E-2</v>
      </c>
      <c r="AE422" s="24" t="s">
        <v>94</v>
      </c>
      <c r="AF422" s="24" t="s">
        <v>40</v>
      </c>
      <c r="AG422" s="24" t="s">
        <v>40</v>
      </c>
      <c r="AH422" s="24" t="s">
        <v>40</v>
      </c>
      <c r="AI422" s="25">
        <v>45716</v>
      </c>
      <c r="AJ422" s="25"/>
      <c r="AK422" s="24" t="s">
        <v>40</v>
      </c>
    </row>
    <row r="423" spans="1:37" x14ac:dyDescent="0.35">
      <c r="A423" s="3" t="s">
        <v>32</v>
      </c>
      <c r="B423" s="3" t="s">
        <v>33</v>
      </c>
      <c r="C423" s="3" t="s">
        <v>34</v>
      </c>
      <c r="D423" s="3" t="s">
        <v>35</v>
      </c>
      <c r="E423" s="3" t="s">
        <v>148</v>
      </c>
      <c r="F423" s="4">
        <v>45716</v>
      </c>
      <c r="G423" s="23">
        <v>1800000383</v>
      </c>
      <c r="H423" s="24" t="s">
        <v>47</v>
      </c>
      <c r="I423" s="25">
        <v>45716</v>
      </c>
      <c r="J423" s="25">
        <v>45716</v>
      </c>
      <c r="K423" s="24" t="s">
        <v>38</v>
      </c>
      <c r="L423" s="26">
        <v>246779410352</v>
      </c>
      <c r="M423" s="23">
        <v>212100</v>
      </c>
      <c r="N423" s="24" t="s">
        <v>39</v>
      </c>
      <c r="O423" s="24" t="s">
        <v>40</v>
      </c>
      <c r="P423" s="23">
        <v>1</v>
      </c>
      <c r="Q423" s="24" t="s">
        <v>42</v>
      </c>
      <c r="R423" s="27">
        <v>1314.12</v>
      </c>
      <c r="S423" s="24" t="s">
        <v>43</v>
      </c>
      <c r="T423" s="42">
        <v>113413.37</v>
      </c>
      <c r="U423" s="24" t="s">
        <v>44</v>
      </c>
      <c r="V423" s="23">
        <v>6779224500</v>
      </c>
      <c r="W423" s="24" t="s">
        <v>40</v>
      </c>
      <c r="X423" s="24" t="s">
        <v>38</v>
      </c>
      <c r="Y423" s="23">
        <v>1</v>
      </c>
      <c r="Z423" s="43" cm="1">
        <f t="array" ref="Z423:AA423">_xlfn.XLOOKUP(L423,'Customer Ledger'!$O:$O,'Customer Ledger'!$P:$Q,,0)</f>
        <v>0</v>
      </c>
      <c r="AA423" s="43">
        <v>102103.25599999999</v>
      </c>
      <c r="AB423" s="43">
        <f t="shared" si="75"/>
        <v>102103.25599999999</v>
      </c>
      <c r="AC423" s="43">
        <f t="shared" si="76"/>
        <v>11310.114000000001</v>
      </c>
      <c r="AD423" s="51">
        <f t="shared" si="77"/>
        <v>9.9724697361519204E-2</v>
      </c>
      <c r="AE423" s="24" t="s">
        <v>94</v>
      </c>
      <c r="AF423" s="24" t="s">
        <v>40</v>
      </c>
      <c r="AG423" s="24" t="s">
        <v>40</v>
      </c>
      <c r="AH423" s="24" t="s">
        <v>40</v>
      </c>
      <c r="AI423" s="25">
        <v>45716</v>
      </c>
      <c r="AJ423" s="25"/>
      <c r="AK423" s="24" t="s">
        <v>40</v>
      </c>
    </row>
    <row r="424" spans="1:37" x14ac:dyDescent="0.35">
      <c r="A424" s="3" t="s">
        <v>32</v>
      </c>
      <c r="B424" s="3" t="s">
        <v>33</v>
      </c>
      <c r="C424" s="3" t="s">
        <v>34</v>
      </c>
      <c r="D424" s="3" t="s">
        <v>35</v>
      </c>
      <c r="E424" s="3" t="s">
        <v>148</v>
      </c>
      <c r="F424" s="4">
        <v>45716</v>
      </c>
      <c r="G424" s="23">
        <v>1800000391</v>
      </c>
      <c r="H424" s="24" t="s">
        <v>47</v>
      </c>
      <c r="I424" s="25">
        <v>45716</v>
      </c>
      <c r="J424" s="25">
        <v>45716</v>
      </c>
      <c r="K424" s="24" t="s">
        <v>38</v>
      </c>
      <c r="L424" s="26">
        <v>246779410360</v>
      </c>
      <c r="M424" s="23">
        <v>212100</v>
      </c>
      <c r="N424" s="24" t="s">
        <v>39</v>
      </c>
      <c r="O424" s="24" t="s">
        <v>40</v>
      </c>
      <c r="P424" s="23">
        <v>1</v>
      </c>
      <c r="Q424" s="24" t="s">
        <v>42</v>
      </c>
      <c r="R424" s="27">
        <v>705</v>
      </c>
      <c r="S424" s="24" t="s">
        <v>43</v>
      </c>
      <c r="T424" s="42">
        <v>60844.08</v>
      </c>
      <c r="U424" s="24" t="s">
        <v>44</v>
      </c>
      <c r="V424" s="23">
        <v>6779224500</v>
      </c>
      <c r="W424" s="24" t="s">
        <v>40</v>
      </c>
      <c r="X424" s="24" t="s">
        <v>38</v>
      </c>
      <c r="Y424" s="23">
        <v>1</v>
      </c>
      <c r="Z424" s="43" cm="1">
        <f t="array" ref="Z424:AA424">_xlfn.XLOOKUP(L424,'Customer Ledger'!$O:$O,'Customer Ledger'!$P:$Q,,0)</f>
        <v>0</v>
      </c>
      <c r="AA424" s="43">
        <v>59624</v>
      </c>
      <c r="AB424" s="43">
        <f t="shared" si="75"/>
        <v>59624</v>
      </c>
      <c r="AC424" s="43">
        <f t="shared" si="76"/>
        <v>1220.0800000000017</v>
      </c>
      <c r="AD424" s="51">
        <f t="shared" si="77"/>
        <v>2.0052567151972744E-2</v>
      </c>
      <c r="AE424" s="24" t="s">
        <v>94</v>
      </c>
      <c r="AF424" s="24" t="s">
        <v>40</v>
      </c>
      <c r="AG424" s="24" t="s">
        <v>40</v>
      </c>
      <c r="AH424" s="24" t="s">
        <v>40</v>
      </c>
      <c r="AI424" s="25">
        <v>45716</v>
      </c>
      <c r="AJ424" s="25"/>
      <c r="AK424" s="24" t="s">
        <v>40</v>
      </c>
    </row>
    <row r="425" spans="1:37" x14ac:dyDescent="0.35">
      <c r="A425" s="3" t="s">
        <v>32</v>
      </c>
      <c r="B425" s="3" t="s">
        <v>33</v>
      </c>
      <c r="C425" s="3" t="s">
        <v>34</v>
      </c>
      <c r="D425" s="3" t="s">
        <v>35</v>
      </c>
      <c r="E425" s="3" t="s">
        <v>114</v>
      </c>
      <c r="F425" s="4">
        <v>45722</v>
      </c>
      <c r="G425" s="23">
        <v>1800000903</v>
      </c>
      <c r="H425" s="24" t="s">
        <v>47</v>
      </c>
      <c r="I425" s="25">
        <v>45720</v>
      </c>
      <c r="J425" s="25">
        <v>45721</v>
      </c>
      <c r="K425" s="24" t="s">
        <v>38</v>
      </c>
      <c r="L425" s="26">
        <v>246779410844</v>
      </c>
      <c r="M425" s="23">
        <v>212100</v>
      </c>
      <c r="N425" s="24" t="s">
        <v>39</v>
      </c>
      <c r="O425" s="24" t="s">
        <v>40</v>
      </c>
      <c r="P425" s="23">
        <v>1</v>
      </c>
      <c r="Q425" s="24" t="s">
        <v>42</v>
      </c>
      <c r="R425" s="27">
        <v>4.7</v>
      </c>
      <c r="S425" s="24" t="s">
        <v>43</v>
      </c>
      <c r="T425" s="42">
        <v>407.45</v>
      </c>
      <c r="U425" s="24" t="s">
        <v>44</v>
      </c>
      <c r="V425" s="23">
        <v>6779224500</v>
      </c>
      <c r="W425" s="24" t="s">
        <v>40</v>
      </c>
      <c r="X425" s="24" t="s">
        <v>38</v>
      </c>
      <c r="Y425" s="23">
        <v>1</v>
      </c>
      <c r="Z425" s="43" cm="1">
        <f t="array" ref="Z425:AA425">_xlfn.XLOOKUP(L425,'Customer Ledger'!$O:$O,'Customer Ledger'!$P:$Q,,0)</f>
        <v>0</v>
      </c>
      <c r="AA425" s="43">
        <v>403</v>
      </c>
      <c r="AB425" s="43">
        <f t="shared" si="75"/>
        <v>403</v>
      </c>
      <c r="AC425" s="43">
        <f t="shared" si="76"/>
        <v>4.4499999999999886</v>
      </c>
      <c r="AD425" s="51">
        <f t="shared" si="77"/>
        <v>1.0921585470609863E-2</v>
      </c>
      <c r="AE425" s="24" t="s">
        <v>338</v>
      </c>
      <c r="AF425" s="24" t="s">
        <v>40</v>
      </c>
      <c r="AG425" s="24" t="s">
        <v>40</v>
      </c>
      <c r="AH425" s="24" t="s">
        <v>40</v>
      </c>
      <c r="AI425" s="25">
        <v>45720</v>
      </c>
      <c r="AJ425" s="25"/>
      <c r="AK425" s="24" t="s">
        <v>40</v>
      </c>
    </row>
    <row r="426" spans="1:37" x14ac:dyDescent="0.35">
      <c r="A426" s="3" t="s">
        <v>32</v>
      </c>
      <c r="B426" s="3" t="s">
        <v>33</v>
      </c>
      <c r="C426" s="3" t="s">
        <v>34</v>
      </c>
      <c r="D426" s="3" t="s">
        <v>35</v>
      </c>
      <c r="E426" s="3" t="s">
        <v>114</v>
      </c>
      <c r="F426" s="4">
        <v>45722</v>
      </c>
      <c r="G426" s="23">
        <v>1800000905</v>
      </c>
      <c r="H426" s="24" t="s">
        <v>47</v>
      </c>
      <c r="I426" s="25">
        <v>45720</v>
      </c>
      <c r="J426" s="25">
        <v>45721</v>
      </c>
      <c r="K426" s="24" t="s">
        <v>38</v>
      </c>
      <c r="L426" s="26">
        <v>246779410846</v>
      </c>
      <c r="M426" s="23">
        <v>212100</v>
      </c>
      <c r="N426" s="24" t="s">
        <v>39</v>
      </c>
      <c r="O426" s="24" t="s">
        <v>40</v>
      </c>
      <c r="P426" s="23">
        <v>1</v>
      </c>
      <c r="Q426" s="24" t="s">
        <v>42</v>
      </c>
      <c r="R426" s="27">
        <v>4.7</v>
      </c>
      <c r="S426" s="24" t="s">
        <v>43</v>
      </c>
      <c r="T426" s="42">
        <v>407.45</v>
      </c>
      <c r="U426" s="24" t="s">
        <v>44</v>
      </c>
      <c r="V426" s="23">
        <v>6779224500</v>
      </c>
      <c r="W426" s="24" t="s">
        <v>40</v>
      </c>
      <c r="X426" s="24" t="s">
        <v>38</v>
      </c>
      <c r="Y426" s="23">
        <v>1</v>
      </c>
      <c r="Z426" s="43" cm="1">
        <f t="array" ref="Z426:AA426">_xlfn.XLOOKUP(L426,'Customer Ledger'!$O:$O,'Customer Ledger'!$P:$Q,,0)</f>
        <v>0</v>
      </c>
      <c r="AA426" s="43">
        <v>381</v>
      </c>
      <c r="AB426" s="43">
        <f t="shared" si="75"/>
        <v>381</v>
      </c>
      <c r="AC426" s="43">
        <f t="shared" si="76"/>
        <v>26.449999999999989</v>
      </c>
      <c r="AD426" s="51">
        <f t="shared" si="77"/>
        <v>6.4915940606209324E-2</v>
      </c>
      <c r="AE426" s="24" t="s">
        <v>338</v>
      </c>
      <c r="AF426" s="24" t="s">
        <v>40</v>
      </c>
      <c r="AG426" s="24" t="s">
        <v>40</v>
      </c>
      <c r="AH426" s="24" t="s">
        <v>40</v>
      </c>
      <c r="AI426" s="25">
        <v>45720</v>
      </c>
      <c r="AJ426" s="25"/>
      <c r="AK426" s="24" t="s">
        <v>40</v>
      </c>
    </row>
    <row r="427" spans="1:37" x14ac:dyDescent="0.35">
      <c r="A427" s="3" t="s">
        <v>32</v>
      </c>
      <c r="B427" s="3" t="s">
        <v>33</v>
      </c>
      <c r="C427" s="3" t="s">
        <v>34</v>
      </c>
      <c r="D427" s="3" t="s">
        <v>35</v>
      </c>
      <c r="E427" s="3" t="s">
        <v>114</v>
      </c>
      <c r="F427" s="4">
        <v>45722</v>
      </c>
      <c r="G427" s="23">
        <v>1800000910</v>
      </c>
      <c r="H427" s="24" t="s">
        <v>47</v>
      </c>
      <c r="I427" s="25">
        <v>45720</v>
      </c>
      <c r="J427" s="25">
        <v>45721</v>
      </c>
      <c r="K427" s="24" t="s">
        <v>38</v>
      </c>
      <c r="L427" s="26">
        <v>246779410851</v>
      </c>
      <c r="M427" s="23">
        <v>212100</v>
      </c>
      <c r="N427" s="24" t="s">
        <v>39</v>
      </c>
      <c r="O427" s="24" t="s">
        <v>40</v>
      </c>
      <c r="P427" s="23">
        <v>1</v>
      </c>
      <c r="Q427" s="24" t="s">
        <v>42</v>
      </c>
      <c r="R427" s="27">
        <v>4.7</v>
      </c>
      <c r="S427" s="24" t="s">
        <v>43</v>
      </c>
      <c r="T427" s="42">
        <v>407.45</v>
      </c>
      <c r="U427" s="24" t="s">
        <v>44</v>
      </c>
      <c r="V427" s="23">
        <v>6779224500</v>
      </c>
      <c r="W427" s="24" t="s">
        <v>40</v>
      </c>
      <c r="X427" s="24" t="s">
        <v>38</v>
      </c>
      <c r="Y427" s="23">
        <v>1</v>
      </c>
      <c r="Z427" s="43" cm="1">
        <f t="array" ref="Z427:AA427">_xlfn.XLOOKUP(L427,'Customer Ledger'!$O:$O,'Customer Ledger'!$P:$Q,,0)</f>
        <v>0</v>
      </c>
      <c r="AA427" s="43">
        <v>381</v>
      </c>
      <c r="AB427" s="43">
        <f t="shared" si="75"/>
        <v>381</v>
      </c>
      <c r="AC427" s="43">
        <f t="shared" si="76"/>
        <v>26.449999999999989</v>
      </c>
      <c r="AD427" s="51">
        <f t="shared" si="77"/>
        <v>6.4915940606209324E-2</v>
      </c>
      <c r="AE427" s="24" t="s">
        <v>338</v>
      </c>
      <c r="AF427" s="24" t="s">
        <v>40</v>
      </c>
      <c r="AG427" s="24" t="s">
        <v>40</v>
      </c>
      <c r="AH427" s="24" t="s">
        <v>40</v>
      </c>
      <c r="AI427" s="25">
        <v>45720</v>
      </c>
      <c r="AJ427" s="25"/>
      <c r="AK427" s="24" t="s">
        <v>40</v>
      </c>
    </row>
    <row r="428" spans="1:37" x14ac:dyDescent="0.35">
      <c r="A428" s="3" t="s">
        <v>32</v>
      </c>
      <c r="B428" s="3" t="s">
        <v>33</v>
      </c>
      <c r="C428" s="3" t="s">
        <v>34</v>
      </c>
      <c r="D428" s="3" t="s">
        <v>35</v>
      </c>
      <c r="E428" s="3" t="s">
        <v>114</v>
      </c>
      <c r="F428" s="4">
        <v>45722</v>
      </c>
      <c r="G428" s="23">
        <v>1800000934</v>
      </c>
      <c r="H428" s="24" t="s">
        <v>47</v>
      </c>
      <c r="I428" s="25">
        <v>45722</v>
      </c>
      <c r="J428" s="25">
        <v>45722</v>
      </c>
      <c r="K428" s="24" t="s">
        <v>38</v>
      </c>
      <c r="L428" s="26">
        <v>246779410874</v>
      </c>
      <c r="M428" s="23">
        <v>212100</v>
      </c>
      <c r="N428" s="24" t="s">
        <v>39</v>
      </c>
      <c r="O428" s="24" t="s">
        <v>40</v>
      </c>
      <c r="P428" s="23">
        <v>1</v>
      </c>
      <c r="Q428" s="24" t="s">
        <v>42</v>
      </c>
      <c r="R428" s="27">
        <v>3080</v>
      </c>
      <c r="S428" s="24" t="s">
        <v>43</v>
      </c>
      <c r="T428" s="42">
        <v>267009.08</v>
      </c>
      <c r="U428" s="24" t="s">
        <v>44</v>
      </c>
      <c r="V428" s="23">
        <v>6779224500</v>
      </c>
      <c r="W428" s="24" t="s">
        <v>40</v>
      </c>
      <c r="X428" s="24" t="s">
        <v>38</v>
      </c>
      <c r="Y428" s="23">
        <v>1</v>
      </c>
      <c r="Z428" s="43" cm="1">
        <f t="array" ref="Z428:AA428">_xlfn.XLOOKUP(L428,'Customer Ledger'!$O:$O,'Customer Ledger'!$P:$Q,,0)</f>
        <v>0</v>
      </c>
      <c r="AA428" s="43">
        <v>241385</v>
      </c>
      <c r="AB428" s="43">
        <f t="shared" si="75"/>
        <v>241385</v>
      </c>
      <c r="AC428" s="43">
        <f t="shared" si="76"/>
        <v>25624.080000000016</v>
      </c>
      <c r="AD428" s="51">
        <f t="shared" si="77"/>
        <v>9.5967073479298962E-2</v>
      </c>
      <c r="AE428" s="24" t="s">
        <v>345</v>
      </c>
      <c r="AF428" s="24" t="s">
        <v>40</v>
      </c>
      <c r="AG428" s="24" t="s">
        <v>40</v>
      </c>
      <c r="AH428" s="24" t="s">
        <v>40</v>
      </c>
      <c r="AI428" s="25">
        <v>45722</v>
      </c>
      <c r="AJ428" s="25"/>
      <c r="AK428" s="24" t="s">
        <v>40</v>
      </c>
    </row>
    <row r="429" spans="1:37" x14ac:dyDescent="0.35">
      <c r="A429" s="3" t="s">
        <v>32</v>
      </c>
      <c r="B429" s="3" t="s">
        <v>33</v>
      </c>
      <c r="C429" s="3" t="s">
        <v>34</v>
      </c>
      <c r="D429" s="3" t="s">
        <v>35</v>
      </c>
      <c r="E429" s="3" t="s">
        <v>114</v>
      </c>
      <c r="F429" s="4">
        <v>45722</v>
      </c>
      <c r="G429" s="23">
        <v>1800000956</v>
      </c>
      <c r="H429" s="24" t="s">
        <v>47</v>
      </c>
      <c r="I429" s="25">
        <v>45722</v>
      </c>
      <c r="J429" s="25">
        <v>45722</v>
      </c>
      <c r="K429" s="24" t="s">
        <v>38</v>
      </c>
      <c r="L429" s="26">
        <v>246779410896</v>
      </c>
      <c r="M429" s="23">
        <v>212100</v>
      </c>
      <c r="N429" s="24" t="s">
        <v>39</v>
      </c>
      <c r="O429" s="24" t="s">
        <v>40</v>
      </c>
      <c r="P429" s="23">
        <v>1</v>
      </c>
      <c r="Q429" s="24" t="s">
        <v>42</v>
      </c>
      <c r="R429" s="27">
        <v>4556.3999999999996</v>
      </c>
      <c r="S429" s="24" t="s">
        <v>43</v>
      </c>
      <c r="T429" s="42">
        <v>395000.06</v>
      </c>
      <c r="U429" s="24" t="s">
        <v>44</v>
      </c>
      <c r="V429" s="23">
        <v>6779224500</v>
      </c>
      <c r="W429" s="24" t="s">
        <v>40</v>
      </c>
      <c r="X429" s="24" t="s">
        <v>38</v>
      </c>
      <c r="Y429" s="23">
        <v>1</v>
      </c>
      <c r="Z429" s="43" cm="1">
        <f t="array" ref="Z429:AA429">_xlfn.XLOOKUP(L429,'Customer Ledger'!$O:$O,'Customer Ledger'!$P:$Q,,0)</f>
        <v>0</v>
      </c>
      <c r="AA429" s="43">
        <v>357094</v>
      </c>
      <c r="AB429" s="43">
        <f t="shared" si="75"/>
        <v>357094</v>
      </c>
      <c r="AC429" s="43">
        <f t="shared" si="76"/>
        <v>37906.06</v>
      </c>
      <c r="AD429" s="51">
        <f t="shared" si="77"/>
        <v>9.5964694283843896E-2</v>
      </c>
      <c r="AE429" s="24" t="s">
        <v>346</v>
      </c>
      <c r="AF429" s="24" t="s">
        <v>40</v>
      </c>
      <c r="AG429" s="24" t="s">
        <v>40</v>
      </c>
      <c r="AH429" s="24" t="s">
        <v>40</v>
      </c>
      <c r="AI429" s="25">
        <v>45722</v>
      </c>
      <c r="AJ429" s="25"/>
      <c r="AK429" s="24" t="s">
        <v>40</v>
      </c>
    </row>
    <row r="430" spans="1:37" x14ac:dyDescent="0.35">
      <c r="A430" s="3" t="s">
        <v>32</v>
      </c>
      <c r="B430" s="3" t="s">
        <v>33</v>
      </c>
      <c r="C430" s="3" t="s">
        <v>34</v>
      </c>
      <c r="D430" s="3" t="s">
        <v>35</v>
      </c>
      <c r="E430" s="3" t="s">
        <v>114</v>
      </c>
      <c r="F430" s="4">
        <v>45722</v>
      </c>
      <c r="G430" s="23">
        <v>1800000911</v>
      </c>
      <c r="H430" s="24" t="s">
        <v>47</v>
      </c>
      <c r="I430" s="25">
        <v>45720</v>
      </c>
      <c r="J430" s="25">
        <v>45721</v>
      </c>
      <c r="K430" s="24" t="s">
        <v>38</v>
      </c>
      <c r="L430" s="26">
        <v>246779410852</v>
      </c>
      <c r="M430" s="23">
        <v>212100</v>
      </c>
      <c r="N430" s="24" t="s">
        <v>39</v>
      </c>
      <c r="O430" s="24" t="s">
        <v>40</v>
      </c>
      <c r="P430" s="23">
        <v>1</v>
      </c>
      <c r="Q430" s="24" t="s">
        <v>42</v>
      </c>
      <c r="R430" s="27">
        <v>4.7</v>
      </c>
      <c r="S430" s="24" t="s">
        <v>43</v>
      </c>
      <c r="T430" s="42">
        <v>407.45</v>
      </c>
      <c r="U430" s="24" t="s">
        <v>44</v>
      </c>
      <c r="V430" s="23">
        <v>6779224500</v>
      </c>
      <c r="W430" s="24" t="s">
        <v>40</v>
      </c>
      <c r="X430" s="24" t="s">
        <v>38</v>
      </c>
      <c r="Y430" s="23">
        <v>1</v>
      </c>
      <c r="Z430" s="43" cm="1">
        <f t="array" ref="Z430:AA430">_xlfn.XLOOKUP(L430,'Customer Ledger'!$O:$O,'Customer Ledger'!$P:$Q,,0)</f>
        <v>0</v>
      </c>
      <c r="AA430" s="43">
        <v>381</v>
      </c>
      <c r="AB430" s="43">
        <f t="shared" si="75"/>
        <v>381</v>
      </c>
      <c r="AC430" s="43">
        <f t="shared" si="76"/>
        <v>26.449999999999989</v>
      </c>
      <c r="AD430" s="51">
        <f t="shared" si="77"/>
        <v>6.4915940606209324E-2</v>
      </c>
      <c r="AE430" s="24" t="s">
        <v>338</v>
      </c>
      <c r="AF430" s="24" t="s">
        <v>40</v>
      </c>
      <c r="AG430" s="24" t="s">
        <v>40</v>
      </c>
      <c r="AH430" s="24" t="s">
        <v>40</v>
      </c>
      <c r="AI430" s="25">
        <v>45720</v>
      </c>
      <c r="AJ430" s="25"/>
      <c r="AK430" s="24" t="s">
        <v>40</v>
      </c>
    </row>
    <row r="431" spans="1:37" x14ac:dyDescent="0.35">
      <c r="A431" s="3" t="s">
        <v>32</v>
      </c>
      <c r="B431" s="3" t="s">
        <v>33</v>
      </c>
      <c r="C431" s="3" t="s">
        <v>34</v>
      </c>
      <c r="D431" s="3" t="s">
        <v>35</v>
      </c>
      <c r="E431" s="3" t="s">
        <v>114</v>
      </c>
      <c r="F431" s="4">
        <v>45722</v>
      </c>
      <c r="G431" s="23">
        <v>1800001034</v>
      </c>
      <c r="H431" s="24" t="s">
        <v>47</v>
      </c>
      <c r="I431" s="25">
        <v>45722</v>
      </c>
      <c r="J431" s="25">
        <v>45722</v>
      </c>
      <c r="K431" s="24" t="s">
        <v>38</v>
      </c>
      <c r="L431" s="26">
        <v>246779410974</v>
      </c>
      <c r="M431" s="23">
        <v>212100</v>
      </c>
      <c r="N431" s="24" t="s">
        <v>39</v>
      </c>
      <c r="O431" s="24" t="s">
        <v>40</v>
      </c>
      <c r="P431" s="23">
        <v>1</v>
      </c>
      <c r="Q431" s="24" t="s">
        <v>42</v>
      </c>
      <c r="R431" s="27">
        <v>4.7</v>
      </c>
      <c r="S431" s="24" t="s">
        <v>43</v>
      </c>
      <c r="T431" s="42">
        <v>407.45</v>
      </c>
      <c r="U431" s="24" t="s">
        <v>44</v>
      </c>
      <c r="V431" s="23">
        <v>6779224500</v>
      </c>
      <c r="W431" s="24" t="s">
        <v>40</v>
      </c>
      <c r="X431" s="24" t="s">
        <v>38</v>
      </c>
      <c r="Y431" s="23">
        <v>1</v>
      </c>
      <c r="Z431" s="43" cm="1">
        <f t="array" ref="Z431:AA431">_xlfn.XLOOKUP(L431,'Customer Ledger'!$O:$O,'Customer Ledger'!$P:$Q,,0)</f>
        <v>0</v>
      </c>
      <c r="AA431" s="43">
        <v>401</v>
      </c>
      <c r="AB431" s="43">
        <f t="shared" ref="AB431:AB475" si="78">AA431-Z431</f>
        <v>401</v>
      </c>
      <c r="AC431" s="43">
        <f t="shared" ref="AC431:AC475" si="79">T431-AB431</f>
        <v>6.4499999999999886</v>
      </c>
      <c r="AD431" s="51">
        <f t="shared" ref="AD431:AD475" si="80">AC431/T431</f>
        <v>1.5830163210209813E-2</v>
      </c>
      <c r="AE431" s="24" t="s">
        <v>347</v>
      </c>
      <c r="AF431" s="24" t="s">
        <v>40</v>
      </c>
      <c r="AG431" s="24" t="s">
        <v>40</v>
      </c>
      <c r="AH431" s="24" t="s">
        <v>40</v>
      </c>
      <c r="AI431" s="25">
        <v>45722</v>
      </c>
      <c r="AJ431" s="25"/>
      <c r="AK431" s="24" t="s">
        <v>40</v>
      </c>
    </row>
    <row r="432" spans="1:37" x14ac:dyDescent="0.35">
      <c r="A432" s="3" t="s">
        <v>32</v>
      </c>
      <c r="B432" s="3" t="s">
        <v>33</v>
      </c>
      <c r="C432" s="3" t="s">
        <v>34</v>
      </c>
      <c r="D432" s="3" t="s">
        <v>35</v>
      </c>
      <c r="E432" s="3" t="s">
        <v>114</v>
      </c>
      <c r="F432" s="4">
        <v>45722</v>
      </c>
      <c r="G432" s="23">
        <v>1800001116</v>
      </c>
      <c r="H432" s="24" t="s">
        <v>47</v>
      </c>
      <c r="I432" s="25">
        <v>45722</v>
      </c>
      <c r="J432" s="25">
        <v>45723</v>
      </c>
      <c r="K432" s="24" t="s">
        <v>38</v>
      </c>
      <c r="L432" s="26">
        <v>246779411052</v>
      </c>
      <c r="M432" s="23">
        <v>212100</v>
      </c>
      <c r="N432" s="24" t="s">
        <v>39</v>
      </c>
      <c r="O432" s="24" t="s">
        <v>40</v>
      </c>
      <c r="P432" s="23">
        <v>1</v>
      </c>
      <c r="Q432" s="24" t="s">
        <v>42</v>
      </c>
      <c r="R432" s="27">
        <v>4.7</v>
      </c>
      <c r="S432" s="24" t="s">
        <v>43</v>
      </c>
      <c r="T432" s="42">
        <v>407.45</v>
      </c>
      <c r="U432" s="24" t="s">
        <v>44</v>
      </c>
      <c r="V432" s="23">
        <v>6779224500</v>
      </c>
      <c r="W432" s="24" t="s">
        <v>40</v>
      </c>
      <c r="X432" s="24" t="s">
        <v>38</v>
      </c>
      <c r="Y432" s="23">
        <v>1</v>
      </c>
      <c r="Z432" s="43" cm="1">
        <f t="array" ref="Z432:AA432">_xlfn.XLOOKUP(L432,'Customer Ledger'!$O:$O,'Customer Ledger'!$P:$Q,,0)</f>
        <v>0</v>
      </c>
      <c r="AA432" s="43">
        <v>381</v>
      </c>
      <c r="AB432" s="43">
        <f t="shared" si="78"/>
        <v>381</v>
      </c>
      <c r="AC432" s="43">
        <f t="shared" si="79"/>
        <v>26.449999999999989</v>
      </c>
      <c r="AD432" s="51">
        <f t="shared" si="80"/>
        <v>6.4915940606209324E-2</v>
      </c>
      <c r="AE432" s="24" t="s">
        <v>348</v>
      </c>
      <c r="AF432" s="24" t="s">
        <v>40</v>
      </c>
      <c r="AG432" s="24" t="s">
        <v>40</v>
      </c>
      <c r="AH432" s="24" t="s">
        <v>40</v>
      </c>
      <c r="AI432" s="25">
        <v>45722</v>
      </c>
      <c r="AJ432" s="25"/>
      <c r="AK432" s="24" t="s">
        <v>40</v>
      </c>
    </row>
    <row r="433" spans="1:37" x14ac:dyDescent="0.35">
      <c r="A433" s="3" t="s">
        <v>32</v>
      </c>
      <c r="B433" s="3" t="s">
        <v>33</v>
      </c>
      <c r="C433" s="3" t="s">
        <v>34</v>
      </c>
      <c r="D433" s="3" t="s">
        <v>35</v>
      </c>
      <c r="E433" s="3" t="s">
        <v>114</v>
      </c>
      <c r="F433" s="4">
        <v>45722</v>
      </c>
      <c r="G433" s="23">
        <v>1800000556</v>
      </c>
      <c r="H433" s="24" t="s">
        <v>47</v>
      </c>
      <c r="I433" s="25">
        <v>45719</v>
      </c>
      <c r="J433" s="25">
        <v>45719</v>
      </c>
      <c r="K433" s="24" t="s">
        <v>38</v>
      </c>
      <c r="L433" s="26">
        <v>246779410506</v>
      </c>
      <c r="M433" s="23">
        <v>212100</v>
      </c>
      <c r="N433" s="24" t="s">
        <v>39</v>
      </c>
      <c r="O433" s="24" t="s">
        <v>40</v>
      </c>
      <c r="P433" s="23">
        <v>1</v>
      </c>
      <c r="Q433" s="24" t="s">
        <v>42</v>
      </c>
      <c r="R433" s="27">
        <v>4.7</v>
      </c>
      <c r="S433" s="24" t="s">
        <v>43</v>
      </c>
      <c r="T433" s="42">
        <v>407.45</v>
      </c>
      <c r="U433" s="24" t="s">
        <v>44</v>
      </c>
      <c r="V433" s="23">
        <v>6779224500</v>
      </c>
      <c r="W433" s="24" t="s">
        <v>40</v>
      </c>
      <c r="X433" s="24" t="s">
        <v>38</v>
      </c>
      <c r="Y433" s="23">
        <v>1</v>
      </c>
      <c r="Z433" s="43" cm="1">
        <f t="array" ref="Z433:AA433">_xlfn.XLOOKUP(L433,'Customer Ledger'!$O:$O,'Customer Ledger'!$P:$Q,,0)</f>
        <v>0</v>
      </c>
      <c r="AA433" s="43">
        <v>402</v>
      </c>
      <c r="AB433" s="43">
        <f t="shared" si="78"/>
        <v>402</v>
      </c>
      <c r="AC433" s="43">
        <f t="shared" si="79"/>
        <v>5.4499999999999886</v>
      </c>
      <c r="AD433" s="51">
        <f t="shared" si="80"/>
        <v>1.3375874340409839E-2</v>
      </c>
      <c r="AE433" s="24" t="s">
        <v>351</v>
      </c>
      <c r="AF433" s="24" t="s">
        <v>40</v>
      </c>
      <c r="AG433" s="24" t="s">
        <v>40</v>
      </c>
      <c r="AH433" s="24" t="s">
        <v>40</v>
      </c>
      <c r="AI433" s="25">
        <v>45719</v>
      </c>
      <c r="AJ433" s="25"/>
      <c r="AK433" s="24" t="s">
        <v>40</v>
      </c>
    </row>
    <row r="434" spans="1:37" x14ac:dyDescent="0.35">
      <c r="A434" s="3" t="s">
        <v>32</v>
      </c>
      <c r="B434" s="3" t="s">
        <v>33</v>
      </c>
      <c r="C434" s="3" t="s">
        <v>34</v>
      </c>
      <c r="D434" s="3" t="s">
        <v>35</v>
      </c>
      <c r="E434" s="3" t="s">
        <v>114</v>
      </c>
      <c r="F434" s="4">
        <v>45722</v>
      </c>
      <c r="G434" s="23">
        <v>1800000666</v>
      </c>
      <c r="H434" s="24" t="s">
        <v>47</v>
      </c>
      <c r="I434" s="25">
        <v>45719</v>
      </c>
      <c r="J434" s="25">
        <v>45720</v>
      </c>
      <c r="K434" s="24" t="s">
        <v>38</v>
      </c>
      <c r="L434" s="26">
        <v>246779410606</v>
      </c>
      <c r="M434" s="23">
        <v>212100</v>
      </c>
      <c r="N434" s="24" t="s">
        <v>39</v>
      </c>
      <c r="O434" s="24" t="s">
        <v>40</v>
      </c>
      <c r="P434" s="23">
        <v>1</v>
      </c>
      <c r="Q434" s="24" t="s">
        <v>42</v>
      </c>
      <c r="R434" s="27">
        <v>4.7</v>
      </c>
      <c r="S434" s="24" t="s">
        <v>43</v>
      </c>
      <c r="T434" s="42">
        <v>407.45</v>
      </c>
      <c r="U434" s="24" t="s">
        <v>44</v>
      </c>
      <c r="V434" s="23">
        <v>6779224500</v>
      </c>
      <c r="W434" s="24" t="s">
        <v>40</v>
      </c>
      <c r="X434" s="24" t="s">
        <v>38</v>
      </c>
      <c r="Y434" s="23">
        <v>1</v>
      </c>
      <c r="Z434" s="43" cm="1">
        <f t="array" ref="Z434:AA434">_xlfn.XLOOKUP(L434,'Customer Ledger'!$O:$O,'Customer Ledger'!$P:$Q,,0)</f>
        <v>0</v>
      </c>
      <c r="AA434" s="43">
        <v>402</v>
      </c>
      <c r="AB434" s="43">
        <f t="shared" si="78"/>
        <v>402</v>
      </c>
      <c r="AC434" s="43">
        <f t="shared" si="79"/>
        <v>5.4499999999999886</v>
      </c>
      <c r="AD434" s="51">
        <f t="shared" si="80"/>
        <v>1.3375874340409839E-2</v>
      </c>
      <c r="AE434" s="24" t="s">
        <v>331</v>
      </c>
      <c r="AF434" s="24" t="s">
        <v>40</v>
      </c>
      <c r="AG434" s="24" t="s">
        <v>40</v>
      </c>
      <c r="AH434" s="24" t="s">
        <v>40</v>
      </c>
      <c r="AI434" s="25">
        <v>45719</v>
      </c>
      <c r="AJ434" s="25"/>
      <c r="AK434" s="24" t="s">
        <v>40</v>
      </c>
    </row>
    <row r="435" spans="1:37" x14ac:dyDescent="0.35">
      <c r="A435" s="3" t="s">
        <v>32</v>
      </c>
      <c r="B435" s="3" t="s">
        <v>33</v>
      </c>
      <c r="C435" s="3" t="s">
        <v>34</v>
      </c>
      <c r="D435" s="3" t="s">
        <v>35</v>
      </c>
      <c r="E435" s="3" t="s">
        <v>114</v>
      </c>
      <c r="F435" s="4">
        <v>45722</v>
      </c>
      <c r="G435" s="23">
        <v>1800000667</v>
      </c>
      <c r="H435" s="24" t="s">
        <v>47</v>
      </c>
      <c r="I435" s="25">
        <v>45719</v>
      </c>
      <c r="J435" s="25">
        <v>45720</v>
      </c>
      <c r="K435" s="24" t="s">
        <v>38</v>
      </c>
      <c r="L435" s="26">
        <v>246779410607</v>
      </c>
      <c r="M435" s="23">
        <v>212100</v>
      </c>
      <c r="N435" s="24" t="s">
        <v>39</v>
      </c>
      <c r="O435" s="24" t="s">
        <v>40</v>
      </c>
      <c r="P435" s="23">
        <v>1</v>
      </c>
      <c r="Q435" s="24" t="s">
        <v>42</v>
      </c>
      <c r="R435" s="27">
        <v>4.7</v>
      </c>
      <c r="S435" s="24" t="s">
        <v>43</v>
      </c>
      <c r="T435" s="42">
        <v>407.45</v>
      </c>
      <c r="U435" s="24" t="s">
        <v>44</v>
      </c>
      <c r="V435" s="23">
        <v>6779224500</v>
      </c>
      <c r="W435" s="24" t="s">
        <v>40</v>
      </c>
      <c r="X435" s="24" t="s">
        <v>38</v>
      </c>
      <c r="Y435" s="23">
        <v>1</v>
      </c>
      <c r="Z435" s="43" cm="1">
        <f t="array" ref="Z435:AA435">_xlfn.XLOOKUP(L435,'Customer Ledger'!$O:$O,'Customer Ledger'!$P:$Q,,0)</f>
        <v>0</v>
      </c>
      <c r="AA435" s="43">
        <v>402</v>
      </c>
      <c r="AB435" s="43">
        <f t="shared" si="78"/>
        <v>402</v>
      </c>
      <c r="AC435" s="43">
        <f t="shared" si="79"/>
        <v>5.4499999999999886</v>
      </c>
      <c r="AD435" s="51">
        <f t="shared" si="80"/>
        <v>1.3375874340409839E-2</v>
      </c>
      <c r="AE435" s="24" t="s">
        <v>331</v>
      </c>
      <c r="AF435" s="24" t="s">
        <v>40</v>
      </c>
      <c r="AG435" s="24" t="s">
        <v>40</v>
      </c>
      <c r="AH435" s="24" t="s">
        <v>40</v>
      </c>
      <c r="AI435" s="25">
        <v>45719</v>
      </c>
      <c r="AJ435" s="25"/>
      <c r="AK435" s="24" t="s">
        <v>40</v>
      </c>
    </row>
    <row r="436" spans="1:37" x14ac:dyDescent="0.35">
      <c r="A436" s="3" t="s">
        <v>32</v>
      </c>
      <c r="B436" s="3" t="s">
        <v>33</v>
      </c>
      <c r="C436" s="3" t="s">
        <v>34</v>
      </c>
      <c r="D436" s="3" t="s">
        <v>35</v>
      </c>
      <c r="E436" s="3" t="s">
        <v>114</v>
      </c>
      <c r="F436" s="4">
        <v>45722</v>
      </c>
      <c r="G436" s="23">
        <v>1800000671</v>
      </c>
      <c r="H436" s="24" t="s">
        <v>47</v>
      </c>
      <c r="I436" s="25">
        <v>45719</v>
      </c>
      <c r="J436" s="25">
        <v>45720</v>
      </c>
      <c r="K436" s="24" t="s">
        <v>38</v>
      </c>
      <c r="L436" s="26">
        <v>246779410611</v>
      </c>
      <c r="M436" s="23">
        <v>212100</v>
      </c>
      <c r="N436" s="24" t="s">
        <v>39</v>
      </c>
      <c r="O436" s="24" t="s">
        <v>40</v>
      </c>
      <c r="P436" s="23">
        <v>1</v>
      </c>
      <c r="Q436" s="24" t="s">
        <v>42</v>
      </c>
      <c r="R436" s="27">
        <v>4.7</v>
      </c>
      <c r="S436" s="24" t="s">
        <v>43</v>
      </c>
      <c r="T436" s="42">
        <v>407.45</v>
      </c>
      <c r="U436" s="24" t="s">
        <v>44</v>
      </c>
      <c r="V436" s="23">
        <v>6779224500</v>
      </c>
      <c r="W436" s="24" t="s">
        <v>40</v>
      </c>
      <c r="X436" s="24" t="s">
        <v>38</v>
      </c>
      <c r="Y436" s="23">
        <v>1</v>
      </c>
      <c r="Z436" s="43" cm="1">
        <f t="array" ref="Z436:AA436">_xlfn.XLOOKUP(L436,'Customer Ledger'!$O:$O,'Customer Ledger'!$P:$Q,,0)</f>
        <v>0</v>
      </c>
      <c r="AA436" s="43">
        <v>402</v>
      </c>
      <c r="AB436" s="43">
        <f t="shared" si="78"/>
        <v>402</v>
      </c>
      <c r="AC436" s="43">
        <f t="shared" si="79"/>
        <v>5.4499999999999886</v>
      </c>
      <c r="AD436" s="51">
        <f t="shared" si="80"/>
        <v>1.3375874340409839E-2</v>
      </c>
      <c r="AE436" s="24" t="s">
        <v>331</v>
      </c>
      <c r="AF436" s="24" t="s">
        <v>40</v>
      </c>
      <c r="AG436" s="24" t="s">
        <v>40</v>
      </c>
      <c r="AH436" s="24" t="s">
        <v>40</v>
      </c>
      <c r="AI436" s="25">
        <v>45719</v>
      </c>
      <c r="AJ436" s="25"/>
      <c r="AK436" s="24" t="s">
        <v>40</v>
      </c>
    </row>
    <row r="437" spans="1:37" x14ac:dyDescent="0.35">
      <c r="A437" s="3" t="s">
        <v>32</v>
      </c>
      <c r="B437" s="3" t="s">
        <v>33</v>
      </c>
      <c r="C437" s="3" t="s">
        <v>34</v>
      </c>
      <c r="D437" s="3" t="s">
        <v>35</v>
      </c>
      <c r="E437" s="3" t="s">
        <v>114</v>
      </c>
      <c r="F437" s="4">
        <v>45722</v>
      </c>
      <c r="G437" s="23">
        <v>1800005189</v>
      </c>
      <c r="H437" s="24" t="s">
        <v>47</v>
      </c>
      <c r="I437" s="25">
        <v>45750</v>
      </c>
      <c r="J437" s="25">
        <v>45752</v>
      </c>
      <c r="K437" s="24" t="s">
        <v>38</v>
      </c>
      <c r="L437" s="26">
        <v>256779410135</v>
      </c>
      <c r="M437" s="23">
        <v>212100</v>
      </c>
      <c r="N437" s="24" t="s">
        <v>39</v>
      </c>
      <c r="O437" s="24" t="s">
        <v>40</v>
      </c>
      <c r="P437" s="23">
        <v>1</v>
      </c>
      <c r="Q437" s="24" t="s">
        <v>42</v>
      </c>
      <c r="R437" s="27">
        <v>3.75</v>
      </c>
      <c r="S437" s="24" t="s">
        <v>43</v>
      </c>
      <c r="T437" s="42">
        <v>325.95999999999998</v>
      </c>
      <c r="U437" s="24" t="s">
        <v>44</v>
      </c>
      <c r="V437" s="24" t="s">
        <v>40</v>
      </c>
      <c r="W437" s="24" t="s">
        <v>40</v>
      </c>
      <c r="X437" s="24" t="s">
        <v>38</v>
      </c>
      <c r="Y437" s="23">
        <v>1</v>
      </c>
      <c r="Z437" s="43" cm="1">
        <f t="array" ref="Z437:AA437">_xlfn.XLOOKUP(L437,'Customer Ledger'!$O:$O,'Customer Ledger'!$P:$Q,,0)</f>
        <v>0</v>
      </c>
      <c r="AA437" s="43">
        <v>319</v>
      </c>
      <c r="AB437" s="43">
        <f t="shared" si="78"/>
        <v>319</v>
      </c>
      <c r="AC437" s="43">
        <f t="shared" si="79"/>
        <v>6.9599999999999795</v>
      </c>
      <c r="AD437" s="51">
        <f t="shared" si="80"/>
        <v>2.1352313167259725E-2</v>
      </c>
      <c r="AE437" s="24" t="s">
        <v>87</v>
      </c>
      <c r="AF437" s="24" t="s">
        <v>40</v>
      </c>
      <c r="AG437" s="24" t="s">
        <v>40</v>
      </c>
      <c r="AH437" s="24" t="s">
        <v>40</v>
      </c>
      <c r="AI437" s="25">
        <v>45750</v>
      </c>
      <c r="AJ437" s="25"/>
      <c r="AK437" s="24" t="s">
        <v>40</v>
      </c>
    </row>
    <row r="438" spans="1:37" x14ac:dyDescent="0.35">
      <c r="A438" s="3" t="s">
        <v>32</v>
      </c>
      <c r="B438" s="3" t="s">
        <v>33</v>
      </c>
      <c r="C438" s="3" t="s">
        <v>34</v>
      </c>
      <c r="D438" s="3" t="s">
        <v>35</v>
      </c>
      <c r="E438" s="3" t="s">
        <v>114</v>
      </c>
      <c r="F438" s="4">
        <v>45722</v>
      </c>
      <c r="G438" s="23">
        <v>1800004866</v>
      </c>
      <c r="H438" s="24" t="s">
        <v>47</v>
      </c>
      <c r="I438" s="25">
        <v>45736</v>
      </c>
      <c r="J438" s="25">
        <v>45737</v>
      </c>
      <c r="K438" s="24" t="s">
        <v>38</v>
      </c>
      <c r="L438" s="26">
        <v>246779414734</v>
      </c>
      <c r="M438" s="23">
        <v>212100</v>
      </c>
      <c r="N438" s="24" t="s">
        <v>39</v>
      </c>
      <c r="O438" s="24" t="s">
        <v>40</v>
      </c>
      <c r="P438" s="23">
        <v>1</v>
      </c>
      <c r="Q438" s="24" t="s">
        <v>42</v>
      </c>
      <c r="R438" s="27">
        <v>2.5</v>
      </c>
      <c r="S438" s="24" t="s">
        <v>43</v>
      </c>
      <c r="T438" s="42">
        <v>216.73</v>
      </c>
      <c r="U438" s="24" t="s">
        <v>44</v>
      </c>
      <c r="V438" s="23">
        <v>6779224500</v>
      </c>
      <c r="W438" s="24" t="s">
        <v>40</v>
      </c>
      <c r="X438" s="24" t="s">
        <v>38</v>
      </c>
      <c r="Y438" s="23">
        <v>1</v>
      </c>
      <c r="Z438" s="43" cm="1">
        <f t="array" ref="Z438:AA438">_xlfn.XLOOKUP(L438,'Customer Ledger'!$O:$O,'Customer Ledger'!$P:$Q,,0)</f>
        <v>0</v>
      </c>
      <c r="AA438" s="43">
        <v>211</v>
      </c>
      <c r="AB438" s="43">
        <f t="shared" si="78"/>
        <v>211</v>
      </c>
      <c r="AC438" s="43">
        <f t="shared" si="79"/>
        <v>5.7299999999999898</v>
      </c>
      <c r="AD438" s="51">
        <f t="shared" si="80"/>
        <v>2.6438425690951829E-2</v>
      </c>
      <c r="AE438" s="24" t="s">
        <v>286</v>
      </c>
      <c r="AF438" s="24" t="s">
        <v>40</v>
      </c>
      <c r="AG438" s="24" t="s">
        <v>40</v>
      </c>
      <c r="AH438" s="24" t="s">
        <v>40</v>
      </c>
      <c r="AI438" s="25">
        <v>45736</v>
      </c>
      <c r="AJ438" s="25"/>
      <c r="AK438" s="24" t="s">
        <v>40</v>
      </c>
    </row>
    <row r="439" spans="1:37" x14ac:dyDescent="0.35">
      <c r="A439" s="3" t="s">
        <v>32</v>
      </c>
      <c r="B439" s="3" t="s">
        <v>33</v>
      </c>
      <c r="C439" s="3" t="s">
        <v>34</v>
      </c>
      <c r="D439" s="3" t="s">
        <v>35</v>
      </c>
      <c r="E439" s="3" t="s">
        <v>114</v>
      </c>
      <c r="F439" s="4">
        <v>45722</v>
      </c>
      <c r="G439" s="23">
        <v>1800005017</v>
      </c>
      <c r="H439" s="24" t="s">
        <v>47</v>
      </c>
      <c r="I439" s="25">
        <v>45736</v>
      </c>
      <c r="J439" s="25">
        <v>45737</v>
      </c>
      <c r="K439" s="24" t="s">
        <v>38</v>
      </c>
      <c r="L439" s="26">
        <v>246779414885</v>
      </c>
      <c r="M439" s="23">
        <v>212100</v>
      </c>
      <c r="N439" s="24" t="s">
        <v>39</v>
      </c>
      <c r="O439" s="24" t="s">
        <v>40</v>
      </c>
      <c r="P439" s="23">
        <v>1</v>
      </c>
      <c r="Q439" s="24" t="s">
        <v>42</v>
      </c>
      <c r="R439" s="27">
        <v>2.5</v>
      </c>
      <c r="S439" s="24" t="s">
        <v>43</v>
      </c>
      <c r="T439" s="42">
        <v>216.73</v>
      </c>
      <c r="U439" s="24" t="s">
        <v>44</v>
      </c>
      <c r="V439" s="23">
        <v>6779224500</v>
      </c>
      <c r="W439" s="24" t="s">
        <v>40</v>
      </c>
      <c r="X439" s="24" t="s">
        <v>38</v>
      </c>
      <c r="Y439" s="23">
        <v>1</v>
      </c>
      <c r="Z439" s="43" cm="1">
        <f t="array" ref="Z439:AA439">_xlfn.XLOOKUP(L439,'Customer Ledger'!$O:$O,'Customer Ledger'!$P:$Q,,0)</f>
        <v>0</v>
      </c>
      <c r="AA439" s="43">
        <v>211</v>
      </c>
      <c r="AB439" s="43">
        <f t="shared" si="78"/>
        <v>211</v>
      </c>
      <c r="AC439" s="43">
        <f t="shared" si="79"/>
        <v>5.7299999999999898</v>
      </c>
      <c r="AD439" s="51">
        <f t="shared" si="80"/>
        <v>2.6438425690951829E-2</v>
      </c>
      <c r="AE439" s="24" t="s">
        <v>286</v>
      </c>
      <c r="AF439" s="24" t="s">
        <v>40</v>
      </c>
      <c r="AG439" s="24" t="s">
        <v>40</v>
      </c>
      <c r="AH439" s="24" t="s">
        <v>40</v>
      </c>
      <c r="AI439" s="25">
        <v>45736</v>
      </c>
      <c r="AJ439" s="25"/>
      <c r="AK439" s="24" t="s">
        <v>40</v>
      </c>
    </row>
    <row r="440" spans="1:37" x14ac:dyDescent="0.35">
      <c r="A440" s="3" t="s">
        <v>32</v>
      </c>
      <c r="B440" s="3" t="s">
        <v>33</v>
      </c>
      <c r="C440" s="3" t="s">
        <v>34</v>
      </c>
      <c r="D440" s="3" t="s">
        <v>35</v>
      </c>
      <c r="E440" s="3" t="s">
        <v>114</v>
      </c>
      <c r="F440" s="4">
        <v>45722</v>
      </c>
      <c r="G440" s="23">
        <v>1800004812</v>
      </c>
      <c r="H440" s="24" t="s">
        <v>47</v>
      </c>
      <c r="I440" s="25">
        <v>45736</v>
      </c>
      <c r="J440" s="25">
        <v>45737</v>
      </c>
      <c r="K440" s="24" t="s">
        <v>38</v>
      </c>
      <c r="L440" s="26">
        <v>246779414680</v>
      </c>
      <c r="M440" s="23">
        <v>212100</v>
      </c>
      <c r="N440" s="24" t="s">
        <v>39</v>
      </c>
      <c r="O440" s="24" t="s">
        <v>40</v>
      </c>
      <c r="P440" s="23">
        <v>1</v>
      </c>
      <c r="Q440" s="24" t="s">
        <v>42</v>
      </c>
      <c r="R440" s="27">
        <v>2.5</v>
      </c>
      <c r="S440" s="24" t="s">
        <v>43</v>
      </c>
      <c r="T440" s="42">
        <v>216.73</v>
      </c>
      <c r="U440" s="24" t="s">
        <v>44</v>
      </c>
      <c r="V440" s="23">
        <v>6779224500</v>
      </c>
      <c r="W440" s="24" t="s">
        <v>40</v>
      </c>
      <c r="X440" s="24" t="s">
        <v>38</v>
      </c>
      <c r="Y440" s="23">
        <v>1</v>
      </c>
      <c r="Z440" s="43" cm="1">
        <f t="array" ref="Z440:AA440">_xlfn.XLOOKUP(L440,'Customer Ledger'!$O:$O,'Customer Ledger'!$P:$Q,,0)</f>
        <v>0</v>
      </c>
      <c r="AA440" s="43">
        <v>383</v>
      </c>
      <c r="AB440" s="43">
        <f t="shared" si="78"/>
        <v>383</v>
      </c>
      <c r="AC440" s="43">
        <f t="shared" si="79"/>
        <v>-166.27</v>
      </c>
      <c r="AD440" s="51">
        <f t="shared" si="80"/>
        <v>-0.76717574862732441</v>
      </c>
      <c r="AE440" s="24" t="s">
        <v>301</v>
      </c>
      <c r="AF440" s="24" t="s">
        <v>40</v>
      </c>
      <c r="AG440" s="24" t="s">
        <v>40</v>
      </c>
      <c r="AH440" s="24" t="s">
        <v>40</v>
      </c>
      <c r="AI440" s="25">
        <v>45736</v>
      </c>
      <c r="AJ440" s="25"/>
      <c r="AK440" s="24" t="s">
        <v>40</v>
      </c>
    </row>
    <row r="441" spans="1:37" x14ac:dyDescent="0.35">
      <c r="A441" s="3" t="s">
        <v>32</v>
      </c>
      <c r="B441" s="3" t="s">
        <v>33</v>
      </c>
      <c r="C441" s="3" t="s">
        <v>34</v>
      </c>
      <c r="D441" s="3" t="s">
        <v>35</v>
      </c>
      <c r="E441" s="3" t="s">
        <v>114</v>
      </c>
      <c r="F441" s="4">
        <v>45722</v>
      </c>
      <c r="G441" s="23">
        <v>1800006672</v>
      </c>
      <c r="H441" s="24" t="s">
        <v>47</v>
      </c>
      <c r="I441" s="25">
        <v>45762</v>
      </c>
      <c r="J441" s="25">
        <v>45763</v>
      </c>
      <c r="K441" s="24" t="s">
        <v>38</v>
      </c>
      <c r="L441" s="26">
        <v>256779411563</v>
      </c>
      <c r="M441" s="23">
        <v>212100</v>
      </c>
      <c r="N441" s="24" t="s">
        <v>39</v>
      </c>
      <c r="O441" s="24" t="s">
        <v>40</v>
      </c>
      <c r="P441" s="23">
        <v>1</v>
      </c>
      <c r="Q441" s="24" t="s">
        <v>42</v>
      </c>
      <c r="R441" s="27">
        <v>2.35</v>
      </c>
      <c r="S441" s="24" t="s">
        <v>43</v>
      </c>
      <c r="T441" s="42">
        <v>204.27</v>
      </c>
      <c r="U441" s="24" t="s">
        <v>44</v>
      </c>
      <c r="V441" s="24" t="s">
        <v>40</v>
      </c>
      <c r="W441" s="24" t="s">
        <v>40</v>
      </c>
      <c r="X441" s="24" t="s">
        <v>38</v>
      </c>
      <c r="Y441" s="23">
        <v>1</v>
      </c>
      <c r="Z441" s="43" cm="1">
        <f t="array" ref="Z441:AA441">_xlfn.XLOOKUP(L441,'Customer Ledger'!$O:$O,'Customer Ledger'!$P:$Q,,0)</f>
        <v>0</v>
      </c>
      <c r="AA441" s="43">
        <v>198</v>
      </c>
      <c r="AB441" s="43">
        <f t="shared" si="78"/>
        <v>198</v>
      </c>
      <c r="AC441" s="43">
        <f t="shared" si="79"/>
        <v>6.2700000000000102</v>
      </c>
      <c r="AD441" s="51">
        <f t="shared" si="80"/>
        <v>3.0694668820678561E-2</v>
      </c>
      <c r="AE441" s="24" t="s">
        <v>211</v>
      </c>
      <c r="AF441" s="24" t="s">
        <v>40</v>
      </c>
      <c r="AG441" s="24" t="s">
        <v>40</v>
      </c>
      <c r="AH441" s="24" t="s">
        <v>40</v>
      </c>
      <c r="AI441" s="25">
        <v>45762</v>
      </c>
      <c r="AJ441" s="25"/>
      <c r="AK441" s="24" t="s">
        <v>40</v>
      </c>
    </row>
    <row r="442" spans="1:37" x14ac:dyDescent="0.35">
      <c r="A442" s="3" t="s">
        <v>32</v>
      </c>
      <c r="B442" s="3" t="s">
        <v>33</v>
      </c>
      <c r="C442" s="3" t="s">
        <v>34</v>
      </c>
      <c r="D442" s="3" t="s">
        <v>35</v>
      </c>
      <c r="E442" s="3" t="s">
        <v>114</v>
      </c>
      <c r="F442" s="4">
        <v>45722</v>
      </c>
      <c r="G442" s="23">
        <v>1800003756</v>
      </c>
      <c r="H442" s="24" t="s">
        <v>47</v>
      </c>
      <c r="I442" s="25">
        <v>45736</v>
      </c>
      <c r="J442" s="25">
        <v>45736</v>
      </c>
      <c r="K442" s="24" t="s">
        <v>38</v>
      </c>
      <c r="L442" s="26">
        <v>246779413623</v>
      </c>
      <c r="M442" s="23">
        <v>212100</v>
      </c>
      <c r="N442" s="24" t="s">
        <v>39</v>
      </c>
      <c r="O442" s="24" t="s">
        <v>40</v>
      </c>
      <c r="P442" s="23">
        <v>1</v>
      </c>
      <c r="Q442" s="24" t="s">
        <v>42</v>
      </c>
      <c r="R442" s="27">
        <v>2.35</v>
      </c>
      <c r="S442" s="24" t="s">
        <v>43</v>
      </c>
      <c r="T442" s="42">
        <v>203.72</v>
      </c>
      <c r="U442" s="24" t="s">
        <v>44</v>
      </c>
      <c r="V442" s="23">
        <v>6779224500</v>
      </c>
      <c r="W442" s="24" t="s">
        <v>40</v>
      </c>
      <c r="X442" s="24" t="s">
        <v>38</v>
      </c>
      <c r="Y442" s="23">
        <v>1</v>
      </c>
      <c r="Z442" s="43" cm="1">
        <f t="array" ref="Z442:AA442">_xlfn.XLOOKUP(L442,'Customer Ledger'!$O:$O,'Customer Ledger'!$P:$Q,,0)</f>
        <v>0</v>
      </c>
      <c r="AA442" s="43">
        <v>198</v>
      </c>
      <c r="AB442" s="43">
        <f t="shared" si="78"/>
        <v>198</v>
      </c>
      <c r="AC442" s="43">
        <f t="shared" si="79"/>
        <v>5.7199999999999989</v>
      </c>
      <c r="AD442" s="51">
        <f t="shared" si="80"/>
        <v>2.8077753779697619E-2</v>
      </c>
      <c r="AE442" s="24" t="s">
        <v>286</v>
      </c>
      <c r="AF442" s="24" t="s">
        <v>40</v>
      </c>
      <c r="AG442" s="24" t="s">
        <v>40</v>
      </c>
      <c r="AH442" s="24" t="s">
        <v>40</v>
      </c>
      <c r="AI442" s="25">
        <v>45736</v>
      </c>
      <c r="AJ442" s="25"/>
      <c r="AK442" s="24" t="s">
        <v>40</v>
      </c>
    </row>
    <row r="443" spans="1:37" x14ac:dyDescent="0.35">
      <c r="A443" s="3" t="s">
        <v>32</v>
      </c>
      <c r="B443" s="3" t="s">
        <v>33</v>
      </c>
      <c r="C443" s="3" t="s">
        <v>34</v>
      </c>
      <c r="D443" s="3" t="s">
        <v>35</v>
      </c>
      <c r="E443" s="3" t="s">
        <v>114</v>
      </c>
      <c r="F443" s="4">
        <v>45722</v>
      </c>
      <c r="G443" s="23">
        <v>1800003758</v>
      </c>
      <c r="H443" s="24" t="s">
        <v>47</v>
      </c>
      <c r="I443" s="25">
        <v>45736</v>
      </c>
      <c r="J443" s="25">
        <v>45736</v>
      </c>
      <c r="K443" s="24" t="s">
        <v>38</v>
      </c>
      <c r="L443" s="26">
        <v>246779413625</v>
      </c>
      <c r="M443" s="23">
        <v>212100</v>
      </c>
      <c r="N443" s="24" t="s">
        <v>39</v>
      </c>
      <c r="O443" s="24" t="s">
        <v>40</v>
      </c>
      <c r="P443" s="23">
        <v>1</v>
      </c>
      <c r="Q443" s="24" t="s">
        <v>42</v>
      </c>
      <c r="R443" s="27">
        <v>2.35</v>
      </c>
      <c r="S443" s="24" t="s">
        <v>43</v>
      </c>
      <c r="T443" s="42">
        <v>203.72</v>
      </c>
      <c r="U443" s="24" t="s">
        <v>44</v>
      </c>
      <c r="V443" s="23">
        <v>6779224500</v>
      </c>
      <c r="W443" s="24" t="s">
        <v>40</v>
      </c>
      <c r="X443" s="24" t="s">
        <v>38</v>
      </c>
      <c r="Y443" s="23">
        <v>1</v>
      </c>
      <c r="Z443" s="43" cm="1">
        <f t="array" ref="Z443:AA443">_xlfn.XLOOKUP(L443,'Customer Ledger'!$O:$O,'Customer Ledger'!$P:$Q,,0)</f>
        <v>0</v>
      </c>
      <c r="AA443" s="43">
        <v>198</v>
      </c>
      <c r="AB443" s="43">
        <f t="shared" si="78"/>
        <v>198</v>
      </c>
      <c r="AC443" s="43">
        <f t="shared" si="79"/>
        <v>5.7199999999999989</v>
      </c>
      <c r="AD443" s="51">
        <f t="shared" si="80"/>
        <v>2.8077753779697619E-2</v>
      </c>
      <c r="AE443" s="24" t="s">
        <v>286</v>
      </c>
      <c r="AF443" s="24" t="s">
        <v>40</v>
      </c>
      <c r="AG443" s="24" t="s">
        <v>40</v>
      </c>
      <c r="AH443" s="24" t="s">
        <v>40</v>
      </c>
      <c r="AI443" s="25">
        <v>45736</v>
      </c>
      <c r="AJ443" s="25"/>
      <c r="AK443" s="24" t="s">
        <v>40</v>
      </c>
    </row>
    <row r="444" spans="1:37" x14ac:dyDescent="0.35">
      <c r="A444" s="3" t="s">
        <v>32</v>
      </c>
      <c r="B444" s="3" t="s">
        <v>33</v>
      </c>
      <c r="C444" s="3" t="s">
        <v>34</v>
      </c>
      <c r="D444" s="3" t="s">
        <v>35</v>
      </c>
      <c r="E444" s="3" t="s">
        <v>114</v>
      </c>
      <c r="F444" s="4">
        <v>45722</v>
      </c>
      <c r="G444" s="23">
        <v>1800003761</v>
      </c>
      <c r="H444" s="24" t="s">
        <v>47</v>
      </c>
      <c r="I444" s="25">
        <v>45736</v>
      </c>
      <c r="J444" s="25">
        <v>45736</v>
      </c>
      <c r="K444" s="24" t="s">
        <v>38</v>
      </c>
      <c r="L444" s="26">
        <v>246779413628</v>
      </c>
      <c r="M444" s="23">
        <v>212100</v>
      </c>
      <c r="N444" s="24" t="s">
        <v>39</v>
      </c>
      <c r="O444" s="24" t="s">
        <v>40</v>
      </c>
      <c r="P444" s="23">
        <v>1</v>
      </c>
      <c r="Q444" s="24" t="s">
        <v>42</v>
      </c>
      <c r="R444" s="27">
        <v>2.35</v>
      </c>
      <c r="S444" s="24" t="s">
        <v>43</v>
      </c>
      <c r="T444" s="42">
        <v>203.72</v>
      </c>
      <c r="U444" s="24" t="s">
        <v>44</v>
      </c>
      <c r="V444" s="23">
        <v>6779224500</v>
      </c>
      <c r="W444" s="24" t="s">
        <v>40</v>
      </c>
      <c r="X444" s="24" t="s">
        <v>38</v>
      </c>
      <c r="Y444" s="23">
        <v>1</v>
      </c>
      <c r="Z444" s="43" cm="1">
        <f t="array" ref="Z444:AA444">_xlfn.XLOOKUP(L444,'Customer Ledger'!$O:$O,'Customer Ledger'!$P:$Q,,0)</f>
        <v>0</v>
      </c>
      <c r="AA444" s="43">
        <v>198</v>
      </c>
      <c r="AB444" s="43">
        <f t="shared" si="78"/>
        <v>198</v>
      </c>
      <c r="AC444" s="43">
        <f t="shared" si="79"/>
        <v>5.7199999999999989</v>
      </c>
      <c r="AD444" s="51">
        <f t="shared" si="80"/>
        <v>2.8077753779697619E-2</v>
      </c>
      <c r="AE444" s="24" t="s">
        <v>286</v>
      </c>
      <c r="AF444" s="24" t="s">
        <v>40</v>
      </c>
      <c r="AG444" s="24" t="s">
        <v>40</v>
      </c>
      <c r="AH444" s="24" t="s">
        <v>40</v>
      </c>
      <c r="AI444" s="25">
        <v>45736</v>
      </c>
      <c r="AJ444" s="25"/>
      <c r="AK444" s="24" t="s">
        <v>40</v>
      </c>
    </row>
    <row r="445" spans="1:37" x14ac:dyDescent="0.35">
      <c r="A445" s="3" t="s">
        <v>32</v>
      </c>
      <c r="B445" s="3" t="s">
        <v>33</v>
      </c>
      <c r="C445" s="3" t="s">
        <v>34</v>
      </c>
      <c r="D445" s="3" t="s">
        <v>35</v>
      </c>
      <c r="E445" s="3" t="s">
        <v>114</v>
      </c>
      <c r="F445" s="4">
        <v>45722</v>
      </c>
      <c r="G445" s="23">
        <v>1800003828</v>
      </c>
      <c r="H445" s="24" t="s">
        <v>47</v>
      </c>
      <c r="I445" s="25">
        <v>45736</v>
      </c>
      <c r="J445" s="25">
        <v>45736</v>
      </c>
      <c r="K445" s="24" t="s">
        <v>38</v>
      </c>
      <c r="L445" s="26">
        <v>246779413690</v>
      </c>
      <c r="M445" s="23">
        <v>212100</v>
      </c>
      <c r="N445" s="24" t="s">
        <v>39</v>
      </c>
      <c r="O445" s="24" t="s">
        <v>40</v>
      </c>
      <c r="P445" s="23">
        <v>1</v>
      </c>
      <c r="Q445" s="24" t="s">
        <v>42</v>
      </c>
      <c r="R445" s="27">
        <v>2.35</v>
      </c>
      <c r="S445" s="24" t="s">
        <v>43</v>
      </c>
      <c r="T445" s="42">
        <v>203.72</v>
      </c>
      <c r="U445" s="24" t="s">
        <v>44</v>
      </c>
      <c r="V445" s="23">
        <v>6779224500</v>
      </c>
      <c r="W445" s="24" t="s">
        <v>40</v>
      </c>
      <c r="X445" s="24" t="s">
        <v>38</v>
      </c>
      <c r="Y445" s="23">
        <v>1</v>
      </c>
      <c r="Z445" s="43" cm="1">
        <f t="array" ref="Z445:AA445">_xlfn.XLOOKUP(L445,'Customer Ledger'!$O:$O,'Customer Ledger'!$P:$Q,,0)</f>
        <v>0</v>
      </c>
      <c r="AA445" s="43">
        <v>198</v>
      </c>
      <c r="AB445" s="43">
        <f t="shared" si="78"/>
        <v>198</v>
      </c>
      <c r="AC445" s="43">
        <f t="shared" si="79"/>
        <v>5.7199999999999989</v>
      </c>
      <c r="AD445" s="51">
        <f t="shared" si="80"/>
        <v>2.8077753779697619E-2</v>
      </c>
      <c r="AE445" s="24" t="s">
        <v>286</v>
      </c>
      <c r="AF445" s="24" t="s">
        <v>40</v>
      </c>
      <c r="AG445" s="24" t="s">
        <v>40</v>
      </c>
      <c r="AH445" s="24" t="s">
        <v>40</v>
      </c>
      <c r="AI445" s="25">
        <v>45736</v>
      </c>
      <c r="AJ445" s="25"/>
      <c r="AK445" s="24" t="s">
        <v>40</v>
      </c>
    </row>
    <row r="446" spans="1:37" x14ac:dyDescent="0.35">
      <c r="A446" s="3" t="s">
        <v>32</v>
      </c>
      <c r="B446" s="3" t="s">
        <v>33</v>
      </c>
      <c r="C446" s="3" t="s">
        <v>34</v>
      </c>
      <c r="D446" s="3" t="s">
        <v>35</v>
      </c>
      <c r="E446" s="3" t="s">
        <v>114</v>
      </c>
      <c r="F446" s="4">
        <v>45722</v>
      </c>
      <c r="G446" s="23">
        <v>1800003830</v>
      </c>
      <c r="H446" s="24" t="s">
        <v>47</v>
      </c>
      <c r="I446" s="25">
        <v>45736</v>
      </c>
      <c r="J446" s="25">
        <v>45736</v>
      </c>
      <c r="K446" s="24" t="s">
        <v>38</v>
      </c>
      <c r="L446" s="26">
        <v>246779413692</v>
      </c>
      <c r="M446" s="23">
        <v>212100</v>
      </c>
      <c r="N446" s="24" t="s">
        <v>39</v>
      </c>
      <c r="O446" s="24" t="s">
        <v>40</v>
      </c>
      <c r="P446" s="23">
        <v>1</v>
      </c>
      <c r="Q446" s="24" t="s">
        <v>42</v>
      </c>
      <c r="R446" s="27">
        <v>2.35</v>
      </c>
      <c r="S446" s="24" t="s">
        <v>43</v>
      </c>
      <c r="T446" s="42">
        <v>203.72</v>
      </c>
      <c r="U446" s="24" t="s">
        <v>44</v>
      </c>
      <c r="V446" s="23">
        <v>6779224500</v>
      </c>
      <c r="W446" s="24" t="s">
        <v>40</v>
      </c>
      <c r="X446" s="24" t="s">
        <v>38</v>
      </c>
      <c r="Y446" s="23">
        <v>1</v>
      </c>
      <c r="Z446" s="43" cm="1">
        <f t="array" ref="Z446:AA446">_xlfn.XLOOKUP(L446,'Customer Ledger'!$O:$O,'Customer Ledger'!$P:$Q,,0)</f>
        <v>0</v>
      </c>
      <c r="AA446" s="43">
        <v>191</v>
      </c>
      <c r="AB446" s="43">
        <f t="shared" si="78"/>
        <v>191</v>
      </c>
      <c r="AC446" s="43">
        <f t="shared" si="79"/>
        <v>12.719999999999999</v>
      </c>
      <c r="AD446" s="51">
        <f t="shared" si="80"/>
        <v>6.2438641272334575E-2</v>
      </c>
      <c r="AE446" s="24" t="s">
        <v>286</v>
      </c>
      <c r="AF446" s="24" t="s">
        <v>40</v>
      </c>
      <c r="AG446" s="24" t="s">
        <v>40</v>
      </c>
      <c r="AH446" s="24" t="s">
        <v>40</v>
      </c>
      <c r="AI446" s="25">
        <v>45736</v>
      </c>
      <c r="AJ446" s="25"/>
      <c r="AK446" s="24" t="s">
        <v>40</v>
      </c>
    </row>
    <row r="447" spans="1:37" x14ac:dyDescent="0.35">
      <c r="A447" s="3" t="s">
        <v>32</v>
      </c>
      <c r="B447" s="3" t="s">
        <v>33</v>
      </c>
      <c r="C447" s="3" t="s">
        <v>34</v>
      </c>
      <c r="D447" s="3" t="s">
        <v>35</v>
      </c>
      <c r="E447" s="3" t="s">
        <v>114</v>
      </c>
      <c r="F447" s="4">
        <v>45722</v>
      </c>
      <c r="G447" s="23">
        <v>1800003833</v>
      </c>
      <c r="H447" s="24" t="s">
        <v>47</v>
      </c>
      <c r="I447" s="25">
        <v>45736</v>
      </c>
      <c r="J447" s="25">
        <v>45736</v>
      </c>
      <c r="K447" s="24" t="s">
        <v>38</v>
      </c>
      <c r="L447" s="26">
        <v>246779413695</v>
      </c>
      <c r="M447" s="23">
        <v>212100</v>
      </c>
      <c r="N447" s="24" t="s">
        <v>39</v>
      </c>
      <c r="O447" s="24" t="s">
        <v>40</v>
      </c>
      <c r="P447" s="23">
        <v>1</v>
      </c>
      <c r="Q447" s="24" t="s">
        <v>42</v>
      </c>
      <c r="R447" s="27">
        <v>2.35</v>
      </c>
      <c r="S447" s="24" t="s">
        <v>43</v>
      </c>
      <c r="T447" s="42">
        <v>203.72</v>
      </c>
      <c r="U447" s="24" t="s">
        <v>44</v>
      </c>
      <c r="V447" s="23">
        <v>6779224500</v>
      </c>
      <c r="W447" s="24" t="s">
        <v>40</v>
      </c>
      <c r="X447" s="24" t="s">
        <v>38</v>
      </c>
      <c r="Y447" s="23">
        <v>1</v>
      </c>
      <c r="Z447" s="43" cm="1">
        <f t="array" ref="Z447:AA447">_xlfn.XLOOKUP(L447,'Customer Ledger'!$O:$O,'Customer Ledger'!$P:$Q,,0)</f>
        <v>0</v>
      </c>
      <c r="AA447" s="43">
        <v>191</v>
      </c>
      <c r="AB447" s="43">
        <f t="shared" si="78"/>
        <v>191</v>
      </c>
      <c r="AC447" s="43">
        <f t="shared" si="79"/>
        <v>12.719999999999999</v>
      </c>
      <c r="AD447" s="51">
        <f t="shared" si="80"/>
        <v>6.2438641272334575E-2</v>
      </c>
      <c r="AE447" s="24" t="s">
        <v>286</v>
      </c>
      <c r="AF447" s="24" t="s">
        <v>40</v>
      </c>
      <c r="AG447" s="24" t="s">
        <v>40</v>
      </c>
      <c r="AH447" s="24" t="s">
        <v>40</v>
      </c>
      <c r="AI447" s="25">
        <v>45736</v>
      </c>
      <c r="AJ447" s="25"/>
      <c r="AK447" s="24" t="s">
        <v>40</v>
      </c>
    </row>
    <row r="448" spans="1:37" x14ac:dyDescent="0.35">
      <c r="A448" s="3" t="s">
        <v>32</v>
      </c>
      <c r="B448" s="3" t="s">
        <v>33</v>
      </c>
      <c r="C448" s="3" t="s">
        <v>34</v>
      </c>
      <c r="D448" s="3" t="s">
        <v>35</v>
      </c>
      <c r="E448" s="3" t="s">
        <v>114</v>
      </c>
      <c r="F448" s="4">
        <v>45722</v>
      </c>
      <c r="G448" s="23">
        <v>1800003865</v>
      </c>
      <c r="H448" s="24" t="s">
        <v>47</v>
      </c>
      <c r="I448" s="25">
        <v>45736</v>
      </c>
      <c r="J448" s="25">
        <v>45736</v>
      </c>
      <c r="K448" s="24" t="s">
        <v>38</v>
      </c>
      <c r="L448" s="26">
        <v>246779413733</v>
      </c>
      <c r="M448" s="23">
        <v>212100</v>
      </c>
      <c r="N448" s="24" t="s">
        <v>39</v>
      </c>
      <c r="O448" s="24" t="s">
        <v>40</v>
      </c>
      <c r="P448" s="23">
        <v>1</v>
      </c>
      <c r="Q448" s="24" t="s">
        <v>42</v>
      </c>
      <c r="R448" s="27">
        <v>2.35</v>
      </c>
      <c r="S448" s="24" t="s">
        <v>43</v>
      </c>
      <c r="T448" s="42">
        <v>203.72</v>
      </c>
      <c r="U448" s="24" t="s">
        <v>44</v>
      </c>
      <c r="V448" s="23">
        <v>6779224500</v>
      </c>
      <c r="W448" s="24" t="s">
        <v>40</v>
      </c>
      <c r="X448" s="24" t="s">
        <v>38</v>
      </c>
      <c r="Y448" s="23">
        <v>1</v>
      </c>
      <c r="Z448" s="43" cm="1">
        <f t="array" ref="Z448:AA448">_xlfn.XLOOKUP(L448,'Customer Ledger'!$O:$O,'Customer Ledger'!$P:$Q,,0)</f>
        <v>0</v>
      </c>
      <c r="AA448" s="43">
        <v>191</v>
      </c>
      <c r="AB448" s="43">
        <f t="shared" si="78"/>
        <v>191</v>
      </c>
      <c r="AC448" s="43">
        <f t="shared" si="79"/>
        <v>12.719999999999999</v>
      </c>
      <c r="AD448" s="51">
        <f t="shared" si="80"/>
        <v>6.2438641272334575E-2</v>
      </c>
      <c r="AE448" s="24" t="s">
        <v>286</v>
      </c>
      <c r="AF448" s="24" t="s">
        <v>40</v>
      </c>
      <c r="AG448" s="24" t="s">
        <v>40</v>
      </c>
      <c r="AH448" s="24" t="s">
        <v>40</v>
      </c>
      <c r="AI448" s="25">
        <v>45736</v>
      </c>
      <c r="AJ448" s="25"/>
      <c r="AK448" s="24" t="s">
        <v>40</v>
      </c>
    </row>
    <row r="449" spans="1:37" x14ac:dyDescent="0.35">
      <c r="A449" s="3" t="s">
        <v>32</v>
      </c>
      <c r="B449" s="3" t="s">
        <v>33</v>
      </c>
      <c r="C449" s="3" t="s">
        <v>34</v>
      </c>
      <c r="D449" s="3" t="s">
        <v>35</v>
      </c>
      <c r="E449" s="3" t="s">
        <v>114</v>
      </c>
      <c r="F449" s="4">
        <v>45719</v>
      </c>
      <c r="G449" s="23">
        <v>1800000417</v>
      </c>
      <c r="H449" s="24" t="s">
        <v>47</v>
      </c>
      <c r="I449" s="25">
        <v>45719</v>
      </c>
      <c r="J449" s="25">
        <v>45719</v>
      </c>
      <c r="K449" s="24" t="s">
        <v>38</v>
      </c>
      <c r="L449" s="26">
        <v>246779410379</v>
      </c>
      <c r="M449" s="23">
        <v>212100</v>
      </c>
      <c r="N449" s="24" t="s">
        <v>39</v>
      </c>
      <c r="O449" s="24" t="s">
        <v>40</v>
      </c>
      <c r="P449" s="23">
        <v>1</v>
      </c>
      <c r="Q449" s="24" t="s">
        <v>42</v>
      </c>
      <c r="R449" s="27">
        <v>5862.04</v>
      </c>
      <c r="S449" s="24" t="s">
        <v>43</v>
      </c>
      <c r="T449" s="42">
        <v>508187.63</v>
      </c>
      <c r="U449" s="24" t="s">
        <v>44</v>
      </c>
      <c r="V449" s="23">
        <v>6779224500</v>
      </c>
      <c r="W449" s="24" t="s">
        <v>40</v>
      </c>
      <c r="X449" s="24" t="s">
        <v>38</v>
      </c>
      <c r="Y449" s="23">
        <v>1</v>
      </c>
      <c r="Z449" s="43" cm="1">
        <f t="array" ref="Z449:AA449">_xlfn.XLOOKUP(L449,'Customer Ledger'!$O:$O,'Customer Ledger'!$P:$Q,,0)</f>
        <v>0</v>
      </c>
      <c r="AA449" s="43">
        <v>460370</v>
      </c>
      <c r="AB449" s="43">
        <f t="shared" si="78"/>
        <v>460370</v>
      </c>
      <c r="AC449" s="43">
        <f t="shared" si="79"/>
        <v>47817.630000000005</v>
      </c>
      <c r="AD449" s="51">
        <f t="shared" si="80"/>
        <v>9.409443909526094E-2</v>
      </c>
      <c r="AE449" s="24" t="s">
        <v>350</v>
      </c>
      <c r="AF449" s="24" t="s">
        <v>40</v>
      </c>
      <c r="AG449" s="24" t="s">
        <v>40</v>
      </c>
      <c r="AH449" s="24" t="s">
        <v>40</v>
      </c>
      <c r="AI449" s="25">
        <v>45719</v>
      </c>
      <c r="AJ449" s="25"/>
      <c r="AK449" s="24" t="s">
        <v>40</v>
      </c>
    </row>
    <row r="450" spans="1:37" x14ac:dyDescent="0.35">
      <c r="A450" s="3" t="s">
        <v>32</v>
      </c>
      <c r="B450" s="3" t="s">
        <v>33</v>
      </c>
      <c r="C450" s="3" t="s">
        <v>34</v>
      </c>
      <c r="D450" s="3" t="s">
        <v>35</v>
      </c>
      <c r="E450" s="3" t="s">
        <v>114</v>
      </c>
      <c r="F450" s="4">
        <v>45719</v>
      </c>
      <c r="G450" s="23">
        <v>1800003869</v>
      </c>
      <c r="H450" s="24" t="s">
        <v>47</v>
      </c>
      <c r="I450" s="25">
        <v>45736</v>
      </c>
      <c r="J450" s="25">
        <v>45736</v>
      </c>
      <c r="K450" s="24" t="s">
        <v>38</v>
      </c>
      <c r="L450" s="26">
        <v>246779413737</v>
      </c>
      <c r="M450" s="23">
        <v>212100</v>
      </c>
      <c r="N450" s="24" t="s">
        <v>39</v>
      </c>
      <c r="O450" s="24" t="s">
        <v>40</v>
      </c>
      <c r="P450" s="23">
        <v>1</v>
      </c>
      <c r="Q450" s="24" t="s">
        <v>42</v>
      </c>
      <c r="R450" s="27">
        <v>2.35</v>
      </c>
      <c r="S450" s="24" t="s">
        <v>43</v>
      </c>
      <c r="T450" s="42">
        <v>203.72</v>
      </c>
      <c r="U450" s="24" t="s">
        <v>44</v>
      </c>
      <c r="V450" s="23">
        <v>6779224500</v>
      </c>
      <c r="W450" s="24" t="s">
        <v>40</v>
      </c>
      <c r="X450" s="24" t="s">
        <v>38</v>
      </c>
      <c r="Y450" s="23">
        <v>1</v>
      </c>
      <c r="Z450" s="43" cm="1">
        <f t="array" ref="Z450:AA450">_xlfn.XLOOKUP(L450,'Customer Ledger'!$O:$O,'Customer Ledger'!$P:$Q,,0)</f>
        <v>0</v>
      </c>
      <c r="AA450" s="43">
        <v>574</v>
      </c>
      <c r="AB450" s="43">
        <f t="shared" si="78"/>
        <v>574</v>
      </c>
      <c r="AC450" s="43">
        <f t="shared" si="79"/>
        <v>-370.28</v>
      </c>
      <c r="AD450" s="51">
        <f t="shared" si="80"/>
        <v>-1.8175927743962299</v>
      </c>
      <c r="AE450" s="24" t="s">
        <v>286</v>
      </c>
      <c r="AF450" s="24" t="s">
        <v>40</v>
      </c>
      <c r="AG450" s="24" t="s">
        <v>40</v>
      </c>
      <c r="AH450" s="24" t="s">
        <v>40</v>
      </c>
      <c r="AI450" s="25">
        <v>45736</v>
      </c>
      <c r="AJ450" s="25"/>
      <c r="AK450" s="24" t="s">
        <v>40</v>
      </c>
    </row>
    <row r="451" spans="1:37" x14ac:dyDescent="0.35">
      <c r="A451" s="3" t="s">
        <v>32</v>
      </c>
      <c r="B451" s="3" t="s">
        <v>33</v>
      </c>
      <c r="C451" s="3" t="s">
        <v>34</v>
      </c>
      <c r="D451" s="3" t="s">
        <v>35</v>
      </c>
      <c r="E451" s="3" t="s">
        <v>114</v>
      </c>
      <c r="F451" s="4">
        <v>45719</v>
      </c>
      <c r="G451" s="23">
        <v>1800000442</v>
      </c>
      <c r="H451" s="24" t="s">
        <v>47</v>
      </c>
      <c r="I451" s="25">
        <v>45719</v>
      </c>
      <c r="J451" s="25">
        <v>45719</v>
      </c>
      <c r="K451" s="24" t="s">
        <v>38</v>
      </c>
      <c r="L451" s="26">
        <v>246779410404</v>
      </c>
      <c r="M451" s="23">
        <v>212100</v>
      </c>
      <c r="N451" s="24" t="s">
        <v>39</v>
      </c>
      <c r="O451" s="24" t="s">
        <v>40</v>
      </c>
      <c r="P451" s="23">
        <v>1</v>
      </c>
      <c r="Q451" s="24" t="s">
        <v>42</v>
      </c>
      <c r="R451" s="27">
        <v>7394.09</v>
      </c>
      <c r="S451" s="24" t="s">
        <v>43</v>
      </c>
      <c r="T451" s="42">
        <v>641002.98</v>
      </c>
      <c r="U451" s="24" t="s">
        <v>44</v>
      </c>
      <c r="V451" s="23">
        <v>6779224500</v>
      </c>
      <c r="W451" s="24" t="s">
        <v>40</v>
      </c>
      <c r="X451" s="24" t="s">
        <v>38</v>
      </c>
      <c r="Y451" s="23">
        <v>1</v>
      </c>
      <c r="Z451" s="43" cm="1">
        <f t="array" ref="Z451:AA451">_xlfn.XLOOKUP(L451,'Customer Ledger'!$O:$O,'Customer Ledger'!$P:$Q,,0)</f>
        <v>0</v>
      </c>
      <c r="AA451" s="43">
        <v>580687</v>
      </c>
      <c r="AB451" s="43">
        <f t="shared" si="78"/>
        <v>580687</v>
      </c>
      <c r="AC451" s="43">
        <f t="shared" si="79"/>
        <v>60315.979999999981</v>
      </c>
      <c r="AD451" s="51">
        <f t="shared" si="80"/>
        <v>9.4096255215537355E-2</v>
      </c>
      <c r="AE451" s="24" t="s">
        <v>352</v>
      </c>
      <c r="AF451" s="24" t="s">
        <v>40</v>
      </c>
      <c r="AG451" s="24" t="s">
        <v>40</v>
      </c>
      <c r="AH451" s="24" t="s">
        <v>40</v>
      </c>
      <c r="AI451" s="25">
        <v>45719</v>
      </c>
      <c r="AJ451" s="25"/>
      <c r="AK451" s="24" t="s">
        <v>40</v>
      </c>
    </row>
    <row r="452" spans="1:37" x14ac:dyDescent="0.35">
      <c r="A452" s="3" t="s">
        <v>32</v>
      </c>
      <c r="B452" s="3" t="s">
        <v>33</v>
      </c>
      <c r="C452" s="3" t="s">
        <v>34</v>
      </c>
      <c r="D452" s="3" t="s">
        <v>35</v>
      </c>
      <c r="E452" s="3" t="s">
        <v>114</v>
      </c>
      <c r="F452" s="4">
        <v>45719</v>
      </c>
      <c r="G452" s="23">
        <v>1800000466</v>
      </c>
      <c r="H452" s="24" t="s">
        <v>47</v>
      </c>
      <c r="I452" s="25">
        <v>45719</v>
      </c>
      <c r="J452" s="25">
        <v>45719</v>
      </c>
      <c r="K452" s="24" t="s">
        <v>38</v>
      </c>
      <c r="L452" s="26">
        <v>246779410428</v>
      </c>
      <c r="M452" s="23">
        <v>212100</v>
      </c>
      <c r="N452" s="24" t="s">
        <v>39</v>
      </c>
      <c r="O452" s="24" t="s">
        <v>40</v>
      </c>
      <c r="P452" s="23">
        <v>1</v>
      </c>
      <c r="Q452" s="24" t="s">
        <v>42</v>
      </c>
      <c r="R452" s="27">
        <v>4332.22</v>
      </c>
      <c r="S452" s="24" t="s">
        <v>43</v>
      </c>
      <c r="T452" s="42">
        <v>375565.61</v>
      </c>
      <c r="U452" s="24" t="s">
        <v>44</v>
      </c>
      <c r="V452" s="23">
        <v>6779224500</v>
      </c>
      <c r="W452" s="24" t="s">
        <v>40</v>
      </c>
      <c r="X452" s="24" t="s">
        <v>38</v>
      </c>
      <c r="Y452" s="23">
        <v>1</v>
      </c>
      <c r="Z452" s="43" cm="1">
        <f t="array" ref="Z452:AA452">_xlfn.XLOOKUP(L452,'Customer Ledger'!$O:$O,'Customer Ledger'!$P:$Q,,0)</f>
        <v>0</v>
      </c>
      <c r="AA452" s="43">
        <v>340227</v>
      </c>
      <c r="AB452" s="43">
        <f t="shared" si="78"/>
        <v>340227</v>
      </c>
      <c r="AC452" s="43">
        <f t="shared" si="79"/>
        <v>35338.609999999986</v>
      </c>
      <c r="AD452" s="51">
        <f t="shared" si="80"/>
        <v>9.4094371420215997E-2</v>
      </c>
      <c r="AE452" s="24" t="s">
        <v>353</v>
      </c>
      <c r="AF452" s="24" t="s">
        <v>40</v>
      </c>
      <c r="AG452" s="24" t="s">
        <v>40</v>
      </c>
      <c r="AH452" s="24" t="s">
        <v>40</v>
      </c>
      <c r="AI452" s="25">
        <v>45719</v>
      </c>
      <c r="AJ452" s="25"/>
      <c r="AK452" s="24" t="s">
        <v>40</v>
      </c>
    </row>
    <row r="453" spans="1:37" x14ac:dyDescent="0.35">
      <c r="A453" s="3" t="s">
        <v>32</v>
      </c>
      <c r="B453" s="3" t="s">
        <v>33</v>
      </c>
      <c r="C453" s="3" t="s">
        <v>34</v>
      </c>
      <c r="D453" s="3" t="s">
        <v>35</v>
      </c>
      <c r="E453" s="3" t="s">
        <v>114</v>
      </c>
      <c r="F453" s="4">
        <v>45719</v>
      </c>
      <c r="G453" s="23">
        <v>1800003876</v>
      </c>
      <c r="H453" s="24" t="s">
        <v>47</v>
      </c>
      <c r="I453" s="25">
        <v>45736</v>
      </c>
      <c r="J453" s="25">
        <v>45736</v>
      </c>
      <c r="K453" s="24" t="s">
        <v>38</v>
      </c>
      <c r="L453" s="26">
        <v>246779413744</v>
      </c>
      <c r="M453" s="23">
        <v>212100</v>
      </c>
      <c r="N453" s="24" t="s">
        <v>39</v>
      </c>
      <c r="O453" s="24" t="s">
        <v>40</v>
      </c>
      <c r="P453" s="23">
        <v>1</v>
      </c>
      <c r="Q453" s="24" t="s">
        <v>42</v>
      </c>
      <c r="R453" s="27">
        <v>2.35</v>
      </c>
      <c r="S453" s="24" t="s">
        <v>43</v>
      </c>
      <c r="T453" s="42">
        <v>203.72</v>
      </c>
      <c r="U453" s="24" t="s">
        <v>44</v>
      </c>
      <c r="V453" s="23">
        <v>6779224500</v>
      </c>
      <c r="W453" s="24" t="s">
        <v>40</v>
      </c>
      <c r="X453" s="24" t="s">
        <v>38</v>
      </c>
      <c r="Y453" s="23">
        <v>1</v>
      </c>
      <c r="Z453" s="43" cm="1">
        <f t="array" ref="Z453:AA453">_xlfn.XLOOKUP(L453,'Customer Ledger'!$O:$O,'Customer Ledger'!$P:$Q,,0)</f>
        <v>0</v>
      </c>
      <c r="AA453" s="43">
        <v>191</v>
      </c>
      <c r="AB453" s="43">
        <f t="shared" si="78"/>
        <v>191</v>
      </c>
      <c r="AC453" s="43">
        <f t="shared" si="79"/>
        <v>12.719999999999999</v>
      </c>
      <c r="AD453" s="51">
        <f t="shared" si="80"/>
        <v>6.2438641272334575E-2</v>
      </c>
      <c r="AE453" s="24" t="s">
        <v>286</v>
      </c>
      <c r="AF453" s="24" t="s">
        <v>40</v>
      </c>
      <c r="AG453" s="24" t="s">
        <v>40</v>
      </c>
      <c r="AH453" s="24" t="s">
        <v>40</v>
      </c>
      <c r="AI453" s="25">
        <v>45736</v>
      </c>
      <c r="AJ453" s="25"/>
      <c r="AK453" s="24" t="s">
        <v>40</v>
      </c>
    </row>
    <row r="454" spans="1:37" x14ac:dyDescent="0.35">
      <c r="A454" s="3" t="s">
        <v>32</v>
      </c>
      <c r="B454" s="3" t="s">
        <v>33</v>
      </c>
      <c r="C454" s="3" t="s">
        <v>34</v>
      </c>
      <c r="D454" s="3" t="s">
        <v>35</v>
      </c>
      <c r="E454" s="3" t="s">
        <v>114</v>
      </c>
      <c r="F454" s="4">
        <v>45719</v>
      </c>
      <c r="G454" s="23">
        <v>1800003894</v>
      </c>
      <c r="H454" s="24" t="s">
        <v>47</v>
      </c>
      <c r="I454" s="25">
        <v>45736</v>
      </c>
      <c r="J454" s="25">
        <v>45736</v>
      </c>
      <c r="K454" s="24" t="s">
        <v>38</v>
      </c>
      <c r="L454" s="26">
        <v>246779413762</v>
      </c>
      <c r="M454" s="23">
        <v>212100</v>
      </c>
      <c r="N454" s="24" t="s">
        <v>39</v>
      </c>
      <c r="O454" s="24" t="s">
        <v>40</v>
      </c>
      <c r="P454" s="23">
        <v>1</v>
      </c>
      <c r="Q454" s="24" t="s">
        <v>42</v>
      </c>
      <c r="R454" s="27">
        <v>2.35</v>
      </c>
      <c r="S454" s="24" t="s">
        <v>43</v>
      </c>
      <c r="T454" s="42">
        <v>203.72</v>
      </c>
      <c r="U454" s="24" t="s">
        <v>44</v>
      </c>
      <c r="V454" s="23">
        <v>6779224500</v>
      </c>
      <c r="W454" s="24" t="s">
        <v>40</v>
      </c>
      <c r="X454" s="24" t="s">
        <v>38</v>
      </c>
      <c r="Y454" s="23">
        <v>1</v>
      </c>
      <c r="Z454" s="43" cm="1">
        <f t="array" ref="Z454:AA454">_xlfn.XLOOKUP(L454,'Customer Ledger'!$O:$O,'Customer Ledger'!$P:$Q,,0)</f>
        <v>0</v>
      </c>
      <c r="AA454" s="43">
        <v>191</v>
      </c>
      <c r="AB454" s="43">
        <f t="shared" si="78"/>
        <v>191</v>
      </c>
      <c r="AC454" s="43">
        <f t="shared" si="79"/>
        <v>12.719999999999999</v>
      </c>
      <c r="AD454" s="51">
        <f t="shared" si="80"/>
        <v>6.2438641272334575E-2</v>
      </c>
      <c r="AE454" s="24" t="s">
        <v>90</v>
      </c>
      <c r="AF454" s="24" t="s">
        <v>40</v>
      </c>
      <c r="AG454" s="24" t="s">
        <v>40</v>
      </c>
      <c r="AH454" s="24" t="s">
        <v>40</v>
      </c>
      <c r="AI454" s="25">
        <v>45736</v>
      </c>
      <c r="AJ454" s="25"/>
      <c r="AK454" s="24" t="s">
        <v>40</v>
      </c>
    </row>
    <row r="455" spans="1:37" x14ac:dyDescent="0.35">
      <c r="A455" s="3" t="s">
        <v>32</v>
      </c>
      <c r="B455" s="3" t="s">
        <v>33</v>
      </c>
      <c r="C455" s="3" t="s">
        <v>34</v>
      </c>
      <c r="D455" s="3" t="s">
        <v>35</v>
      </c>
      <c r="E455" s="3" t="s">
        <v>114</v>
      </c>
      <c r="F455" s="4">
        <v>45719</v>
      </c>
      <c r="G455" s="23">
        <v>1800003885</v>
      </c>
      <c r="H455" s="24" t="s">
        <v>47</v>
      </c>
      <c r="I455" s="25">
        <v>45736</v>
      </c>
      <c r="J455" s="25">
        <v>45736</v>
      </c>
      <c r="K455" s="24" t="s">
        <v>38</v>
      </c>
      <c r="L455" s="26">
        <v>246779413753</v>
      </c>
      <c r="M455" s="23">
        <v>212100</v>
      </c>
      <c r="N455" s="24" t="s">
        <v>39</v>
      </c>
      <c r="O455" s="24" t="s">
        <v>40</v>
      </c>
      <c r="P455" s="23">
        <v>1</v>
      </c>
      <c r="Q455" s="24" t="s">
        <v>42</v>
      </c>
      <c r="R455" s="27">
        <v>2.35</v>
      </c>
      <c r="S455" s="24" t="s">
        <v>43</v>
      </c>
      <c r="T455" s="42">
        <v>203.72</v>
      </c>
      <c r="U455" s="24" t="s">
        <v>44</v>
      </c>
      <c r="V455" s="23">
        <v>6779224500</v>
      </c>
      <c r="W455" s="24" t="s">
        <v>40</v>
      </c>
      <c r="X455" s="24" t="s">
        <v>38</v>
      </c>
      <c r="Y455" s="23">
        <v>1</v>
      </c>
      <c r="Z455" s="43" cm="1">
        <f t="array" ref="Z455:AA455">_xlfn.XLOOKUP(L455,'Customer Ledger'!$O:$O,'Customer Ledger'!$P:$Q,,0)</f>
        <v>0</v>
      </c>
      <c r="AA455" s="43">
        <v>31723</v>
      </c>
      <c r="AB455" s="43">
        <f t="shared" si="78"/>
        <v>31723</v>
      </c>
      <c r="AC455" s="43">
        <f t="shared" si="79"/>
        <v>-31519.279999999999</v>
      </c>
      <c r="AD455" s="51">
        <f t="shared" si="80"/>
        <v>-154.71863341841743</v>
      </c>
      <c r="AE455" s="24" t="s">
        <v>90</v>
      </c>
      <c r="AF455" s="24" t="s">
        <v>40</v>
      </c>
      <c r="AG455" s="24" t="s">
        <v>40</v>
      </c>
      <c r="AH455" s="24" t="s">
        <v>40</v>
      </c>
      <c r="AI455" s="25">
        <v>45736</v>
      </c>
      <c r="AJ455" s="25"/>
      <c r="AK455" s="24" t="s">
        <v>40</v>
      </c>
    </row>
    <row r="456" spans="1:37" x14ac:dyDescent="0.35">
      <c r="A456" s="3" t="s">
        <v>32</v>
      </c>
      <c r="B456" s="3" t="s">
        <v>33</v>
      </c>
      <c r="C456" s="3" t="s">
        <v>34</v>
      </c>
      <c r="D456" s="3" t="s">
        <v>35</v>
      </c>
      <c r="E456" s="3" t="s">
        <v>114</v>
      </c>
      <c r="F456" s="4">
        <v>45719</v>
      </c>
      <c r="G456" s="23">
        <v>1800000738</v>
      </c>
      <c r="H456" s="24" t="s">
        <v>47</v>
      </c>
      <c r="I456" s="25">
        <v>45720</v>
      </c>
      <c r="J456" s="25">
        <v>45720</v>
      </c>
      <c r="K456" s="24" t="s">
        <v>38</v>
      </c>
      <c r="L456" s="26">
        <v>246779410678</v>
      </c>
      <c r="M456" s="23">
        <v>212100</v>
      </c>
      <c r="N456" s="24" t="s">
        <v>39</v>
      </c>
      <c r="O456" s="24" t="s">
        <v>40</v>
      </c>
      <c r="P456" s="23">
        <v>1</v>
      </c>
      <c r="Q456" s="24" t="s">
        <v>42</v>
      </c>
      <c r="R456" s="27">
        <v>2.35</v>
      </c>
      <c r="S456" s="24" t="s">
        <v>43</v>
      </c>
      <c r="T456" s="42">
        <v>203.72</v>
      </c>
      <c r="U456" s="24" t="s">
        <v>44</v>
      </c>
      <c r="V456" s="23">
        <v>6779224500</v>
      </c>
      <c r="W456" s="24" t="s">
        <v>40</v>
      </c>
      <c r="X456" s="24" t="s">
        <v>38</v>
      </c>
      <c r="Y456" s="23">
        <v>1</v>
      </c>
      <c r="Z456" s="43" cm="1">
        <f t="array" ref="Z456:AA456">_xlfn.XLOOKUP(L456,'Customer Ledger'!$O:$O,'Customer Ledger'!$P:$Q,,0)</f>
        <v>0</v>
      </c>
      <c r="AA456" s="43">
        <v>201</v>
      </c>
      <c r="AB456" s="43">
        <f t="shared" si="78"/>
        <v>201</v>
      </c>
      <c r="AC456" s="43">
        <f t="shared" si="79"/>
        <v>2.7199999999999989</v>
      </c>
      <c r="AD456" s="51">
        <f t="shared" si="80"/>
        <v>1.3351659139996067E-2</v>
      </c>
      <c r="AE456" s="24" t="s">
        <v>337</v>
      </c>
      <c r="AF456" s="24" t="s">
        <v>40</v>
      </c>
      <c r="AG456" s="24" t="s">
        <v>40</v>
      </c>
      <c r="AH456" s="24" t="s">
        <v>40</v>
      </c>
      <c r="AI456" s="25">
        <v>45720</v>
      </c>
      <c r="AJ456" s="25"/>
      <c r="AK456" s="24" t="s">
        <v>40</v>
      </c>
    </row>
    <row r="457" spans="1:37" x14ac:dyDescent="0.35">
      <c r="A457" s="3" t="s">
        <v>32</v>
      </c>
      <c r="B457" s="3" t="s">
        <v>33</v>
      </c>
      <c r="C457" s="3" t="s">
        <v>34</v>
      </c>
      <c r="D457" s="3" t="s">
        <v>35</v>
      </c>
      <c r="E457" s="3" t="s">
        <v>114</v>
      </c>
      <c r="F457" s="4">
        <v>45719</v>
      </c>
      <c r="G457" s="23">
        <v>1800000739</v>
      </c>
      <c r="H457" s="24" t="s">
        <v>47</v>
      </c>
      <c r="I457" s="25">
        <v>45720</v>
      </c>
      <c r="J457" s="25">
        <v>45720</v>
      </c>
      <c r="K457" s="24" t="s">
        <v>38</v>
      </c>
      <c r="L457" s="26">
        <v>246779410679</v>
      </c>
      <c r="M457" s="23">
        <v>212100</v>
      </c>
      <c r="N457" s="24" t="s">
        <v>39</v>
      </c>
      <c r="O457" s="24" t="s">
        <v>40</v>
      </c>
      <c r="P457" s="23">
        <v>1</v>
      </c>
      <c r="Q457" s="24" t="s">
        <v>42</v>
      </c>
      <c r="R457" s="27">
        <v>2.35</v>
      </c>
      <c r="S457" s="24" t="s">
        <v>43</v>
      </c>
      <c r="T457" s="42">
        <v>203.72</v>
      </c>
      <c r="U457" s="24" t="s">
        <v>44</v>
      </c>
      <c r="V457" s="23">
        <v>6779224500</v>
      </c>
      <c r="W457" s="24" t="s">
        <v>40</v>
      </c>
      <c r="X457" s="24" t="s">
        <v>38</v>
      </c>
      <c r="Y457" s="23">
        <v>1</v>
      </c>
      <c r="Z457" s="43" cm="1">
        <f t="array" ref="Z457:AA457">_xlfn.XLOOKUP(L457,'Customer Ledger'!$O:$O,'Customer Ledger'!$P:$Q,,0)</f>
        <v>0</v>
      </c>
      <c r="AA457" s="43">
        <v>201</v>
      </c>
      <c r="AB457" s="43">
        <f t="shared" si="78"/>
        <v>201</v>
      </c>
      <c r="AC457" s="43">
        <f t="shared" si="79"/>
        <v>2.7199999999999989</v>
      </c>
      <c r="AD457" s="51">
        <f t="shared" si="80"/>
        <v>1.3351659139996067E-2</v>
      </c>
      <c r="AE457" s="24" t="s">
        <v>337</v>
      </c>
      <c r="AF457" s="24" t="s">
        <v>40</v>
      </c>
      <c r="AG457" s="24" t="s">
        <v>40</v>
      </c>
      <c r="AH457" s="24" t="s">
        <v>40</v>
      </c>
      <c r="AI457" s="25">
        <v>45720</v>
      </c>
      <c r="AJ457" s="25"/>
      <c r="AK457" s="24" t="s">
        <v>40</v>
      </c>
    </row>
    <row r="458" spans="1:37" x14ac:dyDescent="0.35">
      <c r="A458" s="3" t="s">
        <v>32</v>
      </c>
      <c r="B458" s="3" t="s">
        <v>33</v>
      </c>
      <c r="C458" s="3" t="s">
        <v>34</v>
      </c>
      <c r="D458" s="3" t="s">
        <v>35</v>
      </c>
      <c r="E458" s="3" t="s">
        <v>114</v>
      </c>
      <c r="F458" s="4">
        <v>45719</v>
      </c>
      <c r="G458" s="23">
        <v>1800000741</v>
      </c>
      <c r="H458" s="24" t="s">
        <v>47</v>
      </c>
      <c r="I458" s="25">
        <v>45720</v>
      </c>
      <c r="J458" s="25">
        <v>45720</v>
      </c>
      <c r="K458" s="24" t="s">
        <v>38</v>
      </c>
      <c r="L458" s="26">
        <v>246779410681</v>
      </c>
      <c r="M458" s="23">
        <v>212100</v>
      </c>
      <c r="N458" s="24" t="s">
        <v>39</v>
      </c>
      <c r="O458" s="24" t="s">
        <v>40</v>
      </c>
      <c r="P458" s="23">
        <v>1</v>
      </c>
      <c r="Q458" s="24" t="s">
        <v>42</v>
      </c>
      <c r="R458" s="27">
        <v>2.35</v>
      </c>
      <c r="S458" s="24" t="s">
        <v>43</v>
      </c>
      <c r="T458" s="42">
        <v>203.72</v>
      </c>
      <c r="U458" s="24" t="s">
        <v>44</v>
      </c>
      <c r="V458" s="23">
        <v>6779224500</v>
      </c>
      <c r="W458" s="24" t="s">
        <v>40</v>
      </c>
      <c r="X458" s="24" t="s">
        <v>38</v>
      </c>
      <c r="Y458" s="23">
        <v>1</v>
      </c>
      <c r="Z458" s="43" cm="1">
        <f t="array" ref="Z458:AA458">_xlfn.XLOOKUP(L458,'Customer Ledger'!$O:$O,'Customer Ledger'!$P:$Q,,0)</f>
        <v>0</v>
      </c>
      <c r="AA458" s="43">
        <v>201</v>
      </c>
      <c r="AB458" s="43">
        <f t="shared" si="78"/>
        <v>201</v>
      </c>
      <c r="AC458" s="43">
        <f t="shared" si="79"/>
        <v>2.7199999999999989</v>
      </c>
      <c r="AD458" s="51">
        <f t="shared" si="80"/>
        <v>1.3351659139996067E-2</v>
      </c>
      <c r="AE458" s="24" t="s">
        <v>337</v>
      </c>
      <c r="AF458" s="24" t="s">
        <v>40</v>
      </c>
      <c r="AG458" s="24" t="s">
        <v>40</v>
      </c>
      <c r="AH458" s="24" t="s">
        <v>40</v>
      </c>
      <c r="AI458" s="25">
        <v>45720</v>
      </c>
      <c r="AJ458" s="25"/>
      <c r="AK458" s="24" t="s">
        <v>40</v>
      </c>
    </row>
    <row r="459" spans="1:37" x14ac:dyDescent="0.35">
      <c r="A459" s="3" t="s">
        <v>32</v>
      </c>
      <c r="B459" s="3" t="s">
        <v>33</v>
      </c>
      <c r="C459" s="3" t="s">
        <v>34</v>
      </c>
      <c r="D459" s="3" t="s">
        <v>35</v>
      </c>
      <c r="E459" s="3" t="s">
        <v>114</v>
      </c>
      <c r="F459" s="4">
        <v>45719</v>
      </c>
      <c r="G459" s="23">
        <v>1800000743</v>
      </c>
      <c r="H459" s="24" t="s">
        <v>47</v>
      </c>
      <c r="I459" s="25">
        <v>45720</v>
      </c>
      <c r="J459" s="25">
        <v>45720</v>
      </c>
      <c r="K459" s="24" t="s">
        <v>38</v>
      </c>
      <c r="L459" s="26">
        <v>246779410683</v>
      </c>
      <c r="M459" s="23">
        <v>212100</v>
      </c>
      <c r="N459" s="24" t="s">
        <v>39</v>
      </c>
      <c r="O459" s="24" t="s">
        <v>40</v>
      </c>
      <c r="P459" s="23">
        <v>1</v>
      </c>
      <c r="Q459" s="24" t="s">
        <v>42</v>
      </c>
      <c r="R459" s="27">
        <v>2.35</v>
      </c>
      <c r="S459" s="24" t="s">
        <v>43</v>
      </c>
      <c r="T459" s="42">
        <v>203.72</v>
      </c>
      <c r="U459" s="24" t="s">
        <v>44</v>
      </c>
      <c r="V459" s="23">
        <v>6779224500</v>
      </c>
      <c r="W459" s="24" t="s">
        <v>40</v>
      </c>
      <c r="X459" s="24" t="s">
        <v>38</v>
      </c>
      <c r="Y459" s="23">
        <v>1</v>
      </c>
      <c r="Z459" s="43" cm="1">
        <f t="array" ref="Z459:AA459">_xlfn.XLOOKUP(L459,'Customer Ledger'!$O:$O,'Customer Ledger'!$P:$Q,,0)</f>
        <v>0</v>
      </c>
      <c r="AA459" s="43">
        <v>201</v>
      </c>
      <c r="AB459" s="43">
        <f t="shared" si="78"/>
        <v>201</v>
      </c>
      <c r="AC459" s="43">
        <f t="shared" si="79"/>
        <v>2.7199999999999989</v>
      </c>
      <c r="AD459" s="51">
        <f t="shared" si="80"/>
        <v>1.3351659139996067E-2</v>
      </c>
      <c r="AE459" s="24" t="s">
        <v>337</v>
      </c>
      <c r="AF459" s="24" t="s">
        <v>40</v>
      </c>
      <c r="AG459" s="24" t="s">
        <v>40</v>
      </c>
      <c r="AH459" s="24" t="s">
        <v>40</v>
      </c>
      <c r="AI459" s="25">
        <v>45720</v>
      </c>
      <c r="AJ459" s="25"/>
      <c r="AK459" s="24" t="s">
        <v>40</v>
      </c>
    </row>
    <row r="460" spans="1:37" x14ac:dyDescent="0.35">
      <c r="A460" s="3" t="s">
        <v>32</v>
      </c>
      <c r="B460" s="3" t="s">
        <v>33</v>
      </c>
      <c r="C460" s="3" t="s">
        <v>34</v>
      </c>
      <c r="D460" s="3" t="s">
        <v>35</v>
      </c>
      <c r="E460" s="3" t="s">
        <v>114</v>
      </c>
      <c r="F460" s="4">
        <v>45719</v>
      </c>
      <c r="G460" s="23">
        <v>1800000745</v>
      </c>
      <c r="H460" s="24" t="s">
        <v>47</v>
      </c>
      <c r="I460" s="25">
        <v>45720</v>
      </c>
      <c r="J460" s="25">
        <v>45720</v>
      </c>
      <c r="K460" s="24" t="s">
        <v>38</v>
      </c>
      <c r="L460" s="26">
        <v>246779410685</v>
      </c>
      <c r="M460" s="23">
        <v>212100</v>
      </c>
      <c r="N460" s="24" t="s">
        <v>39</v>
      </c>
      <c r="O460" s="24" t="s">
        <v>40</v>
      </c>
      <c r="P460" s="23">
        <v>1</v>
      </c>
      <c r="Q460" s="24" t="s">
        <v>42</v>
      </c>
      <c r="R460" s="27">
        <v>2.35</v>
      </c>
      <c r="S460" s="24" t="s">
        <v>43</v>
      </c>
      <c r="T460" s="42">
        <v>203.72</v>
      </c>
      <c r="U460" s="24" t="s">
        <v>44</v>
      </c>
      <c r="V460" s="23">
        <v>6779224500</v>
      </c>
      <c r="W460" s="24" t="s">
        <v>40</v>
      </c>
      <c r="X460" s="24" t="s">
        <v>38</v>
      </c>
      <c r="Y460" s="23">
        <v>1</v>
      </c>
      <c r="Z460" s="43" cm="1">
        <f t="array" ref="Z460:AA460">_xlfn.XLOOKUP(L460,'Customer Ledger'!$O:$O,'Customer Ledger'!$P:$Q,,0)</f>
        <v>0</v>
      </c>
      <c r="AA460" s="43">
        <v>201</v>
      </c>
      <c r="AB460" s="43">
        <f t="shared" si="78"/>
        <v>201</v>
      </c>
      <c r="AC460" s="43">
        <f t="shared" si="79"/>
        <v>2.7199999999999989</v>
      </c>
      <c r="AD460" s="51">
        <f t="shared" si="80"/>
        <v>1.3351659139996067E-2</v>
      </c>
      <c r="AE460" s="24" t="s">
        <v>337</v>
      </c>
      <c r="AF460" s="24" t="s">
        <v>40</v>
      </c>
      <c r="AG460" s="24" t="s">
        <v>40</v>
      </c>
      <c r="AH460" s="24" t="s">
        <v>40</v>
      </c>
      <c r="AI460" s="25">
        <v>45720</v>
      </c>
      <c r="AJ460" s="25"/>
      <c r="AK460" s="24" t="s">
        <v>40</v>
      </c>
    </row>
    <row r="461" spans="1:37" x14ac:dyDescent="0.35">
      <c r="A461" s="3" t="s">
        <v>32</v>
      </c>
      <c r="B461" s="3" t="s">
        <v>33</v>
      </c>
      <c r="C461" s="3" t="s">
        <v>34</v>
      </c>
      <c r="D461" s="3" t="s">
        <v>35</v>
      </c>
      <c r="E461" s="3" t="s">
        <v>114</v>
      </c>
      <c r="F461" s="4">
        <v>45719</v>
      </c>
      <c r="G461" s="23">
        <v>1800000823</v>
      </c>
      <c r="H461" s="24" t="s">
        <v>47</v>
      </c>
      <c r="I461" s="25">
        <v>45720</v>
      </c>
      <c r="J461" s="25">
        <v>45721</v>
      </c>
      <c r="K461" s="24" t="s">
        <v>38</v>
      </c>
      <c r="L461" s="26">
        <v>246779410763</v>
      </c>
      <c r="M461" s="23">
        <v>212100</v>
      </c>
      <c r="N461" s="24" t="s">
        <v>39</v>
      </c>
      <c r="O461" s="24" t="s">
        <v>40</v>
      </c>
      <c r="P461" s="23">
        <v>1</v>
      </c>
      <c r="Q461" s="24" t="s">
        <v>42</v>
      </c>
      <c r="R461" s="27">
        <v>2.35</v>
      </c>
      <c r="S461" s="24" t="s">
        <v>43</v>
      </c>
      <c r="T461" s="42">
        <v>203.72</v>
      </c>
      <c r="U461" s="24" t="s">
        <v>44</v>
      </c>
      <c r="V461" s="23">
        <v>6779224500</v>
      </c>
      <c r="W461" s="24" t="s">
        <v>40</v>
      </c>
      <c r="X461" s="24" t="s">
        <v>38</v>
      </c>
      <c r="Y461" s="23">
        <v>1</v>
      </c>
      <c r="Z461" s="43" cm="1">
        <f t="array" ref="Z461:AA461">_xlfn.XLOOKUP(L461,'Customer Ledger'!$O:$O,'Customer Ledger'!$P:$Q,,0)</f>
        <v>0</v>
      </c>
      <c r="AA461" s="43">
        <v>201</v>
      </c>
      <c r="AB461" s="43">
        <f t="shared" si="78"/>
        <v>201</v>
      </c>
      <c r="AC461" s="43">
        <f t="shared" si="79"/>
        <v>2.7199999999999989</v>
      </c>
      <c r="AD461" s="51">
        <f t="shared" si="80"/>
        <v>1.3351659139996067E-2</v>
      </c>
      <c r="AE461" s="24" t="s">
        <v>332</v>
      </c>
      <c r="AF461" s="24" t="s">
        <v>40</v>
      </c>
      <c r="AG461" s="24" t="s">
        <v>40</v>
      </c>
      <c r="AH461" s="24" t="s">
        <v>40</v>
      </c>
      <c r="AI461" s="25">
        <v>45720</v>
      </c>
      <c r="AJ461" s="25"/>
      <c r="AK461" s="24" t="s">
        <v>40</v>
      </c>
    </row>
    <row r="462" spans="1:37" x14ac:dyDescent="0.35">
      <c r="A462" s="3" t="s">
        <v>32</v>
      </c>
      <c r="B462" s="3" t="s">
        <v>33</v>
      </c>
      <c r="C462" s="3" t="s">
        <v>34</v>
      </c>
      <c r="D462" s="3" t="s">
        <v>35</v>
      </c>
      <c r="E462" s="3" t="s">
        <v>114</v>
      </c>
      <c r="F462" s="4">
        <v>45719</v>
      </c>
      <c r="G462" s="23">
        <v>1800000824</v>
      </c>
      <c r="H462" s="24" t="s">
        <v>47</v>
      </c>
      <c r="I462" s="25">
        <v>45720</v>
      </c>
      <c r="J462" s="25">
        <v>45721</v>
      </c>
      <c r="K462" s="24" t="s">
        <v>38</v>
      </c>
      <c r="L462" s="26">
        <v>246779410764</v>
      </c>
      <c r="M462" s="23">
        <v>212100</v>
      </c>
      <c r="N462" s="24" t="s">
        <v>39</v>
      </c>
      <c r="O462" s="24" t="s">
        <v>40</v>
      </c>
      <c r="P462" s="23">
        <v>1</v>
      </c>
      <c r="Q462" s="24" t="s">
        <v>42</v>
      </c>
      <c r="R462" s="27">
        <v>2.35</v>
      </c>
      <c r="S462" s="24" t="s">
        <v>43</v>
      </c>
      <c r="T462" s="42">
        <v>203.72</v>
      </c>
      <c r="U462" s="24" t="s">
        <v>44</v>
      </c>
      <c r="V462" s="23">
        <v>6779224500</v>
      </c>
      <c r="W462" s="24" t="s">
        <v>40</v>
      </c>
      <c r="X462" s="24" t="s">
        <v>38</v>
      </c>
      <c r="Y462" s="23">
        <v>1</v>
      </c>
      <c r="Z462" s="43" cm="1">
        <f t="array" ref="Z462:AA462">_xlfn.XLOOKUP(L462,'Customer Ledger'!$O:$O,'Customer Ledger'!$P:$Q,,0)</f>
        <v>0</v>
      </c>
      <c r="AA462" s="43">
        <v>201</v>
      </c>
      <c r="AB462" s="43">
        <f t="shared" si="78"/>
        <v>201</v>
      </c>
      <c r="AC462" s="43">
        <f t="shared" si="79"/>
        <v>2.7199999999999989</v>
      </c>
      <c r="AD462" s="51">
        <f t="shared" si="80"/>
        <v>1.3351659139996067E-2</v>
      </c>
      <c r="AE462" s="24" t="s">
        <v>332</v>
      </c>
      <c r="AF462" s="24" t="s">
        <v>40</v>
      </c>
      <c r="AG462" s="24" t="s">
        <v>40</v>
      </c>
      <c r="AH462" s="24" t="s">
        <v>40</v>
      </c>
      <c r="AI462" s="25">
        <v>45720</v>
      </c>
      <c r="AJ462" s="25"/>
      <c r="AK462" s="24" t="s">
        <v>40</v>
      </c>
    </row>
    <row r="463" spans="1:37" x14ac:dyDescent="0.35">
      <c r="A463" s="3" t="s">
        <v>32</v>
      </c>
      <c r="B463" s="3" t="s">
        <v>33</v>
      </c>
      <c r="C463" s="3" t="s">
        <v>34</v>
      </c>
      <c r="D463" s="3" t="s">
        <v>35</v>
      </c>
      <c r="E463" s="3" t="s">
        <v>114</v>
      </c>
      <c r="F463" s="4">
        <v>45719</v>
      </c>
      <c r="G463" s="23">
        <v>1800000825</v>
      </c>
      <c r="H463" s="24" t="s">
        <v>47</v>
      </c>
      <c r="I463" s="25">
        <v>45720</v>
      </c>
      <c r="J463" s="25">
        <v>45721</v>
      </c>
      <c r="K463" s="24" t="s">
        <v>38</v>
      </c>
      <c r="L463" s="26">
        <v>246779410765</v>
      </c>
      <c r="M463" s="23">
        <v>212100</v>
      </c>
      <c r="N463" s="24" t="s">
        <v>39</v>
      </c>
      <c r="O463" s="24" t="s">
        <v>40</v>
      </c>
      <c r="P463" s="23">
        <v>1</v>
      </c>
      <c r="Q463" s="24" t="s">
        <v>42</v>
      </c>
      <c r="R463" s="27">
        <v>2.35</v>
      </c>
      <c r="S463" s="24" t="s">
        <v>43</v>
      </c>
      <c r="T463" s="42">
        <v>203.72</v>
      </c>
      <c r="U463" s="24" t="s">
        <v>44</v>
      </c>
      <c r="V463" s="23">
        <v>6779224500</v>
      </c>
      <c r="W463" s="24" t="s">
        <v>40</v>
      </c>
      <c r="X463" s="24" t="s">
        <v>38</v>
      </c>
      <c r="Y463" s="23">
        <v>1</v>
      </c>
      <c r="Z463" s="43" cm="1">
        <f t="array" ref="Z463:AA463">_xlfn.XLOOKUP(L463,'Customer Ledger'!$O:$O,'Customer Ledger'!$P:$Q,,0)</f>
        <v>0</v>
      </c>
      <c r="AA463" s="43">
        <v>201</v>
      </c>
      <c r="AB463" s="43">
        <f t="shared" si="78"/>
        <v>201</v>
      </c>
      <c r="AC463" s="43">
        <f t="shared" si="79"/>
        <v>2.7199999999999989</v>
      </c>
      <c r="AD463" s="51">
        <f t="shared" si="80"/>
        <v>1.3351659139996067E-2</v>
      </c>
      <c r="AE463" s="24" t="s">
        <v>332</v>
      </c>
      <c r="AF463" s="24" t="s">
        <v>40</v>
      </c>
      <c r="AG463" s="24" t="s">
        <v>40</v>
      </c>
      <c r="AH463" s="24" t="s">
        <v>40</v>
      </c>
      <c r="AI463" s="25">
        <v>45720</v>
      </c>
      <c r="AJ463" s="25"/>
      <c r="AK463" s="24" t="s">
        <v>40</v>
      </c>
    </row>
    <row r="464" spans="1:37" x14ac:dyDescent="0.35">
      <c r="A464" s="3" t="s">
        <v>32</v>
      </c>
      <c r="B464" s="3" t="s">
        <v>33</v>
      </c>
      <c r="C464" s="3" t="s">
        <v>34</v>
      </c>
      <c r="D464" s="3" t="s">
        <v>35</v>
      </c>
      <c r="E464" s="3" t="s">
        <v>114</v>
      </c>
      <c r="F464" s="4">
        <v>45719</v>
      </c>
      <c r="G464" s="23">
        <v>1800000907</v>
      </c>
      <c r="H464" s="24" t="s">
        <v>47</v>
      </c>
      <c r="I464" s="25">
        <v>45720</v>
      </c>
      <c r="J464" s="25">
        <v>45721</v>
      </c>
      <c r="K464" s="24" t="s">
        <v>38</v>
      </c>
      <c r="L464" s="26">
        <v>246779410848</v>
      </c>
      <c r="M464" s="23">
        <v>212100</v>
      </c>
      <c r="N464" s="24" t="s">
        <v>39</v>
      </c>
      <c r="O464" s="24" t="s">
        <v>40</v>
      </c>
      <c r="P464" s="23">
        <v>1</v>
      </c>
      <c r="Q464" s="24" t="s">
        <v>42</v>
      </c>
      <c r="R464" s="27">
        <v>2.35</v>
      </c>
      <c r="S464" s="24" t="s">
        <v>43</v>
      </c>
      <c r="T464" s="42">
        <v>203.72</v>
      </c>
      <c r="U464" s="24" t="s">
        <v>44</v>
      </c>
      <c r="V464" s="23">
        <v>6779224500</v>
      </c>
      <c r="W464" s="24" t="s">
        <v>40</v>
      </c>
      <c r="X464" s="24" t="s">
        <v>38</v>
      </c>
      <c r="Y464" s="23">
        <v>1</v>
      </c>
      <c r="Z464" s="43" cm="1">
        <f t="array" ref="Z464:AA464">_xlfn.XLOOKUP(L464,'Customer Ledger'!$O:$O,'Customer Ledger'!$P:$Q,,0)</f>
        <v>0</v>
      </c>
      <c r="AA464" s="43">
        <v>200</v>
      </c>
      <c r="AB464" s="43">
        <f t="shared" si="78"/>
        <v>200</v>
      </c>
      <c r="AC464" s="43">
        <f t="shared" si="79"/>
        <v>3.7199999999999989</v>
      </c>
      <c r="AD464" s="51">
        <f t="shared" si="80"/>
        <v>1.8260357353229919E-2</v>
      </c>
      <c r="AE464" s="24" t="s">
        <v>338</v>
      </c>
      <c r="AF464" s="24" t="s">
        <v>40</v>
      </c>
      <c r="AG464" s="24" t="s">
        <v>40</v>
      </c>
      <c r="AH464" s="24" t="s">
        <v>40</v>
      </c>
      <c r="AI464" s="25">
        <v>45720</v>
      </c>
      <c r="AJ464" s="25"/>
      <c r="AK464" s="24" t="s">
        <v>40</v>
      </c>
    </row>
    <row r="465" spans="1:37" x14ac:dyDescent="0.35">
      <c r="A465" s="3" t="s">
        <v>32</v>
      </c>
      <c r="B465" s="3" t="s">
        <v>33</v>
      </c>
      <c r="C465" s="3" t="s">
        <v>34</v>
      </c>
      <c r="D465" s="3" t="s">
        <v>35</v>
      </c>
      <c r="E465" s="3" t="s">
        <v>114</v>
      </c>
      <c r="F465" s="4">
        <v>45719</v>
      </c>
      <c r="G465" s="23">
        <v>1800000912</v>
      </c>
      <c r="H465" s="24" t="s">
        <v>47</v>
      </c>
      <c r="I465" s="25">
        <v>45720</v>
      </c>
      <c r="J465" s="25">
        <v>45721</v>
      </c>
      <c r="K465" s="24" t="s">
        <v>38</v>
      </c>
      <c r="L465" s="26">
        <v>246779410853</v>
      </c>
      <c r="M465" s="23">
        <v>212100</v>
      </c>
      <c r="N465" s="24" t="s">
        <v>39</v>
      </c>
      <c r="O465" s="24" t="s">
        <v>40</v>
      </c>
      <c r="P465" s="23">
        <v>1</v>
      </c>
      <c r="Q465" s="24" t="s">
        <v>42</v>
      </c>
      <c r="R465" s="27">
        <v>2.35</v>
      </c>
      <c r="S465" s="24" t="s">
        <v>43</v>
      </c>
      <c r="T465" s="42">
        <v>203.72</v>
      </c>
      <c r="U465" s="24" t="s">
        <v>44</v>
      </c>
      <c r="V465" s="23">
        <v>6779224500</v>
      </c>
      <c r="W465" s="24" t="s">
        <v>40</v>
      </c>
      <c r="X465" s="24" t="s">
        <v>38</v>
      </c>
      <c r="Y465" s="23">
        <v>1</v>
      </c>
      <c r="Z465" s="43" cm="1">
        <f t="array" ref="Z465:AA465">_xlfn.XLOOKUP(L465,'Customer Ledger'!$O:$O,'Customer Ledger'!$P:$Q,,0)</f>
        <v>0</v>
      </c>
      <c r="AA465" s="43">
        <v>190</v>
      </c>
      <c r="AB465" s="43">
        <f t="shared" si="78"/>
        <v>190</v>
      </c>
      <c r="AC465" s="43">
        <f t="shared" si="79"/>
        <v>13.719999999999999</v>
      </c>
      <c r="AD465" s="51">
        <f t="shared" si="80"/>
        <v>6.7347339485568425E-2</v>
      </c>
      <c r="AE465" s="24" t="s">
        <v>338</v>
      </c>
      <c r="AF465" s="24" t="s">
        <v>40</v>
      </c>
      <c r="AG465" s="24" t="s">
        <v>40</v>
      </c>
      <c r="AH465" s="24" t="s">
        <v>40</v>
      </c>
      <c r="AI465" s="25">
        <v>45720</v>
      </c>
      <c r="AJ465" s="25"/>
      <c r="AK465" s="24" t="s">
        <v>40</v>
      </c>
    </row>
    <row r="466" spans="1:37" x14ac:dyDescent="0.35">
      <c r="A466" s="3" t="s">
        <v>32</v>
      </c>
      <c r="B466" s="3" t="s">
        <v>33</v>
      </c>
      <c r="C466" s="3" t="s">
        <v>34</v>
      </c>
      <c r="D466" s="3" t="s">
        <v>35</v>
      </c>
      <c r="E466" s="3" t="s">
        <v>114</v>
      </c>
      <c r="F466" s="4">
        <v>45719</v>
      </c>
      <c r="G466" s="23">
        <v>1800000554</v>
      </c>
      <c r="H466" s="24" t="s">
        <v>47</v>
      </c>
      <c r="I466" s="25">
        <v>45719</v>
      </c>
      <c r="J466" s="25">
        <v>45719</v>
      </c>
      <c r="K466" s="24" t="s">
        <v>38</v>
      </c>
      <c r="L466" s="26">
        <v>246779410504</v>
      </c>
      <c r="M466" s="23">
        <v>212100</v>
      </c>
      <c r="N466" s="24" t="s">
        <v>39</v>
      </c>
      <c r="O466" s="24" t="s">
        <v>40</v>
      </c>
      <c r="P466" s="23">
        <v>1</v>
      </c>
      <c r="Q466" s="24" t="s">
        <v>42</v>
      </c>
      <c r="R466" s="27">
        <v>2.35</v>
      </c>
      <c r="S466" s="24" t="s">
        <v>43</v>
      </c>
      <c r="T466" s="42">
        <v>203.72</v>
      </c>
      <c r="U466" s="24" t="s">
        <v>44</v>
      </c>
      <c r="V466" s="23">
        <v>6779224500</v>
      </c>
      <c r="W466" s="24" t="s">
        <v>40</v>
      </c>
      <c r="X466" s="24" t="s">
        <v>38</v>
      </c>
      <c r="Y466" s="23">
        <v>1</v>
      </c>
      <c r="Z466" s="43" cm="1">
        <f t="array" ref="Z466:AA466">_xlfn.XLOOKUP(L466,'Customer Ledger'!$O:$O,'Customer Ledger'!$P:$Q,,0)</f>
        <v>0</v>
      </c>
      <c r="AA466" s="43">
        <v>201</v>
      </c>
      <c r="AB466" s="43">
        <f t="shared" si="78"/>
        <v>201</v>
      </c>
      <c r="AC466" s="43">
        <f t="shared" si="79"/>
        <v>2.7199999999999989</v>
      </c>
      <c r="AD466" s="51">
        <f t="shared" si="80"/>
        <v>1.3351659139996067E-2</v>
      </c>
      <c r="AE466" s="24" t="s">
        <v>351</v>
      </c>
      <c r="AF466" s="24" t="s">
        <v>40</v>
      </c>
      <c r="AG466" s="24" t="s">
        <v>40</v>
      </c>
      <c r="AH466" s="24" t="s">
        <v>40</v>
      </c>
      <c r="AI466" s="25">
        <v>45719</v>
      </c>
      <c r="AJ466" s="25"/>
      <c r="AK466" s="24" t="s">
        <v>40</v>
      </c>
    </row>
    <row r="467" spans="1:37" x14ac:dyDescent="0.35">
      <c r="A467" s="3" t="s">
        <v>32</v>
      </c>
      <c r="B467" s="3" t="s">
        <v>33</v>
      </c>
      <c r="C467" s="3" t="s">
        <v>34</v>
      </c>
      <c r="D467" s="3" t="s">
        <v>35</v>
      </c>
      <c r="E467" s="3" t="s">
        <v>114</v>
      </c>
      <c r="F467" s="4">
        <v>45719</v>
      </c>
      <c r="G467" s="23">
        <v>1800000544</v>
      </c>
      <c r="H467" s="24" t="s">
        <v>47</v>
      </c>
      <c r="I467" s="25">
        <v>45719</v>
      </c>
      <c r="J467" s="25">
        <v>45719</v>
      </c>
      <c r="K467" s="24" t="s">
        <v>38</v>
      </c>
      <c r="L467" s="26">
        <v>246779410494</v>
      </c>
      <c r="M467" s="23">
        <v>212100</v>
      </c>
      <c r="N467" s="24" t="s">
        <v>39</v>
      </c>
      <c r="O467" s="24" t="s">
        <v>40</v>
      </c>
      <c r="P467" s="23">
        <v>1</v>
      </c>
      <c r="Q467" s="24" t="s">
        <v>42</v>
      </c>
      <c r="R467" s="27">
        <v>2.35</v>
      </c>
      <c r="S467" s="24" t="s">
        <v>43</v>
      </c>
      <c r="T467" s="42">
        <v>203.72</v>
      </c>
      <c r="U467" s="24" t="s">
        <v>44</v>
      </c>
      <c r="V467" s="23">
        <v>6779224500</v>
      </c>
      <c r="W467" s="24" t="s">
        <v>40</v>
      </c>
      <c r="X467" s="24" t="s">
        <v>38</v>
      </c>
      <c r="Y467" s="23">
        <v>1</v>
      </c>
      <c r="Z467" s="43" cm="1">
        <f t="array" ref="Z467:AA467">_xlfn.XLOOKUP(L467,'Customer Ledger'!$O:$O,'Customer Ledger'!$P:$Q,,0)</f>
        <v>0</v>
      </c>
      <c r="AA467" s="43">
        <v>201</v>
      </c>
      <c r="AB467" s="43">
        <f t="shared" si="78"/>
        <v>201</v>
      </c>
      <c r="AC467" s="43">
        <f t="shared" si="79"/>
        <v>2.7199999999999989</v>
      </c>
      <c r="AD467" s="51">
        <f t="shared" si="80"/>
        <v>1.3351659139996067E-2</v>
      </c>
      <c r="AE467" s="24" t="s">
        <v>351</v>
      </c>
      <c r="AF467" s="24" t="s">
        <v>40</v>
      </c>
      <c r="AG467" s="24" t="s">
        <v>40</v>
      </c>
      <c r="AH467" s="24" t="s">
        <v>40</v>
      </c>
      <c r="AI467" s="25">
        <v>45719</v>
      </c>
      <c r="AJ467" s="25"/>
      <c r="AK467" s="24" t="s">
        <v>40</v>
      </c>
    </row>
    <row r="468" spans="1:37" x14ac:dyDescent="0.35">
      <c r="A468" s="3" t="s">
        <v>32</v>
      </c>
      <c r="B468" s="3" t="s">
        <v>33</v>
      </c>
      <c r="C468" s="3" t="s">
        <v>34</v>
      </c>
      <c r="D468" s="3" t="s">
        <v>35</v>
      </c>
      <c r="E468" s="3" t="s">
        <v>114</v>
      </c>
      <c r="F468" s="4">
        <v>45719</v>
      </c>
      <c r="G468" s="23">
        <v>1800000546</v>
      </c>
      <c r="H468" s="24" t="s">
        <v>47</v>
      </c>
      <c r="I468" s="25">
        <v>45719</v>
      </c>
      <c r="J468" s="25">
        <v>45719</v>
      </c>
      <c r="K468" s="24" t="s">
        <v>38</v>
      </c>
      <c r="L468" s="26">
        <v>246779410496</v>
      </c>
      <c r="M468" s="23">
        <v>212100</v>
      </c>
      <c r="N468" s="24" t="s">
        <v>39</v>
      </c>
      <c r="O468" s="24" t="s">
        <v>40</v>
      </c>
      <c r="P468" s="23">
        <v>1</v>
      </c>
      <c r="Q468" s="24" t="s">
        <v>42</v>
      </c>
      <c r="R468" s="27">
        <v>2.35</v>
      </c>
      <c r="S468" s="24" t="s">
        <v>43</v>
      </c>
      <c r="T468" s="42">
        <v>203.72</v>
      </c>
      <c r="U468" s="24" t="s">
        <v>44</v>
      </c>
      <c r="V468" s="23">
        <v>6779224500</v>
      </c>
      <c r="W468" s="24" t="s">
        <v>40</v>
      </c>
      <c r="X468" s="24" t="s">
        <v>38</v>
      </c>
      <c r="Y468" s="23">
        <v>1</v>
      </c>
      <c r="Z468" s="43" cm="1">
        <f t="array" ref="Z468:AA468">_xlfn.XLOOKUP(L468,'Customer Ledger'!$O:$O,'Customer Ledger'!$P:$Q,,0)</f>
        <v>0</v>
      </c>
      <c r="AA468" s="43">
        <v>201</v>
      </c>
      <c r="AB468" s="43">
        <f t="shared" si="78"/>
        <v>201</v>
      </c>
      <c r="AC468" s="43">
        <f t="shared" si="79"/>
        <v>2.7199999999999989</v>
      </c>
      <c r="AD468" s="51">
        <f t="shared" si="80"/>
        <v>1.3351659139996067E-2</v>
      </c>
      <c r="AE468" s="24" t="s">
        <v>351</v>
      </c>
      <c r="AF468" s="24" t="s">
        <v>40</v>
      </c>
      <c r="AG468" s="24" t="s">
        <v>40</v>
      </c>
      <c r="AH468" s="24" t="s">
        <v>40</v>
      </c>
      <c r="AI468" s="25">
        <v>45719</v>
      </c>
      <c r="AJ468" s="25"/>
      <c r="AK468" s="24" t="s">
        <v>40</v>
      </c>
    </row>
    <row r="469" spans="1:37" x14ac:dyDescent="0.35">
      <c r="A469" s="3" t="s">
        <v>32</v>
      </c>
      <c r="B469" s="3" t="s">
        <v>33</v>
      </c>
      <c r="C469" s="3" t="s">
        <v>34</v>
      </c>
      <c r="D469" s="3" t="s">
        <v>35</v>
      </c>
      <c r="E469" s="3" t="s">
        <v>114</v>
      </c>
      <c r="F469" s="4">
        <v>45719</v>
      </c>
      <c r="G469" s="23">
        <v>1800000547</v>
      </c>
      <c r="H469" s="24" t="s">
        <v>47</v>
      </c>
      <c r="I469" s="25">
        <v>45719</v>
      </c>
      <c r="J469" s="25">
        <v>45719</v>
      </c>
      <c r="K469" s="24" t="s">
        <v>38</v>
      </c>
      <c r="L469" s="26">
        <v>246779410497</v>
      </c>
      <c r="M469" s="23">
        <v>212100</v>
      </c>
      <c r="N469" s="24" t="s">
        <v>39</v>
      </c>
      <c r="O469" s="24" t="s">
        <v>40</v>
      </c>
      <c r="P469" s="23">
        <v>1</v>
      </c>
      <c r="Q469" s="24" t="s">
        <v>42</v>
      </c>
      <c r="R469" s="27">
        <v>2.35</v>
      </c>
      <c r="S469" s="24" t="s">
        <v>43</v>
      </c>
      <c r="T469" s="42">
        <v>203.72</v>
      </c>
      <c r="U469" s="24" t="s">
        <v>44</v>
      </c>
      <c r="V469" s="23">
        <v>6779224500</v>
      </c>
      <c r="W469" s="24" t="s">
        <v>40</v>
      </c>
      <c r="X469" s="24" t="s">
        <v>38</v>
      </c>
      <c r="Y469" s="23">
        <v>1</v>
      </c>
      <c r="Z469" s="43" cm="1">
        <f t="array" ref="Z469:AA469">_xlfn.XLOOKUP(L469,'Customer Ledger'!$O:$O,'Customer Ledger'!$P:$Q,,0)</f>
        <v>0</v>
      </c>
      <c r="AA469" s="43">
        <v>201</v>
      </c>
      <c r="AB469" s="43">
        <f t="shared" si="78"/>
        <v>201</v>
      </c>
      <c r="AC469" s="43">
        <f t="shared" si="79"/>
        <v>2.7199999999999989</v>
      </c>
      <c r="AD469" s="51">
        <f t="shared" si="80"/>
        <v>1.3351659139996067E-2</v>
      </c>
      <c r="AE469" s="24" t="s">
        <v>351</v>
      </c>
      <c r="AF469" s="24" t="s">
        <v>40</v>
      </c>
      <c r="AG469" s="24" t="s">
        <v>40</v>
      </c>
      <c r="AH469" s="24" t="s">
        <v>40</v>
      </c>
      <c r="AI469" s="25">
        <v>45719</v>
      </c>
      <c r="AJ469" s="25"/>
      <c r="AK469" s="24" t="s">
        <v>40</v>
      </c>
    </row>
    <row r="470" spans="1:37" x14ac:dyDescent="0.35">
      <c r="A470" s="3" t="s">
        <v>32</v>
      </c>
      <c r="B470" s="3" t="s">
        <v>33</v>
      </c>
      <c r="C470" s="3" t="s">
        <v>34</v>
      </c>
      <c r="D470" s="3" t="s">
        <v>35</v>
      </c>
      <c r="E470" s="3" t="s">
        <v>114</v>
      </c>
      <c r="F470" s="4">
        <v>45719</v>
      </c>
      <c r="G470" s="23">
        <v>1800000548</v>
      </c>
      <c r="H470" s="24" t="s">
        <v>47</v>
      </c>
      <c r="I470" s="25">
        <v>45719</v>
      </c>
      <c r="J470" s="25">
        <v>45719</v>
      </c>
      <c r="K470" s="24" t="s">
        <v>38</v>
      </c>
      <c r="L470" s="26">
        <v>246779410498</v>
      </c>
      <c r="M470" s="23">
        <v>212100</v>
      </c>
      <c r="N470" s="24" t="s">
        <v>39</v>
      </c>
      <c r="O470" s="24" t="s">
        <v>40</v>
      </c>
      <c r="P470" s="23">
        <v>1</v>
      </c>
      <c r="Q470" s="24" t="s">
        <v>42</v>
      </c>
      <c r="R470" s="27">
        <v>2.35</v>
      </c>
      <c r="S470" s="24" t="s">
        <v>43</v>
      </c>
      <c r="T470" s="42">
        <v>203.72</v>
      </c>
      <c r="U470" s="24" t="s">
        <v>44</v>
      </c>
      <c r="V470" s="23">
        <v>6779224500</v>
      </c>
      <c r="W470" s="24" t="s">
        <v>40</v>
      </c>
      <c r="X470" s="24" t="s">
        <v>38</v>
      </c>
      <c r="Y470" s="23">
        <v>1</v>
      </c>
      <c r="Z470" s="43" cm="1">
        <f t="array" ref="Z470:AA470">_xlfn.XLOOKUP(L470,'Customer Ledger'!$O:$O,'Customer Ledger'!$P:$Q,,0)</f>
        <v>0</v>
      </c>
      <c r="AA470" s="43">
        <v>200</v>
      </c>
      <c r="AB470" s="43">
        <f t="shared" si="78"/>
        <v>200</v>
      </c>
      <c r="AC470" s="43">
        <f t="shared" si="79"/>
        <v>3.7199999999999989</v>
      </c>
      <c r="AD470" s="51">
        <f t="shared" si="80"/>
        <v>1.8260357353229919E-2</v>
      </c>
      <c r="AE470" s="24" t="s">
        <v>351</v>
      </c>
      <c r="AF470" s="24" t="s">
        <v>40</v>
      </c>
      <c r="AG470" s="24" t="s">
        <v>40</v>
      </c>
      <c r="AH470" s="24" t="s">
        <v>40</v>
      </c>
      <c r="AI470" s="25">
        <v>45719</v>
      </c>
      <c r="AJ470" s="25"/>
      <c r="AK470" s="24" t="s">
        <v>40</v>
      </c>
    </row>
    <row r="471" spans="1:37" x14ac:dyDescent="0.35">
      <c r="A471" s="3" t="s">
        <v>32</v>
      </c>
      <c r="B471" s="3" t="s">
        <v>33</v>
      </c>
      <c r="C471" s="3" t="s">
        <v>34</v>
      </c>
      <c r="D471" s="3" t="s">
        <v>35</v>
      </c>
      <c r="E471" s="3" t="s">
        <v>114</v>
      </c>
      <c r="F471" s="4">
        <v>45719</v>
      </c>
      <c r="G471" s="23">
        <v>1800000550</v>
      </c>
      <c r="H471" s="24" t="s">
        <v>47</v>
      </c>
      <c r="I471" s="25">
        <v>45719</v>
      </c>
      <c r="J471" s="25">
        <v>45719</v>
      </c>
      <c r="K471" s="24" t="s">
        <v>38</v>
      </c>
      <c r="L471" s="26">
        <v>246779410500</v>
      </c>
      <c r="M471" s="23">
        <v>212100</v>
      </c>
      <c r="N471" s="24" t="s">
        <v>39</v>
      </c>
      <c r="O471" s="24" t="s">
        <v>40</v>
      </c>
      <c r="P471" s="23">
        <v>1</v>
      </c>
      <c r="Q471" s="24" t="s">
        <v>42</v>
      </c>
      <c r="R471" s="27">
        <v>2.35</v>
      </c>
      <c r="S471" s="24" t="s">
        <v>43</v>
      </c>
      <c r="T471" s="42">
        <v>203.72</v>
      </c>
      <c r="U471" s="24" t="s">
        <v>44</v>
      </c>
      <c r="V471" s="23">
        <v>6779224500</v>
      </c>
      <c r="W471" s="24" t="s">
        <v>40</v>
      </c>
      <c r="X471" s="24" t="s">
        <v>38</v>
      </c>
      <c r="Y471" s="23">
        <v>1</v>
      </c>
      <c r="Z471" s="43" cm="1">
        <f t="array" ref="Z471:AA471">_xlfn.XLOOKUP(L471,'Customer Ledger'!$O:$O,'Customer Ledger'!$P:$Q,,0)</f>
        <v>0</v>
      </c>
      <c r="AA471" s="43">
        <v>201</v>
      </c>
      <c r="AB471" s="43">
        <f t="shared" si="78"/>
        <v>201</v>
      </c>
      <c r="AC471" s="43">
        <f t="shared" si="79"/>
        <v>2.7199999999999989</v>
      </c>
      <c r="AD471" s="51">
        <f t="shared" si="80"/>
        <v>1.3351659139996067E-2</v>
      </c>
      <c r="AE471" s="24" t="s">
        <v>351</v>
      </c>
      <c r="AF471" s="24" t="s">
        <v>40</v>
      </c>
      <c r="AG471" s="24" t="s">
        <v>40</v>
      </c>
      <c r="AH471" s="24" t="s">
        <v>40</v>
      </c>
      <c r="AI471" s="25">
        <v>45719</v>
      </c>
      <c r="AJ471" s="25"/>
      <c r="AK471" s="24" t="s">
        <v>40</v>
      </c>
    </row>
    <row r="472" spans="1:37" x14ac:dyDescent="0.35">
      <c r="A472" s="3" t="s">
        <v>32</v>
      </c>
      <c r="B472" s="3" t="s">
        <v>33</v>
      </c>
      <c r="C472" s="3" t="s">
        <v>34</v>
      </c>
      <c r="D472" s="3" t="s">
        <v>35</v>
      </c>
      <c r="E472" s="3" t="s">
        <v>114</v>
      </c>
      <c r="F472" s="4">
        <v>45719</v>
      </c>
      <c r="G472" s="23">
        <v>1800000557</v>
      </c>
      <c r="H472" s="24" t="s">
        <v>47</v>
      </c>
      <c r="I472" s="25">
        <v>45719</v>
      </c>
      <c r="J472" s="25">
        <v>45719</v>
      </c>
      <c r="K472" s="24" t="s">
        <v>38</v>
      </c>
      <c r="L472" s="26">
        <v>246779410507</v>
      </c>
      <c r="M472" s="23">
        <v>212100</v>
      </c>
      <c r="N472" s="24" t="s">
        <v>39</v>
      </c>
      <c r="O472" s="24" t="s">
        <v>40</v>
      </c>
      <c r="P472" s="23">
        <v>1</v>
      </c>
      <c r="Q472" s="24" t="s">
        <v>42</v>
      </c>
      <c r="R472" s="27">
        <v>2.35</v>
      </c>
      <c r="S472" s="24" t="s">
        <v>43</v>
      </c>
      <c r="T472" s="42">
        <v>203.72</v>
      </c>
      <c r="U472" s="24" t="s">
        <v>44</v>
      </c>
      <c r="V472" s="23">
        <v>6779224500</v>
      </c>
      <c r="W472" s="24" t="s">
        <v>40</v>
      </c>
      <c r="X472" s="24" t="s">
        <v>38</v>
      </c>
      <c r="Y472" s="23">
        <v>1</v>
      </c>
      <c r="Z472" s="43" cm="1">
        <f t="array" ref="Z472:AA472">_xlfn.XLOOKUP(L472,'Customer Ledger'!$O:$O,'Customer Ledger'!$P:$Q,,0)</f>
        <v>0</v>
      </c>
      <c r="AA472" s="43">
        <v>402</v>
      </c>
      <c r="AB472" s="43">
        <f t="shared" si="78"/>
        <v>402</v>
      </c>
      <c r="AC472" s="43">
        <f t="shared" si="79"/>
        <v>-198.28</v>
      </c>
      <c r="AD472" s="51">
        <f t="shared" si="80"/>
        <v>-0.97329668172000783</v>
      </c>
      <c r="AE472" s="24" t="s">
        <v>351</v>
      </c>
      <c r="AF472" s="24" t="s">
        <v>40</v>
      </c>
      <c r="AG472" s="24" t="s">
        <v>40</v>
      </c>
      <c r="AH472" s="24" t="s">
        <v>40</v>
      </c>
      <c r="AI472" s="25">
        <v>45719</v>
      </c>
      <c r="AJ472" s="25"/>
      <c r="AK472" s="24" t="s">
        <v>40</v>
      </c>
    </row>
    <row r="473" spans="1:37" x14ac:dyDescent="0.35">
      <c r="A473" s="3" t="s">
        <v>32</v>
      </c>
      <c r="B473" s="3" t="s">
        <v>33</v>
      </c>
      <c r="C473" s="3" t="s">
        <v>34</v>
      </c>
      <c r="D473" s="3" t="s">
        <v>35</v>
      </c>
      <c r="E473" s="3" t="s">
        <v>114</v>
      </c>
      <c r="F473" s="4">
        <v>45719</v>
      </c>
      <c r="G473" s="23">
        <v>1800000558</v>
      </c>
      <c r="H473" s="24" t="s">
        <v>47</v>
      </c>
      <c r="I473" s="25">
        <v>45719</v>
      </c>
      <c r="J473" s="25">
        <v>45719</v>
      </c>
      <c r="K473" s="24" t="s">
        <v>38</v>
      </c>
      <c r="L473" s="26">
        <v>246779410508</v>
      </c>
      <c r="M473" s="23">
        <v>212100</v>
      </c>
      <c r="N473" s="24" t="s">
        <v>39</v>
      </c>
      <c r="O473" s="24" t="s">
        <v>40</v>
      </c>
      <c r="P473" s="23">
        <v>1</v>
      </c>
      <c r="Q473" s="24" t="s">
        <v>42</v>
      </c>
      <c r="R473" s="27">
        <v>2.35</v>
      </c>
      <c r="S473" s="24" t="s">
        <v>43</v>
      </c>
      <c r="T473" s="42">
        <v>203.72</v>
      </c>
      <c r="U473" s="24" t="s">
        <v>44</v>
      </c>
      <c r="V473" s="23">
        <v>6779224500</v>
      </c>
      <c r="W473" s="24" t="s">
        <v>40</v>
      </c>
      <c r="X473" s="24" t="s">
        <v>38</v>
      </c>
      <c r="Y473" s="23">
        <v>1</v>
      </c>
      <c r="Z473" s="43" cm="1">
        <f t="array" ref="Z473:AA473">_xlfn.XLOOKUP(L473,'Customer Ledger'!$O:$O,'Customer Ledger'!$P:$Q,,0)</f>
        <v>0</v>
      </c>
      <c r="AA473" s="43">
        <v>201</v>
      </c>
      <c r="AB473" s="43">
        <f t="shared" si="78"/>
        <v>201</v>
      </c>
      <c r="AC473" s="43">
        <f t="shared" si="79"/>
        <v>2.7199999999999989</v>
      </c>
      <c r="AD473" s="51">
        <f t="shared" si="80"/>
        <v>1.3351659139996067E-2</v>
      </c>
      <c r="AE473" s="24" t="s">
        <v>351</v>
      </c>
      <c r="AF473" s="24" t="s">
        <v>40</v>
      </c>
      <c r="AG473" s="24" t="s">
        <v>40</v>
      </c>
      <c r="AH473" s="24" t="s">
        <v>40</v>
      </c>
      <c r="AI473" s="25">
        <v>45719</v>
      </c>
      <c r="AJ473" s="25"/>
      <c r="AK473" s="24" t="s">
        <v>40</v>
      </c>
    </row>
    <row r="474" spans="1:37" x14ac:dyDescent="0.35">
      <c r="A474" s="3" t="s">
        <v>32</v>
      </c>
      <c r="B474" s="3" t="s">
        <v>33</v>
      </c>
      <c r="C474" s="3" t="s">
        <v>34</v>
      </c>
      <c r="D474" s="3" t="s">
        <v>35</v>
      </c>
      <c r="E474" s="3" t="s">
        <v>114</v>
      </c>
      <c r="F474" s="4">
        <v>45719</v>
      </c>
      <c r="G474" s="23">
        <v>1800000670</v>
      </c>
      <c r="H474" s="24" t="s">
        <v>47</v>
      </c>
      <c r="I474" s="25">
        <v>45719</v>
      </c>
      <c r="J474" s="25">
        <v>45720</v>
      </c>
      <c r="K474" s="24" t="s">
        <v>38</v>
      </c>
      <c r="L474" s="26">
        <v>246779410610</v>
      </c>
      <c r="M474" s="23">
        <v>212100</v>
      </c>
      <c r="N474" s="24" t="s">
        <v>39</v>
      </c>
      <c r="O474" s="24" t="s">
        <v>40</v>
      </c>
      <c r="P474" s="23">
        <v>1</v>
      </c>
      <c r="Q474" s="24" t="s">
        <v>42</v>
      </c>
      <c r="R474" s="27">
        <v>2.35</v>
      </c>
      <c r="S474" s="24" t="s">
        <v>43</v>
      </c>
      <c r="T474" s="42">
        <v>203.72</v>
      </c>
      <c r="U474" s="24" t="s">
        <v>44</v>
      </c>
      <c r="V474" s="23">
        <v>6779224500</v>
      </c>
      <c r="W474" s="24" t="s">
        <v>40</v>
      </c>
      <c r="X474" s="24" t="s">
        <v>38</v>
      </c>
      <c r="Y474" s="23">
        <v>1</v>
      </c>
      <c r="Z474" s="43" cm="1">
        <f t="array" ref="Z474:AA474">_xlfn.XLOOKUP(L474,'Customer Ledger'!$O:$O,'Customer Ledger'!$P:$Q,,0)</f>
        <v>0</v>
      </c>
      <c r="AA474" s="43">
        <v>201</v>
      </c>
      <c r="AB474" s="43">
        <f t="shared" si="78"/>
        <v>201</v>
      </c>
      <c r="AC474" s="43">
        <f t="shared" si="79"/>
        <v>2.7199999999999989</v>
      </c>
      <c r="AD474" s="51">
        <f t="shared" si="80"/>
        <v>1.3351659139996067E-2</v>
      </c>
      <c r="AE474" s="24" t="s">
        <v>331</v>
      </c>
      <c r="AF474" s="24" t="s">
        <v>40</v>
      </c>
      <c r="AG474" s="24" t="s">
        <v>40</v>
      </c>
      <c r="AH474" s="24" t="s">
        <v>40</v>
      </c>
      <c r="AI474" s="25">
        <v>45719</v>
      </c>
      <c r="AJ474" s="25"/>
      <c r="AK474" s="24" t="s">
        <v>40</v>
      </c>
    </row>
    <row r="475" spans="1:37" x14ac:dyDescent="0.35">
      <c r="A475" s="3" t="s">
        <v>32</v>
      </c>
      <c r="B475" s="3" t="s">
        <v>33</v>
      </c>
      <c r="C475" s="3" t="s">
        <v>34</v>
      </c>
      <c r="D475" s="3" t="s">
        <v>35</v>
      </c>
      <c r="E475" s="3" t="s">
        <v>212</v>
      </c>
      <c r="F475" s="4">
        <v>45870</v>
      </c>
      <c r="G475" s="23">
        <v>1800011345</v>
      </c>
      <c r="H475" s="24" t="s">
        <v>47</v>
      </c>
      <c r="I475" s="25">
        <v>45870</v>
      </c>
      <c r="J475" s="25">
        <v>45873</v>
      </c>
      <c r="K475" s="24" t="s">
        <v>38</v>
      </c>
      <c r="L475" s="26">
        <v>256779416054</v>
      </c>
      <c r="M475" s="23">
        <v>212100</v>
      </c>
      <c r="N475" s="24" t="s">
        <v>39</v>
      </c>
      <c r="O475" s="24" t="s">
        <v>40</v>
      </c>
      <c r="P475" s="23">
        <v>1</v>
      </c>
      <c r="Q475" s="24" t="s">
        <v>42</v>
      </c>
      <c r="R475" s="27">
        <v>456.75</v>
      </c>
      <c r="S475" s="24" t="s">
        <v>43</v>
      </c>
      <c r="T475" s="42">
        <v>39294.26</v>
      </c>
      <c r="U475" s="24" t="s">
        <v>44</v>
      </c>
      <c r="V475" s="23">
        <v>6779224500</v>
      </c>
      <c r="W475" s="24" t="s">
        <v>40</v>
      </c>
      <c r="X475" s="24" t="s">
        <v>38</v>
      </c>
      <c r="Y475" s="23">
        <v>1</v>
      </c>
      <c r="Z475" s="43" cm="1">
        <f t="array" ref="Z475:AA475">_xlfn.XLOOKUP(L475,'Customer Ledger'!$O:$O,'Customer Ledger'!$P:$Q,,0)</f>
        <v>0</v>
      </c>
      <c r="AA475" s="43">
        <v>35336.871800000001</v>
      </c>
      <c r="AB475" s="43">
        <f t="shared" si="78"/>
        <v>35336.871800000001</v>
      </c>
      <c r="AC475" s="43">
        <f t="shared" si="79"/>
        <v>3957.3882000000012</v>
      </c>
      <c r="AD475" s="51">
        <f t="shared" si="80"/>
        <v>0.10071161029626213</v>
      </c>
      <c r="AE475" s="24" t="s">
        <v>354</v>
      </c>
      <c r="AF475" s="24" t="s">
        <v>40</v>
      </c>
      <c r="AG475" s="24" t="s">
        <v>40</v>
      </c>
      <c r="AH475" s="24" t="s">
        <v>40</v>
      </c>
      <c r="AI475" s="25">
        <v>45870</v>
      </c>
      <c r="AJ475" s="25"/>
      <c r="AK475" s="24" t="s">
        <v>40</v>
      </c>
    </row>
    <row r="476" spans="1:37" x14ac:dyDescent="0.35">
      <c r="A476" s="3"/>
      <c r="B476" s="3"/>
      <c r="C476" s="3"/>
      <c r="D476" s="3"/>
      <c r="E476" s="3"/>
      <c r="F476" s="4"/>
      <c r="G476" s="12"/>
      <c r="H476" s="3"/>
      <c r="I476" s="4"/>
      <c r="J476" s="4"/>
      <c r="K476" s="3"/>
      <c r="L476" s="14"/>
      <c r="M476" s="12"/>
      <c r="N476" s="3"/>
      <c r="O476" s="3"/>
      <c r="P476" s="12"/>
      <c r="Q476" s="3"/>
      <c r="R476" s="5"/>
      <c r="S476" s="3"/>
      <c r="T476" s="44"/>
      <c r="U476" s="3"/>
      <c r="V476" s="12"/>
      <c r="W476" s="3"/>
      <c r="X476" s="3"/>
      <c r="Y476" s="12"/>
      <c r="Z476" s="47"/>
      <c r="AA476" s="47"/>
      <c r="AB476" s="47"/>
      <c r="AC476" s="47"/>
      <c r="AD476" s="52"/>
      <c r="AE476" s="3"/>
      <c r="AF476" s="3"/>
      <c r="AG476" s="3"/>
      <c r="AH476" s="3"/>
      <c r="AI476" s="4"/>
      <c r="AJ476" s="4"/>
      <c r="AK476" s="3"/>
    </row>
    <row r="477" spans="1:37" s="21" customFormat="1" x14ac:dyDescent="0.35">
      <c r="A477" s="19" t="s">
        <v>40</v>
      </c>
      <c r="B477" s="19" t="s">
        <v>40</v>
      </c>
      <c r="C477" s="19" t="s">
        <v>40</v>
      </c>
      <c r="D477" s="19" t="s">
        <v>40</v>
      </c>
      <c r="E477" s="19" t="s">
        <v>40</v>
      </c>
      <c r="F477" s="20"/>
      <c r="G477" s="6" t="s">
        <v>40</v>
      </c>
      <c r="H477" s="6" t="s">
        <v>40</v>
      </c>
      <c r="I477" s="7"/>
      <c r="J477" s="7"/>
      <c r="K477" s="6" t="s">
        <v>40</v>
      </c>
      <c r="L477" s="15" t="s">
        <v>40</v>
      </c>
      <c r="M477" s="18">
        <v>212100</v>
      </c>
      <c r="N477" s="6" t="s">
        <v>40</v>
      </c>
      <c r="O477" s="6" t="s">
        <v>40</v>
      </c>
      <c r="P477" s="6" t="s">
        <v>40</v>
      </c>
      <c r="Q477" s="6" t="s">
        <v>43</v>
      </c>
      <c r="R477" s="8">
        <v>-8812707</v>
      </c>
      <c r="S477" s="6" t="s">
        <v>43</v>
      </c>
      <c r="T477" s="45">
        <v>4683369.57</v>
      </c>
      <c r="U477" s="6" t="s">
        <v>40</v>
      </c>
      <c r="V477" s="6" t="s">
        <v>40</v>
      </c>
      <c r="W477" s="6" t="s">
        <v>40</v>
      </c>
      <c r="X477" s="6" t="s">
        <v>40</v>
      </c>
      <c r="Y477" s="6" t="s">
        <v>40</v>
      </c>
      <c r="Z477" s="48"/>
      <c r="AA477" s="48"/>
      <c r="AB477" s="48"/>
      <c r="AC477" s="48"/>
      <c r="AD477" s="53"/>
      <c r="AE477" s="6" t="s">
        <v>40</v>
      </c>
      <c r="AF477" s="6" t="s">
        <v>40</v>
      </c>
      <c r="AG477" s="6" t="s">
        <v>40</v>
      </c>
      <c r="AH477" s="6" t="s">
        <v>40</v>
      </c>
      <c r="AI477" s="7"/>
      <c r="AJ477" s="7"/>
      <c r="AK477" s="6" t="s">
        <v>40</v>
      </c>
    </row>
    <row r="478" spans="1:37" x14ac:dyDescent="0.35">
      <c r="A478" s="6" t="s">
        <v>40</v>
      </c>
      <c r="B478" s="6" t="s">
        <v>40</v>
      </c>
      <c r="C478" s="6" t="s">
        <v>40</v>
      </c>
      <c r="D478" s="6" t="s">
        <v>40</v>
      </c>
      <c r="E478" s="6" t="s">
        <v>40</v>
      </c>
      <c r="F478" s="7"/>
      <c r="G478" s="6" t="s">
        <v>40</v>
      </c>
      <c r="H478" s="6" t="s">
        <v>40</v>
      </c>
      <c r="I478" s="7"/>
      <c r="J478" s="7"/>
      <c r="K478" s="6" t="s">
        <v>40</v>
      </c>
      <c r="L478" s="15" t="s">
        <v>40</v>
      </c>
      <c r="M478" s="6" t="s">
        <v>40</v>
      </c>
      <c r="N478" s="6" t="s">
        <v>40</v>
      </c>
      <c r="O478" s="6" t="s">
        <v>40</v>
      </c>
      <c r="P478" s="6" t="s">
        <v>40</v>
      </c>
      <c r="Q478" s="6" t="s">
        <v>42</v>
      </c>
      <c r="R478" s="8">
        <v>154544.14000000001</v>
      </c>
      <c r="S478" s="6" t="s">
        <v>40</v>
      </c>
      <c r="T478" s="45"/>
      <c r="U478" s="6" t="s">
        <v>40</v>
      </c>
      <c r="V478" s="6" t="s">
        <v>40</v>
      </c>
      <c r="W478" s="6" t="s">
        <v>40</v>
      </c>
      <c r="X478" s="6" t="s">
        <v>40</v>
      </c>
      <c r="Y478" s="6" t="s">
        <v>40</v>
      </c>
      <c r="Z478" s="48"/>
      <c r="AA478" s="48"/>
      <c r="AB478" s="48"/>
      <c r="AC478" s="48"/>
      <c r="AD478" s="53"/>
      <c r="AE478" s="6" t="s">
        <v>40</v>
      </c>
      <c r="AF478" s="6" t="s">
        <v>40</v>
      </c>
      <c r="AG478" s="6" t="s">
        <v>40</v>
      </c>
      <c r="AH478" s="6" t="s">
        <v>40</v>
      </c>
      <c r="AI478" s="7"/>
      <c r="AJ478" s="7"/>
      <c r="AK478" s="6" t="s">
        <v>40</v>
      </c>
    </row>
    <row r="479" spans="1:37" x14ac:dyDescent="0.35">
      <c r="A479" s="9" t="s">
        <v>40</v>
      </c>
      <c r="B479" s="9" t="s">
        <v>40</v>
      </c>
      <c r="C479" s="9" t="s">
        <v>40</v>
      </c>
      <c r="D479" s="9" t="s">
        <v>40</v>
      </c>
      <c r="E479" s="9" t="s">
        <v>40</v>
      </c>
      <c r="F479" s="10"/>
      <c r="G479" s="9" t="s">
        <v>40</v>
      </c>
      <c r="H479" s="9" t="s">
        <v>40</v>
      </c>
      <c r="I479" s="10"/>
      <c r="J479" s="10"/>
      <c r="K479" s="9" t="s">
        <v>40</v>
      </c>
      <c r="L479" s="16" t="s">
        <v>40</v>
      </c>
      <c r="M479" s="9" t="s">
        <v>40</v>
      </c>
      <c r="N479" s="9" t="s">
        <v>40</v>
      </c>
      <c r="O479" s="9" t="s">
        <v>40</v>
      </c>
      <c r="P479" s="9" t="s">
        <v>40</v>
      </c>
      <c r="Q479" s="9" t="s">
        <v>43</v>
      </c>
      <c r="R479" s="11">
        <v>-8812707</v>
      </c>
      <c r="S479" s="9" t="s">
        <v>43</v>
      </c>
      <c r="T479" s="46">
        <v>4683369.57</v>
      </c>
      <c r="U479" s="9" t="s">
        <v>40</v>
      </c>
      <c r="V479" s="9" t="s">
        <v>40</v>
      </c>
      <c r="W479" s="9" t="s">
        <v>40</v>
      </c>
      <c r="X479" s="9" t="s">
        <v>40</v>
      </c>
      <c r="Y479" s="9" t="s">
        <v>40</v>
      </c>
      <c r="Z479" s="49"/>
      <c r="AA479" s="49"/>
      <c r="AB479" s="49"/>
      <c r="AC479" s="49"/>
      <c r="AD479" s="54"/>
      <c r="AE479" s="9" t="s">
        <v>40</v>
      </c>
      <c r="AF479" s="9" t="s">
        <v>40</v>
      </c>
      <c r="AG479" s="9" t="s">
        <v>40</v>
      </c>
      <c r="AH479" s="9" t="s">
        <v>40</v>
      </c>
      <c r="AI479" s="10"/>
      <c r="AJ479" s="10"/>
      <c r="AK479" s="9" t="s">
        <v>40</v>
      </c>
    </row>
    <row r="480" spans="1:37" x14ac:dyDescent="0.35">
      <c r="A480" s="9" t="s">
        <v>40</v>
      </c>
      <c r="B480" s="9" t="s">
        <v>40</v>
      </c>
      <c r="C480" s="9" t="s">
        <v>40</v>
      </c>
      <c r="D480" s="9" t="s">
        <v>40</v>
      </c>
      <c r="E480" s="9" t="s">
        <v>40</v>
      </c>
      <c r="F480" s="10"/>
      <c r="G480" s="9" t="s">
        <v>40</v>
      </c>
      <c r="H480" s="9" t="s">
        <v>40</v>
      </c>
      <c r="I480" s="10"/>
      <c r="J480" s="10"/>
      <c r="K480" s="9" t="s">
        <v>40</v>
      </c>
      <c r="L480" s="16" t="s">
        <v>40</v>
      </c>
      <c r="M480" s="9" t="s">
        <v>40</v>
      </c>
      <c r="N480" s="9" t="s">
        <v>40</v>
      </c>
      <c r="O480" s="9" t="s">
        <v>40</v>
      </c>
      <c r="P480" s="9" t="s">
        <v>40</v>
      </c>
      <c r="Q480" s="9" t="s">
        <v>42</v>
      </c>
      <c r="R480" s="11">
        <v>154544.14000000001</v>
      </c>
      <c r="S480" s="9" t="s">
        <v>40</v>
      </c>
      <c r="T480" s="46"/>
      <c r="U480" s="9" t="s">
        <v>40</v>
      </c>
      <c r="V480" s="9" t="s">
        <v>40</v>
      </c>
      <c r="W480" s="9" t="s">
        <v>40</v>
      </c>
      <c r="X480" s="9" t="s">
        <v>40</v>
      </c>
      <c r="Y480" s="9" t="s">
        <v>40</v>
      </c>
      <c r="Z480" s="49"/>
      <c r="AA480" s="49"/>
      <c r="AB480" s="49"/>
      <c r="AC480" s="49"/>
      <c r="AD480" s="54"/>
      <c r="AE480" s="9" t="s">
        <v>40</v>
      </c>
      <c r="AF480" s="9" t="s">
        <v>40</v>
      </c>
      <c r="AG480" s="9" t="s">
        <v>40</v>
      </c>
      <c r="AH480" s="9" t="s">
        <v>40</v>
      </c>
      <c r="AI480" s="10"/>
      <c r="AJ480" s="10"/>
      <c r="AK480" s="9" t="s">
        <v>40</v>
      </c>
    </row>
  </sheetData>
  <autoFilter ref="G1:AK475" xr:uid="{78EACD59-D7FD-4882-8042-EADAFC8A31D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A18D-5E58-4B87-B390-CEB37C2C8230}">
  <dimension ref="A2:O345"/>
  <sheetViews>
    <sheetView workbookViewId="0"/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5" width="12.90625" bestFit="1" customWidth="1"/>
    <col min="6" max="6" width="8.453125" bestFit="1" customWidth="1"/>
    <col min="8" max="8" width="11.81640625" bestFit="1" customWidth="1"/>
    <col min="9" max="10" width="11.1796875" bestFit="1" customWidth="1"/>
    <col min="11" max="11" width="11.81640625" bestFit="1" customWidth="1"/>
    <col min="12" max="12" width="11.1796875" bestFit="1" customWidth="1"/>
    <col min="13" max="13" width="7.90625" bestFit="1" customWidth="1"/>
    <col min="14" max="14" width="44.7265625" bestFit="1" customWidth="1"/>
    <col min="15" max="15" width="16.7265625" bestFit="1" customWidth="1"/>
  </cols>
  <sheetData>
    <row r="2" spans="1:15" x14ac:dyDescent="0.3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</row>
    <row r="3" spans="1:15" x14ac:dyDescent="0.35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</row>
    <row r="4" spans="1:15" x14ac:dyDescent="0.35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</row>
    <row r="5" spans="1:15" x14ac:dyDescent="0.35">
      <c r="A5" s="58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</row>
    <row r="6" spans="1:15" x14ac:dyDescent="0.35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</row>
    <row r="7" spans="1:15" x14ac:dyDescent="0.35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</row>
    <row r="8" spans="1:15" x14ac:dyDescent="0.35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</row>
    <row r="9" spans="1:15" x14ac:dyDescent="0.3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</row>
    <row r="10" spans="1:15" x14ac:dyDescent="0.3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</row>
    <row r="11" spans="1:15" x14ac:dyDescent="0.3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</row>
    <row r="12" spans="1:15" x14ac:dyDescent="0.35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</row>
    <row r="13" spans="1:15" s="56" customFormat="1" x14ac:dyDescent="0.3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</row>
    <row r="14" spans="1:15" x14ac:dyDescent="0.3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</row>
    <row r="15" spans="1:15" x14ac:dyDescent="0.3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</row>
    <row r="16" spans="1:15" x14ac:dyDescent="0.3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</row>
    <row r="17" spans="1:15" x14ac:dyDescent="0.35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</row>
    <row r="18" spans="1:15" x14ac:dyDescent="0.35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</row>
    <row r="19" spans="1:15" x14ac:dyDescent="0.35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</row>
    <row r="20" spans="1:15" s="56" customFormat="1" x14ac:dyDescent="0.35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</row>
    <row r="21" spans="1:15" s="56" customFormat="1" x14ac:dyDescent="0.35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</row>
    <row r="22" spans="1:15" x14ac:dyDescent="0.35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</row>
    <row r="23" spans="1:15" x14ac:dyDescent="0.3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</row>
    <row r="24" spans="1:15" x14ac:dyDescent="0.35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</row>
    <row r="25" spans="1:15" x14ac:dyDescent="0.3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</row>
    <row r="26" spans="1:15" x14ac:dyDescent="0.35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</row>
    <row r="27" spans="1:15" x14ac:dyDescent="0.35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</row>
    <row r="28" spans="1:15" x14ac:dyDescent="0.3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</row>
    <row r="29" spans="1:15" x14ac:dyDescent="0.35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</row>
    <row r="30" spans="1:15" x14ac:dyDescent="0.35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</row>
    <row r="31" spans="1:15" x14ac:dyDescent="0.35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</row>
    <row r="32" spans="1:15" x14ac:dyDescent="0.3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</row>
    <row r="33" spans="1:15" x14ac:dyDescent="0.35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</row>
    <row r="34" spans="1:15" x14ac:dyDescent="0.35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</row>
    <row r="35" spans="1:15" x14ac:dyDescent="0.3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</row>
    <row r="36" spans="1:15" s="56" customFormat="1" x14ac:dyDescent="0.35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</row>
    <row r="37" spans="1:15" x14ac:dyDescent="0.35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</row>
    <row r="38" spans="1:15" x14ac:dyDescent="0.35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</row>
    <row r="39" spans="1:15" x14ac:dyDescent="0.3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</row>
    <row r="40" spans="1:15" x14ac:dyDescent="0.35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</row>
    <row r="41" spans="1:15" x14ac:dyDescent="0.35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</row>
    <row r="42" spans="1:15" x14ac:dyDescent="0.35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</row>
    <row r="43" spans="1:15" x14ac:dyDescent="0.35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</row>
    <row r="44" spans="1:15" x14ac:dyDescent="0.3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</row>
    <row r="45" spans="1:15" x14ac:dyDescent="0.3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</row>
    <row r="46" spans="1:15" x14ac:dyDescent="0.35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</row>
    <row r="47" spans="1:15" x14ac:dyDescent="0.35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</row>
    <row r="48" spans="1:15" s="56" customFormat="1" x14ac:dyDescent="0.35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</row>
    <row r="49" spans="1:15" x14ac:dyDescent="0.35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</row>
    <row r="50" spans="1:15" x14ac:dyDescent="0.35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</row>
    <row r="51" spans="1:15" x14ac:dyDescent="0.35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</row>
    <row r="52" spans="1:15" x14ac:dyDescent="0.35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</row>
    <row r="53" spans="1:15" x14ac:dyDescent="0.35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</row>
    <row r="54" spans="1:15" x14ac:dyDescent="0.35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</row>
    <row r="55" spans="1:15" x14ac:dyDescent="0.35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</row>
    <row r="56" spans="1:15" x14ac:dyDescent="0.35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</row>
    <row r="57" spans="1:15" x14ac:dyDescent="0.35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</row>
    <row r="58" spans="1:15" x14ac:dyDescent="0.35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</row>
    <row r="59" spans="1:15" x14ac:dyDescent="0.35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</row>
    <row r="60" spans="1:15" x14ac:dyDescent="0.35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</row>
    <row r="61" spans="1:15" x14ac:dyDescent="0.35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</row>
    <row r="62" spans="1:15" x14ac:dyDescent="0.35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</row>
    <row r="63" spans="1:15" s="56" customFormat="1" x14ac:dyDescent="0.35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</row>
    <row r="64" spans="1:15" x14ac:dyDescent="0.35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</row>
    <row r="65" spans="1:15" x14ac:dyDescent="0.3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</row>
    <row r="66" spans="1:15" x14ac:dyDescent="0.35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</row>
    <row r="67" spans="1:15" x14ac:dyDescent="0.35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</row>
    <row r="68" spans="1:15" x14ac:dyDescent="0.35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</row>
    <row r="69" spans="1:15" x14ac:dyDescent="0.35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</row>
    <row r="70" spans="1:15" x14ac:dyDescent="0.35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</row>
    <row r="71" spans="1:15" x14ac:dyDescent="0.35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</row>
    <row r="72" spans="1:15" x14ac:dyDescent="0.35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</row>
    <row r="73" spans="1:15" x14ac:dyDescent="0.3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</row>
    <row r="74" spans="1:15" x14ac:dyDescent="0.3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</row>
    <row r="75" spans="1:15" x14ac:dyDescent="0.3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</row>
    <row r="76" spans="1:15" x14ac:dyDescent="0.3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</row>
    <row r="77" spans="1:15" x14ac:dyDescent="0.3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</row>
    <row r="78" spans="1:15" x14ac:dyDescent="0.3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</row>
    <row r="79" spans="1:15" x14ac:dyDescent="0.3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</row>
    <row r="80" spans="1:15" x14ac:dyDescent="0.3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</row>
    <row r="81" spans="1:15" x14ac:dyDescent="0.3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</row>
    <row r="82" spans="1:15" x14ac:dyDescent="0.3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</row>
    <row r="83" spans="1:15" x14ac:dyDescent="0.3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</row>
    <row r="84" spans="1:15" x14ac:dyDescent="0.3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</row>
    <row r="85" spans="1:15" x14ac:dyDescent="0.3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</row>
    <row r="86" spans="1:15" x14ac:dyDescent="0.3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</row>
    <row r="87" spans="1:15" x14ac:dyDescent="0.3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</row>
    <row r="88" spans="1:15" x14ac:dyDescent="0.3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</row>
    <row r="89" spans="1:15" x14ac:dyDescent="0.35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</row>
    <row r="90" spans="1:15" x14ac:dyDescent="0.35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</row>
    <row r="91" spans="1:15" x14ac:dyDescent="0.35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</row>
    <row r="92" spans="1:15" x14ac:dyDescent="0.35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</row>
    <row r="93" spans="1:15" s="56" customFormat="1" x14ac:dyDescent="0.35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</row>
    <row r="94" spans="1:15" x14ac:dyDescent="0.35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</row>
    <row r="95" spans="1:15" x14ac:dyDescent="0.3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</row>
    <row r="96" spans="1:15" x14ac:dyDescent="0.35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</row>
    <row r="97" spans="1:15" x14ac:dyDescent="0.35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</row>
    <row r="98" spans="1:15" x14ac:dyDescent="0.35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</row>
    <row r="99" spans="1:15" x14ac:dyDescent="0.35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</row>
    <row r="100" spans="1:15" x14ac:dyDescent="0.35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</row>
    <row r="101" spans="1:15" x14ac:dyDescent="0.35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</row>
    <row r="102" spans="1:15" x14ac:dyDescent="0.35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</row>
    <row r="103" spans="1:15" x14ac:dyDescent="0.35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</row>
    <row r="104" spans="1:15" x14ac:dyDescent="0.35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</row>
    <row r="105" spans="1:15" x14ac:dyDescent="0.3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</row>
    <row r="106" spans="1:15" x14ac:dyDescent="0.35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</row>
    <row r="107" spans="1:15" x14ac:dyDescent="0.35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</row>
    <row r="108" spans="1:15" x14ac:dyDescent="0.35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</row>
    <row r="109" spans="1:15" x14ac:dyDescent="0.35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</row>
    <row r="110" spans="1:15" x14ac:dyDescent="0.35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</row>
    <row r="111" spans="1:15" x14ac:dyDescent="0.35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</row>
    <row r="112" spans="1:15" x14ac:dyDescent="0.35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</row>
    <row r="113" spans="1:15" x14ac:dyDescent="0.35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</row>
    <row r="114" spans="1:15" x14ac:dyDescent="0.35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</row>
    <row r="115" spans="1:15" x14ac:dyDescent="0.3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</row>
    <row r="116" spans="1:15" x14ac:dyDescent="0.35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</row>
    <row r="117" spans="1:15" x14ac:dyDescent="0.35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</row>
    <row r="118" spans="1:15" x14ac:dyDescent="0.35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</row>
    <row r="119" spans="1:15" x14ac:dyDescent="0.35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</row>
    <row r="120" spans="1:15" x14ac:dyDescent="0.35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</row>
    <row r="121" spans="1:15" x14ac:dyDescent="0.35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</row>
    <row r="122" spans="1:15" x14ac:dyDescent="0.35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</row>
    <row r="123" spans="1:15" x14ac:dyDescent="0.35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</row>
    <row r="124" spans="1:15" x14ac:dyDescent="0.35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</row>
    <row r="125" spans="1:15" x14ac:dyDescent="0.3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</row>
    <row r="126" spans="1:15" x14ac:dyDescent="0.35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</row>
    <row r="127" spans="1:15" x14ac:dyDescent="0.35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</row>
    <row r="128" spans="1:15" x14ac:dyDescent="0.35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</row>
    <row r="129" spans="1:15" x14ac:dyDescent="0.35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</row>
    <row r="130" spans="1:15" x14ac:dyDescent="0.35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</row>
    <row r="131" spans="1:15" x14ac:dyDescent="0.35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</row>
    <row r="132" spans="1:15" x14ac:dyDescent="0.35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</row>
    <row r="133" spans="1:15" x14ac:dyDescent="0.35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</row>
    <row r="134" spans="1:15" x14ac:dyDescent="0.35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</row>
    <row r="135" spans="1:15" x14ac:dyDescent="0.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</row>
    <row r="136" spans="1:15" x14ac:dyDescent="0.35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</row>
    <row r="137" spans="1:15" x14ac:dyDescent="0.35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</row>
    <row r="138" spans="1:15" x14ac:dyDescent="0.35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</row>
    <row r="139" spans="1:15" x14ac:dyDescent="0.35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</row>
    <row r="140" spans="1:15" x14ac:dyDescent="0.35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</row>
    <row r="141" spans="1:15" x14ac:dyDescent="0.35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</row>
    <row r="142" spans="1:15" x14ac:dyDescent="0.35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</row>
    <row r="143" spans="1:15" x14ac:dyDescent="0.35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</row>
    <row r="144" spans="1:15" x14ac:dyDescent="0.35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</row>
    <row r="145" spans="1:15" x14ac:dyDescent="0.3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</row>
    <row r="146" spans="1:15" x14ac:dyDescent="0.35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</row>
    <row r="147" spans="1:15" x14ac:dyDescent="0.35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</row>
    <row r="148" spans="1:15" x14ac:dyDescent="0.35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</row>
    <row r="149" spans="1:15" x14ac:dyDescent="0.35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</row>
    <row r="150" spans="1:15" x14ac:dyDescent="0.35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</row>
    <row r="151" spans="1:15" x14ac:dyDescent="0.35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</row>
    <row r="152" spans="1:15" x14ac:dyDescent="0.35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</row>
    <row r="153" spans="1:15" x14ac:dyDescent="0.35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</row>
    <row r="154" spans="1:15" x14ac:dyDescent="0.35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</row>
    <row r="155" spans="1:15" x14ac:dyDescent="0.3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</row>
    <row r="156" spans="1:15" x14ac:dyDescent="0.35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</row>
    <row r="157" spans="1:15" x14ac:dyDescent="0.35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</row>
    <row r="158" spans="1:15" x14ac:dyDescent="0.35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</row>
    <row r="159" spans="1:15" x14ac:dyDescent="0.35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</row>
    <row r="160" spans="1:15" x14ac:dyDescent="0.35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</row>
    <row r="161" spans="1:15" s="56" customFormat="1" x14ac:dyDescent="0.35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</row>
    <row r="162" spans="1:15" x14ac:dyDescent="0.35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</row>
    <row r="163" spans="1:15" s="56" customFormat="1" x14ac:dyDescent="0.35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</row>
    <row r="164" spans="1:15" x14ac:dyDescent="0.35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</row>
    <row r="165" spans="1:15" x14ac:dyDescent="0.3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</row>
    <row r="166" spans="1:15" x14ac:dyDescent="0.35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</row>
    <row r="167" spans="1:15" x14ac:dyDescent="0.35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</row>
    <row r="168" spans="1:15" x14ac:dyDescent="0.35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</row>
    <row r="169" spans="1:15" x14ac:dyDescent="0.35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</row>
    <row r="170" spans="1:15" x14ac:dyDescent="0.35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</row>
    <row r="171" spans="1:15" x14ac:dyDescent="0.35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</row>
    <row r="172" spans="1:15" x14ac:dyDescent="0.35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</row>
    <row r="173" spans="1:15" x14ac:dyDescent="0.35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</row>
    <row r="174" spans="1:15" x14ac:dyDescent="0.35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</row>
    <row r="175" spans="1:15" x14ac:dyDescent="0.3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</row>
    <row r="176" spans="1:15" x14ac:dyDescent="0.35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</row>
    <row r="177" spans="1:15" x14ac:dyDescent="0.35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</row>
    <row r="178" spans="1:15" x14ac:dyDescent="0.35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</row>
    <row r="179" spans="1:15" x14ac:dyDescent="0.35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</row>
    <row r="180" spans="1:15" x14ac:dyDescent="0.35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</row>
    <row r="181" spans="1:15" x14ac:dyDescent="0.35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</row>
    <row r="182" spans="1:15" x14ac:dyDescent="0.35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</row>
    <row r="183" spans="1:15" x14ac:dyDescent="0.35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</row>
    <row r="184" spans="1:15" x14ac:dyDescent="0.35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</row>
    <row r="185" spans="1:15" x14ac:dyDescent="0.3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</row>
    <row r="186" spans="1:15" x14ac:dyDescent="0.35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</row>
    <row r="187" spans="1:15" x14ac:dyDescent="0.35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</row>
    <row r="188" spans="1:15" x14ac:dyDescent="0.35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</row>
    <row r="189" spans="1:15" x14ac:dyDescent="0.35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</row>
    <row r="190" spans="1:15" x14ac:dyDescent="0.35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</row>
    <row r="191" spans="1:15" x14ac:dyDescent="0.35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</row>
    <row r="192" spans="1:15" x14ac:dyDescent="0.35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</row>
    <row r="193" spans="1:15" x14ac:dyDescent="0.35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</row>
    <row r="194" spans="1:15" x14ac:dyDescent="0.35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</row>
    <row r="195" spans="1:15" x14ac:dyDescent="0.3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</row>
    <row r="196" spans="1:15" x14ac:dyDescent="0.35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</row>
    <row r="197" spans="1:15" x14ac:dyDescent="0.35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</row>
    <row r="198" spans="1:15" x14ac:dyDescent="0.35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</row>
    <row r="199" spans="1:15" x14ac:dyDescent="0.35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</row>
    <row r="200" spans="1:15" x14ac:dyDescent="0.35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</row>
    <row r="201" spans="1:15" x14ac:dyDescent="0.35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</row>
    <row r="202" spans="1:15" x14ac:dyDescent="0.35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</row>
    <row r="203" spans="1:15" x14ac:dyDescent="0.35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</row>
    <row r="204" spans="1:15" x14ac:dyDescent="0.35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</row>
    <row r="205" spans="1:15" x14ac:dyDescent="0.3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</row>
    <row r="206" spans="1:15" x14ac:dyDescent="0.35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</row>
    <row r="207" spans="1:15" x14ac:dyDescent="0.35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</row>
    <row r="208" spans="1:15" x14ac:dyDescent="0.35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</row>
    <row r="209" spans="1:15" x14ac:dyDescent="0.35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</row>
    <row r="210" spans="1:15" x14ac:dyDescent="0.35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</row>
    <row r="211" spans="1:15" x14ac:dyDescent="0.35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</row>
    <row r="212" spans="1:15" x14ac:dyDescent="0.35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</row>
    <row r="213" spans="1:15" x14ac:dyDescent="0.35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</row>
    <row r="214" spans="1:15" x14ac:dyDescent="0.35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</row>
    <row r="215" spans="1:15" x14ac:dyDescent="0.3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</row>
    <row r="216" spans="1:15" x14ac:dyDescent="0.35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</row>
    <row r="217" spans="1:15" x14ac:dyDescent="0.35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</row>
    <row r="218" spans="1:15" x14ac:dyDescent="0.35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</row>
    <row r="219" spans="1:15" x14ac:dyDescent="0.35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</row>
    <row r="220" spans="1:15" x14ac:dyDescent="0.35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</row>
    <row r="221" spans="1:15" x14ac:dyDescent="0.35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</row>
    <row r="222" spans="1:15" x14ac:dyDescent="0.35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</row>
    <row r="223" spans="1:15" x14ac:dyDescent="0.35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</row>
    <row r="224" spans="1:15" x14ac:dyDescent="0.35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</row>
    <row r="225" spans="1:15" x14ac:dyDescent="0.3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</row>
    <row r="226" spans="1:15" x14ac:dyDescent="0.35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</row>
    <row r="227" spans="1:15" x14ac:dyDescent="0.35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</row>
    <row r="228" spans="1:15" x14ac:dyDescent="0.35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</row>
    <row r="229" spans="1:15" x14ac:dyDescent="0.35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</row>
    <row r="230" spans="1:15" x14ac:dyDescent="0.35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</row>
    <row r="231" spans="1:15" x14ac:dyDescent="0.35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</row>
    <row r="232" spans="1:15" x14ac:dyDescent="0.35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</row>
    <row r="233" spans="1:15" x14ac:dyDescent="0.35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</row>
    <row r="234" spans="1:15" x14ac:dyDescent="0.35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</row>
    <row r="235" spans="1:15" x14ac:dyDescent="0.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</row>
    <row r="236" spans="1:15" x14ac:dyDescent="0.35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</row>
    <row r="237" spans="1:15" x14ac:dyDescent="0.35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</row>
    <row r="238" spans="1:15" x14ac:dyDescent="0.35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</row>
    <row r="239" spans="1:15" x14ac:dyDescent="0.35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</row>
    <row r="240" spans="1:15" x14ac:dyDescent="0.35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</row>
    <row r="241" spans="1:15" x14ac:dyDescent="0.35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</row>
    <row r="242" spans="1:15" x14ac:dyDescent="0.35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</row>
    <row r="243" spans="1:15" x14ac:dyDescent="0.35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</row>
    <row r="244" spans="1:15" x14ac:dyDescent="0.35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</row>
    <row r="245" spans="1:15" x14ac:dyDescent="0.3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</row>
    <row r="246" spans="1:15" x14ac:dyDescent="0.35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</row>
    <row r="247" spans="1:15" x14ac:dyDescent="0.35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</row>
    <row r="248" spans="1:15" x14ac:dyDescent="0.35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</row>
    <row r="249" spans="1:15" x14ac:dyDescent="0.35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</row>
    <row r="250" spans="1:15" x14ac:dyDescent="0.35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</row>
    <row r="251" spans="1:15" x14ac:dyDescent="0.35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</row>
    <row r="252" spans="1:15" x14ac:dyDescent="0.35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</row>
    <row r="253" spans="1:15" x14ac:dyDescent="0.35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</row>
    <row r="254" spans="1:15" x14ac:dyDescent="0.35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</row>
    <row r="255" spans="1:15" x14ac:dyDescent="0.3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</row>
    <row r="256" spans="1:15" x14ac:dyDescent="0.35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</row>
    <row r="257" spans="1:15" x14ac:dyDescent="0.35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</row>
    <row r="258" spans="1:15" x14ac:dyDescent="0.35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</row>
    <row r="259" spans="1:15" x14ac:dyDescent="0.35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</row>
    <row r="260" spans="1:15" x14ac:dyDescent="0.35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</row>
    <row r="261" spans="1:15" x14ac:dyDescent="0.35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</row>
    <row r="262" spans="1:15" x14ac:dyDescent="0.35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</row>
    <row r="263" spans="1:15" x14ac:dyDescent="0.35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</row>
    <row r="264" spans="1:15" x14ac:dyDescent="0.35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</row>
    <row r="265" spans="1:15" x14ac:dyDescent="0.3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</row>
    <row r="266" spans="1:15" x14ac:dyDescent="0.35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</row>
    <row r="267" spans="1:15" x14ac:dyDescent="0.35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</row>
    <row r="268" spans="1:15" x14ac:dyDescent="0.35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</row>
    <row r="269" spans="1:15" x14ac:dyDescent="0.35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</row>
    <row r="270" spans="1:15" x14ac:dyDescent="0.35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</row>
    <row r="271" spans="1:15" x14ac:dyDescent="0.35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</row>
    <row r="272" spans="1:15" x14ac:dyDescent="0.35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</row>
    <row r="273" spans="1:15" x14ac:dyDescent="0.35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</row>
    <row r="274" spans="1:15" x14ac:dyDescent="0.35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</row>
    <row r="275" spans="1:15" x14ac:dyDescent="0.3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</row>
    <row r="276" spans="1:15" x14ac:dyDescent="0.35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</row>
    <row r="277" spans="1:15" x14ac:dyDescent="0.35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</row>
    <row r="278" spans="1:15" x14ac:dyDescent="0.35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</row>
    <row r="279" spans="1:15" x14ac:dyDescent="0.35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</row>
    <row r="280" spans="1:15" x14ac:dyDescent="0.35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</row>
    <row r="281" spans="1:15" x14ac:dyDescent="0.35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</row>
    <row r="282" spans="1:15" x14ac:dyDescent="0.35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</row>
    <row r="283" spans="1:15" x14ac:dyDescent="0.35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</row>
    <row r="284" spans="1:15" x14ac:dyDescent="0.35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</row>
    <row r="285" spans="1:15" x14ac:dyDescent="0.3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</row>
    <row r="286" spans="1:15" x14ac:dyDescent="0.35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</row>
    <row r="287" spans="1:15" x14ac:dyDescent="0.35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</row>
    <row r="288" spans="1:15" x14ac:dyDescent="0.35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</row>
    <row r="289" spans="1:15" x14ac:dyDescent="0.35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</row>
    <row r="290" spans="1:15" x14ac:dyDescent="0.35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</row>
    <row r="291" spans="1:15" x14ac:dyDescent="0.35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</row>
    <row r="292" spans="1:15" x14ac:dyDescent="0.35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</row>
    <row r="293" spans="1:15" x14ac:dyDescent="0.35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</row>
    <row r="294" spans="1:15" x14ac:dyDescent="0.35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</row>
    <row r="295" spans="1:15" x14ac:dyDescent="0.3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</row>
    <row r="296" spans="1:15" x14ac:dyDescent="0.35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</row>
    <row r="297" spans="1:15" x14ac:dyDescent="0.35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</row>
    <row r="298" spans="1:15" x14ac:dyDescent="0.35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</row>
    <row r="299" spans="1:15" x14ac:dyDescent="0.35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</row>
    <row r="300" spans="1:15" x14ac:dyDescent="0.35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</row>
    <row r="301" spans="1:15" x14ac:dyDescent="0.35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</row>
    <row r="302" spans="1:15" x14ac:dyDescent="0.35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</row>
    <row r="303" spans="1:15" x14ac:dyDescent="0.35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</row>
    <row r="304" spans="1:15" x14ac:dyDescent="0.35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</row>
    <row r="305" spans="1:15" x14ac:dyDescent="0.3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</row>
    <row r="306" spans="1:15" x14ac:dyDescent="0.35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</row>
    <row r="307" spans="1:15" x14ac:dyDescent="0.35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</row>
    <row r="308" spans="1:15" x14ac:dyDescent="0.35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</row>
    <row r="309" spans="1:15" x14ac:dyDescent="0.35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</row>
    <row r="310" spans="1:15" x14ac:dyDescent="0.35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</row>
    <row r="311" spans="1:15" x14ac:dyDescent="0.35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</row>
    <row r="312" spans="1:15" x14ac:dyDescent="0.35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</row>
    <row r="313" spans="1:15" x14ac:dyDescent="0.35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</row>
    <row r="314" spans="1:15" x14ac:dyDescent="0.35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</row>
    <row r="315" spans="1:15" x14ac:dyDescent="0.3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</row>
    <row r="316" spans="1:15" x14ac:dyDescent="0.35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</row>
    <row r="317" spans="1:15" x14ac:dyDescent="0.35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</row>
    <row r="318" spans="1:15" x14ac:dyDescent="0.35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</row>
    <row r="319" spans="1:15" x14ac:dyDescent="0.35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</row>
    <row r="320" spans="1:15" x14ac:dyDescent="0.35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</row>
    <row r="321" spans="1:15" x14ac:dyDescent="0.35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</row>
    <row r="322" spans="1:15" x14ac:dyDescent="0.35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</row>
    <row r="323" spans="1:15" x14ac:dyDescent="0.35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</row>
    <row r="324" spans="1:15" x14ac:dyDescent="0.35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</row>
    <row r="325" spans="1:15" x14ac:dyDescent="0.3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</row>
    <row r="326" spans="1:15" x14ac:dyDescent="0.35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</row>
    <row r="327" spans="1:15" x14ac:dyDescent="0.35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</row>
    <row r="328" spans="1:15" x14ac:dyDescent="0.35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</row>
    <row r="329" spans="1:15" x14ac:dyDescent="0.35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</row>
    <row r="330" spans="1:15" x14ac:dyDescent="0.35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</row>
    <row r="331" spans="1:15" x14ac:dyDescent="0.35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</row>
    <row r="332" spans="1:15" x14ac:dyDescent="0.35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</row>
    <row r="333" spans="1:15" x14ac:dyDescent="0.35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</row>
    <row r="334" spans="1:15" x14ac:dyDescent="0.35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</row>
    <row r="335" spans="1:15" x14ac:dyDescent="0.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</row>
    <row r="336" spans="1:15" x14ac:dyDescent="0.35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</row>
    <row r="337" spans="1:15" x14ac:dyDescent="0.35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</row>
    <row r="338" spans="1:15" x14ac:dyDescent="0.35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</row>
    <row r="339" spans="1:15" x14ac:dyDescent="0.35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</row>
    <row r="340" spans="1:15" x14ac:dyDescent="0.35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</row>
    <row r="341" spans="1:15" x14ac:dyDescent="0.35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</row>
    <row r="342" spans="1:15" x14ac:dyDescent="0.35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</row>
    <row r="343" spans="1:15" x14ac:dyDescent="0.35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</row>
    <row r="344" spans="1:15" x14ac:dyDescent="0.35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</row>
    <row r="345" spans="1:15" x14ac:dyDescent="0.3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6898F-982D-40BD-8677-11F186FEC940}">
  <sheetPr filterMode="1"/>
  <dimension ref="A1:K43"/>
  <sheetViews>
    <sheetView workbookViewId="0">
      <selection activeCell="J17" sqref="J17"/>
    </sheetView>
  </sheetViews>
  <sheetFormatPr defaultRowHeight="14.5" x14ac:dyDescent="0.35"/>
  <cols>
    <col min="1" max="1" width="12.26953125" customWidth="1"/>
    <col min="2" max="2" width="3.26953125" customWidth="1"/>
    <col min="3" max="3" width="10.26953125" customWidth="1"/>
    <col min="4" max="4" width="12.90625" bestFit="1" customWidth="1"/>
    <col min="5" max="5" width="4.453125" customWidth="1"/>
    <col min="6" max="6" width="8.453125" bestFit="1" customWidth="1"/>
    <col min="7" max="7" width="3.81640625" customWidth="1"/>
    <col min="8" max="8" width="10.90625" bestFit="1" customWidth="1"/>
    <col min="9" max="9" width="45" bestFit="1" customWidth="1"/>
    <col min="10" max="10" width="19" style="17" bestFit="1" customWidth="1"/>
    <col min="11" max="11" width="11.1796875" bestFit="1" customWidth="1"/>
  </cols>
  <sheetData>
    <row r="1" spans="1:11" ht="58" x14ac:dyDescent="0.35">
      <c r="A1" s="1" t="s">
        <v>6</v>
      </c>
      <c r="B1" s="2" t="s">
        <v>7</v>
      </c>
      <c r="C1" s="1" t="s">
        <v>8</v>
      </c>
      <c r="D1" s="13" t="s">
        <v>11</v>
      </c>
      <c r="E1" s="2" t="s">
        <v>16</v>
      </c>
      <c r="F1" s="2" t="s">
        <v>17</v>
      </c>
      <c r="G1" s="2" t="s">
        <v>18</v>
      </c>
      <c r="H1" s="40" t="s">
        <v>19</v>
      </c>
      <c r="I1" s="1" t="s">
        <v>25</v>
      </c>
      <c r="J1" s="13" t="s">
        <v>31</v>
      </c>
    </row>
    <row r="2" spans="1:11" x14ac:dyDescent="0.35">
      <c r="A2" s="23">
        <v>1600002697</v>
      </c>
      <c r="B2" s="24" t="s">
        <v>37</v>
      </c>
      <c r="C2" s="25">
        <v>46027</v>
      </c>
      <c r="D2" s="26">
        <v>256779422167</v>
      </c>
      <c r="E2" s="24" t="s">
        <v>42</v>
      </c>
      <c r="F2" s="27">
        <v>-3.4</v>
      </c>
      <c r="G2" s="24" t="s">
        <v>43</v>
      </c>
      <c r="H2" s="27">
        <v>-308.52999999999997</v>
      </c>
      <c r="I2" s="24" t="s">
        <v>178</v>
      </c>
      <c r="J2" s="26" t="s">
        <v>40</v>
      </c>
      <c r="K2" s="63">
        <f>IF(H2&lt;0,H2*-1,H2)</f>
        <v>308.52999999999997</v>
      </c>
    </row>
    <row r="3" spans="1:11" hidden="1" x14ac:dyDescent="0.35">
      <c r="A3" s="23">
        <v>1800003457</v>
      </c>
      <c r="B3" s="24" t="s">
        <v>47</v>
      </c>
      <c r="C3" s="25">
        <v>45735</v>
      </c>
      <c r="D3" s="26">
        <v>246779413324</v>
      </c>
      <c r="E3" s="24" t="s">
        <v>42</v>
      </c>
      <c r="F3" s="27">
        <v>4.3</v>
      </c>
      <c r="G3" s="24" t="s">
        <v>43</v>
      </c>
      <c r="H3" s="27">
        <v>372.77</v>
      </c>
      <c r="I3" s="24" t="s">
        <v>121</v>
      </c>
      <c r="J3" s="26" t="s">
        <v>40</v>
      </c>
      <c r="K3" s="63">
        <f>IF(H3&lt;0,H3*-1,H3)</f>
        <v>372.77</v>
      </c>
    </row>
    <row r="4" spans="1:11" hidden="1" x14ac:dyDescent="0.35">
      <c r="A4" s="23">
        <v>1800016637</v>
      </c>
      <c r="B4" s="24" t="s">
        <v>47</v>
      </c>
      <c r="C4" s="25">
        <v>46028</v>
      </c>
      <c r="D4" s="26">
        <v>256779440257</v>
      </c>
      <c r="E4" s="24" t="s">
        <v>42</v>
      </c>
      <c r="F4" s="27">
        <v>4.7</v>
      </c>
      <c r="G4" s="24" t="s">
        <v>43</v>
      </c>
      <c r="H4" s="27">
        <v>426.49</v>
      </c>
      <c r="I4" s="24" t="s">
        <v>191</v>
      </c>
      <c r="J4" s="26" t="s">
        <v>40</v>
      </c>
      <c r="K4" s="63">
        <f>IF(H4&lt;0,H4*-1,H4)</f>
        <v>426.49</v>
      </c>
    </row>
    <row r="5" spans="1:11" hidden="1" x14ac:dyDescent="0.35">
      <c r="A5" s="23">
        <v>1800016160</v>
      </c>
      <c r="B5" s="24" t="s">
        <v>47</v>
      </c>
      <c r="C5" s="25">
        <v>46031</v>
      </c>
      <c r="D5" s="26">
        <v>256779440130</v>
      </c>
      <c r="E5" s="24" t="s">
        <v>42</v>
      </c>
      <c r="F5" s="27">
        <v>16.45</v>
      </c>
      <c r="G5" s="24" t="s">
        <v>43</v>
      </c>
      <c r="H5" s="27">
        <v>1492.72</v>
      </c>
      <c r="I5" s="24" t="s">
        <v>128</v>
      </c>
      <c r="J5" s="26" t="s">
        <v>40</v>
      </c>
      <c r="K5" s="63">
        <f>IF(H5&lt;0,H5*-1,H5)</f>
        <v>1492.72</v>
      </c>
    </row>
    <row r="6" spans="1:11" hidden="1" x14ac:dyDescent="0.35">
      <c r="A6" s="23">
        <v>1800007089</v>
      </c>
      <c r="B6" s="24" t="s">
        <v>47</v>
      </c>
      <c r="C6" s="25">
        <v>45763</v>
      </c>
      <c r="D6" s="26">
        <v>256779411980</v>
      </c>
      <c r="E6" s="24" t="s">
        <v>42</v>
      </c>
      <c r="F6" s="27">
        <v>17.420000000000002</v>
      </c>
      <c r="G6" s="24" t="s">
        <v>43</v>
      </c>
      <c r="H6" s="27">
        <v>1514.18</v>
      </c>
      <c r="I6" s="24" t="s">
        <v>221</v>
      </c>
      <c r="J6" s="26" t="s">
        <v>40</v>
      </c>
      <c r="K6" s="63">
        <f>IF(H6&lt;0,H6*-1,H6)</f>
        <v>1514.18</v>
      </c>
    </row>
    <row r="7" spans="1:11" hidden="1" x14ac:dyDescent="0.35">
      <c r="A7" s="23">
        <v>1800007088</v>
      </c>
      <c r="B7" s="24" t="s">
        <v>47</v>
      </c>
      <c r="C7" s="25">
        <v>45763</v>
      </c>
      <c r="D7" s="26">
        <v>256779411979</v>
      </c>
      <c r="E7" s="24" t="s">
        <v>42</v>
      </c>
      <c r="F7" s="27">
        <v>37.56</v>
      </c>
      <c r="G7" s="24" t="s">
        <v>43</v>
      </c>
      <c r="H7" s="27">
        <v>3264.78</v>
      </c>
      <c r="I7" s="24" t="s">
        <v>220</v>
      </c>
      <c r="J7" s="26" t="s">
        <v>40</v>
      </c>
      <c r="K7" s="63">
        <f>IF(H7&lt;0,H7*-1,H7)</f>
        <v>3264.78</v>
      </c>
    </row>
    <row r="8" spans="1:11" hidden="1" x14ac:dyDescent="0.35">
      <c r="A8" s="23">
        <v>1800003342</v>
      </c>
      <c r="B8" s="24" t="s">
        <v>47</v>
      </c>
      <c r="C8" s="25">
        <v>45735</v>
      </c>
      <c r="D8" s="26">
        <v>246779413209</v>
      </c>
      <c r="E8" s="24" t="s">
        <v>42</v>
      </c>
      <c r="F8" s="27">
        <v>39.06</v>
      </c>
      <c r="G8" s="24" t="s">
        <v>43</v>
      </c>
      <c r="H8" s="27">
        <v>3386.16</v>
      </c>
      <c r="I8" s="24" t="s">
        <v>116</v>
      </c>
      <c r="J8" s="26" t="s">
        <v>40</v>
      </c>
      <c r="K8" s="63">
        <f>IF(H8&lt;0,H8*-1,H8)</f>
        <v>3386.16</v>
      </c>
    </row>
    <row r="9" spans="1:11" hidden="1" x14ac:dyDescent="0.35">
      <c r="A9" s="23">
        <v>1800003343</v>
      </c>
      <c r="B9" s="24" t="s">
        <v>47</v>
      </c>
      <c r="C9" s="25">
        <v>45735</v>
      </c>
      <c r="D9" s="26">
        <v>246779413210</v>
      </c>
      <c r="E9" s="24" t="s">
        <v>42</v>
      </c>
      <c r="F9" s="27">
        <v>39.06</v>
      </c>
      <c r="G9" s="24" t="s">
        <v>43</v>
      </c>
      <c r="H9" s="27">
        <v>3386.16</v>
      </c>
      <c r="I9" s="24" t="s">
        <v>117</v>
      </c>
      <c r="J9" s="26" t="s">
        <v>40</v>
      </c>
      <c r="K9" s="63">
        <f>IF(H9&lt;0,H9*-1,H9)</f>
        <v>3386.16</v>
      </c>
    </row>
    <row r="10" spans="1:11" hidden="1" x14ac:dyDescent="0.35">
      <c r="A10" s="23">
        <v>1800003345</v>
      </c>
      <c r="B10" s="24" t="s">
        <v>47</v>
      </c>
      <c r="C10" s="25">
        <v>45735</v>
      </c>
      <c r="D10" s="26">
        <v>246779413212</v>
      </c>
      <c r="E10" s="24" t="s">
        <v>42</v>
      </c>
      <c r="F10" s="27">
        <v>39.06</v>
      </c>
      <c r="G10" s="24" t="s">
        <v>43</v>
      </c>
      <c r="H10" s="27">
        <v>3386.16</v>
      </c>
      <c r="I10" s="24" t="s">
        <v>119</v>
      </c>
      <c r="J10" s="26" t="s">
        <v>40</v>
      </c>
      <c r="K10" s="63">
        <f>IF(H10&lt;0,H10*-1,H10)</f>
        <v>3386.16</v>
      </c>
    </row>
    <row r="11" spans="1:11" hidden="1" x14ac:dyDescent="0.35">
      <c r="A11" s="23">
        <v>1800015963</v>
      </c>
      <c r="B11" s="24" t="s">
        <v>47</v>
      </c>
      <c r="C11" s="25">
        <v>46027</v>
      </c>
      <c r="D11" s="26">
        <v>256779440080</v>
      </c>
      <c r="E11" s="24" t="s">
        <v>42</v>
      </c>
      <c r="F11" s="27">
        <v>41.46</v>
      </c>
      <c r="G11" s="24" t="s">
        <v>43</v>
      </c>
      <c r="H11" s="27">
        <v>3762.21</v>
      </c>
      <c r="I11" s="24" t="s">
        <v>180</v>
      </c>
      <c r="J11" s="26" t="s">
        <v>40</v>
      </c>
      <c r="K11" s="63">
        <f>IF(H11&lt;0,H11*-1,H11)</f>
        <v>3762.21</v>
      </c>
    </row>
    <row r="12" spans="1:11" hidden="1" x14ac:dyDescent="0.35">
      <c r="A12" s="23">
        <v>1800007087</v>
      </c>
      <c r="B12" s="24" t="s">
        <v>47</v>
      </c>
      <c r="C12" s="25">
        <v>45763</v>
      </c>
      <c r="D12" s="26">
        <v>256779411978</v>
      </c>
      <c r="E12" s="24" t="s">
        <v>42</v>
      </c>
      <c r="F12" s="27">
        <v>46.85</v>
      </c>
      <c r="G12" s="24" t="s">
        <v>43</v>
      </c>
      <c r="H12" s="27">
        <v>4072.29</v>
      </c>
      <c r="I12" s="24" t="s">
        <v>219</v>
      </c>
      <c r="J12" s="26" t="s">
        <v>40</v>
      </c>
      <c r="K12" s="63">
        <f>IF(H12&lt;0,H12*-1,H12)</f>
        <v>4072.29</v>
      </c>
    </row>
    <row r="13" spans="1:11" hidden="1" x14ac:dyDescent="0.35">
      <c r="A13" s="23">
        <v>1800016321</v>
      </c>
      <c r="B13" s="24" t="s">
        <v>47</v>
      </c>
      <c r="C13" s="25">
        <v>46034</v>
      </c>
      <c r="D13" s="26">
        <v>256779440174</v>
      </c>
      <c r="E13" s="24" t="s">
        <v>42</v>
      </c>
      <c r="F13" s="27">
        <v>48.8</v>
      </c>
      <c r="G13" s="24" t="s">
        <v>43</v>
      </c>
      <c r="H13" s="27">
        <v>4428.2700000000004</v>
      </c>
      <c r="I13" s="24" t="s">
        <v>188</v>
      </c>
      <c r="J13" s="26" t="s">
        <v>40</v>
      </c>
      <c r="K13" s="63">
        <f>IF(H13&lt;0,H13*-1,H13)</f>
        <v>4428.2700000000004</v>
      </c>
    </row>
    <row r="14" spans="1:11" hidden="1" x14ac:dyDescent="0.35">
      <c r="A14" s="23">
        <v>1800003346</v>
      </c>
      <c r="B14" s="24" t="s">
        <v>47</v>
      </c>
      <c r="C14" s="25">
        <v>45735</v>
      </c>
      <c r="D14" s="26">
        <v>246779413213</v>
      </c>
      <c r="E14" s="24" t="s">
        <v>42</v>
      </c>
      <c r="F14" s="27">
        <v>52.08</v>
      </c>
      <c r="G14" s="24" t="s">
        <v>43</v>
      </c>
      <c r="H14" s="27">
        <v>4514.88</v>
      </c>
      <c r="I14" s="24" t="s">
        <v>120</v>
      </c>
      <c r="J14" s="26" t="s">
        <v>40</v>
      </c>
      <c r="K14" s="63">
        <f>IF(H14&lt;0,H14*-1,H14)</f>
        <v>4514.88</v>
      </c>
    </row>
    <row r="15" spans="1:11" hidden="1" x14ac:dyDescent="0.35">
      <c r="A15" s="23">
        <v>1800016770</v>
      </c>
      <c r="B15" s="24" t="s">
        <v>47</v>
      </c>
      <c r="C15" s="25">
        <v>46035</v>
      </c>
      <c r="D15" s="26">
        <v>256779440357</v>
      </c>
      <c r="E15" s="24" t="s">
        <v>42</v>
      </c>
      <c r="F15" s="27">
        <v>70</v>
      </c>
      <c r="G15" s="24" t="s">
        <v>43</v>
      </c>
      <c r="H15" s="27">
        <v>6352.02</v>
      </c>
      <c r="I15" s="24" t="s">
        <v>194</v>
      </c>
      <c r="J15" s="26" t="s">
        <v>40</v>
      </c>
      <c r="K15" s="63">
        <f>IF(H15&lt;0,H15*-1,H15)</f>
        <v>6352.02</v>
      </c>
    </row>
    <row r="16" spans="1:11" hidden="1" x14ac:dyDescent="0.35">
      <c r="A16" s="23">
        <v>1800003344</v>
      </c>
      <c r="B16" s="24" t="s">
        <v>47</v>
      </c>
      <c r="C16" s="25">
        <v>45735</v>
      </c>
      <c r="D16" s="26">
        <v>246779413211</v>
      </c>
      <c r="E16" s="24" t="s">
        <v>42</v>
      </c>
      <c r="F16" s="27">
        <v>78.12</v>
      </c>
      <c r="G16" s="24" t="s">
        <v>43</v>
      </c>
      <c r="H16" s="27">
        <v>6772.32</v>
      </c>
      <c r="I16" s="24" t="s">
        <v>118</v>
      </c>
      <c r="J16" s="26" t="s">
        <v>40</v>
      </c>
      <c r="K16" s="63">
        <f>IF(H16&lt;0,H16*-1,H16)</f>
        <v>6772.32</v>
      </c>
    </row>
    <row r="17" spans="1:11" x14ac:dyDescent="0.35">
      <c r="A17" s="23">
        <v>1600001746</v>
      </c>
      <c r="B17" s="24" t="s">
        <v>37</v>
      </c>
      <c r="C17" s="25">
        <v>45854</v>
      </c>
      <c r="D17" s="26">
        <v>256779421378</v>
      </c>
      <c r="E17" s="24" t="s">
        <v>42</v>
      </c>
      <c r="F17" s="27">
        <v>-140</v>
      </c>
      <c r="G17" s="24" t="s">
        <v>43</v>
      </c>
      <c r="H17" s="27">
        <v>-12037.72</v>
      </c>
      <c r="I17" s="24" t="s">
        <v>73</v>
      </c>
      <c r="J17" s="26">
        <v>1400001901</v>
      </c>
      <c r="K17" s="63">
        <f>IF(H17&lt;0,H17*-1,H17)</f>
        <v>12037.72</v>
      </c>
    </row>
    <row r="18" spans="1:11" x14ac:dyDescent="0.35">
      <c r="A18" s="23">
        <v>1600001816</v>
      </c>
      <c r="B18" s="24" t="s">
        <v>37</v>
      </c>
      <c r="C18" s="25">
        <v>45862</v>
      </c>
      <c r="D18" s="26">
        <v>256779421436</v>
      </c>
      <c r="E18" s="24" t="s">
        <v>42</v>
      </c>
      <c r="F18" s="27">
        <v>-140</v>
      </c>
      <c r="G18" s="24" t="s">
        <v>43</v>
      </c>
      <c r="H18" s="27">
        <v>-12037.72</v>
      </c>
      <c r="I18" s="24" t="s">
        <v>101</v>
      </c>
      <c r="J18" s="26" t="s">
        <v>40</v>
      </c>
      <c r="K18" s="63">
        <f>IF(H18&lt;0,H18*-1,H18)</f>
        <v>12037.72</v>
      </c>
    </row>
    <row r="19" spans="1:11" hidden="1" x14ac:dyDescent="0.35">
      <c r="A19" s="23">
        <v>1800009097</v>
      </c>
      <c r="B19" s="24" t="s">
        <v>47</v>
      </c>
      <c r="C19" s="25">
        <v>45795</v>
      </c>
      <c r="D19" s="26">
        <v>256779413861</v>
      </c>
      <c r="E19" s="24" t="s">
        <v>42</v>
      </c>
      <c r="F19" s="27">
        <v>140</v>
      </c>
      <c r="G19" s="24" t="s">
        <v>43</v>
      </c>
      <c r="H19" s="27">
        <v>12037.72</v>
      </c>
      <c r="I19" s="24" t="s">
        <v>102</v>
      </c>
      <c r="J19" s="26">
        <v>1400001901</v>
      </c>
      <c r="K19" s="63">
        <f>IF(H19&lt;0,H19*-1,H19)</f>
        <v>12037.72</v>
      </c>
    </row>
    <row r="20" spans="1:11" hidden="1" x14ac:dyDescent="0.35">
      <c r="A20" s="23">
        <v>1800017152</v>
      </c>
      <c r="B20" s="24" t="s">
        <v>47</v>
      </c>
      <c r="C20" s="25">
        <v>46049</v>
      </c>
      <c r="D20" s="26">
        <v>256779440445</v>
      </c>
      <c r="E20" s="24" t="s">
        <v>42</v>
      </c>
      <c r="F20" s="27">
        <v>137.13999999999999</v>
      </c>
      <c r="G20" s="24" t="s">
        <v>43</v>
      </c>
      <c r="H20" s="27">
        <v>12444.51</v>
      </c>
      <c r="I20" s="24" t="s">
        <v>200</v>
      </c>
      <c r="J20" s="26" t="s">
        <v>40</v>
      </c>
      <c r="K20" s="63">
        <f>IF(H20&lt;0,H20*-1,H20)</f>
        <v>12444.51</v>
      </c>
    </row>
    <row r="21" spans="1:11" hidden="1" x14ac:dyDescent="0.35">
      <c r="A21" s="23">
        <v>1800010281</v>
      </c>
      <c r="B21" s="24" t="s">
        <v>47</v>
      </c>
      <c r="C21" s="25">
        <v>45842</v>
      </c>
      <c r="D21" s="26">
        <v>256779415041</v>
      </c>
      <c r="E21" s="24" t="s">
        <v>42</v>
      </c>
      <c r="F21" s="27">
        <v>155.09</v>
      </c>
      <c r="G21" s="24" t="s">
        <v>43</v>
      </c>
      <c r="H21" s="27">
        <v>13337.84</v>
      </c>
      <c r="I21" s="24" t="s">
        <v>245</v>
      </c>
      <c r="J21" s="26" t="s">
        <v>40</v>
      </c>
      <c r="K21" s="63">
        <f>IF(H21&lt;0,H21*-1,H21)</f>
        <v>13337.84</v>
      </c>
    </row>
    <row r="22" spans="1:11" hidden="1" x14ac:dyDescent="0.35">
      <c r="A22" s="23">
        <v>1800014729</v>
      </c>
      <c r="B22" s="24" t="s">
        <v>47</v>
      </c>
      <c r="C22" s="25">
        <v>45966</v>
      </c>
      <c r="D22" s="26">
        <v>256779419230</v>
      </c>
      <c r="E22" s="24" t="s">
        <v>42</v>
      </c>
      <c r="F22" s="27">
        <v>179.58</v>
      </c>
      <c r="G22" s="24" t="s">
        <v>43</v>
      </c>
      <c r="H22" s="27">
        <v>15803.65</v>
      </c>
      <c r="I22" s="24" t="s">
        <v>257</v>
      </c>
      <c r="J22" s="26" t="s">
        <v>40</v>
      </c>
      <c r="K22" s="63">
        <f>IF(H22&lt;0,H22*-1,H22)</f>
        <v>15803.65</v>
      </c>
    </row>
    <row r="23" spans="1:11" hidden="1" x14ac:dyDescent="0.35">
      <c r="A23" s="23">
        <v>1800013925</v>
      </c>
      <c r="B23" s="24" t="s">
        <v>47</v>
      </c>
      <c r="C23" s="25">
        <v>45950</v>
      </c>
      <c r="D23" s="26">
        <v>256779418702</v>
      </c>
      <c r="E23" s="24" t="s">
        <v>42</v>
      </c>
      <c r="F23" s="27">
        <v>182.87</v>
      </c>
      <c r="G23" s="24" t="s">
        <v>43</v>
      </c>
      <c r="H23" s="27">
        <v>16127.45</v>
      </c>
      <c r="I23" s="24" t="s">
        <v>99</v>
      </c>
      <c r="J23" s="26" t="s">
        <v>40</v>
      </c>
      <c r="K23" s="63">
        <f>IF(H23&lt;0,H23*-1,H23)</f>
        <v>16127.45</v>
      </c>
    </row>
    <row r="24" spans="1:11" hidden="1" x14ac:dyDescent="0.35">
      <c r="A24" s="23">
        <v>1800016314</v>
      </c>
      <c r="B24" s="24" t="s">
        <v>47</v>
      </c>
      <c r="C24" s="25">
        <v>46034</v>
      </c>
      <c r="D24" s="26">
        <v>256779440167</v>
      </c>
      <c r="E24" s="24" t="s">
        <v>42</v>
      </c>
      <c r="F24" s="27">
        <v>188</v>
      </c>
      <c r="G24" s="24" t="s">
        <v>43</v>
      </c>
      <c r="H24" s="27">
        <v>17059.71</v>
      </c>
      <c r="I24" s="24" t="s">
        <v>187</v>
      </c>
      <c r="J24" s="26" t="s">
        <v>40</v>
      </c>
      <c r="K24" s="63">
        <f>IF(H24&lt;0,H24*-1,H24)</f>
        <v>17059.71</v>
      </c>
    </row>
    <row r="25" spans="1:11" hidden="1" x14ac:dyDescent="0.35">
      <c r="A25" s="23">
        <v>1800013843</v>
      </c>
      <c r="B25" s="24" t="s">
        <v>47</v>
      </c>
      <c r="C25" s="25">
        <v>45950</v>
      </c>
      <c r="D25" s="26">
        <v>256779418661</v>
      </c>
      <c r="E25" s="24" t="s">
        <v>42</v>
      </c>
      <c r="F25" s="27">
        <v>226.3</v>
      </c>
      <c r="G25" s="24" t="s">
        <v>43</v>
      </c>
      <c r="H25" s="27">
        <v>19957.57</v>
      </c>
      <c r="I25" s="24" t="s">
        <v>98</v>
      </c>
      <c r="J25" s="26" t="s">
        <v>40</v>
      </c>
      <c r="K25" s="63">
        <f>IF(H25&lt;0,H25*-1,H25)</f>
        <v>19957.57</v>
      </c>
    </row>
    <row r="26" spans="1:11" hidden="1" x14ac:dyDescent="0.35">
      <c r="A26" s="23">
        <v>1800016416</v>
      </c>
      <c r="B26" s="24" t="s">
        <v>47</v>
      </c>
      <c r="C26" s="25">
        <v>46034</v>
      </c>
      <c r="D26" s="26">
        <v>256779440229</v>
      </c>
      <c r="E26" s="24" t="s">
        <v>42</v>
      </c>
      <c r="F26" s="27">
        <v>308.79000000000002</v>
      </c>
      <c r="G26" s="24" t="s">
        <v>43</v>
      </c>
      <c r="H26" s="27">
        <v>28020.57</v>
      </c>
      <c r="I26" s="24" t="s">
        <v>189</v>
      </c>
      <c r="J26" s="26" t="s">
        <v>40</v>
      </c>
      <c r="K26" s="63">
        <f>IF(H26&lt;0,H26*-1,H26)</f>
        <v>28020.57</v>
      </c>
    </row>
    <row r="27" spans="1:11" hidden="1" x14ac:dyDescent="0.35">
      <c r="A27" s="23">
        <v>1800013971</v>
      </c>
      <c r="B27" s="24" t="s">
        <v>47</v>
      </c>
      <c r="C27" s="25">
        <v>45950</v>
      </c>
      <c r="D27" s="26">
        <v>256779418614</v>
      </c>
      <c r="E27" s="24" t="s">
        <v>42</v>
      </c>
      <c r="F27" s="27">
        <v>338.06</v>
      </c>
      <c r="G27" s="24" t="s">
        <v>43</v>
      </c>
      <c r="H27" s="27">
        <v>29813.77</v>
      </c>
      <c r="I27" s="24" t="s">
        <v>96</v>
      </c>
      <c r="J27" s="26" t="s">
        <v>40</v>
      </c>
      <c r="K27" s="63">
        <f>IF(H27&lt;0,H27*-1,H27)</f>
        <v>29813.77</v>
      </c>
    </row>
    <row r="28" spans="1:11" hidden="1" x14ac:dyDescent="0.35">
      <c r="A28" s="23">
        <v>1800010769</v>
      </c>
      <c r="B28" s="24" t="s">
        <v>47</v>
      </c>
      <c r="C28" s="25">
        <v>45856</v>
      </c>
      <c r="D28" s="26">
        <v>256779415431</v>
      </c>
      <c r="E28" s="24" t="s">
        <v>42</v>
      </c>
      <c r="F28" s="27">
        <v>358.33</v>
      </c>
      <c r="G28" s="24" t="s">
        <v>43</v>
      </c>
      <c r="H28" s="27">
        <v>30816.62</v>
      </c>
      <c r="I28" s="24" t="s">
        <v>277</v>
      </c>
      <c r="J28" s="26" t="s">
        <v>40</v>
      </c>
      <c r="K28" s="63">
        <f>IF(H28&lt;0,H28*-1,H28)</f>
        <v>30816.62</v>
      </c>
    </row>
    <row r="29" spans="1:11" hidden="1" x14ac:dyDescent="0.35">
      <c r="A29" s="23">
        <v>1800015801</v>
      </c>
      <c r="B29" s="24" t="s">
        <v>47</v>
      </c>
      <c r="C29" s="25">
        <v>46027</v>
      </c>
      <c r="D29" s="26">
        <v>256779440051</v>
      </c>
      <c r="E29" s="24" t="s">
        <v>42</v>
      </c>
      <c r="F29" s="27">
        <v>358.14</v>
      </c>
      <c r="G29" s="24" t="s">
        <v>43</v>
      </c>
      <c r="H29" s="27">
        <v>32498.75</v>
      </c>
      <c r="I29" s="24" t="s">
        <v>177</v>
      </c>
      <c r="J29" s="26" t="s">
        <v>40</v>
      </c>
      <c r="K29" s="63">
        <f>IF(H29&lt;0,H29*-1,H29)</f>
        <v>32498.75</v>
      </c>
    </row>
    <row r="30" spans="1:11" hidden="1" x14ac:dyDescent="0.35">
      <c r="A30" s="23">
        <v>1800016202</v>
      </c>
      <c r="B30" s="24" t="s">
        <v>47</v>
      </c>
      <c r="C30" s="25">
        <v>46028</v>
      </c>
      <c r="D30" s="26">
        <v>256779440143</v>
      </c>
      <c r="E30" s="24" t="s">
        <v>42</v>
      </c>
      <c r="F30" s="27">
        <v>360.75</v>
      </c>
      <c r="G30" s="24" t="s">
        <v>43</v>
      </c>
      <c r="H30" s="27">
        <v>32735.59</v>
      </c>
      <c r="I30" s="24" t="s">
        <v>185</v>
      </c>
      <c r="J30" s="26" t="s">
        <v>40</v>
      </c>
      <c r="K30" s="63">
        <f>IF(H30&lt;0,H30*-1,H30)</f>
        <v>32735.59</v>
      </c>
    </row>
    <row r="31" spans="1:11" hidden="1" x14ac:dyDescent="0.35">
      <c r="A31" s="23">
        <v>1800015473</v>
      </c>
      <c r="B31" s="24" t="s">
        <v>47</v>
      </c>
      <c r="C31" s="25">
        <v>45997</v>
      </c>
      <c r="D31" s="26">
        <v>256779419990</v>
      </c>
      <c r="E31" s="24" t="s">
        <v>42</v>
      </c>
      <c r="F31" s="27">
        <v>429.75</v>
      </c>
      <c r="G31" s="24" t="s">
        <v>43</v>
      </c>
      <c r="H31" s="27">
        <v>38118.89</v>
      </c>
      <c r="I31" s="24" t="s">
        <v>163</v>
      </c>
      <c r="J31" s="26" t="s">
        <v>40</v>
      </c>
      <c r="K31" s="63">
        <f>IF(H31&lt;0,H31*-1,H31)</f>
        <v>38118.89</v>
      </c>
    </row>
    <row r="32" spans="1:11" hidden="1" x14ac:dyDescent="0.35">
      <c r="A32" s="23">
        <v>1800009411</v>
      </c>
      <c r="B32" s="24" t="s">
        <v>47</v>
      </c>
      <c r="C32" s="25">
        <v>45812</v>
      </c>
      <c r="D32" s="26">
        <v>256779414175</v>
      </c>
      <c r="E32" s="24" t="s">
        <v>42</v>
      </c>
      <c r="F32" s="27">
        <v>472.4</v>
      </c>
      <c r="G32" s="24" t="s">
        <v>43</v>
      </c>
      <c r="H32" s="27">
        <v>40385.839999999997</v>
      </c>
      <c r="I32" s="24" t="s">
        <v>268</v>
      </c>
      <c r="J32" s="26" t="s">
        <v>40</v>
      </c>
      <c r="K32" s="63">
        <f>IF(H32&lt;0,H32*-1,H32)</f>
        <v>40385.839999999997</v>
      </c>
    </row>
    <row r="33" spans="1:11" hidden="1" x14ac:dyDescent="0.35">
      <c r="A33" s="23">
        <v>1800016623</v>
      </c>
      <c r="B33" s="24" t="s">
        <v>47</v>
      </c>
      <c r="C33" s="25">
        <v>46028</v>
      </c>
      <c r="D33" s="26">
        <v>256779440332</v>
      </c>
      <c r="E33" s="24" t="s">
        <v>42</v>
      </c>
      <c r="F33" s="27">
        <v>456.75</v>
      </c>
      <c r="G33" s="24" t="s">
        <v>43</v>
      </c>
      <c r="H33" s="27">
        <v>41446.93</v>
      </c>
      <c r="I33" s="24" t="s">
        <v>193</v>
      </c>
      <c r="J33" s="26" t="s">
        <v>40</v>
      </c>
      <c r="K33" s="63">
        <f>IF(H33&lt;0,H33*-1,H33)</f>
        <v>41446.93</v>
      </c>
    </row>
    <row r="34" spans="1:11" hidden="1" x14ac:dyDescent="0.35">
      <c r="A34" s="23">
        <v>1800016693</v>
      </c>
      <c r="B34" s="24" t="s">
        <v>47</v>
      </c>
      <c r="C34" s="25">
        <v>46034</v>
      </c>
      <c r="D34" s="26">
        <v>256779440282</v>
      </c>
      <c r="E34" s="24" t="s">
        <v>42</v>
      </c>
      <c r="F34" s="27">
        <v>498.5</v>
      </c>
      <c r="G34" s="24" t="s">
        <v>43</v>
      </c>
      <c r="H34" s="27">
        <v>45235.46</v>
      </c>
      <c r="I34" s="24" t="s">
        <v>192</v>
      </c>
      <c r="J34" s="26" t="s">
        <v>40</v>
      </c>
      <c r="K34" s="63">
        <f>IF(H34&lt;0,H34*-1,H34)</f>
        <v>45235.46</v>
      </c>
    </row>
    <row r="35" spans="1:11" hidden="1" x14ac:dyDescent="0.35">
      <c r="A35" s="23">
        <v>1800016282</v>
      </c>
      <c r="B35" s="24" t="s">
        <v>47</v>
      </c>
      <c r="C35" s="25">
        <v>46028</v>
      </c>
      <c r="D35" s="26">
        <v>256779440162</v>
      </c>
      <c r="E35" s="24" t="s">
        <v>42</v>
      </c>
      <c r="F35" s="27">
        <v>505.46</v>
      </c>
      <c r="G35" s="24" t="s">
        <v>43</v>
      </c>
      <c r="H35" s="27">
        <v>45867.03</v>
      </c>
      <c r="I35" s="24" t="s">
        <v>186</v>
      </c>
      <c r="J35" s="26" t="s">
        <v>40</v>
      </c>
      <c r="K35" s="63">
        <f>IF(H35&lt;0,H35*-1,H35)</f>
        <v>45867.03</v>
      </c>
    </row>
    <row r="36" spans="1:11" hidden="1" x14ac:dyDescent="0.35">
      <c r="A36" s="23">
        <v>1800013758</v>
      </c>
      <c r="B36" s="24" t="s">
        <v>47</v>
      </c>
      <c r="C36" s="25">
        <v>45937</v>
      </c>
      <c r="D36" s="26">
        <v>256779418179</v>
      </c>
      <c r="E36" s="24" t="s">
        <v>42</v>
      </c>
      <c r="F36" s="27">
        <v>528.99</v>
      </c>
      <c r="G36" s="24" t="s">
        <v>43</v>
      </c>
      <c r="H36" s="27">
        <v>46652.04</v>
      </c>
      <c r="I36" s="24" t="s">
        <v>155</v>
      </c>
      <c r="J36" s="26" t="s">
        <v>40</v>
      </c>
      <c r="K36" s="63">
        <f>IF(H36&lt;0,H36*-1,H36)</f>
        <v>46652.04</v>
      </c>
    </row>
    <row r="37" spans="1:11" hidden="1" x14ac:dyDescent="0.35">
      <c r="A37" s="23">
        <v>1800009171</v>
      </c>
      <c r="B37" s="24" t="s">
        <v>47</v>
      </c>
      <c r="C37" s="25">
        <v>45810</v>
      </c>
      <c r="D37" s="26">
        <v>256779413935</v>
      </c>
      <c r="E37" s="24" t="s">
        <v>42</v>
      </c>
      <c r="F37" s="27">
        <v>590.74</v>
      </c>
      <c r="G37" s="24" t="s">
        <v>43</v>
      </c>
      <c r="H37" s="27">
        <v>50502.82</v>
      </c>
      <c r="I37" s="24" t="s">
        <v>153</v>
      </c>
      <c r="J37" s="26" t="s">
        <v>40</v>
      </c>
      <c r="K37" s="63">
        <f>IF(H37&lt;0,H37*-1,H37)</f>
        <v>50502.82</v>
      </c>
    </row>
    <row r="38" spans="1:11" hidden="1" x14ac:dyDescent="0.35">
      <c r="A38" s="23">
        <v>1800012586</v>
      </c>
      <c r="B38" s="24" t="s">
        <v>47</v>
      </c>
      <c r="C38" s="25">
        <v>45904</v>
      </c>
      <c r="D38" s="26">
        <v>256779417244</v>
      </c>
      <c r="E38" s="24" t="s">
        <v>42</v>
      </c>
      <c r="F38" s="27">
        <v>685.41</v>
      </c>
      <c r="G38" s="24" t="s">
        <v>43</v>
      </c>
      <c r="H38" s="27">
        <v>59983.199999999997</v>
      </c>
      <c r="I38" s="24" t="s">
        <v>235</v>
      </c>
      <c r="J38" s="26" t="s">
        <v>40</v>
      </c>
      <c r="K38" s="63">
        <f>IF(H38&lt;0,H38*-1,H38)</f>
        <v>59983.199999999997</v>
      </c>
    </row>
    <row r="39" spans="1:11" hidden="1" x14ac:dyDescent="0.35">
      <c r="A39" s="23">
        <v>1800014013</v>
      </c>
      <c r="B39" s="24" t="s">
        <v>47</v>
      </c>
      <c r="C39" s="25">
        <v>45950</v>
      </c>
      <c r="D39" s="26">
        <v>256779418620</v>
      </c>
      <c r="E39" s="24" t="s">
        <v>42</v>
      </c>
      <c r="F39" s="27">
        <v>830.96</v>
      </c>
      <c r="G39" s="24" t="s">
        <v>43</v>
      </c>
      <c r="H39" s="27">
        <v>73283</v>
      </c>
      <c r="I39" s="24" t="s">
        <v>97</v>
      </c>
      <c r="J39" s="26" t="s">
        <v>40</v>
      </c>
      <c r="K39" s="63">
        <f>IF(H39&lt;0,H39*-1,H39)</f>
        <v>73283</v>
      </c>
    </row>
    <row r="40" spans="1:11" hidden="1" x14ac:dyDescent="0.35">
      <c r="A40" s="23">
        <v>1800013509</v>
      </c>
      <c r="B40" s="24" t="s">
        <v>47</v>
      </c>
      <c r="C40" s="25">
        <v>45935</v>
      </c>
      <c r="D40" s="26">
        <v>256779418399</v>
      </c>
      <c r="E40" s="24" t="s">
        <v>42</v>
      </c>
      <c r="F40" s="27">
        <v>1432.98</v>
      </c>
      <c r="G40" s="24" t="s">
        <v>43</v>
      </c>
      <c r="H40" s="27">
        <v>126375.61</v>
      </c>
      <c r="I40" s="24" t="s">
        <v>172</v>
      </c>
      <c r="J40" s="26" t="s">
        <v>40</v>
      </c>
      <c r="K40" s="63">
        <f>IF(H40&lt;0,H40*-1,H40)</f>
        <v>126375.61</v>
      </c>
    </row>
    <row r="41" spans="1:11" hidden="1" x14ac:dyDescent="0.35">
      <c r="A41" s="23">
        <v>1800011863</v>
      </c>
      <c r="B41" s="24" t="s">
        <v>47</v>
      </c>
      <c r="C41" s="25">
        <v>45877</v>
      </c>
      <c r="D41" s="26">
        <v>256779416514</v>
      </c>
      <c r="E41" s="24" t="s">
        <v>42</v>
      </c>
      <c r="F41" s="27">
        <v>1804.03</v>
      </c>
      <c r="G41" s="24" t="s">
        <v>43</v>
      </c>
      <c r="H41" s="27">
        <v>155200.92000000001</v>
      </c>
      <c r="I41" s="24" t="s">
        <v>264</v>
      </c>
      <c r="J41" s="26" t="s">
        <v>40</v>
      </c>
      <c r="K41" s="63">
        <f>IF(H41&lt;0,H41*-1,H41)</f>
        <v>155200.92000000001</v>
      </c>
    </row>
    <row r="42" spans="1:11" hidden="1" x14ac:dyDescent="0.35">
      <c r="A42" s="23">
        <v>1800015671</v>
      </c>
      <c r="B42" s="24" t="s">
        <v>47</v>
      </c>
      <c r="C42" s="25">
        <v>46024</v>
      </c>
      <c r="D42" s="26">
        <v>256779440004</v>
      </c>
      <c r="E42" s="24" t="s">
        <v>42</v>
      </c>
      <c r="F42" s="27">
        <v>7039.11</v>
      </c>
      <c r="G42" s="24" t="s">
        <v>43</v>
      </c>
      <c r="H42" s="27">
        <v>638750.93999999994</v>
      </c>
      <c r="I42" s="24" t="s">
        <v>175</v>
      </c>
      <c r="J42" s="26" t="s">
        <v>40</v>
      </c>
      <c r="K42" s="63">
        <f>IF(H42&lt;0,H42*-1,H42)</f>
        <v>638750.93999999994</v>
      </c>
    </row>
    <row r="43" spans="1:11" hidden="1" x14ac:dyDescent="0.35">
      <c r="A43" s="23">
        <v>1800016345</v>
      </c>
      <c r="B43" s="24" t="s">
        <v>47</v>
      </c>
      <c r="C43" s="25">
        <v>46028</v>
      </c>
      <c r="D43" s="26">
        <v>256779440235</v>
      </c>
      <c r="E43" s="24" t="s">
        <v>42</v>
      </c>
      <c r="F43" s="27">
        <v>7267.85</v>
      </c>
      <c r="G43" s="24" t="s">
        <v>43</v>
      </c>
      <c r="H43" s="27">
        <v>659507.53</v>
      </c>
      <c r="I43" s="24" t="s">
        <v>190</v>
      </c>
      <c r="J43" s="26" t="s">
        <v>40</v>
      </c>
      <c r="K43" s="63">
        <f>IF(H43&lt;0,H43*-1,H43)</f>
        <v>659507.53</v>
      </c>
    </row>
  </sheetData>
  <autoFilter ref="A1:K43" xr:uid="{7FF6898F-982D-40BD-8677-11F186FEC940}">
    <filterColumn colId="1">
      <filters>
        <filter val="DG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E27C-71FE-4C98-A3D0-463850A837BA}">
  <dimension ref="A1:L16"/>
  <sheetViews>
    <sheetView topLeftCell="B1" workbookViewId="0">
      <selection activeCell="J2" sqref="J2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5" width="8.26953125" bestFit="1" customWidth="1"/>
    <col min="6" max="6" width="8.453125" bestFit="1" customWidth="1"/>
    <col min="8" max="8" width="10.90625" bestFit="1" customWidth="1"/>
    <col min="9" max="9" width="43.54296875" bestFit="1" customWidth="1"/>
    <col min="10" max="10" width="16.7265625" bestFit="1" customWidth="1"/>
    <col min="11" max="11" width="12.90625" bestFit="1" customWidth="1"/>
    <col min="12" max="12" width="15.453125" style="34" bestFit="1" customWidth="1"/>
  </cols>
  <sheetData>
    <row r="1" spans="1:12" ht="72.5" x14ac:dyDescent="0.35">
      <c r="A1" s="1" t="s">
        <v>6</v>
      </c>
      <c r="B1" s="2" t="s">
        <v>7</v>
      </c>
      <c r="C1" s="1" t="s">
        <v>8</v>
      </c>
      <c r="D1" s="13" t="s">
        <v>11</v>
      </c>
      <c r="E1" s="2" t="s">
        <v>16</v>
      </c>
      <c r="F1" s="2" t="s">
        <v>17</v>
      </c>
      <c r="G1" s="2" t="s">
        <v>18</v>
      </c>
      <c r="H1" s="40" t="s">
        <v>19</v>
      </c>
      <c r="I1" s="1" t="s">
        <v>25</v>
      </c>
      <c r="J1" s="1" t="s">
        <v>31</v>
      </c>
      <c r="K1" s="17"/>
      <c r="L1" s="34" t="s">
        <v>891</v>
      </c>
    </row>
    <row r="2" spans="1:12" x14ac:dyDescent="0.35">
      <c r="A2" s="23">
        <v>1600001737</v>
      </c>
      <c r="B2" s="24" t="s">
        <v>37</v>
      </c>
      <c r="C2" s="25">
        <v>45854</v>
      </c>
      <c r="D2" s="26">
        <v>256779421369</v>
      </c>
      <c r="E2" s="24" t="s">
        <v>42</v>
      </c>
      <c r="F2" s="27">
        <v>-1793.99</v>
      </c>
      <c r="G2" s="24" t="s">
        <v>43</v>
      </c>
      <c r="H2" s="27">
        <v>-155936.88</v>
      </c>
      <c r="I2" s="24" t="s">
        <v>65</v>
      </c>
      <c r="J2" s="23">
        <v>1400001901</v>
      </c>
      <c r="K2" s="17">
        <v>256779410010</v>
      </c>
      <c r="L2" s="34" t="e">
        <v>#N/A</v>
      </c>
    </row>
    <row r="3" spans="1:12" x14ac:dyDescent="0.35">
      <c r="A3" s="23">
        <v>1600001736</v>
      </c>
      <c r="B3" s="24" t="s">
        <v>37</v>
      </c>
      <c r="C3" s="25">
        <v>45854</v>
      </c>
      <c r="D3" s="26">
        <v>256779421368</v>
      </c>
      <c r="E3" s="24" t="s">
        <v>42</v>
      </c>
      <c r="F3" s="27">
        <v>-705</v>
      </c>
      <c r="G3" s="24" t="s">
        <v>43</v>
      </c>
      <c r="H3" s="27">
        <v>-61279.88</v>
      </c>
      <c r="I3" s="24" t="s">
        <v>64</v>
      </c>
      <c r="J3" s="23">
        <v>1400001901</v>
      </c>
      <c r="K3" s="17">
        <v>256779410004</v>
      </c>
      <c r="L3" s="34" t="e">
        <v>#N/A</v>
      </c>
    </row>
    <row r="4" spans="1:12" x14ac:dyDescent="0.35">
      <c r="A4" s="23">
        <v>1600001753</v>
      </c>
      <c r="B4" s="24" t="s">
        <v>37</v>
      </c>
      <c r="C4" s="25">
        <v>45854</v>
      </c>
      <c r="D4" s="26">
        <v>256779421385</v>
      </c>
      <c r="E4" s="24" t="s">
        <v>42</v>
      </c>
      <c r="F4" s="27">
        <v>-420</v>
      </c>
      <c r="G4" s="24" t="s">
        <v>43</v>
      </c>
      <c r="H4" s="27">
        <v>-36410.33</v>
      </c>
      <c r="I4" s="24" t="s">
        <v>80</v>
      </c>
      <c r="J4" s="23">
        <v>1400001902</v>
      </c>
      <c r="K4" s="17">
        <v>246779411278</v>
      </c>
      <c r="L4" s="34" t="e">
        <v>#N/A</v>
      </c>
    </row>
    <row r="5" spans="1:12" x14ac:dyDescent="0.35">
      <c r="A5" s="23">
        <v>1600001740</v>
      </c>
      <c r="B5" s="24" t="s">
        <v>37</v>
      </c>
      <c r="C5" s="25">
        <v>45854</v>
      </c>
      <c r="D5" s="26">
        <v>256779421372</v>
      </c>
      <c r="E5" s="24" t="s">
        <v>42</v>
      </c>
      <c r="F5" s="27">
        <v>-385</v>
      </c>
      <c r="G5" s="24" t="s">
        <v>43</v>
      </c>
      <c r="H5" s="27">
        <v>-33376.14</v>
      </c>
      <c r="I5" s="24" t="s">
        <v>67</v>
      </c>
      <c r="J5" s="23">
        <v>1400001901</v>
      </c>
      <c r="K5" s="17">
        <v>246779411300</v>
      </c>
      <c r="L5" s="34" t="e">
        <v>#N/A</v>
      </c>
    </row>
    <row r="6" spans="1:12" x14ac:dyDescent="0.35">
      <c r="A6" s="23">
        <v>1600001733</v>
      </c>
      <c r="B6" s="24" t="s">
        <v>37</v>
      </c>
      <c r="C6" s="25">
        <v>45854</v>
      </c>
      <c r="D6" s="26">
        <v>256779421365</v>
      </c>
      <c r="E6" s="24" t="s">
        <v>42</v>
      </c>
      <c r="F6" s="27">
        <v>-375</v>
      </c>
      <c r="G6" s="24" t="s">
        <v>43</v>
      </c>
      <c r="H6" s="27">
        <v>-32509.22</v>
      </c>
      <c r="I6" s="24" t="s">
        <v>62</v>
      </c>
      <c r="J6" s="23">
        <v>1400001901</v>
      </c>
      <c r="K6" s="17">
        <v>246779413827</v>
      </c>
      <c r="L6" s="34" t="e">
        <v>#N/A</v>
      </c>
    </row>
    <row r="7" spans="1:12" x14ac:dyDescent="0.35">
      <c r="A7" s="23">
        <v>1600001742</v>
      </c>
      <c r="B7" s="24" t="s">
        <v>37</v>
      </c>
      <c r="C7" s="25">
        <v>45854</v>
      </c>
      <c r="D7" s="26">
        <v>256779421374</v>
      </c>
      <c r="E7" s="24" t="s">
        <v>42</v>
      </c>
      <c r="F7" s="27">
        <v>-245</v>
      </c>
      <c r="G7" s="24" t="s">
        <v>43</v>
      </c>
      <c r="H7" s="27">
        <v>-21239.360000000001</v>
      </c>
      <c r="I7" s="24" t="s">
        <v>69</v>
      </c>
      <c r="J7" s="23">
        <v>1400001901</v>
      </c>
      <c r="K7" s="17">
        <v>246779411326</v>
      </c>
      <c r="L7" s="34" t="e">
        <v>#N/A</v>
      </c>
    </row>
    <row r="8" spans="1:12" x14ac:dyDescent="0.35">
      <c r="A8" s="23">
        <v>1600001730</v>
      </c>
      <c r="B8" s="24" t="s">
        <v>37</v>
      </c>
      <c r="C8" s="25">
        <v>45854</v>
      </c>
      <c r="D8" s="26">
        <v>256779421362</v>
      </c>
      <c r="E8" s="24" t="s">
        <v>42</v>
      </c>
      <c r="F8" s="27">
        <v>-237.35</v>
      </c>
      <c r="G8" s="24" t="s">
        <v>43</v>
      </c>
      <c r="H8" s="27">
        <v>-20576.169999999998</v>
      </c>
      <c r="I8" s="24" t="s">
        <v>60</v>
      </c>
      <c r="J8" s="23">
        <v>1400001901</v>
      </c>
      <c r="K8" s="17">
        <v>246779413705</v>
      </c>
      <c r="L8" s="34" t="e">
        <v>#N/A</v>
      </c>
    </row>
    <row r="9" spans="1:12" x14ac:dyDescent="0.35">
      <c r="A9" s="23">
        <v>1600001732</v>
      </c>
      <c r="B9" s="24" t="s">
        <v>37</v>
      </c>
      <c r="C9" s="25">
        <v>45854</v>
      </c>
      <c r="D9" s="26">
        <v>256779421364</v>
      </c>
      <c r="E9" s="24" t="s">
        <v>42</v>
      </c>
      <c r="F9" s="27">
        <v>-220</v>
      </c>
      <c r="G9" s="24" t="s">
        <v>43</v>
      </c>
      <c r="H9" s="27">
        <v>-19072.080000000002</v>
      </c>
      <c r="I9" s="24" t="s">
        <v>61</v>
      </c>
      <c r="J9" s="23">
        <v>1400001901</v>
      </c>
      <c r="K9" s="17">
        <v>246779413816</v>
      </c>
      <c r="L9" s="34" t="e">
        <v>#N/A</v>
      </c>
    </row>
    <row r="10" spans="1:12" x14ac:dyDescent="0.35">
      <c r="A10" s="23">
        <v>1600001743</v>
      </c>
      <c r="B10" s="24" t="s">
        <v>37</v>
      </c>
      <c r="C10" s="25">
        <v>45854</v>
      </c>
      <c r="D10" s="26">
        <v>256779421375</v>
      </c>
      <c r="E10" s="24" t="s">
        <v>42</v>
      </c>
      <c r="F10" s="27">
        <v>-220</v>
      </c>
      <c r="G10" s="24" t="s">
        <v>43</v>
      </c>
      <c r="H10" s="27">
        <v>-19072.080000000002</v>
      </c>
      <c r="I10" s="24" t="s">
        <v>70</v>
      </c>
      <c r="J10" s="23">
        <v>1400001901</v>
      </c>
      <c r="K10" s="17">
        <v>246779411339</v>
      </c>
      <c r="L10" s="34" t="e">
        <v>#N/A</v>
      </c>
    </row>
    <row r="11" spans="1:12" x14ac:dyDescent="0.35">
      <c r="A11" s="23">
        <v>1600001748</v>
      </c>
      <c r="B11" s="24" t="s">
        <v>37</v>
      </c>
      <c r="C11" s="25">
        <v>45854</v>
      </c>
      <c r="D11" s="26">
        <v>256779421380</v>
      </c>
      <c r="E11" s="24" t="s">
        <v>42</v>
      </c>
      <c r="F11" s="27">
        <v>-182.83</v>
      </c>
      <c r="G11" s="24" t="s">
        <v>43</v>
      </c>
      <c r="H11" s="27">
        <v>-15778.9</v>
      </c>
      <c r="I11" s="24" t="s">
        <v>75</v>
      </c>
      <c r="J11" s="23">
        <v>1400001902</v>
      </c>
      <c r="K11" s="17">
        <v>246779410348</v>
      </c>
      <c r="L11" s="34" t="e">
        <v>#N/A</v>
      </c>
    </row>
    <row r="12" spans="1:12" x14ac:dyDescent="0.35">
      <c r="A12" s="23">
        <v>1600001750</v>
      </c>
      <c r="B12" s="24" t="s">
        <v>37</v>
      </c>
      <c r="C12" s="25">
        <v>45854</v>
      </c>
      <c r="D12" s="26">
        <v>256779421382</v>
      </c>
      <c r="E12" s="24" t="s">
        <v>42</v>
      </c>
      <c r="F12" s="27">
        <v>-177.66</v>
      </c>
      <c r="G12" s="24" t="s">
        <v>43</v>
      </c>
      <c r="H12" s="27">
        <v>-15401.57</v>
      </c>
      <c r="I12" s="24" t="s">
        <v>77</v>
      </c>
      <c r="J12" s="23">
        <v>1400001902</v>
      </c>
      <c r="K12" s="17">
        <v>246779413701</v>
      </c>
      <c r="L12" s="34" t="e">
        <v>#N/A</v>
      </c>
    </row>
    <row r="13" spans="1:12" x14ac:dyDescent="0.35">
      <c r="A13" s="23">
        <v>1600001745</v>
      </c>
      <c r="B13" s="24" t="s">
        <v>37</v>
      </c>
      <c r="C13" s="25">
        <v>45854</v>
      </c>
      <c r="D13" s="26">
        <v>256779421377</v>
      </c>
      <c r="E13" s="24" t="s">
        <v>42</v>
      </c>
      <c r="F13" s="27">
        <v>-140</v>
      </c>
      <c r="G13" s="24" t="s">
        <v>43</v>
      </c>
      <c r="H13" s="27">
        <v>-12037.72</v>
      </c>
      <c r="I13" s="24" t="s">
        <v>72</v>
      </c>
      <c r="J13" s="23">
        <v>1400001901</v>
      </c>
      <c r="K13" s="17">
        <v>256779413283</v>
      </c>
      <c r="L13" s="34" t="e">
        <v>#N/A</v>
      </c>
    </row>
    <row r="14" spans="1:12" x14ac:dyDescent="0.35">
      <c r="A14" s="23">
        <v>1600001816</v>
      </c>
      <c r="B14" s="24" t="s">
        <v>37</v>
      </c>
      <c r="C14" s="25">
        <v>45862</v>
      </c>
      <c r="D14" s="26">
        <v>256779421436</v>
      </c>
      <c r="E14" s="24" t="s">
        <v>42</v>
      </c>
      <c r="F14" s="27">
        <v>-140</v>
      </c>
      <c r="G14" s="24" t="s">
        <v>43</v>
      </c>
      <c r="H14" s="27">
        <v>-12037.72</v>
      </c>
      <c r="I14" s="24" t="s">
        <v>101</v>
      </c>
      <c r="J14" s="24" t="s">
        <v>40</v>
      </c>
      <c r="K14" s="17"/>
      <c r="L14" s="34">
        <v>12037.72</v>
      </c>
    </row>
    <row r="15" spans="1:12" x14ac:dyDescent="0.35">
      <c r="A15" s="23">
        <v>1600001752</v>
      </c>
      <c r="B15" s="24" t="s">
        <v>37</v>
      </c>
      <c r="C15" s="25">
        <v>45854</v>
      </c>
      <c r="D15" s="26">
        <v>256779421384</v>
      </c>
      <c r="E15" s="24" t="s">
        <v>42</v>
      </c>
      <c r="F15" s="27">
        <v>-137.9</v>
      </c>
      <c r="G15" s="24" t="s">
        <v>43</v>
      </c>
      <c r="H15" s="27">
        <v>-11954.72</v>
      </c>
      <c r="I15" s="24" t="s">
        <v>79</v>
      </c>
      <c r="J15" s="23">
        <v>1400001902</v>
      </c>
      <c r="K15" s="17">
        <v>246779413845</v>
      </c>
      <c r="L15" s="34" t="e">
        <v>#N/A</v>
      </c>
    </row>
    <row r="16" spans="1:12" x14ac:dyDescent="0.35">
      <c r="A16" s="23">
        <v>1600002697</v>
      </c>
      <c r="B16" s="24" t="s">
        <v>37</v>
      </c>
      <c r="C16" s="25">
        <v>46027</v>
      </c>
      <c r="D16" s="26">
        <v>256779422167</v>
      </c>
      <c r="E16" s="24" t="s">
        <v>42</v>
      </c>
      <c r="F16" s="27">
        <v>-3.4</v>
      </c>
      <c r="G16" s="24" t="s">
        <v>43</v>
      </c>
      <c r="H16" s="27">
        <v>-308.52999999999997</v>
      </c>
      <c r="I16" s="24" t="s">
        <v>178</v>
      </c>
      <c r="J16" s="24" t="s">
        <v>40</v>
      </c>
      <c r="K16" s="17">
        <v>256779418492</v>
      </c>
      <c r="L16" s="34" t="e">
        <v>#N/A</v>
      </c>
    </row>
  </sheetData>
  <autoFilter ref="A1:M16" xr:uid="{CDEEE27C-71FE-4C98-A3D0-463850A837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Ledger</vt:lpstr>
      <vt:lpstr>Ascendus Ledger</vt:lpstr>
      <vt:lpstr>TDS </vt:lpstr>
      <vt:lpstr>Invoices not in customers books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2015-06-05T18:17:20Z</dcterms:created>
  <dcterms:modified xsi:type="dcterms:W3CDTF">2026-04-23T10:00:36Z</dcterms:modified>
</cp:coreProperties>
</file>