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1. SCOPE LOGISTICS SERVICES INDIA PVT\"/>
    </mc:Choice>
  </mc:AlternateContent>
  <xr:revisionPtr revIDLastSave="0" documentId="13_ncr:1_{E289E8EB-8B4D-4085-BED6-C500D6CA18B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  <sheet name="Sheet3" sheetId="3" r:id="rId2"/>
    <sheet name="working" sheetId="2" r:id="rId3"/>
  </sheets>
  <externalReferences>
    <externalReference r:id="rId4"/>
  </externalReferences>
  <definedNames>
    <definedName name="_xlnm._FilterDatabase" localSheetId="0" hidden="1">Sheet1!$A$1:$AG$1</definedName>
    <definedName name="_xlnm._FilterDatabase" localSheetId="2" hidden="1">working!$A$2:$AK$480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4" i="2" l="1"/>
  <c r="V32" i="2"/>
  <c r="W32" i="2" s="1"/>
  <c r="X32" i="2" s="1"/>
  <c r="V30" i="2"/>
  <c r="W30" i="2" s="1"/>
  <c r="X30" i="2" s="1"/>
  <c r="V27" i="2"/>
  <c r="W27" i="2" s="1"/>
  <c r="X27" i="2" s="1"/>
  <c r="V24" i="2"/>
  <c r="W24" i="2" s="1"/>
  <c r="X24" i="2" s="1"/>
  <c r="V22" i="2"/>
  <c r="W22" i="2" s="1"/>
  <c r="X22" i="2" s="1"/>
  <c r="V19" i="2"/>
  <c r="W19" i="2" s="1"/>
  <c r="X19" i="2" s="1"/>
  <c r="V15" i="2"/>
  <c r="W15" i="2" s="1"/>
  <c r="X15" i="2" s="1"/>
  <c r="V480" i="2"/>
  <c r="W480" i="2" s="1"/>
  <c r="X480" i="2" s="1"/>
  <c r="V479" i="2"/>
  <c r="W479" i="2" s="1"/>
  <c r="X479" i="2" s="1"/>
  <c r="V478" i="2"/>
  <c r="W478" i="2" s="1"/>
  <c r="X478" i="2" s="1"/>
  <c r="V477" i="2"/>
  <c r="W477" i="2" s="1"/>
  <c r="X477" i="2" s="1"/>
  <c r="V476" i="2"/>
  <c r="W476" i="2" s="1"/>
  <c r="X476" i="2" s="1"/>
  <c r="V475" i="2"/>
  <c r="W475" i="2" s="1"/>
  <c r="X475" i="2" s="1"/>
  <c r="V474" i="2"/>
  <c r="W474" i="2" s="1"/>
  <c r="X474" i="2" s="1"/>
  <c r="V473" i="2"/>
  <c r="W473" i="2" s="1"/>
  <c r="X473" i="2" s="1"/>
  <c r="V472" i="2"/>
  <c r="W472" i="2" s="1"/>
  <c r="X472" i="2" s="1"/>
  <c r="V471" i="2"/>
  <c r="W471" i="2" s="1"/>
  <c r="X471" i="2" s="1"/>
  <c r="V470" i="2"/>
  <c r="W470" i="2" s="1"/>
  <c r="X470" i="2" s="1"/>
  <c r="V469" i="2"/>
  <c r="W469" i="2" s="1"/>
  <c r="X469" i="2" s="1"/>
  <c r="V468" i="2"/>
  <c r="W468" i="2" s="1"/>
  <c r="X468" i="2" s="1"/>
  <c r="V467" i="2"/>
  <c r="W467" i="2" s="1"/>
  <c r="X467" i="2" s="1"/>
  <c r="V466" i="2"/>
  <c r="W466" i="2" s="1"/>
  <c r="X466" i="2" s="1"/>
  <c r="V465" i="2"/>
  <c r="W465" i="2" s="1"/>
  <c r="X465" i="2" s="1"/>
  <c r="V464" i="2"/>
  <c r="W464" i="2" s="1"/>
  <c r="X464" i="2" s="1"/>
  <c r="V463" i="2"/>
  <c r="W463" i="2" s="1"/>
  <c r="X463" i="2" s="1"/>
  <c r="V462" i="2"/>
  <c r="W462" i="2" s="1"/>
  <c r="X462" i="2" s="1"/>
  <c r="V461" i="2"/>
  <c r="W461" i="2" s="1"/>
  <c r="X461" i="2" s="1"/>
  <c r="V460" i="2"/>
  <c r="W460" i="2" s="1"/>
  <c r="X460" i="2" s="1"/>
  <c r="V459" i="2"/>
  <c r="W459" i="2" s="1"/>
  <c r="X459" i="2" s="1"/>
  <c r="V458" i="2"/>
  <c r="W458" i="2" s="1"/>
  <c r="X458" i="2" s="1"/>
  <c r="V457" i="2"/>
  <c r="W457" i="2" s="1"/>
  <c r="X457" i="2" s="1"/>
  <c r="V456" i="2"/>
  <c r="W456" i="2" s="1"/>
  <c r="X456" i="2" s="1"/>
  <c r="V455" i="2"/>
  <c r="W455" i="2" s="1"/>
  <c r="X455" i="2" s="1"/>
  <c r="V454" i="2"/>
  <c r="W454" i="2" s="1"/>
  <c r="X454" i="2" s="1"/>
  <c r="V453" i="2"/>
  <c r="W453" i="2" s="1"/>
  <c r="X453" i="2" s="1"/>
  <c r="V452" i="2"/>
  <c r="W452" i="2" s="1"/>
  <c r="X452" i="2" s="1"/>
  <c r="V451" i="2"/>
  <c r="W451" i="2" s="1"/>
  <c r="X451" i="2" s="1"/>
  <c r="V450" i="2"/>
  <c r="W450" i="2" s="1"/>
  <c r="X450" i="2" s="1"/>
  <c r="V449" i="2"/>
  <c r="W449" i="2" s="1"/>
  <c r="X449" i="2" s="1"/>
  <c r="V448" i="2"/>
  <c r="W448" i="2" s="1"/>
  <c r="X448" i="2" s="1"/>
  <c r="V447" i="2"/>
  <c r="W447" i="2" s="1"/>
  <c r="X447" i="2" s="1"/>
  <c r="V446" i="2"/>
  <c r="W446" i="2" s="1"/>
  <c r="X446" i="2" s="1"/>
  <c r="V445" i="2"/>
  <c r="W445" i="2" s="1"/>
  <c r="X445" i="2" s="1"/>
  <c r="V444" i="2"/>
  <c r="W444" i="2" s="1"/>
  <c r="X444" i="2" s="1"/>
  <c r="V443" i="2"/>
  <c r="W443" i="2" s="1"/>
  <c r="X443" i="2" s="1"/>
  <c r="V442" i="2"/>
  <c r="W442" i="2" s="1"/>
  <c r="X442" i="2" s="1"/>
  <c r="V441" i="2"/>
  <c r="W441" i="2" s="1"/>
  <c r="X441" i="2" s="1"/>
  <c r="V440" i="2"/>
  <c r="W440" i="2" s="1"/>
  <c r="X440" i="2" s="1"/>
  <c r="V439" i="2"/>
  <c r="W439" i="2" s="1"/>
  <c r="X439" i="2" s="1"/>
  <c r="V438" i="2"/>
  <c r="W438" i="2" s="1"/>
  <c r="X438" i="2" s="1"/>
  <c r="V437" i="2"/>
  <c r="W437" i="2" s="1"/>
  <c r="X437" i="2" s="1"/>
  <c r="V436" i="2"/>
  <c r="W436" i="2" s="1"/>
  <c r="X436" i="2" s="1"/>
  <c r="V435" i="2"/>
  <c r="W435" i="2" s="1"/>
  <c r="X435" i="2" s="1"/>
  <c r="V434" i="2"/>
  <c r="W434" i="2" s="1"/>
  <c r="X434" i="2" s="1"/>
  <c r="V433" i="2"/>
  <c r="W433" i="2" s="1"/>
  <c r="X433" i="2" s="1"/>
  <c r="V432" i="2"/>
  <c r="W432" i="2" s="1"/>
  <c r="X432" i="2" s="1"/>
  <c r="V431" i="2"/>
  <c r="W431" i="2" s="1"/>
  <c r="X431" i="2" s="1"/>
  <c r="V430" i="2"/>
  <c r="W430" i="2" s="1"/>
  <c r="X430" i="2" s="1"/>
  <c r="V429" i="2"/>
  <c r="W429" i="2" s="1"/>
  <c r="X429" i="2" s="1"/>
  <c r="V428" i="2"/>
  <c r="W428" i="2" s="1"/>
  <c r="X428" i="2" s="1"/>
  <c r="V427" i="2"/>
  <c r="W427" i="2" s="1"/>
  <c r="X427" i="2" s="1"/>
  <c r="V426" i="2"/>
  <c r="W426" i="2" s="1"/>
  <c r="X426" i="2" s="1"/>
  <c r="V425" i="2"/>
  <c r="W425" i="2" s="1"/>
  <c r="X425" i="2" s="1"/>
  <c r="V424" i="2"/>
  <c r="W424" i="2" s="1"/>
  <c r="X424" i="2" s="1"/>
  <c r="V423" i="2"/>
  <c r="W423" i="2" s="1"/>
  <c r="X423" i="2" s="1"/>
  <c r="V422" i="2"/>
  <c r="W422" i="2" s="1"/>
  <c r="X422" i="2" s="1"/>
  <c r="V421" i="2"/>
  <c r="W421" i="2" s="1"/>
  <c r="X421" i="2" s="1"/>
  <c r="V420" i="2"/>
  <c r="W420" i="2" s="1"/>
  <c r="X420" i="2" s="1"/>
  <c r="V419" i="2"/>
  <c r="W419" i="2" s="1"/>
  <c r="X419" i="2" s="1"/>
  <c r="V418" i="2"/>
  <c r="W418" i="2" s="1"/>
  <c r="X418" i="2" s="1"/>
  <c r="V417" i="2"/>
  <c r="W417" i="2" s="1"/>
  <c r="X417" i="2" s="1"/>
  <c r="V416" i="2"/>
  <c r="W416" i="2" s="1"/>
  <c r="X416" i="2" s="1"/>
  <c r="V415" i="2"/>
  <c r="W415" i="2" s="1"/>
  <c r="X415" i="2" s="1"/>
  <c r="V414" i="2"/>
  <c r="W414" i="2" s="1"/>
  <c r="X414" i="2" s="1"/>
  <c r="V413" i="2"/>
  <c r="W413" i="2" s="1"/>
  <c r="X413" i="2" s="1"/>
  <c r="V412" i="2"/>
  <c r="W412" i="2" s="1"/>
  <c r="X412" i="2" s="1"/>
  <c r="V411" i="2"/>
  <c r="W411" i="2" s="1"/>
  <c r="X411" i="2" s="1"/>
  <c r="V410" i="2"/>
  <c r="W410" i="2" s="1"/>
  <c r="X410" i="2" s="1"/>
  <c r="V409" i="2"/>
  <c r="W409" i="2" s="1"/>
  <c r="X409" i="2" s="1"/>
  <c r="V408" i="2"/>
  <c r="W408" i="2" s="1"/>
  <c r="X408" i="2" s="1"/>
  <c r="V407" i="2"/>
  <c r="W407" i="2" s="1"/>
  <c r="X407" i="2" s="1"/>
  <c r="V406" i="2"/>
  <c r="W406" i="2" s="1"/>
  <c r="X406" i="2" s="1"/>
  <c r="V405" i="2"/>
  <c r="W405" i="2" s="1"/>
  <c r="X405" i="2" s="1"/>
  <c r="V404" i="2"/>
  <c r="W404" i="2" s="1"/>
  <c r="X404" i="2" s="1"/>
  <c r="V403" i="2"/>
  <c r="W403" i="2" s="1"/>
  <c r="X403" i="2" s="1"/>
  <c r="V402" i="2"/>
  <c r="W402" i="2" s="1"/>
  <c r="X402" i="2" s="1"/>
  <c r="V401" i="2"/>
  <c r="W401" i="2" s="1"/>
  <c r="X401" i="2" s="1"/>
  <c r="V400" i="2"/>
  <c r="W400" i="2" s="1"/>
  <c r="X400" i="2" s="1"/>
  <c r="V399" i="2"/>
  <c r="W399" i="2" s="1"/>
  <c r="X399" i="2" s="1"/>
  <c r="V398" i="2"/>
  <c r="W398" i="2" s="1"/>
  <c r="X398" i="2" s="1"/>
  <c r="V397" i="2"/>
  <c r="W397" i="2" s="1"/>
  <c r="X397" i="2" s="1"/>
  <c r="V396" i="2"/>
  <c r="W396" i="2" s="1"/>
  <c r="X396" i="2" s="1"/>
  <c r="V395" i="2"/>
  <c r="W395" i="2" s="1"/>
  <c r="X395" i="2" s="1"/>
  <c r="V394" i="2"/>
  <c r="W394" i="2" s="1"/>
  <c r="X394" i="2" s="1"/>
  <c r="V393" i="2"/>
  <c r="W393" i="2" s="1"/>
  <c r="X393" i="2" s="1"/>
  <c r="V392" i="2"/>
  <c r="W392" i="2" s="1"/>
  <c r="X392" i="2" s="1"/>
  <c r="V391" i="2"/>
  <c r="W391" i="2" s="1"/>
  <c r="X391" i="2" s="1"/>
  <c r="V390" i="2"/>
  <c r="W390" i="2" s="1"/>
  <c r="X390" i="2" s="1"/>
  <c r="V389" i="2"/>
  <c r="W389" i="2" s="1"/>
  <c r="X389" i="2" s="1"/>
  <c r="V388" i="2"/>
  <c r="W388" i="2" s="1"/>
  <c r="X388" i="2" s="1"/>
  <c r="V387" i="2"/>
  <c r="W387" i="2" s="1"/>
  <c r="X387" i="2" s="1"/>
  <c r="V386" i="2"/>
  <c r="W386" i="2" s="1"/>
  <c r="X386" i="2" s="1"/>
  <c r="V385" i="2"/>
  <c r="W385" i="2" s="1"/>
  <c r="X385" i="2" s="1"/>
  <c r="V384" i="2"/>
  <c r="W384" i="2" s="1"/>
  <c r="X384" i="2" s="1"/>
  <c r="V383" i="2"/>
  <c r="W383" i="2" s="1"/>
  <c r="X383" i="2" s="1"/>
  <c r="V382" i="2"/>
  <c r="W382" i="2" s="1"/>
  <c r="X382" i="2" s="1"/>
  <c r="V381" i="2"/>
  <c r="W381" i="2" s="1"/>
  <c r="X381" i="2" s="1"/>
  <c r="V380" i="2"/>
  <c r="W380" i="2" s="1"/>
  <c r="X380" i="2" s="1"/>
  <c r="V379" i="2"/>
  <c r="W379" i="2" s="1"/>
  <c r="X379" i="2" s="1"/>
  <c r="V378" i="2"/>
  <c r="W378" i="2" s="1"/>
  <c r="X378" i="2" s="1"/>
  <c r="V377" i="2"/>
  <c r="W377" i="2" s="1"/>
  <c r="X377" i="2" s="1"/>
  <c r="V376" i="2"/>
  <c r="W376" i="2" s="1"/>
  <c r="X376" i="2" s="1"/>
  <c r="V375" i="2"/>
  <c r="W375" i="2" s="1"/>
  <c r="X375" i="2" s="1"/>
  <c r="V374" i="2"/>
  <c r="W374" i="2" s="1"/>
  <c r="X374" i="2" s="1"/>
  <c r="V373" i="2"/>
  <c r="W373" i="2" s="1"/>
  <c r="X373" i="2" s="1"/>
  <c r="V372" i="2"/>
  <c r="W372" i="2" s="1"/>
  <c r="X372" i="2" s="1"/>
  <c r="V371" i="2"/>
  <c r="W371" i="2" s="1"/>
  <c r="V370" i="2"/>
  <c r="W370" i="2" s="1"/>
  <c r="V369" i="2"/>
  <c r="W369" i="2" s="1"/>
  <c r="V368" i="2"/>
  <c r="W368" i="2" s="1"/>
  <c r="V367" i="2"/>
  <c r="W367" i="2" s="1"/>
  <c r="V366" i="2"/>
  <c r="W366" i="2" s="1"/>
  <c r="V365" i="2"/>
  <c r="W365" i="2" s="1"/>
  <c r="V364" i="2"/>
  <c r="W364" i="2" s="1"/>
  <c r="V363" i="2"/>
  <c r="W363" i="2" s="1"/>
  <c r="V362" i="2"/>
  <c r="W362" i="2" s="1"/>
  <c r="V361" i="2"/>
  <c r="W361" i="2" s="1"/>
  <c r="V360" i="2"/>
  <c r="W360" i="2" s="1"/>
  <c r="V359" i="2"/>
  <c r="W359" i="2" s="1"/>
  <c r="V358" i="2"/>
  <c r="W358" i="2" s="1"/>
  <c r="V357" i="2"/>
  <c r="W357" i="2" s="1"/>
  <c r="V356" i="2"/>
  <c r="W356" i="2" s="1"/>
  <c r="V355" i="2"/>
  <c r="W355" i="2" s="1"/>
  <c r="V354" i="2"/>
  <c r="W354" i="2" s="1"/>
  <c r="V353" i="2"/>
  <c r="W353" i="2" s="1"/>
  <c r="V352" i="2"/>
  <c r="W352" i="2" s="1"/>
  <c r="V351" i="2"/>
  <c r="W351" i="2" s="1"/>
  <c r="V350" i="2"/>
  <c r="W350" i="2" s="1"/>
  <c r="V349" i="2"/>
  <c r="W349" i="2" s="1"/>
  <c r="V348" i="2"/>
  <c r="W348" i="2" s="1"/>
  <c r="V347" i="2"/>
  <c r="W347" i="2" s="1"/>
  <c r="V346" i="2"/>
  <c r="W346" i="2" s="1"/>
  <c r="V345" i="2"/>
  <c r="W345" i="2" s="1"/>
  <c r="V344" i="2"/>
  <c r="W344" i="2" s="1"/>
  <c r="V343" i="2"/>
  <c r="W343" i="2" s="1"/>
  <c r="V342" i="2"/>
  <c r="W342" i="2" s="1"/>
  <c r="V341" i="2"/>
  <c r="W341" i="2" s="1"/>
  <c r="V340" i="2"/>
  <c r="W340" i="2" s="1"/>
  <c r="V339" i="2"/>
  <c r="W339" i="2" s="1"/>
  <c r="V338" i="2"/>
  <c r="W338" i="2" s="1"/>
  <c r="V337" i="2"/>
  <c r="W337" i="2" s="1"/>
  <c r="V336" i="2"/>
  <c r="W336" i="2" s="1"/>
  <c r="V335" i="2"/>
  <c r="W335" i="2" s="1"/>
  <c r="V334" i="2"/>
  <c r="W334" i="2" s="1"/>
  <c r="V333" i="2"/>
  <c r="W333" i="2" s="1"/>
  <c r="V332" i="2"/>
  <c r="W332" i="2" s="1"/>
  <c r="V331" i="2"/>
  <c r="W331" i="2" s="1"/>
  <c r="V330" i="2"/>
  <c r="W330" i="2" s="1"/>
  <c r="V329" i="2"/>
  <c r="W329" i="2" s="1"/>
  <c r="V328" i="2"/>
  <c r="W328" i="2" s="1"/>
  <c r="V327" i="2"/>
  <c r="W327" i="2" s="1"/>
  <c r="V326" i="2"/>
  <c r="W326" i="2" s="1"/>
  <c r="V325" i="2"/>
  <c r="W325" i="2" s="1"/>
  <c r="V324" i="2"/>
  <c r="W324" i="2" s="1"/>
  <c r="V323" i="2"/>
  <c r="W323" i="2" s="1"/>
  <c r="V322" i="2"/>
  <c r="W322" i="2" s="1"/>
  <c r="V321" i="2"/>
  <c r="W321" i="2" s="1"/>
  <c r="V320" i="2"/>
  <c r="W320" i="2" s="1"/>
  <c r="X320" i="2" s="1"/>
  <c r="V319" i="2"/>
  <c r="W319" i="2" s="1"/>
  <c r="X319" i="2" s="1"/>
  <c r="V318" i="2"/>
  <c r="W318" i="2" s="1"/>
  <c r="X318" i="2" s="1"/>
  <c r="V317" i="2"/>
  <c r="W317" i="2" s="1"/>
  <c r="X317" i="2" s="1"/>
  <c r="V316" i="2"/>
  <c r="W316" i="2" s="1"/>
  <c r="X316" i="2" s="1"/>
  <c r="V315" i="2"/>
  <c r="W315" i="2" s="1"/>
  <c r="X315" i="2" s="1"/>
  <c r="V314" i="2"/>
  <c r="W314" i="2" s="1"/>
  <c r="X314" i="2" s="1"/>
  <c r="V313" i="2"/>
  <c r="W313" i="2" s="1"/>
  <c r="X313" i="2" s="1"/>
  <c r="V312" i="2"/>
  <c r="W312" i="2" s="1"/>
  <c r="X312" i="2" s="1"/>
  <c r="V311" i="2"/>
  <c r="W311" i="2" s="1"/>
  <c r="X311" i="2" s="1"/>
  <c r="V310" i="2"/>
  <c r="W310" i="2" s="1"/>
  <c r="X310" i="2" s="1"/>
  <c r="V309" i="2"/>
  <c r="W309" i="2" s="1"/>
  <c r="X309" i="2" s="1"/>
  <c r="V308" i="2"/>
  <c r="W308" i="2" s="1"/>
  <c r="X308" i="2" s="1"/>
  <c r="V307" i="2"/>
  <c r="W307" i="2" s="1"/>
  <c r="X307" i="2" s="1"/>
  <c r="V306" i="2"/>
  <c r="W306" i="2" s="1"/>
  <c r="X306" i="2" s="1"/>
  <c r="V305" i="2"/>
  <c r="W305" i="2" s="1"/>
  <c r="X305" i="2" s="1"/>
  <c r="V304" i="2"/>
  <c r="W304" i="2" s="1"/>
  <c r="X304" i="2" s="1"/>
  <c r="V303" i="2"/>
  <c r="W303" i="2" s="1"/>
  <c r="X303" i="2" s="1"/>
  <c r="V302" i="2"/>
  <c r="W302" i="2" s="1"/>
  <c r="X302" i="2" s="1"/>
  <c r="V301" i="2"/>
  <c r="W301" i="2" s="1"/>
  <c r="X301" i="2" s="1"/>
  <c r="V300" i="2"/>
  <c r="W300" i="2" s="1"/>
  <c r="X300" i="2" s="1"/>
  <c r="V299" i="2"/>
  <c r="W299" i="2" s="1"/>
  <c r="X299" i="2" s="1"/>
  <c r="V298" i="2"/>
  <c r="W298" i="2" s="1"/>
  <c r="X298" i="2" s="1"/>
  <c r="V297" i="2"/>
  <c r="W297" i="2" s="1"/>
  <c r="X297" i="2" s="1"/>
  <c r="V296" i="2"/>
  <c r="W296" i="2" s="1"/>
  <c r="X296" i="2" s="1"/>
  <c r="V295" i="2"/>
  <c r="W295" i="2" s="1"/>
  <c r="X295" i="2" s="1"/>
  <c r="V294" i="2"/>
  <c r="W294" i="2" s="1"/>
  <c r="X294" i="2" s="1"/>
  <c r="V293" i="2"/>
  <c r="W293" i="2" s="1"/>
  <c r="X293" i="2" s="1"/>
  <c r="V292" i="2"/>
  <c r="W292" i="2" s="1"/>
  <c r="X292" i="2" s="1"/>
  <c r="V291" i="2"/>
  <c r="W291" i="2" s="1"/>
  <c r="X291" i="2" s="1"/>
  <c r="V290" i="2"/>
  <c r="W290" i="2" s="1"/>
  <c r="X290" i="2" s="1"/>
  <c r="V289" i="2"/>
  <c r="W289" i="2" s="1"/>
  <c r="X289" i="2" s="1"/>
  <c r="V288" i="2"/>
  <c r="W288" i="2" s="1"/>
  <c r="X288" i="2" s="1"/>
  <c r="V287" i="2"/>
  <c r="W287" i="2" s="1"/>
  <c r="X287" i="2" s="1"/>
  <c r="V286" i="2"/>
  <c r="W286" i="2" s="1"/>
  <c r="X286" i="2" s="1"/>
  <c r="V285" i="2"/>
  <c r="W285" i="2" s="1"/>
  <c r="X285" i="2" s="1"/>
  <c r="V284" i="2"/>
  <c r="W284" i="2" s="1"/>
  <c r="X284" i="2" s="1"/>
  <c r="V283" i="2"/>
  <c r="W283" i="2" s="1"/>
  <c r="X283" i="2" s="1"/>
  <c r="V282" i="2"/>
  <c r="W282" i="2" s="1"/>
  <c r="X282" i="2" s="1"/>
  <c r="V281" i="2"/>
  <c r="W281" i="2" s="1"/>
  <c r="X281" i="2" s="1"/>
  <c r="V280" i="2"/>
  <c r="W280" i="2" s="1"/>
  <c r="X280" i="2" s="1"/>
  <c r="V279" i="2"/>
  <c r="W279" i="2" s="1"/>
  <c r="X279" i="2" s="1"/>
  <c r="V278" i="2"/>
  <c r="W278" i="2" s="1"/>
  <c r="X278" i="2" s="1"/>
  <c r="V277" i="2"/>
  <c r="W277" i="2" s="1"/>
  <c r="X277" i="2" s="1"/>
  <c r="V276" i="2"/>
  <c r="W276" i="2" s="1"/>
  <c r="X276" i="2" s="1"/>
  <c r="V275" i="2"/>
  <c r="W275" i="2" s="1"/>
  <c r="X275" i="2" s="1"/>
  <c r="V274" i="2"/>
  <c r="W274" i="2" s="1"/>
  <c r="X274" i="2" s="1"/>
  <c r="V273" i="2"/>
  <c r="W273" i="2" s="1"/>
  <c r="X273" i="2" s="1"/>
  <c r="V272" i="2"/>
  <c r="W272" i="2" s="1"/>
  <c r="X272" i="2" s="1"/>
  <c r="V271" i="2"/>
  <c r="W271" i="2" s="1"/>
  <c r="X271" i="2" s="1"/>
  <c r="V270" i="2"/>
  <c r="W270" i="2" s="1"/>
  <c r="X270" i="2" s="1"/>
  <c r="V269" i="2"/>
  <c r="W269" i="2" s="1"/>
  <c r="X269" i="2" s="1"/>
  <c r="V268" i="2"/>
  <c r="W268" i="2" s="1"/>
  <c r="X268" i="2" s="1"/>
  <c r="V267" i="2"/>
  <c r="W267" i="2" s="1"/>
  <c r="X267" i="2" s="1"/>
  <c r="V266" i="2"/>
  <c r="W266" i="2" s="1"/>
  <c r="X266" i="2" s="1"/>
  <c r="V265" i="2"/>
  <c r="W265" i="2" s="1"/>
  <c r="X265" i="2" s="1"/>
  <c r="V264" i="2"/>
  <c r="W264" i="2" s="1"/>
  <c r="X264" i="2" s="1"/>
  <c r="V263" i="2"/>
  <c r="W263" i="2" s="1"/>
  <c r="X263" i="2" s="1"/>
  <c r="V262" i="2"/>
  <c r="W262" i="2" s="1"/>
  <c r="X262" i="2" s="1"/>
  <c r="V261" i="2"/>
  <c r="W261" i="2" s="1"/>
  <c r="X261" i="2" s="1"/>
  <c r="V260" i="2"/>
  <c r="W260" i="2" s="1"/>
  <c r="X260" i="2" s="1"/>
  <c r="V259" i="2"/>
  <c r="W259" i="2" s="1"/>
  <c r="X259" i="2" s="1"/>
  <c r="V258" i="2"/>
  <c r="W258" i="2" s="1"/>
  <c r="X258" i="2" s="1"/>
  <c r="V257" i="2"/>
  <c r="W257" i="2" s="1"/>
  <c r="X257" i="2" s="1"/>
  <c r="V256" i="2"/>
  <c r="W256" i="2" s="1"/>
  <c r="X256" i="2" s="1"/>
  <c r="V255" i="2"/>
  <c r="W255" i="2" s="1"/>
  <c r="X255" i="2" s="1"/>
  <c r="V254" i="2"/>
  <c r="W254" i="2" s="1"/>
  <c r="X254" i="2" s="1"/>
  <c r="V253" i="2"/>
  <c r="W253" i="2" s="1"/>
  <c r="X253" i="2" s="1"/>
  <c r="V252" i="2"/>
  <c r="W252" i="2" s="1"/>
  <c r="X252" i="2" s="1"/>
  <c r="V251" i="2"/>
  <c r="W251" i="2" s="1"/>
  <c r="X251" i="2" s="1"/>
  <c r="V250" i="2"/>
  <c r="W250" i="2" s="1"/>
  <c r="X250" i="2" s="1"/>
  <c r="V249" i="2"/>
  <c r="W249" i="2" s="1"/>
  <c r="X249" i="2" s="1"/>
  <c r="V248" i="2"/>
  <c r="W248" i="2" s="1"/>
  <c r="V247" i="2"/>
  <c r="W247" i="2" s="1"/>
  <c r="X247" i="2" s="1"/>
  <c r="V246" i="2"/>
  <c r="W246" i="2" s="1"/>
  <c r="X246" i="2" s="1"/>
  <c r="V245" i="2"/>
  <c r="W245" i="2" s="1"/>
  <c r="X245" i="2" s="1"/>
  <c r="V244" i="2"/>
  <c r="W244" i="2" s="1"/>
  <c r="V243" i="2"/>
  <c r="W243" i="2" s="1"/>
  <c r="V242" i="2"/>
  <c r="W242" i="2" s="1"/>
  <c r="V241" i="2"/>
  <c r="W241" i="2" s="1"/>
  <c r="X241" i="2" s="1"/>
  <c r="V240" i="2"/>
  <c r="W240" i="2" s="1"/>
  <c r="X240" i="2" s="1"/>
  <c r="V239" i="2"/>
  <c r="W239" i="2" s="1"/>
  <c r="V238" i="2"/>
  <c r="W238" i="2" s="1"/>
  <c r="X238" i="2" s="1"/>
  <c r="V237" i="2"/>
  <c r="W237" i="2" s="1"/>
  <c r="X237" i="2" s="1"/>
  <c r="V236" i="2"/>
  <c r="W236" i="2" s="1"/>
  <c r="X236" i="2" s="1"/>
  <c r="V235" i="2"/>
  <c r="W235" i="2" s="1"/>
  <c r="V234" i="2"/>
  <c r="W234" i="2" s="1"/>
  <c r="X234" i="2" s="1"/>
  <c r="V233" i="2"/>
  <c r="W233" i="2" s="1"/>
  <c r="X233" i="2" s="1"/>
  <c r="V232" i="2"/>
  <c r="W232" i="2" s="1"/>
  <c r="X232" i="2" s="1"/>
  <c r="V231" i="2"/>
  <c r="W231" i="2" s="1"/>
  <c r="X231" i="2" s="1"/>
  <c r="V230" i="2"/>
  <c r="W230" i="2" s="1"/>
  <c r="X230" i="2" s="1"/>
  <c r="V229" i="2"/>
  <c r="W229" i="2" s="1"/>
  <c r="X229" i="2" s="1"/>
  <c r="V228" i="2"/>
  <c r="W228" i="2" s="1"/>
  <c r="V227" i="2"/>
  <c r="W227" i="2" s="1"/>
  <c r="X227" i="2" s="1"/>
  <c r="V226" i="2"/>
  <c r="W226" i="2" s="1"/>
  <c r="X226" i="2" s="1"/>
  <c r="V225" i="2"/>
  <c r="W225" i="2" s="1"/>
  <c r="X225" i="2" s="1"/>
  <c r="V224" i="2"/>
  <c r="W224" i="2" s="1"/>
  <c r="X224" i="2" s="1"/>
  <c r="V223" i="2"/>
  <c r="W223" i="2" s="1"/>
  <c r="X223" i="2" s="1"/>
  <c r="V222" i="2"/>
  <c r="W222" i="2" s="1"/>
  <c r="X222" i="2" s="1"/>
  <c r="V221" i="2"/>
  <c r="W221" i="2" s="1"/>
  <c r="X221" i="2" s="1"/>
  <c r="V220" i="2"/>
  <c r="W220" i="2" s="1"/>
  <c r="X220" i="2" s="1"/>
  <c r="V219" i="2"/>
  <c r="W219" i="2" s="1"/>
  <c r="X219" i="2" s="1"/>
  <c r="V218" i="2"/>
  <c r="W218" i="2" s="1"/>
  <c r="X218" i="2" s="1"/>
  <c r="V217" i="2"/>
  <c r="W217" i="2" s="1"/>
  <c r="X217" i="2" s="1"/>
  <c r="V216" i="2"/>
  <c r="W216" i="2" s="1"/>
  <c r="V215" i="2"/>
  <c r="W215" i="2" s="1"/>
  <c r="X215" i="2" s="1"/>
  <c r="V214" i="2"/>
  <c r="W214" i="2" s="1"/>
  <c r="X214" i="2" s="1"/>
  <c r="V213" i="2"/>
  <c r="W213" i="2" s="1"/>
  <c r="X213" i="2" s="1"/>
  <c r="V212" i="2"/>
  <c r="W212" i="2" s="1"/>
  <c r="X212" i="2" s="1"/>
  <c r="V211" i="2"/>
  <c r="W211" i="2" s="1"/>
  <c r="X211" i="2" s="1"/>
  <c r="V210" i="2"/>
  <c r="W210" i="2" s="1"/>
  <c r="X210" i="2" s="1"/>
  <c r="V209" i="2"/>
  <c r="W209" i="2" s="1"/>
  <c r="X209" i="2" s="1"/>
  <c r="V208" i="2"/>
  <c r="W208" i="2" s="1"/>
  <c r="X208" i="2" s="1"/>
  <c r="V207" i="2"/>
  <c r="W207" i="2" s="1"/>
  <c r="X207" i="2" s="1"/>
  <c r="V206" i="2"/>
  <c r="W206" i="2" s="1"/>
  <c r="X206" i="2" s="1"/>
  <c r="V205" i="2"/>
  <c r="W205" i="2" s="1"/>
  <c r="V204" i="2"/>
  <c r="W204" i="2" s="1"/>
  <c r="X204" i="2" s="1"/>
  <c r="V203" i="2"/>
  <c r="W203" i="2" s="1"/>
  <c r="X203" i="2" s="1"/>
  <c r="V202" i="2"/>
  <c r="W202" i="2" s="1"/>
  <c r="X202" i="2" s="1"/>
  <c r="V201" i="2"/>
  <c r="W201" i="2" s="1"/>
  <c r="X201" i="2" s="1"/>
  <c r="V200" i="2"/>
  <c r="W200" i="2" s="1"/>
  <c r="X200" i="2" s="1"/>
  <c r="V199" i="2"/>
  <c r="W199" i="2" s="1"/>
  <c r="V198" i="2"/>
  <c r="W198" i="2" s="1"/>
  <c r="X198" i="2" s="1"/>
  <c r="V197" i="2"/>
  <c r="W197" i="2" s="1"/>
  <c r="X197" i="2" s="1"/>
  <c r="V196" i="2"/>
  <c r="W196" i="2" s="1"/>
  <c r="X196" i="2" s="1"/>
  <c r="V195" i="2"/>
  <c r="W195" i="2" s="1"/>
  <c r="X195" i="2" s="1"/>
  <c r="V194" i="2"/>
  <c r="W194" i="2" s="1"/>
  <c r="X194" i="2" s="1"/>
  <c r="V193" i="2"/>
  <c r="W193" i="2" s="1"/>
  <c r="X193" i="2" s="1"/>
  <c r="V192" i="2"/>
  <c r="W192" i="2" s="1"/>
  <c r="X192" i="2" s="1"/>
  <c r="V191" i="2"/>
  <c r="W191" i="2" s="1"/>
  <c r="X191" i="2" s="1"/>
  <c r="V190" i="2"/>
  <c r="W190" i="2" s="1"/>
  <c r="V189" i="2"/>
  <c r="W189" i="2" s="1"/>
  <c r="V188" i="2"/>
  <c r="W188" i="2" s="1"/>
  <c r="V187" i="2"/>
  <c r="W187" i="2" s="1"/>
  <c r="X187" i="2" s="1"/>
  <c r="V186" i="2"/>
  <c r="W186" i="2" s="1"/>
  <c r="X186" i="2" s="1"/>
  <c r="V185" i="2"/>
  <c r="W185" i="2" s="1"/>
  <c r="X185" i="2" s="1"/>
  <c r="V184" i="2"/>
  <c r="W184" i="2" s="1"/>
  <c r="V183" i="2"/>
  <c r="W183" i="2" s="1"/>
  <c r="X183" i="2" s="1"/>
  <c r="V182" i="2"/>
  <c r="W182" i="2" s="1"/>
  <c r="X182" i="2" s="1"/>
  <c r="V181" i="2"/>
  <c r="W181" i="2" s="1"/>
  <c r="X181" i="2" s="1"/>
  <c r="V180" i="2"/>
  <c r="W180" i="2" s="1"/>
  <c r="X180" i="2" s="1"/>
  <c r="V179" i="2"/>
  <c r="W179" i="2" s="1"/>
  <c r="X179" i="2" s="1"/>
  <c r="V178" i="2"/>
  <c r="W178" i="2" s="1"/>
  <c r="X178" i="2" s="1"/>
  <c r="V177" i="2"/>
  <c r="W177" i="2" s="1"/>
  <c r="X177" i="2" s="1"/>
  <c r="V176" i="2"/>
  <c r="W176" i="2" s="1"/>
  <c r="X176" i="2" s="1"/>
  <c r="V175" i="2"/>
  <c r="W175" i="2" s="1"/>
  <c r="X175" i="2" s="1"/>
  <c r="V174" i="2"/>
  <c r="W174" i="2" s="1"/>
  <c r="X174" i="2" s="1"/>
  <c r="V173" i="2"/>
  <c r="W173" i="2" s="1"/>
  <c r="X173" i="2" s="1"/>
  <c r="V172" i="2"/>
  <c r="W172" i="2" s="1"/>
  <c r="X172" i="2" s="1"/>
  <c r="V171" i="2"/>
  <c r="W171" i="2" s="1"/>
  <c r="X171" i="2" s="1"/>
  <c r="V170" i="2"/>
  <c r="W170" i="2" s="1"/>
  <c r="X170" i="2" s="1"/>
  <c r="V169" i="2"/>
  <c r="W169" i="2" s="1"/>
  <c r="X169" i="2" s="1"/>
  <c r="V168" i="2"/>
  <c r="W168" i="2" s="1"/>
  <c r="X168" i="2" s="1"/>
  <c r="V167" i="2"/>
  <c r="W167" i="2" s="1"/>
  <c r="X167" i="2" s="1"/>
  <c r="V166" i="2"/>
  <c r="W166" i="2" s="1"/>
  <c r="X166" i="2" s="1"/>
  <c r="V165" i="2"/>
  <c r="W165" i="2" s="1"/>
  <c r="X165" i="2" s="1"/>
  <c r="V164" i="2"/>
  <c r="W164" i="2" s="1"/>
  <c r="X164" i="2" s="1"/>
  <c r="V163" i="2"/>
  <c r="W163" i="2" s="1"/>
  <c r="X163" i="2" s="1"/>
  <c r="V162" i="2"/>
  <c r="W162" i="2" s="1"/>
  <c r="X162" i="2" s="1"/>
  <c r="V161" i="2"/>
  <c r="W161" i="2" s="1"/>
  <c r="X161" i="2" s="1"/>
  <c r="V160" i="2"/>
  <c r="W160" i="2" s="1"/>
  <c r="V159" i="2"/>
  <c r="W159" i="2" s="1"/>
  <c r="V158" i="2"/>
  <c r="W158" i="2" s="1"/>
  <c r="X158" i="2" s="1"/>
  <c r="V157" i="2"/>
  <c r="W157" i="2" s="1"/>
  <c r="X157" i="2" s="1"/>
  <c r="V156" i="2"/>
  <c r="W156" i="2" s="1"/>
  <c r="X156" i="2" s="1"/>
  <c r="V155" i="2"/>
  <c r="W155" i="2" s="1"/>
  <c r="X155" i="2" s="1"/>
  <c r="V154" i="2"/>
  <c r="W154" i="2" s="1"/>
  <c r="X154" i="2" s="1"/>
  <c r="V153" i="2"/>
  <c r="W153" i="2" s="1"/>
  <c r="V152" i="2"/>
  <c r="W152" i="2" s="1"/>
  <c r="V151" i="2"/>
  <c r="W151" i="2" s="1"/>
  <c r="V150" i="2"/>
  <c r="W150" i="2" s="1"/>
  <c r="V149" i="2"/>
  <c r="W149" i="2" s="1"/>
  <c r="V148" i="2"/>
  <c r="W148" i="2" s="1"/>
  <c r="V147" i="2"/>
  <c r="W147" i="2" s="1"/>
  <c r="X147" i="2" s="1"/>
  <c r="V146" i="2"/>
  <c r="W146" i="2" s="1"/>
  <c r="V145" i="2"/>
  <c r="W145" i="2" s="1"/>
  <c r="V144" i="2"/>
  <c r="W144" i="2" s="1"/>
  <c r="V143" i="2"/>
  <c r="W143" i="2" s="1"/>
  <c r="V142" i="2"/>
  <c r="W142" i="2" s="1"/>
  <c r="V141" i="2"/>
  <c r="W141" i="2" s="1"/>
  <c r="V140" i="2"/>
  <c r="W140" i="2" s="1"/>
  <c r="X140" i="2" s="1"/>
  <c r="V139" i="2"/>
  <c r="W139" i="2" s="1"/>
  <c r="X139" i="2" s="1"/>
  <c r="V138" i="2"/>
  <c r="W138" i="2" s="1"/>
  <c r="V137" i="2"/>
  <c r="W137" i="2" s="1"/>
  <c r="X137" i="2" s="1"/>
  <c r="V136" i="2"/>
  <c r="W136" i="2" s="1"/>
  <c r="V135" i="2"/>
  <c r="W135" i="2" s="1"/>
  <c r="V134" i="2"/>
  <c r="W134" i="2" s="1"/>
  <c r="X134" i="2" s="1"/>
  <c r="V133" i="2"/>
  <c r="W133" i="2" s="1"/>
  <c r="V132" i="2"/>
  <c r="W132" i="2" s="1"/>
  <c r="V131" i="2"/>
  <c r="W131" i="2" s="1"/>
  <c r="X131" i="2" s="1"/>
  <c r="V130" i="2"/>
  <c r="W130" i="2" s="1"/>
  <c r="V129" i="2"/>
  <c r="W129" i="2" s="1"/>
  <c r="V128" i="2"/>
  <c r="W128" i="2" s="1"/>
  <c r="X128" i="2" s="1"/>
  <c r="V127" i="2"/>
  <c r="W127" i="2" s="1"/>
  <c r="X127" i="2" s="1"/>
  <c r="V126" i="2"/>
  <c r="W126" i="2" s="1"/>
  <c r="X126" i="2" s="1"/>
  <c r="V125" i="2"/>
  <c r="W125" i="2" s="1"/>
  <c r="X125" i="2" s="1"/>
  <c r="V124" i="2"/>
  <c r="W124" i="2" s="1"/>
  <c r="X124" i="2" s="1"/>
  <c r="V123" i="2"/>
  <c r="W123" i="2" s="1"/>
  <c r="X123" i="2" s="1"/>
  <c r="V122" i="2"/>
  <c r="W122" i="2" s="1"/>
  <c r="X122" i="2" s="1"/>
  <c r="V121" i="2"/>
  <c r="W121" i="2" s="1"/>
  <c r="X121" i="2" s="1"/>
  <c r="V120" i="2"/>
  <c r="W120" i="2" s="1"/>
  <c r="V119" i="2"/>
  <c r="W119" i="2" s="1"/>
  <c r="X119" i="2" s="1"/>
  <c r="V118" i="2"/>
  <c r="W118" i="2" s="1"/>
  <c r="X118" i="2" s="1"/>
  <c r="V117" i="2"/>
  <c r="W117" i="2" s="1"/>
  <c r="X117" i="2" s="1"/>
  <c r="V116" i="2"/>
  <c r="W116" i="2" s="1"/>
  <c r="X116" i="2" s="1"/>
  <c r="V115" i="2"/>
  <c r="W115" i="2" s="1"/>
  <c r="X115" i="2" s="1"/>
  <c r="V114" i="2"/>
  <c r="W114" i="2" s="1"/>
  <c r="X114" i="2" s="1"/>
  <c r="V113" i="2"/>
  <c r="W113" i="2" s="1"/>
  <c r="X113" i="2" s="1"/>
  <c r="V112" i="2"/>
  <c r="W112" i="2" s="1"/>
  <c r="V111" i="2"/>
  <c r="W111" i="2" s="1"/>
  <c r="X111" i="2" s="1"/>
  <c r="V110" i="2"/>
  <c r="W110" i="2" s="1"/>
  <c r="V109" i="2"/>
  <c r="W109" i="2" s="1"/>
  <c r="X109" i="2" s="1"/>
  <c r="V108" i="2"/>
  <c r="W108" i="2" s="1"/>
  <c r="X108" i="2" s="1"/>
  <c r="V107" i="2"/>
  <c r="W107" i="2" s="1"/>
  <c r="X107" i="2" s="1"/>
  <c r="V106" i="2"/>
  <c r="W106" i="2" s="1"/>
  <c r="X106" i="2" s="1"/>
  <c r="V105" i="2"/>
  <c r="W105" i="2" s="1"/>
  <c r="X105" i="2" s="1"/>
  <c r="V104" i="2"/>
  <c r="W104" i="2" s="1"/>
  <c r="X104" i="2" s="1"/>
  <c r="V103" i="2"/>
  <c r="W103" i="2" s="1"/>
  <c r="X103" i="2" s="1"/>
  <c r="V102" i="2"/>
  <c r="W102" i="2" s="1"/>
  <c r="V101" i="2"/>
  <c r="W101" i="2" s="1"/>
  <c r="X101" i="2" s="1"/>
  <c r="V100" i="2"/>
  <c r="W100" i="2" s="1"/>
  <c r="X100" i="2" s="1"/>
  <c r="V99" i="2"/>
  <c r="W99" i="2" s="1"/>
  <c r="X99" i="2" s="1"/>
  <c r="V98" i="2"/>
  <c r="W98" i="2" s="1"/>
  <c r="X98" i="2" s="1"/>
  <c r="V97" i="2"/>
  <c r="W97" i="2" s="1"/>
  <c r="X97" i="2" s="1"/>
  <c r="V96" i="2"/>
  <c r="W96" i="2" s="1"/>
  <c r="X96" i="2" s="1"/>
  <c r="V95" i="2"/>
  <c r="W95" i="2" s="1"/>
  <c r="X95" i="2" s="1"/>
  <c r="V94" i="2"/>
  <c r="W94" i="2" s="1"/>
  <c r="X94" i="2" s="1"/>
  <c r="V93" i="2"/>
  <c r="W93" i="2" s="1"/>
  <c r="X93" i="2" s="1"/>
  <c r="V92" i="2"/>
  <c r="W92" i="2" s="1"/>
  <c r="X92" i="2" s="1"/>
  <c r="V91" i="2"/>
  <c r="W91" i="2" s="1"/>
  <c r="X91" i="2" s="1"/>
  <c r="V90" i="2"/>
  <c r="W90" i="2" s="1"/>
  <c r="X90" i="2" s="1"/>
  <c r="V89" i="2"/>
  <c r="W89" i="2" s="1"/>
  <c r="X89" i="2" s="1"/>
  <c r="V88" i="2"/>
  <c r="W88" i="2" s="1"/>
  <c r="X88" i="2" s="1"/>
  <c r="V87" i="2"/>
  <c r="W87" i="2" s="1"/>
  <c r="X87" i="2" s="1"/>
  <c r="V86" i="2"/>
  <c r="W86" i="2" s="1"/>
  <c r="X86" i="2" s="1"/>
  <c r="V85" i="2"/>
  <c r="W85" i="2" s="1"/>
  <c r="X85" i="2" s="1"/>
  <c r="V84" i="2"/>
  <c r="W84" i="2" s="1"/>
  <c r="X84" i="2" s="1"/>
  <c r="V83" i="2"/>
  <c r="W83" i="2" s="1"/>
  <c r="X83" i="2" s="1"/>
  <c r="V82" i="2"/>
  <c r="W82" i="2" s="1"/>
  <c r="X82" i="2" s="1"/>
  <c r="V81" i="2"/>
  <c r="W81" i="2" s="1"/>
  <c r="X81" i="2" s="1"/>
  <c r="V80" i="2"/>
  <c r="W80" i="2" s="1"/>
  <c r="X80" i="2" s="1"/>
  <c r="V79" i="2"/>
  <c r="W79" i="2" s="1"/>
  <c r="V78" i="2"/>
  <c r="W78" i="2" s="1"/>
  <c r="V77" i="2"/>
  <c r="W77" i="2" s="1"/>
  <c r="V76" i="2"/>
  <c r="W76" i="2" s="1"/>
  <c r="V75" i="2"/>
  <c r="W75" i="2" s="1"/>
  <c r="V74" i="2"/>
  <c r="W74" i="2" s="1"/>
  <c r="V73" i="2"/>
  <c r="W73" i="2" s="1"/>
  <c r="X73" i="2" s="1"/>
  <c r="V72" i="2"/>
  <c r="W72" i="2" s="1"/>
  <c r="X72" i="2" s="1"/>
  <c r="V71" i="2"/>
  <c r="W71" i="2" s="1"/>
  <c r="X71" i="2" s="1"/>
  <c r="V70" i="2"/>
  <c r="W70" i="2" s="1"/>
  <c r="V69" i="2"/>
  <c r="W69" i="2" s="1"/>
  <c r="V68" i="2"/>
  <c r="W68" i="2" s="1"/>
  <c r="X68" i="2" s="1"/>
  <c r="V67" i="2"/>
  <c r="W67" i="2" s="1"/>
  <c r="X67" i="2" s="1"/>
  <c r="V66" i="2"/>
  <c r="W66" i="2" s="1"/>
  <c r="X66" i="2" s="1"/>
  <c r="V65" i="2"/>
  <c r="W65" i="2" s="1"/>
  <c r="X65" i="2" s="1"/>
  <c r="V64" i="2"/>
  <c r="W64" i="2" s="1"/>
  <c r="X64" i="2" s="1"/>
  <c r="V63" i="2"/>
  <c r="W63" i="2" s="1"/>
  <c r="X63" i="2" s="1"/>
  <c r="V62" i="2"/>
  <c r="W62" i="2" s="1"/>
  <c r="V61" i="2"/>
  <c r="W61" i="2" s="1"/>
  <c r="V60" i="2"/>
  <c r="W60" i="2" s="1"/>
  <c r="V59" i="2"/>
  <c r="W59" i="2" s="1"/>
  <c r="X59" i="2" s="1"/>
  <c r="V58" i="2"/>
  <c r="W58" i="2" s="1"/>
  <c r="X58" i="2" s="1"/>
  <c r="V57" i="2"/>
  <c r="W57" i="2" s="1"/>
  <c r="V56" i="2"/>
  <c r="W56" i="2" s="1"/>
  <c r="X56" i="2" s="1"/>
  <c r="V55" i="2"/>
  <c r="W55" i="2" s="1"/>
  <c r="V54" i="2"/>
  <c r="W54" i="2" s="1"/>
  <c r="V53" i="2"/>
  <c r="W53" i="2" s="1"/>
  <c r="V52" i="2"/>
  <c r="W52" i="2" s="1"/>
  <c r="V51" i="2"/>
  <c r="W51" i="2" s="1"/>
  <c r="X51" i="2" s="1"/>
  <c r="V50" i="2"/>
  <c r="W50" i="2" s="1"/>
  <c r="X50" i="2" s="1"/>
  <c r="V49" i="2"/>
  <c r="W49" i="2" s="1"/>
  <c r="X49" i="2" s="1"/>
  <c r="V48" i="2"/>
  <c r="W48" i="2" s="1"/>
  <c r="V47" i="2"/>
  <c r="W47" i="2" s="1"/>
  <c r="V46" i="2"/>
  <c r="W46" i="2" s="1"/>
  <c r="X46" i="2" s="1"/>
  <c r="V45" i="2"/>
  <c r="W45" i="2" s="1"/>
  <c r="X45" i="2" s="1"/>
  <c r="V44" i="2"/>
  <c r="W44" i="2" s="1"/>
  <c r="X44" i="2" s="1"/>
  <c r="V43" i="2"/>
  <c r="W43" i="2" s="1"/>
  <c r="X43" i="2" s="1"/>
  <c r="V42" i="2"/>
  <c r="W42" i="2" s="1"/>
  <c r="X42" i="2" s="1"/>
  <c r="V41" i="2"/>
  <c r="W41" i="2" s="1"/>
  <c r="X41" i="2" s="1"/>
  <c r="V40" i="2"/>
  <c r="W40" i="2" s="1"/>
  <c r="X40" i="2" s="1"/>
  <c r="V39" i="2"/>
  <c r="W39" i="2" s="1"/>
  <c r="V38" i="2"/>
  <c r="W38" i="2" s="1"/>
  <c r="X38" i="2" s="1"/>
  <c r="V37" i="2"/>
  <c r="W37" i="2" s="1"/>
  <c r="X37" i="2" s="1"/>
  <c r="V36" i="2"/>
  <c r="W36" i="2" s="1"/>
  <c r="V35" i="2"/>
  <c r="W35" i="2" s="1"/>
  <c r="W34" i="2"/>
  <c r="X34" i="2" s="1"/>
  <c r="V33" i="2"/>
  <c r="W33" i="2" s="1"/>
  <c r="V31" i="2"/>
  <c r="W31" i="2" s="1"/>
  <c r="V29" i="2"/>
  <c r="W29" i="2" s="1"/>
  <c r="V28" i="2"/>
  <c r="W28" i="2" s="1"/>
  <c r="V26" i="2"/>
  <c r="W26" i="2" s="1"/>
  <c r="V25" i="2"/>
  <c r="W25" i="2" s="1"/>
  <c r="V23" i="2"/>
  <c r="W23" i="2" s="1"/>
  <c r="V21" i="2"/>
  <c r="W21" i="2" s="1"/>
  <c r="V20" i="2"/>
  <c r="W20" i="2" s="1"/>
  <c r="V18" i="2"/>
  <c r="W18" i="2" s="1"/>
  <c r="V17" i="2"/>
  <c r="W17" i="2" s="1"/>
  <c r="V16" i="2"/>
  <c r="W16" i="2" s="1"/>
  <c r="V14" i="2"/>
  <c r="W14" i="2" s="1"/>
  <c r="V13" i="2"/>
  <c r="W13" i="2" s="1"/>
  <c r="V12" i="2"/>
  <c r="W12" i="2" s="1"/>
  <c r="V11" i="2"/>
  <c r="W11" i="2" s="1"/>
  <c r="V10" i="2"/>
  <c r="W10" i="2" s="1"/>
  <c r="V9" i="2"/>
  <c r="W9" i="2" s="1"/>
  <c r="V8" i="2"/>
  <c r="W8" i="2" s="1"/>
  <c r="V7" i="2"/>
  <c r="W7" i="2" s="1"/>
  <c r="V6" i="2"/>
  <c r="W6" i="2" s="1"/>
  <c r="V5" i="2"/>
  <c r="W5" i="2" s="1"/>
  <c r="V4" i="2"/>
  <c r="W4" i="2" s="1"/>
  <c r="V3" i="2"/>
  <c r="W3" i="2" s="1"/>
  <c r="U1" i="2"/>
  <c r="AG19" i="3"/>
  <c r="AF19" i="3"/>
  <c r="AE19" i="3"/>
  <c r="AD19" i="3"/>
  <c r="AC19" i="3"/>
  <c r="AB19" i="3"/>
  <c r="AA19" i="3"/>
  <c r="U19" i="3"/>
  <c r="T19" i="3"/>
  <c r="S19" i="3"/>
  <c r="R19" i="3"/>
  <c r="Q19" i="3"/>
  <c r="P19" i="3"/>
  <c r="V19" i="3"/>
  <c r="AG16" i="3"/>
  <c r="AG15" i="3"/>
  <c r="AG14" i="3"/>
  <c r="AG13" i="3"/>
  <c r="AG12" i="3"/>
  <c r="AG11" i="3"/>
  <c r="AG10" i="3"/>
  <c r="AG9" i="3"/>
  <c r="AG8" i="3"/>
  <c r="AG7" i="3"/>
  <c r="AG6" i="3"/>
  <c r="AG5" i="3"/>
  <c r="V17" i="3"/>
  <c r="V16" i="3"/>
  <c r="V15" i="3"/>
  <c r="V14" i="3"/>
  <c r="V13" i="3"/>
  <c r="V12" i="3"/>
  <c r="V11" i="3"/>
  <c r="V10" i="3"/>
  <c r="V9" i="3"/>
  <c r="V8" i="3"/>
  <c r="V7" i="3"/>
  <c r="V6" i="3"/>
  <c r="V5" i="3"/>
</calcChain>
</file>

<file path=xl/sharedStrings.xml><?xml version="1.0" encoding="utf-8"?>
<sst xmlns="http://schemas.openxmlformats.org/spreadsheetml/2006/main" count="25047" uniqueCount="1365">
  <si>
    <t>Selected</t>
  </si>
  <si>
    <t>6779</t>
  </si>
  <si>
    <t>100222332</t>
  </si>
  <si>
    <t>SCOPE LOGISTICS SERVICES INDIA PVT.</t>
  </si>
  <si>
    <t>2025</t>
  </si>
  <si>
    <t>7</t>
  </si>
  <si>
    <t>1600001726</t>
  </si>
  <si>
    <t>DG</t>
  </si>
  <si>
    <t>NA</t>
  </si>
  <si>
    <t>256779421358</t>
  </si>
  <si>
    <t>212100</t>
  </si>
  <si>
    <t>Trade Debtors (Ctrl)</t>
  </si>
  <si>
    <t/>
  </si>
  <si>
    <t>11</t>
  </si>
  <si>
    <t>USD</t>
  </si>
  <si>
    <t>INR</t>
  </si>
  <si>
    <t>O0</t>
  </si>
  <si>
    <t>6779224500</t>
  </si>
  <si>
    <t>1</t>
  </si>
  <si>
    <t>Credit Note raised against INV_246779410348</t>
  </si>
  <si>
    <t>1400000285</t>
  </si>
  <si>
    <t>1800010646</t>
  </si>
  <si>
    <t>DR</t>
  </si>
  <si>
    <t>256779415406</t>
  </si>
  <si>
    <t>01</t>
  </si>
  <si>
    <t>Debit note Note raised against CN_256779421358</t>
  </si>
  <si>
    <t>1600001727</t>
  </si>
  <si>
    <t>256779421359</t>
  </si>
  <si>
    <t>Credit Note raised against INV_246779410360</t>
  </si>
  <si>
    <t>1400000286</t>
  </si>
  <si>
    <t>1800010647</t>
  </si>
  <si>
    <t>256779415407</t>
  </si>
  <si>
    <t>Debit note Note raised against CN_256779421359</t>
  </si>
  <si>
    <t>1600001728</t>
  </si>
  <si>
    <t>256779421360</t>
  </si>
  <si>
    <t>Credit Note raised against INV_246779413701</t>
  </si>
  <si>
    <t>1400000287</t>
  </si>
  <si>
    <t>1800010648</t>
  </si>
  <si>
    <t>256779415408</t>
  </si>
  <si>
    <t>Debit note Note raised against CN_256779421360</t>
  </si>
  <si>
    <t>1600001731</t>
  </si>
  <si>
    <t>256779421363</t>
  </si>
  <si>
    <t>Credit Note raised against INV_246779413796</t>
  </si>
  <si>
    <t>1400000288</t>
  </si>
  <si>
    <t>1800010649</t>
  </si>
  <si>
    <t>256779415409</t>
  </si>
  <si>
    <t>Debit note Note raised against CN_256779421363</t>
  </si>
  <si>
    <t>1600001734</t>
  </si>
  <si>
    <t>256779421366</t>
  </si>
  <si>
    <t>Credit Note raised against INV_246779413845</t>
  </si>
  <si>
    <t>1400000289</t>
  </si>
  <si>
    <t>1800010650</t>
  </si>
  <si>
    <t>256779415410</t>
  </si>
  <si>
    <t>Debit note Note raised against CN_256779421366</t>
  </si>
  <si>
    <t>1600001739</t>
  </si>
  <si>
    <t>256779421371</t>
  </si>
  <si>
    <t>Credit Note raised against INV_246779411278</t>
  </si>
  <si>
    <t>1400000290</t>
  </si>
  <si>
    <t>1800010651</t>
  </si>
  <si>
    <t>256779415411</t>
  </si>
  <si>
    <t>Debit note Note raised against CN_256779421371</t>
  </si>
  <si>
    <t>1600001729</t>
  </si>
  <si>
    <t>256779421361</t>
  </si>
  <si>
    <t>Credit Note raised against INV_246779413702</t>
  </si>
  <si>
    <t>1400001901</t>
  </si>
  <si>
    <t>1600001730</t>
  </si>
  <si>
    <t>256779421362</t>
  </si>
  <si>
    <t>Credit Note raised against INV_246779413705</t>
  </si>
  <si>
    <t>1600001732</t>
  </si>
  <si>
    <t>256779421364</t>
  </si>
  <si>
    <t>Credit Note raised against INV_246779413816</t>
  </si>
  <si>
    <t>1600001733</t>
  </si>
  <si>
    <t>256779421365</t>
  </si>
  <si>
    <t>Credit Note raised against INV_246779413827</t>
  </si>
  <si>
    <t>1600001735</t>
  </si>
  <si>
    <t>256779421367</t>
  </si>
  <si>
    <t>Credit Note raised against INV_256779410220</t>
  </si>
  <si>
    <t>1600001736</t>
  </si>
  <si>
    <t>256779421368</t>
  </si>
  <si>
    <t>Credit Note raised against INV_256779410004</t>
  </si>
  <si>
    <t>1600001737</t>
  </si>
  <si>
    <t>256779421369</t>
  </si>
  <si>
    <t>Credit Note raised against INV_256779410010</t>
  </si>
  <si>
    <t>1600001738</t>
  </si>
  <si>
    <t>256779421370</t>
  </si>
  <si>
    <t>Credit Note raised against INV_256779411917</t>
  </si>
  <si>
    <t>1600001740</t>
  </si>
  <si>
    <t>256779421372</t>
  </si>
  <si>
    <t>Credit Note raised against INV_246779411300</t>
  </si>
  <si>
    <t>1600001741</t>
  </si>
  <si>
    <t>256779421373</t>
  </si>
  <si>
    <t>Credit Note raised against INV_246779411314</t>
  </si>
  <si>
    <t>1600001742</t>
  </si>
  <si>
    <t>256779421374</t>
  </si>
  <si>
    <t>Credit Note raised against INV_246779411326</t>
  </si>
  <si>
    <t>1600001743</t>
  </si>
  <si>
    <t>256779421375</t>
  </si>
  <si>
    <t>Credit Note raised against INV_246779411339</t>
  </si>
  <si>
    <t>1600001744</t>
  </si>
  <si>
    <t>256779421376</t>
  </si>
  <si>
    <t>Credit Note raised against INV_256779412692</t>
  </si>
  <si>
    <t>1600001745</t>
  </si>
  <si>
    <t>256779421377</t>
  </si>
  <si>
    <t>Credit Note raised against INV_256779413283</t>
  </si>
  <si>
    <t>1600001746</t>
  </si>
  <si>
    <t>256779421378</t>
  </si>
  <si>
    <t>Credit Note raised against INV_256779413861</t>
  </si>
  <si>
    <t>1600001747</t>
  </si>
  <si>
    <t>256779421379</t>
  </si>
  <si>
    <t>Credit Note raised against INV_256779414288</t>
  </si>
  <si>
    <t>1600001748</t>
  </si>
  <si>
    <t>256779421380</t>
  </si>
  <si>
    <t>Credit note Note raised against INV_246779410348</t>
  </si>
  <si>
    <t>1400001902</t>
  </si>
  <si>
    <t>1600001749</t>
  </si>
  <si>
    <t>256779421381</t>
  </si>
  <si>
    <t>Credit note Note raised against INV_246779410360</t>
  </si>
  <si>
    <t>1600001750</t>
  </si>
  <si>
    <t>256779421382</t>
  </si>
  <si>
    <t>Credit note Note raised against INV_246779413701</t>
  </si>
  <si>
    <t>1600001751</t>
  </si>
  <si>
    <t>256779421383</t>
  </si>
  <si>
    <t>Credit note Note raised against INV_246779413796</t>
  </si>
  <si>
    <t>1600001752</t>
  </si>
  <si>
    <t>256779421384</t>
  </si>
  <si>
    <t>Credit note Note raised against INV_246779413845</t>
  </si>
  <si>
    <t>1600001753</t>
  </si>
  <si>
    <t>256779421385</t>
  </si>
  <si>
    <t>Credit note Note raised against INV_246779411278</t>
  </si>
  <si>
    <t>Not Selected</t>
  </si>
  <si>
    <t>5</t>
  </si>
  <si>
    <t>1800008722</t>
  </si>
  <si>
    <t>256779413486</t>
  </si>
  <si>
    <t>Outbound chgs - 01 - 15 MAY 25</t>
  </si>
  <si>
    <t>1800009073</t>
  </si>
  <si>
    <t>256779413837</t>
  </si>
  <si>
    <t>VAS -1-15 May 25, Ex.rate 85.43</t>
  </si>
  <si>
    <t>1800009121</t>
  </si>
  <si>
    <t>256779413885</t>
  </si>
  <si>
    <t>Inbound chgs -01-15 MAY 25</t>
  </si>
  <si>
    <t>4</t>
  </si>
  <si>
    <t>1800005188</t>
  </si>
  <si>
    <t>256779410134</t>
  </si>
  <si>
    <t>Outbound Handling charges for Mar 25</t>
  </si>
  <si>
    <t>1800005189</t>
  </si>
  <si>
    <t>256779410135</t>
  </si>
  <si>
    <t>Loose loading Handling charges for Mar 25</t>
  </si>
  <si>
    <t>1800005264</t>
  </si>
  <si>
    <t>256779410156</t>
  </si>
  <si>
    <t>Inbound Handling charges for Mar 25</t>
  </si>
  <si>
    <t>1800005265</t>
  </si>
  <si>
    <t>256779410157</t>
  </si>
  <si>
    <t>MHE Charges for Mar 25</t>
  </si>
  <si>
    <t>1800005274</t>
  </si>
  <si>
    <t>256779410166</t>
  </si>
  <si>
    <t>1800005282</t>
  </si>
  <si>
    <t>256779410174</t>
  </si>
  <si>
    <t>Outbound Handling charges for Feb 2025</t>
  </si>
  <si>
    <t>1800005309</t>
  </si>
  <si>
    <t>256779410201</t>
  </si>
  <si>
    <t>VAS Activity -1 -15 Mar 25, Ex Rate. 87.01</t>
  </si>
  <si>
    <t>1800005399</t>
  </si>
  <si>
    <t>256779410291</t>
  </si>
  <si>
    <t>Fixed Rental charges for Feb 2025</t>
  </si>
  <si>
    <t>1400000246</t>
  </si>
  <si>
    <t>1800005358</t>
  </si>
  <si>
    <t>256779410250</t>
  </si>
  <si>
    <t>Fixed Rental charges for Jan 2025</t>
  </si>
  <si>
    <t>1400000247</t>
  </si>
  <si>
    <t>1800005058</t>
  </si>
  <si>
    <t>256779410004</t>
  </si>
  <si>
    <t>CY Longstanding container Ground Rent charges for</t>
  </si>
  <si>
    <t>1800005064</t>
  </si>
  <si>
    <t>256779410010</t>
  </si>
  <si>
    <t>1800005328</t>
  </si>
  <si>
    <t>256779410220</t>
  </si>
  <si>
    <t>10</t>
  </si>
  <si>
    <t>1800013971</t>
  </si>
  <si>
    <t>256779418614</t>
  </si>
  <si>
    <t>2114876</t>
  </si>
  <si>
    <t>CY - CY Grd Rent Chgs - 01 - 15 OCT 25</t>
  </si>
  <si>
    <t>1800014013</t>
  </si>
  <si>
    <t>256779418620</t>
  </si>
  <si>
    <t>2114877</t>
  </si>
  <si>
    <t>CY Ground rent Chgs - 01 - 15 Oct 25</t>
  </si>
  <si>
    <t>1800013843</t>
  </si>
  <si>
    <t>256779418661</t>
  </si>
  <si>
    <t>2114881</t>
  </si>
  <si>
    <t>Inbound chgs - 01 - 15 OCT 25</t>
  </si>
  <si>
    <t>1800013925</t>
  </si>
  <si>
    <t>256779418702</t>
  </si>
  <si>
    <t>2114883</t>
  </si>
  <si>
    <t>Outbound chgs - 01 - 15 Oct 25</t>
  </si>
  <si>
    <t>1800007270</t>
  </si>
  <si>
    <t>256779412161</t>
  </si>
  <si>
    <t>Fixed Storage Charges for April 2025</t>
  </si>
  <si>
    <t>1600001816</t>
  </si>
  <si>
    <t>256779421436</t>
  </si>
  <si>
    <t>Credit Note raised against 256779413861</t>
  </si>
  <si>
    <t>1800011187</t>
  </si>
  <si>
    <t>256779415939</t>
  </si>
  <si>
    <t>Scanning  Chgs - 01 - 15 May 25</t>
  </si>
  <si>
    <t>1800011193</t>
  </si>
  <si>
    <t>256779415945</t>
  </si>
  <si>
    <t>1600001906</t>
  </si>
  <si>
    <t>256779421526</t>
  </si>
  <si>
    <t>Credit note raised against 256779414459</t>
  </si>
  <si>
    <t>1400001112</t>
  </si>
  <si>
    <t>1600001923</t>
  </si>
  <si>
    <t>256779421543</t>
  </si>
  <si>
    <t>Credit note raised against 256779414476</t>
  </si>
  <si>
    <t>1600001822</t>
  </si>
  <si>
    <t>256779421442</t>
  </si>
  <si>
    <t>Credit Note raised against 256779413885</t>
  </si>
  <si>
    <t>1800008640</t>
  </si>
  <si>
    <t>256779413404</t>
  </si>
  <si>
    <t>InKPI-CODC-1-15 May 25-BOE9790661</t>
  </si>
  <si>
    <t>1800008641</t>
  </si>
  <si>
    <t>256779413405</t>
  </si>
  <si>
    <t>InKPI-CODC-1-15 May 25-BOE9862672</t>
  </si>
  <si>
    <t>1800008665</t>
  </si>
  <si>
    <t>256779413429</t>
  </si>
  <si>
    <t>OutKPI-CODC-1-15-MAY-25-9960786</t>
  </si>
  <si>
    <t>1800008666</t>
  </si>
  <si>
    <t>256779413430</t>
  </si>
  <si>
    <t>OutKPI-CODC-1-15-MAY-25-20045577</t>
  </si>
  <si>
    <t>1800007886</t>
  </si>
  <si>
    <t>256779412777</t>
  </si>
  <si>
    <t>VAS 1-15 April-25,Ex.Rate-85.69</t>
  </si>
  <si>
    <t>6</t>
  </si>
  <si>
    <t>1800009994</t>
  </si>
  <si>
    <t>256779414758</t>
  </si>
  <si>
    <t>CODC Out chgs - 01 - 15 Jun 25</t>
  </si>
  <si>
    <t>1800009695</t>
  </si>
  <si>
    <t>256779414459</t>
  </si>
  <si>
    <t>1800009712</t>
  </si>
  <si>
    <t>256779414476</t>
  </si>
  <si>
    <t>1800013945</t>
  </si>
  <si>
    <t>256779418477</t>
  </si>
  <si>
    <t>2114868</t>
  </si>
  <si>
    <t>VAS  -1-15 Oct 2025</t>
  </si>
  <si>
    <t>1800013962</t>
  </si>
  <si>
    <t>256779418492</t>
  </si>
  <si>
    <t>3</t>
  </si>
  <si>
    <t>1800003133</t>
  </si>
  <si>
    <t>246779413000</t>
  </si>
  <si>
    <t>Fixed Storage Charges for Mar 2025</t>
  </si>
  <si>
    <t>1800003342</t>
  </si>
  <si>
    <t>246779413209</t>
  </si>
  <si>
    <t>HMMU6832693-Port SSR Shifting Jan 2025. Exch rate</t>
  </si>
  <si>
    <t>1800003343</t>
  </si>
  <si>
    <t>246779413210</t>
  </si>
  <si>
    <t>KOCU4372804-Port SSR Shifting Jan 2025. Exch rate</t>
  </si>
  <si>
    <t>1800003344</t>
  </si>
  <si>
    <t>246779413211</t>
  </si>
  <si>
    <t>TCNU8653352-Port SSR Shifting Jan 2025. Exch rate</t>
  </si>
  <si>
    <t>1800003345</t>
  </si>
  <si>
    <t>246779413212</t>
  </si>
  <si>
    <t>HDMU6860845-Port SSR Shifting Jan 2025. Exch rate</t>
  </si>
  <si>
    <t>1800003346</t>
  </si>
  <si>
    <t>246779413213</t>
  </si>
  <si>
    <t>EOLU8212240-Port SSR Shifting Jan 2025. Exch rate</t>
  </si>
  <si>
    <t>1800003457</t>
  </si>
  <si>
    <t>246779413324</t>
  </si>
  <si>
    <t>EOLU8605417-Port SSR Storage Feb 2025. Exch rate -</t>
  </si>
  <si>
    <t>1800009979</t>
  </si>
  <si>
    <t>256779414743</t>
  </si>
  <si>
    <t>VAS 1-15 June 25, Exch 86.10</t>
  </si>
  <si>
    <t>1800009984</t>
  </si>
  <si>
    <t>256779414748</t>
  </si>
  <si>
    <t>WEIGHMENT 1-15 June 25, Exch 86.10</t>
  </si>
  <si>
    <t>1800014964</t>
  </si>
  <si>
    <t>256779419465</t>
  </si>
  <si>
    <t>2130555</t>
  </si>
  <si>
    <t>VAS-Nov 1-15, 2025</t>
  </si>
  <si>
    <t>1800014975</t>
  </si>
  <si>
    <t>256779419476</t>
  </si>
  <si>
    <t>Weighment-Nov 1-15, 2025</t>
  </si>
  <si>
    <t>1800015033</t>
  </si>
  <si>
    <t>256779419534</t>
  </si>
  <si>
    <t>CODC LCL Chgs -1-15 Nov 25</t>
  </si>
  <si>
    <t>1800015043</t>
  </si>
  <si>
    <t>256779419556</t>
  </si>
  <si>
    <t>2130610</t>
  </si>
  <si>
    <t>CY Ground rent Chgs - 01 - 15 Nov 25</t>
  </si>
  <si>
    <t>1800015096</t>
  </si>
  <si>
    <t>256779419547</t>
  </si>
  <si>
    <t>2130609</t>
  </si>
  <si>
    <t>CODC Out chgs -1-15 Nov 25</t>
  </si>
  <si>
    <t>1800015075</t>
  </si>
  <si>
    <t>256779419588</t>
  </si>
  <si>
    <t>2130611</t>
  </si>
  <si>
    <t>LCL Chgs - 01 - 15 NOV 25</t>
  </si>
  <si>
    <t>1800015129</t>
  </si>
  <si>
    <t>256779419628</t>
  </si>
  <si>
    <t>2130612</t>
  </si>
  <si>
    <t>Loose chgs - 01 - 15 Nov 25</t>
  </si>
  <si>
    <t>1800007570</t>
  </si>
  <si>
    <t>256779412461</t>
  </si>
  <si>
    <t>Inbound Handling charges for Feb 2025</t>
  </si>
  <si>
    <t>1800007577</t>
  </si>
  <si>
    <t>256779412468</t>
  </si>
  <si>
    <t>1800007722</t>
  </si>
  <si>
    <t>256779412613</t>
  </si>
  <si>
    <t>Inbound Handling charges for 31 Mar 2025</t>
  </si>
  <si>
    <t>1800007764</t>
  </si>
  <si>
    <t>256779412655</t>
  </si>
  <si>
    <t>Outbound Handling charges for 31 Mar 25</t>
  </si>
  <si>
    <t>1800007784</t>
  </si>
  <si>
    <t>256779412675</t>
  </si>
  <si>
    <t>Inbound Handling chgs for 31 Mar 25</t>
  </si>
  <si>
    <t>1800007792</t>
  </si>
  <si>
    <t>256779412683</t>
  </si>
  <si>
    <t>9</t>
  </si>
  <si>
    <t>1800012845</t>
  </si>
  <si>
    <t>256779417410</t>
  </si>
  <si>
    <t>2102474</t>
  </si>
  <si>
    <t>CY - CY Grd Rent Chgs - 01 - 15 SEP 25</t>
  </si>
  <si>
    <t>1800012871</t>
  </si>
  <si>
    <t>256779417489</t>
  </si>
  <si>
    <t>2102476</t>
  </si>
  <si>
    <t>CY Ground rent Chgs - 01 - 15 Sep 25</t>
  </si>
  <si>
    <t>1800012990</t>
  </si>
  <si>
    <t>256779417525</t>
  </si>
  <si>
    <t>2102483</t>
  </si>
  <si>
    <t>Outbound chgs - 01 - 15 Sep 25</t>
  </si>
  <si>
    <t>1800012927</t>
  </si>
  <si>
    <t>256779417566</t>
  </si>
  <si>
    <t>2102480</t>
  </si>
  <si>
    <t>Inbound chgs - 01 - 15 SEP 25</t>
  </si>
  <si>
    <t>1800012943</t>
  </si>
  <si>
    <t>256779417582</t>
  </si>
  <si>
    <t>2102527</t>
  </si>
  <si>
    <t>CODC LCL Chgs -1-15 Sep 25</t>
  </si>
  <si>
    <t>12</t>
  </si>
  <si>
    <t>1800015346</t>
  </si>
  <si>
    <t>256779419795</t>
  </si>
  <si>
    <t>2140068</t>
  </si>
  <si>
    <t>CY Ground rent Chgs - 16 - 30 Nov 25</t>
  </si>
  <si>
    <t>1800015287</t>
  </si>
  <si>
    <t>256779419916</t>
  </si>
  <si>
    <t>2140088</t>
  </si>
  <si>
    <t>Outbound chgs - 16 - 30 Nov 25</t>
  </si>
  <si>
    <t>1600001068</t>
  </si>
  <si>
    <t>256779420756</t>
  </si>
  <si>
    <t>Credit Note against 246779413088</t>
  </si>
  <si>
    <t>1400000248</t>
  </si>
  <si>
    <t>1800008035</t>
  </si>
  <si>
    <t>256779412926</t>
  </si>
  <si>
    <t>Outbound chgs - 01 - 15 Apr 25</t>
  </si>
  <si>
    <t>1800008050</t>
  </si>
  <si>
    <t>256779412941</t>
  </si>
  <si>
    <t>LCL Chgs - 01 - 15 Apr 25</t>
  </si>
  <si>
    <t>1800008059</t>
  </si>
  <si>
    <t>256779412950</t>
  </si>
  <si>
    <t>1800007801</t>
  </si>
  <si>
    <t>256779412692</t>
  </si>
  <si>
    <t>Scanning Chgs - 01 - 15 Apr 25</t>
  </si>
  <si>
    <t>2</t>
  </si>
  <si>
    <t>1800000353</t>
  </si>
  <si>
    <t>246779410327</t>
  </si>
  <si>
    <t>CY-CY Ground Rent charges for Aug 2024</t>
  </si>
  <si>
    <t>1800004449</t>
  </si>
  <si>
    <t>246779414317</t>
  </si>
  <si>
    <t>Inbound Handling charges for Oct 2024</t>
  </si>
  <si>
    <t>1800013487</t>
  </si>
  <si>
    <t>256779418103</t>
  </si>
  <si>
    <t>2110497</t>
  </si>
  <si>
    <t>Bond Stamp Paper Chgs 01 - 30 Sep 25</t>
  </si>
  <si>
    <t>1800009171</t>
  </si>
  <si>
    <t>256779413935</t>
  </si>
  <si>
    <t>O2</t>
  </si>
  <si>
    <t>Port SSR Charges - Shifting for Aug to D</t>
  </si>
  <si>
    <t>1800013747</t>
  </si>
  <si>
    <t>256779418168</t>
  </si>
  <si>
    <t>2110802</t>
  </si>
  <si>
    <t>Intra - SEZ-16-30 Sept 25</t>
  </si>
  <si>
    <t>1800013758</t>
  </si>
  <si>
    <t>256779418179</t>
  </si>
  <si>
    <t>VAS-16-30 Sept 25</t>
  </si>
  <si>
    <t>1800011011</t>
  </si>
  <si>
    <t>256779415771</t>
  </si>
  <si>
    <t>VAS - 1-15 July 25</t>
  </si>
  <si>
    <t>1800008243</t>
  </si>
  <si>
    <t>256779413127</t>
  </si>
  <si>
    <t>Fixed Storage Charges fo MAY 2025</t>
  </si>
  <si>
    <t>1800008280</t>
  </si>
  <si>
    <t>256779413163</t>
  </si>
  <si>
    <t>CODC Inbound chgs - 16 - 30 Apr 25</t>
  </si>
  <si>
    <t>1800008289</t>
  </si>
  <si>
    <t>256779413172</t>
  </si>
  <si>
    <t>CODC Out chgs - 16 - 30 Apr 25</t>
  </si>
  <si>
    <t>1800008301</t>
  </si>
  <si>
    <t>256779413184</t>
  </si>
  <si>
    <t>CY Ground rent Chgs - 01 - 30 Apr 25</t>
  </si>
  <si>
    <t>1800008360</t>
  </si>
  <si>
    <t>256779413243</t>
  </si>
  <si>
    <t>VAS - 16-30 April 25, Ex.Rate-85.05</t>
  </si>
  <si>
    <t>1800015437</t>
  </si>
  <si>
    <t>256779419933</t>
  </si>
  <si>
    <t>2140454</t>
  </si>
  <si>
    <t>CY - CY Grd Rent Chgs - 16 - 30 Nov 25</t>
  </si>
  <si>
    <t>1800015473</t>
  </si>
  <si>
    <t>256779419990</t>
  </si>
  <si>
    <t>2140458</t>
  </si>
  <si>
    <t>PORT SSR Chgs Nov 25</t>
  </si>
  <si>
    <t>1800014004</t>
  </si>
  <si>
    <t>256779418428</t>
  </si>
  <si>
    <t>2114864</t>
  </si>
  <si>
    <t>CODC Inbound chgs - 1-15 Oct 25</t>
  </si>
  <si>
    <t>1800014145</t>
  </si>
  <si>
    <t>256779418437</t>
  </si>
  <si>
    <t>2114865</t>
  </si>
  <si>
    <t>CODC Out chgs -1-15 Oct 25</t>
  </si>
  <si>
    <t>1800009478</t>
  </si>
  <si>
    <t>256779414242</t>
  </si>
  <si>
    <t>Unit storage -1-31 May 25</t>
  </si>
  <si>
    <t>1800013274</t>
  </si>
  <si>
    <t>256779418010</t>
  </si>
  <si>
    <t>2110511</t>
  </si>
  <si>
    <t>Unit Storage - 1-30 Sept 2025</t>
  </si>
  <si>
    <t>1800013343</t>
  </si>
  <si>
    <t>256779417939</t>
  </si>
  <si>
    <t>Inbound chgs - 16 - 30 SEP 25</t>
  </si>
  <si>
    <t>1800013382</t>
  </si>
  <si>
    <t>256779417978</t>
  </si>
  <si>
    <t>2110504</t>
  </si>
  <si>
    <t>Outbound chgs - 16 - 30 Sep 25</t>
  </si>
  <si>
    <t>1800013460</t>
  </si>
  <si>
    <t>256779418036</t>
  </si>
  <si>
    <t>2110508</t>
  </si>
  <si>
    <t>Fixed Storage Charges for October 2025</t>
  </si>
  <si>
    <t>1800013478</t>
  </si>
  <si>
    <t>256779418094</t>
  </si>
  <si>
    <t>2110489</t>
  </si>
  <si>
    <t>CY Ground rent Chgs - 16 - 30 Sep 25</t>
  </si>
  <si>
    <t>1800013509</t>
  </si>
  <si>
    <t>256779418399</t>
  </si>
  <si>
    <t>2110981</t>
  </si>
  <si>
    <t>PORT SSR Chgs Sep 25</t>
  </si>
  <si>
    <t>1800013428</t>
  </si>
  <si>
    <t>256779418075</t>
  </si>
  <si>
    <t>2110503</t>
  </si>
  <si>
    <t>1800012476</t>
  </si>
  <si>
    <t>256779417084</t>
  </si>
  <si>
    <t>Unit-Storage-1-31 Aug 25</t>
  </si>
  <si>
    <t>1800009097</t>
  </si>
  <si>
    <t>256779413861</t>
  </si>
  <si>
    <t>2026</t>
  </si>
  <si>
    <t>1800015671</t>
  </si>
  <si>
    <t>256779440004</t>
  </si>
  <si>
    <t>2139799</t>
  </si>
  <si>
    <t>Unit Storage - 1-30 Nov 2025</t>
  </si>
  <si>
    <t>1800015708</t>
  </si>
  <si>
    <t>256779440041</t>
  </si>
  <si>
    <t>2139805</t>
  </si>
  <si>
    <t>Fixed Storage Charges for December 2025</t>
  </si>
  <si>
    <t>1800015801</t>
  </si>
  <si>
    <t>256779440051</t>
  </si>
  <si>
    <t>2156176</t>
  </si>
  <si>
    <t>CY Ground rent Chgs - 01 - 15 Dec 25</t>
  </si>
  <si>
    <t>1600002697</t>
  </si>
  <si>
    <t>256779422167</t>
  </si>
  <si>
    <t>2141835</t>
  </si>
  <si>
    <t>Credit note for Duplicate invoice -256779418492</t>
  </si>
  <si>
    <t>1800015985</t>
  </si>
  <si>
    <t>256779440069</t>
  </si>
  <si>
    <t>2156172</t>
  </si>
  <si>
    <t>CODC Out chgs -1-15 Dec 25</t>
  </si>
  <si>
    <t>1800015963</t>
  </si>
  <si>
    <t>2156419</t>
  </si>
  <si>
    <t>256779440080</t>
  </si>
  <si>
    <t>Outbound chgs - 01 - 15 Dec 25</t>
  </si>
  <si>
    <t>1800016087</t>
  </si>
  <si>
    <t>2156406</t>
  </si>
  <si>
    <t>256779440118</t>
  </si>
  <si>
    <t>Gate IN Chgs - 01 - 15 NOV 25</t>
  </si>
  <si>
    <t>1800016101</t>
  </si>
  <si>
    <t>256779440122</t>
  </si>
  <si>
    <t>2156175</t>
  </si>
  <si>
    <t>CY - CY Grd Rent Chgs - 01 - 15 Dec 25</t>
  </si>
  <si>
    <t>1400002411</t>
  </si>
  <si>
    <t>DZ</t>
  </si>
  <si>
    <t>GDNTMR6FG651</t>
  </si>
  <si>
    <t>15</t>
  </si>
  <si>
    <t>6779220000</t>
  </si>
  <si>
    <t>1800016160</t>
  </si>
  <si>
    <t>256779440130</t>
  </si>
  <si>
    <t>1800016202</t>
  </si>
  <si>
    <t>2158349</t>
  </si>
  <si>
    <t>256779440143</t>
  </si>
  <si>
    <t>CY - CY Grd Rent Chgs - 16 - 31 Dec 25</t>
  </si>
  <si>
    <t>1800016282</t>
  </si>
  <si>
    <t>2158342</t>
  </si>
  <si>
    <t>256779440162</t>
  </si>
  <si>
    <t>PORT SSR Chgs Dec 25</t>
  </si>
  <si>
    <t>1800016314</t>
  </si>
  <si>
    <t>2158392</t>
  </si>
  <si>
    <t>256779440167</t>
  </si>
  <si>
    <t>CY Ground rent Chgs - 16 - 31 Dec 25</t>
  </si>
  <si>
    <t>1800016321</t>
  </si>
  <si>
    <t>2158401</t>
  </si>
  <si>
    <t>256779440174</t>
  </si>
  <si>
    <t>CODC LCL Chgs -16-31 DEC 25</t>
  </si>
  <si>
    <t>1800016502</t>
  </si>
  <si>
    <t>2158404</t>
  </si>
  <si>
    <t>256779440210</t>
  </si>
  <si>
    <t>1800016416</t>
  </si>
  <si>
    <t>2158406</t>
  </si>
  <si>
    <t>256779440229</t>
  </si>
  <si>
    <t>Outbound chgs - 16 - 31 Dec 25</t>
  </si>
  <si>
    <t>1800016345</t>
  </si>
  <si>
    <t>2158411</t>
  </si>
  <si>
    <t>256779440235</t>
  </si>
  <si>
    <t>Unit Storage - 1-31 DEC 2025</t>
  </si>
  <si>
    <t>1800016637</t>
  </si>
  <si>
    <t>2158402</t>
  </si>
  <si>
    <t>256779440257</t>
  </si>
  <si>
    <t>CODC Out chgs -16-31 DEC 25</t>
  </si>
  <si>
    <t>1800016693</t>
  </si>
  <si>
    <t>2158638</t>
  </si>
  <si>
    <t>256779440282</t>
  </si>
  <si>
    <t>VAS-Dec 25 - 16-31</t>
  </si>
  <si>
    <t>1800016623</t>
  </si>
  <si>
    <t>256779440332</t>
  </si>
  <si>
    <t>2158673</t>
  </si>
  <si>
    <t>Fixed Storage Charges for January 2026</t>
  </si>
  <si>
    <t>1800016770</t>
  </si>
  <si>
    <t>256779440357</t>
  </si>
  <si>
    <t>2159214</t>
  </si>
  <si>
    <t>INTRA  -NOV 25,16-30</t>
  </si>
  <si>
    <t>1800016935</t>
  </si>
  <si>
    <t>2163056</t>
  </si>
  <si>
    <t>256779440383</t>
  </si>
  <si>
    <t>CODC Out chgs -1-15 JAN 26</t>
  </si>
  <si>
    <t>1800016986</t>
  </si>
  <si>
    <t>256779440392</t>
  </si>
  <si>
    <t>2163129</t>
  </si>
  <si>
    <t>CY - CY Grd Rent Chgs - 01 - 15 Jan 26</t>
  </si>
  <si>
    <t>1800017004</t>
  </si>
  <si>
    <t>2163135</t>
  </si>
  <si>
    <t>256779440394</t>
  </si>
  <si>
    <t>CY Ground rent Chgs - 01 - 15 Jan 26</t>
  </si>
  <si>
    <t>1800017063</t>
  </si>
  <si>
    <t>2163146</t>
  </si>
  <si>
    <t>256779440413</t>
  </si>
  <si>
    <t>Gate IN Chgs - 01 - 15 JAN 25</t>
  </si>
  <si>
    <t>1800017108</t>
  </si>
  <si>
    <t>2163152</t>
  </si>
  <si>
    <t>256779440429</t>
  </si>
  <si>
    <t>Outbound chgs - 01 - 15 JAN 26</t>
  </si>
  <si>
    <t>1800017152</t>
  </si>
  <si>
    <t>2163426</t>
  </si>
  <si>
    <t>256779440445</t>
  </si>
  <si>
    <t>VAS-1-15 Jan 2026</t>
  </si>
  <si>
    <t>1400002583</t>
  </si>
  <si>
    <t>GX4JNCFR8TSM</t>
  </si>
  <si>
    <t>1800001954</t>
  </si>
  <si>
    <t>246779411619</t>
  </si>
  <si>
    <t>VAS Activity Charges for the month of September, 2</t>
  </si>
  <si>
    <t>1800001955</t>
  </si>
  <si>
    <t>246779411620</t>
  </si>
  <si>
    <t>1800002090</t>
  </si>
  <si>
    <t>246779411755</t>
  </si>
  <si>
    <t>VAS Activity Charges for the month of October, 24</t>
  </si>
  <si>
    <t>1800002091</t>
  </si>
  <si>
    <t>246779411756</t>
  </si>
  <si>
    <t>1800002092</t>
  </si>
  <si>
    <t>246779411757</t>
  </si>
  <si>
    <t>1800002093</t>
  </si>
  <si>
    <t>246779411758</t>
  </si>
  <si>
    <t>1800002094</t>
  </si>
  <si>
    <t>246779411759</t>
  </si>
  <si>
    <t>1800002268</t>
  </si>
  <si>
    <t>246779411933</t>
  </si>
  <si>
    <t>VAS Activity Charges for the month of November, 24</t>
  </si>
  <si>
    <t>1800002269</t>
  </si>
  <si>
    <t>246779411934</t>
  </si>
  <si>
    <t>1800002270</t>
  </si>
  <si>
    <t>246779411935</t>
  </si>
  <si>
    <t>1800002271</t>
  </si>
  <si>
    <t>246779411936</t>
  </si>
  <si>
    <t>1800009622</t>
  </si>
  <si>
    <t>256779414386</t>
  </si>
  <si>
    <t>Fixed Storage Charges fo JUNE 2025</t>
  </si>
  <si>
    <t>1800012788</t>
  </si>
  <si>
    <t>256779417442</t>
  </si>
  <si>
    <t>2102531</t>
  </si>
  <si>
    <t>VAS -1-15 Sept-25</t>
  </si>
  <si>
    <t>1800014859</t>
  </si>
  <si>
    <t>256779419364</t>
  </si>
  <si>
    <t>2128875</t>
  </si>
  <si>
    <t>CY - CY Grd Rent Chgs - 01 - 15 Nov 25</t>
  </si>
  <si>
    <t>1800006257</t>
  </si>
  <si>
    <t>256779411148</t>
  </si>
  <si>
    <t>Transportation In Charges August 2024</t>
  </si>
  <si>
    <t>1800006258</t>
  </si>
  <si>
    <t>256779411149</t>
  </si>
  <si>
    <t>Inbound Handling for August 24</t>
  </si>
  <si>
    <t>1800006259</t>
  </si>
  <si>
    <t>256779411150</t>
  </si>
  <si>
    <t>1800006260</t>
  </si>
  <si>
    <t>256779411151</t>
  </si>
  <si>
    <t>LCL Charges August 2024</t>
  </si>
  <si>
    <t>1800006672</t>
  </si>
  <si>
    <t>256779411563</t>
  </si>
  <si>
    <t>Outbound Handling Charges Aug 2024</t>
  </si>
  <si>
    <t>1800006673</t>
  </si>
  <si>
    <t>256779411564</t>
  </si>
  <si>
    <t>8</t>
  </si>
  <si>
    <t>1800011901</t>
  </si>
  <si>
    <t>256779416544</t>
  </si>
  <si>
    <t>CY - CY Grd Rent Chgs - 01 - 15 JUL 25</t>
  </si>
  <si>
    <t>1800011903</t>
  </si>
  <si>
    <t>256779416546</t>
  </si>
  <si>
    <t>CY - CY Grd Rent Chgs - 16 - 15 JUL 25</t>
  </si>
  <si>
    <t>1800010208</t>
  </si>
  <si>
    <t>256779414968</t>
  </si>
  <si>
    <t>1600002471</t>
  </si>
  <si>
    <t>256779422013</t>
  </si>
  <si>
    <t>2117487</t>
  </si>
  <si>
    <t>Credit note raised against 256779418075</t>
  </si>
  <si>
    <t>1800006916</t>
  </si>
  <si>
    <t>256779411807</t>
  </si>
  <si>
    <t>Inbound Handling charges for Dec 2024</t>
  </si>
  <si>
    <t>1800006994</t>
  </si>
  <si>
    <t>256779411885</t>
  </si>
  <si>
    <t>Outbound Handling charges for Dec 2024</t>
  </si>
  <si>
    <t>1800006995</t>
  </si>
  <si>
    <t>256779411886</t>
  </si>
  <si>
    <t>Loose loading Handling charges for Dec 2024</t>
  </si>
  <si>
    <t>1800007087</t>
  </si>
  <si>
    <t>256779411978</t>
  </si>
  <si>
    <t>GMCU3054268-Port SSR Shifting Mar 2025. Exch rate</t>
  </si>
  <si>
    <t>1800007088</t>
  </si>
  <si>
    <t>256779411979</t>
  </si>
  <si>
    <t>GMCU3054416-Port SSR Shifting Mar 2025. Exch rate</t>
  </si>
  <si>
    <t>1800007089</t>
  </si>
  <si>
    <t>256779411980</t>
  </si>
  <si>
    <t>BEAU2827340-Port SSR Shifting Mar 2025. Exch rate</t>
  </si>
  <si>
    <t>1800007174</t>
  </si>
  <si>
    <t>256779412065</t>
  </si>
  <si>
    <t>VAS Activity - Feb 25, Ex Rate. 87.40</t>
  </si>
  <si>
    <t>1800007209</t>
  </si>
  <si>
    <t>256779412100</t>
  </si>
  <si>
    <t>VAS Activity - Mar 25, 16-31, Ex Rate. 85.58</t>
  </si>
  <si>
    <t>1800007226</t>
  </si>
  <si>
    <t>256779412117</t>
  </si>
  <si>
    <t>Storage Charges Mar, 25</t>
  </si>
  <si>
    <t>1800007026</t>
  </si>
  <si>
    <t>256779411917</t>
  </si>
  <si>
    <t>Scanning charges for 01 to 31 Mar 25</t>
  </si>
  <si>
    <t>1800011235</t>
  </si>
  <si>
    <t>256779415967</t>
  </si>
  <si>
    <t>CY Ground rent Chgs - 01 - 31 May 25</t>
  </si>
  <si>
    <t>1800011238</t>
  </si>
  <si>
    <t>256779415970</t>
  </si>
  <si>
    <t>CY - CY Ground rent Chgs - 01 - 31 May 25</t>
  </si>
  <si>
    <t>1800011263</t>
  </si>
  <si>
    <t>256779415995</t>
  </si>
  <si>
    <t>VAS 16-31 May 25 Ex.85.48</t>
  </si>
  <si>
    <t>1800001783</t>
  </si>
  <si>
    <t>246779411448</t>
  </si>
  <si>
    <t>VAS Activity Charges for the month of August, 24</t>
  </si>
  <si>
    <t>1800001580</t>
  </si>
  <si>
    <t>246779412237</t>
  </si>
  <si>
    <t>1400000245</t>
  </si>
  <si>
    <t>1800012275</t>
  </si>
  <si>
    <t>256779416911</t>
  </si>
  <si>
    <t>CODC LCL Chgs - 16-31 Aug 25</t>
  </si>
  <si>
    <t>1800012286</t>
  </si>
  <si>
    <t>256779416948</t>
  </si>
  <si>
    <t>CODC Out chgs -16-31 Aug 25</t>
  </si>
  <si>
    <t>1800012460</t>
  </si>
  <si>
    <t>256779417160</t>
  </si>
  <si>
    <t>VAS -16-31 Aug 25</t>
  </si>
  <si>
    <t>1800012493</t>
  </si>
  <si>
    <t>256779417166</t>
  </si>
  <si>
    <t>CY - CY Grd Rent Chgs - 01 - 31 AUG 25</t>
  </si>
  <si>
    <t>1800012554</t>
  </si>
  <si>
    <t>256779417173</t>
  </si>
  <si>
    <t>CY Ground rent Chgs - 01 - 31 Aug 25</t>
  </si>
  <si>
    <t>1800012586</t>
  </si>
  <si>
    <t>256779417244</t>
  </si>
  <si>
    <t>PORT SSR Chgs Aug 25</t>
  </si>
  <si>
    <t>1800012603</t>
  </si>
  <si>
    <t>256779417261</t>
  </si>
  <si>
    <t>Bond Stamp Paper Chgs 01 - 31 Aug 25</t>
  </si>
  <si>
    <t>1800012646</t>
  </si>
  <si>
    <t>256779417286</t>
  </si>
  <si>
    <t>Inbound chgs - 16 - 31 AUG 25</t>
  </si>
  <si>
    <t>1800012684</t>
  </si>
  <si>
    <t>256779417324</t>
  </si>
  <si>
    <t>2096996</t>
  </si>
  <si>
    <t>Outbound chgs - 16 - 31 Aug 25</t>
  </si>
  <si>
    <t>1800012739</t>
  </si>
  <si>
    <t>256779417373</t>
  </si>
  <si>
    <t>Fixed Storage Charges for September 2025</t>
  </si>
  <si>
    <t>1800010004</t>
  </si>
  <si>
    <t>256779414768</t>
  </si>
  <si>
    <t>CODC Inbound chgs - 01 - 15 Jun 25</t>
  </si>
  <si>
    <t>1800010065</t>
  </si>
  <si>
    <t>256779414829</t>
  </si>
  <si>
    <t>Outbound chgs - 01 - 15 Jun 25</t>
  </si>
  <si>
    <t>1800010118</t>
  </si>
  <si>
    <t>256779414878</t>
  </si>
  <si>
    <t>Inbound chgs - 16 - 30 JUN 25</t>
  </si>
  <si>
    <t>1800010130</t>
  </si>
  <si>
    <t>256779414890</t>
  </si>
  <si>
    <t>CY Ground rent Chgs - 01 - 30 June 25</t>
  </si>
  <si>
    <t>1800010184</t>
  </si>
  <si>
    <t>256779414944</t>
  </si>
  <si>
    <t>Fixed Storage Charges fo JULY 2025</t>
  </si>
  <si>
    <t>1800010215</t>
  </si>
  <si>
    <t>256779414975</t>
  </si>
  <si>
    <t>1800010281</t>
  </si>
  <si>
    <t>256779415041</t>
  </si>
  <si>
    <t>PORT SSR Chgs June 25</t>
  </si>
  <si>
    <t>1800010288</t>
  </si>
  <si>
    <t>256779415048</t>
  </si>
  <si>
    <t>Bond Stamp Paper Chgs</t>
  </si>
  <si>
    <t>1800010438</t>
  </si>
  <si>
    <t>256779415198</t>
  </si>
  <si>
    <t>Unit Storage - 1-30 June 25</t>
  </si>
  <si>
    <t>1800010503</t>
  </si>
  <si>
    <t>256779415263</t>
  </si>
  <si>
    <t>VAS - 16-30 June 25</t>
  </si>
  <si>
    <t>1800014263</t>
  </si>
  <si>
    <t>256779418802</t>
  </si>
  <si>
    <t>2123159</t>
  </si>
  <si>
    <t>Fixed Storage Charges for November 2025</t>
  </si>
  <si>
    <t>1800014282</t>
  </si>
  <si>
    <t>256779418819</t>
  </si>
  <si>
    <t>2123387</t>
  </si>
  <si>
    <t>VAS-16 -31 Oct 25</t>
  </si>
  <si>
    <t>1800014537</t>
  </si>
  <si>
    <t>256779418869</t>
  </si>
  <si>
    <t>2123390</t>
  </si>
  <si>
    <t>Unit Storage - 1-31 Oct 2025</t>
  </si>
  <si>
    <t>1800014590</t>
  </si>
  <si>
    <t>256779418897</t>
  </si>
  <si>
    <t>2123392</t>
  </si>
  <si>
    <t>CODC LCL Chgs -16-31 Oct 25</t>
  </si>
  <si>
    <t>1800014641</t>
  </si>
  <si>
    <t>256779418906</t>
  </si>
  <si>
    <t>2123393</t>
  </si>
  <si>
    <t>CODC Out chgs -16-31 Oct 25</t>
  </si>
  <si>
    <t>1800014455</t>
  </si>
  <si>
    <t>256779419069</t>
  </si>
  <si>
    <t>2123402</t>
  </si>
  <si>
    <t>CY - CY Grd Rent Chgs - 16 - 31 OCT 25</t>
  </si>
  <si>
    <t>1800014633</t>
  </si>
  <si>
    <t>256779419076</t>
  </si>
  <si>
    <t>2123404</t>
  </si>
  <si>
    <t>CY Ground rent Chgs - 16 - 31 Oct 25</t>
  </si>
  <si>
    <t>1800014523</t>
  </si>
  <si>
    <t>256779419172</t>
  </si>
  <si>
    <t>2123410</t>
  </si>
  <si>
    <t>Outbound chgs - 16 - 31 Oct 25</t>
  </si>
  <si>
    <t>1800014729</t>
  </si>
  <si>
    <t>2123630</t>
  </si>
  <si>
    <t>256779419230</t>
  </si>
  <si>
    <t>PORT SSR Chgs Oct 25</t>
  </si>
  <si>
    <t>1800014745</t>
  </si>
  <si>
    <t>256779419248</t>
  </si>
  <si>
    <t>2123648</t>
  </si>
  <si>
    <t>Bond Stamp Paper Chgs Oct 25</t>
  </si>
  <si>
    <t>1800011658</t>
  </si>
  <si>
    <t>256779416088</t>
  </si>
  <si>
    <t>Unit Storage - 1-31 July 25</t>
  </si>
  <si>
    <t>1800011787</t>
  </si>
  <si>
    <t>256779416178</t>
  </si>
  <si>
    <t>Inbound chgs - 16 - 31 JUL 25</t>
  </si>
  <si>
    <t>1800011705</t>
  </si>
  <si>
    <t>256779416223</t>
  </si>
  <si>
    <t>Outbound chgs - 16 - 31 Jul 25</t>
  </si>
  <si>
    <t>1800011406</t>
  </si>
  <si>
    <t>256779416256</t>
  </si>
  <si>
    <t>CODC Out chgs - 16 - 31 Jul 25</t>
  </si>
  <si>
    <t>1800011594</t>
  </si>
  <si>
    <t>256779416444</t>
  </si>
  <si>
    <t>VAS 16-31 July 25</t>
  </si>
  <si>
    <t>1800011863</t>
  </si>
  <si>
    <t>256779416514</t>
  </si>
  <si>
    <t>PORT SSR Chgs July 25</t>
  </si>
  <si>
    <t>1800011887</t>
  </si>
  <si>
    <t>256779416538</t>
  </si>
  <si>
    <t>CY Ground rent Chgs - 01 - 31 July 25</t>
  </si>
  <si>
    <t>1800009394</t>
  </si>
  <si>
    <t>256779414158</t>
  </si>
  <si>
    <t>CODC Inbound chgs - 16 - 31 May 25</t>
  </si>
  <si>
    <t>1800009401</t>
  </si>
  <si>
    <t>256779414165</t>
  </si>
  <si>
    <t>CODC Out chgs - 16 - 31 May 25</t>
  </si>
  <si>
    <t>1800009411</t>
  </si>
  <si>
    <t>256779414175</t>
  </si>
  <si>
    <t>PORT SSR Chgs - 16 - 31 May 25</t>
  </si>
  <si>
    <t>1800009452</t>
  </si>
  <si>
    <t>256779414216</t>
  </si>
  <si>
    <t>Outbound chgs - 16 - 31 MAY 25</t>
  </si>
  <si>
    <t>1800009524</t>
  </si>
  <si>
    <t>256779414288</t>
  </si>
  <si>
    <t>Scanning  Chgs - 16 - 31 May 25</t>
  </si>
  <si>
    <t>1600000595</t>
  </si>
  <si>
    <t>256779420304</t>
  </si>
  <si>
    <t>Credit note against 246779412237</t>
  </si>
  <si>
    <t>1600000715</t>
  </si>
  <si>
    <t>256779420424</t>
  </si>
  <si>
    <t>Credit note against 256779410291</t>
  </si>
  <si>
    <t>1600000802</t>
  </si>
  <si>
    <t>256779420511</t>
  </si>
  <si>
    <t>Credit note against 256779410250</t>
  </si>
  <si>
    <t>1800008593</t>
  </si>
  <si>
    <t>256779413357</t>
  </si>
  <si>
    <t>Outbound chgs - 16 - 30 Apr 25</t>
  </si>
  <si>
    <t>1800008519</t>
  </si>
  <si>
    <t>256779413283</t>
  </si>
  <si>
    <t>Scanning  Chgs - 16 - 31 Apr 25</t>
  </si>
  <si>
    <t>1800009135</t>
  </si>
  <si>
    <t>256779413899</t>
  </si>
  <si>
    <t>Storage Chgs - 01 - 31 Apr 25</t>
  </si>
  <si>
    <t>1800010769</t>
  </si>
  <si>
    <t>256779415431</t>
  </si>
  <si>
    <t>PORT SSR Chgs Apr &amp; June 25</t>
  </si>
  <si>
    <t>1800010660</t>
  </si>
  <si>
    <t>256779415444</t>
  </si>
  <si>
    <t>CODC Inbound chgs - 01 - 15 July 25</t>
  </si>
  <si>
    <t>1800010672</t>
  </si>
  <si>
    <t>256779415456</t>
  </si>
  <si>
    <t>CODC Out chgs - 01 - 15 July 25</t>
  </si>
  <si>
    <t>1800011041</t>
  </si>
  <si>
    <t>256779415801</t>
  </si>
  <si>
    <t>Inbound chgs - 01 - 15 JUL 25</t>
  </si>
  <si>
    <t>1800001410</t>
  </si>
  <si>
    <t>246779411278</t>
  </si>
  <si>
    <t>Scanning Charges for the month of August, 2024</t>
  </si>
  <si>
    <t>1800001426</t>
  </si>
  <si>
    <t>246779411339</t>
  </si>
  <si>
    <t>Scanning Charges for the month of December, 2024</t>
  </si>
  <si>
    <t>1800001437</t>
  </si>
  <si>
    <t>246779411326</t>
  </si>
  <si>
    <t>Scanning Charges for the month of November, 2024</t>
  </si>
  <si>
    <t>1800001450</t>
  </si>
  <si>
    <t>246779411314</t>
  </si>
  <si>
    <t>Scanning Charges for the month of October, 2024</t>
  </si>
  <si>
    <t>1800001468</t>
  </si>
  <si>
    <t>246779411300</t>
  </si>
  <si>
    <t>Scanning Charges for the month of September, 2024</t>
  </si>
  <si>
    <t>1800003755</t>
  </si>
  <si>
    <t>246779413622</t>
  </si>
  <si>
    <t>Outbound Handling charges for Jan 2025</t>
  </si>
  <si>
    <t>1800003756</t>
  </si>
  <si>
    <t>246779413623</t>
  </si>
  <si>
    <t>1800003757</t>
  </si>
  <si>
    <t>246779413624</t>
  </si>
  <si>
    <t>1800003758</t>
  </si>
  <si>
    <t>246779413625</t>
  </si>
  <si>
    <t>1800003759</t>
  </si>
  <si>
    <t>246779413626</t>
  </si>
  <si>
    <t>1800003760</t>
  </si>
  <si>
    <t>246779413627</t>
  </si>
  <si>
    <t>1800003761</t>
  </si>
  <si>
    <t>246779413628</t>
  </si>
  <si>
    <t>1800003762</t>
  </si>
  <si>
    <t>246779413629</t>
  </si>
  <si>
    <t>1800003827</t>
  </si>
  <si>
    <t>246779413689</t>
  </si>
  <si>
    <t>1800003828</t>
  </si>
  <si>
    <t>246779413690</t>
  </si>
  <si>
    <t>1800003829</t>
  </si>
  <si>
    <t>246779413691</t>
  </si>
  <si>
    <t>1800003830</t>
  </si>
  <si>
    <t>246779413692</t>
  </si>
  <si>
    <t>1800003831</t>
  </si>
  <si>
    <t>246779413693</t>
  </si>
  <si>
    <t>1800003832</t>
  </si>
  <si>
    <t>246779413694</t>
  </si>
  <si>
    <t>1800003833</t>
  </si>
  <si>
    <t>246779413695</t>
  </si>
  <si>
    <t>1800003834</t>
  </si>
  <si>
    <t>246779413696</t>
  </si>
  <si>
    <t>1800003779</t>
  </si>
  <si>
    <t>246779413701</t>
  </si>
  <si>
    <t>Ground Rent Jan 1-15</t>
  </si>
  <si>
    <t>1800003782</t>
  </si>
  <si>
    <t>246779413704</t>
  </si>
  <si>
    <t>Ground Rent Feb 1-15</t>
  </si>
  <si>
    <t>1800003865</t>
  </si>
  <si>
    <t>246779413733</t>
  </si>
  <si>
    <t>1800003866</t>
  </si>
  <si>
    <t>246779413734</t>
  </si>
  <si>
    <t>1800003867</t>
  </si>
  <si>
    <t>246779413735</t>
  </si>
  <si>
    <t>1800003868</t>
  </si>
  <si>
    <t>246779413736</t>
  </si>
  <si>
    <t>1800003869</t>
  </si>
  <si>
    <t>246779413737</t>
  </si>
  <si>
    <t>1800003870</t>
  </si>
  <si>
    <t>246779413738</t>
  </si>
  <si>
    <t>1800003871</t>
  </si>
  <si>
    <t>246779413739</t>
  </si>
  <si>
    <t>1800003872</t>
  </si>
  <si>
    <t>246779413740</t>
  </si>
  <si>
    <t>1800003873</t>
  </si>
  <si>
    <t>246779413741</t>
  </si>
  <si>
    <t>1800003876</t>
  </si>
  <si>
    <t>246779413744</t>
  </si>
  <si>
    <t>1800003877</t>
  </si>
  <si>
    <t>246779413745</t>
  </si>
  <si>
    <t>1800003894</t>
  </si>
  <si>
    <t>246779413762</t>
  </si>
  <si>
    <t>1800003914</t>
  </si>
  <si>
    <t>246779413782</t>
  </si>
  <si>
    <t>1800003928</t>
  </si>
  <si>
    <t>246779413796</t>
  </si>
  <si>
    <t>Ground Rent Jan 25</t>
  </si>
  <si>
    <t>1800003989</t>
  </si>
  <si>
    <t>246779413845</t>
  </si>
  <si>
    <t>Transportation Inbound Aug 24</t>
  </si>
  <si>
    <t>1800004077</t>
  </si>
  <si>
    <t>246779413933</t>
  </si>
  <si>
    <t>1800004273</t>
  </si>
  <si>
    <t>246779414141</t>
  </si>
  <si>
    <t>Inbound Handling charges for  Sep 2024</t>
  </si>
  <si>
    <t>1800004274</t>
  </si>
  <si>
    <t>246779414142</t>
  </si>
  <si>
    <t>LCL charges for Sep 2024</t>
  </si>
  <si>
    <t>1800004353</t>
  </si>
  <si>
    <t>246779414221</t>
  </si>
  <si>
    <t>Outbound Handling charges for Sep 2024</t>
  </si>
  <si>
    <t>1800004599</t>
  </si>
  <si>
    <t>246779414467</t>
  </si>
  <si>
    <t>Inbound Handling charges for Jan 2025</t>
  </si>
  <si>
    <t>1800004813</t>
  </si>
  <si>
    <t>246779414681</t>
  </si>
  <si>
    <t>Outbound Handling charges for Nov 2024</t>
  </si>
  <si>
    <t>1800004866</t>
  </si>
  <si>
    <t>246779414734</t>
  </si>
  <si>
    <t>1800005017</t>
  </si>
  <si>
    <t>246779414885</t>
  </si>
  <si>
    <t>1800003780</t>
  </si>
  <si>
    <t>246779413702</t>
  </si>
  <si>
    <t>Ground Rent Jan 16-31</t>
  </si>
  <si>
    <t>1800003783</t>
  </si>
  <si>
    <t>246779413705</t>
  </si>
  <si>
    <t>Ground Rent Feb 16-28</t>
  </si>
  <si>
    <t>1800003960</t>
  </si>
  <si>
    <t>246779413816</t>
  </si>
  <si>
    <t>Scanning Charges for the month of Feb 2025</t>
  </si>
  <si>
    <t>1800003971</t>
  </si>
  <si>
    <t>246779413827</t>
  </si>
  <si>
    <t>Scanning Charges for the month of Jan 2025</t>
  </si>
  <si>
    <t>1800003874</t>
  </si>
  <si>
    <t>246779413742</t>
  </si>
  <si>
    <t>1800003875</t>
  </si>
  <si>
    <t>246779413743</t>
  </si>
  <si>
    <t>1800003885</t>
  </si>
  <si>
    <t>246779413753</t>
  </si>
  <si>
    <t>1800004735</t>
  </si>
  <si>
    <t>246779414603</t>
  </si>
  <si>
    <t>Outbound Handling charges for Oct 2024</t>
  </si>
  <si>
    <t>1800004812</t>
  </si>
  <si>
    <t>246779414680</t>
  </si>
  <si>
    <t>Loose handling Charges for Nov 2024</t>
  </si>
  <si>
    <t>1800000121</t>
  </si>
  <si>
    <t>246779410049</t>
  </si>
  <si>
    <t>Fixed Rental charges for Sept 2024</t>
  </si>
  <si>
    <t>1800000032</t>
  </si>
  <si>
    <t>246779410072</t>
  </si>
  <si>
    <t>Fixed Rental charges for Aug 2024</t>
  </si>
  <si>
    <t>1800000190</t>
  </si>
  <si>
    <t>246779410117</t>
  </si>
  <si>
    <t>Fixed Rental charges for Nov 2024</t>
  </si>
  <si>
    <t>1800000233</t>
  </si>
  <si>
    <t>246779410160</t>
  </si>
  <si>
    <t>Fixed Rental charges for Dec 2024</t>
  </si>
  <si>
    <t>1800000276</t>
  </si>
  <si>
    <t>246779410203</t>
  </si>
  <si>
    <t>1800000319</t>
  </si>
  <si>
    <t>246779410246</t>
  </si>
  <si>
    <t>1800000150</t>
  </si>
  <si>
    <t>246779410303</t>
  </si>
  <si>
    <t>Fixed Rental charges for Oct 2024</t>
  </si>
  <si>
    <t>1800012068</t>
  </si>
  <si>
    <t>256779416603</t>
  </si>
  <si>
    <t>CODC LCL Chgs - 1-15 Aug 25</t>
  </si>
  <si>
    <t>1800012177</t>
  </si>
  <si>
    <t>256779416615</t>
  </si>
  <si>
    <t>CODC Out chgs - 1-15 Aug 25</t>
  </si>
  <si>
    <t>1800012164</t>
  </si>
  <si>
    <t>256779416809</t>
  </si>
  <si>
    <t>VAS-Aug 25- 1-15</t>
  </si>
  <si>
    <t>1800012248</t>
  </si>
  <si>
    <t>256779416844</t>
  </si>
  <si>
    <t>Inbound chgs - 01 - 15 AUG 25</t>
  </si>
  <si>
    <t>1800012216</t>
  </si>
  <si>
    <t>256779416878</t>
  </si>
  <si>
    <t>Loose chgs - 01 - 15 Aug 25</t>
  </si>
  <si>
    <t>1800015418</t>
  </si>
  <si>
    <t>256779419867</t>
  </si>
  <si>
    <t>2140083</t>
  </si>
  <si>
    <t>1800009576</t>
  </si>
  <si>
    <t>256779414340</t>
  </si>
  <si>
    <t>CY Longstanding - March 25,16-31</t>
  </si>
  <si>
    <t>1600000007</t>
  </si>
  <si>
    <t>DA</t>
  </si>
  <si>
    <t>07</t>
  </si>
  <si>
    <t>Overpayment</t>
  </si>
  <si>
    <t>17</t>
  </si>
  <si>
    <t>DY</t>
  </si>
  <si>
    <t>08</t>
  </si>
  <si>
    <t>1400001437</t>
  </si>
  <si>
    <t>RBINR52025100994757493</t>
  </si>
  <si>
    <t>1400001551</t>
  </si>
  <si>
    <t>PUNBR52025101818263040</t>
  </si>
  <si>
    <t>1400001616</t>
  </si>
  <si>
    <t>PUNBR52025110118746241</t>
  </si>
  <si>
    <t>1400001985</t>
  </si>
  <si>
    <t>05</t>
  </si>
  <si>
    <t>1400001619</t>
  </si>
  <si>
    <t>1400002209</t>
  </si>
  <si>
    <t>PUNBN62025121256541264</t>
  </si>
  <si>
    <t>1400000896</t>
  </si>
  <si>
    <t>CLD10FTGDCQ9</t>
  </si>
  <si>
    <t>1400000909</t>
  </si>
  <si>
    <t>CWDX5M1B7S9Y</t>
  </si>
  <si>
    <t>1400000924</t>
  </si>
  <si>
    <t>CYFC8Q39QKP6</t>
  </si>
  <si>
    <t>1400000939</t>
  </si>
  <si>
    <t>CWVJ4317QGG5</t>
  </si>
  <si>
    <t>1400000954</t>
  </si>
  <si>
    <t>CYFC8MGLSWHG</t>
  </si>
  <si>
    <t>1400000963</t>
  </si>
  <si>
    <t>D7GGNWM3YNBX</t>
  </si>
  <si>
    <t>1400001439</t>
  </si>
  <si>
    <t>PUNBN62025101050450380</t>
  </si>
  <si>
    <t>1400000091</t>
  </si>
  <si>
    <t>PUNBN62025053050253551</t>
  </si>
  <si>
    <t>1400000095</t>
  </si>
  <si>
    <t>RBINR52025060452948870</t>
  </si>
  <si>
    <t>1400000097</t>
  </si>
  <si>
    <t>PUNBN62025061353786918</t>
  </si>
  <si>
    <t>1400001594</t>
  </si>
  <si>
    <t>PUNBR52025102918605898</t>
  </si>
  <si>
    <t>7000000014</t>
  </si>
  <si>
    <t>XC</t>
  </si>
  <si>
    <t>6779ZP25000034</t>
  </si>
  <si>
    <t>7000000198</t>
  </si>
  <si>
    <t>6779ZR25000006</t>
  </si>
  <si>
    <t>59</t>
  </si>
  <si>
    <t>KNOCK OFF ENTRY</t>
  </si>
  <si>
    <t>1800003221</t>
  </si>
  <si>
    <t>246779413088</t>
  </si>
  <si>
    <t>Port SSR Charges - Shifting for Aug to Dec,24.</t>
  </si>
  <si>
    <t>1800000672</t>
  </si>
  <si>
    <t>246779410612</t>
  </si>
  <si>
    <t>Outbound Handling for Sep 2024</t>
  </si>
  <si>
    <t>1800000820</t>
  </si>
  <si>
    <t>246779410760</t>
  </si>
  <si>
    <t>Outbound Handling for Nov 2024</t>
  </si>
  <si>
    <t>1800003904</t>
  </si>
  <si>
    <t>246779413772</t>
  </si>
  <si>
    <t>1800008663</t>
  </si>
  <si>
    <t>256779413427</t>
  </si>
  <si>
    <t>OutKPI-CODC-1-15-MAY-25-9762086</t>
  </si>
  <si>
    <t>1800008664</t>
  </si>
  <si>
    <t>256779413428</t>
  </si>
  <si>
    <t>OutKPI-CODC-1-15-MAY-25-9800875</t>
  </si>
  <si>
    <t>1800012858</t>
  </si>
  <si>
    <t>256779417594</t>
  </si>
  <si>
    <t>2102528</t>
  </si>
  <si>
    <t>CODC Out chgs -1-15 Sep 25</t>
  </si>
  <si>
    <t>1800013527</t>
  </si>
  <si>
    <t>256779418351</t>
  </si>
  <si>
    <t>2110864</t>
  </si>
  <si>
    <t>CODC Out chgs -16-30 Sep 25</t>
  </si>
  <si>
    <t>1800000738</t>
  </si>
  <si>
    <t>246779410678</t>
  </si>
  <si>
    <t>Outbound Handling for Oct 2024</t>
  </si>
  <si>
    <t>1800000739</t>
  </si>
  <si>
    <t>246779410679</t>
  </si>
  <si>
    <t>1800000740</t>
  </si>
  <si>
    <t>246779410680</t>
  </si>
  <si>
    <t>1800000741</t>
  </si>
  <si>
    <t>246779410681</t>
  </si>
  <si>
    <t>1800000742</t>
  </si>
  <si>
    <t>246779410682</t>
  </si>
  <si>
    <t>1800000743</t>
  </si>
  <si>
    <t>246779410683</t>
  </si>
  <si>
    <t>1800000744</t>
  </si>
  <si>
    <t>246779410684</t>
  </si>
  <si>
    <t>1800000745</t>
  </si>
  <si>
    <t>246779410685</t>
  </si>
  <si>
    <t>1800000746</t>
  </si>
  <si>
    <t>246779410686</t>
  </si>
  <si>
    <t>1800000747</t>
  </si>
  <si>
    <t>246779410687</t>
  </si>
  <si>
    <t>1800000748</t>
  </si>
  <si>
    <t>246779410688</t>
  </si>
  <si>
    <t>1800000749</t>
  </si>
  <si>
    <t>246779410689</t>
  </si>
  <si>
    <t>1800000750</t>
  </si>
  <si>
    <t>246779410690</t>
  </si>
  <si>
    <t>1800000751</t>
  </si>
  <si>
    <t>246779410691</t>
  </si>
  <si>
    <t>1800000752</t>
  </si>
  <si>
    <t>246779410692</t>
  </si>
  <si>
    <t>1800000753</t>
  </si>
  <si>
    <t>246779410693</t>
  </si>
  <si>
    <t>1800000815</t>
  </si>
  <si>
    <t>246779410755</t>
  </si>
  <si>
    <t>1800000816</t>
  </si>
  <si>
    <t>246779410756</t>
  </si>
  <si>
    <t>1800000817</t>
  </si>
  <si>
    <t>246779410757</t>
  </si>
  <si>
    <t>1800000818</t>
  </si>
  <si>
    <t>246779410758</t>
  </si>
  <si>
    <t>1800000819</t>
  </si>
  <si>
    <t>246779410759</t>
  </si>
  <si>
    <t>1800000821</t>
  </si>
  <si>
    <t>246779410761</t>
  </si>
  <si>
    <t>1800000822</t>
  </si>
  <si>
    <t>246779410762</t>
  </si>
  <si>
    <t>1800000823</t>
  </si>
  <si>
    <t>246779410763</t>
  </si>
  <si>
    <t>1800000824</t>
  </si>
  <si>
    <t>246779410764</t>
  </si>
  <si>
    <t>1800000825</t>
  </si>
  <si>
    <t>246779410765</t>
  </si>
  <si>
    <t>1800000826</t>
  </si>
  <si>
    <t>246779410766</t>
  </si>
  <si>
    <t>1800000900</t>
  </si>
  <si>
    <t>246779410841</t>
  </si>
  <si>
    <t>Outbound Handling for Dec 2024</t>
  </si>
  <si>
    <t>1800000901</t>
  </si>
  <si>
    <t>246779410842</t>
  </si>
  <si>
    <t>1800000902</t>
  </si>
  <si>
    <t>246779410843</t>
  </si>
  <si>
    <t>1800000903</t>
  </si>
  <si>
    <t>246779410844</t>
  </si>
  <si>
    <t>1800000904</t>
  </si>
  <si>
    <t>246779410845</t>
  </si>
  <si>
    <t>1800000905</t>
  </si>
  <si>
    <t>246779410846</t>
  </si>
  <si>
    <t>1800000906</t>
  </si>
  <si>
    <t>246779410847</t>
  </si>
  <si>
    <t>1800000907</t>
  </si>
  <si>
    <t>246779410848</t>
  </si>
  <si>
    <t>1800000908</t>
  </si>
  <si>
    <t>246779410849</t>
  </si>
  <si>
    <t>1800000909</t>
  </si>
  <si>
    <t>246779410850</t>
  </si>
  <si>
    <t>1800000910</t>
  </si>
  <si>
    <t>246779410851</t>
  </si>
  <si>
    <t>1800000911</t>
  </si>
  <si>
    <t>246779410852</t>
  </si>
  <si>
    <t>1800000912</t>
  </si>
  <si>
    <t>246779410853</t>
  </si>
  <si>
    <t>1800000913</t>
  </si>
  <si>
    <t>246779410854</t>
  </si>
  <si>
    <t>1800000914</t>
  </si>
  <si>
    <t>246779410855</t>
  </si>
  <si>
    <t>1800005904</t>
  </si>
  <si>
    <t>256779410795</t>
  </si>
  <si>
    <t>Storage Charges Feb, 25</t>
  </si>
  <si>
    <t>1800005921</t>
  </si>
  <si>
    <t>256779410812</t>
  </si>
  <si>
    <t>Storage Charges Jan, 25</t>
  </si>
  <si>
    <t>1800000364</t>
  </si>
  <si>
    <t>246779410333</t>
  </si>
  <si>
    <t>CY-CY Ground Rent charges for Sept 2024</t>
  </si>
  <si>
    <t>1800000369</t>
  </si>
  <si>
    <t>246779410338</t>
  </si>
  <si>
    <t>CY-CY Ground Rent charges for Oct 2024</t>
  </si>
  <si>
    <t>1800000370</t>
  </si>
  <si>
    <t>246779410339</t>
  </si>
  <si>
    <t>CY-CY Ground Rent charges for Nov 2024</t>
  </si>
  <si>
    <t>1800000371</t>
  </si>
  <si>
    <t>246779410340</t>
  </si>
  <si>
    <t>CY-CY Ground Rent charges for Dec 2024</t>
  </si>
  <si>
    <t>1800000379</t>
  </si>
  <si>
    <t>246779410348</t>
  </si>
  <si>
    <t>1800000383</t>
  </si>
  <si>
    <t>246779410352</t>
  </si>
  <si>
    <t>1800000391</t>
  </si>
  <si>
    <t>246779410360</t>
  </si>
  <si>
    <t>1800001259</t>
  </si>
  <si>
    <t>246779411128</t>
  </si>
  <si>
    <t>1800001382</t>
  </si>
  <si>
    <t>246779411251</t>
  </si>
  <si>
    <t>1800001383</t>
  </si>
  <si>
    <t>246779411252</t>
  </si>
  <si>
    <t>1800000934</t>
  </si>
  <si>
    <t>246779410874</t>
  </si>
  <si>
    <t>Storage for the month of Nov 2024</t>
  </si>
  <si>
    <t>1800000956</t>
  </si>
  <si>
    <t>246779410896</t>
  </si>
  <si>
    <t>Storage for the month of Dec 2024</t>
  </si>
  <si>
    <t>1800001030</t>
  </si>
  <si>
    <t>246779410970</t>
  </si>
  <si>
    <t>Inbound Handling charges for Aug 2024</t>
  </si>
  <si>
    <t>1800001031</t>
  </si>
  <si>
    <t>246779410971</t>
  </si>
  <si>
    <t>1800001032</t>
  </si>
  <si>
    <t>246779410972</t>
  </si>
  <si>
    <t>1800001033</t>
  </si>
  <si>
    <t>246779410973</t>
  </si>
  <si>
    <t>1800001034</t>
  </si>
  <si>
    <t>246779410974</t>
  </si>
  <si>
    <t>1800001114</t>
  </si>
  <si>
    <t>246779411050</t>
  </si>
  <si>
    <t>Inbound Handling charges for Sep 2024</t>
  </si>
  <si>
    <t>1800001115</t>
  </si>
  <si>
    <t>246779411051</t>
  </si>
  <si>
    <t>1800001116</t>
  </si>
  <si>
    <t>246779411052</t>
  </si>
  <si>
    <t>1800001117</t>
  </si>
  <si>
    <t>246779411053</t>
  </si>
  <si>
    <t>1800001118</t>
  </si>
  <si>
    <t>246779411054</t>
  </si>
  <si>
    <t>1800001119</t>
  </si>
  <si>
    <t>246779411055</t>
  </si>
  <si>
    <t>1800001316</t>
  </si>
  <si>
    <t>246779411185</t>
  </si>
  <si>
    <t>Inbound Handling charges for Nov 2024</t>
  </si>
  <si>
    <t>1800001317</t>
  </si>
  <si>
    <t>246779411186</t>
  </si>
  <si>
    <t>1800001318</t>
  </si>
  <si>
    <t>246779411187</t>
  </si>
  <si>
    <t>1800001319</t>
  </si>
  <si>
    <t>246779411188</t>
  </si>
  <si>
    <t>1800001320</t>
  </si>
  <si>
    <t>246779411189</t>
  </si>
  <si>
    <t>1800001379</t>
  </si>
  <si>
    <t>246779411248</t>
  </si>
  <si>
    <t>1800001380</t>
  </si>
  <si>
    <t>246779411249</t>
  </si>
  <si>
    <t>1800001381</t>
  </si>
  <si>
    <t>246779411250</t>
  </si>
  <si>
    <t>1800000417</t>
  </si>
  <si>
    <t>246779410379</t>
  </si>
  <si>
    <t>Storage Charges for the month of August, 2024</t>
  </si>
  <si>
    <t>1800000554</t>
  </si>
  <si>
    <t>246779410504</t>
  </si>
  <si>
    <t>Outbound Handling for Aug 2024</t>
  </si>
  <si>
    <t>1800000442</t>
  </si>
  <si>
    <t>246779410404</t>
  </si>
  <si>
    <t>Storage  for the month of Sept  2024</t>
  </si>
  <si>
    <t>1800000466</t>
  </si>
  <si>
    <t>246779410428</t>
  </si>
  <si>
    <t>Storage for the month of Oct 2024</t>
  </si>
  <si>
    <t>1800000544</t>
  </si>
  <si>
    <t>246779410494</t>
  </si>
  <si>
    <t>1800000545</t>
  </si>
  <si>
    <t>246779410495</t>
  </si>
  <si>
    <t>1800000546</t>
  </si>
  <si>
    <t>246779410496</t>
  </si>
  <si>
    <t>1800000547</t>
  </si>
  <si>
    <t>246779410497</t>
  </si>
  <si>
    <t>1800000548</t>
  </si>
  <si>
    <t>246779410498</t>
  </si>
  <si>
    <t>1800000549</t>
  </si>
  <si>
    <t>246779410499</t>
  </si>
  <si>
    <t>1800000550</t>
  </si>
  <si>
    <t>246779410500</t>
  </si>
  <si>
    <t>1800000551</t>
  </si>
  <si>
    <t>246779410501</t>
  </si>
  <si>
    <t>1800000552</t>
  </si>
  <si>
    <t>246779410502</t>
  </si>
  <si>
    <t>1800000553</t>
  </si>
  <si>
    <t>246779410503</t>
  </si>
  <si>
    <t>1800000555</t>
  </si>
  <si>
    <t>246779410505</t>
  </si>
  <si>
    <t>1800000556</t>
  </si>
  <si>
    <t>246779410506</t>
  </si>
  <si>
    <t>1800000557</t>
  </si>
  <si>
    <t>246779410507</t>
  </si>
  <si>
    <t>1800000558</t>
  </si>
  <si>
    <t>246779410508</t>
  </si>
  <si>
    <t>1800000665</t>
  </si>
  <si>
    <t>246779410605</t>
  </si>
  <si>
    <t>1800000666</t>
  </si>
  <si>
    <t>246779410606</t>
  </si>
  <si>
    <t>1800000667</t>
  </si>
  <si>
    <t>246779410607</t>
  </si>
  <si>
    <t>1800000668</t>
  </si>
  <si>
    <t>246779410608</t>
  </si>
  <si>
    <t>1800000669</t>
  </si>
  <si>
    <t>246779410609</t>
  </si>
  <si>
    <t>1800000670</t>
  </si>
  <si>
    <t>246779410610</t>
  </si>
  <si>
    <t>1800000671</t>
  </si>
  <si>
    <t>246779410611</t>
  </si>
  <si>
    <t>1800000673</t>
  </si>
  <si>
    <t>246779410613</t>
  </si>
  <si>
    <t>1800011345</t>
  </si>
  <si>
    <t>256779416054</t>
  </si>
  <si>
    <t>Fixed Storage Charges for August 2025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</si>
  <si>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</si>
  <si>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</si>
  <si>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</si>
  <si>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</si>
  <si>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</si>
  <si>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</si>
  <si>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</si>
  <si>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</si>
  <si>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</si>
  <si>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</si>
  <si>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</si>
  <si>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</si>
  <si>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</si>
  <si>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</si>
  <si>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</si>
  <si>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</si>
  <si>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</si>
  <si>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</si>
  <si>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</si>
  <si>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</si>
  <si>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</si>
  <si>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</si>
  <si>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</si>
  <si>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</si>
  <si>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</si>
  <si>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</si>
  <si>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</si>
  <si>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</si>
  <si>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</si>
  <si>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</si>
  <si>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</si>
  <si>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</si>
  <si>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</si>
  <si>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Grand Total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</si>
  <si>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</si>
  <si>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</si>
  <si>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</si>
  <si>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</si>
  <si>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</si>
  <si>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</si>
  <si>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</si>
  <si>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</si>
  <si>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</si>
  <si>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</si>
  <si>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</si>
  <si>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</si>
  <si>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</si>
  <si>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</si>
  <si>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</si>
  <si>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Jan</t>
  </si>
  <si>
    <t>Sum of Company Code Currency Value</t>
  </si>
  <si>
    <t>Years</t>
  </si>
  <si>
    <t>Quarters</t>
  </si>
  <si>
    <t>Net balance</t>
  </si>
  <si>
    <t>Credit Note</t>
  </si>
  <si>
    <t>Debit Note</t>
  </si>
  <si>
    <t>Pay</t>
  </si>
  <si>
    <t>Purchase Invoice</t>
  </si>
  <si>
    <t>Sum of Debit (INR)</t>
  </si>
  <si>
    <t>Sum of Credit (INR)</t>
  </si>
  <si>
    <t>.</t>
  </si>
  <si>
    <t>Vlookup</t>
  </si>
  <si>
    <t>Diff</t>
  </si>
  <si>
    <t>Remarks</t>
  </si>
  <si>
    <t>Diff found</t>
  </si>
  <si>
    <t>TDS difference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</si>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</sst>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0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 applyAlignment="1">
      <alignment vertical="top"/>
    </xf>
    <xf numFmtId="43" fontId="3" fillId="0" borderId="0" xfId="0" applyNumberFormat="1" applyFont="1" applyAlignment="1">
      <alignment vertical="top"/>
    </xf>
    <xf numFmtId="43" fontId="3" fillId="5" borderId="0" xfId="0" applyNumberFormat="1" applyFont="1" applyFill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1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0" fontId="2" fillId="6" borderId="0" xfId="0" applyFont="1" applyFill="1"/>
    <xf numFmtId="9" fontId="0" fillId="0" borderId="0" xfId="2" applyFont="1" applyAlignment="1">
      <alignment horizontal="righ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COPE%20LOGISTIC%20SERVICES%20INDIA%20PRIVATE%20LIMITED_2024-04-01_2025-03-31__Supplier_Ascendas%20Panvel%20FTWZ%20Private%20Lim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ry Report"/>
    </sheetNames>
    <sheetDataSet>
      <sheetData sheetId="0">
        <row r="1">
          <cell r="A1" t="str">
            <v>Company</v>
          </cell>
          <cell r="B1" t="str">
            <v>SCOPE LOGISTIC SERVICES INDIA PRIVATE LIMITED</v>
          </cell>
        </row>
        <row r="2">
          <cell r="A2" t="str">
            <v>From Date</v>
          </cell>
          <cell r="B2" t="str">
            <v>2024-04-01</v>
          </cell>
        </row>
        <row r="3">
          <cell r="A3" t="str">
            <v>To Date</v>
          </cell>
          <cell r="B3" t="str">
            <v>2025-03-31</v>
          </cell>
        </row>
        <row r="4">
          <cell r="A4" t="str">
            <v>Party Type</v>
          </cell>
          <cell r="B4" t="str">
            <v>Supplier</v>
          </cell>
        </row>
        <row r="5">
          <cell r="A5" t="str">
            <v>Party</v>
          </cell>
          <cell r="B5" t="str">
            <v>Ascendas Panvel FTWZ Private Limited</v>
          </cell>
        </row>
        <row r="6">
          <cell r="A6" t="str">
            <v>Party Name</v>
          </cell>
          <cell r="B6" t="str">
            <v>Ascendas Panvel FTWZ Private Limited</v>
          </cell>
        </row>
        <row r="7">
          <cell r="A7" t="str">
            <v>Categorize by</v>
          </cell>
          <cell r="B7" t="str">
            <v>Categorize by Voucher (Consolidated)</v>
          </cell>
        </row>
        <row r="8">
          <cell r="A8" t="str">
            <v>Consider Accounting Dimensions</v>
          </cell>
          <cell r="B8" t="str">
            <v>Yes</v>
          </cell>
        </row>
        <row r="9">
          <cell r="A9" t="str">
            <v>Include Default FB Entries</v>
          </cell>
          <cell r="B9" t="str">
            <v>Yes</v>
          </cell>
        </row>
        <row r="11">
          <cell r="A11" t="str">
            <v>Posting Date</v>
          </cell>
          <cell r="B11" t="str">
            <v>Account</v>
          </cell>
          <cell r="C11" t="str">
            <v>Debit (INR)</v>
          </cell>
          <cell r="D11" t="str">
            <v>Credit (INR)</v>
          </cell>
          <cell r="E11" t="str">
            <v>Balance (INR)</v>
          </cell>
        </row>
        <row r="12">
          <cell r="B12" t="str">
            <v>'Opening'</v>
          </cell>
          <cell r="C12">
            <v>0</v>
          </cell>
          <cell r="D12">
            <v>0</v>
          </cell>
          <cell r="E12">
            <v>0</v>
          </cell>
        </row>
        <row r="13">
          <cell r="A13" t="str">
            <v>2025-02-20</v>
          </cell>
          <cell r="B13" t="str">
            <v>Sundry Creditors - SLSIPL</v>
          </cell>
          <cell r="C13">
            <v>0</v>
          </cell>
          <cell r="D13">
            <v>35554.519999999997</v>
          </cell>
          <cell r="E13">
            <v>-35554.519999999997</v>
          </cell>
        </row>
        <row r="14">
          <cell r="A14" t="str">
            <v>2025-02-20</v>
          </cell>
          <cell r="B14" t="str">
            <v>Sundry Creditors - SLSIPL</v>
          </cell>
          <cell r="C14">
            <v>0</v>
          </cell>
          <cell r="D14">
            <v>35554.519999999997</v>
          </cell>
          <cell r="E14">
            <v>-71109.039999999994</v>
          </cell>
        </row>
        <row r="15">
          <cell r="A15" t="str">
            <v>2025-02-20</v>
          </cell>
          <cell r="B15" t="str">
            <v>Sundry Creditors - SLSIPL</v>
          </cell>
          <cell r="C15">
            <v>0</v>
          </cell>
          <cell r="D15">
            <v>35554.519999999997</v>
          </cell>
          <cell r="E15">
            <v>-106663.56</v>
          </cell>
        </row>
        <row r="16">
          <cell r="A16" t="str">
            <v>2025-02-20</v>
          </cell>
          <cell r="B16" t="str">
            <v>Sundry Creditors - SLSIPL</v>
          </cell>
          <cell r="C16">
            <v>0</v>
          </cell>
          <cell r="D16">
            <v>35554.519999999997</v>
          </cell>
          <cell r="E16">
            <v>-142218.07999999999</v>
          </cell>
        </row>
        <row r="17">
          <cell r="A17" t="str">
            <v>2025-02-20</v>
          </cell>
          <cell r="B17" t="str">
            <v>Sundry Creditors - SLSIPL</v>
          </cell>
          <cell r="C17">
            <v>0</v>
          </cell>
          <cell r="D17">
            <v>35554.519999999997</v>
          </cell>
          <cell r="E17">
            <v>-177772.6</v>
          </cell>
        </row>
        <row r="18">
          <cell r="A18" t="str">
            <v>2025-02-20</v>
          </cell>
          <cell r="B18" t="str">
            <v>Sundry Creditors - SLSIPL</v>
          </cell>
          <cell r="C18">
            <v>0</v>
          </cell>
          <cell r="D18">
            <v>35554.519999999997</v>
          </cell>
          <cell r="E18">
            <v>-213327.12</v>
          </cell>
        </row>
        <row r="19">
          <cell r="A19" t="str">
            <v>2025-03-03</v>
          </cell>
          <cell r="B19" t="str">
            <v>Sundry Creditors - SLSIPL</v>
          </cell>
          <cell r="C19">
            <v>0</v>
          </cell>
          <cell r="D19">
            <v>804</v>
          </cell>
          <cell r="E19">
            <v>-214131.12</v>
          </cell>
        </row>
        <row r="20">
          <cell r="A20" t="str">
            <v>2025-03-03</v>
          </cell>
          <cell r="B20" t="str">
            <v>Sundry Creditors - SLSIPL</v>
          </cell>
          <cell r="C20">
            <v>0</v>
          </cell>
          <cell r="D20">
            <v>1004</v>
          </cell>
          <cell r="E20">
            <v>-215135.12</v>
          </cell>
        </row>
        <row r="21">
          <cell r="A21" t="str">
            <v>2025-03-03</v>
          </cell>
          <cell r="B21" t="str">
            <v>Sundry Creditors - SLSIPL</v>
          </cell>
          <cell r="C21">
            <v>0</v>
          </cell>
          <cell r="D21">
            <v>402</v>
          </cell>
          <cell r="E21">
            <v>-215537.12</v>
          </cell>
        </row>
        <row r="22">
          <cell r="A22" t="str">
            <v>2025-03-03</v>
          </cell>
          <cell r="B22" t="str">
            <v>Sundry Creditors - SLSIPL</v>
          </cell>
          <cell r="C22">
            <v>0</v>
          </cell>
          <cell r="D22">
            <v>201</v>
          </cell>
          <cell r="E22">
            <v>-215738.12</v>
          </cell>
        </row>
        <row r="23">
          <cell r="A23" t="str">
            <v>2025-03-03</v>
          </cell>
          <cell r="B23" t="str">
            <v>Sundry Creditors - SLSIPL</v>
          </cell>
          <cell r="C23">
            <v>0</v>
          </cell>
          <cell r="D23">
            <v>804</v>
          </cell>
          <cell r="E23">
            <v>-216542.12</v>
          </cell>
        </row>
        <row r="24">
          <cell r="A24" t="str">
            <v>2025-03-03</v>
          </cell>
          <cell r="B24" t="str">
            <v>Sundry Creditors - SLSIPL</v>
          </cell>
          <cell r="C24">
            <v>0</v>
          </cell>
          <cell r="D24">
            <v>402</v>
          </cell>
          <cell r="E24">
            <v>-216944.12</v>
          </cell>
        </row>
        <row r="25">
          <cell r="A25" t="str">
            <v>2025-03-03</v>
          </cell>
          <cell r="B25" t="str">
            <v>Sundry Creditors - SLSIPL</v>
          </cell>
          <cell r="C25">
            <v>0</v>
          </cell>
          <cell r="D25">
            <v>580687</v>
          </cell>
          <cell r="E25">
            <v>-797631.12</v>
          </cell>
        </row>
        <row r="26">
          <cell r="A26" t="str">
            <v>2025-03-03</v>
          </cell>
          <cell r="B26" t="str">
            <v>Sundry Creditors - SLSIPL</v>
          </cell>
          <cell r="C26">
            <v>0</v>
          </cell>
          <cell r="D26">
            <v>340227</v>
          </cell>
          <cell r="E26">
            <v>-1137858.1200000001</v>
          </cell>
        </row>
        <row r="27">
          <cell r="A27" t="str">
            <v>2025-03-03</v>
          </cell>
          <cell r="B27" t="str">
            <v>Sundry Creditors - SLSIPL</v>
          </cell>
          <cell r="C27">
            <v>0</v>
          </cell>
          <cell r="D27">
            <v>460370</v>
          </cell>
          <cell r="E27">
            <v>-1598228.12</v>
          </cell>
        </row>
        <row r="28">
          <cell r="A28" t="str">
            <v>2025-03-03</v>
          </cell>
          <cell r="B28" t="str">
            <v>Sundry Creditors - SLSIPL</v>
          </cell>
          <cell r="C28">
            <v>0</v>
          </cell>
          <cell r="D28">
            <v>2009</v>
          </cell>
          <cell r="E28">
            <v>-1600237.12</v>
          </cell>
        </row>
        <row r="29">
          <cell r="A29" t="str">
            <v>2025-03-03</v>
          </cell>
          <cell r="B29" t="str">
            <v>Sundry Creditors - SLSIPL</v>
          </cell>
          <cell r="C29">
            <v>0</v>
          </cell>
          <cell r="D29">
            <v>402</v>
          </cell>
          <cell r="E29">
            <v>-1600639.12</v>
          </cell>
        </row>
        <row r="30">
          <cell r="A30" t="str">
            <v>2025-03-03</v>
          </cell>
          <cell r="B30" t="str">
            <v>Sundry Creditors - SLSIPL</v>
          </cell>
          <cell r="C30">
            <v>0</v>
          </cell>
          <cell r="D30">
            <v>2009</v>
          </cell>
          <cell r="E30">
            <v>-1602648.12</v>
          </cell>
        </row>
        <row r="31">
          <cell r="A31" t="str">
            <v>2025-03-03</v>
          </cell>
          <cell r="B31" t="str">
            <v>Sundry Creditors - SLSIPL</v>
          </cell>
          <cell r="C31">
            <v>0</v>
          </cell>
          <cell r="D31">
            <v>201</v>
          </cell>
          <cell r="E31">
            <v>-1602849.12</v>
          </cell>
        </row>
        <row r="32">
          <cell r="A32" t="str">
            <v>2025-03-03</v>
          </cell>
          <cell r="B32" t="str">
            <v>Sundry Creditors - SLSIPL</v>
          </cell>
          <cell r="C32">
            <v>0</v>
          </cell>
          <cell r="D32">
            <v>201</v>
          </cell>
          <cell r="E32">
            <v>-1603050.12</v>
          </cell>
        </row>
        <row r="33">
          <cell r="A33" t="str">
            <v>2025-03-03</v>
          </cell>
          <cell r="B33" t="str">
            <v>Sundry Creditors - SLSIPL</v>
          </cell>
          <cell r="C33">
            <v>0</v>
          </cell>
          <cell r="D33">
            <v>201</v>
          </cell>
          <cell r="E33">
            <v>-1603251.12</v>
          </cell>
        </row>
        <row r="34">
          <cell r="A34" t="str">
            <v>2025-03-03</v>
          </cell>
          <cell r="B34" t="str">
            <v>Sundry Creditors - SLSIPL</v>
          </cell>
          <cell r="C34">
            <v>0</v>
          </cell>
          <cell r="D34">
            <v>804</v>
          </cell>
          <cell r="E34">
            <v>-1604055.12</v>
          </cell>
        </row>
        <row r="35">
          <cell r="A35" t="str">
            <v>2025-03-03</v>
          </cell>
          <cell r="B35" t="str">
            <v>Sundry Creditors - SLSIPL</v>
          </cell>
          <cell r="C35">
            <v>0</v>
          </cell>
          <cell r="D35">
            <v>201</v>
          </cell>
          <cell r="E35">
            <v>-1604256.12</v>
          </cell>
        </row>
        <row r="36">
          <cell r="A36" t="str">
            <v>2025-03-03</v>
          </cell>
          <cell r="B36" t="str">
            <v>Sundry Creditors - SLSIPL</v>
          </cell>
          <cell r="C36">
            <v>0</v>
          </cell>
          <cell r="D36">
            <v>1607</v>
          </cell>
          <cell r="E36">
            <v>-1605863.12</v>
          </cell>
        </row>
        <row r="37">
          <cell r="A37" t="str">
            <v>2025-03-03</v>
          </cell>
          <cell r="B37" t="str">
            <v>Sundry Creditors - SLSIPL</v>
          </cell>
          <cell r="C37">
            <v>0</v>
          </cell>
          <cell r="D37">
            <v>2009</v>
          </cell>
          <cell r="E37">
            <v>-1607872.12</v>
          </cell>
        </row>
        <row r="38">
          <cell r="A38" t="str">
            <v>2025-03-03</v>
          </cell>
          <cell r="B38" t="str">
            <v>Sundry Creditors - SLSIPL</v>
          </cell>
          <cell r="C38">
            <v>0</v>
          </cell>
          <cell r="D38">
            <v>2009</v>
          </cell>
          <cell r="E38">
            <v>-1609881.12</v>
          </cell>
        </row>
        <row r="39">
          <cell r="A39" t="str">
            <v>2025-03-03</v>
          </cell>
          <cell r="B39" t="str">
            <v>Sundry Creditors - SLSIPL</v>
          </cell>
          <cell r="C39">
            <v>0</v>
          </cell>
          <cell r="D39">
            <v>201</v>
          </cell>
          <cell r="E39">
            <v>-1610082.12</v>
          </cell>
        </row>
        <row r="40">
          <cell r="A40" t="str">
            <v>2025-03-03</v>
          </cell>
          <cell r="B40" t="str">
            <v>Sundry Creditors - SLSIPL</v>
          </cell>
          <cell r="C40">
            <v>0</v>
          </cell>
          <cell r="D40">
            <v>603</v>
          </cell>
          <cell r="E40">
            <v>-1610685.12</v>
          </cell>
        </row>
        <row r="41">
          <cell r="A41" t="str">
            <v>2025-03-03</v>
          </cell>
          <cell r="B41" t="str">
            <v>Sundry Creditors - SLSIPL</v>
          </cell>
          <cell r="C41">
            <v>0</v>
          </cell>
          <cell r="D41">
            <v>402</v>
          </cell>
          <cell r="E41">
            <v>-1611087.12</v>
          </cell>
        </row>
        <row r="42">
          <cell r="A42" t="str">
            <v>2025-03-03</v>
          </cell>
          <cell r="B42" t="str">
            <v>Sundry Creditors - SLSIPL</v>
          </cell>
          <cell r="C42">
            <v>0</v>
          </cell>
          <cell r="D42">
            <v>402</v>
          </cell>
          <cell r="E42">
            <v>-1611489.12</v>
          </cell>
        </row>
        <row r="43">
          <cell r="A43" t="str">
            <v>2025-03-03</v>
          </cell>
          <cell r="B43" t="str">
            <v>Sundry Creditors - SLSIPL</v>
          </cell>
          <cell r="C43">
            <v>0</v>
          </cell>
          <cell r="D43">
            <v>201</v>
          </cell>
          <cell r="E43">
            <v>-1611690.12</v>
          </cell>
        </row>
        <row r="44">
          <cell r="A44" t="str">
            <v>2025-03-04</v>
          </cell>
          <cell r="B44" t="str">
            <v>Sundry Creditors - SLSIPL</v>
          </cell>
          <cell r="C44">
            <v>0</v>
          </cell>
          <cell r="D44">
            <v>403</v>
          </cell>
          <cell r="E44">
            <v>-1612093.12</v>
          </cell>
        </row>
        <row r="45">
          <cell r="A45" t="str">
            <v>2025-03-04</v>
          </cell>
          <cell r="B45" t="str">
            <v>Sundry Creditors - SLSIPL</v>
          </cell>
          <cell r="C45">
            <v>0</v>
          </cell>
          <cell r="D45">
            <v>805</v>
          </cell>
          <cell r="E45">
            <v>-1612898.12</v>
          </cell>
        </row>
        <row r="46">
          <cell r="A46" t="str">
            <v>2025-03-04</v>
          </cell>
          <cell r="B46" t="str">
            <v>Sundry Creditors - SLSIPL</v>
          </cell>
          <cell r="C46">
            <v>0</v>
          </cell>
          <cell r="D46">
            <v>201</v>
          </cell>
          <cell r="E46">
            <v>-1613099.12</v>
          </cell>
        </row>
        <row r="47">
          <cell r="A47" t="str">
            <v>2025-03-04</v>
          </cell>
          <cell r="B47" t="str">
            <v>Sundry Creditors - SLSIPL</v>
          </cell>
          <cell r="C47">
            <v>0</v>
          </cell>
          <cell r="D47">
            <v>604</v>
          </cell>
          <cell r="E47">
            <v>-1613703.12</v>
          </cell>
        </row>
        <row r="48">
          <cell r="A48" t="str">
            <v>2025-03-04</v>
          </cell>
          <cell r="B48" t="str">
            <v>Sundry Creditors - SLSIPL</v>
          </cell>
          <cell r="C48">
            <v>0</v>
          </cell>
          <cell r="D48">
            <v>1006</v>
          </cell>
          <cell r="E48">
            <v>-1614709.12</v>
          </cell>
        </row>
        <row r="49">
          <cell r="A49" t="str">
            <v>2025-03-04</v>
          </cell>
          <cell r="B49" t="str">
            <v>Sundry Creditors - SLSIPL</v>
          </cell>
          <cell r="C49">
            <v>0</v>
          </cell>
          <cell r="D49">
            <v>1207</v>
          </cell>
          <cell r="E49">
            <v>-1615916.12</v>
          </cell>
        </row>
        <row r="50">
          <cell r="A50" t="str">
            <v>2025-03-04</v>
          </cell>
          <cell r="B50" t="str">
            <v>Sundry Creditors - SLSIPL</v>
          </cell>
          <cell r="C50">
            <v>0</v>
          </cell>
          <cell r="D50">
            <v>201</v>
          </cell>
          <cell r="E50">
            <v>-1616117.12</v>
          </cell>
        </row>
        <row r="51">
          <cell r="A51" t="str">
            <v>2025-03-04</v>
          </cell>
          <cell r="B51" t="str">
            <v>Sundry Creditors - SLSIPL</v>
          </cell>
          <cell r="C51">
            <v>0</v>
          </cell>
          <cell r="D51">
            <v>403</v>
          </cell>
          <cell r="E51">
            <v>-1616520.12</v>
          </cell>
        </row>
        <row r="52">
          <cell r="A52" t="str">
            <v>2025-03-04</v>
          </cell>
          <cell r="B52" t="str">
            <v>Sundry Creditors - SLSIPL</v>
          </cell>
          <cell r="C52">
            <v>0</v>
          </cell>
          <cell r="D52">
            <v>403</v>
          </cell>
          <cell r="E52">
            <v>-1616923.12</v>
          </cell>
        </row>
        <row r="53">
          <cell r="A53" t="str">
            <v>2025-03-04</v>
          </cell>
          <cell r="B53" t="str">
            <v>Sundry Creditors - SLSIPL</v>
          </cell>
          <cell r="C53">
            <v>0</v>
          </cell>
          <cell r="D53">
            <v>201</v>
          </cell>
          <cell r="E53">
            <v>-1617124.12</v>
          </cell>
        </row>
        <row r="54">
          <cell r="A54" t="str">
            <v>2025-03-04</v>
          </cell>
          <cell r="B54" t="str">
            <v>Sundry Creditors - SLSIPL</v>
          </cell>
          <cell r="C54">
            <v>0</v>
          </cell>
          <cell r="D54">
            <v>201</v>
          </cell>
          <cell r="E54">
            <v>-1617325.12</v>
          </cell>
        </row>
        <row r="55">
          <cell r="A55" t="str">
            <v>2025-03-04</v>
          </cell>
          <cell r="B55" t="str">
            <v>Sundry Creditors - SLSIPL</v>
          </cell>
          <cell r="C55">
            <v>0</v>
          </cell>
          <cell r="D55">
            <v>403</v>
          </cell>
          <cell r="E55">
            <v>-1617728.12</v>
          </cell>
        </row>
        <row r="56">
          <cell r="A56" t="str">
            <v>2025-03-04</v>
          </cell>
          <cell r="B56" t="str">
            <v>Sundry Creditors - SLSIPL</v>
          </cell>
          <cell r="C56">
            <v>0</v>
          </cell>
          <cell r="D56">
            <v>403</v>
          </cell>
          <cell r="E56">
            <v>-1618131.12</v>
          </cell>
        </row>
        <row r="57">
          <cell r="A57" t="str">
            <v>2025-03-04</v>
          </cell>
          <cell r="B57" t="str">
            <v>Sundry Creditors - SLSIPL</v>
          </cell>
          <cell r="C57">
            <v>0</v>
          </cell>
          <cell r="D57">
            <v>3219</v>
          </cell>
          <cell r="E57">
            <v>-1621350.12</v>
          </cell>
        </row>
        <row r="58">
          <cell r="A58" t="str">
            <v>2025-03-04</v>
          </cell>
          <cell r="B58" t="str">
            <v>Sundry Creditors - SLSIPL</v>
          </cell>
          <cell r="C58">
            <v>0</v>
          </cell>
          <cell r="D58">
            <v>403</v>
          </cell>
          <cell r="E58">
            <v>-1621753.12</v>
          </cell>
        </row>
        <row r="59">
          <cell r="A59" t="str">
            <v>2025-03-04</v>
          </cell>
          <cell r="B59" t="str">
            <v>Sundry Creditors - SLSIPL</v>
          </cell>
          <cell r="C59">
            <v>0</v>
          </cell>
          <cell r="D59">
            <v>805</v>
          </cell>
          <cell r="E59">
            <v>-1622558.12</v>
          </cell>
        </row>
        <row r="60">
          <cell r="A60" t="str">
            <v>2025-03-04</v>
          </cell>
          <cell r="B60" t="str">
            <v>Sundry Creditors - SLSIPL</v>
          </cell>
          <cell r="C60">
            <v>0</v>
          </cell>
          <cell r="D60">
            <v>604</v>
          </cell>
          <cell r="E60">
            <v>-1623162.12</v>
          </cell>
        </row>
        <row r="61">
          <cell r="A61" t="str">
            <v>2025-03-04</v>
          </cell>
          <cell r="B61" t="str">
            <v>Sundry Creditors - SLSIPL</v>
          </cell>
          <cell r="C61">
            <v>0</v>
          </cell>
          <cell r="D61">
            <v>604</v>
          </cell>
          <cell r="E61">
            <v>-1623766.12</v>
          </cell>
        </row>
        <row r="62">
          <cell r="A62" t="str">
            <v>2025-03-04</v>
          </cell>
          <cell r="B62" t="str">
            <v>Sundry Creditors - SLSIPL</v>
          </cell>
          <cell r="C62">
            <v>0</v>
          </cell>
          <cell r="D62">
            <v>201</v>
          </cell>
          <cell r="E62">
            <v>-1623967.12</v>
          </cell>
        </row>
        <row r="63">
          <cell r="A63" t="str">
            <v>2025-03-04</v>
          </cell>
          <cell r="B63" t="str">
            <v>Sundry Creditors - SLSIPL</v>
          </cell>
          <cell r="C63">
            <v>0</v>
          </cell>
          <cell r="D63">
            <v>3622</v>
          </cell>
          <cell r="E63">
            <v>-1627589.12</v>
          </cell>
        </row>
        <row r="64">
          <cell r="A64" t="str">
            <v>2025-03-04</v>
          </cell>
          <cell r="B64" t="str">
            <v>Sundry Creditors - SLSIPL</v>
          </cell>
          <cell r="C64">
            <v>0</v>
          </cell>
          <cell r="D64">
            <v>1207</v>
          </cell>
          <cell r="E64">
            <v>-1628796.12</v>
          </cell>
        </row>
        <row r="65">
          <cell r="A65" t="str">
            <v>2025-03-04</v>
          </cell>
          <cell r="B65" t="str">
            <v>Sundry Creditors - SLSIPL</v>
          </cell>
          <cell r="C65">
            <v>0</v>
          </cell>
          <cell r="D65">
            <v>201</v>
          </cell>
          <cell r="E65">
            <v>-1628997.12</v>
          </cell>
        </row>
        <row r="66">
          <cell r="A66" t="str">
            <v>2025-03-04</v>
          </cell>
          <cell r="B66" t="str">
            <v>Sundry Creditors - SLSIPL</v>
          </cell>
          <cell r="C66">
            <v>0</v>
          </cell>
          <cell r="D66">
            <v>201</v>
          </cell>
          <cell r="E66">
            <v>-1629198.12</v>
          </cell>
        </row>
        <row r="67">
          <cell r="A67" t="str">
            <v>2025-03-04</v>
          </cell>
          <cell r="B67" t="str">
            <v>Sundry Creditors - SLSIPL</v>
          </cell>
          <cell r="C67">
            <v>0</v>
          </cell>
          <cell r="D67">
            <v>201</v>
          </cell>
          <cell r="E67">
            <v>-1629399.12</v>
          </cell>
        </row>
        <row r="68">
          <cell r="A68" t="str">
            <v>2025-03-04</v>
          </cell>
          <cell r="B68" t="str">
            <v>Sundry Creditors - SLSIPL</v>
          </cell>
          <cell r="C68">
            <v>0</v>
          </cell>
          <cell r="D68">
            <v>805</v>
          </cell>
          <cell r="E68">
            <v>-1630204.12</v>
          </cell>
        </row>
        <row r="69">
          <cell r="A69" t="str">
            <v>2025-03-04</v>
          </cell>
          <cell r="B69" t="str">
            <v>Sundry Creditors - SLSIPL</v>
          </cell>
          <cell r="C69">
            <v>0</v>
          </cell>
          <cell r="D69">
            <v>604</v>
          </cell>
          <cell r="E69">
            <v>-1630808.12</v>
          </cell>
        </row>
        <row r="70">
          <cell r="A70" t="str">
            <v>2025-03-04</v>
          </cell>
          <cell r="B70" t="str">
            <v>Sundry Creditors - SLSIPL</v>
          </cell>
          <cell r="C70">
            <v>0</v>
          </cell>
          <cell r="D70">
            <v>403</v>
          </cell>
          <cell r="E70">
            <v>-1631211.12</v>
          </cell>
        </row>
        <row r="71">
          <cell r="A71" t="str">
            <v>2025-03-04</v>
          </cell>
          <cell r="B71" t="str">
            <v>Sundry Creditors - SLSIPL</v>
          </cell>
          <cell r="C71">
            <v>0</v>
          </cell>
          <cell r="D71">
            <v>403</v>
          </cell>
          <cell r="E71">
            <v>-1631614.12</v>
          </cell>
        </row>
        <row r="72">
          <cell r="A72" t="str">
            <v>2025-03-04</v>
          </cell>
          <cell r="B72" t="str">
            <v>Sundry Creditors - SLSIPL</v>
          </cell>
          <cell r="C72">
            <v>0</v>
          </cell>
          <cell r="D72">
            <v>805</v>
          </cell>
          <cell r="E72">
            <v>-1632419.12</v>
          </cell>
        </row>
        <row r="73">
          <cell r="A73" t="str">
            <v>2025-03-04</v>
          </cell>
          <cell r="B73" t="str">
            <v>Sundry Creditors - SLSIPL</v>
          </cell>
          <cell r="C73">
            <v>0</v>
          </cell>
          <cell r="D73">
            <v>201</v>
          </cell>
          <cell r="E73">
            <v>-1632620.12</v>
          </cell>
        </row>
        <row r="74">
          <cell r="A74" t="str">
            <v>2025-03-06</v>
          </cell>
          <cell r="B74" t="str">
            <v>Sundry Creditors - SLSIPL</v>
          </cell>
          <cell r="C74">
            <v>0</v>
          </cell>
          <cell r="D74">
            <v>2406</v>
          </cell>
          <cell r="E74">
            <v>-1635026.12</v>
          </cell>
        </row>
        <row r="75">
          <cell r="A75" t="str">
            <v>2025-03-06</v>
          </cell>
          <cell r="B75" t="str">
            <v>Sundry Creditors - SLSIPL</v>
          </cell>
          <cell r="C75">
            <v>0</v>
          </cell>
          <cell r="D75">
            <v>1882</v>
          </cell>
          <cell r="E75">
            <v>-1636908.12</v>
          </cell>
        </row>
        <row r="76">
          <cell r="A76" t="str">
            <v>2025-03-06</v>
          </cell>
          <cell r="B76" t="str">
            <v>Sundry Creditors - SLSIPL</v>
          </cell>
          <cell r="C76">
            <v>0</v>
          </cell>
          <cell r="D76">
            <v>36538</v>
          </cell>
          <cell r="E76">
            <v>-1673446.12</v>
          </cell>
        </row>
        <row r="77">
          <cell r="A77" t="str">
            <v>2025-03-06</v>
          </cell>
          <cell r="B77" t="str">
            <v>Sundry Creditors - SLSIPL</v>
          </cell>
          <cell r="C77">
            <v>0</v>
          </cell>
          <cell r="D77">
            <v>401</v>
          </cell>
          <cell r="E77">
            <v>-1673847.12</v>
          </cell>
        </row>
        <row r="78">
          <cell r="A78" t="str">
            <v>2025-03-06</v>
          </cell>
          <cell r="B78" t="str">
            <v>Sundry Creditors - SLSIPL</v>
          </cell>
          <cell r="C78">
            <v>0</v>
          </cell>
          <cell r="D78">
            <v>1481</v>
          </cell>
          <cell r="E78">
            <v>-1675328.12</v>
          </cell>
        </row>
        <row r="79">
          <cell r="A79" t="str">
            <v>2025-03-06</v>
          </cell>
          <cell r="B79" t="str">
            <v>Sundry Creditors - SLSIPL</v>
          </cell>
          <cell r="C79">
            <v>0</v>
          </cell>
          <cell r="D79">
            <v>2884</v>
          </cell>
          <cell r="E79">
            <v>-1678212.12</v>
          </cell>
        </row>
        <row r="80">
          <cell r="A80" t="str">
            <v>2025-03-06</v>
          </cell>
          <cell r="B80" t="str">
            <v>Sundry Creditors - SLSIPL</v>
          </cell>
          <cell r="C80">
            <v>0</v>
          </cell>
          <cell r="D80">
            <v>357094</v>
          </cell>
          <cell r="E80">
            <v>-2035306.12</v>
          </cell>
        </row>
        <row r="81">
          <cell r="A81" t="str">
            <v>2025-03-06</v>
          </cell>
          <cell r="B81" t="str">
            <v>Sundry Creditors - SLSIPL</v>
          </cell>
          <cell r="C81">
            <v>0</v>
          </cell>
          <cell r="D81">
            <v>241385</v>
          </cell>
          <cell r="E81">
            <v>-2276691.12</v>
          </cell>
        </row>
        <row r="82">
          <cell r="A82" t="str">
            <v>2025-03-06</v>
          </cell>
          <cell r="B82" t="str">
            <v>Sundry Creditors - SLSIPL</v>
          </cell>
          <cell r="C82">
            <v>0</v>
          </cell>
          <cell r="D82">
            <v>2004</v>
          </cell>
          <cell r="E82">
            <v>-2278695.12</v>
          </cell>
        </row>
        <row r="83">
          <cell r="A83" t="str">
            <v>2025-03-06</v>
          </cell>
          <cell r="B83" t="str">
            <v>Sundry Creditors - SLSIPL</v>
          </cell>
          <cell r="C83">
            <v>0</v>
          </cell>
          <cell r="D83">
            <v>2004</v>
          </cell>
          <cell r="E83">
            <v>-2280699.12</v>
          </cell>
        </row>
        <row r="84">
          <cell r="A84" t="str">
            <v>2025-03-06</v>
          </cell>
          <cell r="B84" t="str">
            <v>Sundry Creditors - SLSIPL</v>
          </cell>
          <cell r="C84">
            <v>0</v>
          </cell>
          <cell r="D84">
            <v>2004</v>
          </cell>
          <cell r="E84">
            <v>-2282703.12</v>
          </cell>
        </row>
        <row r="85">
          <cell r="A85" t="str">
            <v>2025-03-06</v>
          </cell>
          <cell r="B85" t="str">
            <v>Sundry Creditors - SLSIPL</v>
          </cell>
          <cell r="C85">
            <v>0</v>
          </cell>
          <cell r="D85">
            <v>2004</v>
          </cell>
          <cell r="E85">
            <v>-2284707.12</v>
          </cell>
        </row>
        <row r="86">
          <cell r="A86" t="str">
            <v>2025-03-06</v>
          </cell>
          <cell r="B86" t="str">
            <v>Sundry Creditors - SLSIPL</v>
          </cell>
          <cell r="C86">
            <v>0</v>
          </cell>
          <cell r="D86">
            <v>2004</v>
          </cell>
          <cell r="E86">
            <v>-2286711.12</v>
          </cell>
        </row>
        <row r="87">
          <cell r="A87" t="str">
            <v>2025-03-17</v>
          </cell>
          <cell r="B87" t="str">
            <v>Sundry Creditors - SLSIPL</v>
          </cell>
          <cell r="C87">
            <v>0</v>
          </cell>
          <cell r="D87">
            <v>1842</v>
          </cell>
          <cell r="E87">
            <v>-2288553.12</v>
          </cell>
        </row>
        <row r="88">
          <cell r="A88" t="str">
            <v>2025-03-17</v>
          </cell>
          <cell r="B88" t="str">
            <v>Sundry Creditors - SLSIPL</v>
          </cell>
          <cell r="C88">
            <v>0</v>
          </cell>
          <cell r="D88">
            <v>576</v>
          </cell>
          <cell r="E88">
            <v>-2289129.12</v>
          </cell>
        </row>
        <row r="89">
          <cell r="A89" t="str">
            <v>2025-03-17</v>
          </cell>
          <cell r="B89" t="str">
            <v>Sundry Creditors - SLSIPL</v>
          </cell>
          <cell r="C89">
            <v>0</v>
          </cell>
          <cell r="D89">
            <v>336</v>
          </cell>
          <cell r="E89">
            <v>-2289465.12</v>
          </cell>
        </row>
        <row r="90">
          <cell r="A90" t="str">
            <v>2025-03-17</v>
          </cell>
          <cell r="B90" t="str">
            <v>Sundry Creditors - SLSIPL</v>
          </cell>
          <cell r="C90">
            <v>0</v>
          </cell>
          <cell r="D90">
            <v>576</v>
          </cell>
          <cell r="E90">
            <v>-2290041.12</v>
          </cell>
        </row>
        <row r="91">
          <cell r="A91" t="str">
            <v>2025-03-19</v>
          </cell>
          <cell r="B91" t="str">
            <v>Sundry Creditors - SLSIPL</v>
          </cell>
          <cell r="C91">
            <v>0</v>
          </cell>
          <cell r="D91">
            <v>35488</v>
          </cell>
          <cell r="E91">
            <v>-2325529.12</v>
          </cell>
        </row>
        <row r="92">
          <cell r="A92" t="str">
            <v>2025-03-20</v>
          </cell>
          <cell r="B92" t="str">
            <v>Sundry Creditors - SLSIPL</v>
          </cell>
          <cell r="C92">
            <v>0</v>
          </cell>
          <cell r="D92">
            <v>1268</v>
          </cell>
          <cell r="E92">
            <v>-2326797.12</v>
          </cell>
        </row>
        <row r="93">
          <cell r="A93" t="str">
            <v>2025-03-20</v>
          </cell>
          <cell r="B93" t="str">
            <v>Sundry Creditors - SLSIPL</v>
          </cell>
          <cell r="C93">
            <v>0</v>
          </cell>
          <cell r="D93">
            <v>1408</v>
          </cell>
          <cell r="E93">
            <v>-2328205.12</v>
          </cell>
        </row>
        <row r="94">
          <cell r="A94" t="str">
            <v>2025-03-20</v>
          </cell>
          <cell r="B94" t="str">
            <v>Sundry Creditors - SLSIPL</v>
          </cell>
          <cell r="C94">
            <v>0</v>
          </cell>
          <cell r="D94">
            <v>381</v>
          </cell>
          <cell r="E94">
            <v>-2328586.12</v>
          </cell>
        </row>
        <row r="95">
          <cell r="A95" t="str">
            <v>2025-03-20</v>
          </cell>
          <cell r="B95" t="str">
            <v>Sundry Creditors - SLSIPL</v>
          </cell>
          <cell r="C95">
            <v>0</v>
          </cell>
          <cell r="D95">
            <v>1981</v>
          </cell>
          <cell r="E95">
            <v>-2330567.12</v>
          </cell>
        </row>
        <row r="96">
          <cell r="A96" t="str">
            <v>2025-03-20</v>
          </cell>
          <cell r="B96" t="str">
            <v>Sundry Creditors - SLSIPL</v>
          </cell>
          <cell r="C96">
            <v>0</v>
          </cell>
          <cell r="D96">
            <v>1907</v>
          </cell>
          <cell r="E96">
            <v>-2332474.12</v>
          </cell>
        </row>
        <row r="97">
          <cell r="A97" t="str">
            <v>2025-03-20</v>
          </cell>
          <cell r="B97" t="str">
            <v>Sundry Creditors - SLSIPL</v>
          </cell>
          <cell r="C97">
            <v>0</v>
          </cell>
          <cell r="D97">
            <v>596</v>
          </cell>
          <cell r="E97">
            <v>-2333070.12</v>
          </cell>
        </row>
        <row r="98">
          <cell r="A98" t="str">
            <v>2025-03-20</v>
          </cell>
          <cell r="B98" t="str">
            <v>Sundry Creditors - SLSIPL</v>
          </cell>
          <cell r="C98">
            <v>0</v>
          </cell>
          <cell r="D98">
            <v>3578</v>
          </cell>
          <cell r="E98">
            <v>-2336648.12</v>
          </cell>
        </row>
        <row r="99">
          <cell r="A99" t="str">
            <v>2025-03-20</v>
          </cell>
          <cell r="B99" t="str">
            <v>Sundry Creditors - SLSIPL</v>
          </cell>
          <cell r="C99">
            <v>0</v>
          </cell>
          <cell r="D99">
            <v>198</v>
          </cell>
          <cell r="E99">
            <v>-2336846.12</v>
          </cell>
        </row>
        <row r="100">
          <cell r="A100" t="str">
            <v>2025-03-20</v>
          </cell>
          <cell r="B100" t="str">
            <v>Sundry Creditors - SLSIPL</v>
          </cell>
          <cell r="C100">
            <v>0</v>
          </cell>
          <cell r="D100">
            <v>397</v>
          </cell>
          <cell r="E100">
            <v>-2337243.12</v>
          </cell>
        </row>
        <row r="101">
          <cell r="A101" t="str">
            <v>2025-03-20</v>
          </cell>
          <cell r="B101" t="str">
            <v>Sundry Creditors - SLSIPL</v>
          </cell>
          <cell r="C101">
            <v>0</v>
          </cell>
          <cell r="D101">
            <v>198</v>
          </cell>
          <cell r="E101">
            <v>-2337441.12</v>
          </cell>
        </row>
        <row r="102">
          <cell r="A102" t="str">
            <v>2025-03-20</v>
          </cell>
          <cell r="B102" t="str">
            <v>Sundry Creditors - SLSIPL</v>
          </cell>
          <cell r="C102">
            <v>0</v>
          </cell>
          <cell r="D102">
            <v>7156</v>
          </cell>
          <cell r="E102">
            <v>-2344597.12</v>
          </cell>
        </row>
        <row r="103">
          <cell r="A103" t="str">
            <v>2025-03-20</v>
          </cell>
          <cell r="B103" t="str">
            <v>Sundry Creditors - SLSIPL</v>
          </cell>
          <cell r="C103">
            <v>0</v>
          </cell>
          <cell r="D103">
            <v>198</v>
          </cell>
          <cell r="E103">
            <v>-2344795.12</v>
          </cell>
        </row>
        <row r="104">
          <cell r="A104" t="str">
            <v>2025-03-20</v>
          </cell>
          <cell r="B104" t="str">
            <v>Sundry Creditors - SLSIPL</v>
          </cell>
          <cell r="C104">
            <v>0</v>
          </cell>
          <cell r="D104">
            <v>1590</v>
          </cell>
          <cell r="E104">
            <v>-2346385.12</v>
          </cell>
        </row>
        <row r="105">
          <cell r="A105" t="str">
            <v>2025-03-20</v>
          </cell>
          <cell r="B105" t="str">
            <v>Sundry Creditors - SLSIPL</v>
          </cell>
          <cell r="C105">
            <v>0</v>
          </cell>
          <cell r="D105">
            <v>198</v>
          </cell>
          <cell r="E105">
            <v>-2346583.12</v>
          </cell>
        </row>
        <row r="106">
          <cell r="A106" t="str">
            <v>2025-03-20</v>
          </cell>
          <cell r="B106" t="str">
            <v>Sundry Creditors - SLSIPL</v>
          </cell>
          <cell r="C106">
            <v>0</v>
          </cell>
          <cell r="D106">
            <v>596</v>
          </cell>
          <cell r="E106">
            <v>-2347179.12</v>
          </cell>
        </row>
        <row r="107">
          <cell r="A107" t="str">
            <v>2025-03-31</v>
          </cell>
          <cell r="B107" t="str">
            <v>Sundry Creditors - SLSIPL</v>
          </cell>
          <cell r="C107">
            <v>0</v>
          </cell>
          <cell r="D107">
            <v>4387</v>
          </cell>
          <cell r="E107">
            <v>-2351566.12</v>
          </cell>
        </row>
        <row r="108">
          <cell r="A108" t="str">
            <v>2025-03-31</v>
          </cell>
          <cell r="B108" t="str">
            <v>Sundry Creditors - SLSIPL</v>
          </cell>
          <cell r="C108">
            <v>0</v>
          </cell>
          <cell r="D108">
            <v>1408</v>
          </cell>
          <cell r="E108">
            <v>-2352974.12</v>
          </cell>
        </row>
        <row r="109">
          <cell r="A109" t="str">
            <v>2025-03-31</v>
          </cell>
          <cell r="B109" t="str">
            <v>Sundry Creditors - SLSIPL</v>
          </cell>
          <cell r="C109">
            <v>0</v>
          </cell>
          <cell r="D109">
            <v>3434</v>
          </cell>
          <cell r="E109">
            <v>-2356408.12</v>
          </cell>
        </row>
        <row r="110">
          <cell r="A110" t="str">
            <v>2025-03-31</v>
          </cell>
          <cell r="B110" t="str">
            <v>Sundry Creditors - SLSIPL</v>
          </cell>
          <cell r="C110">
            <v>0</v>
          </cell>
          <cell r="D110">
            <v>13737</v>
          </cell>
          <cell r="E110">
            <v>-2370145.12</v>
          </cell>
        </row>
        <row r="111">
          <cell r="A111" t="str">
            <v>2025-03-31</v>
          </cell>
          <cell r="B111" t="str">
            <v>Sundry Creditors - SLSIPL</v>
          </cell>
          <cell r="C111">
            <v>0</v>
          </cell>
          <cell r="D111">
            <v>1599</v>
          </cell>
          <cell r="E111">
            <v>-2371744.12</v>
          </cell>
        </row>
        <row r="112">
          <cell r="A112" t="str">
            <v>2025-03-31</v>
          </cell>
          <cell r="B112" t="str">
            <v>Sundry Creditors - SLSIPL</v>
          </cell>
          <cell r="C112">
            <v>0</v>
          </cell>
          <cell r="D112">
            <v>1599</v>
          </cell>
          <cell r="E112">
            <v>-2373343.12</v>
          </cell>
        </row>
        <row r="113">
          <cell r="A113" t="str">
            <v>2025-03-31</v>
          </cell>
          <cell r="B113" t="str">
            <v>Sundry Creditors - SLSIPL</v>
          </cell>
          <cell r="C113">
            <v>0</v>
          </cell>
          <cell r="D113">
            <v>1907</v>
          </cell>
          <cell r="E113">
            <v>-2375250.12</v>
          </cell>
        </row>
        <row r="114">
          <cell r="A114" t="str">
            <v>2025-03-31</v>
          </cell>
          <cell r="B114" t="str">
            <v>Sundry Creditors - SLSIPL</v>
          </cell>
          <cell r="C114">
            <v>0</v>
          </cell>
          <cell r="D114">
            <v>1907</v>
          </cell>
          <cell r="E114">
            <v>-2377157.12</v>
          </cell>
        </row>
        <row r="115">
          <cell r="A115" t="str">
            <v>2025-03-31</v>
          </cell>
          <cell r="B115" t="str">
            <v>Sundry Creditors - SLSIPL</v>
          </cell>
          <cell r="C115">
            <v>0</v>
          </cell>
          <cell r="D115">
            <v>4652</v>
          </cell>
          <cell r="E115">
            <v>-2381809.12</v>
          </cell>
        </row>
        <row r="116">
          <cell r="A116" t="str">
            <v>2025-03-31</v>
          </cell>
          <cell r="B116" t="str">
            <v>Sundry Creditors - SLSIPL</v>
          </cell>
          <cell r="C116">
            <v>0</v>
          </cell>
          <cell r="D116">
            <v>2674</v>
          </cell>
          <cell r="E116">
            <v>-2384483.12</v>
          </cell>
        </row>
        <row r="117">
          <cell r="A117" t="str">
            <v>2025-03-31</v>
          </cell>
          <cell r="B117" t="str">
            <v>Sundry Creditors - SLSIPL</v>
          </cell>
          <cell r="C117">
            <v>0</v>
          </cell>
          <cell r="D117">
            <v>34760</v>
          </cell>
          <cell r="E117">
            <v>-2419243.12</v>
          </cell>
        </row>
        <row r="118">
          <cell r="A118" t="str">
            <v>2025-03-31</v>
          </cell>
          <cell r="B118" t="str">
            <v>Sundry Creditors - SLSIPL</v>
          </cell>
          <cell r="C118">
            <v>0</v>
          </cell>
          <cell r="D118">
            <v>480</v>
          </cell>
          <cell r="E118">
            <v>-2419723.12</v>
          </cell>
        </row>
        <row r="119">
          <cell r="A119" t="str">
            <v>2025-03-31</v>
          </cell>
          <cell r="B119" t="str">
            <v>Sundry Creditors - SLSIPL</v>
          </cell>
          <cell r="C119">
            <v>0</v>
          </cell>
          <cell r="D119">
            <v>20874</v>
          </cell>
          <cell r="E119">
            <v>-2440597.12</v>
          </cell>
        </row>
        <row r="120">
          <cell r="A120" t="str">
            <v>2025-03-31</v>
          </cell>
          <cell r="B120" t="str">
            <v>Sundry Creditors - SLSIPL</v>
          </cell>
          <cell r="C120">
            <v>0</v>
          </cell>
          <cell r="D120">
            <v>18610</v>
          </cell>
          <cell r="E120">
            <v>-2459207.12</v>
          </cell>
        </row>
        <row r="121">
          <cell r="A121" t="str">
            <v>2025-03-31</v>
          </cell>
          <cell r="B121" t="str">
            <v>Sundry Creditors - SLSIPL</v>
          </cell>
          <cell r="C121">
            <v>0</v>
          </cell>
          <cell r="D121">
            <v>31723</v>
          </cell>
          <cell r="E121">
            <v>-2490930.12</v>
          </cell>
        </row>
        <row r="122">
          <cell r="A122" t="str">
            <v>2025-03-31</v>
          </cell>
          <cell r="B122" t="str">
            <v>Sundry Creditors - SLSIPL</v>
          </cell>
          <cell r="C122">
            <v>0</v>
          </cell>
          <cell r="D122">
            <v>31723</v>
          </cell>
          <cell r="E122">
            <v>-2522653.12</v>
          </cell>
        </row>
        <row r="123">
          <cell r="A123" t="str">
            <v>2025-03-31</v>
          </cell>
          <cell r="B123" t="str">
            <v>Sundry Creditors - SLSIPL</v>
          </cell>
          <cell r="C123">
            <v>0</v>
          </cell>
          <cell r="D123">
            <v>191</v>
          </cell>
          <cell r="E123">
            <v>-2522844.12</v>
          </cell>
        </row>
        <row r="124">
          <cell r="A124" t="str">
            <v>2025-03-31</v>
          </cell>
          <cell r="B124" t="str">
            <v>Sundry Creditors - SLSIPL</v>
          </cell>
          <cell r="C124">
            <v>0</v>
          </cell>
          <cell r="D124">
            <v>3064</v>
          </cell>
          <cell r="E124">
            <v>-2525908.12</v>
          </cell>
        </row>
        <row r="125">
          <cell r="A125" t="str">
            <v>2025-03-31</v>
          </cell>
          <cell r="B125" t="str">
            <v>Sundry Creditors - SLSIPL</v>
          </cell>
          <cell r="C125">
            <v>0</v>
          </cell>
          <cell r="D125">
            <v>3448</v>
          </cell>
          <cell r="E125">
            <v>-2529356.12</v>
          </cell>
        </row>
        <row r="126">
          <cell r="A126" t="str">
            <v>2025-03-31</v>
          </cell>
          <cell r="B126" t="str">
            <v>Sundry Creditors - SLSIPL</v>
          </cell>
          <cell r="C126">
            <v>0</v>
          </cell>
          <cell r="D126">
            <v>6513</v>
          </cell>
          <cell r="E126">
            <v>-2535869.12</v>
          </cell>
        </row>
        <row r="127">
          <cell r="A127" t="str">
            <v>2025-03-31</v>
          </cell>
          <cell r="B127" t="str">
            <v>Sundry Creditors - SLSIPL</v>
          </cell>
          <cell r="C127">
            <v>0</v>
          </cell>
          <cell r="D127">
            <v>1724</v>
          </cell>
          <cell r="E127">
            <v>-2537593.12</v>
          </cell>
        </row>
        <row r="128">
          <cell r="A128" t="str">
            <v>2025-03-31</v>
          </cell>
          <cell r="B128" t="str">
            <v>Sundry Creditors - SLSIPL</v>
          </cell>
          <cell r="C128">
            <v>0</v>
          </cell>
          <cell r="D128">
            <v>1149</v>
          </cell>
          <cell r="E128">
            <v>-2538742.12</v>
          </cell>
        </row>
        <row r="129">
          <cell r="A129" t="str">
            <v>2025-03-31</v>
          </cell>
          <cell r="B129" t="str">
            <v>Sundry Creditors - SLSIPL</v>
          </cell>
          <cell r="C129">
            <v>0</v>
          </cell>
          <cell r="D129">
            <v>191</v>
          </cell>
          <cell r="E129">
            <v>-2538933.12</v>
          </cell>
        </row>
        <row r="130">
          <cell r="A130" t="str">
            <v>2025-03-31</v>
          </cell>
          <cell r="B130" t="str">
            <v>Sundry Creditors - SLSIPL</v>
          </cell>
          <cell r="C130">
            <v>0</v>
          </cell>
          <cell r="D130">
            <v>6896</v>
          </cell>
          <cell r="E130">
            <v>-2545829.12</v>
          </cell>
        </row>
        <row r="131">
          <cell r="A131" t="str">
            <v>2025-03-31</v>
          </cell>
          <cell r="B131" t="str">
            <v>Sundry Creditors - SLSIPL</v>
          </cell>
          <cell r="C131">
            <v>0</v>
          </cell>
          <cell r="D131">
            <v>3448</v>
          </cell>
          <cell r="E131">
            <v>-2549277.12</v>
          </cell>
        </row>
        <row r="132">
          <cell r="A132" t="str">
            <v>2025-03-31</v>
          </cell>
          <cell r="B132" t="str">
            <v>Sundry Creditors - SLSIPL</v>
          </cell>
          <cell r="C132">
            <v>0</v>
          </cell>
          <cell r="D132">
            <v>191</v>
          </cell>
          <cell r="E132">
            <v>-2549468.12</v>
          </cell>
        </row>
        <row r="133">
          <cell r="A133" t="str">
            <v>2025-03-31</v>
          </cell>
          <cell r="B133" t="str">
            <v>Sundry Creditors - SLSIPL</v>
          </cell>
          <cell r="C133">
            <v>0</v>
          </cell>
          <cell r="D133">
            <v>382</v>
          </cell>
          <cell r="E133">
            <v>-2549850.12</v>
          </cell>
        </row>
        <row r="134">
          <cell r="A134" t="str">
            <v>2025-03-31</v>
          </cell>
          <cell r="B134" t="str">
            <v>Sundry Creditors - SLSIPL</v>
          </cell>
          <cell r="C134">
            <v>0</v>
          </cell>
          <cell r="D134">
            <v>381</v>
          </cell>
          <cell r="E134">
            <v>-2550231.12</v>
          </cell>
        </row>
        <row r="135">
          <cell r="A135" t="str">
            <v>2025-03-31</v>
          </cell>
          <cell r="B135" t="str">
            <v>Sundry Creditors - SLSIPL</v>
          </cell>
          <cell r="C135">
            <v>0</v>
          </cell>
          <cell r="D135">
            <v>1528</v>
          </cell>
          <cell r="E135">
            <v>-2551759.12</v>
          </cell>
        </row>
        <row r="136">
          <cell r="A136" t="str">
            <v>2025-03-31</v>
          </cell>
          <cell r="B136" t="str">
            <v>Sundry Creditors - SLSIPL</v>
          </cell>
          <cell r="C136">
            <v>0</v>
          </cell>
          <cell r="D136">
            <v>3436</v>
          </cell>
          <cell r="E136">
            <v>-2555195.12</v>
          </cell>
        </row>
        <row r="137">
          <cell r="A137" t="str">
            <v>2025-03-31</v>
          </cell>
          <cell r="B137" t="str">
            <v>Sundry Creditors - SLSIPL</v>
          </cell>
          <cell r="C137">
            <v>0</v>
          </cell>
          <cell r="D137">
            <v>763</v>
          </cell>
          <cell r="E137">
            <v>-2555958.12</v>
          </cell>
        </row>
        <row r="138">
          <cell r="A138" t="str">
            <v>2025-03-31</v>
          </cell>
          <cell r="B138" t="str">
            <v>Sundry Creditors - SLSIPL</v>
          </cell>
          <cell r="C138">
            <v>0</v>
          </cell>
          <cell r="D138">
            <v>381</v>
          </cell>
          <cell r="E138">
            <v>-2556339.12</v>
          </cell>
        </row>
        <row r="139">
          <cell r="A139" t="str">
            <v>2025-03-31</v>
          </cell>
          <cell r="B139" t="str">
            <v>Sundry Creditors - SLSIPL</v>
          </cell>
          <cell r="C139">
            <v>0</v>
          </cell>
          <cell r="D139">
            <v>381</v>
          </cell>
          <cell r="E139">
            <v>-2556720.12</v>
          </cell>
        </row>
        <row r="140">
          <cell r="A140" t="str">
            <v>2025-03-31</v>
          </cell>
          <cell r="B140" t="str">
            <v>Sundry Creditors - SLSIPL</v>
          </cell>
          <cell r="C140">
            <v>0</v>
          </cell>
          <cell r="D140">
            <v>190</v>
          </cell>
          <cell r="E140">
            <v>-2556910.12</v>
          </cell>
        </row>
        <row r="141">
          <cell r="A141" t="str">
            <v>2025-03-31</v>
          </cell>
          <cell r="B141" t="str">
            <v>Sundry Creditors - SLSIPL</v>
          </cell>
          <cell r="C141">
            <v>0</v>
          </cell>
          <cell r="D141">
            <v>1145</v>
          </cell>
          <cell r="E141">
            <v>-2558055.12</v>
          </cell>
        </row>
        <row r="142">
          <cell r="A142" t="str">
            <v>2025-03-31</v>
          </cell>
          <cell r="B142" t="str">
            <v>Sundry Creditors - SLSIPL</v>
          </cell>
          <cell r="C142">
            <v>0</v>
          </cell>
          <cell r="D142">
            <v>1527</v>
          </cell>
          <cell r="E142">
            <v>-2559582.12</v>
          </cell>
        </row>
        <row r="143">
          <cell r="A143" t="str">
            <v>2025-03-31</v>
          </cell>
          <cell r="B143" t="str">
            <v>Sundry Creditors - SLSIPL</v>
          </cell>
          <cell r="C143">
            <v>0</v>
          </cell>
          <cell r="D143">
            <v>1268</v>
          </cell>
          <cell r="E143">
            <v>-2560850.12</v>
          </cell>
        </row>
        <row r="144">
          <cell r="A144" t="str">
            <v>2025-03-31</v>
          </cell>
          <cell r="B144" t="str">
            <v>Sundry Creditors - SLSIPL</v>
          </cell>
          <cell r="C144">
            <v>0</v>
          </cell>
          <cell r="D144">
            <v>211</v>
          </cell>
          <cell r="E144">
            <v>-2561061.12</v>
          </cell>
        </row>
        <row r="145">
          <cell r="A145" t="str">
            <v>2025-03-31</v>
          </cell>
          <cell r="B145" t="str">
            <v>Sundry Creditors - SLSIPL</v>
          </cell>
          <cell r="C145">
            <v>0</v>
          </cell>
          <cell r="D145">
            <v>211</v>
          </cell>
          <cell r="E145">
            <v>-2561272.12</v>
          </cell>
        </row>
        <row r="146">
          <cell r="A146" t="str">
            <v>2025-03-31</v>
          </cell>
          <cell r="B146" t="str">
            <v>Sundry Creditors - SLSIPL</v>
          </cell>
          <cell r="C146">
            <v>0</v>
          </cell>
          <cell r="D146">
            <v>17701</v>
          </cell>
          <cell r="E146">
            <v>-2578973.12</v>
          </cell>
        </row>
        <row r="147">
          <cell r="A147" t="str">
            <v>2025-03-31</v>
          </cell>
          <cell r="B147" t="str">
            <v>Sundry Creditors - SLSIPL</v>
          </cell>
          <cell r="C147">
            <v>0</v>
          </cell>
          <cell r="D147">
            <v>596</v>
          </cell>
          <cell r="E147">
            <v>-2579569.12</v>
          </cell>
        </row>
        <row r="148">
          <cell r="A148" t="str">
            <v>2025-03-31</v>
          </cell>
          <cell r="B148" t="str">
            <v>Sundry Creditors - SLSIPL</v>
          </cell>
          <cell r="C148">
            <v>0</v>
          </cell>
          <cell r="D148">
            <v>994</v>
          </cell>
          <cell r="E148">
            <v>-2580563.12</v>
          </cell>
        </row>
        <row r="149">
          <cell r="A149" t="str">
            <v>2025-03-31</v>
          </cell>
          <cell r="B149" t="str">
            <v>Sundry Creditors - SLSIPL</v>
          </cell>
          <cell r="C149">
            <v>0</v>
          </cell>
          <cell r="D149">
            <v>17857</v>
          </cell>
          <cell r="E149">
            <v>-2598420.12</v>
          </cell>
        </row>
        <row r="150">
          <cell r="A150" t="str">
            <v>2025-03-31</v>
          </cell>
          <cell r="B150" t="str">
            <v>Sundry Creditors - SLSIPL</v>
          </cell>
          <cell r="C150">
            <v>0</v>
          </cell>
          <cell r="D150">
            <v>8522</v>
          </cell>
          <cell r="E150">
            <v>-2606942.12</v>
          </cell>
        </row>
        <row r="151">
          <cell r="A151" t="str">
            <v>2025-03-31</v>
          </cell>
          <cell r="B151" t="str">
            <v>Sundry Creditors - SLSIPL</v>
          </cell>
          <cell r="C151">
            <v>0</v>
          </cell>
          <cell r="D151">
            <v>143412</v>
          </cell>
          <cell r="E151">
            <v>-2750354.12</v>
          </cell>
        </row>
        <row r="152">
          <cell r="A152" t="str">
            <v>2025-03-31</v>
          </cell>
          <cell r="B152" t="str">
            <v>Sundry Creditors - SLSIPL</v>
          </cell>
          <cell r="C152">
            <v>0</v>
          </cell>
          <cell r="D152">
            <v>5816</v>
          </cell>
          <cell r="E152">
            <v>-2756170.12</v>
          </cell>
        </row>
        <row r="153">
          <cell r="A153" t="str">
            <v>2025-03-31</v>
          </cell>
          <cell r="B153" t="str">
            <v>Sundry Creditors - SLSIPL</v>
          </cell>
          <cell r="C153">
            <v>0</v>
          </cell>
          <cell r="D153">
            <v>5816</v>
          </cell>
          <cell r="E153">
            <v>-2761986.12</v>
          </cell>
        </row>
        <row r="154">
          <cell r="A154" t="str">
            <v>2025-03-31</v>
          </cell>
          <cell r="B154" t="str">
            <v>Sundry Creditors - SLSIPL</v>
          </cell>
          <cell r="C154">
            <v>0</v>
          </cell>
          <cell r="D154">
            <v>4339</v>
          </cell>
          <cell r="E154">
            <v>-2766325.12</v>
          </cell>
        </row>
        <row r="155">
          <cell r="A155" t="str">
            <v>2025-03-31</v>
          </cell>
          <cell r="B155" t="str">
            <v>Sundry Creditors - SLSIPL</v>
          </cell>
          <cell r="C155">
            <v>0</v>
          </cell>
          <cell r="D155">
            <v>6761</v>
          </cell>
          <cell r="E155">
            <v>-2773086.12</v>
          </cell>
        </row>
        <row r="156">
          <cell r="A156" t="str">
            <v>2025-03-31</v>
          </cell>
          <cell r="B156" t="str">
            <v>Sundry Creditors - SLSIPL</v>
          </cell>
          <cell r="C156">
            <v>0</v>
          </cell>
          <cell r="D156">
            <v>3110</v>
          </cell>
          <cell r="E156">
            <v>-2776196.12</v>
          </cell>
        </row>
        <row r="157">
          <cell r="A157" t="str">
            <v>2025-03-31</v>
          </cell>
          <cell r="B157" t="str">
            <v>Sundry Creditors - SLSIPL</v>
          </cell>
          <cell r="C157">
            <v>0</v>
          </cell>
          <cell r="D157">
            <v>33376</v>
          </cell>
          <cell r="E157">
            <v>-2809572.12</v>
          </cell>
        </row>
        <row r="158">
          <cell r="B158" t="str">
            <v>'Total'</v>
          </cell>
          <cell r="C158">
            <v>0</v>
          </cell>
          <cell r="D158">
            <v>2809572.12</v>
          </cell>
          <cell r="E158">
            <v>-2809572.12</v>
          </cell>
        </row>
        <row r="159">
          <cell r="B159" t="str">
            <v>'Closing (Opening + Total)'</v>
          </cell>
          <cell r="C159">
            <v>0</v>
          </cell>
          <cell r="D159">
            <v>2809572.12</v>
          </cell>
          <cell r="E159">
            <v>-2809572.12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hal Thakkar" refreshedDate="46066.819809490742" createdVersion="7" refreshedVersion="7" minRefreshableVersion="3" recordCount="478" xr:uid="{F46381BE-86D7-4F97-BA91-08BCB2D8B6C1}">
  <cacheSource type="worksheet">
    <worksheetSource ref="A2:AK480" sheet="working"/>
  </cacheSource>
  <cacheFields count="35">
    <cacheField name="Cleared Item" numFmtId="0">
      <sharedItems/>
    </cacheField>
    <cacheField name="Company Code" numFmtId="0">
      <sharedItems/>
    </cacheField>
    <cacheField name="Customer" numFmtId="0">
      <sharedItems/>
    </cacheField>
    <cacheField name="Customer Account: Name 1" numFmtId="0">
      <sharedItems/>
    </cacheField>
    <cacheField name="Fiscal Year" numFmtId="0">
      <sharedItems/>
    </cacheField>
    <cacheField name="Posting period" numFmtId="0">
      <sharedItems/>
    </cacheField>
    <cacheField name="Posting Date" numFmtId="14">
      <sharedItems containsSemiMixedTypes="0" containsNonDate="0" containsDate="1" containsString="0" minDate="2025-02-13T00:00:00" maxDate="2026-02-03T00:00:00"/>
    </cacheField>
    <cacheField name="Document Number" numFmtId="0">
      <sharedItems/>
    </cacheField>
    <cacheField name="Document Type" numFmtId="0">
      <sharedItems count="6">
        <s v="DG"/>
        <s v="DR"/>
        <s v="DZ"/>
        <s v="DA"/>
        <s v="DY"/>
        <s v="XC"/>
      </sharedItems>
    </cacheField>
    <cacheField name="Document Date" numFmtId="14">
      <sharedItems containsSemiMixedTypes="0" containsNonDate="0" containsDate="1" containsString="0" minDate="2025-02-13T00:00:00" maxDate="2026-02-03T00:00:00" count="88">
        <d v="2025-07-16T00:00:00"/>
        <d v="2025-05-20T00:00:00"/>
        <d v="2025-04-03T00:00:00"/>
        <d v="2025-10-20T00:00:00"/>
        <d v="2025-04-21T00:00:00"/>
        <d v="2025-07-24T00:00:00"/>
        <d v="2025-05-21T00:00:00"/>
        <d v="2025-04-24T00:00:00"/>
        <d v="2025-06-18T00:00:00"/>
        <d v="2025-10-21T00:00:00"/>
        <d v="2025-03-19T00:00:00"/>
        <d v="2025-06-19T00:00:00"/>
        <d v="2025-11-20T00:00:00"/>
        <d v="2025-04-22T00:00:00"/>
        <d v="2025-09-18T00:00:00"/>
        <d v="2025-12-05T00:00:00"/>
        <d v="2025-05-22T00:00:00"/>
        <d v="2025-04-23T00:00:00"/>
        <d v="2025-02-21T00:00:00"/>
        <d v="2025-03-21T00:00:00"/>
        <d v="2025-10-08T00:00:00"/>
        <d v="2025-06-02T00:00:00"/>
        <d v="2025-10-07T00:00:00"/>
        <d v="2025-07-19T00:00:00"/>
        <d v="2025-05-10T00:00:00"/>
        <d v="2025-12-06T00:00:00"/>
        <d v="2025-10-18T00:00:00"/>
        <d v="2025-06-07T00:00:00"/>
        <d v="2025-10-06T00:00:00"/>
        <d v="2025-10-05T00:00:00"/>
        <d v="2025-09-06T00:00:00"/>
        <d v="2025-05-18T00:00:00"/>
        <d v="2026-01-02T00:00:00"/>
        <d v="2026-01-05T00:00:00"/>
        <d v="2026-01-08T00:00:00"/>
        <d v="2026-01-09T00:00:00"/>
        <d v="2026-01-06T00:00:00"/>
        <d v="2026-01-12T00:00:00"/>
        <d v="2026-01-13T00:00:00"/>
        <d v="2026-01-21T00:00:00"/>
        <d v="2026-01-22T00:00:00"/>
        <d v="2026-01-23T00:00:00"/>
        <d v="2026-01-27T00:00:00"/>
        <d v="2026-02-02T00:00:00"/>
        <d v="2025-03-17T00:00:00"/>
        <d v="2025-06-10T00:00:00"/>
        <d v="2025-09-17T00:00:00"/>
        <d v="2025-11-19T00:00:00"/>
        <d v="2025-04-15T00:00:00"/>
        <d v="2025-08-11T00:00:00"/>
        <d v="2025-07-07T00:00:00"/>
        <d v="2025-10-17T00:00:00"/>
        <d v="2025-04-16T00:00:00"/>
        <d v="2025-07-25T00:00:00"/>
        <d v="2025-03-14T00:00:00"/>
        <d v="2025-09-04T00:00:00"/>
        <d v="2025-07-04T00:00:00"/>
        <d v="2025-11-05T00:00:00"/>
        <d v="2025-08-08T00:00:00"/>
        <d v="2025-06-04T00:00:00"/>
        <d v="2025-05-14T00:00:00"/>
        <d v="2025-05-16T00:00:00"/>
        <d v="2025-05-28T00:00:00"/>
        <d v="2025-07-18T00:00:00"/>
        <d v="2025-03-13T00:00:00"/>
        <d v="2025-03-20T00:00:00"/>
        <d v="2025-02-20T00:00:00"/>
        <d v="2025-08-20T00:00:00"/>
        <d v="2025-12-08T00:00:00"/>
        <d v="2025-06-13T00:00:00"/>
        <d v="2025-04-11T00:00:00"/>
        <d v="2025-09-02T00:00:00"/>
        <d v="2025-10-16T00:00:00"/>
        <d v="2025-10-29T00:00:00"/>
        <d v="2025-11-11T00:00:00"/>
        <d v="2025-12-16T00:00:00"/>
        <d v="2025-08-21T00:00:00"/>
        <d v="2025-06-24T00:00:00"/>
        <d v="2025-11-03T00:00:00"/>
        <d v="2025-02-13T00:00:00"/>
        <d v="2025-03-28T00:00:00"/>
        <d v="2025-11-15T00:00:00"/>
        <d v="2025-03-03T00:00:00"/>
        <d v="2025-03-04T00:00:00"/>
        <d v="2025-04-04T00:00:00"/>
        <d v="2025-02-28T00:00:00"/>
        <d v="2025-03-06T00:00:00"/>
        <d v="2025-08-01T00:00:00"/>
      </sharedItems>
      <fieldGroup par="34" base="9">
        <rangePr groupBy="months" startDate="2025-02-13T00:00:00" endDate="2026-02-03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02-2026"/>
        </groupItems>
      </fieldGroup>
    </cacheField>
    <cacheField name="Entry Date" numFmtId="14">
      <sharedItems containsSemiMixedTypes="0" containsNonDate="0" containsDate="1" containsString="0" minDate="2025-02-13T00:00:00" maxDate="2026-01-31T00:00:00"/>
    </cacheField>
    <cacheField name="Document Header Text" numFmtId="0">
      <sharedItems/>
    </cacheField>
    <cacheField name="Reference" numFmtId="0">
      <sharedItems/>
    </cacheField>
    <cacheField name="G/L Account" numFmtId="0">
      <sharedItems/>
    </cacheField>
    <cacheField name="G/L Account: Short Text" numFmtId="0">
      <sharedItems/>
    </cacheField>
    <cacheField name="Special G/L Ind." numFmtId="0">
      <sharedItems/>
    </cacheField>
    <cacheField name="Posting Key" numFmtId="0">
      <sharedItems/>
    </cacheField>
    <cacheField name="Document Currency Key" numFmtId="0">
      <sharedItems/>
    </cacheField>
    <cacheField name="Document Currency Value" numFmtId="4">
      <sharedItems containsSemiMixedTypes="0" containsString="0" containsNumber="1" minValue="-700000" maxValue="500000"/>
    </cacheField>
    <cacheField name="Company Code Currency Key" numFmtId="0">
      <sharedItems/>
    </cacheField>
    <cacheField name="Company Code Currency Value" numFmtId="4">
      <sharedItems containsSemiMixedTypes="0" containsString="0" containsNumber="1" minValue="-700000" maxValue="772938.81"/>
    </cacheField>
    <cacheField name="Tax Code" numFmtId="0">
      <sharedItems/>
    </cacheField>
    <cacheField name="Profit Center" numFmtId="0">
      <sharedItems/>
    </cacheField>
    <cacheField name="Trading Partner No." numFmtId="0">
      <sharedItems/>
    </cacheField>
    <cacheField name="Assignment" numFmtId="0">
      <sharedItems/>
    </cacheField>
    <cacheField name="Item" numFmtId="0">
      <sharedItems/>
    </cacheField>
    <cacheField name="Text" numFmtId="0">
      <sharedItems/>
    </cacheField>
    <cacheField name="Reference Key 1" numFmtId="0">
      <sharedItems/>
    </cacheField>
    <cacheField name="Reference Key 2" numFmtId="0">
      <sharedItems/>
    </cacheField>
    <cacheField name="Reference Key 3" numFmtId="0">
      <sharedItems/>
    </cacheField>
    <cacheField name="Baseline Payment Dte" numFmtId="14">
      <sharedItems containsSemiMixedTypes="0" containsNonDate="0" containsDate="1" containsString="0" minDate="2025-02-13T00:00:00" maxDate="2026-02-03T00:00:00"/>
    </cacheField>
    <cacheField name="Clearing Date" numFmtId="14">
      <sharedItems containsNonDate="0" containsDate="1" containsString="0" containsBlank="1" minDate="2025-04-11T00:00:00" maxDate="2025-11-16T00:00:00"/>
    </cacheField>
    <cacheField name="Clearing Document" numFmtId="0">
      <sharedItems/>
    </cacheField>
    <cacheField name="Quarters" numFmtId="0" databaseField="0">
      <fieldGroup base="9">
        <rangePr groupBy="quarters" startDate="2025-02-13T00:00:00" endDate="2026-02-03T00:00:00"/>
        <groupItems count="6">
          <s v="&lt;13-02-2025"/>
          <s v="Qtr1"/>
          <s v="Qtr2"/>
          <s v="Qtr3"/>
          <s v="Qtr4"/>
          <s v="&gt;03-02-2026"/>
        </groupItems>
      </fieldGroup>
    </cacheField>
    <cacheField name="Years" numFmtId="0" databaseField="0">
      <fieldGroup base="9">
        <rangePr groupBy="years" startDate="2025-02-13T00:00:00" endDate="2026-02-03T00:00:00"/>
        <groupItems count="4">
          <s v="&lt;13-02-2025"/>
          <s v="2025"/>
          <s v="2026"/>
          <s v="&gt;03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8">
  <r>
    <s v="Selected"/>
    <s v="6779"/>
    <s v="100222332"/>
    <s v="SCOPE LOGISTICS SERVICES INDIA PVT."/>
    <s v="2025"/>
    <s v="7"/>
    <d v="2025-07-16T00:00:00"/>
    <s v="1600001726"/>
    <x v="0"/>
    <x v="0"/>
    <d v="2025-07-16T00:00:00"/>
    <s v="NA"/>
    <s v="256779421358"/>
    <s v="212100"/>
    <s v="Trade Debtors (Ctrl)"/>
    <s v=""/>
    <s v="11"/>
    <s v="USD"/>
    <n v="-1793.99"/>
    <s v="INR"/>
    <n v="-154827.9"/>
    <s v="O0"/>
    <s v="6779224500"/>
    <s v=""/>
    <s v="NA"/>
    <s v="1"/>
    <s v="Credit Note raised against INV_246779410348"/>
    <s v=""/>
    <s v=""/>
    <s v=""/>
    <d v="2025-07-16T00:00:00"/>
    <d v="2025-07-16T00:00:00"/>
    <s v="1400000285"/>
  </r>
  <r>
    <s v="Selected"/>
    <s v="6779"/>
    <s v="100222332"/>
    <s v="SCOPE LOGISTICS SERVICES INDIA PVT."/>
    <s v="2025"/>
    <s v="7"/>
    <d v="2025-07-16T00:00:00"/>
    <s v="1800010646"/>
    <x v="1"/>
    <x v="0"/>
    <d v="2025-07-17T00:00:00"/>
    <s v="NA"/>
    <s v="256779415406"/>
    <s v="212100"/>
    <s v="Trade Debtors (Ctrl)"/>
    <s v=""/>
    <s v="01"/>
    <s v="USD"/>
    <n v="1793.99"/>
    <s v="INR"/>
    <n v="154827.9"/>
    <s v="O0"/>
    <s v="6779224500"/>
    <s v=""/>
    <s v="NA"/>
    <s v="1"/>
    <s v="Debit note Note raised against CN_256779421358"/>
    <s v=""/>
    <s v=""/>
    <s v=""/>
    <d v="2025-07-16T00:00:00"/>
    <d v="2025-07-16T00:00:00"/>
    <s v="1400000285"/>
  </r>
  <r>
    <s v="Selected"/>
    <s v="6779"/>
    <s v="100222332"/>
    <s v="SCOPE LOGISTICS SERVICES INDIA PVT."/>
    <s v="2025"/>
    <s v="7"/>
    <d v="2025-07-16T00:00:00"/>
    <s v="1600001727"/>
    <x v="0"/>
    <x v="0"/>
    <d v="2025-07-16T00:00:00"/>
    <s v="NA"/>
    <s v="256779421359"/>
    <s v="212100"/>
    <s v="Trade Debtors (Ctrl)"/>
    <s v=""/>
    <s v="11"/>
    <s v="USD"/>
    <n v="-705"/>
    <s v="INR"/>
    <n v="-60844.08"/>
    <s v="O0"/>
    <s v="6779224500"/>
    <s v=""/>
    <s v="NA"/>
    <s v="1"/>
    <s v="Credit Note raised against INV_246779410360"/>
    <s v=""/>
    <s v=""/>
    <s v=""/>
    <d v="2025-07-16T00:00:00"/>
    <d v="2025-07-16T00:00:00"/>
    <s v="1400000286"/>
  </r>
  <r>
    <s v="Selected"/>
    <s v="6779"/>
    <s v="100222332"/>
    <s v="SCOPE LOGISTICS SERVICES INDIA PVT."/>
    <s v="2025"/>
    <s v="7"/>
    <d v="2025-07-16T00:00:00"/>
    <s v="1800010647"/>
    <x v="1"/>
    <x v="0"/>
    <d v="2025-07-17T00:00:00"/>
    <s v="NA"/>
    <s v="256779415407"/>
    <s v="212100"/>
    <s v="Trade Debtors (Ctrl)"/>
    <s v=""/>
    <s v="01"/>
    <s v="USD"/>
    <n v="705"/>
    <s v="INR"/>
    <n v="60844.08"/>
    <s v="O0"/>
    <s v="6779224500"/>
    <s v=""/>
    <s v="NA"/>
    <s v="1"/>
    <s v="Debit note Note raised against CN_256779421359"/>
    <s v=""/>
    <s v=""/>
    <s v=""/>
    <d v="2025-07-16T00:00:00"/>
    <d v="2025-07-16T00:00:00"/>
    <s v="1400000286"/>
  </r>
  <r>
    <s v="Selected"/>
    <s v="6779"/>
    <s v="100222332"/>
    <s v="SCOPE LOGISTICS SERVICES INDIA PVT."/>
    <s v="2025"/>
    <s v="7"/>
    <d v="2025-07-16T00:00:00"/>
    <s v="1600001728"/>
    <x v="0"/>
    <x v="0"/>
    <d v="2025-07-16T00:00:00"/>
    <s v="NA"/>
    <s v="256779421360"/>
    <s v="212100"/>
    <s v="Trade Debtors (Ctrl)"/>
    <s v=""/>
    <s v="11"/>
    <s v="USD"/>
    <n v="-216.2"/>
    <s v="INR"/>
    <n v="-18742.650000000001"/>
    <s v="O0"/>
    <s v="6779224500"/>
    <s v=""/>
    <s v="NA"/>
    <s v="1"/>
    <s v="Credit Note raised against INV_246779413701"/>
    <s v=""/>
    <s v=""/>
    <s v=""/>
    <d v="2025-07-16T00:00:00"/>
    <d v="2025-07-16T00:00:00"/>
    <s v="1400000287"/>
  </r>
  <r>
    <s v="Selected"/>
    <s v="6779"/>
    <s v="100222332"/>
    <s v="SCOPE LOGISTICS SERVICES INDIA PVT."/>
    <s v="2025"/>
    <s v="7"/>
    <d v="2025-07-16T00:00:00"/>
    <s v="1800010648"/>
    <x v="1"/>
    <x v="0"/>
    <d v="2025-07-17T00:00:00"/>
    <s v="NA"/>
    <s v="256779415408"/>
    <s v="212100"/>
    <s v="Trade Debtors (Ctrl)"/>
    <s v=""/>
    <s v="01"/>
    <s v="USD"/>
    <n v="216.2"/>
    <s v="INR"/>
    <n v="18742.650000000001"/>
    <s v="O0"/>
    <s v="6779224500"/>
    <s v=""/>
    <s v="NA"/>
    <s v="1"/>
    <s v="Debit note Note raised against CN_256779421360"/>
    <s v=""/>
    <s v=""/>
    <s v=""/>
    <d v="2025-07-16T00:00:00"/>
    <d v="2025-07-16T00:00:00"/>
    <s v="1400000287"/>
  </r>
  <r>
    <s v="Selected"/>
    <s v="6779"/>
    <s v="100222332"/>
    <s v="SCOPE LOGISTICS SERVICES INDIA PVT."/>
    <s v="2025"/>
    <s v="7"/>
    <d v="2025-07-16T00:00:00"/>
    <s v="1600001731"/>
    <x v="0"/>
    <x v="0"/>
    <d v="2025-07-16T00:00:00"/>
    <s v="NA"/>
    <s v="256779421363"/>
    <s v="212100"/>
    <s v="Trade Debtors (Ctrl)"/>
    <s v=""/>
    <s v="11"/>
    <s v="USD"/>
    <n v="-1926.06"/>
    <s v="INR"/>
    <n v="-166972.57"/>
    <s v="O0"/>
    <s v="6779224500"/>
    <s v=""/>
    <s v="NA"/>
    <s v="1"/>
    <s v="Credit Note raised against INV_246779413796"/>
    <s v=""/>
    <s v=""/>
    <s v=""/>
    <d v="2025-07-16T00:00:00"/>
    <d v="2025-07-16T00:00:00"/>
    <s v="1400000288"/>
  </r>
  <r>
    <s v="Selected"/>
    <s v="6779"/>
    <s v="100222332"/>
    <s v="SCOPE LOGISTICS SERVICES INDIA PVT."/>
    <s v="2025"/>
    <s v="7"/>
    <d v="2025-07-16T00:00:00"/>
    <s v="1800010649"/>
    <x v="1"/>
    <x v="0"/>
    <d v="2025-07-17T00:00:00"/>
    <s v="NA"/>
    <s v="256779415409"/>
    <s v="212100"/>
    <s v="Trade Debtors (Ctrl)"/>
    <s v=""/>
    <s v="01"/>
    <s v="USD"/>
    <n v="1926.06"/>
    <s v="INR"/>
    <n v="166972.57"/>
    <s v="O0"/>
    <s v="6779224500"/>
    <s v=""/>
    <s v="NA"/>
    <s v="1"/>
    <s v="Debit note Note raised against CN_256779421363"/>
    <s v=""/>
    <s v=""/>
    <s v=""/>
    <d v="2025-07-16T00:00:00"/>
    <d v="2025-07-16T00:00:00"/>
    <s v="1400000288"/>
  </r>
  <r>
    <s v="Selected"/>
    <s v="6779"/>
    <s v="100222332"/>
    <s v="SCOPE LOGISTICS SERVICES INDIA PVT."/>
    <s v="2025"/>
    <s v="7"/>
    <d v="2025-07-16T00:00:00"/>
    <s v="1600001734"/>
    <x v="0"/>
    <x v="0"/>
    <d v="2025-07-16T00:00:00"/>
    <s v="NA"/>
    <s v="256779421366"/>
    <s v="212100"/>
    <s v="Trade Debtors (Ctrl)"/>
    <s v=""/>
    <s v="11"/>
    <s v="USD"/>
    <n v="-531.9"/>
    <s v="INR"/>
    <n v="-46111.08"/>
    <s v="O0"/>
    <s v="6779224500"/>
    <s v=""/>
    <s v="NA"/>
    <s v="1"/>
    <s v="Credit Note raised against INV_246779413845"/>
    <s v=""/>
    <s v=""/>
    <s v=""/>
    <d v="2025-07-16T00:00:00"/>
    <d v="2025-07-16T00:00:00"/>
    <s v="1400000289"/>
  </r>
  <r>
    <s v="Selected"/>
    <s v="6779"/>
    <s v="100222332"/>
    <s v="SCOPE LOGISTICS SERVICES INDIA PVT."/>
    <s v="2025"/>
    <s v="7"/>
    <d v="2025-07-16T00:00:00"/>
    <s v="1800010650"/>
    <x v="1"/>
    <x v="0"/>
    <d v="2025-07-17T00:00:00"/>
    <s v="NA"/>
    <s v="256779415410"/>
    <s v="212100"/>
    <s v="Trade Debtors (Ctrl)"/>
    <s v=""/>
    <s v="01"/>
    <s v="USD"/>
    <n v="531.9"/>
    <s v="INR"/>
    <n v="46111.08"/>
    <s v="O0"/>
    <s v="6779224500"/>
    <s v=""/>
    <s v="NA"/>
    <s v="1"/>
    <s v="Debit note Note raised against CN_256779421366"/>
    <s v=""/>
    <s v=""/>
    <s v=""/>
    <d v="2025-07-16T00:00:00"/>
    <d v="2025-07-16T00:00:00"/>
    <s v="1400000289"/>
  </r>
  <r>
    <s v="Selected"/>
    <s v="6779"/>
    <s v="100222332"/>
    <s v="SCOPE LOGISTICS SERVICES INDIA PVT."/>
    <s v="2025"/>
    <s v="7"/>
    <d v="2025-07-16T00:00:00"/>
    <s v="1600001739"/>
    <x v="0"/>
    <x v="0"/>
    <d v="2025-07-16T00:00:00"/>
    <s v="NA"/>
    <s v="256779421371"/>
    <s v="212100"/>
    <s v="Trade Debtors (Ctrl)"/>
    <s v=""/>
    <s v="11"/>
    <s v="USD"/>
    <n v="-525"/>
    <s v="INR"/>
    <n v="-45512.91"/>
    <s v="O0"/>
    <s v="6779224500"/>
    <s v=""/>
    <s v="NA"/>
    <s v="1"/>
    <s v="Credit Note raised against INV_246779411278"/>
    <s v=""/>
    <s v=""/>
    <s v=""/>
    <d v="2025-07-16T00:00:00"/>
    <d v="2025-07-16T00:00:00"/>
    <s v="1400000290"/>
  </r>
  <r>
    <s v="Selected"/>
    <s v="6779"/>
    <s v="100222332"/>
    <s v="SCOPE LOGISTICS SERVICES INDIA PVT."/>
    <s v="2025"/>
    <s v="7"/>
    <d v="2025-07-16T00:00:00"/>
    <s v="1800010651"/>
    <x v="1"/>
    <x v="0"/>
    <d v="2025-07-17T00:00:00"/>
    <s v="NA"/>
    <s v="256779415411"/>
    <s v="212100"/>
    <s v="Trade Debtors (Ctrl)"/>
    <s v=""/>
    <s v="01"/>
    <s v="USD"/>
    <n v="525"/>
    <s v="INR"/>
    <n v="45512.91"/>
    <s v="O0"/>
    <s v="6779224500"/>
    <s v=""/>
    <s v="NA"/>
    <s v="1"/>
    <s v="Debit note Note raised against CN_256779421371"/>
    <s v=""/>
    <s v=""/>
    <s v=""/>
    <d v="2025-07-16T00:00:00"/>
    <d v="2025-07-16T00:00:00"/>
    <s v="1400000290"/>
  </r>
  <r>
    <s v="Selected"/>
    <s v="6779"/>
    <s v="100222332"/>
    <s v="SCOPE LOGISTICS SERVICES INDIA PVT."/>
    <s v="2025"/>
    <s v="7"/>
    <d v="2025-07-16T00:00:00"/>
    <s v="1600001729"/>
    <x v="0"/>
    <x v="0"/>
    <d v="2025-07-16T00:00:00"/>
    <s v="NA"/>
    <s v="256779421361"/>
    <s v="212100"/>
    <s v="Trade Debtors (Ctrl)"/>
    <s v=""/>
    <s v="11"/>
    <s v="USD"/>
    <n v="-364.25"/>
    <s v="INR"/>
    <n v="-31577.29"/>
    <s v="O0"/>
    <s v="6779224500"/>
    <s v=""/>
    <s v="NA"/>
    <s v="1"/>
    <s v="Credit Note raised against INV_246779413702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30"/>
    <x v="0"/>
    <x v="0"/>
    <d v="2025-07-16T00:00:00"/>
    <s v="NA"/>
    <s v="256779421362"/>
    <s v="212100"/>
    <s v="Trade Debtors (Ctrl)"/>
    <s v=""/>
    <s v="11"/>
    <s v="USD"/>
    <n v="-237.35"/>
    <s v="INR"/>
    <n v="-20576.169999999998"/>
    <s v="O0"/>
    <s v="6779224500"/>
    <s v=""/>
    <s v="NA"/>
    <s v="1"/>
    <s v="Credit Note raised against INV_246779413705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32"/>
    <x v="0"/>
    <x v="0"/>
    <d v="2025-07-16T00:00:00"/>
    <s v="NA"/>
    <s v="256779421364"/>
    <s v="212100"/>
    <s v="Trade Debtors (Ctrl)"/>
    <s v=""/>
    <s v="11"/>
    <s v="USD"/>
    <n v="-220"/>
    <s v="INR"/>
    <n v="-19072.080000000002"/>
    <s v="O0"/>
    <s v="6779224500"/>
    <s v=""/>
    <s v="NA"/>
    <s v="1"/>
    <s v="Credit Note raised against INV_246779413816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33"/>
    <x v="0"/>
    <x v="0"/>
    <d v="2025-07-16T00:00:00"/>
    <s v="NA"/>
    <s v="256779421365"/>
    <s v="212100"/>
    <s v="Trade Debtors (Ctrl)"/>
    <s v=""/>
    <s v="11"/>
    <s v="USD"/>
    <n v="-375"/>
    <s v="INR"/>
    <n v="-32509.22"/>
    <s v="O0"/>
    <s v="6779224500"/>
    <s v=""/>
    <s v="NA"/>
    <s v="1"/>
    <s v="Credit Note raised against INV_246779413827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35"/>
    <x v="0"/>
    <x v="0"/>
    <d v="2025-07-16T00:00:00"/>
    <s v="NA"/>
    <s v="256779421367"/>
    <s v="212100"/>
    <s v="Trade Debtors (Ctrl)"/>
    <s v=""/>
    <s v="11"/>
    <s v="USD"/>
    <n v="-1314.12"/>
    <s v="INR"/>
    <n v="-114225.7"/>
    <s v="O0"/>
    <s v="6779224500"/>
    <s v=""/>
    <s v="NA"/>
    <s v="1"/>
    <s v="Credit Note raised against INV_256779410220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36"/>
    <x v="0"/>
    <x v="0"/>
    <d v="2025-07-16T00:00:00"/>
    <s v="NA"/>
    <s v="256779421368"/>
    <s v="212100"/>
    <s v="Trade Debtors (Ctrl)"/>
    <s v=""/>
    <s v="11"/>
    <s v="USD"/>
    <n v="-705"/>
    <s v="INR"/>
    <n v="-61279.88"/>
    <s v="O0"/>
    <s v="6779224500"/>
    <s v=""/>
    <s v="NA"/>
    <s v="1"/>
    <s v="Credit Note raised against INV_256779410004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37"/>
    <x v="0"/>
    <x v="0"/>
    <d v="2025-07-16T00:00:00"/>
    <s v="NA"/>
    <s v="256779421369"/>
    <s v="212100"/>
    <s v="Trade Debtors (Ctrl)"/>
    <s v=""/>
    <s v="11"/>
    <s v="USD"/>
    <n v="-1793.99"/>
    <s v="INR"/>
    <n v="-155936.88"/>
    <s v="O0"/>
    <s v="6779224500"/>
    <s v=""/>
    <s v="NA"/>
    <s v="1"/>
    <s v="Credit Note raised against INV_256779410010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38"/>
    <x v="0"/>
    <x v="0"/>
    <d v="2025-07-16T00:00:00"/>
    <s v="NA"/>
    <s v="256779421370"/>
    <s v="212100"/>
    <s v="Trade Debtors (Ctrl)"/>
    <s v=""/>
    <s v="11"/>
    <s v="USD"/>
    <n v="-140"/>
    <s v="INR"/>
    <n v="-12169.05"/>
    <s v="O0"/>
    <s v="6779224500"/>
    <s v=""/>
    <s v="NA"/>
    <s v="1"/>
    <s v="Credit Note raised against INV_256779411917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0"/>
    <x v="0"/>
    <x v="0"/>
    <d v="2025-07-16T00:00:00"/>
    <s v="NA"/>
    <s v="256779421372"/>
    <s v="212100"/>
    <s v="Trade Debtors (Ctrl)"/>
    <s v=""/>
    <s v="11"/>
    <s v="USD"/>
    <n v="-385"/>
    <s v="INR"/>
    <n v="-33376.14"/>
    <s v="O0"/>
    <s v="6779224500"/>
    <s v=""/>
    <s v="NA"/>
    <s v="1"/>
    <s v="Credit Note raised against INV_246779411300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1"/>
    <x v="0"/>
    <x v="0"/>
    <d v="2025-07-16T00:00:00"/>
    <s v="NA"/>
    <s v="256779421373"/>
    <s v="212100"/>
    <s v="Trade Debtors (Ctrl)"/>
    <s v=""/>
    <s v="11"/>
    <s v="USD"/>
    <n v="-105"/>
    <s v="INR"/>
    <n v="-9102.58"/>
    <s v="O0"/>
    <s v="6779224500"/>
    <s v=""/>
    <s v="NA"/>
    <s v="1"/>
    <s v="Credit Note raised against INV_246779411314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2"/>
    <x v="0"/>
    <x v="0"/>
    <d v="2025-07-16T00:00:00"/>
    <s v="NA"/>
    <s v="256779421374"/>
    <s v="212100"/>
    <s v="Trade Debtors (Ctrl)"/>
    <s v=""/>
    <s v="11"/>
    <s v="USD"/>
    <n v="-245"/>
    <s v="INR"/>
    <n v="-21239.360000000001"/>
    <s v="O0"/>
    <s v="6779224500"/>
    <s v=""/>
    <s v="NA"/>
    <s v="1"/>
    <s v="Credit Note raised against INV_246779411326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3"/>
    <x v="0"/>
    <x v="0"/>
    <d v="2025-07-16T00:00:00"/>
    <s v="NA"/>
    <s v="256779421375"/>
    <s v="212100"/>
    <s v="Trade Debtors (Ctrl)"/>
    <s v=""/>
    <s v="11"/>
    <s v="USD"/>
    <n v="-220"/>
    <s v="INR"/>
    <n v="-19072.080000000002"/>
    <s v="O0"/>
    <s v="6779224500"/>
    <s v=""/>
    <s v="NA"/>
    <s v="1"/>
    <s v="Credit Note raised against INV_246779411339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4"/>
    <x v="0"/>
    <x v="0"/>
    <d v="2025-07-16T00:00:00"/>
    <s v="NA"/>
    <s v="256779421376"/>
    <s v="212100"/>
    <s v="Trade Debtors (Ctrl)"/>
    <s v=""/>
    <s v="11"/>
    <s v="USD"/>
    <n v="-70"/>
    <s v="INR"/>
    <n v="-6084.53"/>
    <s v="O0"/>
    <s v="6779224500"/>
    <s v=""/>
    <s v="NA"/>
    <s v="1"/>
    <s v="Credit Note raised against INV_256779412692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5"/>
    <x v="0"/>
    <x v="0"/>
    <d v="2025-07-16T00:00:00"/>
    <s v="NA"/>
    <s v="256779421377"/>
    <s v="212100"/>
    <s v="Trade Debtors (Ctrl)"/>
    <s v=""/>
    <s v="11"/>
    <s v="USD"/>
    <n v="-140"/>
    <s v="INR"/>
    <n v="-12037.72"/>
    <s v="O0"/>
    <s v="6779224500"/>
    <s v=""/>
    <s v="NA"/>
    <s v="1"/>
    <s v="Credit Note raised against INV_256779413283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6"/>
    <x v="0"/>
    <x v="0"/>
    <d v="2025-07-16T00:00:00"/>
    <s v="NA"/>
    <s v="256779421378"/>
    <s v="212100"/>
    <s v="Trade Debtors (Ctrl)"/>
    <s v=""/>
    <s v="11"/>
    <s v="USD"/>
    <n v="-140"/>
    <s v="INR"/>
    <n v="-12037.72"/>
    <s v="O0"/>
    <s v="6779224500"/>
    <s v=""/>
    <s v="NA"/>
    <s v="1"/>
    <s v="Credit Note raised against INV_256779413861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7"/>
    <x v="0"/>
    <x v="0"/>
    <d v="2025-07-16T00:00:00"/>
    <s v="NA"/>
    <s v="256779421379"/>
    <s v="212100"/>
    <s v="Trade Debtors (Ctrl)"/>
    <s v=""/>
    <s v="11"/>
    <s v="USD"/>
    <n v="-190"/>
    <s v="INR"/>
    <n v="-16243.25"/>
    <s v="O0"/>
    <s v="6779224500"/>
    <s v=""/>
    <s v="NA"/>
    <s v="1"/>
    <s v="Credit Note raised against INV_256779414288"/>
    <s v=""/>
    <s v=""/>
    <s v=""/>
    <d v="2025-07-16T00:00:00"/>
    <d v="2025-11-15T00:00:00"/>
    <s v="1400001901"/>
  </r>
  <r>
    <s v="Selected"/>
    <s v="6779"/>
    <s v="100222332"/>
    <s v="SCOPE LOGISTICS SERVICES INDIA PVT."/>
    <s v="2025"/>
    <s v="7"/>
    <d v="2025-07-16T00:00:00"/>
    <s v="1600001748"/>
    <x v="0"/>
    <x v="0"/>
    <d v="2025-07-17T00:00:00"/>
    <s v="NA"/>
    <s v="256779421380"/>
    <s v="212100"/>
    <s v="Trade Debtors (Ctrl)"/>
    <s v=""/>
    <s v="11"/>
    <s v="USD"/>
    <n v="-182.83"/>
    <s v="INR"/>
    <n v="-15778.9"/>
    <s v="O0"/>
    <s v="6779224500"/>
    <s v=""/>
    <s v="NA"/>
    <s v="1"/>
    <s v="Credit note Note raised against INV_246779410348"/>
    <s v=""/>
    <s v=""/>
    <s v=""/>
    <d v="2025-07-16T00:00:00"/>
    <d v="2025-11-15T00:00:00"/>
    <s v="1400001902"/>
  </r>
  <r>
    <s v="Selected"/>
    <s v="6779"/>
    <s v="100222332"/>
    <s v="SCOPE LOGISTICS SERVICES INDIA PVT."/>
    <s v="2025"/>
    <s v="7"/>
    <d v="2025-07-16T00:00:00"/>
    <s v="1600001749"/>
    <x v="0"/>
    <x v="0"/>
    <d v="2025-07-17T00:00:00"/>
    <s v="NA"/>
    <s v="256779421381"/>
    <s v="212100"/>
    <s v="Trade Debtors (Ctrl)"/>
    <s v=""/>
    <s v="11"/>
    <s v="USD"/>
    <n v="-55.46"/>
    <s v="INR"/>
    <n v="-4786.3999999999996"/>
    <s v="O0"/>
    <s v="6779224500"/>
    <s v=""/>
    <s v="NA"/>
    <s v="1"/>
    <s v="Credit note Note raised against INV_246779410360"/>
    <s v=""/>
    <s v=""/>
    <s v=""/>
    <d v="2025-07-16T00:00:00"/>
    <d v="2025-11-15T00:00:00"/>
    <s v="1400001902"/>
  </r>
  <r>
    <s v="Selected"/>
    <s v="6779"/>
    <s v="100222332"/>
    <s v="SCOPE LOGISTICS SERVICES INDIA PVT."/>
    <s v="2025"/>
    <s v="7"/>
    <d v="2025-07-16T00:00:00"/>
    <s v="1600001750"/>
    <x v="0"/>
    <x v="0"/>
    <d v="2025-07-17T00:00:00"/>
    <s v="NA"/>
    <s v="256779421382"/>
    <s v="212100"/>
    <s v="Trade Debtors (Ctrl)"/>
    <s v=""/>
    <s v="11"/>
    <s v="USD"/>
    <n v="-177.66"/>
    <s v="INR"/>
    <n v="-15401.57"/>
    <s v="O0"/>
    <s v="6779224500"/>
    <s v=""/>
    <s v="NA"/>
    <s v="1"/>
    <s v="Credit note Note raised against INV_246779413701"/>
    <s v=""/>
    <s v=""/>
    <s v=""/>
    <d v="2025-07-16T00:00:00"/>
    <d v="2025-11-15T00:00:00"/>
    <s v="1400001902"/>
  </r>
  <r>
    <s v="Selected"/>
    <s v="6779"/>
    <s v="100222332"/>
    <s v="SCOPE LOGISTICS SERVICES INDIA PVT."/>
    <s v="2025"/>
    <s v="7"/>
    <d v="2025-07-16T00:00:00"/>
    <s v="1600001751"/>
    <x v="0"/>
    <x v="0"/>
    <d v="2025-07-17T00:00:00"/>
    <s v="NA"/>
    <s v="256779421383"/>
    <s v="212100"/>
    <s v="Trade Debtors (Ctrl)"/>
    <s v=""/>
    <s v="11"/>
    <s v="USD"/>
    <n v="-143.81"/>
    <s v="INR"/>
    <n v="-12467.07"/>
    <s v="O0"/>
    <s v="6779224500"/>
    <s v=""/>
    <s v="NA"/>
    <s v="1"/>
    <s v="Credit note Note raised against INV_246779413796"/>
    <s v=""/>
    <s v=""/>
    <s v=""/>
    <d v="2025-07-16T00:00:00"/>
    <d v="2025-11-15T00:00:00"/>
    <s v="1400001902"/>
  </r>
  <r>
    <s v="Selected"/>
    <s v="6779"/>
    <s v="100222332"/>
    <s v="SCOPE LOGISTICS SERVICES INDIA PVT."/>
    <s v="2025"/>
    <s v="7"/>
    <d v="2025-07-16T00:00:00"/>
    <s v="1600001752"/>
    <x v="0"/>
    <x v="0"/>
    <d v="2025-07-17T00:00:00"/>
    <s v="NA"/>
    <s v="256779421384"/>
    <s v="212100"/>
    <s v="Trade Debtors (Ctrl)"/>
    <s v=""/>
    <s v="11"/>
    <s v="USD"/>
    <n v="-137.9"/>
    <s v="INR"/>
    <n v="-11954.72"/>
    <s v="O0"/>
    <s v="6779224500"/>
    <s v=""/>
    <s v="NA"/>
    <s v="1"/>
    <s v="Credit note Note raised against INV_246779413845"/>
    <s v=""/>
    <s v=""/>
    <s v=""/>
    <d v="2025-07-16T00:00:00"/>
    <d v="2025-11-15T00:00:00"/>
    <s v="1400001902"/>
  </r>
  <r>
    <s v="Selected"/>
    <s v="6779"/>
    <s v="100222332"/>
    <s v="SCOPE LOGISTICS SERVICES INDIA PVT."/>
    <s v="2025"/>
    <s v="7"/>
    <d v="2025-07-16T00:00:00"/>
    <s v="1600001753"/>
    <x v="0"/>
    <x v="0"/>
    <d v="2025-07-17T00:00:00"/>
    <s v="NA"/>
    <s v="256779421385"/>
    <s v="212100"/>
    <s v="Trade Debtors (Ctrl)"/>
    <s v=""/>
    <s v="11"/>
    <s v="USD"/>
    <n v="-420"/>
    <s v="INR"/>
    <n v="-36410.33"/>
    <s v="O0"/>
    <s v="6779224500"/>
    <s v=""/>
    <s v="NA"/>
    <s v="1"/>
    <s v="Credit note Note raised against INV_246779411278"/>
    <s v=""/>
    <s v=""/>
    <s v=""/>
    <d v="2025-07-16T00:00:00"/>
    <d v="2025-11-15T00:00:00"/>
    <s v="1400001902"/>
  </r>
  <r>
    <s v="Not Selected"/>
    <s v="6779"/>
    <s v="100222332"/>
    <s v="SCOPE LOGISTICS SERVICES INDIA PVT."/>
    <s v="2025"/>
    <s v="5"/>
    <d v="2025-05-20T00:00:00"/>
    <s v="1800008722"/>
    <x v="1"/>
    <x v="1"/>
    <d v="2025-05-28T00:00:00"/>
    <s v="NA"/>
    <s v="256779413486"/>
    <s v="212100"/>
    <s v="Trade Debtors (Ctrl)"/>
    <s v=""/>
    <s v="01"/>
    <s v="USD"/>
    <n v="12.5"/>
    <s v="INR"/>
    <n v="1074.8"/>
    <s v="O0"/>
    <s v="6779224500"/>
    <s v=""/>
    <s v="NA"/>
    <s v="1"/>
    <s v="Outbound chgs - 01 - 15 MAY 25"/>
    <s v=""/>
    <s v=""/>
    <s v=""/>
    <d v="2025-05-20T00:00:00"/>
    <m/>
    <s v=""/>
  </r>
  <r>
    <s v="Not Selected"/>
    <s v="6779"/>
    <s v="100222332"/>
    <s v="SCOPE LOGISTICS SERVICES INDIA PVT."/>
    <s v="2025"/>
    <s v="5"/>
    <d v="2025-05-20T00:00:00"/>
    <s v="1800009073"/>
    <x v="1"/>
    <x v="1"/>
    <d v="2025-05-28T00:00:00"/>
    <s v="NA"/>
    <s v="256779413837"/>
    <s v="212100"/>
    <s v="Trade Debtors (Ctrl)"/>
    <s v=""/>
    <s v="01"/>
    <s v="USD"/>
    <n v="144.52000000000001"/>
    <s v="INR"/>
    <n v="12426.36"/>
    <s v="O0"/>
    <s v="6779224500"/>
    <s v=""/>
    <s v=""/>
    <s v="1"/>
    <s v="VAS -1-15 May 25, Ex.rate 85.43"/>
    <s v=""/>
    <s v=""/>
    <s v=""/>
    <d v="2025-05-20T00:00:00"/>
    <m/>
    <s v=""/>
  </r>
  <r>
    <s v="Selected"/>
    <s v="6779"/>
    <s v="100222332"/>
    <s v="SCOPE LOGISTICS SERVICES INDIA PVT."/>
    <s v="2025"/>
    <s v="5"/>
    <d v="2025-05-20T00:00:00"/>
    <s v="1800009121"/>
    <x v="1"/>
    <x v="1"/>
    <d v="2025-05-28T00:00:00"/>
    <s v="NA"/>
    <s v="256779413885"/>
    <s v="212100"/>
    <s v="Trade Debtors (Ctrl)"/>
    <s v=""/>
    <s v="01"/>
    <s v="USD"/>
    <n v="111.15"/>
    <s v="INR"/>
    <n v="9557.09"/>
    <s v="O0"/>
    <s v="6779224500"/>
    <s v=""/>
    <s v="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v="SCOPE LOGISTICS SERVICES INDIA PVT."/>
    <s v="2025"/>
    <s v="4"/>
    <d v="2025-04-03T00:00:00"/>
    <s v="1800005188"/>
    <x v="1"/>
    <x v="2"/>
    <d v="2025-04-05T00:00:00"/>
    <s v="NA"/>
    <s v="256779410134"/>
    <s v="212100"/>
    <s v="Trade Debtors (Ctrl)"/>
    <s v=""/>
    <s v="01"/>
    <s v="USD"/>
    <n v="7.5"/>
    <s v="INR"/>
    <n v="651.91"/>
    <s v="O0"/>
    <s v=""/>
    <s v=""/>
    <s v="NA"/>
    <s v="1"/>
    <s v="Outbound Handling charges for Mar 25"/>
    <s v=""/>
    <s v=""/>
    <s v=""/>
    <d v="2025-04-03T00:00:00"/>
    <m/>
    <s v=""/>
  </r>
  <r>
    <s v="Not Selected"/>
    <s v="6779"/>
    <s v="100222332"/>
    <s v="SCOPE LOGISTICS SERVICES INDIA PVT."/>
    <s v="2025"/>
    <s v="4"/>
    <d v="2025-04-03T00:00:00"/>
    <s v="1800005189"/>
    <x v="1"/>
    <x v="2"/>
    <d v="2025-04-05T00:00:00"/>
    <s v="NA"/>
    <s v="256779410135"/>
    <s v="212100"/>
    <s v="Trade Debtors (Ctrl)"/>
    <s v=""/>
    <s v="01"/>
    <s v="USD"/>
    <n v="3.75"/>
    <s v="INR"/>
    <n v="325.95999999999998"/>
    <s v="O0"/>
    <s v=""/>
    <s v=""/>
    <s v="NA"/>
    <s v="1"/>
    <s v="Loose loading Handling charges for Mar 25"/>
    <s v=""/>
    <s v=""/>
    <s v=""/>
    <d v="2025-04-03T00:00:00"/>
    <m/>
    <s v=""/>
  </r>
  <r>
    <s v="Not Selected"/>
    <s v="6779"/>
    <s v="100222332"/>
    <s v="SCOPE LOGISTICS SERVICES INDIA PVT."/>
    <s v="2025"/>
    <s v="4"/>
    <d v="2025-04-03T00:00:00"/>
    <s v="1800005264"/>
    <x v="1"/>
    <x v="2"/>
    <d v="2025-04-05T00:00:00"/>
    <s v="NA"/>
    <s v="256779410156"/>
    <s v="212100"/>
    <s v="Trade Debtors (Ctrl)"/>
    <s v=""/>
    <s v="01"/>
    <s v="USD"/>
    <n v="58.75"/>
    <s v="INR"/>
    <n v="5106.66"/>
    <s v="O0"/>
    <s v=""/>
    <s v=""/>
    <s v="NA"/>
    <s v="1"/>
    <s v="Inbound Handling charges for Mar 25"/>
    <s v=""/>
    <s v=""/>
    <s v=""/>
    <d v="2025-04-03T00:00:00"/>
    <m/>
    <s v=""/>
  </r>
  <r>
    <s v="Not Selected"/>
    <s v="6779"/>
    <s v="100222332"/>
    <s v="SCOPE LOGISTICS SERVICES INDIA PVT."/>
    <s v="2025"/>
    <s v="4"/>
    <d v="2025-04-03T00:00:00"/>
    <s v="1800005265"/>
    <x v="1"/>
    <x v="2"/>
    <d v="2025-04-05T00:00:00"/>
    <s v="NA"/>
    <s v="256779410157"/>
    <s v="212100"/>
    <s v="Trade Debtors (Ctrl)"/>
    <s v=""/>
    <s v="01"/>
    <s v="USD"/>
    <n v="34.479999999999997"/>
    <s v="INR"/>
    <n v="2997.06"/>
    <s v="O0"/>
    <s v=""/>
    <s v=""/>
    <s v="NA"/>
    <s v="1"/>
    <s v="MHE Charges for Mar 25"/>
    <s v=""/>
    <s v=""/>
    <s v=""/>
    <d v="2025-04-03T00:00:00"/>
    <m/>
    <s v=""/>
  </r>
  <r>
    <s v="Not Selected"/>
    <s v="6779"/>
    <s v="100222332"/>
    <s v="SCOPE LOGISTICS SERVICES INDIA PVT."/>
    <s v="2025"/>
    <s v="4"/>
    <d v="2025-04-03T00:00:00"/>
    <s v="1800005274"/>
    <x v="1"/>
    <x v="2"/>
    <d v="2025-04-05T00:00:00"/>
    <s v="NA"/>
    <s v="256779410166"/>
    <s v="212100"/>
    <s v="Trade Debtors (Ctrl)"/>
    <s v=""/>
    <s v="01"/>
    <s v="USD"/>
    <n v="152.75"/>
    <s v="INR"/>
    <n v="13277.31"/>
    <s v="O0"/>
    <s v=""/>
    <s v=""/>
    <s v="NA"/>
    <s v="1"/>
    <s v="Outbound Handling charges for Mar 25"/>
    <s v=""/>
    <s v=""/>
    <s v=""/>
    <d v="2025-04-03T00:00:00"/>
    <m/>
    <s v=""/>
  </r>
  <r>
    <s v="Not Selected"/>
    <s v="6779"/>
    <s v="100222332"/>
    <s v="SCOPE LOGISTICS SERVICES INDIA PVT."/>
    <s v="2025"/>
    <s v="4"/>
    <d v="2025-04-03T00:00:00"/>
    <s v="1800005282"/>
    <x v="1"/>
    <x v="2"/>
    <d v="2025-04-05T00:00:00"/>
    <s v="NA"/>
    <s v="256779410174"/>
    <s v="212100"/>
    <s v="Trade Debtors (Ctrl)"/>
    <s v=""/>
    <s v="01"/>
    <s v="USD"/>
    <n v="72.849999999999994"/>
    <s v="INR"/>
    <n v="6332.25"/>
    <s v="O0"/>
    <s v=""/>
    <s v=""/>
    <s v="NA"/>
    <s v="1"/>
    <s v="Outbound Handling charges for Feb 2025"/>
    <s v=""/>
    <s v=""/>
    <s v=""/>
    <d v="2025-04-03T00:00:00"/>
    <m/>
    <s v=""/>
  </r>
  <r>
    <s v="Not Selected"/>
    <s v="6779"/>
    <s v="100222332"/>
    <s v="SCOPE LOGISTICS SERVICES INDIA PVT."/>
    <s v="2025"/>
    <s v="4"/>
    <d v="2025-04-03T00:00:00"/>
    <s v="1800005309"/>
    <x v="1"/>
    <x v="2"/>
    <d v="2025-04-05T00:00:00"/>
    <s v="NA"/>
    <s v="256779410201"/>
    <s v="212100"/>
    <s v="Trade Debtors (Ctrl)"/>
    <s v=""/>
    <s v="01"/>
    <s v="USD"/>
    <n v="34.479999999999997"/>
    <s v="INR"/>
    <n v="2997.06"/>
    <s v="O0"/>
    <s v=""/>
    <s v=""/>
    <s v="NA"/>
    <s v="1"/>
    <s v="VAS Activity -1 -15 Mar 25, Ex Rate. 87.01"/>
    <s v=""/>
    <s v=""/>
    <s v=""/>
    <d v="2025-04-03T00:00:00"/>
    <m/>
    <s v=""/>
  </r>
  <r>
    <s v="Selected"/>
    <s v="6779"/>
    <s v="100222332"/>
    <s v="SCOPE LOGISTICS SERVICES INDIA PVT."/>
    <s v="2025"/>
    <s v="4"/>
    <d v="2025-04-03T00:00:00"/>
    <s v="1800005399"/>
    <x v="1"/>
    <x v="2"/>
    <d v="2025-04-05T00:00:00"/>
    <s v="NA"/>
    <s v="256779410291"/>
    <s v="212100"/>
    <s v="Trade Debtors (Ctrl)"/>
    <s v=""/>
    <s v="01"/>
    <s v="USD"/>
    <n v="456.75"/>
    <s v="INR"/>
    <n v="39701.54"/>
    <s v="O0"/>
    <s v=""/>
    <s v=""/>
    <s v="NA"/>
    <s v="1"/>
    <s v="Fixed Rental charges for Feb 2025"/>
    <s v=""/>
    <s v=""/>
    <s v=""/>
    <d v="2025-04-03T00:00:00"/>
    <d v="2025-07-04T00:00:00"/>
    <s v="1400000246"/>
  </r>
  <r>
    <s v="Selected"/>
    <s v="6779"/>
    <s v="100222332"/>
    <s v="SCOPE LOGISTICS SERVICES INDIA PVT."/>
    <s v="2025"/>
    <s v="4"/>
    <d v="2025-04-03T00:00:00"/>
    <s v="1800005358"/>
    <x v="1"/>
    <x v="2"/>
    <d v="2025-04-05T00:00:00"/>
    <s v="NA"/>
    <s v="256779410250"/>
    <s v="212100"/>
    <s v="Trade Debtors (Ctrl)"/>
    <s v=""/>
    <s v="01"/>
    <s v="USD"/>
    <n v="456.75"/>
    <s v="INR"/>
    <n v="39701.54"/>
    <s v="O0"/>
    <s v=""/>
    <s v=""/>
    <s v="NA"/>
    <s v="1"/>
    <s v="Fixed Rental charges for Jan 2025"/>
    <s v=""/>
    <s v=""/>
    <s v=""/>
    <d v="2025-04-03T00:00:00"/>
    <d v="2025-07-04T00:00:00"/>
    <s v="1400000247"/>
  </r>
  <r>
    <s v="Selected"/>
    <s v="6779"/>
    <s v="100222332"/>
    <s v="SCOPE LOGISTICS SERVICES INDIA PVT."/>
    <s v="2025"/>
    <s v="4"/>
    <d v="2025-04-03T00:00:00"/>
    <s v="1800005058"/>
    <x v="1"/>
    <x v="2"/>
    <d v="2025-04-05T00:00:00"/>
    <s v="NA"/>
    <s v="256779410004"/>
    <s v="212100"/>
    <s v="Trade Debtors (Ctrl)"/>
    <s v=""/>
    <s v="01"/>
    <s v="USD"/>
    <n v="705"/>
    <s v="INR"/>
    <n v="61279.88"/>
    <s v="O0"/>
    <s v=""/>
    <s v=""/>
    <s v="NA"/>
    <s v="1"/>
    <s v="CY Longstanding container Ground Rent charges for"/>
    <s v=""/>
    <s v=""/>
    <s v=""/>
    <d v="2025-04-03T00:00:00"/>
    <d v="2025-11-15T00:00:00"/>
    <s v="1400001901"/>
  </r>
  <r>
    <s v="Selected"/>
    <s v="6779"/>
    <s v="100222332"/>
    <s v="SCOPE LOGISTICS SERVICES INDIA PVT."/>
    <s v="2025"/>
    <s v="4"/>
    <d v="2025-04-03T00:00:00"/>
    <s v="1800005064"/>
    <x v="1"/>
    <x v="2"/>
    <d v="2025-04-05T00:00:00"/>
    <s v="NA"/>
    <s v="256779410010"/>
    <s v="212100"/>
    <s v="Trade Debtors (Ctrl)"/>
    <s v=""/>
    <s v="01"/>
    <s v="USD"/>
    <n v="1793.99"/>
    <s v="INR"/>
    <n v="155936.88"/>
    <s v="O0"/>
    <s v=""/>
    <s v=""/>
    <s v="NA"/>
    <s v="1"/>
    <s v="CY Longstanding container Ground Rent charges for"/>
    <s v=""/>
    <s v=""/>
    <s v=""/>
    <d v="2025-04-03T00:00:00"/>
    <d v="2025-11-15T00:00:00"/>
    <s v="1400001901"/>
  </r>
  <r>
    <s v="Selected"/>
    <s v="6779"/>
    <s v="100222332"/>
    <s v="SCOPE LOGISTICS SERVICES INDIA PVT."/>
    <s v="2025"/>
    <s v="4"/>
    <d v="2025-04-03T00:00:00"/>
    <s v="1800005328"/>
    <x v="1"/>
    <x v="2"/>
    <d v="2025-04-05T00:00:00"/>
    <s v="NA"/>
    <s v="256779410220"/>
    <s v="212100"/>
    <s v="Trade Debtors (Ctrl)"/>
    <s v=""/>
    <s v="01"/>
    <s v="USD"/>
    <n v="1314.12"/>
    <s v="INR"/>
    <n v="114225.7"/>
    <s v="O0"/>
    <s v=""/>
    <s v=""/>
    <s v="NA"/>
    <s v="1"/>
    <s v="CY Longstanding container Ground Rent charges for"/>
    <s v=""/>
    <s v=""/>
    <s v=""/>
    <d v="2025-04-03T00:00:00"/>
    <d v="2025-11-15T00:00:00"/>
    <s v="1400001901"/>
  </r>
  <r>
    <s v="Not Selected"/>
    <s v="6779"/>
    <s v="100222332"/>
    <s v="SCOPE LOGISTICS SERVICES INDIA PVT."/>
    <s v="2025"/>
    <s v="10"/>
    <d v="2025-10-20T00:00:00"/>
    <s v="1800013971"/>
    <x v="1"/>
    <x v="3"/>
    <d v="2025-10-21T00:00:00"/>
    <s v="NA"/>
    <s v="256779418614"/>
    <s v="212100"/>
    <s v="Trade Debtors (Ctrl)"/>
    <s v=""/>
    <s v="01"/>
    <s v="USD"/>
    <n v="338.06"/>
    <s v="INR"/>
    <n v="29813.77"/>
    <s v="O0"/>
    <s v="6779224500"/>
    <s v=""/>
    <s v="2114876"/>
    <s v="1"/>
    <s v="CY - CY Grd Rent Chgs - 01 - 15 OCT 25"/>
    <s v=""/>
    <s v=""/>
    <s v=""/>
    <d v="2025-10-20T00:00:00"/>
    <m/>
    <s v=""/>
  </r>
  <r>
    <s v="Not Selected"/>
    <s v="6779"/>
    <s v="100222332"/>
    <s v="SCOPE LOGISTICS SERVICES INDIA PVT."/>
    <s v="2025"/>
    <s v="10"/>
    <d v="2025-10-20T00:00:00"/>
    <s v="1800014013"/>
    <x v="1"/>
    <x v="3"/>
    <d v="2025-10-21T00:00:00"/>
    <s v="NA"/>
    <s v="256779418620"/>
    <s v="212100"/>
    <s v="Trade Debtors (Ctrl)"/>
    <s v=""/>
    <s v="01"/>
    <s v="USD"/>
    <n v="830.96"/>
    <s v="INR"/>
    <n v="73283"/>
    <s v="O0"/>
    <s v="6779224500"/>
    <s v=""/>
    <s v="2114877"/>
    <s v="1"/>
    <s v="CY Ground rent Chgs - 01 - 15 Oct 25"/>
    <s v=""/>
    <s v=""/>
    <s v=""/>
    <d v="2025-10-20T00:00:00"/>
    <m/>
    <s v=""/>
  </r>
  <r>
    <s v="Not Selected"/>
    <s v="6779"/>
    <s v="100222332"/>
    <s v="SCOPE LOGISTICS SERVICES INDIA PVT."/>
    <s v="2025"/>
    <s v="10"/>
    <d v="2025-10-20T00:00:00"/>
    <s v="1800013843"/>
    <x v="1"/>
    <x v="3"/>
    <d v="2025-10-21T00:00:00"/>
    <s v="NA"/>
    <s v="256779418661"/>
    <s v="212100"/>
    <s v="Trade Debtors (Ctrl)"/>
    <s v=""/>
    <s v="01"/>
    <s v="USD"/>
    <n v="226.3"/>
    <s v="INR"/>
    <n v="19957.57"/>
    <s v="O0"/>
    <s v="6779224500"/>
    <s v=""/>
    <s v="2114881"/>
    <s v="1"/>
    <s v="Inbound chgs - 01 - 15 OCT 25"/>
    <s v=""/>
    <s v=""/>
    <s v=""/>
    <d v="2025-10-20T00:00:00"/>
    <m/>
    <s v=""/>
  </r>
  <r>
    <s v="Not Selected"/>
    <s v="6779"/>
    <s v="100222332"/>
    <s v="SCOPE LOGISTICS SERVICES INDIA PVT."/>
    <s v="2025"/>
    <s v="10"/>
    <d v="2025-10-20T00:00:00"/>
    <s v="1800013925"/>
    <x v="1"/>
    <x v="3"/>
    <d v="2025-10-21T00:00:00"/>
    <s v="NA"/>
    <s v="256779418702"/>
    <s v="212100"/>
    <s v="Trade Debtors (Ctrl)"/>
    <s v=""/>
    <s v="01"/>
    <s v="USD"/>
    <n v="182.87"/>
    <s v="INR"/>
    <n v="16127.45"/>
    <s v="O0"/>
    <s v="6779224500"/>
    <s v=""/>
    <s v="2114883"/>
    <s v="1"/>
    <s v="Outbound chgs - 01 - 15 Oct 25"/>
    <s v=""/>
    <s v=""/>
    <s v=""/>
    <d v="2025-10-20T00:00:00"/>
    <m/>
    <s v=""/>
  </r>
  <r>
    <s v="Not Selected"/>
    <s v="6779"/>
    <s v="100222332"/>
    <s v="SCOPE LOGISTICS SERVICES INDIA PVT."/>
    <s v="2025"/>
    <s v="4"/>
    <d v="2025-04-21T00:00:00"/>
    <s v="1800007270"/>
    <x v="1"/>
    <x v="4"/>
    <d v="2025-04-22T00:00:00"/>
    <s v="NA"/>
    <s v="256779412161"/>
    <s v="212100"/>
    <s v="Trade Debtors (Ctrl)"/>
    <s v=""/>
    <s v="01"/>
    <s v="USD"/>
    <n v="456.75"/>
    <s v="INR"/>
    <n v="39193.72"/>
    <s v="O0"/>
    <s v="6779224500"/>
    <s v=""/>
    <s v="NA"/>
    <s v="1"/>
    <s v="Fixed Storage Charges for April 2025"/>
    <s v=""/>
    <s v=""/>
    <s v=""/>
    <d v="2025-04-21T00:00:00"/>
    <m/>
    <s v=""/>
  </r>
  <r>
    <s v="Not Selected"/>
    <s v="6779"/>
    <s v="100222332"/>
    <s v="SCOPE LOGISTICS SERVICES INDIA PVT."/>
    <s v="2025"/>
    <s v="7"/>
    <d v="2025-07-24T00:00:00"/>
    <s v="1600001816"/>
    <x v="0"/>
    <x v="5"/>
    <d v="2025-07-24T00:00:00"/>
    <s v="NA"/>
    <s v="256779421436"/>
    <s v="212100"/>
    <s v="Trade Debtors (Ctrl)"/>
    <s v=""/>
    <s v="11"/>
    <s v="USD"/>
    <n v="-140"/>
    <s v="INR"/>
    <n v="-12037.72"/>
    <s v="O0"/>
    <s v="6779224500"/>
    <s v=""/>
    <s v="NA"/>
    <s v="1"/>
    <s v="Credit Note raised against 256779413861"/>
    <s v=""/>
    <s v=""/>
    <s v=""/>
    <d v="2025-07-24T00:00:00"/>
    <m/>
    <s v=""/>
  </r>
  <r>
    <s v="Not Selected"/>
    <s v="6779"/>
    <s v="100222332"/>
    <s v="SCOPE LOGISTICS SERVICES INDIA PVT."/>
    <s v="2025"/>
    <s v="7"/>
    <d v="2025-07-24T00:00:00"/>
    <s v="1800011187"/>
    <x v="1"/>
    <x v="5"/>
    <d v="2025-07-24T00:00:00"/>
    <s v="NA"/>
    <s v="256779415939"/>
    <s v="212100"/>
    <s v="Trade Debtors (Ctrl)"/>
    <s v=""/>
    <s v="01"/>
    <s v="USD"/>
    <n v="140"/>
    <s v="INR"/>
    <n v="12040.09"/>
    <s v="O0"/>
    <s v="6779224500"/>
    <s v=""/>
    <s v="NA"/>
    <s v="1"/>
    <s v="Scanning  Chgs - 01 - 15 May 25"/>
    <s v=""/>
    <s v=""/>
    <s v=""/>
    <d v="2025-07-24T00:00:00"/>
    <m/>
    <s v=""/>
  </r>
  <r>
    <s v="Not Selected"/>
    <s v="6779"/>
    <s v="100222332"/>
    <s v="SCOPE LOGISTICS SERVICES INDIA PVT."/>
    <s v="2025"/>
    <s v="7"/>
    <d v="2025-07-24T00:00:00"/>
    <s v="1800011193"/>
    <x v="1"/>
    <x v="5"/>
    <d v="2025-07-24T00:00:00"/>
    <s v="NA"/>
    <s v="256779415945"/>
    <s v="212100"/>
    <s v="Trade Debtors (Ctrl)"/>
    <s v=""/>
    <s v="01"/>
    <s v="USD"/>
    <n v="111.15"/>
    <s v="INR"/>
    <n v="9558.9699999999993"/>
    <s v="O0"/>
    <s v="6779224500"/>
    <s v=""/>
    <s v="NA"/>
    <s v="1"/>
    <s v="Inbound chgs -01-15 MAY 25"/>
    <s v=""/>
    <s v=""/>
    <s v=""/>
    <d v="2025-07-24T00:00:00"/>
    <m/>
    <s v=""/>
  </r>
  <r>
    <s v="Selected"/>
    <s v="6779"/>
    <s v="100222332"/>
    <s v="SCOPE LOGISTICS SERVICES INDIA PVT."/>
    <s v="2025"/>
    <s v="7"/>
    <d v="2025-07-24T00:00:00"/>
    <s v="1600001906"/>
    <x v="0"/>
    <x v="5"/>
    <d v="2025-07-24T00:00:00"/>
    <s v="NA"/>
    <s v="256779421526"/>
    <s v="212100"/>
    <s v="Trade Debtors (Ctrl)"/>
    <s v=""/>
    <s v="11"/>
    <s v="USD"/>
    <n v="-456.75"/>
    <s v="INR"/>
    <n v="-39280.81"/>
    <s v="O0"/>
    <s v="6779224500"/>
    <s v=""/>
    <s v="NA"/>
    <s v="1"/>
    <s v="Credit note raised against 256779414459"/>
    <s v=""/>
    <s v=""/>
    <s v=""/>
    <d v="2025-07-24T00:00:00"/>
    <d v="2025-09-02T00:00:00"/>
    <s v="1400001112"/>
  </r>
  <r>
    <s v="Selected"/>
    <s v="6779"/>
    <s v="100222332"/>
    <s v="SCOPE LOGISTICS SERVICES INDIA PVT."/>
    <s v="2025"/>
    <s v="7"/>
    <d v="2025-07-24T00:00:00"/>
    <s v="1600001923"/>
    <x v="0"/>
    <x v="5"/>
    <d v="2025-07-24T00:00:00"/>
    <s v="NA"/>
    <s v="256779421543"/>
    <s v="212100"/>
    <s v="Trade Debtors (Ctrl)"/>
    <s v=""/>
    <s v="11"/>
    <s v="USD"/>
    <n v="-456.75"/>
    <s v="INR"/>
    <n v="-39280.81"/>
    <s v="O0"/>
    <s v="6779224500"/>
    <s v=""/>
    <s v="NA"/>
    <s v="1"/>
    <s v="Credit note raised against 256779414476"/>
    <s v=""/>
    <s v=""/>
    <s v=""/>
    <d v="2025-07-24T00:00:00"/>
    <d v="2025-09-02T00:00:00"/>
    <s v="1400001112"/>
  </r>
  <r>
    <s v="Selected"/>
    <s v="6779"/>
    <s v="100222332"/>
    <s v="SCOPE LOGISTICS SERVICES INDIA PVT."/>
    <s v="2025"/>
    <s v="7"/>
    <d v="2025-07-24T00:00:00"/>
    <s v="1600001822"/>
    <x v="0"/>
    <x v="5"/>
    <d v="2025-07-24T00:00:00"/>
    <s v="NA"/>
    <s v="256779421442"/>
    <s v="212100"/>
    <s v="Trade Debtors (Ctrl)"/>
    <s v=""/>
    <s v="11"/>
    <s v="USD"/>
    <n v="-111.15"/>
    <s v="INR"/>
    <n v="-9557.09"/>
    <s v="O0"/>
    <s v="6779224500"/>
    <s v=""/>
    <s v="NA"/>
    <s v="1"/>
    <s v="Credit Note raised against 256779413885"/>
    <s v=""/>
    <s v=""/>
    <s v=""/>
    <d v="2025-07-24T00:00:00"/>
    <d v="2025-11-15T00:00:00"/>
    <s v="1400001901"/>
  </r>
  <r>
    <s v="Not Selected"/>
    <s v="6779"/>
    <s v="100222332"/>
    <s v="SCOPE LOGISTICS SERVICES INDIA PVT."/>
    <s v="2025"/>
    <s v="5"/>
    <d v="2025-05-21T00:00:00"/>
    <s v="1800008640"/>
    <x v="1"/>
    <x v="6"/>
    <d v="2025-05-23T00:00:00"/>
    <s v="NA"/>
    <s v="256779413404"/>
    <s v="212100"/>
    <s v="Trade Debtors (Ctrl)"/>
    <s v=""/>
    <s v="01"/>
    <s v="USD"/>
    <n v="84.6"/>
    <s v="INR"/>
    <n v="7274.22"/>
    <s v="O0"/>
    <s v="6779224500"/>
    <s v=""/>
    <s v="NA"/>
    <s v="1"/>
    <s v="InKPI-CODC-1-15 May 25-BOE9790661"/>
    <s v=""/>
    <s v=""/>
    <s v=""/>
    <d v="2025-05-21T00:00:00"/>
    <m/>
    <s v=""/>
  </r>
  <r>
    <s v="Not Selected"/>
    <s v="6779"/>
    <s v="100222332"/>
    <s v="SCOPE LOGISTICS SERVICES INDIA PVT."/>
    <s v="2025"/>
    <s v="5"/>
    <d v="2025-05-21T00:00:00"/>
    <s v="1800008641"/>
    <x v="1"/>
    <x v="6"/>
    <d v="2025-05-23T00:00:00"/>
    <s v="NA"/>
    <s v="256779413405"/>
    <s v="212100"/>
    <s v="Trade Debtors (Ctrl)"/>
    <s v=""/>
    <s v="01"/>
    <s v="USD"/>
    <n v="47"/>
    <s v="INR"/>
    <n v="4041.23"/>
    <s v="O0"/>
    <s v="6779224500"/>
    <s v=""/>
    <s v="NA"/>
    <s v="1"/>
    <s v="InKPI-CODC-1-15 May 25-BOE9862672"/>
    <s v=""/>
    <s v=""/>
    <s v=""/>
    <d v="2025-05-21T00:00:00"/>
    <m/>
    <s v=""/>
  </r>
  <r>
    <s v="Not Selected"/>
    <s v="6779"/>
    <s v="100222332"/>
    <s v="SCOPE LOGISTICS SERVICES INDIA PVT."/>
    <s v="2025"/>
    <s v="5"/>
    <d v="2025-05-21T00:00:00"/>
    <s v="1800008665"/>
    <x v="1"/>
    <x v="6"/>
    <d v="2025-05-23T00:00:00"/>
    <s v="NA"/>
    <s v="256779413429"/>
    <s v="212100"/>
    <s v="Trade Debtors (Ctrl)"/>
    <s v=""/>
    <s v="01"/>
    <s v="USD"/>
    <n v="7.05"/>
    <s v="INR"/>
    <n v="606.19000000000005"/>
    <s v="O0"/>
    <s v="6779224500"/>
    <s v=""/>
    <s v="NA"/>
    <s v="1"/>
    <s v="OutKPI-CODC-1-15-MAY-25-9960786"/>
    <s v=""/>
    <s v=""/>
    <s v=""/>
    <d v="2025-05-21T00:00:00"/>
    <m/>
    <s v=""/>
  </r>
  <r>
    <s v="Not Selected"/>
    <s v="6779"/>
    <s v="100222332"/>
    <s v="SCOPE LOGISTICS SERVICES INDIA PVT."/>
    <s v="2025"/>
    <s v="5"/>
    <d v="2025-05-21T00:00:00"/>
    <s v="1800008666"/>
    <x v="1"/>
    <x v="6"/>
    <d v="2025-05-23T00:00:00"/>
    <s v="NA"/>
    <s v="256779413430"/>
    <s v="212100"/>
    <s v="Trade Debtors (Ctrl)"/>
    <s v=""/>
    <s v="01"/>
    <s v="USD"/>
    <n v="14.1"/>
    <s v="INR"/>
    <n v="1212.3699999999999"/>
    <s v="O0"/>
    <s v="6779224500"/>
    <s v=""/>
    <s v="NA"/>
    <s v="1"/>
    <s v="OutKPI-CODC-1-15-MAY-25-20045577"/>
    <s v=""/>
    <s v=""/>
    <s v=""/>
    <d v="2025-05-21T00:00:00"/>
    <m/>
    <s v=""/>
  </r>
  <r>
    <s v="Not Selected"/>
    <s v="6779"/>
    <s v="100222332"/>
    <s v="SCOPE LOGISTICS SERVICES INDIA PVT."/>
    <s v="2025"/>
    <s v="4"/>
    <d v="2025-04-24T00:00:00"/>
    <s v="1800007886"/>
    <x v="1"/>
    <x v="7"/>
    <d v="2025-04-26T00:00:00"/>
    <s v="NA"/>
    <s v="256779412777"/>
    <s v="212100"/>
    <s v="Trade Debtors (Ctrl)"/>
    <s v=""/>
    <s v="01"/>
    <s v="USD"/>
    <n v="95.39"/>
    <s v="INR"/>
    <n v="8291.4699999999993"/>
    <s v="O0"/>
    <s v="6779224500"/>
    <s v=""/>
    <s v="NA"/>
    <s v="1"/>
    <s v="VAS 1-15 April-25,Ex.Rate-85.69"/>
    <s v=""/>
    <s v=""/>
    <s v=""/>
    <d v="2025-04-24T00:00:00"/>
    <m/>
    <s v=""/>
  </r>
  <r>
    <s v="Not Selected"/>
    <s v="6779"/>
    <s v="100222332"/>
    <s v="SCOPE LOGISTICS SERVICES INDIA PVT."/>
    <s v="2025"/>
    <s v="6"/>
    <d v="2025-06-18T00:00:00"/>
    <s v="1800009994"/>
    <x v="1"/>
    <x v="8"/>
    <d v="2025-06-21T00:00:00"/>
    <s v="NA"/>
    <s v="256779414758"/>
    <s v="212100"/>
    <s v="Trade Debtors (Ctrl)"/>
    <s v=""/>
    <s v="01"/>
    <s v="USD"/>
    <n v="173.9"/>
    <s v="INR"/>
    <n v="14866.85"/>
    <s v="O0"/>
    <s v="6779224500"/>
    <s v=""/>
    <s v="NA"/>
    <s v="1"/>
    <s v="CODC Out chgs - 01 - 15 Jun 25"/>
    <s v=""/>
    <s v=""/>
    <s v=""/>
    <d v="2025-06-18T00:00:00"/>
    <m/>
    <s v=""/>
  </r>
  <r>
    <s v="Selected"/>
    <s v="6779"/>
    <s v="100222332"/>
    <s v="SCOPE LOGISTICS SERVICES INDIA PVT."/>
    <s v="2025"/>
    <s v="6"/>
    <d v="2025-06-18T00:00:00"/>
    <s v="1800009695"/>
    <x v="1"/>
    <x v="8"/>
    <d v="2025-06-19T00:00:00"/>
    <s v="NA"/>
    <s v="256779414459"/>
    <s v="212100"/>
    <s v="Trade Debtors (Ctrl)"/>
    <s v=""/>
    <s v="01"/>
    <s v="USD"/>
    <n v="456.75"/>
    <s v="INR"/>
    <n v="39047.910000000003"/>
    <s v="O0"/>
    <s v="6779224500"/>
    <s v=""/>
    <s v="NA"/>
    <s v="1"/>
    <s v="Fixed Rental charges for Jan 2025"/>
    <s v=""/>
    <s v=""/>
    <s v=""/>
    <d v="2025-06-18T00:00:00"/>
    <d v="2025-09-02T00:00:00"/>
    <s v="1400001112"/>
  </r>
  <r>
    <s v="Selected"/>
    <s v="6779"/>
    <s v="100222332"/>
    <s v="SCOPE LOGISTICS SERVICES INDIA PVT."/>
    <s v="2025"/>
    <s v="6"/>
    <d v="2025-06-18T00:00:00"/>
    <s v="1800009712"/>
    <x v="1"/>
    <x v="8"/>
    <d v="2025-06-19T00:00:00"/>
    <s v="NA"/>
    <s v="256779414476"/>
    <s v="212100"/>
    <s v="Trade Debtors (Ctrl)"/>
    <s v=""/>
    <s v="01"/>
    <s v="USD"/>
    <n v="456.75"/>
    <s v="INR"/>
    <n v="39047.910000000003"/>
    <s v="O0"/>
    <s v="6779224500"/>
    <s v=""/>
    <s v="NA"/>
    <s v="1"/>
    <s v="Fixed Rental charges for Feb 2025"/>
    <s v=""/>
    <s v=""/>
    <s v=""/>
    <d v="2025-06-18T00:00:00"/>
    <d v="2025-09-02T00:00:00"/>
    <s v="1400001112"/>
  </r>
  <r>
    <s v="Not Selected"/>
    <s v="6779"/>
    <s v="100222332"/>
    <s v="SCOPE LOGISTICS SERVICES INDIA PVT."/>
    <s v="2025"/>
    <s v="10"/>
    <d v="2025-10-21T00:00:00"/>
    <s v="1800013945"/>
    <x v="1"/>
    <x v="9"/>
    <d v="2025-10-21T00:00:00"/>
    <s v="NA"/>
    <s v="256779418477"/>
    <s v="212100"/>
    <s v="Trade Debtors (Ctrl)"/>
    <s v=""/>
    <s v="01"/>
    <s v="USD"/>
    <n v="3.4"/>
    <s v="INR"/>
    <n v="299.85000000000002"/>
    <s v="O0"/>
    <s v="6779224500"/>
    <s v=""/>
    <s v="2114868"/>
    <s v="1"/>
    <s v="VAS  -1-15 Oct 2025"/>
    <s v=""/>
    <s v=""/>
    <s v=""/>
    <d v="2025-10-21T00:00:00"/>
    <m/>
    <s v=""/>
  </r>
  <r>
    <s v="Not Selected"/>
    <s v="6779"/>
    <s v="100222332"/>
    <s v="SCOPE LOGISTICS SERVICES INDIA PVT."/>
    <s v="2025"/>
    <s v="10"/>
    <d v="2025-10-21T00:00:00"/>
    <s v="1800013962"/>
    <x v="1"/>
    <x v="9"/>
    <d v="2025-10-21T00:00:00"/>
    <s v="NA"/>
    <s v="256779418492"/>
    <s v="212100"/>
    <s v="Trade Debtors (Ctrl)"/>
    <s v=""/>
    <s v="01"/>
    <s v="USD"/>
    <n v="3.4"/>
    <s v="INR"/>
    <n v="299.85000000000002"/>
    <s v="O0"/>
    <s v="6779224500"/>
    <s v=""/>
    <s v="2114868"/>
    <s v="1"/>
    <s v="VAS  -1-15 Oct 2025"/>
    <s v=""/>
    <s v=""/>
    <s v=""/>
    <d v="2025-10-21T00:00:00"/>
    <m/>
    <s v=""/>
  </r>
  <r>
    <s v="Not Selected"/>
    <s v="6779"/>
    <s v="100222332"/>
    <s v="SCOPE LOGISTICS SERVICES INDIA PVT."/>
    <s v="2025"/>
    <s v="3"/>
    <d v="2025-03-19T00:00:00"/>
    <s v="1800003133"/>
    <x v="1"/>
    <x v="10"/>
    <d v="2025-03-20T00:00:00"/>
    <s v="NA"/>
    <s v="246779413000"/>
    <s v="212100"/>
    <s v="Trade Debtors (Ctrl)"/>
    <s v=""/>
    <s v="01"/>
    <s v="USD"/>
    <n v="456.75"/>
    <s v="INR"/>
    <n v="39596.230000000003"/>
    <s v="O0"/>
    <s v="6779224500"/>
    <s v=""/>
    <s v="NA"/>
    <s v="1"/>
    <s v="Fixed Storage Charges for Mar 2025"/>
    <s v=""/>
    <s v=""/>
    <s v=""/>
    <d v="2025-03-19T00:00:00"/>
    <m/>
    <s v=""/>
  </r>
  <r>
    <s v="Not Selected"/>
    <s v="6779"/>
    <s v="100222332"/>
    <s v="SCOPE LOGISTICS SERVICES INDIA PVT."/>
    <s v="2025"/>
    <s v="3"/>
    <d v="2025-03-19T00:00:00"/>
    <s v="1800003342"/>
    <x v="1"/>
    <x v="10"/>
    <d v="2025-03-20T00:00:00"/>
    <s v="NA"/>
    <s v="246779413209"/>
    <s v="212100"/>
    <s v="Trade Debtors (Ctrl)"/>
    <s v=""/>
    <s v="01"/>
    <s v="USD"/>
    <n v="39.06"/>
    <s v="INR"/>
    <n v="3386.16"/>
    <s v="O0"/>
    <s v="6779224500"/>
    <s v=""/>
    <s v="NA"/>
    <s v="1"/>
    <s v="HMMU6832693-Port SSR Shifting Jan 2025. Exch rate"/>
    <s v=""/>
    <s v=""/>
    <s v=""/>
    <d v="2025-03-19T00:00:00"/>
    <m/>
    <s v=""/>
  </r>
  <r>
    <s v="Not Selected"/>
    <s v="6779"/>
    <s v="100222332"/>
    <s v="SCOPE LOGISTICS SERVICES INDIA PVT."/>
    <s v="2025"/>
    <s v="3"/>
    <d v="2025-03-19T00:00:00"/>
    <s v="1800003343"/>
    <x v="1"/>
    <x v="10"/>
    <d v="2025-03-20T00:00:00"/>
    <s v="NA"/>
    <s v="246779413210"/>
    <s v="212100"/>
    <s v="Trade Debtors (Ctrl)"/>
    <s v=""/>
    <s v="01"/>
    <s v="USD"/>
    <n v="39.06"/>
    <s v="INR"/>
    <n v="3386.16"/>
    <s v="O0"/>
    <s v="6779224500"/>
    <s v=""/>
    <s v="NA"/>
    <s v="1"/>
    <s v="KOCU4372804-Port SSR Shifting Jan 2025. Exch rate"/>
    <s v=""/>
    <s v=""/>
    <s v=""/>
    <d v="2025-03-19T00:00:00"/>
    <m/>
    <s v=""/>
  </r>
  <r>
    <s v="Not Selected"/>
    <s v="6779"/>
    <s v="100222332"/>
    <s v="SCOPE LOGISTICS SERVICES INDIA PVT."/>
    <s v="2025"/>
    <s v="3"/>
    <d v="2025-03-19T00:00:00"/>
    <s v="1800003344"/>
    <x v="1"/>
    <x v="10"/>
    <d v="2025-03-20T00:00:00"/>
    <s v="NA"/>
    <s v="246779413211"/>
    <s v="212100"/>
    <s v="Trade Debtors (Ctrl)"/>
    <s v=""/>
    <s v="01"/>
    <s v="USD"/>
    <n v="78.12"/>
    <s v="INR"/>
    <n v="6772.32"/>
    <s v="O0"/>
    <s v="6779224500"/>
    <s v=""/>
    <s v="NA"/>
    <s v="1"/>
    <s v="TCNU8653352-Port SSR Shifting Jan 2025. Exch rate"/>
    <s v=""/>
    <s v=""/>
    <s v=""/>
    <d v="2025-03-19T00:00:00"/>
    <m/>
    <s v=""/>
  </r>
  <r>
    <s v="Not Selected"/>
    <s v="6779"/>
    <s v="100222332"/>
    <s v="SCOPE LOGISTICS SERVICES INDIA PVT."/>
    <s v="2025"/>
    <s v="3"/>
    <d v="2025-03-19T00:00:00"/>
    <s v="1800003345"/>
    <x v="1"/>
    <x v="10"/>
    <d v="2025-03-20T00:00:00"/>
    <s v="NA"/>
    <s v="246779413212"/>
    <s v="212100"/>
    <s v="Trade Debtors (Ctrl)"/>
    <s v=""/>
    <s v="01"/>
    <s v="USD"/>
    <n v="39.06"/>
    <s v="INR"/>
    <n v="3386.16"/>
    <s v="O0"/>
    <s v="6779224500"/>
    <s v=""/>
    <s v="NA"/>
    <s v="1"/>
    <s v="HDMU6860845-Port SSR Shifting Jan 2025. Exch rate"/>
    <s v=""/>
    <s v=""/>
    <s v=""/>
    <d v="2025-03-19T00:00:00"/>
    <m/>
    <s v=""/>
  </r>
  <r>
    <s v="Not Selected"/>
    <s v="6779"/>
    <s v="100222332"/>
    <s v="SCOPE LOGISTICS SERVICES INDIA PVT."/>
    <s v="2025"/>
    <s v="3"/>
    <d v="2025-03-19T00:00:00"/>
    <s v="1800003346"/>
    <x v="1"/>
    <x v="10"/>
    <d v="2025-03-20T00:00:00"/>
    <s v="NA"/>
    <s v="246779413213"/>
    <s v="212100"/>
    <s v="Trade Debtors (Ctrl)"/>
    <s v=""/>
    <s v="01"/>
    <s v="USD"/>
    <n v="52.08"/>
    <s v="INR"/>
    <n v="4514.88"/>
    <s v="O0"/>
    <s v="6779224500"/>
    <s v=""/>
    <s v="NA"/>
    <s v="1"/>
    <s v="EOLU8212240-Port SSR Shifting Jan 2025. Exch rate"/>
    <s v=""/>
    <s v=""/>
    <s v=""/>
    <d v="2025-03-19T00:00:00"/>
    <m/>
    <s v=""/>
  </r>
  <r>
    <s v="Not Selected"/>
    <s v="6779"/>
    <s v="100222332"/>
    <s v="SCOPE LOGISTICS SERVICES INDIA PVT."/>
    <s v="2025"/>
    <s v="3"/>
    <d v="2025-03-19T00:00:00"/>
    <s v="1800003457"/>
    <x v="1"/>
    <x v="10"/>
    <d v="2025-03-20T00:00:00"/>
    <s v="NA"/>
    <s v="246779413324"/>
    <s v="212100"/>
    <s v="Trade Debtors (Ctrl)"/>
    <s v=""/>
    <s v="01"/>
    <s v="USD"/>
    <n v="4.3"/>
    <s v="INR"/>
    <n v="372.77"/>
    <s v="O0"/>
    <s v="6779224500"/>
    <s v=""/>
    <s v="NA"/>
    <s v="1"/>
    <s v="EOLU8605417-Port SSR Storage Feb 2025. Exch rate -"/>
    <s v=""/>
    <s v=""/>
    <s v=""/>
    <d v="2025-03-19T00:00:00"/>
    <m/>
    <s v=""/>
  </r>
  <r>
    <s v="Not Selected"/>
    <s v="6779"/>
    <s v="100222332"/>
    <s v="SCOPE LOGISTICS SERVICES INDIA PVT."/>
    <s v="2025"/>
    <s v="6"/>
    <d v="2025-06-19T00:00:00"/>
    <s v="1800009979"/>
    <x v="1"/>
    <x v="11"/>
    <d v="2025-06-21T00:00:00"/>
    <s v="NA"/>
    <s v="256779414743"/>
    <s v="212100"/>
    <s v="Trade Debtors (Ctrl)"/>
    <s v=""/>
    <s v="01"/>
    <s v="USD"/>
    <n v="71.430000000000007"/>
    <s v="INR"/>
    <n v="6106.61"/>
    <s v="O0"/>
    <s v="6779224500"/>
    <s v=""/>
    <s v=""/>
    <s v="1"/>
    <s v="VAS 1-15 June 25, Exch 86.10"/>
    <s v=""/>
    <s v=""/>
    <s v=""/>
    <d v="2025-06-19T00:00:00"/>
    <m/>
    <s v=""/>
  </r>
  <r>
    <s v="Not Selected"/>
    <s v="6779"/>
    <s v="100222332"/>
    <s v="SCOPE LOGISTICS SERVICES INDIA PVT."/>
    <s v="2025"/>
    <s v="6"/>
    <d v="2025-06-19T00:00:00"/>
    <s v="1800009984"/>
    <x v="1"/>
    <x v="11"/>
    <d v="2025-06-21T00:00:00"/>
    <s v="NA"/>
    <s v="256779414748"/>
    <s v="212100"/>
    <s v="Trade Debtors (Ctrl)"/>
    <s v=""/>
    <s v="01"/>
    <s v="USD"/>
    <n v="20.91"/>
    <s v="INR"/>
    <n v="1787.61"/>
    <s v="O0"/>
    <s v="6779224500"/>
    <s v=""/>
    <s v=""/>
    <s v="1"/>
    <s v="WEIGHMENT 1-15 June 25, Exch 86.10"/>
    <s v=""/>
    <s v=""/>
    <s v=""/>
    <d v="2025-06-19T00:00:00"/>
    <m/>
    <s v=""/>
  </r>
  <r>
    <s v="Not Selected"/>
    <s v="6779"/>
    <s v="100222332"/>
    <s v="SCOPE LOGISTICS SERVICES INDIA PVT."/>
    <s v="2025"/>
    <s v="11"/>
    <d v="2025-11-20T00:00:00"/>
    <s v="1800014964"/>
    <x v="1"/>
    <x v="12"/>
    <d v="2025-11-21T00:00:00"/>
    <s v="NA"/>
    <s v="256779419465"/>
    <s v="212100"/>
    <s v="Trade Debtors (Ctrl)"/>
    <s v=""/>
    <s v="01"/>
    <s v="USD"/>
    <n v="240.14"/>
    <s v="INR"/>
    <n v="21133.13"/>
    <s v="O0"/>
    <s v="6779224500"/>
    <s v=""/>
    <s v="2130555"/>
    <s v="1"/>
    <s v="VAS-Nov 1-15, 2025"/>
    <s v=""/>
    <s v=""/>
    <s v=""/>
    <d v="2025-11-20T00:00:00"/>
    <m/>
    <s v=""/>
  </r>
  <r>
    <s v="Not Selected"/>
    <s v="6779"/>
    <s v="100222332"/>
    <s v="SCOPE LOGISTICS SERVICES INDIA PVT."/>
    <s v="2025"/>
    <s v="11"/>
    <d v="2025-11-20T00:00:00"/>
    <s v="1800014975"/>
    <x v="1"/>
    <x v="12"/>
    <d v="2025-11-21T00:00:00"/>
    <s v="NA"/>
    <s v="256779419476"/>
    <s v="212100"/>
    <s v="Trade Debtors (Ctrl)"/>
    <s v=""/>
    <s v="01"/>
    <s v="USD"/>
    <n v="162.27000000000001"/>
    <s v="INR"/>
    <n v="14280.31"/>
    <s v="O0"/>
    <s v="6779224500"/>
    <s v=""/>
    <s v="2130555"/>
    <s v="1"/>
    <s v="Weighment-Nov 1-15, 2025"/>
    <s v=""/>
    <s v=""/>
    <s v=""/>
    <d v="2025-11-20T00:00:00"/>
    <m/>
    <s v=""/>
  </r>
  <r>
    <s v="Not Selected"/>
    <s v="6779"/>
    <s v="100222332"/>
    <s v="SCOPE LOGISTICS SERVICES INDIA PVT."/>
    <s v="2025"/>
    <s v="11"/>
    <d v="2025-11-20T00:00:00"/>
    <s v="1800015033"/>
    <x v="1"/>
    <x v="12"/>
    <d v="2025-11-24T00:00:00"/>
    <s v="NA"/>
    <s v="256779419534"/>
    <s v="212100"/>
    <s v="Trade Debtors (Ctrl)"/>
    <s v=""/>
    <s v="01"/>
    <s v="USD"/>
    <n v="90.2"/>
    <s v="INR"/>
    <n v="7937.91"/>
    <s v="O0"/>
    <s v="6779224500"/>
    <s v=""/>
    <s v="NA"/>
    <s v="1"/>
    <s v="CODC LCL Chgs -1-15 Nov 25"/>
    <s v=""/>
    <s v=""/>
    <s v=""/>
    <d v="2025-11-20T00:00:00"/>
    <m/>
    <s v=""/>
  </r>
  <r>
    <s v="Not Selected"/>
    <s v="6779"/>
    <s v="100222332"/>
    <s v="SCOPE LOGISTICS SERVICES INDIA PVT."/>
    <s v="2025"/>
    <s v="11"/>
    <d v="2025-11-20T00:00:00"/>
    <s v="1800015043"/>
    <x v="1"/>
    <x v="12"/>
    <d v="2025-11-24T00:00:00"/>
    <s v="NA"/>
    <s v="256779419556"/>
    <s v="212100"/>
    <s v="Trade Debtors (Ctrl)"/>
    <s v=""/>
    <s v="01"/>
    <s v="USD"/>
    <n v="502.5"/>
    <s v="INR"/>
    <n v="44221.7"/>
    <s v="O0"/>
    <s v="6779224500"/>
    <s v=""/>
    <s v="2130610"/>
    <s v="1"/>
    <s v="CY Ground rent Chgs - 01 - 15 Nov 25"/>
    <s v=""/>
    <s v=""/>
    <s v=""/>
    <d v="2025-11-20T00:00:00"/>
    <m/>
    <s v=""/>
  </r>
  <r>
    <s v="Not Selected"/>
    <s v="6779"/>
    <s v="100222332"/>
    <s v="SCOPE LOGISTICS SERVICES INDIA PVT."/>
    <s v="2025"/>
    <s v="11"/>
    <d v="2025-11-20T00:00:00"/>
    <s v="1800015096"/>
    <x v="1"/>
    <x v="12"/>
    <d v="2025-11-24T00:00:00"/>
    <s v="NA"/>
    <s v="256779419547"/>
    <s v="212100"/>
    <s v="Trade Debtors (Ctrl)"/>
    <s v=""/>
    <s v="01"/>
    <s v="USD"/>
    <n v="109.01"/>
    <s v="INR"/>
    <n v="9593.25"/>
    <s v="O0"/>
    <s v="6779224500"/>
    <s v=""/>
    <s v="2130609"/>
    <s v="1"/>
    <s v="CODC Out chgs -1-15 Nov 25"/>
    <s v=""/>
    <s v=""/>
    <s v=""/>
    <d v="2025-11-20T00:00:00"/>
    <m/>
    <s v=""/>
  </r>
  <r>
    <s v="Not Selected"/>
    <s v="6779"/>
    <s v="100222332"/>
    <s v="SCOPE LOGISTICS SERVICES INDIA PVT."/>
    <s v="2025"/>
    <s v="11"/>
    <d v="2025-11-20T00:00:00"/>
    <s v="1800015075"/>
    <x v="1"/>
    <x v="12"/>
    <d v="2025-11-24T00:00:00"/>
    <s v="NA"/>
    <s v="256779419588"/>
    <s v="212100"/>
    <s v="Trade Debtors (Ctrl)"/>
    <s v=""/>
    <s v="01"/>
    <s v="USD"/>
    <n v="339.2"/>
    <s v="INR"/>
    <n v="29850.75"/>
    <s v="O0"/>
    <s v="6779224500"/>
    <s v=""/>
    <s v="2130611"/>
    <s v="1"/>
    <s v="LCL Chgs - 01 - 15 NOV 25"/>
    <s v=""/>
    <s v=""/>
    <s v=""/>
    <d v="2025-11-20T00:00:00"/>
    <m/>
    <s v=""/>
  </r>
  <r>
    <s v="Not Selected"/>
    <s v="6779"/>
    <s v="100222332"/>
    <s v="SCOPE LOGISTICS SERVICES INDIA PVT."/>
    <s v="2025"/>
    <s v="11"/>
    <d v="2025-11-20T00:00:00"/>
    <s v="1800015129"/>
    <x v="1"/>
    <x v="12"/>
    <d v="2025-11-24T00:00:00"/>
    <s v="NA"/>
    <s v="256779419628"/>
    <s v="212100"/>
    <s v="Trade Debtors (Ctrl)"/>
    <s v=""/>
    <s v="01"/>
    <s v="USD"/>
    <n v="10.199999999999999"/>
    <s v="INR"/>
    <n v="897.63"/>
    <s v="O0"/>
    <s v="6779224500"/>
    <s v=""/>
    <s v="2130612"/>
    <s v="1"/>
    <s v="Loose chgs - 01 - 15 Nov 25"/>
    <s v=""/>
    <s v=""/>
    <s v=""/>
    <d v="2025-11-20T00:00:00"/>
    <m/>
    <s v=""/>
  </r>
  <r>
    <s v="Not Selected"/>
    <s v="6779"/>
    <s v="100222332"/>
    <s v="SCOPE LOGISTICS SERVICES INDIA PVT."/>
    <s v="2025"/>
    <s v="4"/>
    <d v="2025-04-22T00:00:00"/>
    <s v="1800007570"/>
    <x v="1"/>
    <x v="13"/>
    <d v="2025-04-23T00:00:00"/>
    <s v="NA"/>
    <s v="256779412461"/>
    <s v="212100"/>
    <s v="Trade Debtors (Ctrl)"/>
    <s v=""/>
    <s v="01"/>
    <s v="USD"/>
    <n v="126.9"/>
    <s v="INR"/>
    <n v="11030.38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s v="6779"/>
    <s v="100222332"/>
    <s v="SCOPE LOGISTICS SERVICES INDIA PVT."/>
    <s v="2025"/>
    <s v="4"/>
    <d v="2025-04-22T00:00:00"/>
    <s v="1800007577"/>
    <x v="1"/>
    <x v="13"/>
    <d v="2025-04-23T00:00:00"/>
    <s v="NA"/>
    <s v="256779412468"/>
    <s v="212100"/>
    <s v="Trade Debtors (Ctrl)"/>
    <s v=""/>
    <s v="01"/>
    <s v="USD"/>
    <n v="169.2"/>
    <s v="INR"/>
    <n v="14707.17"/>
    <s v="O0"/>
    <s v="6779224500"/>
    <s v=""/>
    <s v="NA"/>
    <s v="1"/>
    <s v="Inbound Handling charges for Feb 2025"/>
    <s v=""/>
    <s v=""/>
    <s v=""/>
    <d v="2025-04-22T00:00:00"/>
    <m/>
    <s v=""/>
  </r>
  <r>
    <s v="Not Selected"/>
    <s v="6779"/>
    <s v="100222332"/>
    <s v="SCOPE LOGISTICS SERVICES INDIA PVT."/>
    <s v="2025"/>
    <s v="4"/>
    <d v="2025-04-22T00:00:00"/>
    <s v="1800007722"/>
    <x v="1"/>
    <x v="13"/>
    <d v="2025-04-23T00:00:00"/>
    <s v="NA"/>
    <s v="256779412613"/>
    <s v="212100"/>
    <s v="Trade Debtors (Ctrl)"/>
    <s v=""/>
    <s v="01"/>
    <s v="USD"/>
    <n v="47"/>
    <s v="INR"/>
    <n v="4085.33"/>
    <s v="O0"/>
    <s v="6779224500"/>
    <s v=""/>
    <s v="NA"/>
    <s v="1"/>
    <s v="Inbound Handling charges for 31 Mar 2025"/>
    <s v=""/>
    <s v=""/>
    <s v=""/>
    <d v="2025-04-22T00:00:00"/>
    <m/>
    <s v=""/>
  </r>
  <r>
    <s v="Not Selected"/>
    <s v="6779"/>
    <s v="100222332"/>
    <s v="SCOPE LOGISTICS SERVICES INDIA PVT."/>
    <s v="2025"/>
    <s v="4"/>
    <d v="2025-04-22T00:00:00"/>
    <s v="1800007764"/>
    <x v="1"/>
    <x v="13"/>
    <d v="2025-04-23T00:00:00"/>
    <s v="NA"/>
    <s v="256779412655"/>
    <s v="212100"/>
    <s v="Trade Debtors (Ctrl)"/>
    <s v=""/>
    <s v="01"/>
    <s v="USD"/>
    <n v="25"/>
    <s v="INR"/>
    <n v="2173.0500000000002"/>
    <s v="O0"/>
    <s v="6779224500"/>
    <s v=""/>
    <s v="NA"/>
    <s v="1"/>
    <s v="Outbound Handling charges for 31 Mar 25"/>
    <s v=""/>
    <s v=""/>
    <s v=""/>
    <d v="2025-04-22T00:00:00"/>
    <m/>
    <s v=""/>
  </r>
  <r>
    <s v="Not Selected"/>
    <s v="6779"/>
    <s v="100222332"/>
    <s v="SCOPE LOGISTICS SERVICES INDIA PVT."/>
    <s v="2025"/>
    <s v="4"/>
    <d v="2025-04-22T00:00:00"/>
    <s v="1800007784"/>
    <x v="1"/>
    <x v="13"/>
    <d v="2025-04-23T00:00:00"/>
    <s v="NA"/>
    <s v="256779412675"/>
    <s v="212100"/>
    <s v="Trade Debtors (Ctrl)"/>
    <s v=""/>
    <s v="01"/>
    <s v="USD"/>
    <n v="17.350000000000001"/>
    <s v="INR"/>
    <n v="1508.09"/>
    <s v="O0"/>
    <s v="6779224500"/>
    <s v=""/>
    <s v="NA"/>
    <s v="1"/>
    <s v="Inbound Handling chgs for 31 Mar 25"/>
    <s v=""/>
    <s v=""/>
    <s v=""/>
    <d v="2025-04-22T00:00:00"/>
    <m/>
    <s v=""/>
  </r>
  <r>
    <s v="Not Selected"/>
    <s v="6779"/>
    <s v="100222332"/>
    <s v="SCOPE LOGISTICS SERVICES INDIA PVT."/>
    <s v="2025"/>
    <s v="4"/>
    <d v="2025-04-22T00:00:00"/>
    <s v="1800007792"/>
    <x v="1"/>
    <x v="13"/>
    <d v="2025-04-23T00:00:00"/>
    <s v="NA"/>
    <s v="256779412683"/>
    <s v="212100"/>
    <s v="Trade Debtors (Ctrl)"/>
    <s v=""/>
    <s v="01"/>
    <s v="USD"/>
    <n v="517.64"/>
    <s v="INR"/>
    <n v="44994.21"/>
    <s v="O0"/>
    <s v="6779224500"/>
    <s v=""/>
    <s v="NA"/>
    <s v="1"/>
    <s v="Outbound Handling charges for 31 Mar 25"/>
    <s v=""/>
    <s v=""/>
    <s v=""/>
    <d v="2025-04-22T00:00:00"/>
    <m/>
    <s v=""/>
  </r>
  <r>
    <s v="Not Selected"/>
    <s v="6779"/>
    <s v="100222332"/>
    <s v="SCOPE LOGISTICS SERVICES INDIA PVT."/>
    <s v="2025"/>
    <s v="9"/>
    <d v="2025-09-18T00:00:00"/>
    <s v="1800012845"/>
    <x v="1"/>
    <x v="14"/>
    <d v="2025-09-22T00:00:00"/>
    <s v="NA"/>
    <s v="256779417410"/>
    <s v="212100"/>
    <s v="Trade Debtors (Ctrl)"/>
    <s v=""/>
    <s v="01"/>
    <s v="USD"/>
    <n v="371.84"/>
    <s v="INR"/>
    <n v="32541.33"/>
    <s v="O0"/>
    <s v="6779224500"/>
    <s v=""/>
    <s v="2102474"/>
    <s v="1"/>
    <s v="CY - CY Grd Rent Chgs - 01 - 15 SEP 25"/>
    <s v=""/>
    <s v=""/>
    <s v=""/>
    <d v="2025-09-18T00:00:00"/>
    <m/>
    <s v=""/>
  </r>
  <r>
    <s v="Not Selected"/>
    <s v="6779"/>
    <s v="100222332"/>
    <s v="SCOPE LOGISTICS SERVICES INDIA PVT."/>
    <s v="2025"/>
    <s v="9"/>
    <d v="2025-09-18T00:00:00"/>
    <s v="1800012871"/>
    <x v="1"/>
    <x v="14"/>
    <d v="2025-09-22T00:00:00"/>
    <s v="NA"/>
    <s v="256779417489"/>
    <s v="212100"/>
    <s v="Trade Debtors (Ctrl)"/>
    <s v=""/>
    <s v="01"/>
    <s v="USD"/>
    <n v="533.91999999999996"/>
    <s v="INR"/>
    <n v="46725.65"/>
    <s v="O0"/>
    <s v="6779224500"/>
    <s v=""/>
    <s v="2102476"/>
    <s v="1"/>
    <s v="CY Ground rent Chgs - 01 - 15 Sep 25"/>
    <s v=""/>
    <s v=""/>
    <s v=""/>
    <d v="2025-09-18T00:00:00"/>
    <m/>
    <s v=""/>
  </r>
  <r>
    <s v="Not Selected"/>
    <s v="6779"/>
    <s v="100222332"/>
    <s v="SCOPE LOGISTICS SERVICES INDIA PVT."/>
    <s v="2025"/>
    <s v="9"/>
    <d v="2025-09-18T00:00:00"/>
    <s v="1800012990"/>
    <x v="1"/>
    <x v="14"/>
    <d v="2025-09-22T00:00:00"/>
    <s v="NA"/>
    <s v="256779417525"/>
    <s v="212100"/>
    <s v="Trade Debtors (Ctrl)"/>
    <s v=""/>
    <s v="01"/>
    <s v="USD"/>
    <n v="311.37"/>
    <s v="INR"/>
    <n v="27249.34"/>
    <s v="O0"/>
    <s v="6779224500"/>
    <s v=""/>
    <s v="2102483"/>
    <s v="1"/>
    <s v="Outbound chgs - 01 - 15 Sep 25"/>
    <s v=""/>
    <s v=""/>
    <s v=""/>
    <d v="2025-09-18T00:00:00"/>
    <m/>
    <s v=""/>
  </r>
  <r>
    <s v="Not Selected"/>
    <s v="6779"/>
    <s v="100222332"/>
    <s v="SCOPE LOGISTICS SERVICES INDIA PVT."/>
    <s v="2025"/>
    <s v="9"/>
    <d v="2025-09-18T00:00:00"/>
    <s v="1800012927"/>
    <x v="1"/>
    <x v="14"/>
    <d v="2025-09-22T00:00:00"/>
    <s v="NA"/>
    <s v="256779417566"/>
    <s v="212100"/>
    <s v="Trade Debtors (Ctrl)"/>
    <s v=""/>
    <s v="01"/>
    <s v="USD"/>
    <n v="75.5"/>
    <s v="INR"/>
    <n v="6607.33"/>
    <s v="O0"/>
    <s v="6779224500"/>
    <s v=""/>
    <s v="2102480"/>
    <s v="1"/>
    <s v="Inbound chgs - 01 - 15 SEP 25"/>
    <s v=""/>
    <s v=""/>
    <s v=""/>
    <d v="2025-09-18T00:00:00"/>
    <m/>
    <s v=""/>
  </r>
  <r>
    <s v="Not Selected"/>
    <s v="6779"/>
    <s v="100222332"/>
    <s v="SCOPE LOGISTICS SERVICES INDIA PVT."/>
    <s v="2025"/>
    <s v="9"/>
    <d v="2025-09-18T00:00:00"/>
    <s v="1800012943"/>
    <x v="1"/>
    <x v="14"/>
    <d v="2025-09-22T00:00:00"/>
    <s v="NA"/>
    <s v="256779417582"/>
    <s v="212100"/>
    <s v="Trade Debtors (Ctrl)"/>
    <s v=""/>
    <s v="01"/>
    <s v="USD"/>
    <n v="80.8"/>
    <s v="INR"/>
    <n v="7071.16"/>
    <s v="O0"/>
    <s v="6779224500"/>
    <s v=""/>
    <s v="2102527"/>
    <s v="1"/>
    <s v="CODC LCL Chgs -1-15 Sep 25"/>
    <s v=""/>
    <s v=""/>
    <s v=""/>
    <d v="2025-09-18T00:00:00"/>
    <m/>
    <s v=""/>
  </r>
  <r>
    <s v="Not Selected"/>
    <s v="6779"/>
    <s v="100222332"/>
    <s v="SCOPE LOGISTICS SERVICES INDIA PVT."/>
    <s v="2025"/>
    <s v="12"/>
    <d v="2025-12-05T00:00:00"/>
    <s v="1800015346"/>
    <x v="1"/>
    <x v="15"/>
    <d v="2025-12-09T00:00:00"/>
    <s v="NA"/>
    <s v="256779419795"/>
    <s v="212100"/>
    <s v="Trade Debtors (Ctrl)"/>
    <s v=""/>
    <s v="01"/>
    <s v="USD"/>
    <n v="356.26"/>
    <s v="INR"/>
    <n v="31600.31"/>
    <s v="O0"/>
    <s v="6779224500"/>
    <s v=""/>
    <s v="2140068"/>
    <s v="1"/>
    <s v="CY Ground rent Chgs - 16 - 30 Nov 25"/>
    <s v=""/>
    <s v=""/>
    <s v=""/>
    <d v="2025-12-05T00:00:00"/>
    <m/>
    <s v=""/>
  </r>
  <r>
    <s v="Not Selected"/>
    <s v="6779"/>
    <s v="100222332"/>
    <s v="SCOPE LOGISTICS SERVICES INDIA PVT."/>
    <s v="2025"/>
    <s v="12"/>
    <d v="2025-12-05T00:00:00"/>
    <s v="1800015287"/>
    <x v="1"/>
    <x v="15"/>
    <d v="2025-12-09T00:00:00"/>
    <s v="NA"/>
    <s v="256779419916"/>
    <s v="212100"/>
    <s v="Trade Debtors (Ctrl)"/>
    <s v=""/>
    <s v="01"/>
    <s v="USD"/>
    <n v="128.31"/>
    <s v="INR"/>
    <n v="11381.11"/>
    <s v="O0"/>
    <s v="6779224500"/>
    <s v=""/>
    <s v="2140088"/>
    <s v="1"/>
    <s v="Outbound chgs - 16 - 30 Nov 25"/>
    <s v=""/>
    <s v=""/>
    <s v=""/>
    <d v="2025-12-05T00:00:00"/>
    <m/>
    <s v=""/>
  </r>
  <r>
    <s v="Selected"/>
    <s v="6779"/>
    <s v="100222332"/>
    <s v="SCOPE LOGISTICS SERVICES INDIA PVT."/>
    <s v="2025"/>
    <s v="5"/>
    <d v="2025-05-22T00:00:00"/>
    <s v="1600001068"/>
    <x v="0"/>
    <x v="16"/>
    <d v="2025-05-23T00:00:00"/>
    <s v="NA"/>
    <s v="256779420756"/>
    <s v="212100"/>
    <s v="Trade Debtors (Ctrl)"/>
    <s v=""/>
    <s v="11"/>
    <s v="USD"/>
    <n v="-500.63"/>
    <s v="INR"/>
    <n v="-43400.25"/>
    <s v="O0"/>
    <s v="6779224500"/>
    <s v=""/>
    <s v="NA"/>
    <s v="1"/>
    <s v="Credit Note against 246779413088"/>
    <s v=""/>
    <s v=""/>
    <s v=""/>
    <d v="2025-05-22T00:00:00"/>
    <d v="2025-07-04T00:00:00"/>
    <s v="1400000248"/>
  </r>
  <r>
    <s v="Not Selected"/>
    <s v="6779"/>
    <s v="100222332"/>
    <s v="SCOPE LOGISTICS SERVICES INDIA PVT."/>
    <s v="2025"/>
    <s v="4"/>
    <d v="2025-04-23T00:00:00"/>
    <s v="1800008035"/>
    <x v="1"/>
    <x v="17"/>
    <d v="2025-04-29T00:00:00"/>
    <s v="NA"/>
    <s v="256779412926"/>
    <s v="212100"/>
    <s v="Trade Debtors (Ctrl)"/>
    <s v=""/>
    <s v="01"/>
    <s v="USD"/>
    <n v="22.5"/>
    <s v="INR"/>
    <n v="1955.74"/>
    <s v="O0"/>
    <s v="6779224500"/>
    <s v=""/>
    <s v="NA"/>
    <s v="1"/>
    <s v="Outbound chgs - 01 - 15 Apr 25"/>
    <s v=""/>
    <s v=""/>
    <s v=""/>
    <d v="2025-04-23T00:00:00"/>
    <m/>
    <s v=""/>
  </r>
  <r>
    <s v="Not Selected"/>
    <s v="6779"/>
    <s v="100222332"/>
    <s v="SCOPE LOGISTICS SERVICES INDIA PVT."/>
    <s v="2025"/>
    <s v="4"/>
    <d v="2025-04-23T00:00:00"/>
    <s v="1800008050"/>
    <x v="1"/>
    <x v="17"/>
    <d v="2025-04-29T00:00:00"/>
    <s v="NA"/>
    <s v="256779412941"/>
    <s v="212100"/>
    <s v="Trade Debtors (Ctrl)"/>
    <s v=""/>
    <s v="01"/>
    <s v="USD"/>
    <n v="321.75"/>
    <s v="INR"/>
    <n v="27967.1"/>
    <s v="O0"/>
    <s v="6779224500"/>
    <s v=""/>
    <s v="NA"/>
    <s v="1"/>
    <s v="LCL Chgs - 01 - 15 Apr 25"/>
    <s v=""/>
    <s v=""/>
    <s v=""/>
    <d v="2025-04-23T00:00:00"/>
    <m/>
    <s v=""/>
  </r>
  <r>
    <s v="Not Selected"/>
    <s v="6779"/>
    <s v="100222332"/>
    <s v="SCOPE LOGISTICS SERVICES INDIA PVT."/>
    <s v="2025"/>
    <s v="4"/>
    <d v="2025-04-23T00:00:00"/>
    <s v="1800008059"/>
    <x v="1"/>
    <x v="17"/>
    <d v="2025-04-29T00:00:00"/>
    <s v="NA"/>
    <s v="256779412950"/>
    <s v="212100"/>
    <s v="Trade Debtors (Ctrl)"/>
    <s v=""/>
    <s v="01"/>
    <s v="USD"/>
    <n v="155.1"/>
    <s v="INR"/>
    <n v="13481.57"/>
    <s v="O0"/>
    <s v="6779224500"/>
    <s v=""/>
    <s v="NA"/>
    <s v="1"/>
    <s v="Outbound chgs - 01 - 15 Apr 25"/>
    <s v=""/>
    <s v=""/>
    <s v=""/>
    <d v="2025-04-23T00:00:00"/>
    <m/>
    <s v=""/>
  </r>
  <r>
    <s v="Selected"/>
    <s v="6779"/>
    <s v="100222332"/>
    <s v="SCOPE LOGISTICS SERVICES INDIA PVT."/>
    <s v="2025"/>
    <s v="4"/>
    <d v="2025-04-23T00:00:00"/>
    <s v="1800007801"/>
    <x v="1"/>
    <x v="17"/>
    <d v="2025-04-26T00:00:00"/>
    <s v="NA"/>
    <s v="256779412692"/>
    <s v="212100"/>
    <s v="Trade Debtors (Ctrl)"/>
    <s v=""/>
    <s v="01"/>
    <s v="USD"/>
    <n v="70"/>
    <s v="INR"/>
    <n v="6084.53"/>
    <s v="O0"/>
    <s v="6779224500"/>
    <s v=""/>
    <s v="NA"/>
    <s v="1"/>
    <s v="Scanning Chgs - 01 - 15 Apr 25"/>
    <s v=""/>
    <s v=""/>
    <s v=""/>
    <d v="2025-04-23T00:00:00"/>
    <d v="2025-11-15T00:00:00"/>
    <s v="1400001901"/>
  </r>
  <r>
    <s v="Not Selected"/>
    <s v="6779"/>
    <s v="100222332"/>
    <s v="SCOPE LOGISTICS SERVICES INDIA PVT."/>
    <s v="2025"/>
    <s v="2"/>
    <d v="2025-02-21T00:00:00"/>
    <s v="1800000353"/>
    <x v="1"/>
    <x v="18"/>
    <d v="2025-02-28T00:00:00"/>
    <s v="NA"/>
    <s v="246779410327"/>
    <s v="212100"/>
    <s v="Trade Debtors (Ctrl)"/>
    <s v=""/>
    <s v="01"/>
    <s v="USD"/>
    <n v="211.97"/>
    <s v="INR"/>
    <n v="18293.79"/>
    <s v="O0"/>
    <s v="6779224500"/>
    <s v=""/>
    <s v="NA"/>
    <s v="1"/>
    <s v="CY-CY Ground Rent charges for Aug 2024"/>
    <s v=""/>
    <s v=""/>
    <s v=""/>
    <d v="2025-02-21T00:00:00"/>
    <m/>
    <s v=""/>
  </r>
  <r>
    <s v="Not Selected"/>
    <s v="6779"/>
    <s v="100222332"/>
    <s v="SCOPE LOGISTICS SERVICES INDIA PVT."/>
    <s v="2025"/>
    <s v="3"/>
    <d v="2025-03-21T00:00:00"/>
    <s v="1800004449"/>
    <x v="1"/>
    <x v="19"/>
    <d v="2025-03-21T00:00:00"/>
    <s v="NA"/>
    <s v="246779414317"/>
    <s v="212100"/>
    <s v="Trade Debtors (Ctrl)"/>
    <s v=""/>
    <s v="01"/>
    <s v="USD"/>
    <n v="25"/>
    <s v="INR"/>
    <n v="2167.2800000000002"/>
    <s v="O0"/>
    <s v="6779224500"/>
    <s v=""/>
    <s v="NA"/>
    <s v="1"/>
    <s v="Inbound Handling charges for Oct 2024"/>
    <s v=""/>
    <s v=""/>
    <s v=""/>
    <d v="2025-03-21T00:00:00"/>
    <m/>
    <s v=""/>
  </r>
  <r>
    <s v="Not Selected"/>
    <s v="6779"/>
    <s v="100222332"/>
    <s v="SCOPE LOGISTICS SERVICES INDIA PVT."/>
    <s v="2025"/>
    <s v="10"/>
    <d v="2025-10-08T00:00:00"/>
    <s v="1800013487"/>
    <x v="1"/>
    <x v="20"/>
    <d v="2025-10-09T00:00:00"/>
    <s v="NA"/>
    <s v="256779418103"/>
    <s v="212100"/>
    <s v="Trade Debtors (Ctrl)"/>
    <s v=""/>
    <s v="01"/>
    <s v="USD"/>
    <n v="11.26"/>
    <s v="INR"/>
    <n v="993.03"/>
    <s v="O0"/>
    <s v="6779224500"/>
    <s v=""/>
    <s v="2110497"/>
    <s v="1"/>
    <s v="Bond Stamp Paper Chgs 01 - 30 Sep 25"/>
    <s v=""/>
    <s v=""/>
    <s v=""/>
    <d v="2025-10-08T00:00:00"/>
    <m/>
    <s v=""/>
  </r>
  <r>
    <s v="Not Selected"/>
    <s v="6779"/>
    <s v="100222332"/>
    <s v="SCOPE LOGISTICS SERVICES INDIA PVT."/>
    <s v="2025"/>
    <s v="6"/>
    <d v="2025-06-02T00:00:00"/>
    <s v="1800009171"/>
    <x v="1"/>
    <x v="21"/>
    <d v="2025-06-02T00:00:00"/>
    <s v="NA"/>
    <s v="256779413935"/>
    <s v="212100"/>
    <s v="Trade Debtors (Ctrl)"/>
    <s v=""/>
    <s v="01"/>
    <s v="USD"/>
    <n v="590.74"/>
    <s v="INR"/>
    <n v="50502.82"/>
    <s v="O2"/>
    <s v="6779224500"/>
    <s v=""/>
    <s v="NA"/>
    <s v="1"/>
    <s v="Port SSR Charges - Shifting for Aug to D"/>
    <s v=""/>
    <s v=""/>
    <s v=""/>
    <d v="2025-06-02T00:00:00"/>
    <m/>
    <s v=""/>
  </r>
  <r>
    <s v="Not Selected"/>
    <s v="6779"/>
    <s v="100222332"/>
    <s v="SCOPE LOGISTICS SERVICES INDIA PVT."/>
    <s v="2025"/>
    <s v="10"/>
    <d v="2025-10-07T00:00:00"/>
    <s v="1800013747"/>
    <x v="1"/>
    <x v="22"/>
    <d v="2025-10-09T00:00:00"/>
    <s v="NA"/>
    <s v="256779418168"/>
    <s v="212100"/>
    <s v="Trade Debtors (Ctrl)"/>
    <s v=""/>
    <s v="01"/>
    <s v="USD"/>
    <n v="70"/>
    <s v="INR"/>
    <n v="6173.35"/>
    <s v="O0"/>
    <s v="6779224500"/>
    <s v=""/>
    <s v="2110802"/>
    <s v="1"/>
    <s v="Intra - SEZ-16-30 Sept 25"/>
    <s v=""/>
    <s v=""/>
    <s v=""/>
    <d v="2025-10-07T00:00:00"/>
    <m/>
    <s v=""/>
  </r>
  <r>
    <s v="Not Selected"/>
    <s v="6779"/>
    <s v="100222332"/>
    <s v="SCOPE LOGISTICS SERVICES INDIA PVT."/>
    <s v="2025"/>
    <s v="10"/>
    <d v="2025-10-07T00:00:00"/>
    <s v="1800013758"/>
    <x v="1"/>
    <x v="22"/>
    <d v="2025-10-09T00:00:00"/>
    <s v="NA"/>
    <s v="256779418179"/>
    <s v="212100"/>
    <s v="Trade Debtors (Ctrl)"/>
    <s v=""/>
    <s v="01"/>
    <s v="USD"/>
    <n v="528.99"/>
    <s v="INR"/>
    <n v="46652.04"/>
    <s v="O0"/>
    <s v="6779224500"/>
    <s v=""/>
    <s v="2110802"/>
    <s v="1"/>
    <s v="VAS-16-30 Sept 25"/>
    <s v=""/>
    <s v=""/>
    <s v=""/>
    <d v="2025-10-07T00:00:00"/>
    <m/>
    <s v=""/>
  </r>
  <r>
    <s v="Not Selected"/>
    <s v="6779"/>
    <s v="100222332"/>
    <s v="SCOPE LOGISTICS SERVICES INDIA PVT."/>
    <s v="2025"/>
    <s v="7"/>
    <d v="2025-07-19T00:00:00"/>
    <s v="1800011011"/>
    <x v="1"/>
    <x v="23"/>
    <d v="2025-07-21T00:00:00"/>
    <s v="NA"/>
    <s v="256779415771"/>
    <s v="212100"/>
    <s v="Trade Debtors (Ctrl)"/>
    <s v=""/>
    <s v="01"/>
    <s v="USD"/>
    <n v="30.76"/>
    <s v="INR"/>
    <n v="2645.38"/>
    <s v="O0"/>
    <s v="6779224500"/>
    <s v=""/>
    <s v="NA"/>
    <s v="1"/>
    <s v="VAS - 1-15 July 25"/>
    <s v=""/>
    <s v=""/>
    <s v=""/>
    <d v="2025-07-19T00:00:00"/>
    <m/>
    <s v=""/>
  </r>
  <r>
    <s v="Not Selected"/>
    <s v="6779"/>
    <s v="100222332"/>
    <s v="SCOPE LOGISTICS SERVICES INDIA PVT."/>
    <s v="2025"/>
    <s v="5"/>
    <d v="2025-05-10T00:00:00"/>
    <s v="1800008243"/>
    <x v="1"/>
    <x v="24"/>
    <d v="2025-05-14T00:00:00"/>
    <s v="NA"/>
    <s v="256779413127"/>
    <s v="212100"/>
    <s v="Trade Debtors (Ctrl)"/>
    <s v=""/>
    <s v="01"/>
    <s v="USD"/>
    <n v="456.75"/>
    <s v="INR"/>
    <n v="39273.050000000003"/>
    <s v="O0"/>
    <s v="6779224500"/>
    <s v=""/>
    <s v="NA"/>
    <s v="1"/>
    <s v="Fixed Storage Charges fo MAY 2025"/>
    <s v=""/>
    <s v=""/>
    <s v=""/>
    <d v="2025-05-10T00:00:00"/>
    <m/>
    <s v=""/>
  </r>
  <r>
    <s v="Not Selected"/>
    <s v="6779"/>
    <s v="100222332"/>
    <s v="SCOPE LOGISTICS SERVICES INDIA PVT."/>
    <s v="2025"/>
    <s v="5"/>
    <d v="2025-05-10T00:00:00"/>
    <s v="1800008280"/>
    <x v="1"/>
    <x v="24"/>
    <d v="2025-05-15T00:00:00"/>
    <s v="NA"/>
    <s v="256779413163"/>
    <s v="212100"/>
    <s v="Trade Debtors (Ctrl)"/>
    <s v=""/>
    <s v="01"/>
    <s v="USD"/>
    <n v="190.35"/>
    <s v="INR"/>
    <n v="16367"/>
    <s v="O0"/>
    <s v="6779224500"/>
    <s v=""/>
    <s v="NA"/>
    <s v="1"/>
    <s v="CODC Inbound chgs - 16 - 30 Apr 25"/>
    <s v=""/>
    <s v=""/>
    <s v=""/>
    <d v="2025-05-10T00:00:00"/>
    <m/>
    <s v=""/>
  </r>
  <r>
    <s v="Not Selected"/>
    <s v="6779"/>
    <s v="100222332"/>
    <s v="SCOPE LOGISTICS SERVICES INDIA PVT."/>
    <s v="2025"/>
    <s v="5"/>
    <d v="2025-05-10T00:00:00"/>
    <s v="1800008289"/>
    <x v="1"/>
    <x v="24"/>
    <d v="2025-05-15T00:00:00"/>
    <s v="NA"/>
    <s v="256779413172"/>
    <s v="212100"/>
    <s v="Trade Debtors (Ctrl)"/>
    <s v=""/>
    <s v="01"/>
    <s v="USD"/>
    <n v="138.65"/>
    <s v="INR"/>
    <n v="11921.64"/>
    <s v="O0"/>
    <s v="6779224500"/>
    <s v=""/>
    <s v="NA"/>
    <s v="1"/>
    <s v="CODC Out chgs - 16 - 30 Apr 25"/>
    <s v=""/>
    <s v=""/>
    <s v=""/>
    <d v="2025-05-10T00:00:00"/>
    <m/>
    <s v=""/>
  </r>
  <r>
    <s v="Not Selected"/>
    <s v="6779"/>
    <s v="100222332"/>
    <s v="SCOPE LOGISTICS SERVICES INDIA PVT."/>
    <s v="2025"/>
    <s v="5"/>
    <d v="2025-05-10T00:00:00"/>
    <s v="1800008301"/>
    <x v="1"/>
    <x v="24"/>
    <d v="2025-05-15T00:00:00"/>
    <s v="NA"/>
    <s v="256779413184"/>
    <s v="212100"/>
    <s v="Trade Debtors (Ctrl)"/>
    <s v=""/>
    <s v="01"/>
    <s v="USD"/>
    <n v="151.34"/>
    <s v="INR"/>
    <n v="13012.77"/>
    <s v="O0"/>
    <s v="6779224500"/>
    <s v=""/>
    <s v="NA"/>
    <s v="1"/>
    <s v="CY Ground rent Chgs - 01 - 30 Apr 25"/>
    <s v=""/>
    <s v=""/>
    <s v=""/>
    <d v="2025-05-10T00:00:00"/>
    <m/>
    <s v=""/>
  </r>
  <r>
    <s v="Not Selected"/>
    <s v="6779"/>
    <s v="100222332"/>
    <s v="SCOPE LOGISTICS SERVICES INDIA PVT."/>
    <s v="2025"/>
    <s v="5"/>
    <d v="2025-05-10T00:00:00"/>
    <s v="1800008360"/>
    <x v="1"/>
    <x v="24"/>
    <d v="2025-05-15T00:00:00"/>
    <s v="NA"/>
    <s v="256779413243"/>
    <s v="212100"/>
    <s v="Trade Debtors (Ctrl)"/>
    <s v=""/>
    <s v="01"/>
    <s v="USD"/>
    <n v="42.53"/>
    <s v="INR"/>
    <n v="3656.89"/>
    <s v="O0"/>
    <s v="6779224500"/>
    <s v=""/>
    <s v="NA"/>
    <s v="1"/>
    <s v="VAS - 16-30 April 25, Ex.Rate-85.05"/>
    <s v=""/>
    <s v=""/>
    <s v=""/>
    <d v="2025-05-10T00:00:00"/>
    <m/>
    <s v=""/>
  </r>
  <r>
    <s v="Not Selected"/>
    <s v="6779"/>
    <s v="100222332"/>
    <s v="SCOPE LOGISTICS SERVICES INDIA PVT."/>
    <s v="2025"/>
    <s v="12"/>
    <d v="2025-12-06T00:00:00"/>
    <s v="1800015437"/>
    <x v="1"/>
    <x v="25"/>
    <d v="2025-12-09T00:00:00"/>
    <s v="NA"/>
    <s v="256779419933"/>
    <s v="212100"/>
    <s v="Trade Debtors (Ctrl)"/>
    <s v=""/>
    <s v="01"/>
    <s v="USD"/>
    <n v="131.26"/>
    <s v="INR"/>
    <n v="11642.78"/>
    <s v="O0"/>
    <s v="6779224500"/>
    <s v=""/>
    <s v="2140454"/>
    <s v="1"/>
    <s v="CY - CY Grd Rent Chgs - 16 - 30 Nov 25"/>
    <s v=""/>
    <s v=""/>
    <s v=""/>
    <d v="2025-12-06T00:00:00"/>
    <m/>
    <s v=""/>
  </r>
  <r>
    <s v="Not Selected"/>
    <s v="6779"/>
    <s v="100222332"/>
    <s v="SCOPE LOGISTICS SERVICES INDIA PVT."/>
    <s v="2025"/>
    <s v="12"/>
    <d v="2025-12-06T00:00:00"/>
    <s v="1800015473"/>
    <x v="1"/>
    <x v="25"/>
    <d v="2025-12-09T00:00:00"/>
    <s v="NA"/>
    <s v="256779419990"/>
    <s v="212100"/>
    <s v="Trade Debtors (Ctrl)"/>
    <s v=""/>
    <s v="01"/>
    <s v="USD"/>
    <n v="429.75"/>
    <s v="INR"/>
    <n v="38118.89"/>
    <s v="O0"/>
    <s v="6779224500"/>
    <s v=""/>
    <s v="2140458"/>
    <s v="1"/>
    <s v="PORT SSR Chgs Nov 25"/>
    <s v=""/>
    <s v=""/>
    <s v=""/>
    <d v="2025-12-06T00:00:00"/>
    <m/>
    <s v=""/>
  </r>
  <r>
    <s v="Not Selected"/>
    <s v="6779"/>
    <s v="100222332"/>
    <s v="SCOPE LOGISTICS SERVICES INDIA PVT."/>
    <s v="2025"/>
    <s v="10"/>
    <d v="2025-10-18T00:00:00"/>
    <s v="1800014004"/>
    <x v="1"/>
    <x v="26"/>
    <d v="2025-10-21T00:00:00"/>
    <s v="NA"/>
    <s v="256779418428"/>
    <s v="212100"/>
    <s v="Trade Debtors (Ctrl)"/>
    <s v=""/>
    <s v="01"/>
    <s v="USD"/>
    <n v="32.9"/>
    <s v="INR"/>
    <n v="2901.48"/>
    <s v="O0"/>
    <s v="6779224500"/>
    <s v=""/>
    <s v="2114864"/>
    <s v="1"/>
    <s v="CODC Inbound chgs - 1-15 Oct 25"/>
    <s v=""/>
    <s v=""/>
    <s v=""/>
    <d v="2025-10-18T00:00:00"/>
    <m/>
    <s v=""/>
  </r>
  <r>
    <s v="Not Selected"/>
    <s v="6779"/>
    <s v="100222332"/>
    <s v="SCOPE LOGISTICS SERVICES INDIA PVT."/>
    <s v="2025"/>
    <s v="10"/>
    <d v="2025-10-18T00:00:00"/>
    <s v="1800014145"/>
    <x v="1"/>
    <x v="26"/>
    <d v="2025-10-21T00:00:00"/>
    <s v="NA"/>
    <s v="256779418437"/>
    <s v="212100"/>
    <s v="Trade Debtors (Ctrl)"/>
    <s v=""/>
    <s v="01"/>
    <s v="USD"/>
    <n v="79.900000000000006"/>
    <s v="INR"/>
    <n v="7046.44"/>
    <s v="O0"/>
    <s v="6779224500"/>
    <s v=""/>
    <s v="2114865"/>
    <s v="1"/>
    <s v="CODC Out chgs -1-15 Oct 25"/>
    <s v=""/>
    <s v=""/>
    <s v=""/>
    <d v="2025-10-18T00:00:00"/>
    <m/>
    <s v=""/>
  </r>
  <r>
    <s v="Not Selected"/>
    <s v="6779"/>
    <s v="100222332"/>
    <s v="SCOPE LOGISTICS SERVICES INDIA PVT."/>
    <s v="2025"/>
    <s v="6"/>
    <d v="2025-06-07T00:00:00"/>
    <s v="1800009478"/>
    <x v="1"/>
    <x v="27"/>
    <d v="2025-06-09T00:00:00"/>
    <s v="NA"/>
    <s v="256779414242"/>
    <s v="212100"/>
    <s v="Trade Debtors (Ctrl)"/>
    <s v=""/>
    <s v="01"/>
    <s v="USD"/>
    <n v="4585.18"/>
    <s v="INR"/>
    <n v="391990.61"/>
    <s v="O0"/>
    <s v="6779224500"/>
    <s v=""/>
    <s v="NA"/>
    <s v="1"/>
    <s v="Unit storage -1-31 May 25"/>
    <s v=""/>
    <s v=""/>
    <s v=""/>
    <d v="2025-06-07T00:00:00"/>
    <m/>
    <s v=""/>
  </r>
  <r>
    <s v="Not Selected"/>
    <s v="6779"/>
    <s v="100222332"/>
    <s v="SCOPE LOGISTICS SERVICES INDIA PVT."/>
    <s v="2025"/>
    <s v="10"/>
    <d v="2025-10-06T00:00:00"/>
    <s v="1800013274"/>
    <x v="1"/>
    <x v="28"/>
    <d v="2025-10-07T00:00:00"/>
    <s v="NA"/>
    <s v="256779418010"/>
    <s v="212100"/>
    <s v="Trade Debtors (Ctrl)"/>
    <s v=""/>
    <s v="01"/>
    <s v="USD"/>
    <n v="8566.5"/>
    <s v="INR"/>
    <n v="755486.23"/>
    <s v="O0"/>
    <s v="6779224500"/>
    <s v=""/>
    <s v="2110511"/>
    <s v="1"/>
    <s v="Unit Storage - 1-30 Sept 2025"/>
    <s v=""/>
    <s v=""/>
    <s v=""/>
    <d v="2025-10-06T00:00:00"/>
    <m/>
    <s v=""/>
  </r>
  <r>
    <s v="Not Selected"/>
    <s v="6779"/>
    <s v="100222332"/>
    <s v="SCOPE LOGISTICS SERVICES INDIA PVT."/>
    <s v="2025"/>
    <s v="10"/>
    <d v="2025-10-05T00:00:00"/>
    <s v="1800013343"/>
    <x v="1"/>
    <x v="29"/>
    <d v="2025-10-07T00:00:00"/>
    <s v="NA"/>
    <s v="256779417939"/>
    <s v="212100"/>
    <s v="Trade Debtors (Ctrl)"/>
    <s v=""/>
    <s v="01"/>
    <s v="USD"/>
    <n v="445.35"/>
    <s v="INR"/>
    <n v="39275.760000000002"/>
    <s v="O0"/>
    <s v="6779224500"/>
    <s v=""/>
    <s v="NA"/>
    <s v="1"/>
    <s v="Inbound chgs - 16 - 30 SEP 25"/>
    <s v=""/>
    <s v=""/>
    <s v=""/>
    <d v="2025-10-05T00:00:00"/>
    <m/>
    <s v=""/>
  </r>
  <r>
    <s v="Not Selected"/>
    <s v="6779"/>
    <s v="100222332"/>
    <s v="SCOPE LOGISTICS SERVICES INDIA PVT."/>
    <s v="2025"/>
    <s v="10"/>
    <d v="2025-10-05T00:00:00"/>
    <s v="1800013382"/>
    <x v="1"/>
    <x v="29"/>
    <d v="2025-10-07T00:00:00"/>
    <s v="NA"/>
    <s v="256779417978"/>
    <s v="212100"/>
    <s v="Trade Debtors (Ctrl)"/>
    <s v=""/>
    <s v="01"/>
    <s v="USD"/>
    <n v="582.79999999999995"/>
    <s v="INR"/>
    <n v="51397.58"/>
    <s v="O0"/>
    <s v="6779224500"/>
    <s v=""/>
    <s v="2110504"/>
    <s v="1"/>
    <s v="Outbound chgs - 16 - 30 Sep 25"/>
    <s v=""/>
    <s v=""/>
    <s v=""/>
    <d v="2025-10-05T00:00:00"/>
    <m/>
    <s v=""/>
  </r>
  <r>
    <s v="Not Selected"/>
    <s v="6779"/>
    <s v="100222332"/>
    <s v="SCOPE LOGISTICS SERVICES INDIA PVT."/>
    <s v="2025"/>
    <s v="10"/>
    <d v="2025-10-05T00:00:00"/>
    <s v="1800013460"/>
    <x v="1"/>
    <x v="29"/>
    <d v="2025-10-07T00:00:00"/>
    <s v="NA"/>
    <s v="256779418036"/>
    <s v="212100"/>
    <s v="Trade Debtors (Ctrl)"/>
    <s v=""/>
    <s v="01"/>
    <s v="USD"/>
    <n v="456.75"/>
    <s v="INR"/>
    <n v="40281.129999999997"/>
    <s v="O0"/>
    <s v="6779224500"/>
    <s v=""/>
    <s v="2110508"/>
    <s v="1"/>
    <s v="Fixed Storage Charges for October 2025"/>
    <s v=""/>
    <s v=""/>
    <s v=""/>
    <d v="2025-10-05T00:00:00"/>
    <m/>
    <s v=""/>
  </r>
  <r>
    <s v="Not Selected"/>
    <s v="6779"/>
    <s v="100222332"/>
    <s v="SCOPE LOGISTICS SERVICES INDIA PVT."/>
    <s v="2025"/>
    <s v="10"/>
    <d v="2025-10-05T00:00:00"/>
    <s v="1800013478"/>
    <x v="1"/>
    <x v="29"/>
    <d v="2025-10-07T00:00:00"/>
    <s v="NA"/>
    <s v="256779418094"/>
    <s v="212100"/>
    <s v="Trade Debtors (Ctrl)"/>
    <s v=""/>
    <s v="01"/>
    <s v="USD"/>
    <n v="771.74"/>
    <s v="INR"/>
    <n v="68060.34"/>
    <s v="O0"/>
    <s v="6779224500"/>
    <s v=""/>
    <s v="2110489"/>
    <s v="1"/>
    <s v="CY Ground rent Chgs - 16 - 30 Sep 25"/>
    <s v=""/>
    <s v=""/>
    <s v=""/>
    <d v="2025-10-05T00:00:00"/>
    <m/>
    <s v=""/>
  </r>
  <r>
    <s v="Not Selected"/>
    <s v="6779"/>
    <s v="100222332"/>
    <s v="SCOPE LOGISTICS SERVICES INDIA PVT."/>
    <s v="2025"/>
    <s v="10"/>
    <d v="2025-10-05T00:00:00"/>
    <s v="1800013509"/>
    <x v="1"/>
    <x v="29"/>
    <d v="2025-10-10T00:00:00"/>
    <s v="NA"/>
    <s v="256779418399"/>
    <s v="212100"/>
    <s v="Trade Debtors (Ctrl)"/>
    <s v=""/>
    <s v="01"/>
    <s v="USD"/>
    <n v="1432.98"/>
    <s v="INR"/>
    <n v="126375.61"/>
    <s v="O0"/>
    <s v="6779224500"/>
    <s v=""/>
    <s v="2110981"/>
    <s v="1"/>
    <s v="PORT SSR Chgs Sep 25"/>
    <s v=""/>
    <s v=""/>
    <s v=""/>
    <d v="2025-10-05T00:00:00"/>
    <m/>
    <s v=""/>
  </r>
  <r>
    <s v="Selected"/>
    <s v="6779"/>
    <s v="100222332"/>
    <s v="SCOPE LOGISTICS SERVICES INDIA PVT."/>
    <s v="2025"/>
    <s v="10"/>
    <d v="2025-10-05T00:00:00"/>
    <s v="1800013428"/>
    <x v="1"/>
    <x v="29"/>
    <d v="2025-10-07T00:00:00"/>
    <s v="NA"/>
    <s v="256779418075"/>
    <s v="212100"/>
    <s v="Trade Debtors (Ctrl)"/>
    <s v=""/>
    <s v="01"/>
    <s v="USD"/>
    <n v="582.79999999999995"/>
    <s v="INR"/>
    <n v="51397.58"/>
    <s v="O0"/>
    <s v="6779224500"/>
    <s v=""/>
    <s v="2110503"/>
    <s v="1"/>
    <s v="Outbound chgs - 16 - 30 Sep 25"/>
    <s v=""/>
    <s v=""/>
    <s v=""/>
    <d v="2025-10-05T00:00:00"/>
    <d v="2025-11-15T00:00:00"/>
    <s v="1400001901"/>
  </r>
  <r>
    <s v="Not Selected"/>
    <s v="6779"/>
    <s v="100222332"/>
    <s v="SCOPE LOGISTICS SERVICES INDIA PVT."/>
    <s v="2025"/>
    <s v="9"/>
    <d v="2025-09-06T00:00:00"/>
    <s v="1800012476"/>
    <x v="1"/>
    <x v="30"/>
    <d v="2025-09-09T00:00:00"/>
    <s v="NA"/>
    <s v="256779417084"/>
    <s v="212100"/>
    <s v="Trade Debtors (Ctrl)"/>
    <s v=""/>
    <s v="01"/>
    <s v="USD"/>
    <n v="8832.14"/>
    <s v="INR"/>
    <n v="772938.81"/>
    <s v="O0"/>
    <s v="6779224500"/>
    <s v=""/>
    <s v="NA"/>
    <s v="1"/>
    <s v="Unit-Storage-1-31 Aug 25"/>
    <s v=""/>
    <s v=""/>
    <s v=""/>
    <d v="2025-09-06T00:00:00"/>
    <m/>
    <s v=""/>
  </r>
  <r>
    <s v="Selected"/>
    <s v="6779"/>
    <s v="100222332"/>
    <s v="SCOPE LOGISTICS SERVICES INDIA PVT."/>
    <s v="2025"/>
    <s v="5"/>
    <d v="2025-05-18T00:00:00"/>
    <s v="1800009097"/>
    <x v="1"/>
    <x v="31"/>
    <d v="2025-05-28T00:00:00"/>
    <s v="NA"/>
    <s v="256779413861"/>
    <s v="212100"/>
    <s v="Trade Debtors (Ctrl)"/>
    <s v=""/>
    <s v="01"/>
    <s v="USD"/>
    <n v="140"/>
    <s v="INR"/>
    <n v="12037.72"/>
    <s v="O0"/>
    <s v="6779224500"/>
    <s v=""/>
    <s v="NA"/>
    <s v="1"/>
    <s v="Scanning  Chgs - 01 - 15 May 25"/>
    <s v=""/>
    <s v=""/>
    <s v=""/>
    <d v="2025-05-18T00:00:00"/>
    <d v="2025-11-15T00:00:00"/>
    <s v="1400001901"/>
  </r>
  <r>
    <s v="Not Selected"/>
    <s v="6779"/>
    <s v="100222332"/>
    <s v="SCOPE LOGISTICS SERVICES INDIA PVT."/>
    <s v="2026"/>
    <s v="1"/>
    <d v="2026-01-02T00:00:00"/>
    <s v="1800015671"/>
    <x v="1"/>
    <x v="32"/>
    <d v="2026-01-02T00:00:00"/>
    <s v="NA"/>
    <s v="256779440004"/>
    <s v="212100"/>
    <s v="Trade Debtors (Ctrl)"/>
    <s v=""/>
    <s v="01"/>
    <s v="USD"/>
    <n v="7039.11"/>
    <s v="INR"/>
    <n v="638750.93999999994"/>
    <s v="O0"/>
    <s v="6779224500"/>
    <s v=""/>
    <s v="2139799"/>
    <s v="1"/>
    <s v="Unit Storage - 1-30 Nov 2025"/>
    <s v=""/>
    <s v=""/>
    <s v=""/>
    <d v="2026-01-02T00:00:00"/>
    <m/>
    <s v=""/>
  </r>
  <r>
    <s v="Not Selected"/>
    <s v="6779"/>
    <s v="100222332"/>
    <s v="SCOPE LOGISTICS SERVICES INDIA PVT."/>
    <s v="2026"/>
    <s v="1"/>
    <d v="2026-01-02T00:00:00"/>
    <s v="1800015708"/>
    <x v="1"/>
    <x v="32"/>
    <d v="2026-01-02T00:00:00"/>
    <s v="NA"/>
    <s v="256779440041"/>
    <s v="212100"/>
    <s v="Trade Debtors (Ctrl)"/>
    <s v=""/>
    <s v="01"/>
    <s v="USD"/>
    <n v="456.75"/>
    <s v="INR"/>
    <n v="41446.93"/>
    <s v="O0"/>
    <s v="6779224500"/>
    <s v=""/>
    <s v="2139805"/>
    <s v="1"/>
    <s v="Fixed Storage Charges for December 2025"/>
    <s v=""/>
    <s v=""/>
    <s v=""/>
    <d v="2026-01-02T00:00:00"/>
    <m/>
    <s v=""/>
  </r>
  <r>
    <s v="Not Selected"/>
    <s v="6779"/>
    <s v="100222332"/>
    <s v="SCOPE LOGISTICS SERVICES INDIA PVT."/>
    <s v="2026"/>
    <s v="1"/>
    <d v="2026-01-05T00:00:00"/>
    <s v="1800015801"/>
    <x v="1"/>
    <x v="33"/>
    <d v="2026-01-05T00:00:00"/>
    <s v="NA"/>
    <s v="256779440051"/>
    <s v="212100"/>
    <s v="Trade Debtors (Ctrl)"/>
    <s v=""/>
    <s v="01"/>
    <s v="USD"/>
    <n v="358.14"/>
    <s v="INR"/>
    <n v="32498.75"/>
    <s v="O0"/>
    <s v="6779224500"/>
    <s v=""/>
    <s v="2156176"/>
    <s v="1"/>
    <s v="CY Ground rent Chgs - 01 - 15 Dec 25"/>
    <s v=""/>
    <s v=""/>
    <s v=""/>
    <d v="2026-01-05T00:00:00"/>
    <m/>
    <s v=""/>
  </r>
  <r>
    <s v="Not Selected"/>
    <s v="6779"/>
    <s v="100222332"/>
    <s v="SCOPE LOGISTICS SERVICES INDIA PVT."/>
    <s v="2026"/>
    <s v="1"/>
    <d v="2026-01-05T00:00:00"/>
    <s v="1600002697"/>
    <x v="0"/>
    <x v="33"/>
    <d v="2026-01-05T00:00:00"/>
    <s v="NA"/>
    <s v="256779422167"/>
    <s v="212100"/>
    <s v="Trade Debtors (Ctrl)"/>
    <s v=""/>
    <s v="11"/>
    <s v="USD"/>
    <n v="-3.4"/>
    <s v="INR"/>
    <n v="-308.52999999999997"/>
    <s v="O0"/>
    <s v="6779224500"/>
    <s v=""/>
    <s v="2141835"/>
    <s v="1"/>
    <s v="Credit note for Duplicate invoice -256779418492"/>
    <s v=""/>
    <s v=""/>
    <s v=""/>
    <d v="2026-01-05T00:00:00"/>
    <m/>
    <s v=""/>
  </r>
  <r>
    <s v="Not Selected"/>
    <s v="6779"/>
    <s v="100222332"/>
    <s v="SCOPE LOGISTICS SERVICES INDIA PVT."/>
    <s v="2026"/>
    <s v="1"/>
    <d v="2026-01-05T00:00:00"/>
    <s v="1800015985"/>
    <x v="1"/>
    <x v="33"/>
    <d v="2026-01-05T00:00:00"/>
    <s v="NA"/>
    <s v="256779440069"/>
    <s v="212100"/>
    <s v="Trade Debtors (Ctrl)"/>
    <s v=""/>
    <s v="01"/>
    <s v="USD"/>
    <n v="11.75"/>
    <s v="INR"/>
    <n v="1066.23"/>
    <s v="O0"/>
    <s v="6779224500"/>
    <s v=""/>
    <s v="2156172"/>
    <s v="1"/>
    <s v="CODC Out chgs -1-15 Dec 25"/>
    <s v=""/>
    <s v=""/>
    <s v=""/>
    <d v="2026-01-05T00:00:00"/>
    <m/>
    <s v=""/>
  </r>
  <r>
    <s v="Not Selected"/>
    <s v="6779"/>
    <s v="100222332"/>
    <s v="SCOPE LOGISTICS SERVICES INDIA PVT."/>
    <s v="2026"/>
    <s v="1"/>
    <d v="2026-01-05T00:00:00"/>
    <s v="1800015963"/>
    <x v="1"/>
    <x v="33"/>
    <d v="2026-01-05T00:00:00"/>
    <s v="2156419"/>
    <s v="256779440080"/>
    <s v="212100"/>
    <s v="Trade Debtors (Ctrl)"/>
    <s v=""/>
    <s v="01"/>
    <s v="USD"/>
    <n v="41.46"/>
    <s v="INR"/>
    <n v="3762.21"/>
    <s v="O0"/>
    <s v="6779224500"/>
    <s v=""/>
    <s v="NA"/>
    <s v="1"/>
    <s v="Outbound chgs - 01 - 15 Dec 25"/>
    <s v=""/>
    <s v=""/>
    <s v=""/>
    <d v="2026-01-05T00:00:00"/>
    <m/>
    <s v=""/>
  </r>
  <r>
    <s v="Not Selected"/>
    <s v="6779"/>
    <s v="100222332"/>
    <s v="SCOPE LOGISTICS SERVICES INDIA PVT."/>
    <s v="2026"/>
    <s v="1"/>
    <d v="2026-01-05T00:00:00"/>
    <s v="1800016087"/>
    <x v="1"/>
    <x v="33"/>
    <d v="2026-01-05T00:00:00"/>
    <s v="2156406"/>
    <s v="256779440118"/>
    <s v="212100"/>
    <s v="Trade Debtors (Ctrl)"/>
    <s v=""/>
    <s v="01"/>
    <s v="USD"/>
    <n v="99"/>
    <s v="INR"/>
    <n v="8983.57"/>
    <s v="O0"/>
    <s v="6779224500"/>
    <s v=""/>
    <s v="NA"/>
    <s v="1"/>
    <s v="Gate IN Chgs - 01 - 15 NOV 25"/>
    <s v=""/>
    <s v=""/>
    <s v=""/>
    <d v="2026-01-05T00:00:00"/>
    <m/>
    <s v=""/>
  </r>
  <r>
    <s v="Not Selected"/>
    <s v="6779"/>
    <s v="100222332"/>
    <s v="SCOPE LOGISTICS SERVICES INDIA PVT."/>
    <s v="2026"/>
    <s v="1"/>
    <d v="2026-01-05T00:00:00"/>
    <s v="1800016101"/>
    <x v="1"/>
    <x v="33"/>
    <d v="2026-01-05T00:00:00"/>
    <s v="NA"/>
    <s v="256779440122"/>
    <s v="212100"/>
    <s v="Trade Debtors (Ctrl)"/>
    <s v=""/>
    <s v="01"/>
    <s v="USD"/>
    <n v="123.27"/>
    <s v="INR"/>
    <n v="11185.91"/>
    <s v="O0"/>
    <s v="6779224500"/>
    <s v=""/>
    <s v="2156175"/>
    <s v="1"/>
    <s v="CY - CY Grd Rent Chgs - 01 - 15 Dec 25"/>
    <s v=""/>
    <s v=""/>
    <s v=""/>
    <d v="2026-01-05T00:00:00"/>
    <m/>
    <s v=""/>
  </r>
  <r>
    <s v="Not Selected"/>
    <s v="6779"/>
    <s v="100222332"/>
    <s v="SCOPE LOGISTICS SERVICES INDIA PVT."/>
    <s v="2026"/>
    <s v="1"/>
    <d v="2026-01-08T00:00:00"/>
    <s v="1400002411"/>
    <x v="2"/>
    <x v="34"/>
    <d v="2026-01-08T00:00:00"/>
    <s v="GDNTMR6FG651"/>
    <s v=""/>
    <s v="212100"/>
    <s v="Trade Debtors (Ctrl)"/>
    <s v=""/>
    <s v="15"/>
    <s v="INR"/>
    <n v="-500000"/>
    <s v="INR"/>
    <n v="-500000"/>
    <s v=""/>
    <s v="6779220000"/>
    <s v=""/>
    <s v=""/>
    <s v="2"/>
    <s v=""/>
    <s v=""/>
    <s v=""/>
    <s v=""/>
    <d v="2026-01-08T00:00:00"/>
    <m/>
    <s v=""/>
  </r>
  <r>
    <s v="Not Selected"/>
    <s v="6779"/>
    <s v="100222332"/>
    <s v="SCOPE LOGISTICS SERVICES INDIA PVT."/>
    <s v="2026"/>
    <s v="1"/>
    <d v="2026-01-09T00:00:00"/>
    <s v="1800016160"/>
    <x v="1"/>
    <x v="35"/>
    <d v="2026-01-09T00:00:00"/>
    <s v="NA"/>
    <s v="256779440130"/>
    <s v="212100"/>
    <s v="Trade Debtors (Ctrl)"/>
    <s v=""/>
    <s v="01"/>
    <s v="USD"/>
    <n v="16.45"/>
    <s v="INR"/>
    <n v="1492.72"/>
    <s v="O0"/>
    <s v="6779224500"/>
    <s v=""/>
    <s v="NA"/>
    <s v="1"/>
    <s v="CODC Out chgs -1-15 Nov 25"/>
    <s v=""/>
    <s v=""/>
    <s v=""/>
    <d v="2026-01-09T00:00:00"/>
    <m/>
    <s v=""/>
  </r>
  <r>
    <s v="Not Selected"/>
    <s v="6779"/>
    <s v="100222332"/>
    <s v="SCOPE LOGISTICS SERVICES INDIA PVT."/>
    <s v="2026"/>
    <s v="1"/>
    <d v="2026-01-06T00:00:00"/>
    <s v="1800016202"/>
    <x v="1"/>
    <x v="36"/>
    <d v="2026-01-09T00:00:00"/>
    <s v="2158349"/>
    <s v="256779440143"/>
    <s v="212100"/>
    <s v="Trade Debtors (Ctrl)"/>
    <s v=""/>
    <s v="01"/>
    <s v="USD"/>
    <n v="360.75"/>
    <s v="INR"/>
    <n v="32735.59"/>
    <s v="O0"/>
    <s v="6779224500"/>
    <s v=""/>
    <s v="NA"/>
    <s v="1"/>
    <s v="CY - CY Grd Rent Chgs - 16 - 31 Dec 25"/>
    <s v=""/>
    <s v=""/>
    <s v=""/>
    <d v="2026-01-06T00:00:00"/>
    <m/>
    <s v=""/>
  </r>
  <r>
    <s v="Not Selected"/>
    <s v="6779"/>
    <s v="100222332"/>
    <s v="SCOPE LOGISTICS SERVICES INDIA PVT."/>
    <s v="2026"/>
    <s v="1"/>
    <d v="2026-01-06T00:00:00"/>
    <s v="1800016282"/>
    <x v="1"/>
    <x v="36"/>
    <d v="2026-01-09T00:00:00"/>
    <s v="2158342"/>
    <s v="256779440162"/>
    <s v="212100"/>
    <s v="Trade Debtors (Ctrl)"/>
    <s v=""/>
    <s v="01"/>
    <s v="USD"/>
    <n v="505.46"/>
    <s v="INR"/>
    <n v="45867.03"/>
    <s v="O0"/>
    <s v="6779224500"/>
    <s v=""/>
    <s v="NA"/>
    <s v="1"/>
    <s v="PORT SSR Chgs Dec 25"/>
    <s v=""/>
    <s v=""/>
    <s v=""/>
    <d v="2026-01-06T00:00:00"/>
    <m/>
    <s v=""/>
  </r>
  <r>
    <s v="Not Selected"/>
    <s v="6779"/>
    <s v="100222332"/>
    <s v="SCOPE LOGISTICS SERVICES INDIA PVT."/>
    <s v="2026"/>
    <s v="1"/>
    <d v="2026-01-12T00:00:00"/>
    <s v="1800016314"/>
    <x v="1"/>
    <x v="37"/>
    <d v="2026-01-12T00:00:00"/>
    <s v="2158392"/>
    <s v="256779440167"/>
    <s v="212100"/>
    <s v="Trade Debtors (Ctrl)"/>
    <s v=""/>
    <s v="01"/>
    <s v="USD"/>
    <n v="188"/>
    <s v="INR"/>
    <n v="17059.71"/>
    <s v="O0"/>
    <s v="6779224500"/>
    <s v=""/>
    <s v="NA"/>
    <s v="1"/>
    <s v="CY Ground rent Chgs - 16 - 31 Dec 25"/>
    <s v=""/>
    <s v=""/>
    <s v=""/>
    <d v="2026-01-12T00:00:00"/>
    <m/>
    <s v=""/>
  </r>
  <r>
    <s v="Not Selected"/>
    <s v="6779"/>
    <s v="100222332"/>
    <s v="SCOPE LOGISTICS SERVICES INDIA PVT."/>
    <s v="2026"/>
    <s v="1"/>
    <d v="2026-01-12T00:00:00"/>
    <s v="1800016321"/>
    <x v="1"/>
    <x v="37"/>
    <d v="2026-01-12T00:00:00"/>
    <s v="2158401"/>
    <s v="256779440174"/>
    <s v="212100"/>
    <s v="Trade Debtors (Ctrl)"/>
    <s v=""/>
    <s v="01"/>
    <s v="USD"/>
    <n v="48.8"/>
    <s v="INR"/>
    <n v="4428.2700000000004"/>
    <s v="O0"/>
    <s v="6779224500"/>
    <s v=""/>
    <s v="NA"/>
    <s v="1"/>
    <s v="CODC LCL Chgs -16-31 DEC 25"/>
    <s v=""/>
    <s v=""/>
    <s v=""/>
    <d v="2026-01-12T00:00:00"/>
    <m/>
    <s v=""/>
  </r>
  <r>
    <s v="Not Selected"/>
    <s v="6779"/>
    <s v="100222332"/>
    <s v="SCOPE LOGISTICS SERVICES INDIA PVT."/>
    <s v="2026"/>
    <s v="1"/>
    <d v="2026-01-06T00:00:00"/>
    <s v="1800016502"/>
    <x v="1"/>
    <x v="36"/>
    <d v="2026-01-12T00:00:00"/>
    <s v="2158404"/>
    <s v="256779440210"/>
    <s v="212100"/>
    <s v="Trade Debtors (Ctrl)"/>
    <s v=""/>
    <s v="01"/>
    <s v="USD"/>
    <n v="77.849999999999994"/>
    <s v="INR"/>
    <n v="7064.35"/>
    <s v="O0"/>
    <s v="6779224500"/>
    <s v=""/>
    <s v="NA"/>
    <s v="1"/>
    <s v="Gate IN Chgs - 01 - 15 NOV 25"/>
    <s v=""/>
    <s v=""/>
    <s v=""/>
    <d v="2026-01-06T00:00:00"/>
    <m/>
    <s v=""/>
  </r>
  <r>
    <s v="Not Selected"/>
    <s v="6779"/>
    <s v="100222332"/>
    <s v="SCOPE LOGISTICS SERVICES INDIA PVT."/>
    <s v="2026"/>
    <s v="1"/>
    <d v="2026-01-12T00:00:00"/>
    <s v="1800016416"/>
    <x v="1"/>
    <x v="37"/>
    <d v="2026-01-12T00:00:00"/>
    <s v="2158406"/>
    <s v="256779440229"/>
    <s v="212100"/>
    <s v="Trade Debtors (Ctrl)"/>
    <s v=""/>
    <s v="01"/>
    <s v="USD"/>
    <n v="308.79000000000002"/>
    <s v="INR"/>
    <n v="28020.57"/>
    <s v="O0"/>
    <s v="6779224500"/>
    <s v=""/>
    <s v="NA"/>
    <s v="1"/>
    <s v="Outbound chgs - 16 - 31 Dec 25"/>
    <s v=""/>
    <s v=""/>
    <s v=""/>
    <d v="2026-01-12T00:00:00"/>
    <m/>
    <s v=""/>
  </r>
  <r>
    <s v="Not Selected"/>
    <s v="6779"/>
    <s v="100222332"/>
    <s v="SCOPE LOGISTICS SERVICES INDIA PVT."/>
    <s v="2026"/>
    <s v="1"/>
    <d v="2026-01-06T00:00:00"/>
    <s v="1800016345"/>
    <x v="1"/>
    <x v="36"/>
    <d v="2026-01-12T00:00:00"/>
    <s v="2158411"/>
    <s v="256779440235"/>
    <s v="212100"/>
    <s v="Trade Debtors (Ctrl)"/>
    <s v=""/>
    <s v="01"/>
    <s v="USD"/>
    <n v="7267.85"/>
    <s v="INR"/>
    <n v="659507.53"/>
    <s v="O0"/>
    <s v="6779224500"/>
    <s v=""/>
    <s v="NA"/>
    <s v="1"/>
    <s v="Unit Storage - 1-31 DEC 2025"/>
    <s v=""/>
    <s v=""/>
    <s v=""/>
    <d v="2026-01-06T00:00:00"/>
    <m/>
    <s v=""/>
  </r>
  <r>
    <s v="Not Selected"/>
    <s v="6779"/>
    <s v="100222332"/>
    <s v="SCOPE LOGISTICS SERVICES INDIA PVT."/>
    <s v="2026"/>
    <s v="1"/>
    <d v="2026-01-06T00:00:00"/>
    <s v="1800016637"/>
    <x v="1"/>
    <x v="36"/>
    <d v="2026-01-13T00:00:00"/>
    <s v="2158402"/>
    <s v="256779440257"/>
    <s v="212100"/>
    <s v="Trade Debtors (Ctrl)"/>
    <s v=""/>
    <s v="01"/>
    <s v="USD"/>
    <n v="4.7"/>
    <s v="INR"/>
    <n v="426.49"/>
    <s v="O0"/>
    <s v="6779224500"/>
    <s v=""/>
    <s v="NA"/>
    <s v="1"/>
    <s v="CODC Out chgs -16-31 DEC 25"/>
    <s v=""/>
    <s v=""/>
    <s v=""/>
    <d v="2026-01-06T00:00:00"/>
    <m/>
    <s v=""/>
  </r>
  <r>
    <s v="Not Selected"/>
    <s v="6779"/>
    <s v="100222332"/>
    <s v="SCOPE LOGISTICS SERVICES INDIA PVT."/>
    <s v="2026"/>
    <s v="1"/>
    <d v="2026-01-12T00:00:00"/>
    <s v="1800016693"/>
    <x v="1"/>
    <x v="37"/>
    <d v="2026-01-13T00:00:00"/>
    <s v="2158638"/>
    <s v="256779440282"/>
    <s v="212100"/>
    <s v="Trade Debtors (Ctrl)"/>
    <s v=""/>
    <s v="01"/>
    <s v="USD"/>
    <n v="498.5"/>
    <s v="INR"/>
    <n v="45235.46"/>
    <s v="O0"/>
    <s v="6779224500"/>
    <s v=""/>
    <s v="NA"/>
    <s v="1"/>
    <s v="VAS-Dec 25 - 16-31"/>
    <s v=""/>
    <s v=""/>
    <s v=""/>
    <d v="2026-01-12T00:00:00"/>
    <m/>
    <s v=""/>
  </r>
  <r>
    <s v="Not Selected"/>
    <s v="6779"/>
    <s v="100222332"/>
    <s v="SCOPE LOGISTICS SERVICES INDIA PVT."/>
    <s v="2026"/>
    <s v="1"/>
    <d v="2026-01-06T00:00:00"/>
    <s v="1800016623"/>
    <x v="1"/>
    <x v="36"/>
    <d v="2026-01-13T00:00:00"/>
    <s v="NA"/>
    <s v="256779440332"/>
    <s v="212100"/>
    <s v="Trade Debtors (Ctrl)"/>
    <s v=""/>
    <s v="01"/>
    <s v="USD"/>
    <n v="456.75"/>
    <s v="INR"/>
    <n v="41446.93"/>
    <s v="O0"/>
    <s v="6779224500"/>
    <s v=""/>
    <s v="2158673"/>
    <s v="1"/>
    <s v="Fixed Storage Charges for January 2026"/>
    <s v=""/>
    <s v=""/>
    <s v=""/>
    <d v="2026-01-06T00:00:00"/>
    <m/>
    <s v=""/>
  </r>
  <r>
    <s v="Not Selected"/>
    <s v="6779"/>
    <s v="100222332"/>
    <s v="SCOPE LOGISTICS SERVICES INDIA PVT."/>
    <s v="2026"/>
    <s v="1"/>
    <d v="2026-01-13T00:00:00"/>
    <s v="1800016770"/>
    <x v="1"/>
    <x v="38"/>
    <d v="2026-01-13T00:00:00"/>
    <s v="NA"/>
    <s v="256779440357"/>
    <s v="212100"/>
    <s v="Trade Debtors (Ctrl)"/>
    <s v=""/>
    <s v="01"/>
    <s v="USD"/>
    <n v="70"/>
    <s v="INR"/>
    <n v="6352.02"/>
    <s v="O0"/>
    <s v="6779224500"/>
    <s v=""/>
    <s v="2159214"/>
    <s v="1"/>
    <s v="INTRA  -NOV 25,16-30"/>
    <s v=""/>
    <s v=""/>
    <s v=""/>
    <d v="2026-01-13T00:00:00"/>
    <m/>
    <s v=""/>
  </r>
  <r>
    <s v="Not Selected"/>
    <s v="6779"/>
    <s v="100222332"/>
    <s v="SCOPE LOGISTICS SERVICES INDIA PVT."/>
    <s v="2026"/>
    <s v="1"/>
    <d v="2026-01-21T00:00:00"/>
    <s v="1800016935"/>
    <x v="1"/>
    <x v="39"/>
    <d v="2026-01-23T00:00:00"/>
    <s v="2163056"/>
    <s v="256779440383"/>
    <s v="212100"/>
    <s v="Trade Debtors (Ctrl)"/>
    <s v=""/>
    <s v="01"/>
    <s v="USD"/>
    <n v="54.41"/>
    <s v="INR"/>
    <n v="4937.33"/>
    <s v="O0"/>
    <s v="6779224500"/>
    <s v=""/>
    <s v="NA"/>
    <s v="1"/>
    <s v="CODC Out chgs -1-15 JAN 26"/>
    <s v=""/>
    <s v=""/>
    <s v=""/>
    <d v="2026-01-21T00:00:00"/>
    <m/>
    <s v=""/>
  </r>
  <r>
    <s v="Not Selected"/>
    <s v="6779"/>
    <s v="100222332"/>
    <s v="SCOPE LOGISTICS SERVICES INDIA PVT."/>
    <s v="2026"/>
    <s v="1"/>
    <d v="2026-01-22T00:00:00"/>
    <s v="1800016986"/>
    <x v="1"/>
    <x v="40"/>
    <d v="2026-01-23T00:00:00"/>
    <s v="NA"/>
    <s v="256779440392"/>
    <s v="212100"/>
    <s v="Trade Debtors (Ctrl)"/>
    <s v=""/>
    <s v="01"/>
    <s v="USD"/>
    <n v="124.68"/>
    <s v="INR"/>
    <n v="11313.85"/>
    <s v="O0"/>
    <s v="6779224500"/>
    <s v=""/>
    <s v="2163129"/>
    <s v="1"/>
    <s v="CY - CY Grd Rent Chgs - 01 - 15 Jan 26"/>
    <s v=""/>
    <s v=""/>
    <s v=""/>
    <d v="2026-01-22T00:00:00"/>
    <m/>
    <s v=""/>
  </r>
  <r>
    <s v="Not Selected"/>
    <s v="6779"/>
    <s v="100222332"/>
    <s v="SCOPE LOGISTICS SERVICES INDIA PVT."/>
    <s v="2026"/>
    <s v="1"/>
    <d v="2026-01-22T00:00:00"/>
    <s v="1800017004"/>
    <x v="1"/>
    <x v="40"/>
    <d v="2026-01-27T00:00:00"/>
    <s v="2163135"/>
    <s v="256779440394"/>
    <s v="212100"/>
    <s v="Trade Debtors (Ctrl)"/>
    <s v=""/>
    <s v="01"/>
    <s v="USD"/>
    <n v="200.69"/>
    <s v="INR"/>
    <n v="18211.240000000002"/>
    <s v="O0"/>
    <s v="6779224500"/>
    <s v=""/>
    <s v="NA"/>
    <s v="1"/>
    <s v="CY Ground rent Chgs - 01 - 15 Jan 26"/>
    <s v=""/>
    <s v=""/>
    <s v=""/>
    <d v="2026-01-22T00:00:00"/>
    <m/>
    <s v=""/>
  </r>
  <r>
    <s v="Not Selected"/>
    <s v="6779"/>
    <s v="100222332"/>
    <s v="SCOPE LOGISTICS SERVICES INDIA PVT."/>
    <s v="2026"/>
    <s v="1"/>
    <d v="2026-01-23T00:00:00"/>
    <s v="1800017063"/>
    <x v="1"/>
    <x v="41"/>
    <d v="2026-01-27T00:00:00"/>
    <s v="2163146"/>
    <s v="256779440413"/>
    <s v="212100"/>
    <s v="Trade Debtors (Ctrl)"/>
    <s v=""/>
    <s v="01"/>
    <s v="USD"/>
    <n v="99"/>
    <s v="INR"/>
    <n v="8983.57"/>
    <s v="O0"/>
    <s v="6779224500"/>
    <s v=""/>
    <s v="NA"/>
    <s v="1"/>
    <s v="Gate IN Chgs - 01 - 15 JAN 25"/>
    <s v=""/>
    <s v=""/>
    <s v=""/>
    <d v="2026-01-23T00:00:00"/>
    <m/>
    <s v=""/>
  </r>
  <r>
    <s v="Not Selected"/>
    <s v="6779"/>
    <s v="100222332"/>
    <s v="SCOPE LOGISTICS SERVICES INDIA PVT."/>
    <s v="2026"/>
    <s v="1"/>
    <d v="2026-01-23T00:00:00"/>
    <s v="1800017108"/>
    <x v="1"/>
    <x v="41"/>
    <d v="2026-01-27T00:00:00"/>
    <s v="2163152"/>
    <s v="256779440429"/>
    <s v="212100"/>
    <s v="Trade Debtors (Ctrl)"/>
    <s v=""/>
    <s v="01"/>
    <s v="USD"/>
    <n v="67.680000000000007"/>
    <s v="INR"/>
    <n v="6141.5"/>
    <s v="O0"/>
    <s v="6779224500"/>
    <s v=""/>
    <s v="NA"/>
    <s v="1"/>
    <s v="Outbound chgs - 01 - 15 JAN 26"/>
    <s v=""/>
    <s v=""/>
    <s v=""/>
    <d v="2026-01-23T00:00:00"/>
    <m/>
    <s v=""/>
  </r>
  <r>
    <s v="Not Selected"/>
    <s v="6779"/>
    <s v="100222332"/>
    <s v="SCOPE LOGISTICS SERVICES INDIA PVT."/>
    <s v="2026"/>
    <s v="1"/>
    <d v="2026-01-27T00:00:00"/>
    <s v="1800017152"/>
    <x v="1"/>
    <x v="42"/>
    <d v="2026-01-27T00:00:00"/>
    <s v="2163426"/>
    <s v="256779440445"/>
    <s v="212100"/>
    <s v="Trade Debtors (Ctrl)"/>
    <s v=""/>
    <s v="01"/>
    <s v="USD"/>
    <n v="137.13999999999999"/>
    <s v="INR"/>
    <n v="12444.51"/>
    <s v="O0"/>
    <s v="6779224500"/>
    <s v=""/>
    <s v="NA"/>
    <s v="1"/>
    <s v="VAS-1-15 Jan 2026"/>
    <s v=""/>
    <s v=""/>
    <s v=""/>
    <d v="2026-01-27T00:00:00"/>
    <m/>
    <s v=""/>
  </r>
  <r>
    <s v="Not Selected"/>
    <s v="6779"/>
    <s v="100222332"/>
    <s v="SCOPE LOGISTICS SERVICES INDIA PVT."/>
    <s v="2026"/>
    <s v="2"/>
    <d v="2026-02-02T00:00:00"/>
    <s v="1400002583"/>
    <x v="2"/>
    <x v="43"/>
    <d v="2026-01-30T00:00:00"/>
    <s v="GX4JNCFR8TSM"/>
    <s v="GX4JNCFR8TSM"/>
    <s v="212100"/>
    <s v="Trade Debtors (Ctrl)"/>
    <s v=""/>
    <s v="15"/>
    <s v="INR"/>
    <n v="-674751"/>
    <s v="INR"/>
    <n v="-674751"/>
    <s v=""/>
    <s v="6779220000"/>
    <s v=""/>
    <s v=""/>
    <s v="2"/>
    <s v=""/>
    <s v=""/>
    <s v=""/>
    <s v=""/>
    <d v="2026-02-02T00:00:00"/>
    <m/>
    <s v=""/>
  </r>
  <r>
    <s v="Not Selected"/>
    <s v="6779"/>
    <s v="100222332"/>
    <s v="SCOPE LOGISTICS SERVICES INDIA PVT."/>
    <s v="2025"/>
    <s v="3"/>
    <d v="2025-03-17T00:00:00"/>
    <s v="1800001954"/>
    <x v="1"/>
    <x v="44"/>
    <d v="2025-03-17T00:00:00"/>
    <s v="NA"/>
    <s v="246779411619"/>
    <s v="212100"/>
    <s v="Trade Debtors (Ctrl)"/>
    <s v=""/>
    <s v="01"/>
    <s v="USD"/>
    <n v="1765.65"/>
    <s v="INR"/>
    <n v="153066.42000000001"/>
    <s v="O0"/>
    <s v="6779224500"/>
    <s v=""/>
    <s v="NA"/>
    <s v="1"/>
    <s v="VAS Activity Charges for the month of September, 2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1955"/>
    <x v="1"/>
    <x v="44"/>
    <d v="2025-03-17T00:00:00"/>
    <s v="NA"/>
    <s v="246779411620"/>
    <s v="212100"/>
    <s v="Trade Debtors (Ctrl)"/>
    <s v=""/>
    <s v="01"/>
    <s v="USD"/>
    <n v="71.61"/>
    <s v="INR"/>
    <n v="6207.96"/>
    <s v="O0"/>
    <s v="6779224500"/>
    <s v=""/>
    <s v="NA"/>
    <s v="1"/>
    <s v="VAS Activity Charges for the month of September, 2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090"/>
    <x v="1"/>
    <x v="44"/>
    <d v="2025-03-18T00:00:00"/>
    <s v="NA"/>
    <s v="246779411755"/>
    <s v="212100"/>
    <s v="Trade Debtors (Ctrl)"/>
    <s v=""/>
    <s v="01"/>
    <s v="USD"/>
    <n v="3.57"/>
    <s v="INR"/>
    <n v="309.49"/>
    <s v="O0"/>
    <s v="6779224500"/>
    <s v=""/>
    <s v="NA"/>
    <s v="1"/>
    <s v="VAS Activity Charges for the month of Octo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091"/>
    <x v="1"/>
    <x v="44"/>
    <d v="2025-03-18T00:00:00"/>
    <s v="NA"/>
    <s v="246779411756"/>
    <s v="212100"/>
    <s v="Trade Debtors (Ctrl)"/>
    <s v=""/>
    <s v="01"/>
    <s v="USD"/>
    <n v="59.46"/>
    <s v="INR"/>
    <n v="5154.66"/>
    <s v="O0"/>
    <s v="6779224500"/>
    <s v=""/>
    <s v="NA"/>
    <s v="1"/>
    <s v="VAS Activity Charges for the month of Octo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092"/>
    <x v="1"/>
    <x v="44"/>
    <d v="2025-03-18T00:00:00"/>
    <s v="NA"/>
    <s v="246779411757"/>
    <s v="212100"/>
    <s v="Trade Debtors (Ctrl)"/>
    <s v=""/>
    <s v="01"/>
    <s v="USD"/>
    <n v="38.29"/>
    <s v="INR"/>
    <n v="3319.41"/>
    <s v="O0"/>
    <s v="6779224500"/>
    <s v=""/>
    <s v="NA"/>
    <s v="1"/>
    <s v="VAS Activity Charges for the month of Octo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093"/>
    <x v="1"/>
    <x v="44"/>
    <d v="2025-03-18T00:00:00"/>
    <s v="NA"/>
    <s v="246779411758"/>
    <s v="212100"/>
    <s v="Trade Debtors (Ctrl)"/>
    <s v=""/>
    <s v="01"/>
    <s v="USD"/>
    <n v="22.69"/>
    <s v="INR"/>
    <n v="1967.02"/>
    <s v="O0"/>
    <s v="6779224500"/>
    <s v=""/>
    <s v="NA"/>
    <s v="1"/>
    <s v="VAS Activity Charges for the month of Octo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094"/>
    <x v="1"/>
    <x v="44"/>
    <d v="2025-03-18T00:00:00"/>
    <s v="NA"/>
    <s v="246779411759"/>
    <s v="212100"/>
    <s v="Trade Debtors (Ctrl)"/>
    <s v=""/>
    <s v="01"/>
    <s v="USD"/>
    <n v="83.24"/>
    <s v="INR"/>
    <n v="7216.18"/>
    <s v="O0"/>
    <s v="6779224500"/>
    <s v=""/>
    <s v="NA"/>
    <s v="1"/>
    <s v="VAS Activity Charges for the month of Octo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268"/>
    <x v="1"/>
    <x v="44"/>
    <d v="2025-03-18T00:00:00"/>
    <s v="NA"/>
    <s v="246779411933"/>
    <s v="212100"/>
    <s v="Trade Debtors (Ctrl)"/>
    <s v=""/>
    <s v="01"/>
    <s v="USD"/>
    <n v="7.1"/>
    <s v="INR"/>
    <n v="615.51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269"/>
    <x v="1"/>
    <x v="44"/>
    <d v="2025-03-18T00:00:00"/>
    <s v="NA"/>
    <s v="246779411934"/>
    <s v="212100"/>
    <s v="Trade Debtors (Ctrl)"/>
    <s v=""/>
    <s v="01"/>
    <s v="USD"/>
    <n v="4.1399999999999997"/>
    <s v="INR"/>
    <n v="358.9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270"/>
    <x v="1"/>
    <x v="44"/>
    <d v="2025-03-18T00:00:00"/>
    <s v="NA"/>
    <s v="246779411935"/>
    <s v="212100"/>
    <s v="Trade Debtors (Ctrl)"/>
    <s v=""/>
    <s v="01"/>
    <s v="USD"/>
    <n v="7.1"/>
    <s v="INR"/>
    <n v="615.51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32"/>
    <s v="SCOPE LOGISTICS SERVICES INDIA PVT."/>
    <s v="2025"/>
    <s v="3"/>
    <d v="2025-03-17T00:00:00"/>
    <s v="1800002271"/>
    <x v="1"/>
    <x v="44"/>
    <d v="2025-03-18T00:00:00"/>
    <s v="NA"/>
    <s v="246779411936"/>
    <s v="212100"/>
    <s v="Trade Debtors (Ctrl)"/>
    <s v=""/>
    <s v="01"/>
    <s v="USD"/>
    <n v="5.92"/>
    <s v="INR"/>
    <n v="513.21"/>
    <s v="O0"/>
    <s v="6779224500"/>
    <s v=""/>
    <s v="NA"/>
    <s v="1"/>
    <s v="VAS Activity Charges for the month of November, 24"/>
    <s v=""/>
    <s v=""/>
    <s v=""/>
    <d v="2025-03-17T00:00:00"/>
    <m/>
    <s v=""/>
  </r>
  <r>
    <s v="Not Selected"/>
    <s v="6779"/>
    <s v="100222332"/>
    <s v="SCOPE LOGISTICS SERVICES INDIA PVT."/>
    <s v="2025"/>
    <s v="6"/>
    <d v="2025-06-10T00:00:00"/>
    <s v="1800009622"/>
    <x v="1"/>
    <x v="45"/>
    <d v="2025-06-17T00:00:00"/>
    <s v="NA"/>
    <s v="256779414386"/>
    <s v="212100"/>
    <s v="Trade Debtors (Ctrl)"/>
    <s v=""/>
    <s v="01"/>
    <s v="USD"/>
    <n v="456.75"/>
    <s v="INR"/>
    <n v="39047.910000000003"/>
    <s v="O0"/>
    <s v="6779224500"/>
    <s v=""/>
    <s v="NA"/>
    <s v="1"/>
    <s v="Fixed Storage Charges fo JUNE 2025"/>
    <s v=""/>
    <s v=""/>
    <s v=""/>
    <d v="2025-06-10T00:00:00"/>
    <m/>
    <s v=""/>
  </r>
  <r>
    <s v="Not Selected"/>
    <s v="6779"/>
    <s v="100222332"/>
    <s v="SCOPE LOGISTICS SERVICES INDIA PVT."/>
    <s v="2025"/>
    <s v="9"/>
    <d v="2025-09-17T00:00:00"/>
    <s v="1800012788"/>
    <x v="1"/>
    <x v="46"/>
    <d v="2025-09-22T00:00:00"/>
    <s v="NA"/>
    <s v="256779417442"/>
    <s v="212100"/>
    <s v="Trade Debtors (Ctrl)"/>
    <s v=""/>
    <s v="01"/>
    <s v="USD"/>
    <n v="6.23"/>
    <s v="INR"/>
    <n v="545.21"/>
    <s v="O0"/>
    <s v="6779224500"/>
    <s v=""/>
    <s v="2102531"/>
    <s v="1"/>
    <s v="VAS -1-15 Sept-25"/>
    <s v=""/>
    <s v=""/>
    <s v=""/>
    <d v="2025-09-17T00:00:00"/>
    <m/>
    <s v=""/>
  </r>
  <r>
    <s v="Not Selected"/>
    <s v="6779"/>
    <s v="100222332"/>
    <s v="SCOPE LOGISTICS SERVICES INDIA PVT."/>
    <s v="2025"/>
    <s v="11"/>
    <d v="2025-11-19T00:00:00"/>
    <s v="1800014859"/>
    <x v="1"/>
    <x v="47"/>
    <d v="2025-11-20T00:00:00"/>
    <s v="NA"/>
    <s v="256779419364"/>
    <s v="212100"/>
    <s v="Trade Debtors (Ctrl)"/>
    <s v=""/>
    <s v="01"/>
    <s v="USD"/>
    <n v="350.75"/>
    <s v="INR"/>
    <n v="30867.19"/>
    <s v="O0"/>
    <s v="6779224500"/>
    <s v=""/>
    <s v="2128875"/>
    <s v="1"/>
    <s v="CY - CY Grd Rent Chgs - 01 - 15 Nov 25"/>
    <s v=""/>
    <s v=""/>
    <s v=""/>
    <d v="2025-11-19T00:00:00"/>
    <m/>
    <s v=""/>
  </r>
  <r>
    <s v="Not Selected"/>
    <s v="6779"/>
    <s v="100222332"/>
    <s v="SCOPE LOGISTICS SERVICES INDIA PVT."/>
    <s v="2025"/>
    <s v="4"/>
    <d v="2025-04-15T00:00:00"/>
    <s v="1800006257"/>
    <x v="1"/>
    <x v="48"/>
    <d v="2025-04-16T00:00:00"/>
    <s v="NA"/>
    <s v="256779411148"/>
    <s v="212100"/>
    <s v="Trade Debtors (Ctrl)"/>
    <s v=""/>
    <s v="01"/>
    <s v="USD"/>
    <n v="304.01"/>
    <s v="INR"/>
    <n v="26425.1"/>
    <s v="O0"/>
    <s v=""/>
    <s v=""/>
    <s v="NA"/>
    <s v="1"/>
    <s v="Transportation In Charges August 2024"/>
    <s v=""/>
    <s v=""/>
    <s v=""/>
    <d v="2025-04-15T00:00:00"/>
    <m/>
    <s v=""/>
  </r>
  <r>
    <s v="Not Selected"/>
    <s v="6779"/>
    <s v="100222332"/>
    <s v="SCOPE LOGISTICS SERVICES INDIA PVT."/>
    <s v="2025"/>
    <s v="4"/>
    <d v="2025-04-15T00:00:00"/>
    <s v="1800006258"/>
    <x v="1"/>
    <x v="48"/>
    <d v="2025-04-16T00:00:00"/>
    <s v="NA"/>
    <s v="256779411149"/>
    <s v="212100"/>
    <s v="Trade Debtors (Ctrl)"/>
    <s v=""/>
    <s v="01"/>
    <s v="USD"/>
    <n v="31.72"/>
    <s v="INR"/>
    <n v="2757.16"/>
    <s v="O0"/>
    <s v=""/>
    <s v=""/>
    <s v="NA"/>
    <s v="1"/>
    <s v="Inbound Handling for August 24"/>
    <s v=""/>
    <s v=""/>
    <s v=""/>
    <d v="2025-04-15T00:00:00"/>
    <m/>
    <s v=""/>
  </r>
  <r>
    <s v="Not Selected"/>
    <s v="6779"/>
    <s v="100222332"/>
    <s v="SCOPE LOGISTICS SERVICES INDIA PVT."/>
    <s v="2025"/>
    <s v="4"/>
    <d v="2025-04-15T00:00:00"/>
    <s v="1800006259"/>
    <x v="1"/>
    <x v="48"/>
    <d v="2025-04-16T00:00:00"/>
    <s v="NA"/>
    <s v="256779411150"/>
    <s v="212100"/>
    <s v="Trade Debtors (Ctrl)"/>
    <s v=""/>
    <s v="01"/>
    <s v="USD"/>
    <n v="158.6"/>
    <s v="INR"/>
    <n v="13785.8"/>
    <s v="O0"/>
    <s v=""/>
    <s v=""/>
    <s v="NA"/>
    <s v="1"/>
    <s v="Inbound Handling for August 24"/>
    <s v=""/>
    <s v=""/>
    <s v=""/>
    <d v="2025-04-15T00:00:00"/>
    <m/>
    <s v=""/>
  </r>
  <r>
    <s v="Not Selected"/>
    <s v="6779"/>
    <s v="100222332"/>
    <s v="SCOPE LOGISTICS SERVICES INDIA PVT."/>
    <s v="2025"/>
    <s v="4"/>
    <d v="2025-04-15T00:00:00"/>
    <s v="1800006260"/>
    <x v="1"/>
    <x v="48"/>
    <d v="2025-04-16T00:00:00"/>
    <s v="NA"/>
    <s v="256779411151"/>
    <s v="212100"/>
    <s v="Trade Debtors (Ctrl)"/>
    <s v=""/>
    <s v="01"/>
    <s v="USD"/>
    <n v="160"/>
    <s v="INR"/>
    <n v="13907.49"/>
    <s v="O0"/>
    <s v=""/>
    <s v=""/>
    <s v="NA"/>
    <s v="1"/>
    <s v="LCL Charges August 2024"/>
    <s v=""/>
    <s v=""/>
    <s v=""/>
    <d v="2025-04-15T00:00:00"/>
    <m/>
    <s v=""/>
  </r>
  <r>
    <s v="Not Selected"/>
    <s v="6779"/>
    <s v="100222332"/>
    <s v="SCOPE LOGISTICS SERVICES INDIA PVT."/>
    <s v="2025"/>
    <s v="4"/>
    <d v="2025-04-15T00:00:00"/>
    <s v="1800006672"/>
    <x v="1"/>
    <x v="48"/>
    <d v="2025-04-16T00:00:00"/>
    <s v="NA"/>
    <s v="256779411563"/>
    <s v="212100"/>
    <s v="Trade Debtors (Ctrl)"/>
    <s v=""/>
    <s v="01"/>
    <s v="USD"/>
    <n v="2.35"/>
    <s v="INR"/>
    <n v="204.27"/>
    <s v="O0"/>
    <s v=""/>
    <s v=""/>
    <s v="NA"/>
    <s v="1"/>
    <s v="Outbound Handling Charges Aug 2024"/>
    <s v=""/>
    <s v=""/>
    <s v=""/>
    <d v="2025-04-15T00:00:00"/>
    <m/>
    <s v=""/>
  </r>
  <r>
    <s v="Not Selected"/>
    <s v="6779"/>
    <s v="100222332"/>
    <s v="SCOPE LOGISTICS SERVICES INDIA PVT."/>
    <s v="2025"/>
    <s v="4"/>
    <d v="2025-04-15T00:00:00"/>
    <s v="1800006673"/>
    <x v="1"/>
    <x v="48"/>
    <d v="2025-04-16T00:00:00"/>
    <s v="NA"/>
    <s v="256779411564"/>
    <s v="212100"/>
    <s v="Trade Debtors (Ctrl)"/>
    <s v=""/>
    <s v="01"/>
    <s v="USD"/>
    <n v="9.4"/>
    <s v="INR"/>
    <n v="817.07"/>
    <s v="O0"/>
    <s v=""/>
    <s v=""/>
    <s v="NA"/>
    <s v="1"/>
    <s v="Outbound Handling Charges Aug 2024"/>
    <s v=""/>
    <s v=""/>
    <s v=""/>
    <d v="2025-04-15T00:00:00"/>
    <m/>
    <s v=""/>
  </r>
  <r>
    <s v="Not Selected"/>
    <s v="6779"/>
    <s v="100222332"/>
    <s v="SCOPE LOGISTICS SERVICES INDIA PVT."/>
    <s v="2025"/>
    <s v="8"/>
    <d v="2025-08-11T00:00:00"/>
    <s v="1800011901"/>
    <x v="1"/>
    <x v="49"/>
    <d v="2025-08-12T00:00:00"/>
    <s v="NA"/>
    <s v="256779416544"/>
    <s v="212100"/>
    <s v="Trade Debtors (Ctrl)"/>
    <s v=""/>
    <s v="01"/>
    <s v="USD"/>
    <n v="298.70999999999998"/>
    <s v="INR"/>
    <n v="25698.06"/>
    <s v="O0"/>
    <s v="6779224500"/>
    <s v=""/>
    <s v="NA"/>
    <s v="1"/>
    <s v="CY - CY Grd Rent Chgs - 01 - 15 JUL 25"/>
    <s v=""/>
    <s v=""/>
    <s v=""/>
    <d v="2025-08-11T00:00:00"/>
    <m/>
    <s v=""/>
  </r>
  <r>
    <s v="Not Selected"/>
    <s v="6779"/>
    <s v="100222332"/>
    <s v="SCOPE LOGISTICS SERVICES INDIA PVT."/>
    <s v="2025"/>
    <s v="8"/>
    <d v="2025-08-11T00:00:00"/>
    <s v="1800011903"/>
    <x v="1"/>
    <x v="49"/>
    <d v="2025-08-12T00:00:00"/>
    <s v="NA"/>
    <s v="256779416546"/>
    <s v="212100"/>
    <s v="Trade Debtors (Ctrl)"/>
    <s v=""/>
    <s v="01"/>
    <s v="USD"/>
    <n v="282.89999999999998"/>
    <s v="INR"/>
    <n v="24337.919999999998"/>
    <s v="O0"/>
    <s v="6779224500"/>
    <s v=""/>
    <s v="NA"/>
    <s v="1"/>
    <s v="CY - CY Grd Rent Chgs - 16 - 15 JUL 25"/>
    <s v=""/>
    <s v=""/>
    <s v=""/>
    <d v="2025-08-11T00:00:00"/>
    <m/>
    <s v=""/>
  </r>
  <r>
    <s v="Not Selected"/>
    <s v="6779"/>
    <s v="100222332"/>
    <s v="SCOPE LOGISTICS SERVICES INDIA PVT."/>
    <s v="2025"/>
    <s v="7"/>
    <d v="2025-07-07T00:00:00"/>
    <s v="1800010208"/>
    <x v="1"/>
    <x v="50"/>
    <d v="2025-07-09T00:00:00"/>
    <s v="NA"/>
    <s v="256779414968"/>
    <s v="212100"/>
    <s v="Trade Debtors (Ctrl)"/>
    <s v=""/>
    <s v="01"/>
    <s v="USD"/>
    <n v="31.58"/>
    <s v="INR"/>
    <n v="2715.9"/>
    <s v="O0"/>
    <s v="6779224500"/>
    <s v=""/>
    <s v="NA"/>
    <s v="1"/>
    <s v=""/>
    <s v=""/>
    <s v=""/>
    <s v=""/>
    <d v="2025-07-07T00:00:00"/>
    <m/>
    <s v=""/>
  </r>
  <r>
    <s v="Selected"/>
    <s v="6779"/>
    <s v="100222332"/>
    <s v="SCOPE LOGISTICS SERVICES INDIA PVT."/>
    <s v="2025"/>
    <s v="10"/>
    <d v="2025-10-17T00:00:00"/>
    <s v="1600002471"/>
    <x v="0"/>
    <x v="51"/>
    <d v="2025-10-23T00:00:00"/>
    <s v="NA"/>
    <s v="256779422013"/>
    <s v="212100"/>
    <s v="Trade Debtors (Ctrl)"/>
    <s v=""/>
    <s v="11"/>
    <s v="USD"/>
    <n v="-582.79999999999995"/>
    <s v="INR"/>
    <n v="-51397.58"/>
    <s v="O0"/>
    <s v="6779224500"/>
    <s v=""/>
    <s v="2117487"/>
    <s v="1"/>
    <s v="Credit note raised against 256779418075"/>
    <s v=""/>
    <s v=""/>
    <s v=""/>
    <d v="2025-10-17T00:00:00"/>
    <d v="2025-11-15T00:00:00"/>
    <s v="1400001901"/>
  </r>
  <r>
    <s v="Not Selected"/>
    <s v="6779"/>
    <s v="100222332"/>
    <s v="SCOPE LOGISTICS SERVICES INDIA PVT."/>
    <s v="2025"/>
    <s v="4"/>
    <d v="2025-04-16T00:00:00"/>
    <s v="1800006916"/>
    <x v="1"/>
    <x v="52"/>
    <d v="2025-04-17T00:00:00"/>
    <s v="NA"/>
    <s v="256779411807"/>
    <s v="212100"/>
    <s v="Trade Debtors (Ctrl)"/>
    <s v=""/>
    <s v="01"/>
    <s v="USD"/>
    <n v="23.5"/>
    <s v="INR"/>
    <n v="2042.66"/>
    <s v="O0"/>
    <s v="6779224500"/>
    <s v=""/>
    <s v="NA"/>
    <s v="1"/>
    <s v="Inbound Handling charges for Dec 2024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6994"/>
    <x v="1"/>
    <x v="52"/>
    <d v="2025-04-17T00:00:00"/>
    <s v="NA"/>
    <s v="256779411885"/>
    <s v="212100"/>
    <s v="Trade Debtors (Ctrl)"/>
    <s v=""/>
    <s v="01"/>
    <s v="USD"/>
    <n v="15"/>
    <s v="INR"/>
    <n v="1303.83"/>
    <s v="O0"/>
    <s v="6779224500"/>
    <s v=""/>
    <s v="NA"/>
    <s v="1"/>
    <s v="Outbound Handling charges for Dec 2024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6995"/>
    <x v="1"/>
    <x v="52"/>
    <d v="2025-04-17T00:00:00"/>
    <s v="NA"/>
    <s v="256779411886"/>
    <s v="212100"/>
    <s v="Trade Debtors (Ctrl)"/>
    <s v=""/>
    <s v="01"/>
    <s v="USD"/>
    <n v="5.25"/>
    <s v="INR"/>
    <n v="456.34"/>
    <s v="O0"/>
    <s v="6779224500"/>
    <s v=""/>
    <s v="NA"/>
    <s v="1"/>
    <s v="Loose loading Handling charges for Dec 2024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7087"/>
    <x v="1"/>
    <x v="52"/>
    <d v="2025-04-17T00:00:00"/>
    <s v="NA"/>
    <s v="256779411978"/>
    <s v="212100"/>
    <s v="Trade Debtors (Ctrl)"/>
    <s v=""/>
    <s v="01"/>
    <s v="USD"/>
    <n v="46.85"/>
    <s v="INR"/>
    <n v="4072.29"/>
    <s v="O0"/>
    <s v="6779224500"/>
    <s v=""/>
    <s v="NA"/>
    <s v="1"/>
    <s v="GMCU3054268-Port SSR Shifting Mar 2025. Exch rate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7088"/>
    <x v="1"/>
    <x v="52"/>
    <d v="2025-04-17T00:00:00"/>
    <s v="NA"/>
    <s v="256779411979"/>
    <s v="212100"/>
    <s v="Trade Debtors (Ctrl)"/>
    <s v=""/>
    <s v="01"/>
    <s v="USD"/>
    <n v="37.56"/>
    <s v="INR"/>
    <n v="3264.78"/>
    <s v="O0"/>
    <s v="6779224500"/>
    <s v=""/>
    <s v="NA"/>
    <s v="1"/>
    <s v="GMCU3054416-Port SSR Shifting Mar 2025. Exch rate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7089"/>
    <x v="1"/>
    <x v="52"/>
    <d v="2025-04-17T00:00:00"/>
    <s v="NA"/>
    <s v="256779411980"/>
    <s v="212100"/>
    <s v="Trade Debtors (Ctrl)"/>
    <s v=""/>
    <s v="01"/>
    <s v="USD"/>
    <n v="17.420000000000002"/>
    <s v="INR"/>
    <n v="1514.18"/>
    <s v="O0"/>
    <s v="6779224500"/>
    <s v=""/>
    <s v="NA"/>
    <s v="1"/>
    <s v="BEAU2827340-Port SSR Shifting Mar 2025. Exch rate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7174"/>
    <x v="1"/>
    <x v="52"/>
    <d v="2025-04-17T00:00:00"/>
    <s v="NA"/>
    <s v="256779412065"/>
    <s v="212100"/>
    <s v="Trade Debtors (Ctrl)"/>
    <s v=""/>
    <s v="01"/>
    <s v="USD"/>
    <n v="18.88"/>
    <s v="INR"/>
    <n v="1641.08"/>
    <s v="O0"/>
    <s v="6779224500"/>
    <s v=""/>
    <s v="NA"/>
    <s v="1"/>
    <s v="VAS Activity - Feb 25, Ex Rate. 87.40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7209"/>
    <x v="1"/>
    <x v="52"/>
    <d v="2025-04-17T00:00:00"/>
    <s v="NA"/>
    <s v="256779412100"/>
    <s v="212100"/>
    <s v="Trade Debtors (Ctrl)"/>
    <s v=""/>
    <s v="01"/>
    <s v="USD"/>
    <n v="252.98"/>
    <s v="INR"/>
    <n v="21989.48"/>
    <s v="O0"/>
    <s v="6779224500"/>
    <s v=""/>
    <s v="NA"/>
    <s v="1"/>
    <s v="VAS Activity - Mar 25, 16-31, Ex Rate. 85.58"/>
    <s v=""/>
    <s v=""/>
    <s v=""/>
    <d v="2025-04-16T00:00:00"/>
    <m/>
    <s v=""/>
  </r>
  <r>
    <s v="Not Selected"/>
    <s v="6779"/>
    <s v="100222332"/>
    <s v="SCOPE LOGISTICS SERVICES INDIA PVT."/>
    <s v="2025"/>
    <s v="4"/>
    <d v="2025-04-16T00:00:00"/>
    <s v="1800007226"/>
    <x v="1"/>
    <x v="52"/>
    <d v="2025-04-17T00:00:00"/>
    <s v="NA"/>
    <s v="256779412117"/>
    <s v="212100"/>
    <s v="Trade Debtors (Ctrl)"/>
    <s v=""/>
    <s v="01"/>
    <s v="USD"/>
    <n v="5415.85"/>
    <s v="INR"/>
    <n v="470755.54"/>
    <s v="O0"/>
    <s v="6779224500"/>
    <s v=""/>
    <s v="NA"/>
    <s v="1"/>
    <s v="Storage Charges Mar, 25"/>
    <s v=""/>
    <s v=""/>
    <s v=""/>
    <d v="2025-04-16T00:00:00"/>
    <m/>
    <s v=""/>
  </r>
  <r>
    <s v="Selected"/>
    <s v="6779"/>
    <s v="100222332"/>
    <s v="SCOPE LOGISTICS SERVICES INDIA PVT."/>
    <s v="2025"/>
    <s v="4"/>
    <d v="2025-04-16T00:00:00"/>
    <s v="1800007026"/>
    <x v="1"/>
    <x v="52"/>
    <d v="2025-04-17T00:00:00"/>
    <s v="NA"/>
    <s v="256779411917"/>
    <s v="212100"/>
    <s v="Trade Debtors (Ctrl)"/>
    <s v=""/>
    <s v="01"/>
    <s v="USD"/>
    <n v="140"/>
    <s v="INR"/>
    <n v="12169.05"/>
    <s v="O0"/>
    <s v="6779224500"/>
    <s v=""/>
    <s v="NA"/>
    <s v="1"/>
    <s v="Scanning charges for 01 to 31 Mar 25"/>
    <s v=""/>
    <s v=""/>
    <s v=""/>
    <d v="2025-04-16T00:00:00"/>
    <d v="2025-11-15T00:00:00"/>
    <s v="1400001901"/>
  </r>
  <r>
    <s v="Not Selected"/>
    <s v="6779"/>
    <s v="100222332"/>
    <s v="SCOPE LOGISTICS SERVICES INDIA PVT."/>
    <s v="2025"/>
    <s v="7"/>
    <d v="2025-07-25T00:00:00"/>
    <s v="1800011235"/>
    <x v="1"/>
    <x v="53"/>
    <d v="2025-07-25T00:00:00"/>
    <s v="NA"/>
    <s v="256779415967"/>
    <s v="212100"/>
    <s v="Trade Debtors (Ctrl)"/>
    <s v=""/>
    <s v="01"/>
    <s v="USD"/>
    <n v="379.76"/>
    <s v="INR"/>
    <n v="32659.61"/>
    <s v="O0"/>
    <s v="6779224500"/>
    <s v=""/>
    <s v="NA"/>
    <s v="1"/>
    <s v="CY Ground rent Chgs - 01 - 31 May 25"/>
    <s v=""/>
    <s v=""/>
    <s v=""/>
    <d v="2025-07-25T00:00:00"/>
    <m/>
    <s v=""/>
  </r>
  <r>
    <s v="Not Selected"/>
    <s v="6779"/>
    <s v="100222332"/>
    <s v="SCOPE LOGISTICS SERVICES INDIA PVT."/>
    <s v="2025"/>
    <s v="7"/>
    <d v="2025-07-25T00:00:00"/>
    <s v="1800011238"/>
    <x v="1"/>
    <x v="53"/>
    <d v="2025-07-25T00:00:00"/>
    <s v="NA"/>
    <s v="256779415970"/>
    <s v="212100"/>
    <s v="Trade Debtors (Ctrl)"/>
    <s v=""/>
    <s v="01"/>
    <s v="USD"/>
    <n v="110.92"/>
    <s v="INR"/>
    <n v="9539.19"/>
    <s v="O0"/>
    <s v="6779224500"/>
    <s v=""/>
    <s v="NA"/>
    <s v="1"/>
    <s v="CY - CY Ground rent Chgs - 01 - 31 May 25"/>
    <s v=""/>
    <s v=""/>
    <s v=""/>
    <d v="2025-07-25T00:00:00"/>
    <m/>
    <s v=""/>
  </r>
  <r>
    <s v="Not Selected"/>
    <s v="6779"/>
    <s v="100222332"/>
    <s v="SCOPE LOGISTICS SERVICES INDIA PVT."/>
    <s v="2025"/>
    <s v="7"/>
    <d v="2025-07-25T00:00:00"/>
    <s v="1800011263"/>
    <x v="1"/>
    <x v="53"/>
    <d v="2025-07-25T00:00:00"/>
    <s v="NA"/>
    <s v="256779415995"/>
    <s v="212100"/>
    <s v="Trade Debtors (Ctrl)"/>
    <s v=""/>
    <s v="01"/>
    <s v="USD"/>
    <n v="2.34"/>
    <s v="INR"/>
    <n v="201.24"/>
    <s v="O0"/>
    <s v="6779224500"/>
    <s v=""/>
    <s v="NA"/>
    <s v="1"/>
    <s v="VAS 16-31 May 25 Ex.85.48"/>
    <s v=""/>
    <s v=""/>
    <s v=""/>
    <d v="2025-07-25T00:00:00"/>
    <m/>
    <s v=""/>
  </r>
  <r>
    <s v="Not Selected"/>
    <s v="6779"/>
    <s v="100222332"/>
    <s v="SCOPE LOGISTICS SERVICES INDIA PVT."/>
    <s v="2025"/>
    <s v="3"/>
    <d v="2025-03-14T00:00:00"/>
    <s v="1800001783"/>
    <x v="1"/>
    <x v="54"/>
    <d v="2025-03-17T00:00:00"/>
    <s v="NA"/>
    <s v="246779411448"/>
    <s v="212100"/>
    <s v="Trade Debtors (Ctrl)"/>
    <s v=""/>
    <s v="01"/>
    <s v="USD"/>
    <n v="14.31"/>
    <s v="INR"/>
    <n v="1240.55"/>
    <s v="O0"/>
    <s v="6779224500"/>
    <s v=""/>
    <s v="NA"/>
    <s v="1"/>
    <s v="VAS Activity Charges for the month of August, 24"/>
    <s v=""/>
    <s v=""/>
    <s v=""/>
    <d v="2025-03-14T00:00:00"/>
    <m/>
    <s v=""/>
  </r>
  <r>
    <s v="Selected"/>
    <s v="6779"/>
    <s v="100222332"/>
    <s v="SCOPE LOGISTICS SERVICES INDIA PVT."/>
    <s v="2025"/>
    <s v="3"/>
    <d v="2025-03-14T00:00:00"/>
    <s v="1800001580"/>
    <x v="1"/>
    <x v="54"/>
    <d v="2025-03-19T00:00:00"/>
    <s v="NA"/>
    <s v="246779412237"/>
    <s v="212100"/>
    <s v="Trade Debtors (Ctrl)"/>
    <s v=""/>
    <s v="01"/>
    <s v="USD"/>
    <n v="14.31"/>
    <s v="INR"/>
    <n v="1240.55"/>
    <s v="O0"/>
    <s v="6779224500"/>
    <s v=""/>
    <s v="NA"/>
    <s v="1"/>
    <s v="VAS Activity Charges for the month of August, 24"/>
    <s v=""/>
    <s v=""/>
    <s v=""/>
    <d v="2025-03-14T00:00:00"/>
    <d v="2025-07-04T00:00:00"/>
    <s v="1400000245"/>
  </r>
  <r>
    <s v="Not Selected"/>
    <s v="6779"/>
    <s v="100222332"/>
    <s v="SCOPE LOGISTICS SERVICES INDIA PVT."/>
    <s v="2025"/>
    <s v="9"/>
    <d v="2025-09-04T00:00:00"/>
    <s v="1800012275"/>
    <x v="1"/>
    <x v="55"/>
    <d v="2025-09-08T00:00:00"/>
    <s v="NA"/>
    <s v="256779416911"/>
    <s v="212100"/>
    <s v="Trade Debtors (Ctrl)"/>
    <s v=""/>
    <s v="01"/>
    <s v="USD"/>
    <n v="40.85"/>
    <s v="INR"/>
    <n v="3574.96"/>
    <s v="O0"/>
    <s v="6779224500"/>
    <s v=""/>
    <s v="NA"/>
    <s v="1"/>
    <s v="CODC LCL Chgs - 16-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286"/>
    <x v="1"/>
    <x v="55"/>
    <d v="2025-09-08T00:00:00"/>
    <s v="NA"/>
    <s v="256779416948"/>
    <s v="212100"/>
    <s v="Trade Debtors (Ctrl)"/>
    <s v=""/>
    <s v="01"/>
    <s v="USD"/>
    <n v="14.1"/>
    <s v="INR"/>
    <n v="1233.95"/>
    <s v="O0"/>
    <s v="6779224500"/>
    <s v=""/>
    <s v="NA"/>
    <s v="1"/>
    <s v="CODC Out chgs -16-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460"/>
    <x v="1"/>
    <x v="55"/>
    <d v="2025-09-09T00:00:00"/>
    <s v="NA"/>
    <s v="256779417160"/>
    <s v="212100"/>
    <s v="Trade Debtors (Ctrl)"/>
    <s v=""/>
    <s v="01"/>
    <s v="USD"/>
    <n v="14.25"/>
    <s v="INR"/>
    <n v="1247.08"/>
    <s v="O0"/>
    <s v="6779224500"/>
    <s v=""/>
    <s v="NA"/>
    <s v="1"/>
    <s v="VAS -16-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493"/>
    <x v="1"/>
    <x v="55"/>
    <d v="2025-09-09T00:00:00"/>
    <s v="NA"/>
    <s v="256779417166"/>
    <s v="212100"/>
    <s v="Trade Debtors (Ctrl)"/>
    <s v=""/>
    <s v="01"/>
    <s v="USD"/>
    <n v="760.25"/>
    <s v="INR"/>
    <n v="66532.77"/>
    <s v="O0"/>
    <s v="6779224500"/>
    <s v=""/>
    <s v="NA"/>
    <s v="1"/>
    <s v="CY - CY Grd Rent Chgs - 01 - 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554"/>
    <x v="1"/>
    <x v="55"/>
    <d v="2025-09-09T00:00:00"/>
    <s v="NA"/>
    <s v="256779417173"/>
    <s v="212100"/>
    <s v="Trade Debtors (Ctrl)"/>
    <s v=""/>
    <s v="01"/>
    <s v="USD"/>
    <n v="743.54"/>
    <s v="INR"/>
    <n v="65070.400000000001"/>
    <s v="O0"/>
    <s v="6779224500"/>
    <s v=""/>
    <s v="NA"/>
    <s v="1"/>
    <s v="CY Ground rent Chgs - 01 - 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586"/>
    <x v="1"/>
    <x v="55"/>
    <d v="2025-09-09T00:00:00"/>
    <s v="NA"/>
    <s v="256779417244"/>
    <s v="212100"/>
    <s v="Trade Debtors (Ctrl)"/>
    <s v=""/>
    <s v="01"/>
    <s v="USD"/>
    <n v="685.41"/>
    <s v="INR"/>
    <n v="59983.199999999997"/>
    <s v="O0"/>
    <s v="6779224500"/>
    <s v=""/>
    <s v="NA"/>
    <s v="1"/>
    <s v="PORT SSR Chgs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603"/>
    <x v="1"/>
    <x v="55"/>
    <d v="2025-09-09T00:00:00"/>
    <s v="NA"/>
    <s v="256779417261"/>
    <s v="212100"/>
    <s v="Trade Debtors (Ctrl)"/>
    <s v=""/>
    <s v="01"/>
    <s v="USD"/>
    <n v="22.77"/>
    <s v="INR"/>
    <n v="1992.7"/>
    <s v="O0"/>
    <s v="6779224500"/>
    <s v=""/>
    <s v="NA"/>
    <s v="1"/>
    <s v="Bond Stamp Paper Chgs 01 - 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646"/>
    <x v="1"/>
    <x v="55"/>
    <d v="2025-09-09T00:00:00"/>
    <s v="NA"/>
    <s v="256779417286"/>
    <s v="212100"/>
    <s v="Trade Debtors (Ctrl)"/>
    <s v=""/>
    <s v="01"/>
    <s v="USD"/>
    <n v="1050.9000000000001"/>
    <s v="INR"/>
    <n v="91968.81"/>
    <s v="O0"/>
    <s v="6779224500"/>
    <s v=""/>
    <s v="NA"/>
    <s v="1"/>
    <s v="Inbound chgs - 16 - 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684"/>
    <x v="1"/>
    <x v="55"/>
    <d v="2025-09-09T00:00:00"/>
    <s v="NA"/>
    <s v="256779417324"/>
    <s v="212100"/>
    <s v="Trade Debtors (Ctrl)"/>
    <s v=""/>
    <s v="01"/>
    <s v="USD"/>
    <n v="49.35"/>
    <s v="INR"/>
    <n v="4318.83"/>
    <s v="O0"/>
    <s v="6779224500"/>
    <s v=""/>
    <s v="2096996"/>
    <s v="1"/>
    <s v="Outbound chgs - 16 - 31 Aug 25"/>
    <s v=""/>
    <s v=""/>
    <s v=""/>
    <d v="2025-09-04T00:00:00"/>
    <m/>
    <s v=""/>
  </r>
  <r>
    <s v="Not Selected"/>
    <s v="6779"/>
    <s v="100222332"/>
    <s v="SCOPE LOGISTICS SERVICES INDIA PVT."/>
    <s v="2025"/>
    <s v="9"/>
    <d v="2025-09-04T00:00:00"/>
    <s v="1800012739"/>
    <x v="1"/>
    <x v="55"/>
    <d v="2025-09-09T00:00:00"/>
    <s v="NA"/>
    <s v="256779417373"/>
    <s v="212100"/>
    <s v="Trade Debtors (Ctrl)"/>
    <s v=""/>
    <s v="01"/>
    <s v="USD"/>
    <n v="456.75"/>
    <s v="INR"/>
    <n v="39972.17"/>
    <s v="O0"/>
    <s v="6779224500"/>
    <s v=""/>
    <s v="NA"/>
    <s v="1"/>
    <s v="Fixed Storage Charges for September 2025"/>
    <s v=""/>
    <s v=""/>
    <s v=""/>
    <d v="2025-09-04T00:00:00"/>
    <m/>
    <s v=""/>
  </r>
  <r>
    <s v="Not Selected"/>
    <s v="6779"/>
    <s v="100222332"/>
    <s v="SCOPE LOGISTICS SERVICES INDIA PVT."/>
    <s v="2025"/>
    <s v="7"/>
    <d v="2025-07-04T00:00:00"/>
    <s v="1800010004"/>
    <x v="1"/>
    <x v="56"/>
    <d v="2025-07-07T00:00:00"/>
    <s v="NA"/>
    <s v="256779414768"/>
    <s v="212100"/>
    <s v="Trade Debtors (Ctrl)"/>
    <s v=""/>
    <s v="01"/>
    <s v="USD"/>
    <n v="17.350000000000001"/>
    <s v="INR"/>
    <n v="1492.11"/>
    <s v="O0"/>
    <s v="6779224500"/>
    <s v=""/>
    <s v="NA"/>
    <s v="1"/>
    <s v="CODC Inbound chgs - 01 - 15 Jun 25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065"/>
    <x v="1"/>
    <x v="56"/>
    <d v="2025-07-07T00:00:00"/>
    <s v="NA"/>
    <s v="256779414829"/>
    <s v="212100"/>
    <s v="Trade Debtors (Ctrl)"/>
    <s v=""/>
    <s v="01"/>
    <s v="USD"/>
    <n v="101.95"/>
    <s v="INR"/>
    <n v="8767.77"/>
    <s v="O0"/>
    <s v="6779224500"/>
    <s v=""/>
    <s v="NA"/>
    <s v="1"/>
    <s v="Outbound chgs - 01 - 15 Jun 25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118"/>
    <x v="1"/>
    <x v="56"/>
    <d v="2025-07-09T00:00:00"/>
    <s v="NA"/>
    <s v="256779414878"/>
    <s v="212100"/>
    <s v="Trade Debtors (Ctrl)"/>
    <s v=""/>
    <s v="01"/>
    <s v="USD"/>
    <n v="31.73"/>
    <s v="INR"/>
    <n v="2728.8"/>
    <s v="O0"/>
    <s v="6779224500"/>
    <s v=""/>
    <s v="NA"/>
    <s v="1"/>
    <s v="Inbound chgs - 16 - 30 JUN 25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130"/>
    <x v="1"/>
    <x v="56"/>
    <d v="2025-07-09T00:00:00"/>
    <s v="NA"/>
    <s v="256779414890"/>
    <s v="212100"/>
    <s v="Trade Debtors (Ctrl)"/>
    <s v=""/>
    <s v="01"/>
    <s v="USD"/>
    <n v="1180.8"/>
    <s v="INR"/>
    <n v="101549.59"/>
    <s v="O0"/>
    <s v="6779224500"/>
    <s v=""/>
    <s v="NA"/>
    <s v="1"/>
    <s v="CY Ground rent Chgs - 01 - 30 June 25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184"/>
    <x v="1"/>
    <x v="56"/>
    <d v="2025-07-09T00:00:00"/>
    <s v="NA"/>
    <s v="256779414944"/>
    <s v="212100"/>
    <s v="Trade Debtors (Ctrl)"/>
    <s v=""/>
    <s v="01"/>
    <s v="USD"/>
    <n v="456.75"/>
    <s v="INR"/>
    <n v="39280.81"/>
    <s v="O0"/>
    <s v="6779224500"/>
    <s v=""/>
    <s v="NA"/>
    <s v="1"/>
    <s v="Fixed Storage Charges fo JULY 2025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215"/>
    <x v="1"/>
    <x v="56"/>
    <d v="2025-07-09T00:00:00"/>
    <s v="NA"/>
    <s v="256779414975"/>
    <s v="212100"/>
    <s v="Trade Debtors (Ctrl)"/>
    <s v=""/>
    <s v="01"/>
    <s v="USD"/>
    <n v="54.05"/>
    <s v="INR"/>
    <n v="4648.34"/>
    <s v="O0"/>
    <s v="6779224500"/>
    <s v=""/>
    <s v="NA"/>
    <s v="1"/>
    <s v="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281"/>
    <x v="1"/>
    <x v="56"/>
    <d v="2025-07-09T00:00:00"/>
    <s v="NA"/>
    <s v="256779415041"/>
    <s v="212100"/>
    <s v="Trade Debtors (Ctrl)"/>
    <s v=""/>
    <s v="01"/>
    <s v="USD"/>
    <n v="155.09"/>
    <s v="INR"/>
    <n v="13337.84"/>
    <s v="O0"/>
    <s v="6779224500"/>
    <s v=""/>
    <s v="NA"/>
    <s v="1"/>
    <s v="PORT SSR Chgs June 25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288"/>
    <x v="1"/>
    <x v="56"/>
    <d v="2025-07-09T00:00:00"/>
    <s v="NA"/>
    <s v="256779415048"/>
    <s v="212100"/>
    <s v="Trade Debtors (Ctrl)"/>
    <s v=""/>
    <s v="01"/>
    <s v="USD"/>
    <n v="6.43"/>
    <s v="INR"/>
    <n v="552.98"/>
    <s v="O0"/>
    <s v="6779224500"/>
    <s v=""/>
    <s v="NA"/>
    <s v="1"/>
    <s v="Bond Stamp Paper Chgs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438"/>
    <x v="1"/>
    <x v="56"/>
    <d v="2025-07-09T00:00:00"/>
    <s v="NA"/>
    <s v="256779415198"/>
    <s v="212100"/>
    <s v="Trade Debtors (Ctrl)"/>
    <s v=""/>
    <s v="01"/>
    <s v="USD"/>
    <n v="3330.8"/>
    <s v="INR"/>
    <n v="286451.03000000003"/>
    <s v="O0"/>
    <s v="6779224500"/>
    <s v=""/>
    <s v="NA"/>
    <s v="1"/>
    <s v="Unit Storage - 1-30 June 25"/>
    <s v=""/>
    <s v=""/>
    <s v=""/>
    <d v="2025-07-04T00:00:00"/>
    <m/>
    <s v=""/>
  </r>
  <r>
    <s v="Not Selected"/>
    <s v="6779"/>
    <s v="100222332"/>
    <s v="SCOPE LOGISTICS SERVICES INDIA PVT."/>
    <s v="2025"/>
    <s v="7"/>
    <d v="2025-07-04T00:00:00"/>
    <s v="1800010503"/>
    <x v="1"/>
    <x v="56"/>
    <d v="2025-07-09T00:00:00"/>
    <s v="NA"/>
    <s v="256779415263"/>
    <s v="212100"/>
    <s v="Trade Debtors (Ctrl)"/>
    <s v=""/>
    <s v="01"/>
    <s v="USD"/>
    <n v="2.34"/>
    <s v="INR"/>
    <n v="201.24"/>
    <s v="O0"/>
    <s v="6779224500"/>
    <s v=""/>
    <s v=""/>
    <s v="1"/>
    <s v="VAS - 16-30 June 25"/>
    <s v=""/>
    <s v=""/>
    <s v=""/>
    <d v="2025-07-04T00:00:00"/>
    <m/>
    <s v=""/>
  </r>
  <r>
    <s v="Not Selected"/>
    <s v="6779"/>
    <s v="100222332"/>
    <s v="SCOPE LOGISTICS SERVICES INDIA PVT."/>
    <s v="2025"/>
    <s v="11"/>
    <d v="2025-11-05T00:00:00"/>
    <s v="1800014263"/>
    <x v="1"/>
    <x v="57"/>
    <d v="2025-11-05T00:00:00"/>
    <s v="NA"/>
    <s v="256779418802"/>
    <s v="212100"/>
    <s v="Trade Debtors (Ctrl)"/>
    <s v=""/>
    <s v="01"/>
    <s v="USD"/>
    <n v="456.75"/>
    <s v="INR"/>
    <n v="40195.550000000003"/>
    <s v="O0"/>
    <s v="6779224500"/>
    <s v=""/>
    <s v="2123159"/>
    <s v="1"/>
    <s v="Fixed Storage Charges for November 20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282"/>
    <x v="1"/>
    <x v="57"/>
    <d v="2025-11-06T00:00:00"/>
    <s v="NA"/>
    <s v="256779418819"/>
    <s v="212100"/>
    <s v="Trade Debtors (Ctrl)"/>
    <s v=""/>
    <s v="01"/>
    <s v="USD"/>
    <n v="32.74"/>
    <s v="INR"/>
    <n v="2881.23"/>
    <s v="O0"/>
    <s v="6779224500"/>
    <s v=""/>
    <s v="2123387"/>
    <s v="1"/>
    <s v="VAS-16 -31 Oct 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537"/>
    <x v="1"/>
    <x v="57"/>
    <d v="2025-11-06T00:00:00"/>
    <s v="NA"/>
    <s v="256779418869"/>
    <s v="212100"/>
    <s v="Trade Debtors (Ctrl)"/>
    <s v=""/>
    <s v="01"/>
    <s v="USD"/>
    <n v="6685.47"/>
    <s v="INR"/>
    <n v="588344.02"/>
    <s v="O0"/>
    <s v="6779224500"/>
    <s v=""/>
    <s v="2123390"/>
    <s v="1"/>
    <s v="Unit Storage - 1-31 Oct 20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590"/>
    <x v="1"/>
    <x v="57"/>
    <d v="2025-11-06T00:00:00"/>
    <s v="NA"/>
    <s v="256779418897"/>
    <s v="212100"/>
    <s v="Trade Debtors (Ctrl)"/>
    <s v=""/>
    <s v="01"/>
    <s v="USD"/>
    <n v="108.45"/>
    <s v="INR"/>
    <n v="9543.9699999999993"/>
    <s v="O0"/>
    <s v="6779224500"/>
    <s v=""/>
    <s v="2123392"/>
    <s v="1"/>
    <s v="CODC LCL Chgs -16-31 Oct 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641"/>
    <x v="1"/>
    <x v="57"/>
    <d v="2025-11-06T00:00:00"/>
    <s v="NA"/>
    <s v="256779418906"/>
    <s v="212100"/>
    <s v="Trade Debtors (Ctrl)"/>
    <s v=""/>
    <s v="01"/>
    <s v="USD"/>
    <n v="35.25"/>
    <s v="INR"/>
    <n v="3102.12"/>
    <s v="O0"/>
    <s v="6779224500"/>
    <s v=""/>
    <s v="2123393"/>
    <s v="1"/>
    <s v="CODC Out chgs -16-31 Oct 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455"/>
    <x v="1"/>
    <x v="57"/>
    <d v="2025-11-06T00:00:00"/>
    <s v="NA"/>
    <s v="256779419069"/>
    <s v="212100"/>
    <s v="Trade Debtors (Ctrl)"/>
    <s v=""/>
    <s v="01"/>
    <s v="USD"/>
    <n v="337.59"/>
    <s v="INR"/>
    <n v="29709.06"/>
    <s v="O0"/>
    <s v="6779224500"/>
    <s v=""/>
    <s v="2123402"/>
    <s v="1"/>
    <s v="CY - CY Grd Rent Chgs - 16 - 31 OCT 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633"/>
    <x v="1"/>
    <x v="57"/>
    <d v="2025-11-06T00:00:00"/>
    <s v="NA"/>
    <s v="256779419076"/>
    <s v="212100"/>
    <s v="Trade Debtors (Ctrl)"/>
    <s v=""/>
    <s v="01"/>
    <s v="USD"/>
    <n v="799"/>
    <s v="INR"/>
    <n v="70314.710000000006"/>
    <s v="O0"/>
    <s v="6779224500"/>
    <s v=""/>
    <s v="2123404"/>
    <s v="1"/>
    <s v="CY Ground rent Chgs - 16 - 31 Oct 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523"/>
    <x v="1"/>
    <x v="57"/>
    <d v="2025-11-06T00:00:00"/>
    <s v="NA"/>
    <s v="256779419172"/>
    <s v="212100"/>
    <s v="Trade Debtors (Ctrl)"/>
    <s v=""/>
    <s v="01"/>
    <s v="USD"/>
    <n v="68.150000000000006"/>
    <s v="INR"/>
    <n v="5997.43"/>
    <s v="O0"/>
    <s v="6779224500"/>
    <s v=""/>
    <s v="2123410"/>
    <s v="1"/>
    <s v="Outbound chgs - 16 - 31 Oct 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729"/>
    <x v="1"/>
    <x v="57"/>
    <d v="2025-11-07T00:00:00"/>
    <s v="2123630"/>
    <s v="256779419230"/>
    <s v="212100"/>
    <s v="Trade Debtors (Ctrl)"/>
    <s v=""/>
    <s v="01"/>
    <s v="USD"/>
    <n v="179.58"/>
    <s v="INR"/>
    <n v="15803.65"/>
    <s v="O0"/>
    <s v="6779224500"/>
    <s v=""/>
    <s v="NA"/>
    <s v="1"/>
    <s v="PORT SSR Chgs Oct 25"/>
    <s v=""/>
    <s v=""/>
    <s v=""/>
    <d v="2025-11-05T00:00:00"/>
    <m/>
    <s v=""/>
  </r>
  <r>
    <s v="Not Selected"/>
    <s v="6779"/>
    <s v="100222332"/>
    <s v="SCOPE LOGISTICS SERVICES INDIA PVT."/>
    <s v="2025"/>
    <s v="11"/>
    <d v="2025-11-05T00:00:00"/>
    <s v="1800014745"/>
    <x v="1"/>
    <x v="57"/>
    <d v="2025-11-07T00:00:00"/>
    <s v="NA"/>
    <s v="256779419248"/>
    <s v="212100"/>
    <s v="Trade Debtors (Ctrl)"/>
    <s v=""/>
    <s v="01"/>
    <s v="USD"/>
    <n v="11.27"/>
    <s v="INR"/>
    <n v="991.8"/>
    <s v="O0"/>
    <s v="6779224500"/>
    <s v=""/>
    <s v="2123648"/>
    <s v="1"/>
    <s v="Bond Stamp Paper Chgs Oct 25"/>
    <s v=""/>
    <s v=""/>
    <s v=""/>
    <d v="2025-11-05T00:00:00"/>
    <m/>
    <s v=""/>
  </r>
  <r>
    <s v="Not Selected"/>
    <s v="6779"/>
    <s v="100222332"/>
    <s v="SCOPE LOGISTICS SERVICES INDIA PVT."/>
    <s v="2025"/>
    <s v="8"/>
    <d v="2025-08-08T00:00:00"/>
    <s v="1800011658"/>
    <x v="1"/>
    <x v="58"/>
    <d v="2025-08-08T00:00:00"/>
    <s v="NA"/>
    <s v="256779416088"/>
    <s v="212100"/>
    <s v="Trade Debtors (Ctrl)"/>
    <s v=""/>
    <s v="01"/>
    <s v="USD"/>
    <n v="5977.6"/>
    <s v="INR"/>
    <n v="514253.65"/>
    <s v="O0"/>
    <s v="6779224500"/>
    <s v=""/>
    <s v="NA"/>
    <s v="1"/>
    <s v="Unit Storage - 1-31 July 25"/>
    <s v=""/>
    <s v=""/>
    <s v=""/>
    <d v="2025-08-08T00:00:00"/>
    <m/>
    <s v=""/>
  </r>
  <r>
    <s v="Not Selected"/>
    <s v="6779"/>
    <s v="100222332"/>
    <s v="SCOPE LOGISTICS SERVICES INDIA PVT."/>
    <s v="2025"/>
    <s v="8"/>
    <d v="2025-08-08T00:00:00"/>
    <s v="1800011787"/>
    <x v="1"/>
    <x v="58"/>
    <d v="2025-08-08T00:00:00"/>
    <s v="NA"/>
    <s v="256779416178"/>
    <s v="212100"/>
    <s v="Trade Debtors (Ctrl)"/>
    <s v=""/>
    <s v="01"/>
    <s v="USD"/>
    <n v="782.3"/>
    <s v="INR"/>
    <n v="67301.36"/>
    <s v="O0"/>
    <s v="6779224500"/>
    <s v=""/>
    <s v="NA"/>
    <s v="1"/>
    <s v="Inbound chgs - 16 - 31 JUL 25"/>
    <s v=""/>
    <s v=""/>
    <s v=""/>
    <d v="2025-08-08T00:00:00"/>
    <m/>
    <s v=""/>
  </r>
  <r>
    <s v="Not Selected"/>
    <s v="6779"/>
    <s v="100222332"/>
    <s v="SCOPE LOGISTICS SERVICES INDIA PVT."/>
    <s v="2025"/>
    <s v="8"/>
    <d v="2025-08-08T00:00:00"/>
    <s v="1800011705"/>
    <x v="1"/>
    <x v="58"/>
    <d v="2025-08-08T00:00:00"/>
    <s v="NA"/>
    <s v="256779416223"/>
    <s v="212100"/>
    <s v="Trade Debtors (Ctrl)"/>
    <s v=""/>
    <s v="01"/>
    <s v="USD"/>
    <n v="108.22"/>
    <s v="INR"/>
    <n v="9310.18"/>
    <s v="O0"/>
    <s v="6779224500"/>
    <s v=""/>
    <s v="NA"/>
    <s v="1"/>
    <s v="Outbound chgs - 16 - 31 Jul 25"/>
    <s v=""/>
    <s v=""/>
    <s v=""/>
    <d v="2025-08-08T00:00:00"/>
    <m/>
    <s v=""/>
  </r>
  <r>
    <s v="Not Selected"/>
    <s v="6779"/>
    <s v="100222332"/>
    <s v="SCOPE LOGISTICS SERVICES INDIA PVT."/>
    <s v="2025"/>
    <s v="8"/>
    <d v="2025-08-08T00:00:00"/>
    <s v="1800011406"/>
    <x v="1"/>
    <x v="58"/>
    <d v="2025-08-08T00:00:00"/>
    <s v="NA"/>
    <s v="256779416256"/>
    <s v="212100"/>
    <s v="Trade Debtors (Ctrl)"/>
    <s v=""/>
    <s v="01"/>
    <s v="USD"/>
    <n v="56.4"/>
    <s v="INR"/>
    <n v="4852.1000000000004"/>
    <s v="O0"/>
    <s v="6779224500"/>
    <s v=""/>
    <s v="NA"/>
    <s v="1"/>
    <s v="CODC Out chgs - 16 - 31 Jul 25"/>
    <s v=""/>
    <s v=""/>
    <s v=""/>
    <d v="2025-08-08T00:00:00"/>
    <m/>
    <s v=""/>
  </r>
  <r>
    <s v="Not Selected"/>
    <s v="6779"/>
    <s v="100222332"/>
    <s v="SCOPE LOGISTICS SERVICES INDIA PVT."/>
    <s v="2025"/>
    <s v="8"/>
    <d v="2025-08-08T00:00:00"/>
    <s v="1800011594"/>
    <x v="1"/>
    <x v="58"/>
    <d v="2025-08-08T00:00:00"/>
    <s v="NA"/>
    <s v="256779416444"/>
    <s v="212100"/>
    <s v="Trade Debtors (Ctrl)"/>
    <s v=""/>
    <s v="01"/>
    <s v="USD"/>
    <n v="109.64"/>
    <s v="INR"/>
    <n v="9432.34"/>
    <s v="O0"/>
    <s v="6779224500"/>
    <s v=""/>
    <s v="NA"/>
    <s v="1"/>
    <s v="VAS 16-31 July 25"/>
    <s v=""/>
    <s v=""/>
    <s v=""/>
    <d v="2025-08-08T00:00:00"/>
    <m/>
    <s v=""/>
  </r>
  <r>
    <s v="Not Selected"/>
    <s v="6779"/>
    <s v="100222332"/>
    <s v="SCOPE LOGISTICS SERVICES INDIA PVT."/>
    <s v="2025"/>
    <s v="8"/>
    <d v="2025-08-08T00:00:00"/>
    <s v="1800011863"/>
    <x v="1"/>
    <x v="58"/>
    <d v="2025-08-08T00:00:00"/>
    <s v="NA"/>
    <s v="256779416514"/>
    <s v="212100"/>
    <s v="Trade Debtors (Ctrl)"/>
    <s v=""/>
    <s v="01"/>
    <s v="USD"/>
    <n v="1804.03"/>
    <s v="INR"/>
    <n v="155200.92000000001"/>
    <s v="O0"/>
    <s v="6779224500"/>
    <s v=""/>
    <s v="NA"/>
    <s v="1"/>
    <s v="PORT SSR Chgs July 25"/>
    <s v=""/>
    <s v=""/>
    <s v=""/>
    <d v="2025-08-08T00:00:00"/>
    <m/>
    <s v=""/>
  </r>
  <r>
    <s v="Not Selected"/>
    <s v="6779"/>
    <s v="100222332"/>
    <s v="SCOPE LOGISTICS SERVICES INDIA PVT."/>
    <s v="2025"/>
    <s v="8"/>
    <d v="2025-08-08T00:00:00"/>
    <s v="1800011887"/>
    <x v="1"/>
    <x v="58"/>
    <d v="2025-08-08T00:00:00"/>
    <s v="NA"/>
    <s v="256779416538"/>
    <s v="212100"/>
    <s v="Trade Debtors (Ctrl)"/>
    <s v=""/>
    <s v="01"/>
    <s v="USD"/>
    <n v="353.44"/>
    <s v="INR"/>
    <n v="30406.49"/>
    <s v="O0"/>
    <s v="6779224500"/>
    <s v=""/>
    <s v="NA"/>
    <s v="1"/>
    <s v="CY Ground rent Chgs - 01 - 31 July 25"/>
    <s v=""/>
    <s v=""/>
    <s v=""/>
    <d v="2025-08-08T00:00:00"/>
    <m/>
    <s v=""/>
  </r>
  <r>
    <s v="Not Selected"/>
    <s v="6779"/>
    <s v="100222332"/>
    <s v="SCOPE LOGISTICS SERVICES INDIA PVT."/>
    <s v="2025"/>
    <s v="6"/>
    <d v="2025-06-04T00:00:00"/>
    <s v="1800009394"/>
    <x v="1"/>
    <x v="59"/>
    <d v="2025-06-09T00:00:00"/>
    <s v="NA"/>
    <s v="256779414158"/>
    <s v="212100"/>
    <s v="Trade Debtors (Ctrl)"/>
    <s v=""/>
    <s v="01"/>
    <s v="USD"/>
    <n v="498.55"/>
    <s v="INR"/>
    <n v="42621.43"/>
    <s v="O0"/>
    <s v="6779224500"/>
    <s v=""/>
    <s v="NA"/>
    <s v="1"/>
    <s v="CODC Inbound chgs - 16 - 31 May 25"/>
    <s v=""/>
    <s v=""/>
    <s v=""/>
    <d v="2025-06-04T00:00:00"/>
    <m/>
    <s v=""/>
  </r>
  <r>
    <s v="Not Selected"/>
    <s v="6779"/>
    <s v="100222332"/>
    <s v="SCOPE LOGISTICS SERVICES INDIA PVT."/>
    <s v="2025"/>
    <s v="6"/>
    <d v="2025-06-04T00:00:00"/>
    <s v="1800009401"/>
    <x v="1"/>
    <x v="59"/>
    <d v="2025-06-09T00:00:00"/>
    <s v="NA"/>
    <s v="256779414165"/>
    <s v="212100"/>
    <s v="Trade Debtors (Ctrl)"/>
    <s v=""/>
    <s v="01"/>
    <s v="USD"/>
    <n v="117.5"/>
    <s v="INR"/>
    <n v="10045.17"/>
    <s v="O0"/>
    <s v="6779224500"/>
    <s v=""/>
    <s v="NA"/>
    <s v="1"/>
    <s v="CODC Out chgs - 16 - 31 May 25"/>
    <s v=""/>
    <s v=""/>
    <s v=""/>
    <d v="2025-06-04T00:00:00"/>
    <m/>
    <s v=""/>
  </r>
  <r>
    <s v="Not Selected"/>
    <s v="6779"/>
    <s v="100222332"/>
    <s v="SCOPE LOGISTICS SERVICES INDIA PVT."/>
    <s v="2025"/>
    <s v="6"/>
    <d v="2025-06-04T00:00:00"/>
    <s v="1800009411"/>
    <x v="1"/>
    <x v="59"/>
    <d v="2025-06-09T00:00:00"/>
    <s v="NA"/>
    <s v="256779414175"/>
    <s v="212100"/>
    <s v="Trade Debtors (Ctrl)"/>
    <s v=""/>
    <s v="01"/>
    <s v="USD"/>
    <n v="472.4"/>
    <s v="INR"/>
    <n v="40385.839999999997"/>
    <s v="O0"/>
    <s v="6779224500"/>
    <s v=""/>
    <s v="NA"/>
    <s v="1"/>
    <s v="PORT SSR Chgs - 16 - 31 May 25"/>
    <s v=""/>
    <s v=""/>
    <s v=""/>
    <d v="2025-06-04T00:00:00"/>
    <m/>
    <s v=""/>
  </r>
  <r>
    <s v="Not Selected"/>
    <s v="6779"/>
    <s v="100222332"/>
    <s v="SCOPE LOGISTICS SERVICES INDIA PVT."/>
    <s v="2025"/>
    <s v="6"/>
    <d v="2025-06-04T00:00:00"/>
    <s v="1800009452"/>
    <x v="1"/>
    <x v="59"/>
    <d v="2025-06-09T00:00:00"/>
    <s v="NA"/>
    <s v="256779414216"/>
    <s v="212100"/>
    <s v="Trade Debtors (Ctrl)"/>
    <s v=""/>
    <s v="01"/>
    <s v="USD"/>
    <n v="100.35"/>
    <s v="INR"/>
    <n v="8579"/>
    <s v="O0"/>
    <s v="6779224500"/>
    <s v=""/>
    <s v="NA"/>
    <s v="1"/>
    <s v="Outbound chgs - 16 - 31 MAY 25"/>
    <s v=""/>
    <s v=""/>
    <s v=""/>
    <d v="2025-06-04T00:00:00"/>
    <m/>
    <s v=""/>
  </r>
  <r>
    <s v="Selected"/>
    <s v="6779"/>
    <s v="100222332"/>
    <s v="SCOPE LOGISTICS SERVICES INDIA PVT."/>
    <s v="2025"/>
    <s v="6"/>
    <d v="2025-06-04T00:00:00"/>
    <s v="1800009524"/>
    <x v="1"/>
    <x v="59"/>
    <d v="2025-06-09T00:00:00"/>
    <s v="NA"/>
    <s v="256779414288"/>
    <s v="212100"/>
    <s v="Trade Debtors (Ctrl)"/>
    <s v=""/>
    <s v="01"/>
    <s v="USD"/>
    <n v="190"/>
    <s v="INR"/>
    <n v="16243.25"/>
    <s v="O0"/>
    <s v="6779224500"/>
    <s v=""/>
    <s v="NA"/>
    <s v="1"/>
    <s v="Scanning  Chgs - 16 - 31 May 25"/>
    <s v=""/>
    <s v=""/>
    <s v=""/>
    <d v="2025-06-04T00:00:00"/>
    <d v="2025-11-15T00:00:00"/>
    <s v="1400001901"/>
  </r>
  <r>
    <s v="Selected"/>
    <s v="6779"/>
    <s v="100222332"/>
    <s v="SCOPE LOGISTICS SERVICES INDIA PVT."/>
    <s v="2025"/>
    <s v="5"/>
    <d v="2025-05-14T00:00:00"/>
    <s v="1600000595"/>
    <x v="0"/>
    <x v="60"/>
    <d v="2025-05-16T00:00:00"/>
    <s v="NA"/>
    <s v="256779420304"/>
    <s v="212100"/>
    <s v="Trade Debtors (Ctrl)"/>
    <s v=""/>
    <s v="11"/>
    <s v="USD"/>
    <n v="-14.31"/>
    <s v="INR"/>
    <n v="-1240.55"/>
    <s v="O0"/>
    <s v="6779224500"/>
    <s v=""/>
    <s v="NA"/>
    <s v="1"/>
    <s v="Credit note against 246779412237"/>
    <s v=""/>
    <s v=""/>
    <s v=""/>
    <d v="2025-05-14T00:00:00"/>
    <d v="2025-07-04T00:00:00"/>
    <s v="1400000245"/>
  </r>
  <r>
    <s v="Selected"/>
    <s v="6779"/>
    <s v="100222332"/>
    <s v="SCOPE LOGISTICS SERVICES INDIA PVT."/>
    <s v="2025"/>
    <s v="5"/>
    <d v="2025-05-14T00:00:00"/>
    <s v="1600000715"/>
    <x v="0"/>
    <x v="60"/>
    <d v="2025-05-16T00:00:00"/>
    <s v="NA"/>
    <s v="256779420424"/>
    <s v="212100"/>
    <s v="Trade Debtors (Ctrl)"/>
    <s v=""/>
    <s v="11"/>
    <s v="USD"/>
    <n v="-456.75"/>
    <s v="INR"/>
    <n v="-39701.54"/>
    <s v="O0"/>
    <s v="6779224500"/>
    <s v=""/>
    <s v="NA"/>
    <s v="1"/>
    <s v="Credit note against 256779410291"/>
    <s v=""/>
    <s v=""/>
    <s v=""/>
    <d v="2025-05-14T00:00:00"/>
    <d v="2025-07-04T00:00:00"/>
    <s v="1400000246"/>
  </r>
  <r>
    <s v="Selected"/>
    <s v="6779"/>
    <s v="100222332"/>
    <s v="SCOPE LOGISTICS SERVICES INDIA PVT."/>
    <s v="2025"/>
    <s v="5"/>
    <d v="2025-05-14T00:00:00"/>
    <s v="1600000802"/>
    <x v="0"/>
    <x v="60"/>
    <d v="2025-05-16T00:00:00"/>
    <s v="NA"/>
    <s v="256779420511"/>
    <s v="212100"/>
    <s v="Trade Debtors (Ctrl)"/>
    <s v=""/>
    <s v="11"/>
    <s v="USD"/>
    <n v="-456.75"/>
    <s v="INR"/>
    <n v="-39701.54"/>
    <s v="O0"/>
    <s v="6779224500"/>
    <s v=""/>
    <s v="NA"/>
    <s v="1"/>
    <s v="Credit note against 256779410250"/>
    <s v=""/>
    <s v=""/>
    <s v=""/>
    <d v="2025-05-14T00:00:00"/>
    <d v="2025-07-04T00:00:00"/>
    <s v="1400000247"/>
  </r>
  <r>
    <s v="Not Selected"/>
    <s v="6779"/>
    <s v="100222332"/>
    <s v="SCOPE LOGISTICS SERVICES INDIA PVT."/>
    <s v="2025"/>
    <s v="5"/>
    <d v="2025-05-16T00:00:00"/>
    <s v="1800008593"/>
    <x v="1"/>
    <x v="61"/>
    <d v="2025-05-23T00:00:00"/>
    <s v="NA"/>
    <s v="256779413357"/>
    <s v="212100"/>
    <s v="Trade Debtors (Ctrl)"/>
    <s v=""/>
    <s v="01"/>
    <s v="USD"/>
    <n v="15"/>
    <s v="INR"/>
    <n v="1289.76"/>
    <s v="O0"/>
    <s v="6779224500"/>
    <s v=""/>
    <s v="NA"/>
    <s v="1"/>
    <s v="Outbound chgs - 16 - 30 Apr 25"/>
    <s v=""/>
    <s v=""/>
    <s v=""/>
    <d v="2025-05-16T00:00:00"/>
    <m/>
    <s v=""/>
  </r>
  <r>
    <s v="Selected"/>
    <s v="6779"/>
    <s v="100222332"/>
    <s v="SCOPE LOGISTICS SERVICES INDIA PVT."/>
    <s v="2025"/>
    <s v="5"/>
    <d v="2025-05-16T00:00:00"/>
    <s v="1800008519"/>
    <x v="1"/>
    <x v="61"/>
    <d v="2025-05-23T00:00:00"/>
    <s v="NA"/>
    <s v="256779413283"/>
    <s v="212100"/>
    <s v="Trade Debtors (Ctrl)"/>
    <s v=""/>
    <s v="01"/>
    <s v="USD"/>
    <n v="140"/>
    <s v="INR"/>
    <n v="12037.72"/>
    <s v="O0"/>
    <s v="6779224500"/>
    <s v=""/>
    <s v="NA"/>
    <s v="1"/>
    <s v="Scanning  Chgs - 16 - 31 Apr 25"/>
    <s v=""/>
    <s v=""/>
    <s v=""/>
    <d v="2025-05-16T00:00:00"/>
    <d v="2025-11-15T00:00:00"/>
    <s v="1400001901"/>
  </r>
  <r>
    <s v="Not Selected"/>
    <s v="6779"/>
    <s v="100222332"/>
    <s v="SCOPE LOGISTICS SERVICES INDIA PVT."/>
    <s v="2025"/>
    <s v="5"/>
    <d v="2025-05-28T00:00:00"/>
    <s v="1800009135"/>
    <x v="1"/>
    <x v="62"/>
    <d v="2025-05-28T00:00:00"/>
    <s v="NA"/>
    <s v="256779413899"/>
    <s v="212100"/>
    <s v="Trade Debtors (Ctrl)"/>
    <s v=""/>
    <s v="01"/>
    <s v="USD"/>
    <n v="4312.12"/>
    <s v="INR"/>
    <n v="370772.03"/>
    <s v="O0"/>
    <s v="6779224500"/>
    <s v=""/>
    <s v="NA"/>
    <s v="1"/>
    <s v="Storage Chgs - 01 - 31 Apr 25"/>
    <s v=""/>
    <s v=""/>
    <s v=""/>
    <d v="2025-05-28T00:00:00"/>
    <m/>
    <s v=""/>
  </r>
  <r>
    <s v="Not Selected"/>
    <s v="6779"/>
    <s v="100222332"/>
    <s v="SCOPE LOGISTICS SERVICES INDIA PVT."/>
    <s v="2025"/>
    <s v="7"/>
    <d v="2025-07-18T00:00:00"/>
    <s v="1800010769"/>
    <x v="1"/>
    <x v="63"/>
    <d v="2025-07-21T00:00:00"/>
    <s v="NA"/>
    <s v="256779415431"/>
    <s v="212100"/>
    <s v="Trade Debtors (Ctrl)"/>
    <s v=""/>
    <s v="01"/>
    <s v="USD"/>
    <n v="358.33"/>
    <s v="INR"/>
    <n v="30816.62"/>
    <s v="O0"/>
    <s v="6779224500"/>
    <s v=""/>
    <s v="NA"/>
    <s v="1"/>
    <s v="PORT SSR Chgs Apr &amp; June 25"/>
    <s v=""/>
    <s v=""/>
    <s v=""/>
    <d v="2025-07-18T00:00:00"/>
    <m/>
    <s v=""/>
  </r>
  <r>
    <s v="Not Selected"/>
    <s v="6779"/>
    <s v="100222332"/>
    <s v="SCOPE LOGISTICS SERVICES INDIA PVT."/>
    <s v="2025"/>
    <s v="7"/>
    <d v="2025-07-18T00:00:00"/>
    <s v="1800010660"/>
    <x v="1"/>
    <x v="63"/>
    <d v="2025-07-21T00:00:00"/>
    <s v="NA"/>
    <s v="256779415444"/>
    <s v="212100"/>
    <s v="Trade Debtors (Ctrl)"/>
    <s v=""/>
    <s v="01"/>
    <s v="USD"/>
    <n v="99"/>
    <s v="INR"/>
    <n v="8514.07"/>
    <s v="O0"/>
    <s v="6779224500"/>
    <s v=""/>
    <s v="NA"/>
    <s v="1"/>
    <s v="CODC Inbound chgs - 01 - 15 July 25"/>
    <s v=""/>
    <s v=""/>
    <s v=""/>
    <d v="2025-07-18T00:00:00"/>
    <m/>
    <s v=""/>
  </r>
  <r>
    <s v="Not Selected"/>
    <s v="6779"/>
    <s v="100222332"/>
    <s v="SCOPE LOGISTICS SERVICES INDIA PVT."/>
    <s v="2025"/>
    <s v="7"/>
    <d v="2025-07-18T00:00:00"/>
    <s v="1800010672"/>
    <x v="1"/>
    <x v="63"/>
    <d v="2025-07-21T00:00:00"/>
    <s v="NA"/>
    <s v="256779415456"/>
    <s v="212100"/>
    <s v="Trade Debtors (Ctrl)"/>
    <s v=""/>
    <s v="01"/>
    <s v="USD"/>
    <n v="160.24"/>
    <s v="INR"/>
    <n v="13780.75"/>
    <s v="O0"/>
    <s v="6779224500"/>
    <s v=""/>
    <s v="NA"/>
    <s v="1"/>
    <s v="CODC Out chgs - 01 - 15 July 25"/>
    <s v=""/>
    <s v=""/>
    <s v=""/>
    <d v="2025-07-18T00:00:00"/>
    <m/>
    <s v=""/>
  </r>
  <r>
    <s v="Not Selected"/>
    <s v="6779"/>
    <s v="100222332"/>
    <s v="SCOPE LOGISTICS SERVICES INDIA PVT."/>
    <s v="2025"/>
    <s v="7"/>
    <d v="2025-07-18T00:00:00"/>
    <s v="1800011041"/>
    <x v="1"/>
    <x v="63"/>
    <d v="2025-07-21T00:00:00"/>
    <s v="NA"/>
    <s v="256779415801"/>
    <s v="212100"/>
    <s v="Trade Debtors (Ctrl)"/>
    <s v=""/>
    <s v="01"/>
    <s v="USD"/>
    <n v="1762.2"/>
    <s v="INR"/>
    <n v="151550.38"/>
    <s v="O0"/>
    <s v="6779224500"/>
    <s v=""/>
    <s v="NA"/>
    <s v="1"/>
    <s v="Inbound chgs - 01 - 15 JUL 25"/>
    <s v=""/>
    <s v=""/>
    <s v=""/>
    <d v="2025-07-18T00:00:00"/>
    <m/>
    <s v=""/>
  </r>
  <r>
    <s v="Not Selected"/>
    <s v="6779"/>
    <s v="100222332"/>
    <s v="SCOPE LOGISTICS SERVICES INDIA PVT."/>
    <s v="2025"/>
    <s v="3"/>
    <d v="2025-03-13T00:00:00"/>
    <s v="1800001410"/>
    <x v="1"/>
    <x v="64"/>
    <d v="2025-03-15T00:00:00"/>
    <s v="NA"/>
    <s v="246779411278"/>
    <s v="212100"/>
    <s v="Trade Debtors (Ctrl)"/>
    <s v=""/>
    <s v="01"/>
    <s v="USD"/>
    <n v="525"/>
    <s v="INR"/>
    <n v="45512.91"/>
    <s v="O0"/>
    <s v="6779224500"/>
    <s v=""/>
    <s v="NA"/>
    <s v="1"/>
    <s v="Scanning Charges for the month of August, 2024"/>
    <s v=""/>
    <s v=""/>
    <s v=""/>
    <d v="2025-03-13T00:00:00"/>
    <m/>
    <s v=""/>
  </r>
  <r>
    <s v="Selected"/>
    <s v="6779"/>
    <s v="100222332"/>
    <s v="SCOPE LOGISTICS SERVICES INDIA PVT."/>
    <s v="2025"/>
    <s v="3"/>
    <d v="2025-03-13T00:00:00"/>
    <s v="1800001426"/>
    <x v="1"/>
    <x v="64"/>
    <d v="2025-03-17T00:00:00"/>
    <s v="NA"/>
    <s v="246779411339"/>
    <s v="212100"/>
    <s v="Trade Debtors (Ctrl)"/>
    <s v=""/>
    <s v="01"/>
    <s v="USD"/>
    <n v="220"/>
    <s v="INR"/>
    <n v="19072.080000000002"/>
    <s v="O0"/>
    <s v="6779224500"/>
    <s v=""/>
    <s v="NA"/>
    <s v="1"/>
    <s v="Scanning Charges for the month of December, 2024"/>
    <s v=""/>
    <s v=""/>
    <s v=""/>
    <d v="2025-03-13T00:00:00"/>
    <d v="2025-11-15T00:00:00"/>
    <s v="1400001901"/>
  </r>
  <r>
    <s v="Selected"/>
    <s v="6779"/>
    <s v="100222332"/>
    <s v="SCOPE LOGISTICS SERVICES INDIA PVT."/>
    <s v="2025"/>
    <s v="3"/>
    <d v="2025-03-13T00:00:00"/>
    <s v="1800001437"/>
    <x v="1"/>
    <x v="64"/>
    <d v="2025-03-17T00:00:00"/>
    <s v="NA"/>
    <s v="246779411326"/>
    <s v="212100"/>
    <s v="Trade Debtors (Ctrl)"/>
    <s v=""/>
    <s v="01"/>
    <s v="USD"/>
    <n v="245"/>
    <s v="INR"/>
    <n v="21239.360000000001"/>
    <s v="O0"/>
    <s v="6779224500"/>
    <s v=""/>
    <s v="NA"/>
    <s v="1"/>
    <s v="Scanning Charges for the month of November, 2024"/>
    <s v=""/>
    <s v=""/>
    <s v=""/>
    <d v="2025-03-13T00:00:00"/>
    <d v="2025-11-15T00:00:00"/>
    <s v="1400001901"/>
  </r>
  <r>
    <s v="Selected"/>
    <s v="6779"/>
    <s v="100222332"/>
    <s v="SCOPE LOGISTICS SERVICES INDIA PVT."/>
    <s v="2025"/>
    <s v="3"/>
    <d v="2025-03-13T00:00:00"/>
    <s v="1800001450"/>
    <x v="1"/>
    <x v="64"/>
    <d v="2025-03-17T00:00:00"/>
    <s v="NA"/>
    <s v="246779411314"/>
    <s v="212100"/>
    <s v="Trade Debtors (Ctrl)"/>
    <s v=""/>
    <s v="01"/>
    <s v="USD"/>
    <n v="105"/>
    <s v="INR"/>
    <n v="9102.58"/>
    <s v="O0"/>
    <s v="6779224500"/>
    <s v=""/>
    <s v="NA"/>
    <s v="1"/>
    <s v="Scanning Charges for the month of October, 2024"/>
    <s v=""/>
    <s v=""/>
    <s v=""/>
    <d v="2025-03-13T00:00:00"/>
    <d v="2025-11-15T00:00:00"/>
    <s v="1400001901"/>
  </r>
  <r>
    <s v="Selected"/>
    <s v="6779"/>
    <s v="100222332"/>
    <s v="SCOPE LOGISTICS SERVICES INDIA PVT."/>
    <s v="2025"/>
    <s v="3"/>
    <d v="2025-03-13T00:00:00"/>
    <s v="1800001468"/>
    <x v="1"/>
    <x v="64"/>
    <d v="2025-03-17T00:00:00"/>
    <s v="NA"/>
    <s v="246779411300"/>
    <s v="212100"/>
    <s v="Trade Debtors (Ctrl)"/>
    <s v=""/>
    <s v="01"/>
    <s v="USD"/>
    <n v="385"/>
    <s v="INR"/>
    <n v="33376.14"/>
    <s v="O0"/>
    <s v="6779224500"/>
    <s v=""/>
    <s v="NA"/>
    <s v="1"/>
    <s v="Scanning Charges for the month of September, 2024"/>
    <s v=""/>
    <s v=""/>
    <s v=""/>
    <d v="2025-03-13T00:00:00"/>
    <d v="2025-11-15T00:00:00"/>
    <s v="1400001901"/>
  </r>
  <r>
    <s v="Not Selected"/>
    <s v="6779"/>
    <s v="100222332"/>
    <s v="SCOPE LOGISTICS SERVICES INDIA PVT."/>
    <s v="2025"/>
    <s v="3"/>
    <d v="2025-03-20T00:00:00"/>
    <s v="1800003755"/>
    <x v="1"/>
    <x v="65"/>
    <d v="2025-03-20T00:00:00"/>
    <s v="NA"/>
    <s v="246779413622"/>
    <s v="212100"/>
    <s v="Trade Debtors (Ctrl)"/>
    <s v=""/>
    <s v="01"/>
    <s v="USD"/>
    <n v="18.8"/>
    <s v="INR"/>
    <n v="1629.8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56"/>
    <x v="1"/>
    <x v="65"/>
    <d v="2025-03-20T00:00:00"/>
    <s v="NA"/>
    <s v="246779413623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57"/>
    <x v="1"/>
    <x v="65"/>
    <d v="2025-03-20T00:00:00"/>
    <s v="NA"/>
    <s v="246779413624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58"/>
    <x v="1"/>
    <x v="65"/>
    <d v="2025-03-20T00:00:00"/>
    <s v="NA"/>
    <s v="246779413625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59"/>
    <x v="1"/>
    <x v="65"/>
    <d v="2025-03-20T00:00:00"/>
    <s v="NA"/>
    <s v="246779413626"/>
    <s v="212100"/>
    <s v="Trade Debtors (Ctrl)"/>
    <s v=""/>
    <s v="01"/>
    <s v="USD"/>
    <n v="84.6"/>
    <s v="INR"/>
    <n v="7334.08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60"/>
    <x v="1"/>
    <x v="65"/>
    <d v="2025-03-20T00:00:00"/>
    <s v="NA"/>
    <s v="246779413627"/>
    <s v="212100"/>
    <s v="Trade Debtors (Ctrl)"/>
    <s v=""/>
    <s v="01"/>
    <s v="USD"/>
    <n v="42.3"/>
    <s v="INR"/>
    <n v="3667.04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61"/>
    <x v="1"/>
    <x v="65"/>
    <d v="2025-03-20T00:00:00"/>
    <s v="NA"/>
    <s v="246779413628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62"/>
    <x v="1"/>
    <x v="65"/>
    <d v="2025-03-20T00:00:00"/>
    <s v="NA"/>
    <s v="246779413629"/>
    <s v="212100"/>
    <s v="Trade Debtors (Ctrl)"/>
    <s v=""/>
    <s v="01"/>
    <s v="USD"/>
    <n v="4.7"/>
    <s v="INR"/>
    <n v="407.45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27"/>
    <x v="1"/>
    <x v="65"/>
    <d v="2025-03-20T00:00:00"/>
    <s v="NA"/>
    <s v="246779413689"/>
    <s v="212100"/>
    <s v="Trade Debtors (Ctrl)"/>
    <s v=""/>
    <s v="01"/>
    <s v="USD"/>
    <n v="18.8"/>
    <s v="INR"/>
    <n v="1629.8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28"/>
    <x v="1"/>
    <x v="65"/>
    <d v="2025-03-20T00:00:00"/>
    <s v="NA"/>
    <s v="246779413690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29"/>
    <x v="1"/>
    <x v="65"/>
    <d v="2025-03-20T00:00:00"/>
    <s v="NA"/>
    <s v="246779413691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30"/>
    <x v="1"/>
    <x v="65"/>
    <d v="2025-03-20T00:00:00"/>
    <s v="NA"/>
    <s v="246779413692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31"/>
    <x v="1"/>
    <x v="65"/>
    <d v="2025-03-20T00:00:00"/>
    <s v="NA"/>
    <s v="246779413693"/>
    <s v="212100"/>
    <s v="Trade Debtors (Ctrl)"/>
    <s v=""/>
    <s v="01"/>
    <s v="USD"/>
    <n v="84.6"/>
    <s v="INR"/>
    <n v="7334.08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32"/>
    <x v="1"/>
    <x v="65"/>
    <d v="2025-03-20T00:00:00"/>
    <s v="NA"/>
    <s v="246779413694"/>
    <s v="212100"/>
    <s v="Trade Debtors (Ctrl)"/>
    <s v=""/>
    <s v="01"/>
    <s v="USD"/>
    <n v="42.3"/>
    <s v="INR"/>
    <n v="3667.04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33"/>
    <x v="1"/>
    <x v="65"/>
    <d v="2025-03-20T00:00:00"/>
    <s v="NA"/>
    <s v="246779413695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34"/>
    <x v="1"/>
    <x v="65"/>
    <d v="2025-03-20T00:00:00"/>
    <s v="NA"/>
    <s v="246779413696"/>
    <s v="212100"/>
    <s v="Trade Debtors (Ctrl)"/>
    <s v=""/>
    <s v="01"/>
    <s v="USD"/>
    <n v="4.7"/>
    <s v="INR"/>
    <n v="407.45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79"/>
    <x v="1"/>
    <x v="65"/>
    <d v="2025-03-20T00:00:00"/>
    <s v="NA"/>
    <s v="246779413701"/>
    <s v="212100"/>
    <s v="Trade Debtors (Ctrl)"/>
    <s v=""/>
    <s v="01"/>
    <s v="USD"/>
    <n v="216.2"/>
    <s v="INR"/>
    <n v="18742.650000000001"/>
    <s v="O0"/>
    <s v="6779224500"/>
    <s v=""/>
    <s v="NA"/>
    <s v="1"/>
    <s v="Ground Rent Jan 1-1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782"/>
    <x v="1"/>
    <x v="65"/>
    <d v="2025-03-20T00:00:00"/>
    <s v="NA"/>
    <s v="246779413704"/>
    <s v="212100"/>
    <s v="Trade Debtors (Ctrl)"/>
    <s v=""/>
    <s v="01"/>
    <s v="USD"/>
    <n v="152.75"/>
    <s v="INR"/>
    <n v="13242.09"/>
    <s v="O0"/>
    <s v="6779224500"/>
    <s v=""/>
    <s v="NA"/>
    <s v="1"/>
    <s v="Ground Rent Feb 1-1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65"/>
    <x v="1"/>
    <x v="65"/>
    <d v="2025-03-20T00:00:00"/>
    <s v="NA"/>
    <s v="246779413733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66"/>
    <x v="1"/>
    <x v="65"/>
    <d v="2025-03-20T00:00:00"/>
    <s v="NA"/>
    <s v="246779413734"/>
    <s v="212100"/>
    <s v="Trade Debtors (Ctrl)"/>
    <s v=""/>
    <s v="01"/>
    <s v="USD"/>
    <n v="42.3"/>
    <s v="INR"/>
    <n v="3667.04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67"/>
    <x v="1"/>
    <x v="65"/>
    <d v="2025-03-20T00:00:00"/>
    <s v="NA"/>
    <s v="246779413735"/>
    <s v="212100"/>
    <s v="Trade Debtors (Ctrl)"/>
    <s v=""/>
    <s v="01"/>
    <s v="USD"/>
    <n v="84.6"/>
    <s v="INR"/>
    <n v="7334.08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68"/>
    <x v="1"/>
    <x v="65"/>
    <d v="2025-03-20T00:00:00"/>
    <s v="NA"/>
    <s v="246779413736"/>
    <s v="212100"/>
    <s v="Trade Debtors (Ctrl)"/>
    <s v=""/>
    <s v="01"/>
    <s v="USD"/>
    <n v="79.900000000000006"/>
    <s v="INR"/>
    <n v="6926.63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69"/>
    <x v="1"/>
    <x v="65"/>
    <d v="2025-03-20T00:00:00"/>
    <s v="NA"/>
    <s v="246779413737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70"/>
    <x v="1"/>
    <x v="65"/>
    <d v="2025-03-20T00:00:00"/>
    <s v="NA"/>
    <s v="246779413738"/>
    <s v="212100"/>
    <s v="Trade Debtors (Ctrl)"/>
    <s v=""/>
    <s v="01"/>
    <s v="USD"/>
    <n v="42.3"/>
    <s v="INR"/>
    <n v="3667.04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71"/>
    <x v="1"/>
    <x v="65"/>
    <d v="2025-03-20T00:00:00"/>
    <s v="NA"/>
    <s v="246779413739"/>
    <s v="212100"/>
    <s v="Trade Debtors (Ctrl)"/>
    <s v=""/>
    <s v="01"/>
    <s v="USD"/>
    <n v="21.15"/>
    <s v="INR"/>
    <n v="1833.5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72"/>
    <x v="1"/>
    <x v="65"/>
    <d v="2025-03-20T00:00:00"/>
    <s v="NA"/>
    <s v="246779413740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73"/>
    <x v="1"/>
    <x v="65"/>
    <d v="2025-03-20T00:00:00"/>
    <s v="NA"/>
    <s v="246779413741"/>
    <s v="212100"/>
    <s v="Trade Debtors (Ctrl)"/>
    <s v=""/>
    <s v="01"/>
    <s v="USD"/>
    <n v="84.6"/>
    <s v="INR"/>
    <n v="7334.08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76"/>
    <x v="1"/>
    <x v="65"/>
    <d v="2025-03-20T00:00:00"/>
    <s v="NA"/>
    <s v="246779413744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77"/>
    <x v="1"/>
    <x v="65"/>
    <d v="2025-03-20T00:00:00"/>
    <s v="NA"/>
    <s v="246779413745"/>
    <s v="212100"/>
    <s v="Trade Debtors (Ctrl)"/>
    <s v=""/>
    <s v="01"/>
    <s v="USD"/>
    <n v="37.6"/>
    <s v="INR"/>
    <n v="3259.59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94"/>
    <x v="1"/>
    <x v="65"/>
    <d v="2025-03-20T00:00:00"/>
    <s v="NA"/>
    <s v="246779413762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Feb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914"/>
    <x v="1"/>
    <x v="65"/>
    <d v="2025-03-20T00:00:00"/>
    <s v="NA"/>
    <s v="246779413782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charges for Feb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928"/>
    <x v="1"/>
    <x v="65"/>
    <d v="2025-03-20T00:00:00"/>
    <s v="NA"/>
    <s v="246779413796"/>
    <s v="212100"/>
    <s v="Trade Debtors (Ctrl)"/>
    <s v=""/>
    <s v="01"/>
    <s v="USD"/>
    <n v="1926.06"/>
    <s v="INR"/>
    <n v="166972.57"/>
    <s v="O0"/>
    <s v="6779224500"/>
    <s v=""/>
    <s v="NA"/>
    <s v="1"/>
    <s v="Ground Rent Jan 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989"/>
    <x v="1"/>
    <x v="65"/>
    <d v="2025-03-21T00:00:00"/>
    <s v="NA"/>
    <s v="246779413845"/>
    <s v="212100"/>
    <s v="Trade Debtors (Ctrl)"/>
    <s v=""/>
    <s v="01"/>
    <s v="USD"/>
    <n v="531.9"/>
    <s v="INR"/>
    <n v="46111.08"/>
    <s v="O0"/>
    <s v="6779224500"/>
    <s v=""/>
    <s v="NA"/>
    <s v="1"/>
    <s v="Transportation Inbound Aug 24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077"/>
    <x v="1"/>
    <x v="65"/>
    <d v="2025-03-21T00:00:00"/>
    <s v="NA"/>
    <s v="246779413933"/>
    <s v="212100"/>
    <s v="Trade Debtors (Ctrl)"/>
    <s v=""/>
    <s v="01"/>
    <s v="USD"/>
    <n v="10"/>
    <s v="INR"/>
    <n v="866.91"/>
    <s v="O0"/>
    <s v="6779224500"/>
    <s v=""/>
    <s v="NA"/>
    <s v="1"/>
    <s v="Outbound Handling charges for Feb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273"/>
    <x v="1"/>
    <x v="65"/>
    <d v="2025-03-21T00:00:00"/>
    <s v="NA"/>
    <s v="246779414141"/>
    <s v="212100"/>
    <s v="Trade Debtors (Ctrl)"/>
    <s v=""/>
    <s v="01"/>
    <s v="USD"/>
    <n v="55"/>
    <s v="INR"/>
    <n v="4768.0200000000004"/>
    <s v="O0"/>
    <s v="6779224500"/>
    <s v=""/>
    <s v="NA"/>
    <s v="1"/>
    <s v="Inbound Handling charges for  Sep 2024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274"/>
    <x v="1"/>
    <x v="65"/>
    <d v="2025-03-21T00:00:00"/>
    <s v="NA"/>
    <s v="246779414142"/>
    <s v="212100"/>
    <s v="Trade Debtors (Ctrl)"/>
    <s v=""/>
    <s v="01"/>
    <s v="USD"/>
    <n v="15"/>
    <s v="INR"/>
    <n v="1300.3699999999999"/>
    <s v="O0"/>
    <s v="6779224500"/>
    <s v=""/>
    <s v="NA"/>
    <s v="1"/>
    <s v="LCL charges for Sep 2024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353"/>
    <x v="1"/>
    <x v="65"/>
    <d v="2025-03-21T00:00:00"/>
    <s v="NA"/>
    <s v="246779414221"/>
    <s v="212100"/>
    <s v="Trade Debtors (Ctrl)"/>
    <s v=""/>
    <s v="01"/>
    <s v="USD"/>
    <n v="209.25"/>
    <s v="INR"/>
    <n v="18140.150000000001"/>
    <s v="O0"/>
    <s v="6779224500"/>
    <s v=""/>
    <s v="NA"/>
    <s v="1"/>
    <s v="Outbound Handling charges for Sep 2024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599"/>
    <x v="1"/>
    <x v="65"/>
    <d v="2025-03-21T00:00:00"/>
    <s v="NA"/>
    <s v="246779414467"/>
    <s v="212100"/>
    <s v="Trade Debtors (Ctrl)"/>
    <s v=""/>
    <s v="01"/>
    <s v="USD"/>
    <n v="31.73"/>
    <s v="INR"/>
    <n v="2750.71"/>
    <s v="O0"/>
    <s v="6779224500"/>
    <s v=""/>
    <s v="NA"/>
    <s v="1"/>
    <s v="In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813"/>
    <x v="1"/>
    <x v="65"/>
    <d v="2025-03-21T00:00:00"/>
    <s v="NA"/>
    <s v="246779414681"/>
    <s v="212100"/>
    <s v="Trade Debtors (Ctrl)"/>
    <s v=""/>
    <s v="01"/>
    <s v="USD"/>
    <n v="15"/>
    <s v="INR"/>
    <n v="1300.3699999999999"/>
    <s v="O0"/>
    <s v="6779224500"/>
    <s v=""/>
    <s v="NA"/>
    <s v="1"/>
    <s v="Outbound Handling charges for Nov 2024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866"/>
    <x v="1"/>
    <x v="65"/>
    <d v="2025-03-21T00:00:00"/>
    <s v="NA"/>
    <s v="246779414734"/>
    <s v="212100"/>
    <s v="Trade Debtors (Ctrl)"/>
    <s v=""/>
    <s v="01"/>
    <s v="USD"/>
    <n v="2.5"/>
    <s v="INR"/>
    <n v="216.73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5017"/>
    <x v="1"/>
    <x v="65"/>
    <d v="2025-03-21T00:00:00"/>
    <s v="NA"/>
    <s v="246779414885"/>
    <s v="212100"/>
    <s v="Trade Debtors (Ctrl)"/>
    <s v=""/>
    <s v="01"/>
    <s v="USD"/>
    <n v="2.5"/>
    <s v="INR"/>
    <n v="216.73"/>
    <s v="O0"/>
    <s v="6779224500"/>
    <s v=""/>
    <s v="NA"/>
    <s v="1"/>
    <s v="Outbound Handling charges for Jan 2025"/>
    <s v=""/>
    <s v=""/>
    <s v=""/>
    <d v="2025-03-20T00:00:00"/>
    <m/>
    <s v=""/>
  </r>
  <r>
    <s v="Selected"/>
    <s v="6779"/>
    <s v="100222332"/>
    <s v="SCOPE LOGISTICS SERVICES INDIA PVT."/>
    <s v="2025"/>
    <s v="3"/>
    <d v="2025-03-20T00:00:00"/>
    <s v="1800003780"/>
    <x v="1"/>
    <x v="65"/>
    <d v="2025-03-20T00:00:00"/>
    <s v="NA"/>
    <s v="246779413702"/>
    <s v="212100"/>
    <s v="Trade Debtors (Ctrl)"/>
    <s v=""/>
    <s v="01"/>
    <s v="USD"/>
    <n v="364.25"/>
    <s v="INR"/>
    <n v="31577.29"/>
    <s v="O0"/>
    <s v="6779224500"/>
    <s v=""/>
    <s v="NA"/>
    <s v="1"/>
    <s v="Ground Rent Jan 16-31"/>
    <s v=""/>
    <s v=""/>
    <s v=""/>
    <d v="2025-03-20T00:00:00"/>
    <d v="2025-11-15T00:00:00"/>
    <s v="1400001901"/>
  </r>
  <r>
    <s v="Selected"/>
    <s v="6779"/>
    <s v="100222332"/>
    <s v="SCOPE LOGISTICS SERVICES INDIA PVT."/>
    <s v="2025"/>
    <s v="3"/>
    <d v="2025-03-20T00:00:00"/>
    <s v="1800003783"/>
    <x v="1"/>
    <x v="65"/>
    <d v="2025-03-20T00:00:00"/>
    <s v="NA"/>
    <s v="246779413705"/>
    <s v="212100"/>
    <s v="Trade Debtors (Ctrl)"/>
    <s v=""/>
    <s v="01"/>
    <s v="USD"/>
    <n v="237.35"/>
    <s v="INR"/>
    <n v="20576.169999999998"/>
    <s v="O0"/>
    <s v="6779224500"/>
    <s v=""/>
    <s v="NA"/>
    <s v="1"/>
    <s v="Ground Rent Feb 16-28"/>
    <s v=""/>
    <s v=""/>
    <s v=""/>
    <d v="2025-03-20T00:00:00"/>
    <d v="2025-11-15T00:00:00"/>
    <s v="1400001901"/>
  </r>
  <r>
    <s v="Selected"/>
    <s v="6779"/>
    <s v="100222332"/>
    <s v="SCOPE LOGISTICS SERVICES INDIA PVT."/>
    <s v="2025"/>
    <s v="3"/>
    <d v="2025-03-20T00:00:00"/>
    <s v="1800003960"/>
    <x v="1"/>
    <x v="65"/>
    <d v="2025-03-21T00:00:00"/>
    <s v="NA"/>
    <s v="246779413816"/>
    <s v="212100"/>
    <s v="Trade Debtors (Ctrl)"/>
    <s v=""/>
    <s v="01"/>
    <s v="USD"/>
    <n v="220"/>
    <s v="INR"/>
    <n v="19072.080000000002"/>
    <s v="O0"/>
    <s v="6779224500"/>
    <s v=""/>
    <s v="NA"/>
    <s v="1"/>
    <s v="Scanning Charges for the month of Feb 2025"/>
    <s v=""/>
    <s v=""/>
    <s v=""/>
    <d v="2025-03-20T00:00:00"/>
    <d v="2025-11-15T00:00:00"/>
    <s v="1400001901"/>
  </r>
  <r>
    <s v="Selected"/>
    <s v="6779"/>
    <s v="100222332"/>
    <s v="SCOPE LOGISTICS SERVICES INDIA PVT."/>
    <s v="2025"/>
    <s v="3"/>
    <d v="2025-03-20T00:00:00"/>
    <s v="1800003971"/>
    <x v="1"/>
    <x v="65"/>
    <d v="2025-03-21T00:00:00"/>
    <s v="NA"/>
    <s v="246779413827"/>
    <s v="212100"/>
    <s v="Trade Debtors (Ctrl)"/>
    <s v=""/>
    <s v="01"/>
    <s v="USD"/>
    <n v="375"/>
    <s v="INR"/>
    <n v="32509.22"/>
    <s v="O0"/>
    <s v="6779224500"/>
    <s v=""/>
    <s v="NA"/>
    <s v="1"/>
    <s v="Scanning Charges for the month of Jan 2025"/>
    <s v=""/>
    <s v=""/>
    <s v=""/>
    <d v="2025-03-20T00:00:00"/>
    <d v="2025-11-15T00:00:00"/>
    <s v="1400001901"/>
  </r>
  <r>
    <s v="Not Selected"/>
    <s v="6779"/>
    <s v="100222332"/>
    <s v="SCOPE LOGISTICS SERVICES INDIA PVT."/>
    <s v="2025"/>
    <s v="3"/>
    <d v="2025-03-20T00:00:00"/>
    <s v="1800003874"/>
    <x v="1"/>
    <x v="65"/>
    <d v="2025-03-20T00:00:00"/>
    <s v="NA"/>
    <s v="246779413742"/>
    <s v="212100"/>
    <s v="Trade Debtors (Ctrl)"/>
    <s v=""/>
    <s v="01"/>
    <s v="USD"/>
    <n v="14.1"/>
    <s v="INR"/>
    <n v="1222.3499999999999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75"/>
    <x v="1"/>
    <x v="65"/>
    <d v="2025-03-20T00:00:00"/>
    <s v="NA"/>
    <s v="246779413743"/>
    <s v="212100"/>
    <s v="Trade Debtors (Ctrl)"/>
    <s v=""/>
    <s v="01"/>
    <s v="USD"/>
    <n v="4.7"/>
    <s v="INR"/>
    <n v="407.45"/>
    <s v="O0"/>
    <s v="6779224500"/>
    <s v=""/>
    <s v="NA"/>
    <s v="1"/>
    <s v="Outbound Handling charges for Jan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3885"/>
    <x v="1"/>
    <x v="65"/>
    <d v="2025-03-20T00:00:00"/>
    <s v="NA"/>
    <s v="246779413753"/>
    <s v="212100"/>
    <s v="Trade Debtors (Ctrl)"/>
    <s v=""/>
    <s v="01"/>
    <s v="USD"/>
    <n v="2.35"/>
    <s v="INR"/>
    <n v="203.72"/>
    <s v="O0"/>
    <s v="6779224500"/>
    <s v=""/>
    <s v="NA"/>
    <s v="1"/>
    <s v="Outbound Handling charges for Feb 2025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735"/>
    <x v="1"/>
    <x v="65"/>
    <d v="2025-03-21T00:00:00"/>
    <s v="NA"/>
    <s v="246779414603"/>
    <s v="212100"/>
    <s v="Trade Debtors (Ctrl)"/>
    <s v=""/>
    <s v="01"/>
    <s v="USD"/>
    <n v="412.38"/>
    <s v="INR"/>
    <n v="35749.74"/>
    <s v="O0"/>
    <s v="6779224500"/>
    <s v=""/>
    <s v="NA"/>
    <s v="1"/>
    <s v="Outbound Handling charges for Oct 2024"/>
    <s v=""/>
    <s v=""/>
    <s v=""/>
    <d v="2025-03-20T00:00:00"/>
    <m/>
    <s v=""/>
  </r>
  <r>
    <s v="Not Selected"/>
    <s v="6779"/>
    <s v="100222332"/>
    <s v="SCOPE LOGISTICS SERVICES INDIA PVT."/>
    <s v="2025"/>
    <s v="3"/>
    <d v="2025-03-20T00:00:00"/>
    <s v="1800004812"/>
    <x v="1"/>
    <x v="65"/>
    <d v="2025-03-21T00:00:00"/>
    <s v="NA"/>
    <s v="246779414680"/>
    <s v="212100"/>
    <s v="Trade Debtors (Ctrl)"/>
    <s v=""/>
    <s v="01"/>
    <s v="USD"/>
    <n v="2.5"/>
    <s v="INR"/>
    <n v="216.73"/>
    <s v="O0"/>
    <s v="6779224500"/>
    <s v=""/>
    <s v="NA"/>
    <s v="1"/>
    <s v="Loose handling Charges for Nov 2024"/>
    <s v=""/>
    <s v=""/>
    <s v=""/>
    <d v="2025-03-20T00:00:00"/>
    <m/>
    <s v=""/>
  </r>
  <r>
    <s v="Not Selected"/>
    <s v="6779"/>
    <s v="100222332"/>
    <s v="SCOPE LOGISTICS SERVICES INDIA PVT."/>
    <s v="2025"/>
    <s v="2"/>
    <d v="2025-02-20T00:00:00"/>
    <s v="1800000121"/>
    <x v="1"/>
    <x v="66"/>
    <d v="2025-02-20T00:00:00"/>
    <s v="NA"/>
    <s v="246779410049"/>
    <s v="212100"/>
    <s v="Trade Debtors (Ctrl)"/>
    <s v=""/>
    <s v="01"/>
    <s v="USD"/>
    <n v="456.75"/>
    <s v="INR"/>
    <n v="39419.199999999997"/>
    <s v="O0"/>
    <s v="6779224500"/>
    <s v=""/>
    <s v="NA"/>
    <s v="1"/>
    <s v="Fixed Rental charges for Sept 2024"/>
    <s v=""/>
    <s v=""/>
    <s v=""/>
    <d v="2025-02-20T00:00:00"/>
    <m/>
    <s v=""/>
  </r>
  <r>
    <s v="Not Selected"/>
    <s v="6779"/>
    <s v="100222332"/>
    <s v="SCOPE LOGISTICS SERVICES INDIA PVT."/>
    <s v="2025"/>
    <s v="2"/>
    <d v="2025-02-20T00:00:00"/>
    <s v="1800000032"/>
    <x v="1"/>
    <x v="66"/>
    <d v="2025-02-20T00:00:00"/>
    <s v="NA"/>
    <s v="246779410072"/>
    <s v="212100"/>
    <s v="Trade Debtors (Ctrl)"/>
    <s v=""/>
    <s v="01"/>
    <s v="USD"/>
    <n v="456.75"/>
    <s v="INR"/>
    <n v="39419.199999999997"/>
    <s v="O0"/>
    <s v="6779224500"/>
    <s v=""/>
    <s v="NA"/>
    <s v="1"/>
    <s v="Fixed Rental charges for Aug 2024"/>
    <s v=""/>
    <s v=""/>
    <s v=""/>
    <d v="2025-02-20T00:00:00"/>
    <m/>
    <s v=""/>
  </r>
  <r>
    <s v="Not Selected"/>
    <s v="6779"/>
    <s v="100222332"/>
    <s v="SCOPE LOGISTICS SERVICES INDIA PVT."/>
    <s v="2025"/>
    <s v="2"/>
    <d v="2025-02-20T00:00:00"/>
    <s v="1800000190"/>
    <x v="1"/>
    <x v="66"/>
    <d v="2025-02-20T00:00:00"/>
    <s v="NA"/>
    <s v="246779410117"/>
    <s v="212100"/>
    <s v="Trade Debtors (Ctrl)"/>
    <s v=""/>
    <s v="01"/>
    <s v="USD"/>
    <n v="456.75"/>
    <s v="INR"/>
    <n v="39419.199999999997"/>
    <s v="O0"/>
    <s v="6779224500"/>
    <s v=""/>
    <s v="NA"/>
    <s v="1"/>
    <s v="Fixed Rental charges for Nov 2024"/>
    <s v=""/>
    <s v=""/>
    <s v=""/>
    <d v="2025-02-20T00:00:00"/>
    <m/>
    <s v=""/>
  </r>
  <r>
    <s v="Not Selected"/>
    <s v="6779"/>
    <s v="100222332"/>
    <s v="SCOPE LOGISTICS SERVICES INDIA PVT."/>
    <s v="2025"/>
    <s v="2"/>
    <d v="2025-02-20T00:00:00"/>
    <s v="1800000233"/>
    <x v="1"/>
    <x v="66"/>
    <d v="2025-02-20T00:00:00"/>
    <s v="NA"/>
    <s v="246779410160"/>
    <s v="212100"/>
    <s v="Trade Debtors (Ctrl)"/>
    <s v=""/>
    <s v="01"/>
    <s v="USD"/>
    <n v="456.75"/>
    <s v="INR"/>
    <n v="39419.199999999997"/>
    <s v="O0"/>
    <s v="6779224500"/>
    <s v=""/>
    <s v="NA"/>
    <s v="1"/>
    <s v="Fixed Rental charges for Dec 2024"/>
    <s v=""/>
    <s v=""/>
    <s v=""/>
    <d v="2025-02-20T00:00:00"/>
    <m/>
    <s v=""/>
  </r>
  <r>
    <s v="Not Selected"/>
    <s v="6779"/>
    <s v="100222332"/>
    <s v="SCOPE LOGISTICS SERVICES INDIA PVT."/>
    <s v="2025"/>
    <s v="2"/>
    <d v="2025-02-20T00:00:00"/>
    <s v="1800000276"/>
    <x v="1"/>
    <x v="66"/>
    <d v="2025-02-20T00:00:00"/>
    <s v="NA"/>
    <s v="246779410203"/>
    <s v="212100"/>
    <s v="Trade Debtors (Ctrl)"/>
    <s v=""/>
    <s v="01"/>
    <s v="USD"/>
    <n v="456.75"/>
    <s v="INR"/>
    <n v="39419.199999999997"/>
    <s v="O0"/>
    <s v="6779224500"/>
    <s v=""/>
    <s v="NA"/>
    <s v="1"/>
    <s v="Fixed Rental charges for Jan 2025"/>
    <s v=""/>
    <s v=""/>
    <s v=""/>
    <d v="2025-02-20T00:00:00"/>
    <m/>
    <s v=""/>
  </r>
  <r>
    <s v="Not Selected"/>
    <s v="6779"/>
    <s v="100222332"/>
    <s v="SCOPE LOGISTICS SERVICES INDIA PVT."/>
    <s v="2025"/>
    <s v="2"/>
    <d v="2025-02-20T00:00:00"/>
    <s v="1800000319"/>
    <x v="1"/>
    <x v="66"/>
    <d v="2025-02-20T00:00:00"/>
    <s v="NA"/>
    <s v="246779410246"/>
    <s v="212100"/>
    <s v="Trade Debtors (Ctrl)"/>
    <s v=""/>
    <s v="01"/>
    <s v="USD"/>
    <n v="456.75"/>
    <s v="INR"/>
    <n v="39419.199999999997"/>
    <s v="O0"/>
    <s v="6779224500"/>
    <s v=""/>
    <s v="NA"/>
    <s v="1"/>
    <s v="Fixed Rental charges for Feb 2025"/>
    <s v=""/>
    <s v=""/>
    <s v=""/>
    <d v="2025-02-20T00:00:00"/>
    <m/>
    <s v=""/>
  </r>
  <r>
    <s v="Not Selected"/>
    <s v="6779"/>
    <s v="100222332"/>
    <s v="SCOPE LOGISTICS SERVICES INDIA PVT."/>
    <s v="2025"/>
    <s v="2"/>
    <d v="2025-02-20T00:00:00"/>
    <s v="1800000150"/>
    <x v="1"/>
    <x v="66"/>
    <d v="2025-02-21T00:00:00"/>
    <s v="NA"/>
    <s v="246779410303"/>
    <s v="212100"/>
    <s v="Trade Debtors (Ctrl)"/>
    <s v=""/>
    <s v="01"/>
    <s v="USD"/>
    <n v="456.75"/>
    <s v="INR"/>
    <n v="39419.199999999997"/>
    <s v="O0"/>
    <s v="6779224500"/>
    <s v=""/>
    <s v="NA"/>
    <s v="1"/>
    <s v="Fixed Rental charges for Oct 2024"/>
    <s v=""/>
    <s v=""/>
    <s v=""/>
    <d v="2025-02-20T00:00:00"/>
    <m/>
    <s v=""/>
  </r>
  <r>
    <s v="Not Selected"/>
    <s v="6779"/>
    <s v="100222332"/>
    <s v="SCOPE LOGISTICS SERVICES INDIA PVT."/>
    <s v="2025"/>
    <s v="8"/>
    <d v="2025-08-20T00:00:00"/>
    <s v="1800012068"/>
    <x v="1"/>
    <x v="67"/>
    <d v="2025-08-22T00:00:00"/>
    <s v="NA"/>
    <s v="256779416603"/>
    <s v="212100"/>
    <s v="Trade Debtors (Ctrl)"/>
    <s v=""/>
    <s v="01"/>
    <s v="USD"/>
    <n v="17.350000000000001"/>
    <s v="INR"/>
    <n v="1492.62"/>
    <s v="O0"/>
    <s v="6779224500"/>
    <s v=""/>
    <s v="NA"/>
    <s v="1"/>
    <s v="CODC LCL Chgs - 1-15 Aug 25"/>
    <s v=""/>
    <s v=""/>
    <s v=""/>
    <d v="2025-08-20T00:00:00"/>
    <m/>
    <s v=""/>
  </r>
  <r>
    <s v="Not Selected"/>
    <s v="6779"/>
    <s v="100222332"/>
    <s v="SCOPE LOGISTICS SERVICES INDIA PVT."/>
    <s v="2025"/>
    <s v="8"/>
    <d v="2025-08-20T00:00:00"/>
    <s v="1800012177"/>
    <x v="1"/>
    <x v="67"/>
    <d v="2025-08-22T00:00:00"/>
    <s v="NA"/>
    <s v="256779416615"/>
    <s v="212100"/>
    <s v="Trade Debtors (Ctrl)"/>
    <s v=""/>
    <s v="01"/>
    <s v="USD"/>
    <n v="56.82"/>
    <s v="INR"/>
    <n v="4888.2299999999996"/>
    <s v="O0"/>
    <s v="6779224500"/>
    <s v=""/>
    <s v="NA"/>
    <s v="1"/>
    <s v="CODC Out chgs - 1-15 Aug 25"/>
    <s v=""/>
    <s v=""/>
    <s v=""/>
    <d v="2025-08-20T00:00:00"/>
    <m/>
    <s v=""/>
  </r>
  <r>
    <s v="Not Selected"/>
    <s v="6779"/>
    <s v="100222332"/>
    <s v="SCOPE LOGISTICS SERVICES INDIA PVT."/>
    <s v="2025"/>
    <s v="8"/>
    <d v="2025-08-20T00:00:00"/>
    <s v="1800012164"/>
    <x v="1"/>
    <x v="67"/>
    <d v="2025-08-22T00:00:00"/>
    <s v="NA"/>
    <s v="256779416809"/>
    <s v="212100"/>
    <s v="Trade Debtors (Ctrl)"/>
    <s v=""/>
    <s v="01"/>
    <s v="USD"/>
    <n v="82.8"/>
    <s v="INR"/>
    <n v="7123.29"/>
    <s v="O0"/>
    <s v="6779224500"/>
    <s v=""/>
    <s v="NA"/>
    <s v="1"/>
    <s v="VAS-Aug 25- 1-15"/>
    <s v=""/>
    <s v=""/>
    <s v=""/>
    <d v="2025-08-20T00:00:00"/>
    <m/>
    <s v=""/>
  </r>
  <r>
    <s v="Not Selected"/>
    <s v="6779"/>
    <s v="100222332"/>
    <s v="SCOPE LOGISTICS SERVICES INDIA PVT."/>
    <s v="2025"/>
    <s v="8"/>
    <d v="2025-08-20T00:00:00"/>
    <s v="1800012248"/>
    <x v="1"/>
    <x v="67"/>
    <d v="2025-08-22T00:00:00"/>
    <s v="NA"/>
    <s v="256779416844"/>
    <s v="212100"/>
    <s v="Trade Debtors (Ctrl)"/>
    <s v=""/>
    <s v="01"/>
    <s v="USD"/>
    <n v="141.4"/>
    <s v="INR"/>
    <n v="12164.66"/>
    <s v="O0"/>
    <s v="6779224500"/>
    <s v=""/>
    <s v="NA"/>
    <s v="1"/>
    <s v="Inbound chgs - 01 - 15 AUG 25"/>
    <s v=""/>
    <s v=""/>
    <s v=""/>
    <d v="2025-08-20T00:00:00"/>
    <m/>
    <s v=""/>
  </r>
  <r>
    <s v="Not Selected"/>
    <s v="6779"/>
    <s v="100222332"/>
    <s v="SCOPE LOGISTICS SERVICES INDIA PVT."/>
    <s v="2025"/>
    <s v="8"/>
    <d v="2025-08-20T00:00:00"/>
    <s v="1800012216"/>
    <x v="1"/>
    <x v="67"/>
    <d v="2025-08-22T00:00:00"/>
    <s v="NA"/>
    <s v="256779416878"/>
    <s v="212100"/>
    <s v="Trade Debtors (Ctrl)"/>
    <s v=""/>
    <s v="01"/>
    <s v="USD"/>
    <n v="11.52"/>
    <s v="INR"/>
    <n v="991.07"/>
    <s v="O0"/>
    <s v="6779224500"/>
    <s v=""/>
    <s v="NA"/>
    <s v="1"/>
    <s v="Loose chgs - 01 - 15 Aug 25"/>
    <s v=""/>
    <s v=""/>
    <s v=""/>
    <d v="2025-08-20T00:00:00"/>
    <m/>
    <s v=""/>
  </r>
  <r>
    <s v="Not Selected"/>
    <s v="6779"/>
    <s v="100222332"/>
    <s v="SCOPE LOGISTICS SERVICES INDIA PVT."/>
    <s v="2025"/>
    <s v="12"/>
    <d v="2025-12-08T00:00:00"/>
    <s v="1800015418"/>
    <x v="1"/>
    <x v="68"/>
    <d v="2025-12-09T00:00:00"/>
    <s v="NA"/>
    <s v="256779419867"/>
    <s v="212100"/>
    <s v="Trade Debtors (Ctrl)"/>
    <s v=""/>
    <s v="01"/>
    <s v="USD"/>
    <n v="703.51"/>
    <s v="INR"/>
    <n v="62401.440000000002"/>
    <s v="O0"/>
    <s v="6779224500"/>
    <s v=""/>
    <s v="2140083"/>
    <s v="1"/>
    <s v="Gate IN Chgs - 01 - 15 NOV 25"/>
    <s v=""/>
    <s v=""/>
    <s v=""/>
    <d v="2025-12-08T00:00:00"/>
    <m/>
    <s v=""/>
  </r>
  <r>
    <s v="Not Selected"/>
    <s v="6779"/>
    <s v="100222332"/>
    <s v="SCOPE LOGISTICS SERVICES INDIA PVT."/>
    <s v="2025"/>
    <s v="6"/>
    <d v="2025-06-13T00:00:00"/>
    <s v="1800009576"/>
    <x v="1"/>
    <x v="69"/>
    <d v="2025-06-17T00:00:00"/>
    <s v="NA"/>
    <s v="256779414340"/>
    <s v="212100"/>
    <s v="Trade Debtors (Ctrl)"/>
    <s v=""/>
    <s v="01"/>
    <s v="USD"/>
    <n v="586.09"/>
    <s v="INR"/>
    <n v="50105.29"/>
    <s v="O0"/>
    <s v="6779224500"/>
    <s v=""/>
    <s v="NA"/>
    <s v="1"/>
    <s v="CY Longstanding - March 25,16-31"/>
    <s v=""/>
    <s v=""/>
    <s v=""/>
    <d v="2025-06-13T00:00:00"/>
    <m/>
    <s v=""/>
  </r>
  <r>
    <s v="Selected"/>
    <s v="6779"/>
    <s v="100222332"/>
    <s v="SCOPE LOGISTICS SERVICES INDIA PVT."/>
    <s v="2025"/>
    <s v="4"/>
    <d v="2025-04-11T00:00:00"/>
    <s v="1600000007"/>
    <x v="3"/>
    <x v="70"/>
    <d v="2025-04-11T00:00:00"/>
    <s v=""/>
    <s v=""/>
    <s v="212100"/>
    <s v="Trade Debtors (Ctrl)"/>
    <s v=""/>
    <s v="07"/>
    <s v="INR"/>
    <n v="1"/>
    <s v="INR"/>
    <n v="1"/>
    <s v=""/>
    <s v="6779224500"/>
    <s v=""/>
    <s v=""/>
    <s v="1"/>
    <s v="Overpayment"/>
    <s v=""/>
    <s v=""/>
    <s v=""/>
    <d v="2025-04-11T00:00:00"/>
    <d v="2025-04-11T00:00:00"/>
    <s v="1600000007"/>
  </r>
  <r>
    <s v="Selected"/>
    <s v="6779"/>
    <s v="100222332"/>
    <s v="SCOPE LOGISTICS SERVICES INDIA PVT."/>
    <s v="2025"/>
    <s v="4"/>
    <d v="2025-04-11T00:00:00"/>
    <s v="1600000007"/>
    <x v="3"/>
    <x v="70"/>
    <d v="2025-04-11T00:00:00"/>
    <s v=""/>
    <s v=""/>
    <s v="212100"/>
    <s v="Trade Debtors (Ctrl)"/>
    <s v=""/>
    <s v="17"/>
    <s v="INR"/>
    <n v="-1"/>
    <s v="INR"/>
    <n v="-1"/>
    <s v=""/>
    <s v="6779224500"/>
    <s v=""/>
    <s v=""/>
    <s v="2"/>
    <s v="Overpayment"/>
    <s v=""/>
    <s v=""/>
    <s v=""/>
    <d v="2025-04-11T00:00:00"/>
    <d v="2025-04-11T00:00:00"/>
    <s v="1600000007"/>
  </r>
  <r>
    <s v="Selected"/>
    <s v="6779"/>
    <s v="100222332"/>
    <s v="SCOPE LOGISTICS SERVICES INDIA PVT."/>
    <s v="2025"/>
    <s v="9"/>
    <d v="2025-09-02T00:00:00"/>
    <s v="1400001112"/>
    <x v="4"/>
    <x v="71"/>
    <d v="2025-09-02T00:00:00"/>
    <s v=""/>
    <s v=""/>
    <s v="212100"/>
    <s v="Trade Debtors (Ctrl)"/>
    <s v=""/>
    <s v="08"/>
    <s v="INR"/>
    <n v="79944.34"/>
    <s v="INR"/>
    <n v="78561.62"/>
    <s v=""/>
    <s v="6779224500"/>
    <s v=""/>
    <s v=""/>
    <s v="1"/>
    <s v=""/>
    <s v=""/>
    <s v=""/>
    <s v=""/>
    <d v="2025-09-02T00:00:00"/>
    <d v="2025-09-02T00:00:00"/>
    <s v="1400001112"/>
  </r>
  <r>
    <s v="Selected"/>
    <s v="6779"/>
    <s v="100222332"/>
    <s v="SCOPE LOGISTICS SERVICES INDIA PVT."/>
    <s v="2025"/>
    <s v="9"/>
    <d v="2025-09-02T00:00:00"/>
    <s v="1400001112"/>
    <x v="4"/>
    <x v="71"/>
    <d v="2025-09-02T00:00:00"/>
    <s v=""/>
    <s v=""/>
    <s v="212100"/>
    <s v="Trade Debtors (Ctrl)"/>
    <s v=""/>
    <s v="15"/>
    <s v="INR"/>
    <n v="-79944.34"/>
    <s v="INR"/>
    <n v="-78095.820000000007"/>
    <s v=""/>
    <s v="6779224500"/>
    <s v=""/>
    <s v=""/>
    <s v="2"/>
    <s v=""/>
    <s v=""/>
    <s v=""/>
    <s v=""/>
    <d v="2025-09-02T00:00:00"/>
    <d v="2025-09-02T00:00:00"/>
    <s v="1400001112"/>
  </r>
  <r>
    <s v="Selected"/>
    <s v="6779"/>
    <s v="100222332"/>
    <s v="SCOPE LOGISTICS SERVICES INDIA PVT."/>
    <s v="2025"/>
    <s v="7"/>
    <d v="2025-07-16T00:00:00"/>
    <s v="1400000285"/>
    <x v="4"/>
    <x v="0"/>
    <d v="2025-07-17T00:00:00"/>
    <s v="NA"/>
    <s v=""/>
    <s v="212100"/>
    <s v="Trade Debtors (Ctrl)"/>
    <s v=""/>
    <s v="08"/>
    <s v="USD"/>
    <n v="1793.99"/>
    <s v="INR"/>
    <n v="154827.9"/>
    <s v=""/>
    <s v="6779224500"/>
    <s v=""/>
    <s v=""/>
    <s v="1"/>
    <s v=""/>
    <s v=""/>
    <s v=""/>
    <s v=""/>
    <d v="2025-07-16T00:00:00"/>
    <d v="2025-07-16T00:00:00"/>
    <s v="1400000285"/>
  </r>
  <r>
    <s v="Selected"/>
    <s v="6779"/>
    <s v="100222332"/>
    <s v="SCOPE LOGISTICS SERVICES INDIA PVT."/>
    <s v="2025"/>
    <s v="7"/>
    <d v="2025-07-16T00:00:00"/>
    <s v="1400000285"/>
    <x v="4"/>
    <x v="0"/>
    <d v="2025-07-17T00:00:00"/>
    <s v="NA"/>
    <s v=""/>
    <s v="212100"/>
    <s v="Trade Debtors (Ctrl)"/>
    <s v=""/>
    <s v="15"/>
    <s v="USD"/>
    <n v="-1793.99"/>
    <s v="INR"/>
    <n v="-154827.9"/>
    <s v=""/>
    <s v="6779224500"/>
    <s v=""/>
    <s v=""/>
    <s v="2"/>
    <s v=""/>
    <s v=""/>
    <s v=""/>
    <s v=""/>
    <d v="2025-07-16T00:00:00"/>
    <d v="2025-07-16T00:00:00"/>
    <s v="1400000285"/>
  </r>
  <r>
    <s v="Selected"/>
    <s v="6779"/>
    <s v="100222332"/>
    <s v="SCOPE LOGISTICS SERVICES INDIA PVT."/>
    <s v="2025"/>
    <s v="7"/>
    <d v="2025-07-16T00:00:00"/>
    <s v="1400000286"/>
    <x v="4"/>
    <x v="0"/>
    <d v="2025-07-17T00:00:00"/>
    <s v="NA"/>
    <s v=""/>
    <s v="212100"/>
    <s v="Trade Debtors (Ctrl)"/>
    <s v=""/>
    <s v="08"/>
    <s v="USD"/>
    <n v="705"/>
    <s v="INR"/>
    <n v="60844.08"/>
    <s v=""/>
    <s v="6779224500"/>
    <s v=""/>
    <s v=""/>
    <s v="1"/>
    <s v=""/>
    <s v=""/>
    <s v=""/>
    <s v=""/>
    <d v="2025-07-16T00:00:00"/>
    <d v="2025-07-16T00:00:00"/>
    <s v="1400000286"/>
  </r>
  <r>
    <s v="Selected"/>
    <s v="6779"/>
    <s v="100222332"/>
    <s v="SCOPE LOGISTICS SERVICES INDIA PVT."/>
    <s v="2025"/>
    <s v="7"/>
    <d v="2025-07-16T00:00:00"/>
    <s v="1400000286"/>
    <x v="4"/>
    <x v="0"/>
    <d v="2025-07-17T00:00:00"/>
    <s v="NA"/>
    <s v=""/>
    <s v="212100"/>
    <s v="Trade Debtors (Ctrl)"/>
    <s v=""/>
    <s v="15"/>
    <s v="USD"/>
    <n v="-705"/>
    <s v="INR"/>
    <n v="-60844.08"/>
    <s v=""/>
    <s v="6779224500"/>
    <s v=""/>
    <s v=""/>
    <s v="2"/>
    <s v=""/>
    <s v=""/>
    <s v=""/>
    <s v=""/>
    <d v="2025-07-16T00:00:00"/>
    <d v="2025-07-16T00:00:00"/>
    <s v="1400000286"/>
  </r>
  <r>
    <s v="Selected"/>
    <s v="6779"/>
    <s v="100222332"/>
    <s v="SCOPE LOGISTICS SERVICES INDIA PVT."/>
    <s v="2025"/>
    <s v="7"/>
    <d v="2025-07-16T00:00:00"/>
    <s v="1400000287"/>
    <x v="4"/>
    <x v="0"/>
    <d v="2025-07-17T00:00:00"/>
    <s v="NA"/>
    <s v=""/>
    <s v="212100"/>
    <s v="Trade Debtors (Ctrl)"/>
    <s v=""/>
    <s v="08"/>
    <s v="USD"/>
    <n v="216.2"/>
    <s v="INR"/>
    <n v="18742.650000000001"/>
    <s v=""/>
    <s v="6779224500"/>
    <s v=""/>
    <s v=""/>
    <s v="1"/>
    <s v=""/>
    <s v=""/>
    <s v=""/>
    <s v=""/>
    <d v="2025-07-16T00:00:00"/>
    <d v="2025-07-16T00:00:00"/>
    <s v="1400000287"/>
  </r>
  <r>
    <s v="Selected"/>
    <s v="6779"/>
    <s v="100222332"/>
    <s v="SCOPE LOGISTICS SERVICES INDIA PVT."/>
    <s v="2025"/>
    <s v="7"/>
    <d v="2025-07-16T00:00:00"/>
    <s v="1400000287"/>
    <x v="4"/>
    <x v="0"/>
    <d v="2025-07-17T00:00:00"/>
    <s v="NA"/>
    <s v=""/>
    <s v="212100"/>
    <s v="Trade Debtors (Ctrl)"/>
    <s v=""/>
    <s v="15"/>
    <s v="USD"/>
    <n v="-216.2"/>
    <s v="INR"/>
    <n v="-18742.650000000001"/>
    <s v=""/>
    <s v="6779224500"/>
    <s v=""/>
    <s v=""/>
    <s v="2"/>
    <s v=""/>
    <s v=""/>
    <s v=""/>
    <s v=""/>
    <d v="2025-07-16T00:00:00"/>
    <d v="2025-07-16T00:00:00"/>
    <s v="1400000287"/>
  </r>
  <r>
    <s v="Selected"/>
    <s v="6779"/>
    <s v="100222332"/>
    <s v="SCOPE LOGISTICS SERVICES INDIA PVT."/>
    <s v="2025"/>
    <s v="7"/>
    <d v="2025-07-16T00:00:00"/>
    <s v="1400000288"/>
    <x v="4"/>
    <x v="0"/>
    <d v="2025-07-17T00:00:00"/>
    <s v="NA"/>
    <s v=""/>
    <s v="212100"/>
    <s v="Trade Debtors (Ctrl)"/>
    <s v=""/>
    <s v="08"/>
    <s v="USD"/>
    <n v="1926.06"/>
    <s v="INR"/>
    <n v="166972.57"/>
    <s v=""/>
    <s v="6779224500"/>
    <s v=""/>
    <s v=""/>
    <s v="1"/>
    <s v=""/>
    <s v=""/>
    <s v=""/>
    <s v=""/>
    <d v="2025-07-16T00:00:00"/>
    <d v="2025-07-16T00:00:00"/>
    <s v="1400000288"/>
  </r>
  <r>
    <s v="Selected"/>
    <s v="6779"/>
    <s v="100222332"/>
    <s v="SCOPE LOGISTICS SERVICES INDIA PVT."/>
    <s v="2025"/>
    <s v="7"/>
    <d v="2025-07-16T00:00:00"/>
    <s v="1400000288"/>
    <x v="4"/>
    <x v="0"/>
    <d v="2025-07-17T00:00:00"/>
    <s v="NA"/>
    <s v=""/>
    <s v="212100"/>
    <s v="Trade Debtors (Ctrl)"/>
    <s v=""/>
    <s v="15"/>
    <s v="USD"/>
    <n v="-1926.06"/>
    <s v="INR"/>
    <n v="-166972.57"/>
    <s v=""/>
    <s v="6779224500"/>
    <s v=""/>
    <s v=""/>
    <s v="2"/>
    <s v=""/>
    <s v=""/>
    <s v=""/>
    <s v=""/>
    <d v="2025-07-16T00:00:00"/>
    <d v="2025-07-16T00:00:00"/>
    <s v="1400000288"/>
  </r>
  <r>
    <s v="Selected"/>
    <s v="6779"/>
    <s v="100222332"/>
    <s v="SCOPE LOGISTICS SERVICES INDIA PVT."/>
    <s v="2025"/>
    <s v="7"/>
    <d v="2025-07-16T00:00:00"/>
    <s v="1400000289"/>
    <x v="4"/>
    <x v="0"/>
    <d v="2025-07-17T00:00:00"/>
    <s v="NA"/>
    <s v=""/>
    <s v="212100"/>
    <s v="Trade Debtors (Ctrl)"/>
    <s v=""/>
    <s v="08"/>
    <s v="USD"/>
    <n v="531.9"/>
    <s v="INR"/>
    <n v="46111.08"/>
    <s v=""/>
    <s v="6779224500"/>
    <s v=""/>
    <s v=""/>
    <s v="1"/>
    <s v=""/>
    <s v=""/>
    <s v=""/>
    <s v=""/>
    <d v="2025-07-16T00:00:00"/>
    <d v="2025-07-16T00:00:00"/>
    <s v="1400000289"/>
  </r>
  <r>
    <s v="Selected"/>
    <s v="6779"/>
    <s v="100222332"/>
    <s v="SCOPE LOGISTICS SERVICES INDIA PVT."/>
    <s v="2025"/>
    <s v="7"/>
    <d v="2025-07-16T00:00:00"/>
    <s v="1400000289"/>
    <x v="4"/>
    <x v="0"/>
    <d v="2025-07-17T00:00:00"/>
    <s v="NA"/>
    <s v=""/>
    <s v="212100"/>
    <s v="Trade Debtors (Ctrl)"/>
    <s v=""/>
    <s v="15"/>
    <s v="USD"/>
    <n v="-531.9"/>
    <s v="INR"/>
    <n v="-46111.08"/>
    <s v=""/>
    <s v="6779224500"/>
    <s v=""/>
    <s v=""/>
    <s v="2"/>
    <s v=""/>
    <s v=""/>
    <s v=""/>
    <s v=""/>
    <d v="2025-07-16T00:00:00"/>
    <d v="2025-07-16T00:00:00"/>
    <s v="1400000289"/>
  </r>
  <r>
    <s v="Not Selected"/>
    <s v="6779"/>
    <s v="100222332"/>
    <s v="SCOPE LOGISTICS SERVICES INDIA PVT."/>
    <s v="2025"/>
    <s v="10"/>
    <d v="2025-10-16T00:00:00"/>
    <s v="1400001437"/>
    <x v="2"/>
    <x v="72"/>
    <d v="2025-10-16T00:00:00"/>
    <s v="RBINR52025100994757493"/>
    <s v=""/>
    <s v="212100"/>
    <s v="Trade Debtors (Ctrl)"/>
    <s v=""/>
    <s v="15"/>
    <s v="INR"/>
    <n v="-500000"/>
    <s v="INR"/>
    <n v="-500000"/>
    <s v=""/>
    <s v="6779220000"/>
    <s v=""/>
    <s v=""/>
    <s v="2"/>
    <s v=""/>
    <s v=""/>
    <s v=""/>
    <s v=""/>
    <d v="2025-10-16T00:00:00"/>
    <m/>
    <s v=""/>
  </r>
  <r>
    <s v="Not Selected"/>
    <s v="6779"/>
    <s v="100222332"/>
    <s v="SCOPE LOGISTICS SERVICES INDIA PVT."/>
    <s v="2025"/>
    <s v="10"/>
    <d v="2025-10-29T00:00:00"/>
    <s v="1400001551"/>
    <x v="2"/>
    <x v="73"/>
    <d v="2025-10-29T00:00:00"/>
    <s v="PUNBR52025101818263040"/>
    <s v=""/>
    <s v="212100"/>
    <s v="Trade Debtors (Ctrl)"/>
    <s v=""/>
    <s v="15"/>
    <s v="INR"/>
    <n v="-500000"/>
    <s v="INR"/>
    <n v="-500000"/>
    <s v=""/>
    <s v="6779220000"/>
    <s v=""/>
    <s v=""/>
    <s v="2"/>
    <s v=""/>
    <s v=""/>
    <s v=""/>
    <s v=""/>
    <d v="2025-10-29T00:00:00"/>
    <m/>
    <s v=""/>
  </r>
  <r>
    <s v="Not Selected"/>
    <s v="6779"/>
    <s v="100222332"/>
    <s v="SCOPE LOGISTICS SERVICES INDIA PVT."/>
    <s v="2025"/>
    <s v="11"/>
    <d v="2025-11-11T00:00:00"/>
    <s v="1400001616"/>
    <x v="2"/>
    <x v="74"/>
    <d v="2025-11-11T00:00:00"/>
    <s v="PUNBR52025110118746241"/>
    <s v=""/>
    <s v="212100"/>
    <s v="Trade Debtors (Ctrl)"/>
    <s v=""/>
    <s v="15"/>
    <s v="INR"/>
    <n v="-500000"/>
    <s v="INR"/>
    <n v="-500000"/>
    <s v=""/>
    <s v="6779220000"/>
    <s v=""/>
    <s v=""/>
    <s v="2"/>
    <s v=""/>
    <s v=""/>
    <s v=""/>
    <s v=""/>
    <d v="2025-11-11T00:00:00"/>
    <m/>
    <s v=""/>
  </r>
  <r>
    <s v="Selected"/>
    <s v="6779"/>
    <s v="100222332"/>
    <s v="SCOPE LOGISTICS SERVICES INDIA PVT."/>
    <s v="2025"/>
    <s v="11"/>
    <d v="2025-11-11T00:00:00"/>
    <s v="1400001985"/>
    <x v="2"/>
    <x v="74"/>
    <d v="2025-11-24T00:00:00"/>
    <s v="PUNBR52025110118746241"/>
    <s v=""/>
    <s v="212100"/>
    <s v="Trade Debtors (Ctrl)"/>
    <s v=""/>
    <s v="05"/>
    <s v="INR"/>
    <n v="500000"/>
    <s v="INR"/>
    <n v="500000"/>
    <s v=""/>
    <s v="6779220000"/>
    <s v=""/>
    <s v=""/>
    <s v="2"/>
    <s v=""/>
    <s v=""/>
    <s v=""/>
    <s v=""/>
    <d v="2025-11-11T00:00:00"/>
    <d v="2025-11-11T00:00:00"/>
    <s v="1400001985"/>
  </r>
  <r>
    <s v="Selected"/>
    <s v="6779"/>
    <s v="100222332"/>
    <s v="SCOPE LOGISTICS SERVICES INDIA PVT."/>
    <s v="2025"/>
    <s v="11"/>
    <d v="2025-11-11T00:00:00"/>
    <s v="1400001619"/>
    <x v="2"/>
    <x v="74"/>
    <d v="2025-11-11T00:00:00"/>
    <s v="PUNBR52025110118746241"/>
    <s v=""/>
    <s v="212100"/>
    <s v="Trade Debtors (Ctrl)"/>
    <s v=""/>
    <s v="15"/>
    <s v="INR"/>
    <n v="-500000"/>
    <s v="INR"/>
    <n v="-500000"/>
    <s v=""/>
    <s v="6779220000"/>
    <s v=""/>
    <s v=""/>
    <s v="2"/>
    <s v=""/>
    <s v=""/>
    <s v=""/>
    <s v=""/>
    <d v="2025-11-11T00:00:00"/>
    <d v="2025-11-11T00:00:00"/>
    <s v="1400001985"/>
  </r>
  <r>
    <s v="Not Selected"/>
    <s v="6779"/>
    <s v="100222332"/>
    <s v="SCOPE LOGISTICS SERVICES INDIA PVT."/>
    <s v="2025"/>
    <s v="12"/>
    <d v="2025-12-16T00:00:00"/>
    <s v="1400002209"/>
    <x v="2"/>
    <x v="75"/>
    <d v="2025-12-16T00:00:00"/>
    <s v="PUNBN62025121256541264"/>
    <s v=""/>
    <s v="212100"/>
    <s v="Trade Debtors (Ctrl)"/>
    <s v=""/>
    <s v="15"/>
    <s v="INR"/>
    <n v="-500000"/>
    <s v="INR"/>
    <n v="-500000"/>
    <s v=""/>
    <s v="6779220000"/>
    <s v=""/>
    <s v=""/>
    <s v="2"/>
    <s v=""/>
    <s v=""/>
    <s v=""/>
    <s v=""/>
    <d v="2025-12-16T00:00:00"/>
    <m/>
    <s v=""/>
  </r>
  <r>
    <s v="Not Selected"/>
    <s v="6779"/>
    <s v="100222332"/>
    <s v="SCOPE LOGISTICS SERVICES INDIA PVT."/>
    <s v="2025"/>
    <s v="8"/>
    <d v="2025-08-21T00:00:00"/>
    <s v="1400000896"/>
    <x v="2"/>
    <x v="76"/>
    <d v="2025-08-21T00:00:00"/>
    <s v="CLD10FTGDCQ9"/>
    <s v=""/>
    <s v="212100"/>
    <s v="Trade Debtors (Ctrl)"/>
    <s v=""/>
    <s v="15"/>
    <s v="INR"/>
    <n v="-700000"/>
    <s v="INR"/>
    <n v="-700000"/>
    <s v=""/>
    <s v="6779220000"/>
    <s v=""/>
    <s v=""/>
    <s v="2"/>
    <s v=""/>
    <s v=""/>
    <s v=""/>
    <s v=""/>
    <d v="2025-08-21T00:00:00"/>
    <m/>
    <s v=""/>
  </r>
  <r>
    <s v="Not Selected"/>
    <s v="6779"/>
    <s v="100222332"/>
    <s v="SCOPE LOGISTICS SERVICES INDIA PVT."/>
    <s v="2025"/>
    <s v="8"/>
    <d v="2025-08-21T00:00:00"/>
    <s v="1400000909"/>
    <x v="2"/>
    <x v="76"/>
    <d v="2025-08-21T00:00:00"/>
    <s v="CWDX5M1B7S9Y"/>
    <s v=""/>
    <s v="212100"/>
    <s v="Trade Debtors (Ctrl)"/>
    <s v=""/>
    <s v="15"/>
    <s v="INR"/>
    <n v="-700000"/>
    <s v="INR"/>
    <n v="-700000"/>
    <s v=""/>
    <s v="6779220000"/>
    <s v=""/>
    <s v=""/>
    <s v="2"/>
    <s v=""/>
    <s v=""/>
    <s v=""/>
    <s v=""/>
    <d v="2025-08-21T00:00:00"/>
    <m/>
    <s v=""/>
  </r>
  <r>
    <s v="Not Selected"/>
    <s v="6779"/>
    <s v="100222332"/>
    <s v="SCOPE LOGISTICS SERVICES INDIA PVT."/>
    <s v="2025"/>
    <s v="8"/>
    <d v="2025-08-21T00:00:00"/>
    <s v="1400000924"/>
    <x v="2"/>
    <x v="76"/>
    <d v="2025-08-21T00:00:00"/>
    <s v="CYFC8Q39QKP6"/>
    <s v=""/>
    <s v="212100"/>
    <s v="Trade Debtors (Ctrl)"/>
    <s v=""/>
    <s v="15"/>
    <s v="INR"/>
    <n v="-700000"/>
    <s v="INR"/>
    <n v="-700000"/>
    <s v=""/>
    <s v="6779220000"/>
    <s v=""/>
    <s v=""/>
    <s v="2"/>
    <s v=""/>
    <s v=""/>
    <s v=""/>
    <s v=""/>
    <d v="2025-08-21T00:00:00"/>
    <m/>
    <s v=""/>
  </r>
  <r>
    <s v="Not Selected"/>
    <s v="6779"/>
    <s v="100222332"/>
    <s v="SCOPE LOGISTICS SERVICES INDIA PVT."/>
    <s v="2025"/>
    <s v="8"/>
    <d v="2025-08-21T00:00:00"/>
    <s v="1400000939"/>
    <x v="2"/>
    <x v="76"/>
    <d v="2025-08-21T00:00:00"/>
    <s v="CWVJ4317QGG5"/>
    <s v=""/>
    <s v="212100"/>
    <s v="Trade Debtors (Ctrl)"/>
    <s v=""/>
    <s v="15"/>
    <s v="INR"/>
    <n v="-700000"/>
    <s v="INR"/>
    <n v="-700000"/>
    <s v=""/>
    <s v="6779220000"/>
    <s v=""/>
    <s v=""/>
    <s v="2"/>
    <s v=""/>
    <s v=""/>
    <s v=""/>
    <s v=""/>
    <d v="2025-08-21T00:00:00"/>
    <m/>
    <s v=""/>
  </r>
  <r>
    <s v="Not Selected"/>
    <s v="6779"/>
    <s v="100222332"/>
    <s v="SCOPE LOGISTICS SERVICES INDIA PVT."/>
    <s v="2025"/>
    <s v="8"/>
    <d v="2025-08-21T00:00:00"/>
    <s v="1400000954"/>
    <x v="2"/>
    <x v="76"/>
    <d v="2025-08-21T00:00:00"/>
    <s v="CYFC8MGLSWHG"/>
    <s v=""/>
    <s v="212100"/>
    <s v="Trade Debtors (Ctrl)"/>
    <s v=""/>
    <s v="15"/>
    <s v="INR"/>
    <n v="-700000"/>
    <s v="INR"/>
    <n v="-700000"/>
    <s v=""/>
    <s v="6779220000"/>
    <s v=""/>
    <s v=""/>
    <s v="2"/>
    <s v=""/>
    <s v=""/>
    <s v=""/>
    <s v=""/>
    <d v="2025-08-21T00:00:00"/>
    <m/>
    <s v=""/>
  </r>
  <r>
    <s v="Not Selected"/>
    <s v="6779"/>
    <s v="100222332"/>
    <s v="SCOPE LOGISTICS SERVICES INDIA PVT."/>
    <s v="2025"/>
    <s v="8"/>
    <d v="2025-08-21T00:00:00"/>
    <s v="1400000963"/>
    <x v="2"/>
    <x v="76"/>
    <d v="2025-08-21T00:00:00"/>
    <s v="D7GGNWM3YNBX"/>
    <s v=""/>
    <s v="212100"/>
    <s v="Trade Debtors (Ctrl)"/>
    <s v=""/>
    <s v="15"/>
    <s v="INR"/>
    <n v="-350672"/>
    <s v="INR"/>
    <n v="-350672"/>
    <s v=""/>
    <s v="6779220000"/>
    <s v=""/>
    <s v=""/>
    <s v="2"/>
    <s v=""/>
    <s v=""/>
    <s v=""/>
    <s v=""/>
    <d v="2025-08-21T00:00:00"/>
    <m/>
    <s v=""/>
  </r>
  <r>
    <s v="Not Selected"/>
    <s v="6779"/>
    <s v="100222332"/>
    <s v="SCOPE LOGISTICS SERVICES INDIA PVT."/>
    <s v="2025"/>
    <s v="10"/>
    <d v="2025-10-16T00:00:00"/>
    <s v="1400001439"/>
    <x v="2"/>
    <x v="72"/>
    <d v="2025-10-16T00:00:00"/>
    <s v="PUNBN62025101050450380"/>
    <s v=""/>
    <s v="212100"/>
    <s v="Trade Debtors (Ctrl)"/>
    <s v=""/>
    <s v="15"/>
    <s v="INR"/>
    <n v="-108564"/>
    <s v="INR"/>
    <n v="-108564"/>
    <s v=""/>
    <s v="6779220000"/>
    <s v=""/>
    <s v=""/>
    <s v="2"/>
    <s v=""/>
    <s v=""/>
    <s v=""/>
    <s v=""/>
    <d v="2025-10-16T00:00:00"/>
    <m/>
    <s v=""/>
  </r>
  <r>
    <s v="Not Selected"/>
    <s v="6779"/>
    <s v="100222332"/>
    <s v="SCOPE LOGISTICS SERVICES INDIA PVT."/>
    <s v="2025"/>
    <s v="7"/>
    <d v="2025-07-01T00:00:00"/>
    <s v="1400000091"/>
    <x v="2"/>
    <x v="77"/>
    <d v="2025-06-24T00:00:00"/>
    <s v="PUNBN62025053050253551"/>
    <s v=""/>
    <s v="212100"/>
    <s v="Trade Debtors (Ctrl)"/>
    <s v=""/>
    <s v="15"/>
    <s v="INR"/>
    <n v="-177773"/>
    <s v="INR"/>
    <n v="-177773"/>
    <s v=""/>
    <s v="6779220000"/>
    <s v=""/>
    <s v=""/>
    <s v="2"/>
    <s v=""/>
    <s v=""/>
    <s v=""/>
    <s v=""/>
    <d v="2025-06-24T00:00:00"/>
    <m/>
    <s v=""/>
  </r>
  <r>
    <s v="Not Selected"/>
    <s v="6779"/>
    <s v="100222332"/>
    <s v="SCOPE LOGISTICS SERVICES INDIA PVT."/>
    <s v="2025"/>
    <s v="7"/>
    <d v="2025-07-01T00:00:00"/>
    <s v="1400000095"/>
    <x v="2"/>
    <x v="77"/>
    <d v="2025-06-24T00:00:00"/>
    <s v="RBINR52025060452948870"/>
    <s v=""/>
    <s v="212100"/>
    <s v="Trade Debtors (Ctrl)"/>
    <s v=""/>
    <s v="15"/>
    <s v="INR"/>
    <n v="-500947"/>
    <s v="INR"/>
    <n v="-500947"/>
    <s v=""/>
    <s v="6779220000"/>
    <s v=""/>
    <s v=""/>
    <s v="2"/>
    <s v=""/>
    <s v=""/>
    <s v=""/>
    <s v=""/>
    <d v="2025-06-24T00:00:00"/>
    <m/>
    <s v=""/>
  </r>
  <r>
    <s v="Not Selected"/>
    <s v="6779"/>
    <s v="100222332"/>
    <s v="SCOPE LOGISTICS SERVICES INDIA PVT."/>
    <s v="2025"/>
    <s v="7"/>
    <d v="2025-07-01T00:00:00"/>
    <s v="1400000097"/>
    <x v="2"/>
    <x v="77"/>
    <d v="2025-06-24T00:00:00"/>
    <s v="PUNBN62025061353786918"/>
    <s v=""/>
    <s v="212100"/>
    <s v="Trade Debtors (Ctrl)"/>
    <s v=""/>
    <s v="15"/>
    <s v="INR"/>
    <n v="-700000"/>
    <s v="INR"/>
    <n v="-700000"/>
    <s v=""/>
    <s v="6779220000"/>
    <s v=""/>
    <s v=""/>
    <s v="2"/>
    <s v=""/>
    <s v=""/>
    <s v=""/>
    <s v=""/>
    <d v="2025-06-24T00:00:00"/>
    <m/>
    <s v=""/>
  </r>
  <r>
    <s v="Not Selected"/>
    <s v="6779"/>
    <s v="100222332"/>
    <s v="SCOPE LOGISTICS SERVICES INDIA PVT."/>
    <s v="2025"/>
    <s v="11"/>
    <d v="2025-11-03T00:00:00"/>
    <s v="1400001594"/>
    <x v="2"/>
    <x v="78"/>
    <d v="2025-11-03T00:00:00"/>
    <s v="PUNBR52025102918605898"/>
    <s v=""/>
    <s v="212100"/>
    <s v="Trade Debtors (Ctrl)"/>
    <s v=""/>
    <s v="15"/>
    <s v="INR"/>
    <n v="-300000"/>
    <s v="INR"/>
    <n v="-300000"/>
    <s v=""/>
    <s v="6779220000"/>
    <s v=""/>
    <s v=""/>
    <s v="2"/>
    <s v=""/>
    <s v=""/>
    <s v=""/>
    <s v=""/>
    <d v="2025-11-03T00:00:00"/>
    <m/>
    <s v=""/>
  </r>
  <r>
    <s v="Selected"/>
    <s v="6779"/>
    <s v="100222332"/>
    <s v="SCOPE LOGISTICS SERVICES INDIA PVT."/>
    <s v="2025"/>
    <s v="2"/>
    <d v="2025-02-13T00:00:00"/>
    <s v="7000000014"/>
    <x v="5"/>
    <x v="79"/>
    <d v="2025-02-13T00:00:00"/>
    <s v="6779ZP25000034"/>
    <s v="6779ZP25000034"/>
    <s v="212100"/>
    <s v="Trade Debtors (Ctrl)"/>
    <s v=""/>
    <s v="11"/>
    <s v="INR"/>
    <n v="-1"/>
    <s v="INR"/>
    <n v="-1"/>
    <s v=""/>
    <s v="6779224500"/>
    <s v=""/>
    <s v="6779ZP25000034"/>
    <s v="1"/>
    <s v="Overpayment"/>
    <s v="100222332"/>
    <s v=""/>
    <s v="100222332"/>
    <d v="2025-02-13T00:00:00"/>
    <d v="2025-04-11T00:00:00"/>
    <s v="1600000007"/>
  </r>
  <r>
    <s v="Selected"/>
    <s v="6779"/>
    <s v="100222332"/>
    <s v="SCOPE LOGISTICS SERVICES INDIA PVT."/>
    <s v="2025"/>
    <s v="3"/>
    <d v="2025-03-28T00:00:00"/>
    <s v="7000000198"/>
    <x v="5"/>
    <x v="80"/>
    <d v="2025-03-28T00:00:00"/>
    <s v="6779ZR25000006"/>
    <s v="6779ZR25000006"/>
    <s v="212100"/>
    <s v="Trade Debtors (Ctrl)"/>
    <s v=""/>
    <s v="01"/>
    <s v="INR"/>
    <n v="1"/>
    <s v="INR"/>
    <n v="1"/>
    <s v=""/>
    <s v="6779224500"/>
    <s v=""/>
    <s v="6779ZP25000034"/>
    <s v="59"/>
    <s v="Overpayment"/>
    <s v="100222332"/>
    <s v=""/>
    <s v="100222332"/>
    <d v="2025-03-28T00:00:00"/>
    <d v="2025-04-11T00:00:00"/>
    <s v="1600000007"/>
  </r>
  <r>
    <s v="Selected"/>
    <s v="6779"/>
    <s v="100222332"/>
    <s v="SCOPE LOGISTICS SERVICES INDIA PVT."/>
    <s v="2025"/>
    <s v="7"/>
    <d v="2025-07-04T00:00:00"/>
    <s v="1400000245"/>
    <x v="4"/>
    <x v="56"/>
    <d v="2025-07-04T00:00:00"/>
    <s v="NA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04T00:00:00"/>
    <d v="2025-07-04T00:00:00"/>
    <s v="1400000245"/>
  </r>
  <r>
    <s v="Selected"/>
    <s v="6779"/>
    <s v="100222332"/>
    <s v="SCOPE LOGISTICS SERVICES INDIA PVT."/>
    <s v="2025"/>
    <s v="7"/>
    <d v="2025-07-04T00:00:00"/>
    <s v="1400000248"/>
    <x v="4"/>
    <x v="56"/>
    <d v="2025-07-04T00:00:00"/>
    <s v="NA"/>
    <s v="KNOCK OFF ENTRY"/>
    <s v="212100"/>
    <s v="Trade Debtors (Ctrl)"/>
    <s v=""/>
    <s v="15"/>
    <s v="USD"/>
    <n v="0"/>
    <s v="INR"/>
    <n v="0"/>
    <s v=""/>
    <s v="6779224500"/>
    <s v=""/>
    <s v=""/>
    <s v="1"/>
    <s v=""/>
    <s v=""/>
    <s v=""/>
    <s v=""/>
    <d v="2025-07-04T00:00:00"/>
    <d v="2025-07-04T00:00:00"/>
    <s v="1400000248"/>
  </r>
  <r>
    <s v="Selected"/>
    <s v="6779"/>
    <s v="100222332"/>
    <s v="SCOPE LOGISTICS SERVICES INDIA PVT."/>
    <s v="2025"/>
    <s v="7"/>
    <d v="2025-07-04T00:00:00"/>
    <s v="1400000246"/>
    <x v="4"/>
    <x v="56"/>
    <d v="2025-07-04T00:00:00"/>
    <s v="NA"/>
    <s v="KNOCK OFF ENTRY"/>
    <s v="212100"/>
    <s v="Trade Debtors (Ctrl)"/>
    <s v=""/>
    <s v="08"/>
    <s v="USD"/>
    <n v="456.75"/>
    <s v="INR"/>
    <n v="39701.54"/>
    <s v=""/>
    <s v="6779224500"/>
    <s v=""/>
    <s v=""/>
    <s v="1"/>
    <s v=""/>
    <s v=""/>
    <s v=""/>
    <s v=""/>
    <d v="2025-07-04T00:00:00"/>
    <d v="2025-07-04T00:00:00"/>
    <s v="1400000246"/>
  </r>
  <r>
    <s v="Selected"/>
    <s v="6779"/>
    <s v="100222332"/>
    <s v="SCOPE LOGISTICS SERVICES INDIA PVT."/>
    <s v="2025"/>
    <s v="7"/>
    <d v="2025-07-04T00:00:00"/>
    <s v="1400000246"/>
    <x v="4"/>
    <x v="56"/>
    <d v="2025-07-04T00:00:00"/>
    <s v="NA"/>
    <s v="KNOCK OFF ENTRY"/>
    <s v="212100"/>
    <s v="Trade Debtors (Ctrl)"/>
    <s v=""/>
    <s v="15"/>
    <s v="USD"/>
    <n v="-456.75"/>
    <s v="INR"/>
    <n v="-39701.54"/>
    <s v=""/>
    <s v="6779224500"/>
    <s v=""/>
    <s v=""/>
    <s v="2"/>
    <s v=""/>
    <s v=""/>
    <s v=""/>
    <s v=""/>
    <d v="2025-07-04T00:00:00"/>
    <d v="2025-07-04T00:00:00"/>
    <s v="1400000246"/>
  </r>
  <r>
    <s v="Selected"/>
    <s v="6779"/>
    <s v="100222332"/>
    <s v="SCOPE LOGISTICS SERVICES INDIA PVT."/>
    <s v="2025"/>
    <s v="7"/>
    <d v="2025-07-04T00:00:00"/>
    <s v="1400000247"/>
    <x v="4"/>
    <x v="56"/>
    <d v="2025-07-04T00:00:00"/>
    <s v="NA"/>
    <s v="KNOCK OFF ENTRY"/>
    <s v="212100"/>
    <s v="Trade Debtors (Ctrl)"/>
    <s v=""/>
    <s v="08"/>
    <s v="USD"/>
    <n v="456.75"/>
    <s v="INR"/>
    <n v="39701.54"/>
    <s v=""/>
    <s v="6779224500"/>
    <s v=""/>
    <s v=""/>
    <s v="1"/>
    <s v=""/>
    <s v=""/>
    <s v=""/>
    <s v=""/>
    <d v="2025-07-04T00:00:00"/>
    <d v="2025-07-04T00:00:00"/>
    <s v="1400000247"/>
  </r>
  <r>
    <s v="Selected"/>
    <s v="6779"/>
    <s v="100222332"/>
    <s v="SCOPE LOGISTICS SERVICES INDIA PVT."/>
    <s v="2025"/>
    <s v="7"/>
    <d v="2025-07-04T00:00:00"/>
    <s v="1400000247"/>
    <x v="4"/>
    <x v="56"/>
    <d v="2025-07-04T00:00:00"/>
    <s v="NA"/>
    <s v="KNOCK OFF ENTRY"/>
    <s v="212100"/>
    <s v="Trade Debtors (Ctrl)"/>
    <s v=""/>
    <s v="15"/>
    <s v="USD"/>
    <n v="-456.75"/>
    <s v="INR"/>
    <n v="-39701.54"/>
    <s v=""/>
    <s v="6779224500"/>
    <s v=""/>
    <s v=""/>
    <s v="2"/>
    <s v=""/>
    <s v=""/>
    <s v=""/>
    <s v=""/>
    <d v="2025-07-04T00:00:00"/>
    <d v="2025-07-04T00:00:00"/>
    <s v="1400000247"/>
  </r>
  <r>
    <s v="Selected"/>
    <s v="6779"/>
    <s v="100222332"/>
    <s v="SCOPE LOGISTICS SERVICES INDIA PVT."/>
    <s v="2025"/>
    <s v="7"/>
    <d v="2025-07-16T00:00:00"/>
    <s v="1400000290"/>
    <x v="4"/>
    <x v="0"/>
    <d v="2025-07-17T00:00:00"/>
    <s v="NA"/>
    <s v="KNOCK OFF ENTRY"/>
    <s v="212100"/>
    <s v="Trade Debtors (Ctrl)"/>
    <s v=""/>
    <s v="08"/>
    <s v="USD"/>
    <n v="525"/>
    <s v="INR"/>
    <n v="45512.91"/>
    <s v=""/>
    <s v="6779224500"/>
    <s v=""/>
    <s v=""/>
    <s v="1"/>
    <s v=""/>
    <s v=""/>
    <s v=""/>
    <s v=""/>
    <d v="2025-07-16T00:00:00"/>
    <d v="2025-07-16T00:00:00"/>
    <s v="1400000290"/>
  </r>
  <r>
    <s v="Selected"/>
    <s v="6779"/>
    <s v="100222332"/>
    <s v="SCOPE LOGISTICS SERVICES INDIA PVT."/>
    <s v="2025"/>
    <s v="7"/>
    <d v="2025-07-16T00:00:00"/>
    <s v="1400000290"/>
    <x v="4"/>
    <x v="0"/>
    <d v="2025-07-17T00:00:00"/>
    <s v="NA"/>
    <s v="KNOCK OFF ENTRY"/>
    <s v="212100"/>
    <s v="Trade Debtors (Ctrl)"/>
    <s v=""/>
    <s v="15"/>
    <s v="USD"/>
    <n v="-525"/>
    <s v="INR"/>
    <n v="-45512.91"/>
    <s v=""/>
    <s v="6779224500"/>
    <s v=""/>
    <s v=""/>
    <s v="2"/>
    <s v=""/>
    <s v=""/>
    <s v=""/>
    <s v=""/>
    <d v="2025-07-16T00:00:00"/>
    <d v="2025-07-16T00:00:00"/>
    <s v="1400000290"/>
  </r>
  <r>
    <s v="Selected"/>
    <s v="6779"/>
    <s v="100222332"/>
    <s v="SCOPE LOGISTICS SERVICES INDIA PVT."/>
    <s v="2025"/>
    <s v="3"/>
    <d v="2025-03-19T00:00:00"/>
    <s v="1800003221"/>
    <x v="1"/>
    <x v="10"/>
    <d v="2025-03-20T00:00:00"/>
    <s v="NA"/>
    <s v="246779413088"/>
    <s v="212100"/>
    <s v="Trade Debtors (Ctrl)"/>
    <s v=""/>
    <s v="01"/>
    <s v="USD"/>
    <n v="500.63"/>
    <s v="INR"/>
    <n v="43400.25"/>
    <s v="O2"/>
    <s v="6779224500"/>
    <s v=""/>
    <s v="NA"/>
    <s v="1"/>
    <s v="Port SSR Charges - Shifting for Aug to Dec,24."/>
    <s v=""/>
    <s v=""/>
    <s v=""/>
    <d v="2025-03-19T00:00:00"/>
    <d v="2025-07-04T00:00:00"/>
    <s v="1400000248"/>
  </r>
  <r>
    <s v="Selected"/>
    <s v="6779"/>
    <s v="100222332"/>
    <s v="SCOPE LOGISTICS SERVICES INDIA PVT."/>
    <s v="2025"/>
    <s v="11"/>
    <d v="2025-11-15T00:00:00"/>
    <s v="1400001901"/>
    <x v="4"/>
    <x v="81"/>
    <d v="2025-11-15T00:00:00"/>
    <s v="NA"/>
    <s v="KNOCK OFF ENTRY"/>
    <s v="212100"/>
    <s v="Trade Debtors (Ctrl)"/>
    <s v=""/>
    <s v="08"/>
    <s v="USD"/>
    <n v="3813.11"/>
    <s v="INR"/>
    <n v="331442.46000000002"/>
    <s v=""/>
    <s v="6779224500"/>
    <s v=""/>
    <s v=""/>
    <s v="1"/>
    <s v=""/>
    <s v=""/>
    <s v=""/>
    <s v=""/>
    <d v="2025-11-15T00:00:00"/>
    <d v="2025-11-15T00:00:00"/>
    <s v="1400001901"/>
  </r>
  <r>
    <s v="Selected"/>
    <s v="6779"/>
    <s v="100222332"/>
    <s v="SCOPE LOGISTICS SERVICES INDIA PVT."/>
    <s v="2025"/>
    <s v="11"/>
    <d v="2025-11-15T00:00:00"/>
    <s v="1400001901"/>
    <x v="4"/>
    <x v="81"/>
    <d v="2025-11-15T00:00:00"/>
    <s v="NA"/>
    <s v="KNOCK OFF ENTRY"/>
    <s v="212100"/>
    <s v="Trade Debtors (Ctrl)"/>
    <s v=""/>
    <s v="15"/>
    <s v="USD"/>
    <n v="-3813.11"/>
    <s v="INR"/>
    <n v="-331442.46000000002"/>
    <s v=""/>
    <s v="6779224500"/>
    <s v=""/>
    <s v=""/>
    <s v="2"/>
    <s v=""/>
    <s v=""/>
    <s v=""/>
    <s v=""/>
    <d v="2025-11-15T00:00:00"/>
    <d v="2025-11-15T00:00:00"/>
    <s v="1400001901"/>
  </r>
  <r>
    <s v="Selected"/>
    <s v="6779"/>
    <s v="100222332"/>
    <s v="SCOPE LOGISTICS SERVICES INDIA PVT."/>
    <s v="2025"/>
    <s v="11"/>
    <d v="2025-11-15T00:00:00"/>
    <s v="1400001902"/>
    <x v="4"/>
    <x v="81"/>
    <d v="2025-11-15T00:00:00"/>
    <s v="NA"/>
    <s v="KNOCK OFF ENTRY"/>
    <s v="212100"/>
    <s v="Trade Debtors (Ctrl)"/>
    <s v=""/>
    <s v="08"/>
    <s v="USD"/>
    <n v="1117.6600000000001"/>
    <s v="INR"/>
    <n v="96798.99"/>
    <s v=""/>
    <s v="6779224500"/>
    <s v=""/>
    <s v=""/>
    <s v="7"/>
    <s v=""/>
    <s v=""/>
    <s v=""/>
    <s v=""/>
    <d v="2025-11-15T00:00:00"/>
    <d v="2025-11-15T00:00:00"/>
    <s v="1400001902"/>
  </r>
  <r>
    <s v="Not Selected"/>
    <s v="6779"/>
    <s v="100222332"/>
    <s v="SCOPE LOGISTICS SERVICES INDIA PVT."/>
    <s v="2025"/>
    <s v="11"/>
    <d v="2025-11-15T00:00:00"/>
    <s v="1400001902"/>
    <x v="4"/>
    <x v="81"/>
    <d v="2025-11-15T00:00:00"/>
    <s v="NA"/>
    <s v="KNOCK OFF ENTRY"/>
    <s v="212100"/>
    <s v="Trade Debtors (Ctrl)"/>
    <s v=""/>
    <s v="15"/>
    <s v="USD"/>
    <n v="-182.83"/>
    <s v="INR"/>
    <n v="-16089.66"/>
    <s v=""/>
    <s v="6779224500"/>
    <s v=""/>
    <s v="NA"/>
    <s v="1"/>
    <s v=""/>
    <s v=""/>
    <s v=""/>
    <s v=""/>
    <d v="2025-11-15T00:00:00"/>
    <m/>
    <s v=""/>
  </r>
  <r>
    <s v="Not Selected"/>
    <s v="6779"/>
    <s v="100222332"/>
    <s v="SCOPE LOGISTICS SERVICES INDIA PVT."/>
    <s v="2025"/>
    <s v="11"/>
    <d v="2025-11-15T00:00:00"/>
    <s v="1400001902"/>
    <x v="4"/>
    <x v="81"/>
    <d v="2025-11-15T00:00:00"/>
    <s v="NA"/>
    <s v="KNOCK OFF ENTRY"/>
    <s v="212100"/>
    <s v="Trade Debtors (Ctrl)"/>
    <s v=""/>
    <s v="15"/>
    <s v="USD"/>
    <n v="-55.46"/>
    <s v="INR"/>
    <n v="-4880.67"/>
    <s v=""/>
    <s v="6779224500"/>
    <s v=""/>
    <s v="NA"/>
    <s v="2"/>
    <s v=""/>
    <s v=""/>
    <s v=""/>
    <s v=""/>
    <d v="2025-11-15T00:00:00"/>
    <m/>
    <s v=""/>
  </r>
  <r>
    <s v="Not Selected"/>
    <s v="6779"/>
    <s v="100222332"/>
    <s v="SCOPE LOGISTICS SERVICES INDIA PVT."/>
    <s v="2025"/>
    <s v="11"/>
    <d v="2025-11-15T00:00:00"/>
    <s v="1400001902"/>
    <x v="4"/>
    <x v="81"/>
    <d v="2025-11-15T00:00:00"/>
    <s v="NA"/>
    <s v="KNOCK OFF ENTRY"/>
    <s v="212100"/>
    <s v="Trade Debtors (Ctrl)"/>
    <s v=""/>
    <s v="15"/>
    <s v="USD"/>
    <n v="-420"/>
    <s v="INR"/>
    <n v="-36961.42"/>
    <s v=""/>
    <s v="6779224500"/>
    <s v=""/>
    <s v="NA"/>
    <s v="3"/>
    <s v=""/>
    <s v=""/>
    <s v=""/>
    <s v=""/>
    <d v="2025-11-15T00:00:00"/>
    <m/>
    <s v=""/>
  </r>
  <r>
    <s v="Not Selected"/>
    <s v="6779"/>
    <s v="100222332"/>
    <s v="SCOPE LOGISTICS SERVICES INDIA PVT."/>
    <s v="2025"/>
    <s v="11"/>
    <d v="2025-11-15T00:00:00"/>
    <s v="1400001902"/>
    <x v="4"/>
    <x v="81"/>
    <d v="2025-11-15T00:00:00"/>
    <s v="NA"/>
    <s v="KNOCK OFF ENTRY"/>
    <s v="212100"/>
    <s v="Trade Debtors (Ctrl)"/>
    <s v=""/>
    <s v="15"/>
    <s v="USD"/>
    <n v="-177.66"/>
    <s v="INR"/>
    <n v="-15634.68"/>
    <s v=""/>
    <s v="6779224500"/>
    <s v=""/>
    <s v="NA"/>
    <s v="4"/>
    <s v=""/>
    <s v=""/>
    <s v=""/>
    <s v=""/>
    <d v="2025-11-15T00:00:00"/>
    <m/>
    <s v=""/>
  </r>
  <r>
    <s v="Not Selected"/>
    <s v="6779"/>
    <s v="100222332"/>
    <s v="SCOPE LOGISTICS SERVICES INDIA PVT."/>
    <s v="2025"/>
    <s v="11"/>
    <d v="2025-11-15T00:00:00"/>
    <s v="1400001902"/>
    <x v="4"/>
    <x v="81"/>
    <d v="2025-11-15T00:00:00"/>
    <s v="NA"/>
    <s v="KNOCK OFF ENTRY"/>
    <s v="212100"/>
    <s v="Trade Debtors (Ctrl)"/>
    <s v=""/>
    <s v="15"/>
    <s v="USD"/>
    <n v="-143.81"/>
    <s v="INR"/>
    <n v="-12655.77"/>
    <s v=""/>
    <s v="6779224500"/>
    <s v=""/>
    <s v="NA"/>
    <s v="5"/>
    <s v=""/>
    <s v=""/>
    <s v=""/>
    <s v=""/>
    <d v="2025-11-15T00:00:00"/>
    <m/>
    <s v=""/>
  </r>
  <r>
    <s v="Not Selected"/>
    <s v="6779"/>
    <s v="100222332"/>
    <s v="SCOPE LOGISTICS SERVICES INDIA PVT."/>
    <s v="2025"/>
    <s v="11"/>
    <d v="2025-11-15T00:00:00"/>
    <s v="1400001902"/>
    <x v="4"/>
    <x v="81"/>
    <d v="2025-11-15T00:00:00"/>
    <s v="NA"/>
    <s v="KNOCK OFF ENTRY"/>
    <s v="212100"/>
    <s v="Trade Debtors (Ctrl)"/>
    <s v=""/>
    <s v="15"/>
    <s v="USD"/>
    <n v="-137.9"/>
    <s v="INR"/>
    <n v="-12135.67"/>
    <s v=""/>
    <s v="6779224500"/>
    <s v=""/>
    <s v="NA"/>
    <s v="6"/>
    <s v=""/>
    <s v=""/>
    <s v=""/>
    <s v=""/>
    <d v="2025-11-15T00:00:00"/>
    <m/>
    <s v=""/>
  </r>
  <r>
    <s v="Not Selected"/>
    <s v="6779"/>
    <s v="100222332"/>
    <s v="SCOPE LOGISTICS SERVICES INDIA PVT."/>
    <s v="2025"/>
    <s v="3"/>
    <d v="2025-03-03T00:00:00"/>
    <s v="1800000672"/>
    <x v="1"/>
    <x v="82"/>
    <d v="2025-03-04T00:00:00"/>
    <s v="NA"/>
    <s v="246779410612"/>
    <s v="212100"/>
    <s v="Trade Debtors (Ctrl)"/>
    <s v=""/>
    <s v="01"/>
    <s v="USD"/>
    <n v="11.75"/>
    <s v="INR"/>
    <n v="1018.62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4T00:00:00"/>
    <s v="1800000820"/>
    <x v="1"/>
    <x v="83"/>
    <d v="2025-03-05T00:00:00"/>
    <s v="NA"/>
    <s v="246779410760"/>
    <s v="212100"/>
    <s v="Trade Debtors (Ctrl)"/>
    <s v=""/>
    <s v="01"/>
    <s v="USD"/>
    <n v="11.75"/>
    <s v="INR"/>
    <n v="1018.62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20T00:00:00"/>
    <s v="1800003904"/>
    <x v="1"/>
    <x v="65"/>
    <d v="2025-03-20T00:00:00"/>
    <s v="NA"/>
    <s v="246779413772"/>
    <s v="212100"/>
    <s v="Trade Debtors (Ctrl)"/>
    <s v=""/>
    <s v="01"/>
    <s v="USD"/>
    <n v="11.75"/>
    <s v="INR"/>
    <n v="1018.62"/>
    <s v="O0"/>
    <s v="6779224500"/>
    <s v=""/>
    <s v="NA"/>
    <s v="1"/>
    <s v="Outbound Handling charges for Feb 2025"/>
    <s v=""/>
    <s v=""/>
    <s v=""/>
    <d v="2025-03-20T00:00:00"/>
    <m/>
    <s v=""/>
  </r>
  <r>
    <s v="Not Selected"/>
    <s v="6779"/>
    <s v="100222332"/>
    <s v="SCOPE LOGISTICS SERVICES INDIA PVT."/>
    <s v="2025"/>
    <s v="5"/>
    <d v="2025-05-21T00:00:00"/>
    <s v="1800008663"/>
    <x v="1"/>
    <x v="6"/>
    <d v="2025-05-23T00:00:00"/>
    <s v="NA"/>
    <s v="256779413427"/>
    <s v="212100"/>
    <s v="Trade Debtors (Ctrl)"/>
    <s v=""/>
    <s v="01"/>
    <s v="USD"/>
    <n v="11.75"/>
    <s v="INR"/>
    <n v="1010.31"/>
    <s v="O0"/>
    <s v="6779224500"/>
    <s v=""/>
    <s v="NA"/>
    <s v="1"/>
    <s v="OutKPI-CODC-1-15-MAY-25-9762086"/>
    <s v=""/>
    <s v=""/>
    <s v=""/>
    <d v="2025-05-21T00:00:00"/>
    <m/>
    <s v=""/>
  </r>
  <r>
    <s v="Not Selected"/>
    <s v="6779"/>
    <s v="100222332"/>
    <s v="SCOPE LOGISTICS SERVICES INDIA PVT."/>
    <s v="2025"/>
    <s v="5"/>
    <d v="2025-05-21T00:00:00"/>
    <s v="1800008664"/>
    <x v="1"/>
    <x v="6"/>
    <d v="2025-05-23T00:00:00"/>
    <s v="NA"/>
    <s v="256779413428"/>
    <s v="212100"/>
    <s v="Trade Debtors (Ctrl)"/>
    <s v=""/>
    <s v="01"/>
    <s v="USD"/>
    <n v="11.75"/>
    <s v="INR"/>
    <n v="1010.31"/>
    <s v="O0"/>
    <s v="6779224500"/>
    <s v=""/>
    <s v="NA"/>
    <s v="1"/>
    <s v="OutKPI-CODC-1-15-MAY-25-9800875"/>
    <s v=""/>
    <s v=""/>
    <s v=""/>
    <d v="2025-05-21T00:00:00"/>
    <m/>
    <s v=""/>
  </r>
  <r>
    <s v="Not Selected"/>
    <s v="6779"/>
    <s v="100222332"/>
    <s v="SCOPE LOGISTICS SERVICES INDIA PVT."/>
    <s v="2025"/>
    <s v="9"/>
    <d v="2025-09-18T00:00:00"/>
    <s v="1800012858"/>
    <x v="1"/>
    <x v="14"/>
    <d v="2025-09-22T00:00:00"/>
    <s v="NA"/>
    <s v="256779417594"/>
    <s v="212100"/>
    <s v="Trade Debtors (Ctrl)"/>
    <s v=""/>
    <s v="01"/>
    <s v="USD"/>
    <n v="11.75"/>
    <s v="INR"/>
    <n v="1028.29"/>
    <s v="O0"/>
    <s v="6779224500"/>
    <s v=""/>
    <s v="2102528"/>
    <s v="1"/>
    <s v="CODC Out chgs -1-15 Sep 25"/>
    <s v=""/>
    <s v=""/>
    <s v=""/>
    <d v="2025-09-18T00:00:00"/>
    <m/>
    <s v=""/>
  </r>
  <r>
    <s v="Not Selected"/>
    <s v="6779"/>
    <s v="100222332"/>
    <s v="SCOPE LOGISTICS SERVICES INDIA PVT."/>
    <s v="2025"/>
    <s v="10"/>
    <d v="2025-10-07T00:00:00"/>
    <s v="1800013527"/>
    <x v="1"/>
    <x v="22"/>
    <d v="2025-10-10T00:00:00"/>
    <s v="NA"/>
    <s v="256779418351"/>
    <s v="212100"/>
    <s v="Trade Debtors (Ctrl)"/>
    <s v=""/>
    <s v="01"/>
    <s v="USD"/>
    <n v="11.75"/>
    <s v="INR"/>
    <n v="1036.24"/>
    <s v="O0"/>
    <s v="6779224500"/>
    <s v=""/>
    <s v="2110864"/>
    <s v="1"/>
    <s v="CODC Out chgs -16-30 Sep 25"/>
    <s v=""/>
    <s v=""/>
    <s v=""/>
    <d v="2025-10-07T00:00:00"/>
    <m/>
    <s v=""/>
  </r>
  <r>
    <s v="Not Selected"/>
    <s v="6779"/>
    <s v="100222332"/>
    <s v="SCOPE LOGISTICS SERVICES INDIA PVT."/>
    <s v="2025"/>
    <s v="3"/>
    <d v="2025-03-04T00:00:00"/>
    <s v="1800000738"/>
    <x v="1"/>
    <x v="83"/>
    <d v="2025-03-04T00:00:00"/>
    <s v="NA"/>
    <s v="246779410678"/>
    <s v="212100"/>
    <s v="Trade Debtors (Ctrl)"/>
    <s v=""/>
    <s v="01"/>
    <s v="USD"/>
    <n v="2.35"/>
    <s v="INR"/>
    <n v="203.72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39"/>
    <x v="1"/>
    <x v="83"/>
    <d v="2025-03-04T00:00:00"/>
    <s v="NA"/>
    <s v="246779410679"/>
    <s v="212100"/>
    <s v="Trade Debtors (Ctrl)"/>
    <s v=""/>
    <s v="01"/>
    <s v="USD"/>
    <n v="2.35"/>
    <s v="INR"/>
    <n v="203.72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0"/>
    <x v="1"/>
    <x v="83"/>
    <d v="2025-03-04T00:00:00"/>
    <s v="NA"/>
    <s v="246779410680"/>
    <s v="212100"/>
    <s v="Trade Debtors (Ctrl)"/>
    <s v=""/>
    <s v="01"/>
    <s v="USD"/>
    <n v="14.1"/>
    <s v="INR"/>
    <n v="1222.3499999999999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1"/>
    <x v="1"/>
    <x v="83"/>
    <d v="2025-03-04T00:00:00"/>
    <s v="NA"/>
    <s v="246779410681"/>
    <s v="212100"/>
    <s v="Trade Debtors (Ctrl)"/>
    <s v=""/>
    <s v="01"/>
    <s v="USD"/>
    <n v="2.35"/>
    <s v="INR"/>
    <n v="203.72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2"/>
    <x v="1"/>
    <x v="83"/>
    <d v="2025-03-04T00:00:00"/>
    <s v="NA"/>
    <s v="246779410682"/>
    <s v="212100"/>
    <s v="Trade Debtors (Ctrl)"/>
    <s v=""/>
    <s v="01"/>
    <s v="USD"/>
    <n v="4.7"/>
    <s v="INR"/>
    <n v="407.45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3"/>
    <x v="1"/>
    <x v="83"/>
    <d v="2025-03-04T00:00:00"/>
    <s v="NA"/>
    <s v="246779410683"/>
    <s v="212100"/>
    <s v="Trade Debtors (Ctrl)"/>
    <s v=""/>
    <s v="01"/>
    <s v="USD"/>
    <n v="2.35"/>
    <s v="INR"/>
    <n v="203.72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4"/>
    <x v="1"/>
    <x v="83"/>
    <d v="2025-03-04T00:00:00"/>
    <s v="NA"/>
    <s v="246779410684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5"/>
    <x v="1"/>
    <x v="83"/>
    <d v="2025-03-04T00:00:00"/>
    <s v="NA"/>
    <s v="246779410685"/>
    <s v="212100"/>
    <s v="Trade Debtors (Ctrl)"/>
    <s v=""/>
    <s v="01"/>
    <s v="USD"/>
    <n v="2.35"/>
    <s v="INR"/>
    <n v="203.72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6"/>
    <x v="1"/>
    <x v="83"/>
    <d v="2025-03-04T00:00:00"/>
    <s v="NA"/>
    <s v="246779410686"/>
    <s v="212100"/>
    <s v="Trade Debtors (Ctrl)"/>
    <s v=""/>
    <s v="01"/>
    <s v="USD"/>
    <n v="9.4"/>
    <s v="INR"/>
    <n v="814.9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7"/>
    <x v="1"/>
    <x v="83"/>
    <d v="2025-03-04T00:00:00"/>
    <s v="NA"/>
    <s v="246779410687"/>
    <s v="212100"/>
    <s v="Trade Debtors (Ctrl)"/>
    <s v=""/>
    <s v="01"/>
    <s v="USD"/>
    <n v="21.15"/>
    <s v="INR"/>
    <n v="1833.52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8"/>
    <x v="1"/>
    <x v="83"/>
    <d v="2025-03-04T00:00:00"/>
    <s v="NA"/>
    <s v="246779410688"/>
    <s v="212100"/>
    <s v="Trade Debtors (Ctrl)"/>
    <s v=""/>
    <s v="01"/>
    <s v="USD"/>
    <n v="9.4"/>
    <s v="INR"/>
    <n v="814.9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49"/>
    <x v="1"/>
    <x v="83"/>
    <d v="2025-03-04T00:00:00"/>
    <s v="NA"/>
    <s v="246779410689"/>
    <s v="212100"/>
    <s v="Trade Debtors (Ctrl)"/>
    <s v=""/>
    <s v="01"/>
    <s v="USD"/>
    <n v="4.7"/>
    <s v="INR"/>
    <n v="407.45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50"/>
    <x v="1"/>
    <x v="83"/>
    <d v="2025-03-04T00:00:00"/>
    <s v="NA"/>
    <s v="246779410690"/>
    <s v="212100"/>
    <s v="Trade Debtors (Ctrl)"/>
    <s v=""/>
    <s v="01"/>
    <s v="USD"/>
    <n v="42.3"/>
    <s v="INR"/>
    <n v="3667.04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51"/>
    <x v="1"/>
    <x v="83"/>
    <d v="2025-03-04T00:00:00"/>
    <s v="NA"/>
    <s v="246779410691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52"/>
    <x v="1"/>
    <x v="83"/>
    <d v="2025-03-04T00:00:00"/>
    <s v="NA"/>
    <s v="246779410692"/>
    <s v="212100"/>
    <s v="Trade Debtors (Ctrl)"/>
    <s v=""/>
    <s v="01"/>
    <s v="USD"/>
    <n v="9.4"/>
    <s v="INR"/>
    <n v="814.9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753"/>
    <x v="1"/>
    <x v="83"/>
    <d v="2025-03-04T00:00:00"/>
    <s v="NA"/>
    <s v="246779410693"/>
    <s v="212100"/>
    <s v="Trade Debtors (Ctrl)"/>
    <s v=""/>
    <s v="01"/>
    <s v="USD"/>
    <n v="9.4"/>
    <s v="INR"/>
    <n v="814.9"/>
    <s v="O0"/>
    <s v="6779224500"/>
    <s v=""/>
    <s v="NA"/>
    <s v="1"/>
    <s v="Outbound Handling for Oct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15"/>
    <x v="1"/>
    <x v="83"/>
    <d v="2025-03-05T00:00:00"/>
    <s v="NA"/>
    <s v="246779410755"/>
    <s v="212100"/>
    <s v="Trade Debtors (Ctrl)"/>
    <s v=""/>
    <s v="01"/>
    <s v="USD"/>
    <n v="42.3"/>
    <s v="INR"/>
    <n v="3667.04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16"/>
    <x v="1"/>
    <x v="83"/>
    <d v="2025-03-05T00:00:00"/>
    <s v="NA"/>
    <s v="246779410756"/>
    <s v="212100"/>
    <s v="Trade Debtors (Ctrl)"/>
    <s v=""/>
    <s v="01"/>
    <s v="USD"/>
    <n v="4.7"/>
    <s v="INR"/>
    <n v="407.45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17"/>
    <x v="1"/>
    <x v="83"/>
    <d v="2025-03-05T00:00:00"/>
    <s v="NA"/>
    <s v="246779410757"/>
    <s v="212100"/>
    <s v="Trade Debtors (Ctrl)"/>
    <s v=""/>
    <s v="01"/>
    <s v="USD"/>
    <n v="4.7"/>
    <s v="INR"/>
    <n v="407.45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18"/>
    <x v="1"/>
    <x v="83"/>
    <d v="2025-03-05T00:00:00"/>
    <s v="NA"/>
    <s v="246779410758"/>
    <s v="212100"/>
    <s v="Trade Debtors (Ctrl)"/>
    <s v=""/>
    <s v="01"/>
    <s v="USD"/>
    <n v="37.6"/>
    <s v="INR"/>
    <n v="3259.59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19"/>
    <x v="1"/>
    <x v="83"/>
    <d v="2025-03-05T00:00:00"/>
    <s v="NA"/>
    <s v="246779410759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21"/>
    <x v="1"/>
    <x v="83"/>
    <d v="2025-03-05T00:00:00"/>
    <s v="NA"/>
    <s v="246779410761"/>
    <s v="212100"/>
    <s v="Trade Debtors (Ctrl)"/>
    <s v=""/>
    <s v="01"/>
    <s v="USD"/>
    <n v="14.1"/>
    <s v="INR"/>
    <n v="1222.3499999999999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22"/>
    <x v="1"/>
    <x v="83"/>
    <d v="2025-03-05T00:00:00"/>
    <s v="NA"/>
    <s v="246779410762"/>
    <s v="212100"/>
    <s v="Trade Debtors (Ctrl)"/>
    <s v=""/>
    <s v="01"/>
    <s v="USD"/>
    <n v="4.7"/>
    <s v="INR"/>
    <n v="407.45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23"/>
    <x v="1"/>
    <x v="83"/>
    <d v="2025-03-05T00:00:00"/>
    <s v="NA"/>
    <s v="246779410763"/>
    <s v="212100"/>
    <s v="Trade Debtors (Ctrl)"/>
    <s v=""/>
    <s v="01"/>
    <s v="USD"/>
    <n v="2.35"/>
    <s v="INR"/>
    <n v="203.72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24"/>
    <x v="1"/>
    <x v="83"/>
    <d v="2025-03-05T00:00:00"/>
    <s v="NA"/>
    <s v="246779410764"/>
    <s v="212100"/>
    <s v="Trade Debtors (Ctrl)"/>
    <s v=""/>
    <s v="01"/>
    <s v="USD"/>
    <n v="2.35"/>
    <s v="INR"/>
    <n v="203.72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25"/>
    <x v="1"/>
    <x v="83"/>
    <d v="2025-03-05T00:00:00"/>
    <s v="NA"/>
    <s v="246779410765"/>
    <s v="212100"/>
    <s v="Trade Debtors (Ctrl)"/>
    <s v=""/>
    <s v="01"/>
    <s v="USD"/>
    <n v="2.35"/>
    <s v="INR"/>
    <n v="203.72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826"/>
    <x v="1"/>
    <x v="83"/>
    <d v="2025-03-05T00:00:00"/>
    <s v="NA"/>
    <s v="246779410766"/>
    <s v="212100"/>
    <s v="Trade Debtors (Ctrl)"/>
    <s v=""/>
    <s v="01"/>
    <s v="USD"/>
    <n v="4.7"/>
    <s v="INR"/>
    <n v="407.45"/>
    <s v="O0"/>
    <s v="6779224500"/>
    <s v=""/>
    <s v="NA"/>
    <s v="1"/>
    <s v="Outbound Handling for Nov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0"/>
    <x v="1"/>
    <x v="83"/>
    <d v="2025-03-05T00:00:00"/>
    <s v="NA"/>
    <s v="246779410841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1"/>
    <x v="1"/>
    <x v="83"/>
    <d v="2025-03-05T00:00:00"/>
    <s v="NA"/>
    <s v="246779410842"/>
    <s v="212100"/>
    <s v="Trade Debtors (Ctrl)"/>
    <s v=""/>
    <s v="01"/>
    <s v="USD"/>
    <n v="4.7"/>
    <s v="INR"/>
    <n v="407.45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2"/>
    <x v="1"/>
    <x v="83"/>
    <d v="2025-03-05T00:00:00"/>
    <s v="NA"/>
    <s v="246779410843"/>
    <s v="212100"/>
    <s v="Trade Debtors (Ctrl)"/>
    <s v=""/>
    <s v="01"/>
    <s v="USD"/>
    <n v="4.7"/>
    <s v="INR"/>
    <n v="407.45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3"/>
    <x v="1"/>
    <x v="83"/>
    <d v="2025-03-05T00:00:00"/>
    <s v="NA"/>
    <s v="246779410844"/>
    <s v="212100"/>
    <s v="Trade Debtors (Ctrl)"/>
    <s v=""/>
    <s v="01"/>
    <s v="USD"/>
    <n v="4.7"/>
    <s v="INR"/>
    <n v="407.45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4"/>
    <x v="1"/>
    <x v="83"/>
    <d v="2025-03-05T00:00:00"/>
    <s v="NA"/>
    <s v="246779410845"/>
    <s v="212100"/>
    <s v="Trade Debtors (Ctrl)"/>
    <s v=""/>
    <s v="01"/>
    <s v="USD"/>
    <n v="9.4"/>
    <s v="INR"/>
    <n v="814.9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5"/>
    <x v="1"/>
    <x v="83"/>
    <d v="2025-03-05T00:00:00"/>
    <s v="NA"/>
    <s v="246779410846"/>
    <s v="212100"/>
    <s v="Trade Debtors (Ctrl)"/>
    <s v=""/>
    <s v="01"/>
    <s v="USD"/>
    <n v="4.7"/>
    <s v="INR"/>
    <n v="407.45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6"/>
    <x v="1"/>
    <x v="83"/>
    <d v="2025-03-05T00:00:00"/>
    <s v="NA"/>
    <s v="246779410847"/>
    <s v="212100"/>
    <s v="Trade Debtors (Ctrl)"/>
    <s v=""/>
    <s v="01"/>
    <s v="USD"/>
    <n v="18.8"/>
    <s v="INR"/>
    <n v="1629.8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7"/>
    <x v="1"/>
    <x v="83"/>
    <d v="2025-03-05T00:00:00"/>
    <s v="NA"/>
    <s v="246779410848"/>
    <s v="212100"/>
    <s v="Trade Debtors (Ctrl)"/>
    <s v=""/>
    <s v="01"/>
    <s v="USD"/>
    <n v="2.35"/>
    <s v="INR"/>
    <n v="203.72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8"/>
    <x v="1"/>
    <x v="83"/>
    <d v="2025-03-05T00:00:00"/>
    <s v="NA"/>
    <s v="246779410849"/>
    <s v="212100"/>
    <s v="Trade Debtors (Ctrl)"/>
    <s v=""/>
    <s v="01"/>
    <s v="USD"/>
    <n v="42.3"/>
    <s v="INR"/>
    <n v="3667.04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09"/>
    <x v="1"/>
    <x v="83"/>
    <d v="2025-03-05T00:00:00"/>
    <s v="NA"/>
    <s v="246779410850"/>
    <s v="212100"/>
    <s v="Trade Debtors (Ctrl)"/>
    <s v=""/>
    <s v="01"/>
    <s v="USD"/>
    <n v="9.4"/>
    <s v="INR"/>
    <n v="814.9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10"/>
    <x v="1"/>
    <x v="83"/>
    <d v="2025-03-05T00:00:00"/>
    <s v="NA"/>
    <s v="246779410851"/>
    <s v="212100"/>
    <s v="Trade Debtors (Ctrl)"/>
    <s v=""/>
    <s v="01"/>
    <s v="USD"/>
    <n v="4.7"/>
    <s v="INR"/>
    <n v="407.45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11"/>
    <x v="1"/>
    <x v="83"/>
    <d v="2025-03-05T00:00:00"/>
    <s v="NA"/>
    <s v="246779410852"/>
    <s v="212100"/>
    <s v="Trade Debtors (Ctrl)"/>
    <s v=""/>
    <s v="01"/>
    <s v="USD"/>
    <n v="4.7"/>
    <s v="INR"/>
    <n v="407.45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12"/>
    <x v="1"/>
    <x v="83"/>
    <d v="2025-03-05T00:00:00"/>
    <s v="NA"/>
    <s v="246779410853"/>
    <s v="212100"/>
    <s v="Trade Debtors (Ctrl)"/>
    <s v=""/>
    <s v="01"/>
    <s v="USD"/>
    <n v="2.35"/>
    <s v="INR"/>
    <n v="203.72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13"/>
    <x v="1"/>
    <x v="83"/>
    <d v="2025-03-05T00:00:00"/>
    <s v="NA"/>
    <s v="246779410854"/>
    <s v="212100"/>
    <s v="Trade Debtors (Ctrl)"/>
    <s v=""/>
    <s v="01"/>
    <s v="USD"/>
    <n v="14.1"/>
    <s v="INR"/>
    <n v="1222.3499999999999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3"/>
    <d v="2025-03-04T00:00:00"/>
    <s v="1800000914"/>
    <x v="1"/>
    <x v="83"/>
    <d v="2025-03-05T00:00:00"/>
    <s v="NA"/>
    <s v="246779410855"/>
    <s v="212100"/>
    <s v="Trade Debtors (Ctrl)"/>
    <s v=""/>
    <s v="01"/>
    <s v="USD"/>
    <n v="18.8"/>
    <s v="INR"/>
    <n v="1629.8"/>
    <s v="O0"/>
    <s v="6779224500"/>
    <s v=""/>
    <s v="NA"/>
    <s v="1"/>
    <s v="Outbound Handling for Dec 2024"/>
    <s v=""/>
    <s v=""/>
    <s v=""/>
    <d v="2025-03-04T00:00:00"/>
    <m/>
    <s v=""/>
  </r>
  <r>
    <s v="Not Selected"/>
    <s v="6779"/>
    <s v="100222332"/>
    <s v="SCOPE LOGISTICS SERVICES INDIA PVT."/>
    <s v="2025"/>
    <s v="4"/>
    <d v="2025-04-04T00:00:00"/>
    <s v="1800005904"/>
    <x v="1"/>
    <x v="84"/>
    <d v="2025-04-05T00:00:00"/>
    <s v="NA"/>
    <s v="256779410795"/>
    <s v="212100"/>
    <s v="Trade Debtors (Ctrl)"/>
    <s v=""/>
    <s v="01"/>
    <s v="USD"/>
    <n v="5005.59"/>
    <s v="INR"/>
    <n v="435094.99"/>
    <s v="O0"/>
    <s v=""/>
    <s v=""/>
    <s v="NA"/>
    <s v="1"/>
    <s v="Storage Charges Feb, 25"/>
    <s v=""/>
    <s v=""/>
    <s v=""/>
    <d v="2025-04-04T00:00:00"/>
    <m/>
    <s v=""/>
  </r>
  <r>
    <s v="Not Selected"/>
    <s v="6779"/>
    <s v="100222332"/>
    <s v="SCOPE LOGISTICS SERVICES INDIA PVT."/>
    <s v="2025"/>
    <s v="4"/>
    <d v="2025-04-04T00:00:00"/>
    <s v="1800005921"/>
    <x v="1"/>
    <x v="84"/>
    <d v="2025-04-05T00:00:00"/>
    <s v="NA"/>
    <s v="256779410812"/>
    <s v="212100"/>
    <s v="Trade Debtors (Ctrl)"/>
    <s v=""/>
    <s v="01"/>
    <s v="USD"/>
    <n v="4311.37"/>
    <s v="INR"/>
    <n v="374752.13"/>
    <s v="O0"/>
    <s v=""/>
    <s v=""/>
    <s v="NA"/>
    <s v="1"/>
    <s v="Storage Charges Jan, 25"/>
    <s v=""/>
    <s v=""/>
    <s v=""/>
    <d v="2025-04-04T00:00:00"/>
    <m/>
    <s v=""/>
  </r>
  <r>
    <s v="Not Selected"/>
    <s v="6779"/>
    <s v="100222332"/>
    <s v="SCOPE LOGISTICS SERVICES INDIA PVT."/>
    <s v="2025"/>
    <s v="2"/>
    <d v="2025-02-28T00:00:00"/>
    <s v="1800000364"/>
    <x v="1"/>
    <x v="85"/>
    <d v="2025-02-28T00:00:00"/>
    <s v="NA"/>
    <s v="246779410333"/>
    <s v="212100"/>
    <s v="Trade Debtors (Ctrl)"/>
    <s v=""/>
    <s v="01"/>
    <s v="USD"/>
    <n v="386.34"/>
    <s v="INR"/>
    <n v="33342.559999999998"/>
    <s v="O0"/>
    <s v="6779224500"/>
    <s v=""/>
    <s v="NA"/>
    <s v="1"/>
    <s v="CY-CY Ground Rent charges for Sept 2024"/>
    <s v=""/>
    <s v=""/>
    <s v=""/>
    <d v="2025-02-28T00:00:00"/>
    <m/>
    <s v=""/>
  </r>
  <r>
    <s v="Not Selected"/>
    <s v="6779"/>
    <s v="100222332"/>
    <s v="SCOPE LOGISTICS SERVICES INDIA PVT."/>
    <s v="2025"/>
    <s v="2"/>
    <d v="2025-02-28T00:00:00"/>
    <s v="1800000369"/>
    <x v="1"/>
    <x v="85"/>
    <d v="2025-02-28T00:00:00"/>
    <s v="NA"/>
    <s v="246779410338"/>
    <s v="212100"/>
    <s v="Trade Debtors (Ctrl)"/>
    <s v=""/>
    <s v="01"/>
    <s v="USD"/>
    <n v="178.6"/>
    <s v="INR"/>
    <n v="15413.83"/>
    <s v="O0"/>
    <s v="6779224500"/>
    <s v=""/>
    <s v="NA"/>
    <s v="1"/>
    <s v="CY-CY Ground Rent charges for Oct 2024"/>
    <s v=""/>
    <s v=""/>
    <s v=""/>
    <d v="2025-02-28T00:00:00"/>
    <m/>
    <s v=""/>
  </r>
  <r>
    <s v="Not Selected"/>
    <s v="6779"/>
    <s v="100222332"/>
    <s v="SCOPE LOGISTICS SERVICES INDIA PVT."/>
    <s v="2025"/>
    <s v="2"/>
    <d v="2025-02-28T00:00:00"/>
    <s v="1800000370"/>
    <x v="1"/>
    <x v="85"/>
    <d v="2025-02-28T00:00:00"/>
    <s v="NA"/>
    <s v="246779410339"/>
    <s v="212100"/>
    <s v="Trade Debtors (Ctrl)"/>
    <s v=""/>
    <s v="01"/>
    <s v="USD"/>
    <n v="575.75"/>
    <s v="INR"/>
    <n v="49689.33"/>
    <s v="O0"/>
    <s v="6779224500"/>
    <s v=""/>
    <s v="NA"/>
    <s v="1"/>
    <s v="CY-CY Ground Rent charges for Nov 2024"/>
    <s v=""/>
    <s v=""/>
    <s v=""/>
    <d v="2025-02-28T00:00:00"/>
    <m/>
    <s v=""/>
  </r>
  <r>
    <s v="Not Selected"/>
    <s v="6779"/>
    <s v="100222332"/>
    <s v="SCOPE LOGISTICS SERVICES INDIA PVT."/>
    <s v="2025"/>
    <s v="2"/>
    <d v="2025-02-28T00:00:00"/>
    <s v="1800000371"/>
    <x v="1"/>
    <x v="85"/>
    <d v="2025-02-28T00:00:00"/>
    <s v="NA"/>
    <s v="246779410340"/>
    <s v="212100"/>
    <s v="Trade Debtors (Ctrl)"/>
    <s v=""/>
    <s v="01"/>
    <s v="USD"/>
    <n v="1863.55"/>
    <s v="INR"/>
    <n v="160831.19"/>
    <s v="O0"/>
    <s v="6779224500"/>
    <s v=""/>
    <s v="NA"/>
    <s v="1"/>
    <s v="CY-CY Ground Rent charges for Dec 2024"/>
    <s v=""/>
    <s v=""/>
    <s v=""/>
    <d v="2025-02-28T00:00:00"/>
    <m/>
    <s v=""/>
  </r>
  <r>
    <s v="Not Selected"/>
    <s v="6779"/>
    <s v="100222332"/>
    <s v="SCOPE LOGISTICS SERVICES INDIA PVT."/>
    <s v="2025"/>
    <s v="2"/>
    <d v="2025-02-28T00:00:00"/>
    <s v="1800000379"/>
    <x v="1"/>
    <x v="85"/>
    <d v="2025-02-28T00:00:00"/>
    <s v="NA"/>
    <s v="246779410348"/>
    <s v="212100"/>
    <s v="Trade Debtors (Ctrl)"/>
    <s v=""/>
    <s v="01"/>
    <s v="USD"/>
    <n v="1793.99"/>
    <s v="INR"/>
    <n v="154827.9"/>
    <s v="O0"/>
    <s v="6779224500"/>
    <s v=""/>
    <s v="NA"/>
    <s v="1"/>
    <s v="CY Longstanding container Ground Rent charges for"/>
    <s v=""/>
    <s v=""/>
    <s v=""/>
    <d v="2025-02-28T00:00:00"/>
    <m/>
    <s v=""/>
  </r>
  <r>
    <s v="Not Selected"/>
    <s v="6779"/>
    <s v="100222332"/>
    <s v="SCOPE LOGISTICS SERVICES INDIA PVT."/>
    <s v="2025"/>
    <s v="2"/>
    <d v="2025-02-28T00:00:00"/>
    <s v="1800000383"/>
    <x v="1"/>
    <x v="85"/>
    <d v="2025-02-28T00:00:00"/>
    <s v="NA"/>
    <s v="246779410352"/>
    <s v="212100"/>
    <s v="Trade Debtors (Ctrl)"/>
    <s v=""/>
    <s v="01"/>
    <s v="USD"/>
    <n v="1314.12"/>
    <s v="INR"/>
    <n v="113413.37"/>
    <s v="O0"/>
    <s v="6779224500"/>
    <s v=""/>
    <s v="NA"/>
    <s v="1"/>
    <s v="CY Longstanding container Ground Rent charges for"/>
    <s v=""/>
    <s v=""/>
    <s v=""/>
    <d v="2025-02-28T00:00:00"/>
    <m/>
    <s v=""/>
  </r>
  <r>
    <s v="Not Selected"/>
    <s v="6779"/>
    <s v="100222332"/>
    <s v="SCOPE LOGISTICS SERVICES INDIA PVT."/>
    <s v="2025"/>
    <s v="2"/>
    <d v="2025-02-28T00:00:00"/>
    <s v="1800000391"/>
    <x v="1"/>
    <x v="85"/>
    <d v="2025-02-28T00:00:00"/>
    <s v="NA"/>
    <s v="246779410360"/>
    <s v="212100"/>
    <s v="Trade Debtors (Ctrl)"/>
    <s v=""/>
    <s v="01"/>
    <s v="USD"/>
    <n v="705"/>
    <s v="INR"/>
    <n v="60844.08"/>
    <s v="O0"/>
    <s v="6779224500"/>
    <s v=""/>
    <s v="NA"/>
    <s v="1"/>
    <s v="CY Longstanding container Ground Rent charges for"/>
    <s v=""/>
    <s v=""/>
    <s v=""/>
    <d v="2025-02-28T00:00:00"/>
    <m/>
    <s v=""/>
  </r>
  <r>
    <s v="Not Selected"/>
    <s v="6779"/>
    <s v="100222332"/>
    <s v="SCOPE LOGISTICS SERVICES INDIA PVT."/>
    <s v="2025"/>
    <s v="3"/>
    <d v="2025-03-06T00:00:00"/>
    <s v="1800001259"/>
    <x v="1"/>
    <x v="86"/>
    <d v="2025-03-07T00:00:00"/>
    <s v="NA"/>
    <s v="246779411128"/>
    <s v="212100"/>
    <s v="Trade Debtors (Ctrl)"/>
    <s v=""/>
    <s v="01"/>
    <s v="USD"/>
    <n v="28.2"/>
    <s v="INR"/>
    <n v="2444.69"/>
    <s v="O0"/>
    <s v="6779224500"/>
    <s v=""/>
    <s v="NA"/>
    <s v="1"/>
    <s v="Inbound Handling charges for Oct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82"/>
    <x v="1"/>
    <x v="86"/>
    <d v="2025-03-07T00:00:00"/>
    <s v="NA"/>
    <s v="246779411251"/>
    <s v="212100"/>
    <s v="Trade Debtors (Ctrl)"/>
    <s v=""/>
    <s v="01"/>
    <s v="USD"/>
    <n v="126.9"/>
    <s v="INR"/>
    <n v="11001.12"/>
    <s v="O0"/>
    <s v="6779224500"/>
    <s v=""/>
    <s v="NA"/>
    <s v="1"/>
    <s v="Inbound Handling charges for Dec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83"/>
    <x v="1"/>
    <x v="86"/>
    <d v="2025-03-07T00:00:00"/>
    <s v="NA"/>
    <s v="246779411252"/>
    <s v="212100"/>
    <s v="Trade Debtors (Ctrl)"/>
    <s v=""/>
    <s v="01"/>
    <s v="USD"/>
    <n v="23.5"/>
    <s v="INR"/>
    <n v="2037.24"/>
    <s v="O0"/>
    <s v="6779224500"/>
    <s v=""/>
    <s v="NA"/>
    <s v="1"/>
    <s v="Inbound Handling charges for Dec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0934"/>
    <x v="1"/>
    <x v="86"/>
    <d v="2025-03-06T00:00:00"/>
    <s v="NA"/>
    <s v="246779410874"/>
    <s v="212100"/>
    <s v="Trade Debtors (Ctrl)"/>
    <s v=""/>
    <s v="01"/>
    <s v="USD"/>
    <n v="3080"/>
    <s v="INR"/>
    <n v="267009.08"/>
    <s v="O0"/>
    <s v="6779224500"/>
    <s v=""/>
    <s v="NA"/>
    <s v="1"/>
    <s v="Storage for the month of Nov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0956"/>
    <x v="1"/>
    <x v="86"/>
    <d v="2025-03-06T00:00:00"/>
    <s v="NA"/>
    <s v="246779410896"/>
    <s v="212100"/>
    <s v="Trade Debtors (Ctrl)"/>
    <s v=""/>
    <s v="01"/>
    <s v="USD"/>
    <n v="4556.3999999999996"/>
    <s v="INR"/>
    <n v="395000.06"/>
    <s v="O0"/>
    <s v="6779224500"/>
    <s v=""/>
    <s v="NA"/>
    <s v="1"/>
    <s v="Storage for the month of Dec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030"/>
    <x v="1"/>
    <x v="86"/>
    <d v="2025-03-06T00:00:00"/>
    <s v="NA"/>
    <s v="246779410970"/>
    <s v="212100"/>
    <s v="Trade Debtors (Ctrl)"/>
    <s v=""/>
    <s v="01"/>
    <s v="USD"/>
    <n v="22.05"/>
    <s v="INR"/>
    <n v="1911.54"/>
    <s v="O0"/>
    <s v="6779224500"/>
    <s v=""/>
    <s v="NA"/>
    <s v="1"/>
    <s v="Inbound Handling charges for Aug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031"/>
    <x v="1"/>
    <x v="86"/>
    <d v="2025-03-06T00:00:00"/>
    <s v="NA"/>
    <s v="246779410971"/>
    <s v="212100"/>
    <s v="Trade Debtors (Ctrl)"/>
    <s v=""/>
    <s v="01"/>
    <s v="USD"/>
    <n v="1205.2"/>
    <s v="INR"/>
    <n v="104480.31"/>
    <s v="O0"/>
    <s v="6779224500"/>
    <s v=""/>
    <s v="NA"/>
    <s v="1"/>
    <s v="Inbound Handling charges for Aug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032"/>
    <x v="1"/>
    <x v="86"/>
    <d v="2025-03-06T00:00:00"/>
    <s v="NA"/>
    <s v="246779410972"/>
    <s v="212100"/>
    <s v="Trade Debtors (Ctrl)"/>
    <s v=""/>
    <s v="01"/>
    <s v="USD"/>
    <n v="17.350000000000001"/>
    <s v="INR"/>
    <n v="1504.09"/>
    <s v="O0"/>
    <s v="6779224500"/>
    <s v=""/>
    <s v="NA"/>
    <s v="1"/>
    <s v="Inbound Handling charges for Aug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033"/>
    <x v="1"/>
    <x v="86"/>
    <d v="2025-03-06T00:00:00"/>
    <s v="NA"/>
    <s v="246779410973"/>
    <s v="212100"/>
    <s v="Trade Debtors (Ctrl)"/>
    <s v=""/>
    <s v="01"/>
    <s v="USD"/>
    <n v="33.799999999999997"/>
    <s v="INR"/>
    <n v="2930.16"/>
    <s v="O0"/>
    <s v="6779224500"/>
    <s v=""/>
    <s v="NA"/>
    <s v="1"/>
    <s v="Inbound Handling charges for Aug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034"/>
    <x v="1"/>
    <x v="86"/>
    <d v="2025-03-06T00:00:00"/>
    <s v="NA"/>
    <s v="246779410974"/>
    <s v="212100"/>
    <s v="Trade Debtors (Ctrl)"/>
    <s v=""/>
    <s v="01"/>
    <s v="USD"/>
    <n v="4.7"/>
    <s v="INR"/>
    <n v="407.45"/>
    <s v="O0"/>
    <s v="6779224500"/>
    <s v=""/>
    <s v="NA"/>
    <s v="1"/>
    <s v="Inbound Handling charges for Aug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114"/>
    <x v="1"/>
    <x v="86"/>
    <d v="2025-03-07T00:00:00"/>
    <s v="NA"/>
    <s v="246779411050"/>
    <s v="212100"/>
    <s v="Trade Debtors (Ctrl)"/>
    <s v=""/>
    <s v="01"/>
    <s v="USD"/>
    <n v="23.5"/>
    <s v="INR"/>
    <n v="2037.24"/>
    <s v="O0"/>
    <s v="6779224500"/>
    <s v=""/>
    <s v="NA"/>
    <s v="1"/>
    <s v="Inbound Handling charges for Sep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115"/>
    <x v="1"/>
    <x v="86"/>
    <d v="2025-03-07T00:00:00"/>
    <s v="NA"/>
    <s v="246779411051"/>
    <s v="212100"/>
    <s v="Trade Debtors (Ctrl)"/>
    <s v=""/>
    <s v="01"/>
    <s v="USD"/>
    <n v="17.350000000000001"/>
    <s v="INR"/>
    <n v="1504.09"/>
    <s v="O0"/>
    <s v="6779224500"/>
    <s v=""/>
    <s v="NA"/>
    <s v="1"/>
    <s v="Inbound Handling charges for Sep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116"/>
    <x v="1"/>
    <x v="86"/>
    <d v="2025-03-07T00:00:00"/>
    <s v="NA"/>
    <s v="246779411052"/>
    <s v="212100"/>
    <s v="Trade Debtors (Ctrl)"/>
    <s v=""/>
    <s v="01"/>
    <s v="USD"/>
    <n v="4.7"/>
    <s v="INR"/>
    <n v="407.45"/>
    <s v="O0"/>
    <s v="6779224500"/>
    <s v=""/>
    <s v="NA"/>
    <s v="1"/>
    <s v="Inbound Handling charges for Sep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117"/>
    <x v="1"/>
    <x v="86"/>
    <d v="2025-03-07T00:00:00"/>
    <s v="NA"/>
    <s v="246779411053"/>
    <s v="212100"/>
    <s v="Trade Debtors (Ctrl)"/>
    <s v=""/>
    <s v="01"/>
    <s v="USD"/>
    <n v="24.4"/>
    <s v="INR"/>
    <n v="2115.27"/>
    <s v="O0"/>
    <s v="6779224500"/>
    <s v=""/>
    <s v="NA"/>
    <s v="1"/>
    <s v="Inbound Handling charges for Sep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118"/>
    <x v="1"/>
    <x v="86"/>
    <d v="2025-03-07T00:00:00"/>
    <s v="NA"/>
    <s v="246779411054"/>
    <s v="212100"/>
    <s v="Trade Debtors (Ctrl)"/>
    <s v=""/>
    <s v="01"/>
    <s v="USD"/>
    <n v="54.05"/>
    <s v="INR"/>
    <n v="4685.66"/>
    <s v="O0"/>
    <s v="6779224500"/>
    <s v=""/>
    <s v="NA"/>
    <s v="1"/>
    <s v="Inbound Handling charges for Sep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119"/>
    <x v="1"/>
    <x v="86"/>
    <d v="2025-03-07T00:00:00"/>
    <s v="NA"/>
    <s v="246779411055"/>
    <s v="212100"/>
    <s v="Trade Debtors (Ctrl)"/>
    <s v=""/>
    <s v="01"/>
    <s v="USD"/>
    <n v="17.350000000000001"/>
    <s v="INR"/>
    <n v="1504.09"/>
    <s v="O0"/>
    <s v="6779224500"/>
    <s v=""/>
    <s v="NA"/>
    <s v="1"/>
    <s v="Inbound Handling charges for Sep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16"/>
    <x v="1"/>
    <x v="86"/>
    <d v="2025-03-07T00:00:00"/>
    <s v="NA"/>
    <s v="246779411185"/>
    <s v="212100"/>
    <s v="Trade Debtors (Ctrl)"/>
    <s v=""/>
    <s v="01"/>
    <s v="USD"/>
    <n v="23.5"/>
    <s v="INR"/>
    <n v="2037.24"/>
    <s v="O0"/>
    <s v="6779224500"/>
    <s v=""/>
    <s v="NA"/>
    <s v="1"/>
    <s v="Inbound Handling charges for Nov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17"/>
    <x v="1"/>
    <x v="86"/>
    <d v="2025-03-07T00:00:00"/>
    <s v="NA"/>
    <s v="246779411186"/>
    <s v="212100"/>
    <s v="Trade Debtors (Ctrl)"/>
    <s v=""/>
    <s v="01"/>
    <s v="USD"/>
    <n v="23.5"/>
    <s v="INR"/>
    <n v="2037.24"/>
    <s v="O0"/>
    <s v="6779224500"/>
    <s v=""/>
    <s v="NA"/>
    <s v="1"/>
    <s v="Inbound Handling charges for Nov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18"/>
    <x v="1"/>
    <x v="86"/>
    <d v="2025-03-07T00:00:00"/>
    <s v="NA"/>
    <s v="246779411187"/>
    <s v="212100"/>
    <s v="Trade Debtors (Ctrl)"/>
    <s v=""/>
    <s v="01"/>
    <s v="USD"/>
    <n v="23.5"/>
    <s v="INR"/>
    <n v="2037.24"/>
    <s v="O0"/>
    <s v="6779224500"/>
    <s v=""/>
    <s v="NA"/>
    <s v="1"/>
    <s v="Inbound Handling charges for Nov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19"/>
    <x v="1"/>
    <x v="86"/>
    <d v="2025-03-07T00:00:00"/>
    <s v="NA"/>
    <s v="246779411188"/>
    <s v="212100"/>
    <s v="Trade Debtors (Ctrl)"/>
    <s v=""/>
    <s v="01"/>
    <s v="USD"/>
    <n v="23.5"/>
    <s v="INR"/>
    <n v="2037.24"/>
    <s v="O0"/>
    <s v="6779224500"/>
    <s v=""/>
    <s v="NA"/>
    <s v="1"/>
    <s v="Inbound Handling charges for Nov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20"/>
    <x v="1"/>
    <x v="86"/>
    <d v="2025-03-07T00:00:00"/>
    <s v="NA"/>
    <s v="246779411189"/>
    <s v="212100"/>
    <s v="Trade Debtors (Ctrl)"/>
    <s v=""/>
    <s v="01"/>
    <s v="USD"/>
    <n v="23.5"/>
    <s v="INR"/>
    <n v="2037.24"/>
    <s v="O0"/>
    <s v="6779224500"/>
    <s v=""/>
    <s v="NA"/>
    <s v="1"/>
    <s v="Inbound Handling charges for Nov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79"/>
    <x v="1"/>
    <x v="86"/>
    <d v="2025-03-07T00:00:00"/>
    <s v="NA"/>
    <s v="246779411248"/>
    <s v="212100"/>
    <s v="Trade Debtors (Ctrl)"/>
    <s v=""/>
    <s v="01"/>
    <s v="USD"/>
    <n v="42.3"/>
    <s v="INR"/>
    <n v="3667.04"/>
    <s v="O0"/>
    <s v="6779224500"/>
    <s v=""/>
    <s v="NA"/>
    <s v="1"/>
    <s v="Inbound Handling charges for Dec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80"/>
    <x v="1"/>
    <x v="86"/>
    <d v="2025-03-07T00:00:00"/>
    <s v="NA"/>
    <s v="246779411249"/>
    <s v="212100"/>
    <s v="Trade Debtors (Ctrl)"/>
    <s v=""/>
    <s v="01"/>
    <s v="USD"/>
    <n v="169.2"/>
    <s v="INR"/>
    <n v="14668.16"/>
    <s v="O0"/>
    <s v="6779224500"/>
    <s v=""/>
    <s v="NA"/>
    <s v="1"/>
    <s v="Inbound Handling charges for Dec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6T00:00:00"/>
    <s v="1800001381"/>
    <x v="1"/>
    <x v="86"/>
    <d v="2025-03-07T00:00:00"/>
    <s v="NA"/>
    <s v="246779411250"/>
    <s v="212100"/>
    <s v="Trade Debtors (Ctrl)"/>
    <s v=""/>
    <s v="01"/>
    <s v="USD"/>
    <n v="19.7"/>
    <s v="INR"/>
    <n v="1707.82"/>
    <s v="O0"/>
    <s v="6779224500"/>
    <s v=""/>
    <s v="NA"/>
    <s v="1"/>
    <s v="Inbound Handling charges for Dec 2024"/>
    <s v=""/>
    <s v=""/>
    <s v=""/>
    <d v="2025-03-06T00:00:00"/>
    <m/>
    <s v=""/>
  </r>
  <r>
    <s v="Not Selected"/>
    <s v="6779"/>
    <s v="100222332"/>
    <s v="SCOPE LOGISTICS SERVICES INDIA PVT."/>
    <s v="2025"/>
    <s v="3"/>
    <d v="2025-03-03T00:00:00"/>
    <s v="1800000417"/>
    <x v="1"/>
    <x v="82"/>
    <d v="2025-03-03T00:00:00"/>
    <s v="NA"/>
    <s v="246779410379"/>
    <s v="212100"/>
    <s v="Trade Debtors (Ctrl)"/>
    <s v=""/>
    <s v="01"/>
    <s v="USD"/>
    <n v="5862.04"/>
    <s v="INR"/>
    <n v="508187.63"/>
    <s v="O0"/>
    <s v="6779224500"/>
    <s v=""/>
    <s v="NA"/>
    <s v="1"/>
    <s v="Storage Charges for the month of August,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4"/>
    <x v="1"/>
    <x v="82"/>
    <d v="2025-03-03T00:00:00"/>
    <s v="NA"/>
    <s v="246779410504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442"/>
    <x v="1"/>
    <x v="82"/>
    <d v="2025-03-03T00:00:00"/>
    <s v="NA"/>
    <s v="246779410404"/>
    <s v="212100"/>
    <s v="Trade Debtors (Ctrl)"/>
    <s v=""/>
    <s v="01"/>
    <s v="USD"/>
    <n v="7394.09"/>
    <s v="INR"/>
    <n v="641002.98"/>
    <s v="O0"/>
    <s v="6779224500"/>
    <s v=""/>
    <s v="NA"/>
    <s v="1"/>
    <s v="Storage  for the month of Sept 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466"/>
    <x v="1"/>
    <x v="82"/>
    <d v="2025-03-03T00:00:00"/>
    <s v="NA"/>
    <s v="246779410428"/>
    <s v="212100"/>
    <s v="Trade Debtors (Ctrl)"/>
    <s v=""/>
    <s v="01"/>
    <s v="USD"/>
    <n v="4332.22"/>
    <s v="INR"/>
    <n v="375565.61"/>
    <s v="O0"/>
    <s v="6779224500"/>
    <s v=""/>
    <s v="NA"/>
    <s v="1"/>
    <s v="Storage for the month of Oct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44"/>
    <x v="1"/>
    <x v="82"/>
    <d v="2025-03-03T00:00:00"/>
    <s v="NA"/>
    <s v="246779410494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45"/>
    <x v="1"/>
    <x v="82"/>
    <d v="2025-03-03T00:00:00"/>
    <s v="NA"/>
    <s v="246779410495"/>
    <s v="212100"/>
    <s v="Trade Debtors (Ctrl)"/>
    <s v=""/>
    <s v="01"/>
    <s v="USD"/>
    <n v="23.5"/>
    <s v="INR"/>
    <n v="2037.24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46"/>
    <x v="1"/>
    <x v="82"/>
    <d v="2025-03-03T00:00:00"/>
    <s v="NA"/>
    <s v="246779410496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47"/>
    <x v="1"/>
    <x v="82"/>
    <d v="2025-03-03T00:00:00"/>
    <s v="NA"/>
    <s v="246779410497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48"/>
    <x v="1"/>
    <x v="82"/>
    <d v="2025-03-03T00:00:00"/>
    <s v="NA"/>
    <s v="246779410498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49"/>
    <x v="1"/>
    <x v="82"/>
    <d v="2025-03-03T00:00:00"/>
    <s v="NA"/>
    <s v="246779410499"/>
    <s v="212100"/>
    <s v="Trade Debtors (Ctrl)"/>
    <s v=""/>
    <s v="01"/>
    <s v="USD"/>
    <n v="9.4"/>
    <s v="INR"/>
    <n v="814.9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0"/>
    <x v="1"/>
    <x v="82"/>
    <d v="2025-03-03T00:00:00"/>
    <s v="NA"/>
    <s v="246779410500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1"/>
    <x v="1"/>
    <x v="82"/>
    <d v="2025-03-03T00:00:00"/>
    <s v="NA"/>
    <s v="246779410501"/>
    <s v="212100"/>
    <s v="Trade Debtors (Ctrl)"/>
    <s v=""/>
    <s v="01"/>
    <s v="USD"/>
    <n v="18.8"/>
    <s v="INR"/>
    <n v="1629.8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2"/>
    <x v="1"/>
    <x v="82"/>
    <d v="2025-03-03T00:00:00"/>
    <s v="NA"/>
    <s v="246779410502"/>
    <s v="212100"/>
    <s v="Trade Debtors (Ctrl)"/>
    <s v=""/>
    <s v="01"/>
    <s v="USD"/>
    <n v="23.5"/>
    <s v="INR"/>
    <n v="2037.24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3"/>
    <x v="1"/>
    <x v="82"/>
    <d v="2025-03-03T00:00:00"/>
    <s v="NA"/>
    <s v="246779410503"/>
    <s v="212100"/>
    <s v="Trade Debtors (Ctrl)"/>
    <s v=""/>
    <s v="01"/>
    <s v="USD"/>
    <n v="9.4"/>
    <s v="INR"/>
    <n v="814.9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5"/>
    <x v="1"/>
    <x v="82"/>
    <d v="2025-03-03T00:00:00"/>
    <s v="NA"/>
    <s v="246779410505"/>
    <s v="212100"/>
    <s v="Trade Debtors (Ctrl)"/>
    <s v=""/>
    <s v="01"/>
    <s v="USD"/>
    <n v="7.05"/>
    <s v="INR"/>
    <n v="611.16999999999996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6"/>
    <x v="1"/>
    <x v="82"/>
    <d v="2025-03-03T00:00:00"/>
    <s v="NA"/>
    <s v="246779410506"/>
    <s v="212100"/>
    <s v="Trade Debtors (Ctrl)"/>
    <s v=""/>
    <s v="01"/>
    <s v="USD"/>
    <n v="4.7"/>
    <s v="INR"/>
    <n v="407.45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7"/>
    <x v="1"/>
    <x v="82"/>
    <d v="2025-03-03T00:00:00"/>
    <s v="NA"/>
    <s v="246779410507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558"/>
    <x v="1"/>
    <x v="82"/>
    <d v="2025-03-03T00:00:00"/>
    <s v="NA"/>
    <s v="246779410508"/>
    <s v="212100"/>
    <s v="Trade Debtors (Ctrl)"/>
    <s v=""/>
    <s v="01"/>
    <s v="USD"/>
    <n v="2.35"/>
    <s v="INR"/>
    <n v="203.72"/>
    <s v="O0"/>
    <s v="6779224500"/>
    <s v=""/>
    <s v="NA"/>
    <s v="1"/>
    <s v="Outbound Handling for Aug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65"/>
    <x v="1"/>
    <x v="82"/>
    <d v="2025-03-04T00:00:00"/>
    <s v="NA"/>
    <s v="246779410605"/>
    <s v="212100"/>
    <s v="Trade Debtors (Ctrl)"/>
    <s v=""/>
    <s v="01"/>
    <s v="USD"/>
    <n v="23.5"/>
    <s v="INR"/>
    <n v="2037.24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66"/>
    <x v="1"/>
    <x v="82"/>
    <d v="2025-03-04T00:00:00"/>
    <s v="NA"/>
    <s v="246779410606"/>
    <s v="212100"/>
    <s v="Trade Debtors (Ctrl)"/>
    <s v=""/>
    <s v="01"/>
    <s v="USD"/>
    <n v="4.7"/>
    <s v="INR"/>
    <n v="407.45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67"/>
    <x v="1"/>
    <x v="82"/>
    <d v="2025-03-04T00:00:00"/>
    <s v="NA"/>
    <s v="246779410607"/>
    <s v="212100"/>
    <s v="Trade Debtors (Ctrl)"/>
    <s v=""/>
    <s v="01"/>
    <s v="USD"/>
    <n v="4.7"/>
    <s v="INR"/>
    <n v="407.45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68"/>
    <x v="1"/>
    <x v="82"/>
    <d v="2025-03-04T00:00:00"/>
    <s v="NA"/>
    <s v="246779410608"/>
    <s v="212100"/>
    <s v="Trade Debtors (Ctrl)"/>
    <s v=""/>
    <s v="01"/>
    <s v="USD"/>
    <n v="9.4"/>
    <s v="INR"/>
    <n v="814.9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69"/>
    <x v="1"/>
    <x v="82"/>
    <d v="2025-03-04T00:00:00"/>
    <s v="NA"/>
    <s v="246779410609"/>
    <s v="212100"/>
    <s v="Trade Debtors (Ctrl)"/>
    <s v=""/>
    <s v="01"/>
    <s v="USD"/>
    <n v="37.6"/>
    <s v="INR"/>
    <n v="3259.59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70"/>
    <x v="1"/>
    <x v="82"/>
    <d v="2025-03-04T00:00:00"/>
    <s v="NA"/>
    <s v="246779410610"/>
    <s v="212100"/>
    <s v="Trade Debtors (Ctrl)"/>
    <s v=""/>
    <s v="01"/>
    <s v="USD"/>
    <n v="2.35"/>
    <s v="INR"/>
    <n v="203.72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71"/>
    <x v="1"/>
    <x v="82"/>
    <d v="2025-03-04T00:00:00"/>
    <s v="NA"/>
    <s v="246779410611"/>
    <s v="212100"/>
    <s v="Trade Debtors (Ctrl)"/>
    <s v=""/>
    <s v="01"/>
    <s v="USD"/>
    <n v="4.7"/>
    <s v="INR"/>
    <n v="407.45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3"/>
    <d v="2025-03-03T00:00:00"/>
    <s v="1800000673"/>
    <x v="1"/>
    <x v="82"/>
    <d v="2025-03-04T00:00:00"/>
    <s v="NA"/>
    <s v="246779410613"/>
    <s v="212100"/>
    <s v="Trade Debtors (Ctrl)"/>
    <s v=""/>
    <s v="01"/>
    <s v="USD"/>
    <n v="9.4"/>
    <s v="INR"/>
    <n v="814.9"/>
    <s v="O0"/>
    <s v="6779224500"/>
    <s v=""/>
    <s v="NA"/>
    <s v="1"/>
    <s v="Outbound Handling for Sep 2024"/>
    <s v=""/>
    <s v=""/>
    <s v=""/>
    <d v="2025-03-03T00:00:00"/>
    <m/>
    <s v=""/>
  </r>
  <r>
    <s v="Not Selected"/>
    <s v="6779"/>
    <s v="100222332"/>
    <s v="SCOPE LOGISTICS SERVICES INDIA PVT."/>
    <s v="2025"/>
    <s v="8"/>
    <d v="2025-08-01T00:00:00"/>
    <s v="1800011345"/>
    <x v="1"/>
    <x v="87"/>
    <d v="2025-08-04T00:00:00"/>
    <s v="NA"/>
    <s v="256779416054"/>
    <s v="212100"/>
    <s v="Trade Debtors (Ctrl)"/>
    <s v=""/>
    <s v="01"/>
    <s v="USD"/>
    <n v="456.75"/>
    <s v="INR"/>
    <n v="39294.26"/>
    <s v="O0"/>
    <s v="6779224500"/>
    <s v=""/>
    <s v="NA"/>
    <s v="1"/>
    <s v="Fixed Storage Charges for August 2025"/>
    <s v=""/>
    <s v=""/>
    <s v=""/>
    <d v="2025-08-01T00:00:00"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12544-960F-4502-9705-7FBA5B2F2B8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J18" firstHeaderRow="1" firstDataRow="2" firstDataCol="3"/>
  <pivotFields count="35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axis="axisCol" compact="0" outline="0" showAll="0" defaultSubtotal="0">
      <items count="6">
        <item x="3"/>
        <item x="0"/>
        <item x="1"/>
        <item x="4"/>
        <item x="2"/>
        <item x="5"/>
      </items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34"/>
    <field x="33"/>
    <field x="9"/>
  </rowFields>
  <rowItems count="14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ompany Code Currency Val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3"/>
  <sheetViews>
    <sheetView tabSelected="1" topLeftCell="A445" workbookViewId="0">
      <selection activeCell="D1" sqref="A1:AG483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37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2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52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50" x14ac:dyDescent="0.25">
      <c r="A1" s="1" t="s">
        <v>1298</v>
      </c>
      <c r="B1" s="1" t="s">
        <v>1299</v>
      </c>
      <c r="C1" s="1" t="s">
        <v>1300</v>
      </c>
      <c r="D1" s="1" t="s">
        <v>1301</v>
      </c>
      <c r="E1" s="1" t="s">
        <v>1302</v>
      </c>
      <c r="F1" s="12" t="s">
        <v>1303</v>
      </c>
      <c r="G1" s="1" t="s">
        <v>1304</v>
      </c>
      <c r="H1" s="1" t="s">
        <v>1305</v>
      </c>
      <c r="I1" s="12" t="s">
        <v>1306</v>
      </c>
      <c r="J1" s="1" t="s">
        <v>1307</v>
      </c>
      <c r="K1" s="1" t="s">
        <v>1308</v>
      </c>
      <c r="L1" s="1" t="s">
        <v>1309</v>
      </c>
      <c r="M1" s="1" t="s">
        <v>1310</v>
      </c>
      <c r="N1" s="1" t="s">
        <v>1311</v>
      </c>
      <c r="O1" s="1" t="s">
        <v>1312</v>
      </c>
      <c r="P1" s="1" t="s">
        <v>1313</v>
      </c>
      <c r="Q1" s="1" t="s">
        <v>1314</v>
      </c>
      <c r="R1" s="12" t="s">
        <v>1315</v>
      </c>
      <c r="S1" s="12" t="s">
        <v>1316</v>
      </c>
      <c r="T1" s="12" t="s">
        <v>1317</v>
      </c>
      <c r="U1" s="12" t="s">
        <v>1318</v>
      </c>
      <c r="V1" s="1" t="s">
        <v>1319</v>
      </c>
      <c r="W1" s="1" t="s">
        <v>1320</v>
      </c>
      <c r="X1" s="1" t="s">
        <v>1321</v>
      </c>
      <c r="Y1" s="1" t="s">
        <v>1322</v>
      </c>
      <c r="Z1" s="1" t="s">
        <v>1323</v>
      </c>
      <c r="AA1" s="1" t="s">
        <v>1324</v>
      </c>
      <c r="AB1" s="1" t="s">
        <v>1325</v>
      </c>
      <c r="AC1" s="1" t="s">
        <v>1326</v>
      </c>
      <c r="AD1" s="1" t="s">
        <v>1327</v>
      </c>
      <c r="AE1" s="1" t="s">
        <v>1328</v>
      </c>
      <c r="AF1" s="1" t="s">
        <v>1329</v>
      </c>
      <c r="AG1" s="1" t="s">
        <v>1330</v>
      </c>
    </row>
    <row r="2" spans="1:33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45854</v>
      </c>
      <c r="H2" t="s">
        <v>6</v>
      </c>
      <c r="I2" t="s">
        <v>7</v>
      </c>
      <c r="J2" s="2">
        <v>45854</v>
      </c>
      <c r="K2" s="2">
        <v>45854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s="3">
        <v>-1793.99</v>
      </c>
      <c r="T2" t="s">
        <v>15</v>
      </c>
      <c r="U2" s="3">
        <v>-154827.9</v>
      </c>
      <c r="V2" t="s">
        <v>16</v>
      </c>
      <c r="W2" t="s">
        <v>17</v>
      </c>
      <c r="X2" t="s">
        <v>12</v>
      </c>
      <c r="Y2" t="s">
        <v>8</v>
      </c>
      <c r="Z2" t="s">
        <v>18</v>
      </c>
      <c r="AA2" t="s">
        <v>19</v>
      </c>
      <c r="AB2" t="s">
        <v>12</v>
      </c>
      <c r="AC2" t="s">
        <v>12</v>
      </c>
      <c r="AD2" t="s">
        <v>12</v>
      </c>
      <c r="AE2" s="2">
        <v>45854</v>
      </c>
      <c r="AF2" s="2">
        <v>45854</v>
      </c>
      <c r="AG2" t="s">
        <v>20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45854</v>
      </c>
      <c r="H3" t="s">
        <v>21</v>
      </c>
      <c r="I3" t="s">
        <v>22</v>
      </c>
      <c r="J3" s="2">
        <v>45854</v>
      </c>
      <c r="K3" s="2">
        <v>45855</v>
      </c>
      <c r="L3" t="s">
        <v>8</v>
      </c>
      <c r="M3" t="s">
        <v>23</v>
      </c>
      <c r="N3" t="s">
        <v>10</v>
      </c>
      <c r="O3" t="s">
        <v>11</v>
      </c>
      <c r="P3" t="s">
        <v>12</v>
      </c>
      <c r="Q3" t="s">
        <v>24</v>
      </c>
      <c r="R3" t="s">
        <v>14</v>
      </c>
      <c r="S3" s="3">
        <v>1793.99</v>
      </c>
      <c r="T3" t="s">
        <v>15</v>
      </c>
      <c r="U3" s="3">
        <v>154827.9</v>
      </c>
      <c r="V3" t="s">
        <v>16</v>
      </c>
      <c r="W3" t="s">
        <v>17</v>
      </c>
      <c r="X3" t="s">
        <v>12</v>
      </c>
      <c r="Y3" t="s">
        <v>8</v>
      </c>
      <c r="Z3" t="s">
        <v>18</v>
      </c>
      <c r="AA3" t="s">
        <v>25</v>
      </c>
      <c r="AB3" t="s">
        <v>12</v>
      </c>
      <c r="AC3" t="s">
        <v>12</v>
      </c>
      <c r="AD3" t="s">
        <v>12</v>
      </c>
      <c r="AE3" s="2">
        <v>45854</v>
      </c>
      <c r="AF3" s="2">
        <v>45854</v>
      </c>
      <c r="AG3" t="s">
        <v>20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45854</v>
      </c>
      <c r="H4" t="s">
        <v>26</v>
      </c>
      <c r="I4" t="s">
        <v>7</v>
      </c>
      <c r="J4" s="2">
        <v>45854</v>
      </c>
      <c r="K4" s="2">
        <v>45854</v>
      </c>
      <c r="L4" t="s">
        <v>8</v>
      </c>
      <c r="M4" t="s">
        <v>27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s="3">
        <v>-705</v>
      </c>
      <c r="T4" t="s">
        <v>15</v>
      </c>
      <c r="U4" s="3">
        <v>-60844.08</v>
      </c>
      <c r="V4" t="s">
        <v>16</v>
      </c>
      <c r="W4" t="s">
        <v>17</v>
      </c>
      <c r="X4" t="s">
        <v>12</v>
      </c>
      <c r="Y4" t="s">
        <v>8</v>
      </c>
      <c r="Z4" t="s">
        <v>18</v>
      </c>
      <c r="AA4" t="s">
        <v>28</v>
      </c>
      <c r="AB4" t="s">
        <v>12</v>
      </c>
      <c r="AC4" t="s">
        <v>12</v>
      </c>
      <c r="AD4" t="s">
        <v>12</v>
      </c>
      <c r="AE4" s="2">
        <v>45854</v>
      </c>
      <c r="AF4" s="2">
        <v>45854</v>
      </c>
      <c r="AG4" t="s">
        <v>29</v>
      </c>
    </row>
    <row r="5" spans="1:33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45854</v>
      </c>
      <c r="H5" t="s">
        <v>30</v>
      </c>
      <c r="I5" t="s">
        <v>22</v>
      </c>
      <c r="J5" s="2">
        <v>45854</v>
      </c>
      <c r="K5" s="2">
        <v>45855</v>
      </c>
      <c r="L5" t="s">
        <v>8</v>
      </c>
      <c r="M5" t="s">
        <v>31</v>
      </c>
      <c r="N5" t="s">
        <v>10</v>
      </c>
      <c r="O5" t="s">
        <v>11</v>
      </c>
      <c r="P5" t="s">
        <v>12</v>
      </c>
      <c r="Q5" t="s">
        <v>24</v>
      </c>
      <c r="R5" t="s">
        <v>14</v>
      </c>
      <c r="S5" s="3">
        <v>705</v>
      </c>
      <c r="T5" t="s">
        <v>15</v>
      </c>
      <c r="U5" s="3">
        <v>60844.08</v>
      </c>
      <c r="V5" t="s">
        <v>16</v>
      </c>
      <c r="W5" t="s">
        <v>17</v>
      </c>
      <c r="X5" t="s">
        <v>12</v>
      </c>
      <c r="Y5" t="s">
        <v>8</v>
      </c>
      <c r="Z5" t="s">
        <v>18</v>
      </c>
      <c r="AA5" t="s">
        <v>32</v>
      </c>
      <c r="AB5" t="s">
        <v>12</v>
      </c>
      <c r="AC5" t="s">
        <v>12</v>
      </c>
      <c r="AD5" t="s">
        <v>12</v>
      </c>
      <c r="AE5" s="2">
        <v>45854</v>
      </c>
      <c r="AF5" s="2">
        <v>45854</v>
      </c>
      <c r="AG5" t="s">
        <v>29</v>
      </c>
    </row>
    <row r="6" spans="1:33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45854</v>
      </c>
      <c r="H6" t="s">
        <v>33</v>
      </c>
      <c r="I6" t="s">
        <v>7</v>
      </c>
      <c r="J6" s="2">
        <v>45854</v>
      </c>
      <c r="K6" s="2">
        <v>45854</v>
      </c>
      <c r="L6" t="s">
        <v>8</v>
      </c>
      <c r="M6" t="s">
        <v>34</v>
      </c>
      <c r="N6" t="s">
        <v>10</v>
      </c>
      <c r="O6" t="s">
        <v>11</v>
      </c>
      <c r="P6" t="s">
        <v>12</v>
      </c>
      <c r="Q6" t="s">
        <v>13</v>
      </c>
      <c r="R6" t="s">
        <v>14</v>
      </c>
      <c r="S6" s="3">
        <v>-216.2</v>
      </c>
      <c r="T6" t="s">
        <v>15</v>
      </c>
      <c r="U6" s="3">
        <v>-18742.650000000001</v>
      </c>
      <c r="V6" t="s">
        <v>16</v>
      </c>
      <c r="W6" t="s">
        <v>17</v>
      </c>
      <c r="X6" t="s">
        <v>12</v>
      </c>
      <c r="Y6" t="s">
        <v>8</v>
      </c>
      <c r="Z6" t="s">
        <v>18</v>
      </c>
      <c r="AA6" t="s">
        <v>35</v>
      </c>
      <c r="AB6" t="s">
        <v>12</v>
      </c>
      <c r="AC6" t="s">
        <v>12</v>
      </c>
      <c r="AD6" t="s">
        <v>12</v>
      </c>
      <c r="AE6" s="2">
        <v>45854</v>
      </c>
      <c r="AF6" s="2">
        <v>45854</v>
      </c>
      <c r="AG6" t="s">
        <v>36</v>
      </c>
    </row>
    <row r="7" spans="1:33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45854</v>
      </c>
      <c r="H7" t="s">
        <v>37</v>
      </c>
      <c r="I7" t="s">
        <v>22</v>
      </c>
      <c r="J7" s="2">
        <v>45854</v>
      </c>
      <c r="K7" s="2">
        <v>45855</v>
      </c>
      <c r="L7" t="s">
        <v>8</v>
      </c>
      <c r="M7" t="s">
        <v>38</v>
      </c>
      <c r="N7" t="s">
        <v>10</v>
      </c>
      <c r="O7" t="s">
        <v>11</v>
      </c>
      <c r="P7" t="s">
        <v>12</v>
      </c>
      <c r="Q7" t="s">
        <v>24</v>
      </c>
      <c r="R7" t="s">
        <v>14</v>
      </c>
      <c r="S7" s="3">
        <v>216.2</v>
      </c>
      <c r="T7" t="s">
        <v>15</v>
      </c>
      <c r="U7" s="3">
        <v>18742.650000000001</v>
      </c>
      <c r="V7" t="s">
        <v>16</v>
      </c>
      <c r="W7" t="s">
        <v>17</v>
      </c>
      <c r="X7" t="s">
        <v>12</v>
      </c>
      <c r="Y7" t="s">
        <v>8</v>
      </c>
      <c r="Z7" t="s">
        <v>18</v>
      </c>
      <c r="AA7" t="s">
        <v>39</v>
      </c>
      <c r="AB7" t="s">
        <v>12</v>
      </c>
      <c r="AC7" t="s">
        <v>12</v>
      </c>
      <c r="AD7" t="s">
        <v>12</v>
      </c>
      <c r="AE7" s="2">
        <v>45854</v>
      </c>
      <c r="AF7" s="2">
        <v>45854</v>
      </c>
      <c r="AG7" t="s">
        <v>36</v>
      </c>
    </row>
    <row r="8" spans="1:33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45854</v>
      </c>
      <c r="H8" t="s">
        <v>40</v>
      </c>
      <c r="I8" t="s">
        <v>7</v>
      </c>
      <c r="J8" s="2">
        <v>45854</v>
      </c>
      <c r="K8" s="2">
        <v>45854</v>
      </c>
      <c r="L8" t="s">
        <v>8</v>
      </c>
      <c r="M8" t="s">
        <v>41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 s="3">
        <v>-1926.06</v>
      </c>
      <c r="T8" t="s">
        <v>15</v>
      </c>
      <c r="U8" s="3">
        <v>-166972.57</v>
      </c>
      <c r="V8" t="s">
        <v>16</v>
      </c>
      <c r="W8" t="s">
        <v>17</v>
      </c>
      <c r="X8" t="s">
        <v>12</v>
      </c>
      <c r="Y8" t="s">
        <v>8</v>
      </c>
      <c r="Z8" t="s">
        <v>18</v>
      </c>
      <c r="AA8" t="s">
        <v>42</v>
      </c>
      <c r="AB8" t="s">
        <v>12</v>
      </c>
      <c r="AC8" t="s">
        <v>12</v>
      </c>
      <c r="AD8" t="s">
        <v>12</v>
      </c>
      <c r="AE8" s="2">
        <v>45854</v>
      </c>
      <c r="AF8" s="2">
        <v>45854</v>
      </c>
      <c r="AG8" t="s">
        <v>43</v>
      </c>
    </row>
    <row r="9" spans="1:33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45854</v>
      </c>
      <c r="H9" t="s">
        <v>44</v>
      </c>
      <c r="I9" t="s">
        <v>22</v>
      </c>
      <c r="J9" s="2">
        <v>45854</v>
      </c>
      <c r="K9" s="2">
        <v>45855</v>
      </c>
      <c r="L9" t="s">
        <v>8</v>
      </c>
      <c r="M9" t="s">
        <v>45</v>
      </c>
      <c r="N9" t="s">
        <v>10</v>
      </c>
      <c r="O9" t="s">
        <v>11</v>
      </c>
      <c r="P9" t="s">
        <v>12</v>
      </c>
      <c r="Q9" t="s">
        <v>24</v>
      </c>
      <c r="R9" t="s">
        <v>14</v>
      </c>
      <c r="S9" s="3">
        <v>1926.06</v>
      </c>
      <c r="T9" t="s">
        <v>15</v>
      </c>
      <c r="U9" s="3">
        <v>166972.57</v>
      </c>
      <c r="V9" t="s">
        <v>16</v>
      </c>
      <c r="W9" t="s">
        <v>17</v>
      </c>
      <c r="X9" t="s">
        <v>12</v>
      </c>
      <c r="Y9" t="s">
        <v>8</v>
      </c>
      <c r="Z9" t="s">
        <v>18</v>
      </c>
      <c r="AA9" t="s">
        <v>46</v>
      </c>
      <c r="AB9" t="s">
        <v>12</v>
      </c>
      <c r="AC9" t="s">
        <v>12</v>
      </c>
      <c r="AD9" t="s">
        <v>12</v>
      </c>
      <c r="AE9" s="2">
        <v>45854</v>
      </c>
      <c r="AF9" s="2">
        <v>45854</v>
      </c>
      <c r="AG9" t="s">
        <v>43</v>
      </c>
    </row>
    <row r="10" spans="1:33" outlineLevel="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45854</v>
      </c>
      <c r="H10" t="s">
        <v>47</v>
      </c>
      <c r="I10" t="s">
        <v>7</v>
      </c>
      <c r="J10" s="2">
        <v>45854</v>
      </c>
      <c r="K10" s="2">
        <v>45854</v>
      </c>
      <c r="L10" t="s">
        <v>8</v>
      </c>
      <c r="M10" t="s">
        <v>48</v>
      </c>
      <c r="N10" t="s">
        <v>10</v>
      </c>
      <c r="O10" t="s">
        <v>11</v>
      </c>
      <c r="P10" t="s">
        <v>12</v>
      </c>
      <c r="Q10" t="s">
        <v>13</v>
      </c>
      <c r="R10" t="s">
        <v>14</v>
      </c>
      <c r="S10" s="3">
        <v>-531.9</v>
      </c>
      <c r="T10" t="s">
        <v>15</v>
      </c>
      <c r="U10" s="3">
        <v>-46111.08</v>
      </c>
      <c r="V10" t="s">
        <v>16</v>
      </c>
      <c r="W10" t="s">
        <v>17</v>
      </c>
      <c r="X10" t="s">
        <v>12</v>
      </c>
      <c r="Y10" t="s">
        <v>8</v>
      </c>
      <c r="Z10" t="s">
        <v>18</v>
      </c>
      <c r="AA10" t="s">
        <v>49</v>
      </c>
      <c r="AB10" t="s">
        <v>12</v>
      </c>
      <c r="AC10" t="s">
        <v>12</v>
      </c>
      <c r="AD10" t="s">
        <v>12</v>
      </c>
      <c r="AE10" s="2">
        <v>45854</v>
      </c>
      <c r="AF10" s="2">
        <v>45854</v>
      </c>
      <c r="AG10" t="s">
        <v>50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45854</v>
      </c>
      <c r="H11" t="s">
        <v>51</v>
      </c>
      <c r="I11" t="s">
        <v>22</v>
      </c>
      <c r="J11" s="2">
        <v>45854</v>
      </c>
      <c r="K11" s="2">
        <v>45855</v>
      </c>
      <c r="L11" t="s">
        <v>8</v>
      </c>
      <c r="M11" t="s">
        <v>52</v>
      </c>
      <c r="N11" t="s">
        <v>10</v>
      </c>
      <c r="O11" t="s">
        <v>11</v>
      </c>
      <c r="P11" t="s">
        <v>12</v>
      </c>
      <c r="Q11" t="s">
        <v>24</v>
      </c>
      <c r="R11" t="s">
        <v>14</v>
      </c>
      <c r="S11" s="3">
        <v>531.9</v>
      </c>
      <c r="T11" t="s">
        <v>15</v>
      </c>
      <c r="U11" s="3">
        <v>46111.08</v>
      </c>
      <c r="V11" t="s">
        <v>16</v>
      </c>
      <c r="W11" t="s">
        <v>17</v>
      </c>
      <c r="X11" t="s">
        <v>12</v>
      </c>
      <c r="Y11" t="s">
        <v>8</v>
      </c>
      <c r="Z11" t="s">
        <v>18</v>
      </c>
      <c r="AA11" t="s">
        <v>53</v>
      </c>
      <c r="AB11" t="s">
        <v>12</v>
      </c>
      <c r="AC11" t="s">
        <v>12</v>
      </c>
      <c r="AD11" t="s">
        <v>12</v>
      </c>
      <c r="AE11" s="2">
        <v>45854</v>
      </c>
      <c r="AF11" s="2">
        <v>45854</v>
      </c>
      <c r="AG11" t="s">
        <v>50</v>
      </c>
    </row>
    <row r="12" spans="1:33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45854</v>
      </c>
      <c r="H12" t="s">
        <v>54</v>
      </c>
      <c r="I12" t="s">
        <v>7</v>
      </c>
      <c r="J12" s="2">
        <v>45854</v>
      </c>
      <c r="K12" s="2">
        <v>45854</v>
      </c>
      <c r="L12" t="s">
        <v>8</v>
      </c>
      <c r="M12" t="s">
        <v>55</v>
      </c>
      <c r="N12" t="s">
        <v>10</v>
      </c>
      <c r="O12" t="s">
        <v>11</v>
      </c>
      <c r="P12" t="s">
        <v>12</v>
      </c>
      <c r="Q12" t="s">
        <v>13</v>
      </c>
      <c r="R12" t="s">
        <v>14</v>
      </c>
      <c r="S12" s="3">
        <v>-525</v>
      </c>
      <c r="T12" t="s">
        <v>15</v>
      </c>
      <c r="U12" s="3">
        <v>-45512.91</v>
      </c>
      <c r="V12" t="s">
        <v>16</v>
      </c>
      <c r="W12" t="s">
        <v>17</v>
      </c>
      <c r="X12" t="s">
        <v>12</v>
      </c>
      <c r="Y12" t="s">
        <v>8</v>
      </c>
      <c r="Z12" t="s">
        <v>18</v>
      </c>
      <c r="AA12" t="s">
        <v>56</v>
      </c>
      <c r="AB12" t="s">
        <v>12</v>
      </c>
      <c r="AC12" t="s">
        <v>12</v>
      </c>
      <c r="AD12" t="s">
        <v>12</v>
      </c>
      <c r="AE12" s="2">
        <v>45854</v>
      </c>
      <c r="AF12" s="2">
        <v>45854</v>
      </c>
      <c r="AG12" t="s">
        <v>57</v>
      </c>
    </row>
    <row r="13" spans="1:33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45854</v>
      </c>
      <c r="H13" t="s">
        <v>58</v>
      </c>
      <c r="I13" t="s">
        <v>22</v>
      </c>
      <c r="J13" s="2">
        <v>45854</v>
      </c>
      <c r="K13" s="2">
        <v>45855</v>
      </c>
      <c r="L13" t="s">
        <v>8</v>
      </c>
      <c r="M13" t="s">
        <v>59</v>
      </c>
      <c r="N13" t="s">
        <v>10</v>
      </c>
      <c r="O13" t="s">
        <v>11</v>
      </c>
      <c r="P13" t="s">
        <v>12</v>
      </c>
      <c r="Q13" t="s">
        <v>24</v>
      </c>
      <c r="R13" t="s">
        <v>14</v>
      </c>
      <c r="S13" s="3">
        <v>525</v>
      </c>
      <c r="T13" t="s">
        <v>15</v>
      </c>
      <c r="U13" s="3">
        <v>45512.91</v>
      </c>
      <c r="V13" t="s">
        <v>16</v>
      </c>
      <c r="W13" t="s">
        <v>17</v>
      </c>
      <c r="X13" t="s">
        <v>12</v>
      </c>
      <c r="Y13" t="s">
        <v>8</v>
      </c>
      <c r="Z13" t="s">
        <v>18</v>
      </c>
      <c r="AA13" t="s">
        <v>60</v>
      </c>
      <c r="AB13" t="s">
        <v>12</v>
      </c>
      <c r="AC13" t="s">
        <v>12</v>
      </c>
      <c r="AD13" t="s">
        <v>12</v>
      </c>
      <c r="AE13" s="2">
        <v>45854</v>
      </c>
      <c r="AF13" s="2">
        <v>45854</v>
      </c>
      <c r="AG13" t="s">
        <v>57</v>
      </c>
    </row>
    <row r="14" spans="1:33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45854</v>
      </c>
      <c r="H14" t="s">
        <v>61</v>
      </c>
      <c r="I14" t="s">
        <v>7</v>
      </c>
      <c r="J14" s="2">
        <v>45854</v>
      </c>
      <c r="K14" s="2">
        <v>45854</v>
      </c>
      <c r="L14" t="s">
        <v>8</v>
      </c>
      <c r="M14" t="s">
        <v>62</v>
      </c>
      <c r="N14" t="s">
        <v>10</v>
      </c>
      <c r="O14" t="s">
        <v>11</v>
      </c>
      <c r="P14" t="s">
        <v>12</v>
      </c>
      <c r="Q14" t="s">
        <v>13</v>
      </c>
      <c r="R14" t="s">
        <v>14</v>
      </c>
      <c r="S14" s="3">
        <v>-364.25</v>
      </c>
      <c r="T14" t="s">
        <v>15</v>
      </c>
      <c r="U14" s="3">
        <v>-31577.29</v>
      </c>
      <c r="V14" t="s">
        <v>16</v>
      </c>
      <c r="W14" t="s">
        <v>17</v>
      </c>
      <c r="X14" t="s">
        <v>12</v>
      </c>
      <c r="Y14" t="s">
        <v>8</v>
      </c>
      <c r="Z14" t="s">
        <v>18</v>
      </c>
      <c r="AA14" t="s">
        <v>63</v>
      </c>
      <c r="AB14" t="s">
        <v>12</v>
      </c>
      <c r="AC14" t="s">
        <v>12</v>
      </c>
      <c r="AD14" t="s">
        <v>12</v>
      </c>
      <c r="AE14" s="2">
        <v>45854</v>
      </c>
      <c r="AF14" s="2">
        <v>45976</v>
      </c>
      <c r="AG14" t="s">
        <v>64</v>
      </c>
    </row>
    <row r="15" spans="1:33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45854</v>
      </c>
      <c r="H15" t="s">
        <v>65</v>
      </c>
      <c r="I15" t="s">
        <v>7</v>
      </c>
      <c r="J15" s="2">
        <v>45854</v>
      </c>
      <c r="K15" s="2">
        <v>45854</v>
      </c>
      <c r="L15" t="s">
        <v>8</v>
      </c>
      <c r="M15" t="s">
        <v>66</v>
      </c>
      <c r="N15" t="s">
        <v>10</v>
      </c>
      <c r="O15" t="s">
        <v>11</v>
      </c>
      <c r="P15" t="s">
        <v>12</v>
      </c>
      <c r="Q15" t="s">
        <v>13</v>
      </c>
      <c r="R15" t="s">
        <v>14</v>
      </c>
      <c r="S15" s="3">
        <v>-237.35</v>
      </c>
      <c r="T15" t="s">
        <v>15</v>
      </c>
      <c r="U15" s="3">
        <v>-20576.169999999998</v>
      </c>
      <c r="V15" t="s">
        <v>16</v>
      </c>
      <c r="W15" t="s">
        <v>17</v>
      </c>
      <c r="X15" t="s">
        <v>12</v>
      </c>
      <c r="Y15" t="s">
        <v>8</v>
      </c>
      <c r="Z15" t="s">
        <v>18</v>
      </c>
      <c r="AA15" t="s">
        <v>67</v>
      </c>
      <c r="AB15" t="s">
        <v>12</v>
      </c>
      <c r="AC15" t="s">
        <v>12</v>
      </c>
      <c r="AD15" t="s">
        <v>12</v>
      </c>
      <c r="AE15" s="2">
        <v>45854</v>
      </c>
      <c r="AF15" s="2">
        <v>45976</v>
      </c>
      <c r="AG15" t="s">
        <v>64</v>
      </c>
    </row>
    <row r="16" spans="1:33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45854</v>
      </c>
      <c r="H16" t="s">
        <v>68</v>
      </c>
      <c r="I16" t="s">
        <v>7</v>
      </c>
      <c r="J16" s="2">
        <v>45854</v>
      </c>
      <c r="K16" s="2">
        <v>45854</v>
      </c>
      <c r="L16" t="s">
        <v>8</v>
      </c>
      <c r="M16" t="s">
        <v>69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  <c r="S16" s="3">
        <v>-220</v>
      </c>
      <c r="T16" t="s">
        <v>15</v>
      </c>
      <c r="U16" s="3">
        <v>-19072.080000000002</v>
      </c>
      <c r="V16" t="s">
        <v>16</v>
      </c>
      <c r="W16" t="s">
        <v>17</v>
      </c>
      <c r="X16" t="s">
        <v>12</v>
      </c>
      <c r="Y16" t="s">
        <v>8</v>
      </c>
      <c r="Z16" t="s">
        <v>18</v>
      </c>
      <c r="AA16" t="s">
        <v>70</v>
      </c>
      <c r="AB16" t="s">
        <v>12</v>
      </c>
      <c r="AC16" t="s">
        <v>12</v>
      </c>
      <c r="AD16" t="s">
        <v>12</v>
      </c>
      <c r="AE16" s="2">
        <v>45854</v>
      </c>
      <c r="AF16" s="2">
        <v>45976</v>
      </c>
      <c r="AG16" t="s">
        <v>64</v>
      </c>
    </row>
    <row r="17" spans="1:33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45854</v>
      </c>
      <c r="H17" t="s">
        <v>71</v>
      </c>
      <c r="I17" t="s">
        <v>7</v>
      </c>
      <c r="J17" s="2">
        <v>45854</v>
      </c>
      <c r="K17" s="2">
        <v>45854</v>
      </c>
      <c r="L17" t="s">
        <v>8</v>
      </c>
      <c r="M17" t="s">
        <v>72</v>
      </c>
      <c r="N17" t="s">
        <v>10</v>
      </c>
      <c r="O17" t="s">
        <v>11</v>
      </c>
      <c r="P17" t="s">
        <v>12</v>
      </c>
      <c r="Q17" t="s">
        <v>13</v>
      </c>
      <c r="R17" t="s">
        <v>14</v>
      </c>
      <c r="S17" s="3">
        <v>-375</v>
      </c>
      <c r="T17" t="s">
        <v>15</v>
      </c>
      <c r="U17" s="3">
        <v>-32509.22</v>
      </c>
      <c r="V17" t="s">
        <v>16</v>
      </c>
      <c r="W17" t="s">
        <v>17</v>
      </c>
      <c r="X17" t="s">
        <v>12</v>
      </c>
      <c r="Y17" t="s">
        <v>8</v>
      </c>
      <c r="Z17" t="s">
        <v>18</v>
      </c>
      <c r="AA17" t="s">
        <v>73</v>
      </c>
      <c r="AB17" t="s">
        <v>12</v>
      </c>
      <c r="AC17" t="s">
        <v>12</v>
      </c>
      <c r="AD17" t="s">
        <v>12</v>
      </c>
      <c r="AE17" s="2">
        <v>45854</v>
      </c>
      <c r="AF17" s="2">
        <v>45976</v>
      </c>
      <c r="AG17" t="s">
        <v>64</v>
      </c>
    </row>
    <row r="18" spans="1:33" outlineLevel="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45854</v>
      </c>
      <c r="H18" t="s">
        <v>74</v>
      </c>
      <c r="I18" t="s">
        <v>7</v>
      </c>
      <c r="J18" s="2">
        <v>45854</v>
      </c>
      <c r="K18" s="2">
        <v>45854</v>
      </c>
      <c r="L18" t="s">
        <v>8</v>
      </c>
      <c r="M18" t="s">
        <v>75</v>
      </c>
      <c r="N18" t="s">
        <v>10</v>
      </c>
      <c r="O18" t="s">
        <v>11</v>
      </c>
      <c r="P18" t="s">
        <v>12</v>
      </c>
      <c r="Q18" t="s">
        <v>13</v>
      </c>
      <c r="R18" t="s">
        <v>14</v>
      </c>
      <c r="S18" s="3">
        <v>-1314.12</v>
      </c>
      <c r="T18" t="s">
        <v>15</v>
      </c>
      <c r="U18" s="3">
        <v>-114225.7</v>
      </c>
      <c r="V18" t="s">
        <v>16</v>
      </c>
      <c r="W18" t="s">
        <v>17</v>
      </c>
      <c r="X18" t="s">
        <v>12</v>
      </c>
      <c r="Y18" t="s">
        <v>8</v>
      </c>
      <c r="Z18" t="s">
        <v>18</v>
      </c>
      <c r="AA18" t="s">
        <v>76</v>
      </c>
      <c r="AB18" t="s">
        <v>12</v>
      </c>
      <c r="AC18" t="s">
        <v>12</v>
      </c>
      <c r="AD18" t="s">
        <v>12</v>
      </c>
      <c r="AE18" s="2">
        <v>45854</v>
      </c>
      <c r="AF18" s="2">
        <v>45976</v>
      </c>
      <c r="AG18" t="s">
        <v>64</v>
      </c>
    </row>
    <row r="19" spans="1:33" outlineLevel="2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45854</v>
      </c>
      <c r="H19" t="s">
        <v>77</v>
      </c>
      <c r="I19" t="s">
        <v>7</v>
      </c>
      <c r="J19" s="2">
        <v>45854</v>
      </c>
      <c r="K19" s="2">
        <v>45854</v>
      </c>
      <c r="L19" t="s">
        <v>8</v>
      </c>
      <c r="M19" t="s">
        <v>78</v>
      </c>
      <c r="N19" t="s">
        <v>10</v>
      </c>
      <c r="O19" t="s">
        <v>11</v>
      </c>
      <c r="P19" t="s">
        <v>12</v>
      </c>
      <c r="Q19" t="s">
        <v>13</v>
      </c>
      <c r="R19" t="s">
        <v>14</v>
      </c>
      <c r="S19" s="3">
        <v>-705</v>
      </c>
      <c r="T19" t="s">
        <v>15</v>
      </c>
      <c r="U19" s="3">
        <v>-61279.88</v>
      </c>
      <c r="V19" t="s">
        <v>16</v>
      </c>
      <c r="W19" t="s">
        <v>17</v>
      </c>
      <c r="X19" t="s">
        <v>12</v>
      </c>
      <c r="Y19" t="s">
        <v>8</v>
      </c>
      <c r="Z19" t="s">
        <v>18</v>
      </c>
      <c r="AA19" t="s">
        <v>79</v>
      </c>
      <c r="AB19" t="s">
        <v>12</v>
      </c>
      <c r="AC19" t="s">
        <v>12</v>
      </c>
      <c r="AD19" t="s">
        <v>12</v>
      </c>
      <c r="AE19" s="2">
        <v>45854</v>
      </c>
      <c r="AF19" s="2">
        <v>45976</v>
      </c>
      <c r="AG19" t="s">
        <v>64</v>
      </c>
    </row>
    <row r="20" spans="1:33" outlineLevel="2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45854</v>
      </c>
      <c r="H20" t="s">
        <v>80</v>
      </c>
      <c r="I20" t="s">
        <v>7</v>
      </c>
      <c r="J20" s="2">
        <v>45854</v>
      </c>
      <c r="K20" s="2">
        <v>45854</v>
      </c>
      <c r="L20" t="s">
        <v>8</v>
      </c>
      <c r="M20" t="s">
        <v>81</v>
      </c>
      <c r="N20" t="s">
        <v>10</v>
      </c>
      <c r="O20" t="s">
        <v>11</v>
      </c>
      <c r="P20" t="s">
        <v>12</v>
      </c>
      <c r="Q20" t="s">
        <v>13</v>
      </c>
      <c r="R20" t="s">
        <v>14</v>
      </c>
      <c r="S20" s="3">
        <v>-1793.99</v>
      </c>
      <c r="T20" t="s">
        <v>15</v>
      </c>
      <c r="U20" s="3">
        <v>-155936.88</v>
      </c>
      <c r="V20" t="s">
        <v>16</v>
      </c>
      <c r="W20" t="s">
        <v>17</v>
      </c>
      <c r="X20" t="s">
        <v>12</v>
      </c>
      <c r="Y20" t="s">
        <v>8</v>
      </c>
      <c r="Z20" t="s">
        <v>18</v>
      </c>
      <c r="AA20" t="s">
        <v>82</v>
      </c>
      <c r="AB20" t="s">
        <v>12</v>
      </c>
      <c r="AC20" t="s">
        <v>12</v>
      </c>
      <c r="AD20" t="s">
        <v>12</v>
      </c>
      <c r="AE20" s="2">
        <v>45854</v>
      </c>
      <c r="AF20" s="2">
        <v>45976</v>
      </c>
      <c r="AG20" t="s">
        <v>64</v>
      </c>
    </row>
    <row r="21" spans="1:33" outlineLevel="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45854</v>
      </c>
      <c r="H21" t="s">
        <v>83</v>
      </c>
      <c r="I21" t="s">
        <v>7</v>
      </c>
      <c r="J21" s="2">
        <v>45854</v>
      </c>
      <c r="K21" s="2">
        <v>45854</v>
      </c>
      <c r="L21" t="s">
        <v>8</v>
      </c>
      <c r="M21" t="s">
        <v>84</v>
      </c>
      <c r="N21" t="s">
        <v>10</v>
      </c>
      <c r="O21" t="s">
        <v>11</v>
      </c>
      <c r="P21" t="s">
        <v>12</v>
      </c>
      <c r="Q21" t="s">
        <v>13</v>
      </c>
      <c r="R21" t="s">
        <v>14</v>
      </c>
      <c r="S21" s="3">
        <v>-140</v>
      </c>
      <c r="T21" t="s">
        <v>15</v>
      </c>
      <c r="U21" s="3">
        <v>-12169.05</v>
      </c>
      <c r="V21" t="s">
        <v>16</v>
      </c>
      <c r="W21" t="s">
        <v>17</v>
      </c>
      <c r="X21" t="s">
        <v>12</v>
      </c>
      <c r="Y21" t="s">
        <v>8</v>
      </c>
      <c r="Z21" t="s">
        <v>18</v>
      </c>
      <c r="AA21" t="s">
        <v>85</v>
      </c>
      <c r="AB21" t="s">
        <v>12</v>
      </c>
      <c r="AC21" t="s">
        <v>12</v>
      </c>
      <c r="AD21" t="s">
        <v>12</v>
      </c>
      <c r="AE21" s="2">
        <v>45854</v>
      </c>
      <c r="AF21" s="2">
        <v>45976</v>
      </c>
      <c r="AG21" t="s">
        <v>64</v>
      </c>
    </row>
    <row r="22" spans="1:33" outlineLevel="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45854</v>
      </c>
      <c r="H22" t="s">
        <v>86</v>
      </c>
      <c r="I22" t="s">
        <v>7</v>
      </c>
      <c r="J22" s="2">
        <v>45854</v>
      </c>
      <c r="K22" s="2">
        <v>45854</v>
      </c>
      <c r="L22" t="s">
        <v>8</v>
      </c>
      <c r="M22" t="s">
        <v>87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s="3">
        <v>-385</v>
      </c>
      <c r="T22" t="s">
        <v>15</v>
      </c>
      <c r="U22" s="3">
        <v>-33376.14</v>
      </c>
      <c r="V22" t="s">
        <v>16</v>
      </c>
      <c r="W22" t="s">
        <v>17</v>
      </c>
      <c r="X22" t="s">
        <v>12</v>
      </c>
      <c r="Y22" t="s">
        <v>8</v>
      </c>
      <c r="Z22" t="s">
        <v>18</v>
      </c>
      <c r="AA22" t="s">
        <v>88</v>
      </c>
      <c r="AB22" t="s">
        <v>12</v>
      </c>
      <c r="AC22" t="s">
        <v>12</v>
      </c>
      <c r="AD22" t="s">
        <v>12</v>
      </c>
      <c r="AE22" s="2">
        <v>45854</v>
      </c>
      <c r="AF22" s="2">
        <v>45976</v>
      </c>
      <c r="AG22" t="s">
        <v>64</v>
      </c>
    </row>
    <row r="23" spans="1:33" outlineLevel="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45854</v>
      </c>
      <c r="H23" t="s">
        <v>89</v>
      </c>
      <c r="I23" t="s">
        <v>7</v>
      </c>
      <c r="J23" s="2">
        <v>45854</v>
      </c>
      <c r="K23" s="2">
        <v>45854</v>
      </c>
      <c r="L23" t="s">
        <v>8</v>
      </c>
      <c r="M23" t="s">
        <v>90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 s="3">
        <v>-105</v>
      </c>
      <c r="T23" t="s">
        <v>15</v>
      </c>
      <c r="U23" s="3">
        <v>-9102.58</v>
      </c>
      <c r="V23" t="s">
        <v>16</v>
      </c>
      <c r="W23" t="s">
        <v>17</v>
      </c>
      <c r="X23" t="s">
        <v>12</v>
      </c>
      <c r="Y23" t="s">
        <v>8</v>
      </c>
      <c r="Z23" t="s">
        <v>18</v>
      </c>
      <c r="AA23" t="s">
        <v>91</v>
      </c>
      <c r="AB23" t="s">
        <v>12</v>
      </c>
      <c r="AC23" t="s">
        <v>12</v>
      </c>
      <c r="AD23" t="s">
        <v>12</v>
      </c>
      <c r="AE23" s="2">
        <v>45854</v>
      </c>
      <c r="AF23" s="2">
        <v>45976</v>
      </c>
      <c r="AG23" t="s">
        <v>64</v>
      </c>
    </row>
    <row r="24" spans="1:33" outlineLevel="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45854</v>
      </c>
      <c r="H24" t="s">
        <v>92</v>
      </c>
      <c r="I24" t="s">
        <v>7</v>
      </c>
      <c r="J24" s="2">
        <v>45854</v>
      </c>
      <c r="K24" s="2">
        <v>45854</v>
      </c>
      <c r="L24" t="s">
        <v>8</v>
      </c>
      <c r="M24" t="s">
        <v>93</v>
      </c>
      <c r="N24" t="s">
        <v>10</v>
      </c>
      <c r="O24" t="s">
        <v>11</v>
      </c>
      <c r="P24" t="s">
        <v>12</v>
      </c>
      <c r="Q24" t="s">
        <v>13</v>
      </c>
      <c r="R24" t="s">
        <v>14</v>
      </c>
      <c r="S24" s="3">
        <v>-245</v>
      </c>
      <c r="T24" t="s">
        <v>15</v>
      </c>
      <c r="U24" s="3">
        <v>-21239.360000000001</v>
      </c>
      <c r="V24" t="s">
        <v>16</v>
      </c>
      <c r="W24" t="s">
        <v>17</v>
      </c>
      <c r="X24" t="s">
        <v>12</v>
      </c>
      <c r="Y24" t="s">
        <v>8</v>
      </c>
      <c r="Z24" t="s">
        <v>18</v>
      </c>
      <c r="AA24" t="s">
        <v>94</v>
      </c>
      <c r="AB24" t="s">
        <v>12</v>
      </c>
      <c r="AC24" t="s">
        <v>12</v>
      </c>
      <c r="AD24" t="s">
        <v>12</v>
      </c>
      <c r="AE24" s="2">
        <v>45854</v>
      </c>
      <c r="AF24" s="2">
        <v>45976</v>
      </c>
      <c r="AG24" t="s">
        <v>64</v>
      </c>
    </row>
    <row r="25" spans="1:33" outlineLevel="2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45854</v>
      </c>
      <c r="H25" t="s">
        <v>95</v>
      </c>
      <c r="I25" t="s">
        <v>7</v>
      </c>
      <c r="J25" s="2">
        <v>45854</v>
      </c>
      <c r="K25" s="2">
        <v>45854</v>
      </c>
      <c r="L25" t="s">
        <v>8</v>
      </c>
      <c r="M25" t="s">
        <v>96</v>
      </c>
      <c r="N25" t="s">
        <v>10</v>
      </c>
      <c r="O25" t="s">
        <v>11</v>
      </c>
      <c r="P25" t="s">
        <v>12</v>
      </c>
      <c r="Q25" t="s">
        <v>13</v>
      </c>
      <c r="R25" t="s">
        <v>14</v>
      </c>
      <c r="S25" s="3">
        <v>-220</v>
      </c>
      <c r="T25" t="s">
        <v>15</v>
      </c>
      <c r="U25" s="3">
        <v>-19072.080000000002</v>
      </c>
      <c r="V25" t="s">
        <v>16</v>
      </c>
      <c r="W25" t="s">
        <v>17</v>
      </c>
      <c r="X25" t="s">
        <v>12</v>
      </c>
      <c r="Y25" t="s">
        <v>8</v>
      </c>
      <c r="Z25" t="s">
        <v>18</v>
      </c>
      <c r="AA25" t="s">
        <v>97</v>
      </c>
      <c r="AB25" t="s">
        <v>12</v>
      </c>
      <c r="AC25" t="s">
        <v>12</v>
      </c>
      <c r="AD25" t="s">
        <v>12</v>
      </c>
      <c r="AE25" s="2">
        <v>45854</v>
      </c>
      <c r="AF25" s="2">
        <v>45976</v>
      </c>
      <c r="AG25" t="s">
        <v>64</v>
      </c>
    </row>
    <row r="26" spans="1:33" outlineLevel="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45854</v>
      </c>
      <c r="H26" t="s">
        <v>98</v>
      </c>
      <c r="I26" t="s">
        <v>7</v>
      </c>
      <c r="J26" s="2">
        <v>45854</v>
      </c>
      <c r="K26" s="2">
        <v>45854</v>
      </c>
      <c r="L26" t="s">
        <v>8</v>
      </c>
      <c r="M26" t="s">
        <v>99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  <c r="S26" s="3">
        <v>-70</v>
      </c>
      <c r="T26" t="s">
        <v>15</v>
      </c>
      <c r="U26" s="3">
        <v>-6084.53</v>
      </c>
      <c r="V26" t="s">
        <v>16</v>
      </c>
      <c r="W26" t="s">
        <v>17</v>
      </c>
      <c r="X26" t="s">
        <v>12</v>
      </c>
      <c r="Y26" t="s">
        <v>8</v>
      </c>
      <c r="Z26" t="s">
        <v>18</v>
      </c>
      <c r="AA26" t="s">
        <v>100</v>
      </c>
      <c r="AB26" t="s">
        <v>12</v>
      </c>
      <c r="AC26" t="s">
        <v>12</v>
      </c>
      <c r="AD26" t="s">
        <v>12</v>
      </c>
      <c r="AE26" s="2">
        <v>45854</v>
      </c>
      <c r="AF26" s="2">
        <v>45976</v>
      </c>
      <c r="AG26" t="s">
        <v>64</v>
      </c>
    </row>
    <row r="27" spans="1:33" outlineLevel="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45854</v>
      </c>
      <c r="H27" t="s">
        <v>101</v>
      </c>
      <c r="I27" t="s">
        <v>7</v>
      </c>
      <c r="J27" s="2">
        <v>45854</v>
      </c>
      <c r="K27" s="2">
        <v>45854</v>
      </c>
      <c r="L27" t="s">
        <v>8</v>
      </c>
      <c r="M27" t="s">
        <v>102</v>
      </c>
      <c r="N27" t="s">
        <v>10</v>
      </c>
      <c r="O27" t="s">
        <v>11</v>
      </c>
      <c r="P27" t="s">
        <v>12</v>
      </c>
      <c r="Q27" t="s">
        <v>13</v>
      </c>
      <c r="R27" t="s">
        <v>14</v>
      </c>
      <c r="S27" s="3">
        <v>-140</v>
      </c>
      <c r="T27" t="s">
        <v>15</v>
      </c>
      <c r="U27" s="3">
        <v>-12037.72</v>
      </c>
      <c r="V27" t="s">
        <v>16</v>
      </c>
      <c r="W27" t="s">
        <v>17</v>
      </c>
      <c r="X27" t="s">
        <v>12</v>
      </c>
      <c r="Y27" t="s">
        <v>8</v>
      </c>
      <c r="Z27" t="s">
        <v>18</v>
      </c>
      <c r="AA27" t="s">
        <v>103</v>
      </c>
      <c r="AB27" t="s">
        <v>12</v>
      </c>
      <c r="AC27" t="s">
        <v>12</v>
      </c>
      <c r="AD27" t="s">
        <v>12</v>
      </c>
      <c r="AE27" s="2">
        <v>45854</v>
      </c>
      <c r="AF27" s="2">
        <v>45976</v>
      </c>
      <c r="AG27" t="s">
        <v>64</v>
      </c>
    </row>
    <row r="28" spans="1:33" outlineLevel="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45854</v>
      </c>
      <c r="H28" t="s">
        <v>104</v>
      </c>
      <c r="I28" t="s">
        <v>7</v>
      </c>
      <c r="J28" s="2">
        <v>45854</v>
      </c>
      <c r="K28" s="2">
        <v>45854</v>
      </c>
      <c r="L28" t="s">
        <v>8</v>
      </c>
      <c r="M28" t="s">
        <v>105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 s="3">
        <v>-140</v>
      </c>
      <c r="T28" t="s">
        <v>15</v>
      </c>
      <c r="U28" s="3">
        <v>-12037.72</v>
      </c>
      <c r="V28" t="s">
        <v>16</v>
      </c>
      <c r="W28" t="s">
        <v>17</v>
      </c>
      <c r="X28" t="s">
        <v>12</v>
      </c>
      <c r="Y28" t="s">
        <v>8</v>
      </c>
      <c r="Z28" t="s">
        <v>18</v>
      </c>
      <c r="AA28" t="s">
        <v>106</v>
      </c>
      <c r="AB28" t="s">
        <v>12</v>
      </c>
      <c r="AC28" t="s">
        <v>12</v>
      </c>
      <c r="AD28" t="s">
        <v>12</v>
      </c>
      <c r="AE28" s="2">
        <v>45854</v>
      </c>
      <c r="AF28" s="2">
        <v>45976</v>
      </c>
      <c r="AG28" t="s">
        <v>64</v>
      </c>
    </row>
    <row r="29" spans="1:33" outlineLevel="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45854</v>
      </c>
      <c r="H29" t="s">
        <v>107</v>
      </c>
      <c r="I29" t="s">
        <v>7</v>
      </c>
      <c r="J29" s="2">
        <v>45854</v>
      </c>
      <c r="K29" s="2">
        <v>45854</v>
      </c>
      <c r="L29" t="s">
        <v>8</v>
      </c>
      <c r="M29" t="s">
        <v>108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 s="3">
        <v>-190</v>
      </c>
      <c r="T29" t="s">
        <v>15</v>
      </c>
      <c r="U29" s="3">
        <v>-16243.25</v>
      </c>
      <c r="V29" t="s">
        <v>16</v>
      </c>
      <c r="W29" t="s">
        <v>17</v>
      </c>
      <c r="X29" t="s">
        <v>12</v>
      </c>
      <c r="Y29" t="s">
        <v>8</v>
      </c>
      <c r="Z29" t="s">
        <v>18</v>
      </c>
      <c r="AA29" t="s">
        <v>109</v>
      </c>
      <c r="AB29" t="s">
        <v>12</v>
      </c>
      <c r="AC29" t="s">
        <v>12</v>
      </c>
      <c r="AD29" t="s">
        <v>12</v>
      </c>
      <c r="AE29" s="2">
        <v>45854</v>
      </c>
      <c r="AF29" s="2">
        <v>45976</v>
      </c>
      <c r="AG29" t="s">
        <v>64</v>
      </c>
    </row>
    <row r="30" spans="1:33" outlineLevel="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45854</v>
      </c>
      <c r="H30" t="s">
        <v>110</v>
      </c>
      <c r="I30" t="s">
        <v>7</v>
      </c>
      <c r="J30" s="2">
        <v>45854</v>
      </c>
      <c r="K30" s="2">
        <v>45855</v>
      </c>
      <c r="L30" t="s">
        <v>8</v>
      </c>
      <c r="M30" t="s">
        <v>111</v>
      </c>
      <c r="N30" t="s">
        <v>10</v>
      </c>
      <c r="O30" t="s">
        <v>11</v>
      </c>
      <c r="P30" t="s">
        <v>12</v>
      </c>
      <c r="Q30" t="s">
        <v>13</v>
      </c>
      <c r="R30" t="s">
        <v>14</v>
      </c>
      <c r="S30" s="3">
        <v>-182.83</v>
      </c>
      <c r="T30" t="s">
        <v>15</v>
      </c>
      <c r="U30" s="3">
        <v>-15778.9</v>
      </c>
      <c r="V30" t="s">
        <v>16</v>
      </c>
      <c r="W30" t="s">
        <v>17</v>
      </c>
      <c r="X30" t="s">
        <v>12</v>
      </c>
      <c r="Y30" t="s">
        <v>8</v>
      </c>
      <c r="Z30" t="s">
        <v>18</v>
      </c>
      <c r="AA30" t="s">
        <v>112</v>
      </c>
      <c r="AB30" t="s">
        <v>12</v>
      </c>
      <c r="AC30" t="s">
        <v>12</v>
      </c>
      <c r="AD30" t="s">
        <v>12</v>
      </c>
      <c r="AE30" s="2">
        <v>45854</v>
      </c>
      <c r="AF30" s="2">
        <v>45976</v>
      </c>
      <c r="AG30" t="s">
        <v>113</v>
      </c>
    </row>
    <row r="31" spans="1:33" outlineLevel="2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45854</v>
      </c>
      <c r="H31" t="s">
        <v>114</v>
      </c>
      <c r="I31" t="s">
        <v>7</v>
      </c>
      <c r="J31" s="2">
        <v>45854</v>
      </c>
      <c r="K31" s="2">
        <v>45855</v>
      </c>
      <c r="L31" t="s">
        <v>8</v>
      </c>
      <c r="M31" t="s">
        <v>115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 s="3">
        <v>-55.46</v>
      </c>
      <c r="T31" t="s">
        <v>15</v>
      </c>
      <c r="U31" s="3">
        <v>-4786.3999999999996</v>
      </c>
      <c r="V31" t="s">
        <v>16</v>
      </c>
      <c r="W31" t="s">
        <v>17</v>
      </c>
      <c r="X31" t="s">
        <v>12</v>
      </c>
      <c r="Y31" t="s">
        <v>8</v>
      </c>
      <c r="Z31" t="s">
        <v>18</v>
      </c>
      <c r="AA31" t="s">
        <v>116</v>
      </c>
      <c r="AB31" t="s">
        <v>12</v>
      </c>
      <c r="AC31" t="s">
        <v>12</v>
      </c>
      <c r="AD31" t="s">
        <v>12</v>
      </c>
      <c r="AE31" s="2">
        <v>45854</v>
      </c>
      <c r="AF31" s="2">
        <v>45976</v>
      </c>
      <c r="AG31" t="s">
        <v>113</v>
      </c>
    </row>
    <row r="32" spans="1:33" outlineLevel="2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45854</v>
      </c>
      <c r="H32" t="s">
        <v>117</v>
      </c>
      <c r="I32" t="s">
        <v>7</v>
      </c>
      <c r="J32" s="2">
        <v>45854</v>
      </c>
      <c r="K32" s="2">
        <v>45855</v>
      </c>
      <c r="L32" t="s">
        <v>8</v>
      </c>
      <c r="M32" t="s">
        <v>118</v>
      </c>
      <c r="N32" t="s">
        <v>10</v>
      </c>
      <c r="O32" t="s">
        <v>11</v>
      </c>
      <c r="P32" t="s">
        <v>12</v>
      </c>
      <c r="Q32" t="s">
        <v>13</v>
      </c>
      <c r="R32" t="s">
        <v>14</v>
      </c>
      <c r="S32" s="3">
        <v>-177.66</v>
      </c>
      <c r="T32" t="s">
        <v>15</v>
      </c>
      <c r="U32" s="3">
        <v>-15401.57</v>
      </c>
      <c r="V32" t="s">
        <v>16</v>
      </c>
      <c r="W32" t="s">
        <v>17</v>
      </c>
      <c r="X32" t="s">
        <v>12</v>
      </c>
      <c r="Y32" t="s">
        <v>8</v>
      </c>
      <c r="Z32" t="s">
        <v>18</v>
      </c>
      <c r="AA32" t="s">
        <v>119</v>
      </c>
      <c r="AB32" t="s">
        <v>12</v>
      </c>
      <c r="AC32" t="s">
        <v>12</v>
      </c>
      <c r="AD32" t="s">
        <v>12</v>
      </c>
      <c r="AE32" s="2">
        <v>45854</v>
      </c>
      <c r="AF32" s="2">
        <v>45976</v>
      </c>
      <c r="AG32" t="s">
        <v>113</v>
      </c>
    </row>
    <row r="33" spans="1:33" outlineLevel="2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45854</v>
      </c>
      <c r="H33" t="s">
        <v>120</v>
      </c>
      <c r="I33" t="s">
        <v>7</v>
      </c>
      <c r="J33" s="2">
        <v>45854</v>
      </c>
      <c r="K33" s="2">
        <v>45855</v>
      </c>
      <c r="L33" t="s">
        <v>8</v>
      </c>
      <c r="M33" t="s">
        <v>121</v>
      </c>
      <c r="N33" t="s">
        <v>10</v>
      </c>
      <c r="O33" t="s">
        <v>11</v>
      </c>
      <c r="P33" t="s">
        <v>12</v>
      </c>
      <c r="Q33" t="s">
        <v>13</v>
      </c>
      <c r="R33" t="s">
        <v>14</v>
      </c>
      <c r="S33" s="3">
        <v>-143.81</v>
      </c>
      <c r="T33" t="s">
        <v>15</v>
      </c>
      <c r="U33" s="3">
        <v>-12467.07</v>
      </c>
      <c r="V33" t="s">
        <v>16</v>
      </c>
      <c r="W33" t="s">
        <v>17</v>
      </c>
      <c r="X33" t="s">
        <v>12</v>
      </c>
      <c r="Y33" t="s">
        <v>8</v>
      </c>
      <c r="Z33" t="s">
        <v>18</v>
      </c>
      <c r="AA33" t="s">
        <v>122</v>
      </c>
      <c r="AB33" t="s">
        <v>12</v>
      </c>
      <c r="AC33" t="s">
        <v>12</v>
      </c>
      <c r="AD33" t="s">
        <v>12</v>
      </c>
      <c r="AE33" s="2">
        <v>45854</v>
      </c>
      <c r="AF33" s="2">
        <v>45976</v>
      </c>
      <c r="AG33" t="s">
        <v>113</v>
      </c>
    </row>
    <row r="34" spans="1:33" outlineLevel="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45854</v>
      </c>
      <c r="H34" t="s">
        <v>123</v>
      </c>
      <c r="I34" t="s">
        <v>7</v>
      </c>
      <c r="J34" s="2">
        <v>45854</v>
      </c>
      <c r="K34" s="2">
        <v>45855</v>
      </c>
      <c r="L34" t="s">
        <v>8</v>
      </c>
      <c r="M34" t="s">
        <v>124</v>
      </c>
      <c r="N34" t="s">
        <v>10</v>
      </c>
      <c r="O34" t="s">
        <v>11</v>
      </c>
      <c r="P34" t="s">
        <v>12</v>
      </c>
      <c r="Q34" t="s">
        <v>13</v>
      </c>
      <c r="R34" t="s">
        <v>14</v>
      </c>
      <c r="S34" s="3">
        <v>-137.9</v>
      </c>
      <c r="T34" t="s">
        <v>15</v>
      </c>
      <c r="U34" s="3">
        <v>-11954.72</v>
      </c>
      <c r="V34" t="s">
        <v>16</v>
      </c>
      <c r="W34" t="s">
        <v>17</v>
      </c>
      <c r="X34" t="s">
        <v>12</v>
      </c>
      <c r="Y34" t="s">
        <v>8</v>
      </c>
      <c r="Z34" t="s">
        <v>18</v>
      </c>
      <c r="AA34" t="s">
        <v>125</v>
      </c>
      <c r="AB34" t="s">
        <v>12</v>
      </c>
      <c r="AC34" t="s">
        <v>12</v>
      </c>
      <c r="AD34" t="s">
        <v>12</v>
      </c>
      <c r="AE34" s="2">
        <v>45854</v>
      </c>
      <c r="AF34" s="2">
        <v>45976</v>
      </c>
      <c r="AG34" t="s">
        <v>113</v>
      </c>
    </row>
    <row r="35" spans="1:33" outlineLevel="2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45854</v>
      </c>
      <c r="H35" t="s">
        <v>126</v>
      </c>
      <c r="I35" t="s">
        <v>7</v>
      </c>
      <c r="J35" s="2">
        <v>45854</v>
      </c>
      <c r="K35" s="2">
        <v>45855</v>
      </c>
      <c r="L35" t="s">
        <v>8</v>
      </c>
      <c r="M35" t="s">
        <v>127</v>
      </c>
      <c r="N35" t="s">
        <v>10</v>
      </c>
      <c r="O35" t="s">
        <v>11</v>
      </c>
      <c r="P35" t="s">
        <v>12</v>
      </c>
      <c r="Q35" t="s">
        <v>13</v>
      </c>
      <c r="R35" t="s">
        <v>14</v>
      </c>
      <c r="S35" s="3">
        <v>-420</v>
      </c>
      <c r="T35" t="s">
        <v>15</v>
      </c>
      <c r="U35" s="3">
        <v>-36410.33</v>
      </c>
      <c r="V35" t="s">
        <v>16</v>
      </c>
      <c r="W35" t="s">
        <v>17</v>
      </c>
      <c r="X35" t="s">
        <v>12</v>
      </c>
      <c r="Y35" t="s">
        <v>8</v>
      </c>
      <c r="Z35" t="s">
        <v>18</v>
      </c>
      <c r="AA35" t="s">
        <v>128</v>
      </c>
      <c r="AB35" t="s">
        <v>12</v>
      </c>
      <c r="AC35" t="s">
        <v>12</v>
      </c>
      <c r="AD35" t="s">
        <v>12</v>
      </c>
      <c r="AE35" s="2">
        <v>45854</v>
      </c>
      <c r="AF35" s="2">
        <v>45976</v>
      </c>
      <c r="AG35" t="s">
        <v>113</v>
      </c>
    </row>
    <row r="36" spans="1:33" outlineLevel="2" x14ac:dyDescent="0.25">
      <c r="A36" t="s">
        <v>129</v>
      </c>
      <c r="B36" t="s">
        <v>1</v>
      </c>
      <c r="C36" t="s">
        <v>2</v>
      </c>
      <c r="D36" t="s">
        <v>3</v>
      </c>
      <c r="E36" t="s">
        <v>4</v>
      </c>
      <c r="F36" t="s">
        <v>130</v>
      </c>
      <c r="G36" s="2">
        <v>45797</v>
      </c>
      <c r="H36" t="s">
        <v>131</v>
      </c>
      <c r="I36" t="s">
        <v>22</v>
      </c>
      <c r="J36" s="2">
        <v>45797</v>
      </c>
      <c r="K36" s="2">
        <v>45805</v>
      </c>
      <c r="L36" t="s">
        <v>8</v>
      </c>
      <c r="M36" t="s">
        <v>132</v>
      </c>
      <c r="N36" t="s">
        <v>10</v>
      </c>
      <c r="O36" t="s">
        <v>11</v>
      </c>
      <c r="P36" t="s">
        <v>12</v>
      </c>
      <c r="Q36" t="s">
        <v>24</v>
      </c>
      <c r="R36" t="s">
        <v>14</v>
      </c>
      <c r="S36" s="3">
        <v>12.5</v>
      </c>
      <c r="T36" t="s">
        <v>15</v>
      </c>
      <c r="U36" s="3">
        <v>1074.8</v>
      </c>
      <c r="V36" t="s">
        <v>16</v>
      </c>
      <c r="W36" t="s">
        <v>17</v>
      </c>
      <c r="X36" t="s">
        <v>12</v>
      </c>
      <c r="Y36" t="s">
        <v>8</v>
      </c>
      <c r="Z36" t="s">
        <v>18</v>
      </c>
      <c r="AA36" t="s">
        <v>133</v>
      </c>
      <c r="AB36" t="s">
        <v>12</v>
      </c>
      <c r="AC36" t="s">
        <v>12</v>
      </c>
      <c r="AD36" t="s">
        <v>12</v>
      </c>
      <c r="AE36" s="2">
        <v>45797</v>
      </c>
      <c r="AF36" s="2"/>
      <c r="AG36" t="s">
        <v>12</v>
      </c>
    </row>
    <row r="37" spans="1:33" outlineLevel="2" x14ac:dyDescent="0.25">
      <c r="A37" t="s">
        <v>129</v>
      </c>
      <c r="B37" t="s">
        <v>1</v>
      </c>
      <c r="C37" t="s">
        <v>2</v>
      </c>
      <c r="D37" t="s">
        <v>3</v>
      </c>
      <c r="E37" t="s">
        <v>4</v>
      </c>
      <c r="F37" t="s">
        <v>130</v>
      </c>
      <c r="G37" s="2">
        <v>45797</v>
      </c>
      <c r="H37" t="s">
        <v>134</v>
      </c>
      <c r="I37" t="s">
        <v>22</v>
      </c>
      <c r="J37" s="2">
        <v>45797</v>
      </c>
      <c r="K37" s="2">
        <v>45805</v>
      </c>
      <c r="L37" t="s">
        <v>8</v>
      </c>
      <c r="M37" t="s">
        <v>135</v>
      </c>
      <c r="N37" t="s">
        <v>10</v>
      </c>
      <c r="O37" t="s">
        <v>11</v>
      </c>
      <c r="P37" t="s">
        <v>12</v>
      </c>
      <c r="Q37" t="s">
        <v>24</v>
      </c>
      <c r="R37" t="s">
        <v>14</v>
      </c>
      <c r="S37" s="3">
        <v>144.52000000000001</v>
      </c>
      <c r="T37" t="s">
        <v>15</v>
      </c>
      <c r="U37" s="3">
        <v>12426.36</v>
      </c>
      <c r="V37" t="s">
        <v>16</v>
      </c>
      <c r="W37" t="s">
        <v>17</v>
      </c>
      <c r="X37" t="s">
        <v>12</v>
      </c>
      <c r="Y37" t="s">
        <v>12</v>
      </c>
      <c r="Z37" t="s">
        <v>18</v>
      </c>
      <c r="AA37" t="s">
        <v>136</v>
      </c>
      <c r="AB37" t="s">
        <v>12</v>
      </c>
      <c r="AC37" t="s">
        <v>12</v>
      </c>
      <c r="AD37" t="s">
        <v>12</v>
      </c>
      <c r="AE37" s="2">
        <v>45797</v>
      </c>
      <c r="AF37" s="2"/>
      <c r="AG37" t="s">
        <v>12</v>
      </c>
    </row>
    <row r="38" spans="1:33" outlineLevel="2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130</v>
      </c>
      <c r="G38" s="2">
        <v>45797</v>
      </c>
      <c r="H38" t="s">
        <v>137</v>
      </c>
      <c r="I38" t="s">
        <v>22</v>
      </c>
      <c r="J38" s="2">
        <v>45797</v>
      </c>
      <c r="K38" s="2">
        <v>45805</v>
      </c>
      <c r="L38" t="s">
        <v>8</v>
      </c>
      <c r="M38" t="s">
        <v>138</v>
      </c>
      <c r="N38" t="s">
        <v>10</v>
      </c>
      <c r="O38" t="s">
        <v>11</v>
      </c>
      <c r="P38" t="s">
        <v>12</v>
      </c>
      <c r="Q38" t="s">
        <v>24</v>
      </c>
      <c r="R38" t="s">
        <v>14</v>
      </c>
      <c r="S38" s="3">
        <v>111.15</v>
      </c>
      <c r="T38" t="s">
        <v>15</v>
      </c>
      <c r="U38" s="3">
        <v>9557.09</v>
      </c>
      <c r="V38" t="s">
        <v>16</v>
      </c>
      <c r="W38" t="s">
        <v>17</v>
      </c>
      <c r="X38" t="s">
        <v>12</v>
      </c>
      <c r="Y38" t="s">
        <v>8</v>
      </c>
      <c r="Z38" t="s">
        <v>18</v>
      </c>
      <c r="AA38" t="s">
        <v>139</v>
      </c>
      <c r="AB38" t="s">
        <v>12</v>
      </c>
      <c r="AC38" t="s">
        <v>12</v>
      </c>
      <c r="AD38" t="s">
        <v>12</v>
      </c>
      <c r="AE38" s="2">
        <v>45797</v>
      </c>
      <c r="AF38" s="2">
        <v>45976</v>
      </c>
      <c r="AG38" t="s">
        <v>64</v>
      </c>
    </row>
    <row r="39" spans="1:33" outlineLevel="2" x14ac:dyDescent="0.25">
      <c r="A39" t="s">
        <v>129</v>
      </c>
      <c r="B39" t="s">
        <v>1</v>
      </c>
      <c r="C39" t="s">
        <v>2</v>
      </c>
      <c r="D39" t="s">
        <v>3</v>
      </c>
      <c r="E39" t="s">
        <v>4</v>
      </c>
      <c r="F39" t="s">
        <v>140</v>
      </c>
      <c r="G39" s="2">
        <v>45750</v>
      </c>
      <c r="H39" t="s">
        <v>141</v>
      </c>
      <c r="I39" t="s">
        <v>22</v>
      </c>
      <c r="J39" s="2">
        <v>45750</v>
      </c>
      <c r="K39" s="2">
        <v>45752</v>
      </c>
      <c r="L39" t="s">
        <v>8</v>
      </c>
      <c r="M39" t="s">
        <v>142</v>
      </c>
      <c r="N39" t="s">
        <v>10</v>
      </c>
      <c r="O39" t="s">
        <v>11</v>
      </c>
      <c r="P39" t="s">
        <v>12</v>
      </c>
      <c r="Q39" t="s">
        <v>24</v>
      </c>
      <c r="R39" t="s">
        <v>14</v>
      </c>
      <c r="S39" s="3">
        <v>7.5</v>
      </c>
      <c r="T39" t="s">
        <v>15</v>
      </c>
      <c r="U39" s="3">
        <v>651.91</v>
      </c>
      <c r="V39" t="s">
        <v>16</v>
      </c>
      <c r="W39" t="s">
        <v>12</v>
      </c>
      <c r="X39" t="s">
        <v>12</v>
      </c>
      <c r="Y39" t="s">
        <v>8</v>
      </c>
      <c r="Z39" t="s">
        <v>18</v>
      </c>
      <c r="AA39" t="s">
        <v>143</v>
      </c>
      <c r="AB39" t="s">
        <v>12</v>
      </c>
      <c r="AC39" t="s">
        <v>12</v>
      </c>
      <c r="AD39" t="s">
        <v>12</v>
      </c>
      <c r="AE39" s="2">
        <v>45750</v>
      </c>
      <c r="AF39" s="2"/>
      <c r="AG39" t="s">
        <v>12</v>
      </c>
    </row>
    <row r="40" spans="1:33" outlineLevel="2" x14ac:dyDescent="0.25">
      <c r="A40" t="s">
        <v>129</v>
      </c>
      <c r="B40" t="s">
        <v>1</v>
      </c>
      <c r="C40" t="s">
        <v>2</v>
      </c>
      <c r="D40" t="s">
        <v>3</v>
      </c>
      <c r="E40" t="s">
        <v>4</v>
      </c>
      <c r="F40" t="s">
        <v>140</v>
      </c>
      <c r="G40" s="2">
        <v>45750</v>
      </c>
      <c r="H40" t="s">
        <v>144</v>
      </c>
      <c r="I40" t="s">
        <v>22</v>
      </c>
      <c r="J40" s="2">
        <v>45750</v>
      </c>
      <c r="K40" s="2">
        <v>45752</v>
      </c>
      <c r="L40" t="s">
        <v>8</v>
      </c>
      <c r="M40" t="s">
        <v>145</v>
      </c>
      <c r="N40" t="s">
        <v>10</v>
      </c>
      <c r="O40" t="s">
        <v>11</v>
      </c>
      <c r="P40" t="s">
        <v>12</v>
      </c>
      <c r="Q40" t="s">
        <v>24</v>
      </c>
      <c r="R40" t="s">
        <v>14</v>
      </c>
      <c r="S40" s="3">
        <v>3.75</v>
      </c>
      <c r="T40" t="s">
        <v>15</v>
      </c>
      <c r="U40" s="3">
        <v>325.95999999999998</v>
      </c>
      <c r="V40" t="s">
        <v>16</v>
      </c>
      <c r="W40" t="s">
        <v>12</v>
      </c>
      <c r="X40" t="s">
        <v>12</v>
      </c>
      <c r="Y40" t="s">
        <v>8</v>
      </c>
      <c r="Z40" t="s">
        <v>18</v>
      </c>
      <c r="AA40" t="s">
        <v>146</v>
      </c>
      <c r="AB40" t="s">
        <v>12</v>
      </c>
      <c r="AC40" t="s">
        <v>12</v>
      </c>
      <c r="AD40" t="s">
        <v>12</v>
      </c>
      <c r="AE40" s="2">
        <v>45750</v>
      </c>
      <c r="AF40" s="2"/>
      <c r="AG40" t="s">
        <v>12</v>
      </c>
    </row>
    <row r="41" spans="1:33" outlineLevel="2" x14ac:dyDescent="0.25">
      <c r="A41" t="s">
        <v>129</v>
      </c>
      <c r="B41" t="s">
        <v>1</v>
      </c>
      <c r="C41" t="s">
        <v>2</v>
      </c>
      <c r="D41" t="s">
        <v>3</v>
      </c>
      <c r="E41" t="s">
        <v>4</v>
      </c>
      <c r="F41" t="s">
        <v>140</v>
      </c>
      <c r="G41" s="2">
        <v>45750</v>
      </c>
      <c r="H41" t="s">
        <v>147</v>
      </c>
      <c r="I41" t="s">
        <v>22</v>
      </c>
      <c r="J41" s="2">
        <v>45750</v>
      </c>
      <c r="K41" s="2">
        <v>45752</v>
      </c>
      <c r="L41" t="s">
        <v>8</v>
      </c>
      <c r="M41" t="s">
        <v>148</v>
      </c>
      <c r="N41" t="s">
        <v>10</v>
      </c>
      <c r="O41" t="s">
        <v>11</v>
      </c>
      <c r="P41" t="s">
        <v>12</v>
      </c>
      <c r="Q41" t="s">
        <v>24</v>
      </c>
      <c r="R41" t="s">
        <v>14</v>
      </c>
      <c r="S41" s="3">
        <v>58.75</v>
      </c>
      <c r="T41" t="s">
        <v>15</v>
      </c>
      <c r="U41" s="3">
        <v>5106.66</v>
      </c>
      <c r="V41" t="s">
        <v>16</v>
      </c>
      <c r="W41" t="s">
        <v>12</v>
      </c>
      <c r="X41" t="s">
        <v>12</v>
      </c>
      <c r="Y41" t="s">
        <v>8</v>
      </c>
      <c r="Z41" t="s">
        <v>18</v>
      </c>
      <c r="AA41" t="s">
        <v>149</v>
      </c>
      <c r="AB41" t="s">
        <v>12</v>
      </c>
      <c r="AC41" t="s">
        <v>12</v>
      </c>
      <c r="AD41" t="s">
        <v>12</v>
      </c>
      <c r="AE41" s="2">
        <v>45750</v>
      </c>
      <c r="AF41" s="2"/>
      <c r="AG41" t="s">
        <v>12</v>
      </c>
    </row>
    <row r="42" spans="1:33" outlineLevel="2" x14ac:dyDescent="0.25">
      <c r="A42" t="s">
        <v>129</v>
      </c>
      <c r="B42" t="s">
        <v>1</v>
      </c>
      <c r="C42" t="s">
        <v>2</v>
      </c>
      <c r="D42" t="s">
        <v>3</v>
      </c>
      <c r="E42" t="s">
        <v>4</v>
      </c>
      <c r="F42" t="s">
        <v>140</v>
      </c>
      <c r="G42" s="2">
        <v>45750</v>
      </c>
      <c r="H42" t="s">
        <v>150</v>
      </c>
      <c r="I42" t="s">
        <v>22</v>
      </c>
      <c r="J42" s="2">
        <v>45750</v>
      </c>
      <c r="K42" s="2">
        <v>45752</v>
      </c>
      <c r="L42" t="s">
        <v>8</v>
      </c>
      <c r="M42" t="s">
        <v>151</v>
      </c>
      <c r="N42" t="s">
        <v>10</v>
      </c>
      <c r="O42" t="s">
        <v>11</v>
      </c>
      <c r="P42" t="s">
        <v>12</v>
      </c>
      <c r="Q42" t="s">
        <v>24</v>
      </c>
      <c r="R42" t="s">
        <v>14</v>
      </c>
      <c r="S42" s="3">
        <v>34.479999999999997</v>
      </c>
      <c r="T42" t="s">
        <v>15</v>
      </c>
      <c r="U42" s="3">
        <v>2997.06</v>
      </c>
      <c r="V42" t="s">
        <v>16</v>
      </c>
      <c r="W42" t="s">
        <v>12</v>
      </c>
      <c r="X42" t="s">
        <v>12</v>
      </c>
      <c r="Y42" t="s">
        <v>8</v>
      </c>
      <c r="Z42" t="s">
        <v>18</v>
      </c>
      <c r="AA42" t="s">
        <v>152</v>
      </c>
      <c r="AB42" t="s">
        <v>12</v>
      </c>
      <c r="AC42" t="s">
        <v>12</v>
      </c>
      <c r="AD42" t="s">
        <v>12</v>
      </c>
      <c r="AE42" s="2">
        <v>45750</v>
      </c>
      <c r="AF42" s="2"/>
      <c r="AG42" t="s">
        <v>12</v>
      </c>
    </row>
    <row r="43" spans="1:33" outlineLevel="2" x14ac:dyDescent="0.25">
      <c r="A43" t="s">
        <v>129</v>
      </c>
      <c r="B43" t="s">
        <v>1</v>
      </c>
      <c r="C43" t="s">
        <v>2</v>
      </c>
      <c r="D43" t="s">
        <v>3</v>
      </c>
      <c r="E43" t="s">
        <v>4</v>
      </c>
      <c r="F43" t="s">
        <v>140</v>
      </c>
      <c r="G43" s="2">
        <v>45750</v>
      </c>
      <c r="H43" t="s">
        <v>153</v>
      </c>
      <c r="I43" t="s">
        <v>22</v>
      </c>
      <c r="J43" s="2">
        <v>45750</v>
      </c>
      <c r="K43" s="2">
        <v>45752</v>
      </c>
      <c r="L43" t="s">
        <v>8</v>
      </c>
      <c r="M43" t="s">
        <v>154</v>
      </c>
      <c r="N43" t="s">
        <v>10</v>
      </c>
      <c r="O43" t="s">
        <v>11</v>
      </c>
      <c r="P43" t="s">
        <v>12</v>
      </c>
      <c r="Q43" t="s">
        <v>24</v>
      </c>
      <c r="R43" t="s">
        <v>14</v>
      </c>
      <c r="S43" s="3">
        <v>152.75</v>
      </c>
      <c r="T43" t="s">
        <v>15</v>
      </c>
      <c r="U43" s="3">
        <v>13277.31</v>
      </c>
      <c r="V43" t="s">
        <v>16</v>
      </c>
      <c r="W43" t="s">
        <v>12</v>
      </c>
      <c r="X43" t="s">
        <v>12</v>
      </c>
      <c r="Y43" t="s">
        <v>8</v>
      </c>
      <c r="Z43" t="s">
        <v>18</v>
      </c>
      <c r="AA43" t="s">
        <v>143</v>
      </c>
      <c r="AB43" t="s">
        <v>12</v>
      </c>
      <c r="AC43" t="s">
        <v>12</v>
      </c>
      <c r="AD43" t="s">
        <v>12</v>
      </c>
      <c r="AE43" s="2">
        <v>45750</v>
      </c>
      <c r="AF43" s="2"/>
      <c r="AG43" t="s">
        <v>12</v>
      </c>
    </row>
    <row r="44" spans="1:33" outlineLevel="2" x14ac:dyDescent="0.25">
      <c r="A44" t="s">
        <v>129</v>
      </c>
      <c r="B44" t="s">
        <v>1</v>
      </c>
      <c r="C44" t="s">
        <v>2</v>
      </c>
      <c r="D44" t="s">
        <v>3</v>
      </c>
      <c r="E44" t="s">
        <v>4</v>
      </c>
      <c r="F44" t="s">
        <v>140</v>
      </c>
      <c r="G44" s="2">
        <v>45750</v>
      </c>
      <c r="H44" t="s">
        <v>155</v>
      </c>
      <c r="I44" t="s">
        <v>22</v>
      </c>
      <c r="J44" s="2">
        <v>45750</v>
      </c>
      <c r="K44" s="2">
        <v>45752</v>
      </c>
      <c r="L44" t="s">
        <v>8</v>
      </c>
      <c r="M44" t="s">
        <v>156</v>
      </c>
      <c r="N44" t="s">
        <v>10</v>
      </c>
      <c r="O44" t="s">
        <v>11</v>
      </c>
      <c r="P44" t="s">
        <v>12</v>
      </c>
      <c r="Q44" t="s">
        <v>24</v>
      </c>
      <c r="R44" t="s">
        <v>14</v>
      </c>
      <c r="S44" s="3">
        <v>72.849999999999994</v>
      </c>
      <c r="T44" t="s">
        <v>15</v>
      </c>
      <c r="U44" s="3">
        <v>6332.25</v>
      </c>
      <c r="V44" t="s">
        <v>16</v>
      </c>
      <c r="W44" t="s">
        <v>12</v>
      </c>
      <c r="X44" t="s">
        <v>12</v>
      </c>
      <c r="Y44" t="s">
        <v>8</v>
      </c>
      <c r="Z44" t="s">
        <v>18</v>
      </c>
      <c r="AA44" t="s">
        <v>157</v>
      </c>
      <c r="AB44" t="s">
        <v>12</v>
      </c>
      <c r="AC44" t="s">
        <v>12</v>
      </c>
      <c r="AD44" t="s">
        <v>12</v>
      </c>
      <c r="AE44" s="2">
        <v>45750</v>
      </c>
      <c r="AF44" s="2"/>
      <c r="AG44" t="s">
        <v>12</v>
      </c>
    </row>
    <row r="45" spans="1:33" outlineLevel="2" x14ac:dyDescent="0.25">
      <c r="A45" t="s">
        <v>129</v>
      </c>
      <c r="B45" t="s">
        <v>1</v>
      </c>
      <c r="C45" t="s">
        <v>2</v>
      </c>
      <c r="D45" t="s">
        <v>3</v>
      </c>
      <c r="E45" t="s">
        <v>4</v>
      </c>
      <c r="F45" t="s">
        <v>140</v>
      </c>
      <c r="G45" s="2">
        <v>45750</v>
      </c>
      <c r="H45" t="s">
        <v>158</v>
      </c>
      <c r="I45" t="s">
        <v>22</v>
      </c>
      <c r="J45" s="2">
        <v>45750</v>
      </c>
      <c r="K45" s="2">
        <v>45752</v>
      </c>
      <c r="L45" t="s">
        <v>8</v>
      </c>
      <c r="M45" t="s">
        <v>159</v>
      </c>
      <c r="N45" t="s">
        <v>10</v>
      </c>
      <c r="O45" t="s">
        <v>11</v>
      </c>
      <c r="P45" t="s">
        <v>12</v>
      </c>
      <c r="Q45" t="s">
        <v>24</v>
      </c>
      <c r="R45" t="s">
        <v>14</v>
      </c>
      <c r="S45" s="3">
        <v>34.479999999999997</v>
      </c>
      <c r="T45" t="s">
        <v>15</v>
      </c>
      <c r="U45" s="3">
        <v>2997.06</v>
      </c>
      <c r="V45" t="s">
        <v>16</v>
      </c>
      <c r="W45" t="s">
        <v>12</v>
      </c>
      <c r="X45" t="s">
        <v>12</v>
      </c>
      <c r="Y45" t="s">
        <v>8</v>
      </c>
      <c r="Z45" t="s">
        <v>18</v>
      </c>
      <c r="AA45" t="s">
        <v>160</v>
      </c>
      <c r="AB45" t="s">
        <v>12</v>
      </c>
      <c r="AC45" t="s">
        <v>12</v>
      </c>
      <c r="AD45" t="s">
        <v>12</v>
      </c>
      <c r="AE45" s="2">
        <v>45750</v>
      </c>
      <c r="AF45" s="2"/>
      <c r="AG45" t="s">
        <v>12</v>
      </c>
    </row>
    <row r="46" spans="1:33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140</v>
      </c>
      <c r="G46" s="2">
        <v>45750</v>
      </c>
      <c r="H46" t="s">
        <v>161</v>
      </c>
      <c r="I46" t="s">
        <v>22</v>
      </c>
      <c r="J46" s="2">
        <v>45750</v>
      </c>
      <c r="K46" s="2">
        <v>45752</v>
      </c>
      <c r="L46" t="s">
        <v>8</v>
      </c>
      <c r="M46" t="s">
        <v>162</v>
      </c>
      <c r="N46" t="s">
        <v>10</v>
      </c>
      <c r="O46" t="s">
        <v>11</v>
      </c>
      <c r="P46" t="s">
        <v>12</v>
      </c>
      <c r="Q46" t="s">
        <v>24</v>
      </c>
      <c r="R46" t="s">
        <v>14</v>
      </c>
      <c r="S46" s="3">
        <v>456.75</v>
      </c>
      <c r="T46" t="s">
        <v>15</v>
      </c>
      <c r="U46" s="3">
        <v>39701.54</v>
      </c>
      <c r="V46" t="s">
        <v>16</v>
      </c>
      <c r="W46" t="s">
        <v>12</v>
      </c>
      <c r="X46" t="s">
        <v>12</v>
      </c>
      <c r="Y46" t="s">
        <v>8</v>
      </c>
      <c r="Z46" t="s">
        <v>18</v>
      </c>
      <c r="AA46" t="s">
        <v>163</v>
      </c>
      <c r="AB46" t="s">
        <v>12</v>
      </c>
      <c r="AC46" t="s">
        <v>12</v>
      </c>
      <c r="AD46" t="s">
        <v>12</v>
      </c>
      <c r="AE46" s="2">
        <v>45750</v>
      </c>
      <c r="AF46" s="2">
        <v>45842</v>
      </c>
      <c r="AG46" t="s">
        <v>164</v>
      </c>
    </row>
    <row r="47" spans="1:33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140</v>
      </c>
      <c r="G47" s="2">
        <v>45750</v>
      </c>
      <c r="H47" t="s">
        <v>165</v>
      </c>
      <c r="I47" t="s">
        <v>22</v>
      </c>
      <c r="J47" s="2">
        <v>45750</v>
      </c>
      <c r="K47" s="2">
        <v>45752</v>
      </c>
      <c r="L47" t="s">
        <v>8</v>
      </c>
      <c r="M47" t="s">
        <v>166</v>
      </c>
      <c r="N47" t="s">
        <v>10</v>
      </c>
      <c r="O47" t="s">
        <v>11</v>
      </c>
      <c r="P47" t="s">
        <v>12</v>
      </c>
      <c r="Q47" t="s">
        <v>24</v>
      </c>
      <c r="R47" t="s">
        <v>14</v>
      </c>
      <c r="S47" s="3">
        <v>456.75</v>
      </c>
      <c r="T47" t="s">
        <v>15</v>
      </c>
      <c r="U47" s="3">
        <v>39701.54</v>
      </c>
      <c r="V47" t="s">
        <v>16</v>
      </c>
      <c r="W47" t="s">
        <v>12</v>
      </c>
      <c r="X47" t="s">
        <v>12</v>
      </c>
      <c r="Y47" t="s">
        <v>8</v>
      </c>
      <c r="Z47" t="s">
        <v>18</v>
      </c>
      <c r="AA47" t="s">
        <v>167</v>
      </c>
      <c r="AB47" t="s">
        <v>12</v>
      </c>
      <c r="AC47" t="s">
        <v>12</v>
      </c>
      <c r="AD47" t="s">
        <v>12</v>
      </c>
      <c r="AE47" s="2">
        <v>45750</v>
      </c>
      <c r="AF47" s="2">
        <v>45842</v>
      </c>
      <c r="AG47" t="s">
        <v>168</v>
      </c>
    </row>
    <row r="48" spans="1:33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140</v>
      </c>
      <c r="G48" s="2">
        <v>45750</v>
      </c>
      <c r="H48" t="s">
        <v>169</v>
      </c>
      <c r="I48" t="s">
        <v>22</v>
      </c>
      <c r="J48" s="2">
        <v>45750</v>
      </c>
      <c r="K48" s="2">
        <v>45752</v>
      </c>
      <c r="L48" t="s">
        <v>8</v>
      </c>
      <c r="M48" t="s">
        <v>170</v>
      </c>
      <c r="N48" t="s">
        <v>10</v>
      </c>
      <c r="O48" t="s">
        <v>11</v>
      </c>
      <c r="P48" t="s">
        <v>12</v>
      </c>
      <c r="Q48" t="s">
        <v>24</v>
      </c>
      <c r="R48" t="s">
        <v>14</v>
      </c>
      <c r="S48" s="3">
        <v>705</v>
      </c>
      <c r="T48" t="s">
        <v>15</v>
      </c>
      <c r="U48" s="3">
        <v>61279.88</v>
      </c>
      <c r="V48" t="s">
        <v>16</v>
      </c>
      <c r="W48" t="s">
        <v>12</v>
      </c>
      <c r="X48" t="s">
        <v>12</v>
      </c>
      <c r="Y48" t="s">
        <v>8</v>
      </c>
      <c r="Z48" t="s">
        <v>18</v>
      </c>
      <c r="AA48" t="s">
        <v>171</v>
      </c>
      <c r="AB48" t="s">
        <v>12</v>
      </c>
      <c r="AC48" t="s">
        <v>12</v>
      </c>
      <c r="AD48" t="s">
        <v>12</v>
      </c>
      <c r="AE48" s="2">
        <v>45750</v>
      </c>
      <c r="AF48" s="2">
        <v>45976</v>
      </c>
      <c r="AG48" t="s">
        <v>64</v>
      </c>
    </row>
    <row r="49" spans="1:33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140</v>
      </c>
      <c r="G49" s="2">
        <v>45750</v>
      </c>
      <c r="H49" t="s">
        <v>172</v>
      </c>
      <c r="I49" t="s">
        <v>22</v>
      </c>
      <c r="J49" s="2">
        <v>45750</v>
      </c>
      <c r="K49" s="2">
        <v>45752</v>
      </c>
      <c r="L49" t="s">
        <v>8</v>
      </c>
      <c r="M49" t="s">
        <v>173</v>
      </c>
      <c r="N49" t="s">
        <v>10</v>
      </c>
      <c r="O49" t="s">
        <v>11</v>
      </c>
      <c r="P49" t="s">
        <v>12</v>
      </c>
      <c r="Q49" t="s">
        <v>24</v>
      </c>
      <c r="R49" t="s">
        <v>14</v>
      </c>
      <c r="S49" s="3">
        <v>1793.99</v>
      </c>
      <c r="T49" t="s">
        <v>15</v>
      </c>
      <c r="U49" s="3">
        <v>155936.88</v>
      </c>
      <c r="V49" t="s">
        <v>16</v>
      </c>
      <c r="W49" t="s">
        <v>12</v>
      </c>
      <c r="X49" t="s">
        <v>12</v>
      </c>
      <c r="Y49" t="s">
        <v>8</v>
      </c>
      <c r="Z49" t="s">
        <v>18</v>
      </c>
      <c r="AA49" t="s">
        <v>171</v>
      </c>
      <c r="AB49" t="s">
        <v>12</v>
      </c>
      <c r="AC49" t="s">
        <v>12</v>
      </c>
      <c r="AD49" t="s">
        <v>12</v>
      </c>
      <c r="AE49" s="2">
        <v>45750</v>
      </c>
      <c r="AF49" s="2">
        <v>45976</v>
      </c>
      <c r="AG49" t="s">
        <v>64</v>
      </c>
    </row>
    <row r="50" spans="1:33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140</v>
      </c>
      <c r="G50" s="2">
        <v>45750</v>
      </c>
      <c r="H50" t="s">
        <v>174</v>
      </c>
      <c r="I50" t="s">
        <v>22</v>
      </c>
      <c r="J50" s="2">
        <v>45750</v>
      </c>
      <c r="K50" s="2">
        <v>45752</v>
      </c>
      <c r="L50" t="s">
        <v>8</v>
      </c>
      <c r="M50" t="s">
        <v>175</v>
      </c>
      <c r="N50" t="s">
        <v>10</v>
      </c>
      <c r="O50" t="s">
        <v>11</v>
      </c>
      <c r="P50" t="s">
        <v>12</v>
      </c>
      <c r="Q50" t="s">
        <v>24</v>
      </c>
      <c r="R50" t="s">
        <v>14</v>
      </c>
      <c r="S50" s="3">
        <v>1314.12</v>
      </c>
      <c r="T50" t="s">
        <v>15</v>
      </c>
      <c r="U50" s="3">
        <v>114225.7</v>
      </c>
      <c r="V50" t="s">
        <v>16</v>
      </c>
      <c r="W50" t="s">
        <v>12</v>
      </c>
      <c r="X50" t="s">
        <v>12</v>
      </c>
      <c r="Y50" t="s">
        <v>8</v>
      </c>
      <c r="Z50" t="s">
        <v>18</v>
      </c>
      <c r="AA50" t="s">
        <v>171</v>
      </c>
      <c r="AB50" t="s">
        <v>12</v>
      </c>
      <c r="AC50" t="s">
        <v>12</v>
      </c>
      <c r="AD50" t="s">
        <v>12</v>
      </c>
      <c r="AE50" s="2">
        <v>45750</v>
      </c>
      <c r="AF50" s="2">
        <v>45976</v>
      </c>
      <c r="AG50" t="s">
        <v>64</v>
      </c>
    </row>
    <row r="51" spans="1:33" outlineLevel="2" x14ac:dyDescent="0.25">
      <c r="A51" t="s">
        <v>129</v>
      </c>
      <c r="B51" t="s">
        <v>1</v>
      </c>
      <c r="C51" t="s">
        <v>2</v>
      </c>
      <c r="D51" t="s">
        <v>3</v>
      </c>
      <c r="E51" t="s">
        <v>4</v>
      </c>
      <c r="F51" t="s">
        <v>176</v>
      </c>
      <c r="G51" s="2">
        <v>45950</v>
      </c>
      <c r="H51" t="s">
        <v>177</v>
      </c>
      <c r="I51" t="s">
        <v>22</v>
      </c>
      <c r="J51" s="2">
        <v>45950</v>
      </c>
      <c r="K51" s="2">
        <v>45951</v>
      </c>
      <c r="L51" t="s">
        <v>8</v>
      </c>
      <c r="M51" t="s">
        <v>178</v>
      </c>
      <c r="N51" t="s">
        <v>10</v>
      </c>
      <c r="O51" t="s">
        <v>11</v>
      </c>
      <c r="P51" t="s">
        <v>12</v>
      </c>
      <c r="Q51" t="s">
        <v>24</v>
      </c>
      <c r="R51" t="s">
        <v>14</v>
      </c>
      <c r="S51" s="3">
        <v>338.06</v>
      </c>
      <c r="T51" t="s">
        <v>15</v>
      </c>
      <c r="U51" s="3">
        <v>29813.77</v>
      </c>
      <c r="V51" t="s">
        <v>16</v>
      </c>
      <c r="W51" t="s">
        <v>17</v>
      </c>
      <c r="X51" t="s">
        <v>12</v>
      </c>
      <c r="Y51" t="s">
        <v>179</v>
      </c>
      <c r="Z51" t="s">
        <v>18</v>
      </c>
      <c r="AA51" t="s">
        <v>180</v>
      </c>
      <c r="AB51" t="s">
        <v>12</v>
      </c>
      <c r="AC51" t="s">
        <v>12</v>
      </c>
      <c r="AD51" t="s">
        <v>12</v>
      </c>
      <c r="AE51" s="2">
        <v>45950</v>
      </c>
      <c r="AF51" s="2"/>
      <c r="AG51" t="s">
        <v>12</v>
      </c>
    </row>
    <row r="52" spans="1:33" outlineLevel="2" x14ac:dyDescent="0.25">
      <c r="A52" t="s">
        <v>129</v>
      </c>
      <c r="B52" t="s">
        <v>1</v>
      </c>
      <c r="C52" t="s">
        <v>2</v>
      </c>
      <c r="D52" t="s">
        <v>3</v>
      </c>
      <c r="E52" t="s">
        <v>4</v>
      </c>
      <c r="F52" t="s">
        <v>176</v>
      </c>
      <c r="G52" s="2">
        <v>45950</v>
      </c>
      <c r="H52" t="s">
        <v>181</v>
      </c>
      <c r="I52" t="s">
        <v>22</v>
      </c>
      <c r="J52" s="2">
        <v>45950</v>
      </c>
      <c r="K52" s="2">
        <v>45951</v>
      </c>
      <c r="L52" t="s">
        <v>8</v>
      </c>
      <c r="M52" t="s">
        <v>182</v>
      </c>
      <c r="N52" t="s">
        <v>10</v>
      </c>
      <c r="O52" t="s">
        <v>11</v>
      </c>
      <c r="P52" t="s">
        <v>12</v>
      </c>
      <c r="Q52" t="s">
        <v>24</v>
      </c>
      <c r="R52" t="s">
        <v>14</v>
      </c>
      <c r="S52" s="3">
        <v>830.96</v>
      </c>
      <c r="T52" t="s">
        <v>15</v>
      </c>
      <c r="U52" s="3">
        <v>73283</v>
      </c>
      <c r="V52" t="s">
        <v>16</v>
      </c>
      <c r="W52" t="s">
        <v>17</v>
      </c>
      <c r="X52" t="s">
        <v>12</v>
      </c>
      <c r="Y52" t="s">
        <v>183</v>
      </c>
      <c r="Z52" t="s">
        <v>18</v>
      </c>
      <c r="AA52" t="s">
        <v>184</v>
      </c>
      <c r="AB52" t="s">
        <v>12</v>
      </c>
      <c r="AC52" t="s">
        <v>12</v>
      </c>
      <c r="AD52" t="s">
        <v>12</v>
      </c>
      <c r="AE52" s="2">
        <v>45950</v>
      </c>
      <c r="AF52" s="2"/>
      <c r="AG52" t="s">
        <v>12</v>
      </c>
    </row>
    <row r="53" spans="1:33" outlineLevel="2" x14ac:dyDescent="0.25">
      <c r="A53" t="s">
        <v>129</v>
      </c>
      <c r="B53" t="s">
        <v>1</v>
      </c>
      <c r="C53" t="s">
        <v>2</v>
      </c>
      <c r="D53" t="s">
        <v>3</v>
      </c>
      <c r="E53" t="s">
        <v>4</v>
      </c>
      <c r="F53" t="s">
        <v>176</v>
      </c>
      <c r="G53" s="2">
        <v>45950</v>
      </c>
      <c r="H53" t="s">
        <v>185</v>
      </c>
      <c r="I53" t="s">
        <v>22</v>
      </c>
      <c r="J53" s="2">
        <v>45950</v>
      </c>
      <c r="K53" s="2">
        <v>45951</v>
      </c>
      <c r="L53" t="s">
        <v>8</v>
      </c>
      <c r="M53" t="s">
        <v>186</v>
      </c>
      <c r="N53" t="s">
        <v>10</v>
      </c>
      <c r="O53" t="s">
        <v>11</v>
      </c>
      <c r="P53" t="s">
        <v>12</v>
      </c>
      <c r="Q53" t="s">
        <v>24</v>
      </c>
      <c r="R53" t="s">
        <v>14</v>
      </c>
      <c r="S53" s="3">
        <v>226.3</v>
      </c>
      <c r="T53" t="s">
        <v>15</v>
      </c>
      <c r="U53" s="3">
        <v>19957.57</v>
      </c>
      <c r="V53" t="s">
        <v>16</v>
      </c>
      <c r="W53" t="s">
        <v>17</v>
      </c>
      <c r="X53" t="s">
        <v>12</v>
      </c>
      <c r="Y53" t="s">
        <v>187</v>
      </c>
      <c r="Z53" t="s">
        <v>18</v>
      </c>
      <c r="AA53" t="s">
        <v>188</v>
      </c>
      <c r="AB53" t="s">
        <v>12</v>
      </c>
      <c r="AC53" t="s">
        <v>12</v>
      </c>
      <c r="AD53" t="s">
        <v>12</v>
      </c>
      <c r="AE53" s="2">
        <v>45950</v>
      </c>
      <c r="AF53" s="2"/>
      <c r="AG53" t="s">
        <v>12</v>
      </c>
    </row>
    <row r="54" spans="1:33" outlineLevel="2" x14ac:dyDescent="0.25">
      <c r="A54" t="s">
        <v>129</v>
      </c>
      <c r="B54" t="s">
        <v>1</v>
      </c>
      <c r="C54" t="s">
        <v>2</v>
      </c>
      <c r="D54" t="s">
        <v>3</v>
      </c>
      <c r="E54" t="s">
        <v>4</v>
      </c>
      <c r="F54" t="s">
        <v>176</v>
      </c>
      <c r="G54" s="2">
        <v>45950</v>
      </c>
      <c r="H54" t="s">
        <v>189</v>
      </c>
      <c r="I54" t="s">
        <v>22</v>
      </c>
      <c r="J54" s="2">
        <v>45950</v>
      </c>
      <c r="K54" s="2">
        <v>45951</v>
      </c>
      <c r="L54" t="s">
        <v>8</v>
      </c>
      <c r="M54" t="s">
        <v>190</v>
      </c>
      <c r="N54" t="s">
        <v>10</v>
      </c>
      <c r="O54" t="s">
        <v>11</v>
      </c>
      <c r="P54" t="s">
        <v>12</v>
      </c>
      <c r="Q54" t="s">
        <v>24</v>
      </c>
      <c r="R54" t="s">
        <v>14</v>
      </c>
      <c r="S54" s="3">
        <v>182.87</v>
      </c>
      <c r="T54" t="s">
        <v>15</v>
      </c>
      <c r="U54" s="3">
        <v>16127.45</v>
      </c>
      <c r="V54" t="s">
        <v>16</v>
      </c>
      <c r="W54" t="s">
        <v>17</v>
      </c>
      <c r="X54" t="s">
        <v>12</v>
      </c>
      <c r="Y54" t="s">
        <v>191</v>
      </c>
      <c r="Z54" t="s">
        <v>18</v>
      </c>
      <c r="AA54" t="s">
        <v>192</v>
      </c>
      <c r="AB54" t="s">
        <v>12</v>
      </c>
      <c r="AC54" t="s">
        <v>12</v>
      </c>
      <c r="AD54" t="s">
        <v>12</v>
      </c>
      <c r="AE54" s="2">
        <v>45950</v>
      </c>
      <c r="AF54" s="2"/>
      <c r="AG54" t="s">
        <v>12</v>
      </c>
    </row>
    <row r="55" spans="1:33" outlineLevel="2" x14ac:dyDescent="0.25">
      <c r="A55" t="s">
        <v>129</v>
      </c>
      <c r="B55" t="s">
        <v>1</v>
      </c>
      <c r="C55" t="s">
        <v>2</v>
      </c>
      <c r="D55" t="s">
        <v>3</v>
      </c>
      <c r="E55" t="s">
        <v>4</v>
      </c>
      <c r="F55" t="s">
        <v>140</v>
      </c>
      <c r="G55" s="2">
        <v>45768</v>
      </c>
      <c r="H55" t="s">
        <v>193</v>
      </c>
      <c r="I55" t="s">
        <v>22</v>
      </c>
      <c r="J55" s="2">
        <v>45768</v>
      </c>
      <c r="K55" s="2">
        <v>45769</v>
      </c>
      <c r="L55" t="s">
        <v>8</v>
      </c>
      <c r="M55" t="s">
        <v>194</v>
      </c>
      <c r="N55" t="s">
        <v>10</v>
      </c>
      <c r="O55" t="s">
        <v>11</v>
      </c>
      <c r="P55" t="s">
        <v>12</v>
      </c>
      <c r="Q55" t="s">
        <v>24</v>
      </c>
      <c r="R55" t="s">
        <v>14</v>
      </c>
      <c r="S55" s="3">
        <v>456.75</v>
      </c>
      <c r="T55" t="s">
        <v>15</v>
      </c>
      <c r="U55" s="3">
        <v>39193.72</v>
      </c>
      <c r="V55" t="s">
        <v>16</v>
      </c>
      <c r="W55" t="s">
        <v>17</v>
      </c>
      <c r="X55" t="s">
        <v>12</v>
      </c>
      <c r="Y55" t="s">
        <v>8</v>
      </c>
      <c r="Z55" t="s">
        <v>18</v>
      </c>
      <c r="AA55" t="s">
        <v>195</v>
      </c>
      <c r="AB55" t="s">
        <v>12</v>
      </c>
      <c r="AC55" t="s">
        <v>12</v>
      </c>
      <c r="AD55" t="s">
        <v>12</v>
      </c>
      <c r="AE55" s="2">
        <v>45768</v>
      </c>
      <c r="AF55" s="2"/>
      <c r="AG55" t="s">
        <v>12</v>
      </c>
    </row>
    <row r="56" spans="1:33" outlineLevel="2" x14ac:dyDescent="0.25">
      <c r="A56" t="s">
        <v>129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45862</v>
      </c>
      <c r="H56" t="s">
        <v>196</v>
      </c>
      <c r="I56" t="s">
        <v>7</v>
      </c>
      <c r="J56" s="2">
        <v>45862</v>
      </c>
      <c r="K56" s="2">
        <v>45862</v>
      </c>
      <c r="L56" t="s">
        <v>8</v>
      </c>
      <c r="M56" t="s">
        <v>197</v>
      </c>
      <c r="N56" t="s">
        <v>10</v>
      </c>
      <c r="O56" t="s">
        <v>11</v>
      </c>
      <c r="P56" t="s">
        <v>12</v>
      </c>
      <c r="Q56" t="s">
        <v>13</v>
      </c>
      <c r="R56" t="s">
        <v>14</v>
      </c>
      <c r="S56" s="3">
        <v>-140</v>
      </c>
      <c r="T56" t="s">
        <v>15</v>
      </c>
      <c r="U56" s="3">
        <v>-12037.72</v>
      </c>
      <c r="V56" t="s">
        <v>16</v>
      </c>
      <c r="W56" t="s">
        <v>17</v>
      </c>
      <c r="X56" t="s">
        <v>12</v>
      </c>
      <c r="Y56" t="s">
        <v>8</v>
      </c>
      <c r="Z56" t="s">
        <v>18</v>
      </c>
      <c r="AA56" t="s">
        <v>198</v>
      </c>
      <c r="AB56" t="s">
        <v>12</v>
      </c>
      <c r="AC56" t="s">
        <v>12</v>
      </c>
      <c r="AD56" t="s">
        <v>12</v>
      </c>
      <c r="AE56" s="2">
        <v>45862</v>
      </c>
      <c r="AF56" s="2"/>
      <c r="AG56" t="s">
        <v>12</v>
      </c>
    </row>
    <row r="57" spans="1:33" outlineLevel="2" x14ac:dyDescent="0.25">
      <c r="A57" t="s">
        <v>129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45862</v>
      </c>
      <c r="H57" t="s">
        <v>199</v>
      </c>
      <c r="I57" t="s">
        <v>22</v>
      </c>
      <c r="J57" s="2">
        <v>45862</v>
      </c>
      <c r="K57" s="2">
        <v>45862</v>
      </c>
      <c r="L57" t="s">
        <v>8</v>
      </c>
      <c r="M57" t="s">
        <v>200</v>
      </c>
      <c r="N57" t="s">
        <v>10</v>
      </c>
      <c r="O57" t="s">
        <v>11</v>
      </c>
      <c r="P57" t="s">
        <v>12</v>
      </c>
      <c r="Q57" t="s">
        <v>24</v>
      </c>
      <c r="R57" t="s">
        <v>14</v>
      </c>
      <c r="S57" s="3">
        <v>140</v>
      </c>
      <c r="T57" t="s">
        <v>15</v>
      </c>
      <c r="U57" s="3">
        <v>12040.09</v>
      </c>
      <c r="V57" t="s">
        <v>16</v>
      </c>
      <c r="W57" t="s">
        <v>17</v>
      </c>
      <c r="X57" t="s">
        <v>12</v>
      </c>
      <c r="Y57" t="s">
        <v>8</v>
      </c>
      <c r="Z57" t="s">
        <v>18</v>
      </c>
      <c r="AA57" t="s">
        <v>201</v>
      </c>
      <c r="AB57" t="s">
        <v>12</v>
      </c>
      <c r="AC57" t="s">
        <v>12</v>
      </c>
      <c r="AD57" t="s">
        <v>12</v>
      </c>
      <c r="AE57" s="2">
        <v>45862</v>
      </c>
      <c r="AF57" s="2"/>
      <c r="AG57" t="s">
        <v>12</v>
      </c>
    </row>
    <row r="58" spans="1:33" outlineLevel="2" x14ac:dyDescent="0.25">
      <c r="A58" t="s">
        <v>129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45862</v>
      </c>
      <c r="H58" t="s">
        <v>202</v>
      </c>
      <c r="I58" t="s">
        <v>22</v>
      </c>
      <c r="J58" s="2">
        <v>45862</v>
      </c>
      <c r="K58" s="2">
        <v>45862</v>
      </c>
      <c r="L58" t="s">
        <v>8</v>
      </c>
      <c r="M58" t="s">
        <v>203</v>
      </c>
      <c r="N58" t="s">
        <v>10</v>
      </c>
      <c r="O58" t="s">
        <v>11</v>
      </c>
      <c r="P58" t="s">
        <v>12</v>
      </c>
      <c r="Q58" t="s">
        <v>24</v>
      </c>
      <c r="R58" t="s">
        <v>14</v>
      </c>
      <c r="S58" s="3">
        <v>111.15</v>
      </c>
      <c r="T58" t="s">
        <v>15</v>
      </c>
      <c r="U58" s="3">
        <v>9558.9699999999993</v>
      </c>
      <c r="V58" t="s">
        <v>16</v>
      </c>
      <c r="W58" t="s">
        <v>17</v>
      </c>
      <c r="X58" t="s">
        <v>12</v>
      </c>
      <c r="Y58" t="s">
        <v>8</v>
      </c>
      <c r="Z58" t="s">
        <v>18</v>
      </c>
      <c r="AA58" t="s">
        <v>139</v>
      </c>
      <c r="AB58" t="s">
        <v>12</v>
      </c>
      <c r="AC58" t="s">
        <v>12</v>
      </c>
      <c r="AD58" t="s">
        <v>12</v>
      </c>
      <c r="AE58" s="2">
        <v>45862</v>
      </c>
      <c r="AF58" s="2"/>
      <c r="AG58" t="s">
        <v>12</v>
      </c>
    </row>
    <row r="59" spans="1:33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45862</v>
      </c>
      <c r="H59" t="s">
        <v>204</v>
      </c>
      <c r="I59" t="s">
        <v>7</v>
      </c>
      <c r="J59" s="2">
        <v>45862</v>
      </c>
      <c r="K59" s="2">
        <v>45862</v>
      </c>
      <c r="L59" t="s">
        <v>8</v>
      </c>
      <c r="M59" t="s">
        <v>205</v>
      </c>
      <c r="N59" t="s">
        <v>10</v>
      </c>
      <c r="O59" t="s">
        <v>11</v>
      </c>
      <c r="P59" t="s">
        <v>12</v>
      </c>
      <c r="Q59" t="s">
        <v>13</v>
      </c>
      <c r="R59" t="s">
        <v>14</v>
      </c>
      <c r="S59" s="3">
        <v>-456.75</v>
      </c>
      <c r="T59" t="s">
        <v>15</v>
      </c>
      <c r="U59" s="3">
        <v>-39280.81</v>
      </c>
      <c r="V59" t="s">
        <v>16</v>
      </c>
      <c r="W59" t="s">
        <v>17</v>
      </c>
      <c r="X59" t="s">
        <v>12</v>
      </c>
      <c r="Y59" t="s">
        <v>8</v>
      </c>
      <c r="Z59" t="s">
        <v>18</v>
      </c>
      <c r="AA59" t="s">
        <v>206</v>
      </c>
      <c r="AB59" t="s">
        <v>12</v>
      </c>
      <c r="AC59" t="s">
        <v>12</v>
      </c>
      <c r="AD59" t="s">
        <v>12</v>
      </c>
      <c r="AE59" s="2">
        <v>45862</v>
      </c>
      <c r="AF59" s="2">
        <v>45902</v>
      </c>
      <c r="AG59" t="s">
        <v>207</v>
      </c>
    </row>
    <row r="60" spans="1:33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45862</v>
      </c>
      <c r="H60" t="s">
        <v>208</v>
      </c>
      <c r="I60" t="s">
        <v>7</v>
      </c>
      <c r="J60" s="2">
        <v>45862</v>
      </c>
      <c r="K60" s="2">
        <v>45862</v>
      </c>
      <c r="L60" t="s">
        <v>8</v>
      </c>
      <c r="M60" t="s">
        <v>209</v>
      </c>
      <c r="N60" t="s">
        <v>10</v>
      </c>
      <c r="O60" t="s">
        <v>11</v>
      </c>
      <c r="P60" t="s">
        <v>12</v>
      </c>
      <c r="Q60" t="s">
        <v>13</v>
      </c>
      <c r="R60" t="s">
        <v>14</v>
      </c>
      <c r="S60" s="3">
        <v>-456.75</v>
      </c>
      <c r="T60" t="s">
        <v>15</v>
      </c>
      <c r="U60" s="3">
        <v>-39280.81</v>
      </c>
      <c r="V60" t="s">
        <v>16</v>
      </c>
      <c r="W60" t="s">
        <v>17</v>
      </c>
      <c r="X60" t="s">
        <v>12</v>
      </c>
      <c r="Y60" t="s">
        <v>8</v>
      </c>
      <c r="Z60" t="s">
        <v>18</v>
      </c>
      <c r="AA60" t="s">
        <v>210</v>
      </c>
      <c r="AB60" t="s">
        <v>12</v>
      </c>
      <c r="AC60" t="s">
        <v>12</v>
      </c>
      <c r="AD60" t="s">
        <v>12</v>
      </c>
      <c r="AE60" s="2">
        <v>45862</v>
      </c>
      <c r="AF60" s="2">
        <v>45902</v>
      </c>
      <c r="AG60" t="s">
        <v>207</v>
      </c>
    </row>
    <row r="61" spans="1:33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45862</v>
      </c>
      <c r="H61" t="s">
        <v>211</v>
      </c>
      <c r="I61" t="s">
        <v>7</v>
      </c>
      <c r="J61" s="2">
        <v>45862</v>
      </c>
      <c r="K61" s="2">
        <v>45862</v>
      </c>
      <c r="L61" t="s">
        <v>8</v>
      </c>
      <c r="M61" t="s">
        <v>212</v>
      </c>
      <c r="N61" t="s">
        <v>10</v>
      </c>
      <c r="O61" t="s">
        <v>11</v>
      </c>
      <c r="P61" t="s">
        <v>12</v>
      </c>
      <c r="Q61" t="s">
        <v>13</v>
      </c>
      <c r="R61" t="s">
        <v>14</v>
      </c>
      <c r="S61" s="3">
        <v>-111.15</v>
      </c>
      <c r="T61" t="s">
        <v>15</v>
      </c>
      <c r="U61" s="3">
        <v>-9557.09</v>
      </c>
      <c r="V61" t="s">
        <v>16</v>
      </c>
      <c r="W61" t="s">
        <v>17</v>
      </c>
      <c r="X61" t="s">
        <v>12</v>
      </c>
      <c r="Y61" t="s">
        <v>8</v>
      </c>
      <c r="Z61" t="s">
        <v>18</v>
      </c>
      <c r="AA61" t="s">
        <v>213</v>
      </c>
      <c r="AB61" t="s">
        <v>12</v>
      </c>
      <c r="AC61" t="s">
        <v>12</v>
      </c>
      <c r="AD61" t="s">
        <v>12</v>
      </c>
      <c r="AE61" s="2">
        <v>45862</v>
      </c>
      <c r="AF61" s="2">
        <v>45976</v>
      </c>
      <c r="AG61" t="s">
        <v>64</v>
      </c>
    </row>
    <row r="62" spans="1:33" outlineLevel="2" x14ac:dyDescent="0.25">
      <c r="A62" t="s">
        <v>129</v>
      </c>
      <c r="B62" t="s">
        <v>1</v>
      </c>
      <c r="C62" t="s">
        <v>2</v>
      </c>
      <c r="D62" t="s">
        <v>3</v>
      </c>
      <c r="E62" t="s">
        <v>4</v>
      </c>
      <c r="F62" t="s">
        <v>130</v>
      </c>
      <c r="G62" s="2">
        <v>45798</v>
      </c>
      <c r="H62" t="s">
        <v>214</v>
      </c>
      <c r="I62" t="s">
        <v>22</v>
      </c>
      <c r="J62" s="2">
        <v>45798</v>
      </c>
      <c r="K62" s="2">
        <v>45800</v>
      </c>
      <c r="L62" t="s">
        <v>8</v>
      </c>
      <c r="M62" t="s">
        <v>215</v>
      </c>
      <c r="N62" t="s">
        <v>10</v>
      </c>
      <c r="O62" t="s">
        <v>11</v>
      </c>
      <c r="P62" t="s">
        <v>12</v>
      </c>
      <c r="Q62" t="s">
        <v>24</v>
      </c>
      <c r="R62" t="s">
        <v>14</v>
      </c>
      <c r="S62" s="3">
        <v>84.6</v>
      </c>
      <c r="T62" t="s">
        <v>15</v>
      </c>
      <c r="U62" s="3">
        <v>7274.22</v>
      </c>
      <c r="V62" t="s">
        <v>16</v>
      </c>
      <c r="W62" t="s">
        <v>17</v>
      </c>
      <c r="X62" t="s">
        <v>12</v>
      </c>
      <c r="Y62" t="s">
        <v>8</v>
      </c>
      <c r="Z62" t="s">
        <v>18</v>
      </c>
      <c r="AA62" t="s">
        <v>216</v>
      </c>
      <c r="AB62" t="s">
        <v>12</v>
      </c>
      <c r="AC62" t="s">
        <v>12</v>
      </c>
      <c r="AD62" t="s">
        <v>12</v>
      </c>
      <c r="AE62" s="2">
        <v>45798</v>
      </c>
      <c r="AF62" s="2"/>
      <c r="AG62" t="s">
        <v>12</v>
      </c>
    </row>
    <row r="63" spans="1:33" outlineLevel="2" x14ac:dyDescent="0.25">
      <c r="A63" t="s">
        <v>129</v>
      </c>
      <c r="B63" t="s">
        <v>1</v>
      </c>
      <c r="C63" t="s">
        <v>2</v>
      </c>
      <c r="D63" t="s">
        <v>3</v>
      </c>
      <c r="E63" t="s">
        <v>4</v>
      </c>
      <c r="F63" t="s">
        <v>130</v>
      </c>
      <c r="G63" s="2">
        <v>45798</v>
      </c>
      <c r="H63" t="s">
        <v>217</v>
      </c>
      <c r="I63" t="s">
        <v>22</v>
      </c>
      <c r="J63" s="2">
        <v>45798</v>
      </c>
      <c r="K63" s="2">
        <v>45800</v>
      </c>
      <c r="L63" t="s">
        <v>8</v>
      </c>
      <c r="M63" t="s">
        <v>218</v>
      </c>
      <c r="N63" t="s">
        <v>10</v>
      </c>
      <c r="O63" t="s">
        <v>11</v>
      </c>
      <c r="P63" t="s">
        <v>12</v>
      </c>
      <c r="Q63" t="s">
        <v>24</v>
      </c>
      <c r="R63" t="s">
        <v>14</v>
      </c>
      <c r="S63" s="3">
        <v>47</v>
      </c>
      <c r="T63" t="s">
        <v>15</v>
      </c>
      <c r="U63" s="3">
        <v>4041.23</v>
      </c>
      <c r="V63" t="s">
        <v>16</v>
      </c>
      <c r="W63" t="s">
        <v>17</v>
      </c>
      <c r="X63" t="s">
        <v>12</v>
      </c>
      <c r="Y63" t="s">
        <v>8</v>
      </c>
      <c r="Z63" t="s">
        <v>18</v>
      </c>
      <c r="AA63" t="s">
        <v>219</v>
      </c>
      <c r="AB63" t="s">
        <v>12</v>
      </c>
      <c r="AC63" t="s">
        <v>12</v>
      </c>
      <c r="AD63" t="s">
        <v>12</v>
      </c>
      <c r="AE63" s="2">
        <v>45798</v>
      </c>
      <c r="AF63" s="2"/>
      <c r="AG63" t="s">
        <v>12</v>
      </c>
    </row>
    <row r="64" spans="1:33" outlineLevel="2" x14ac:dyDescent="0.25">
      <c r="A64" t="s">
        <v>129</v>
      </c>
      <c r="B64" t="s">
        <v>1</v>
      </c>
      <c r="C64" t="s">
        <v>2</v>
      </c>
      <c r="D64" t="s">
        <v>3</v>
      </c>
      <c r="E64" t="s">
        <v>4</v>
      </c>
      <c r="F64" t="s">
        <v>130</v>
      </c>
      <c r="G64" s="2">
        <v>45798</v>
      </c>
      <c r="H64" t="s">
        <v>220</v>
      </c>
      <c r="I64" t="s">
        <v>22</v>
      </c>
      <c r="J64" s="2">
        <v>45798</v>
      </c>
      <c r="K64" s="2">
        <v>45800</v>
      </c>
      <c r="L64" t="s">
        <v>8</v>
      </c>
      <c r="M64" t="s">
        <v>221</v>
      </c>
      <c r="N64" t="s">
        <v>10</v>
      </c>
      <c r="O64" t="s">
        <v>11</v>
      </c>
      <c r="P64" t="s">
        <v>12</v>
      </c>
      <c r="Q64" t="s">
        <v>24</v>
      </c>
      <c r="R64" t="s">
        <v>14</v>
      </c>
      <c r="S64" s="3">
        <v>7.05</v>
      </c>
      <c r="T64" t="s">
        <v>15</v>
      </c>
      <c r="U64" s="3">
        <v>606.19000000000005</v>
      </c>
      <c r="V64" t="s">
        <v>16</v>
      </c>
      <c r="W64" t="s">
        <v>17</v>
      </c>
      <c r="X64" t="s">
        <v>12</v>
      </c>
      <c r="Y64" t="s">
        <v>8</v>
      </c>
      <c r="Z64" t="s">
        <v>18</v>
      </c>
      <c r="AA64" t="s">
        <v>222</v>
      </c>
      <c r="AB64" t="s">
        <v>12</v>
      </c>
      <c r="AC64" t="s">
        <v>12</v>
      </c>
      <c r="AD64" t="s">
        <v>12</v>
      </c>
      <c r="AE64" s="2">
        <v>45798</v>
      </c>
      <c r="AF64" s="2"/>
      <c r="AG64" t="s">
        <v>12</v>
      </c>
    </row>
    <row r="65" spans="1:33" outlineLevel="2" x14ac:dyDescent="0.25">
      <c r="A65" t="s">
        <v>129</v>
      </c>
      <c r="B65" t="s">
        <v>1</v>
      </c>
      <c r="C65" t="s">
        <v>2</v>
      </c>
      <c r="D65" t="s">
        <v>3</v>
      </c>
      <c r="E65" t="s">
        <v>4</v>
      </c>
      <c r="F65" t="s">
        <v>130</v>
      </c>
      <c r="G65" s="2">
        <v>45798</v>
      </c>
      <c r="H65" t="s">
        <v>223</v>
      </c>
      <c r="I65" t="s">
        <v>22</v>
      </c>
      <c r="J65" s="2">
        <v>45798</v>
      </c>
      <c r="K65" s="2">
        <v>45800</v>
      </c>
      <c r="L65" t="s">
        <v>8</v>
      </c>
      <c r="M65" t="s">
        <v>224</v>
      </c>
      <c r="N65" t="s">
        <v>10</v>
      </c>
      <c r="O65" t="s">
        <v>11</v>
      </c>
      <c r="P65" t="s">
        <v>12</v>
      </c>
      <c r="Q65" t="s">
        <v>24</v>
      </c>
      <c r="R65" t="s">
        <v>14</v>
      </c>
      <c r="S65" s="3">
        <v>14.1</v>
      </c>
      <c r="T65" t="s">
        <v>15</v>
      </c>
      <c r="U65" s="3">
        <v>1212.3699999999999</v>
      </c>
      <c r="V65" t="s">
        <v>16</v>
      </c>
      <c r="W65" t="s">
        <v>17</v>
      </c>
      <c r="X65" t="s">
        <v>12</v>
      </c>
      <c r="Y65" t="s">
        <v>8</v>
      </c>
      <c r="Z65" t="s">
        <v>18</v>
      </c>
      <c r="AA65" t="s">
        <v>225</v>
      </c>
      <c r="AB65" t="s">
        <v>12</v>
      </c>
      <c r="AC65" t="s">
        <v>12</v>
      </c>
      <c r="AD65" t="s">
        <v>12</v>
      </c>
      <c r="AE65" s="2">
        <v>45798</v>
      </c>
      <c r="AF65" s="2"/>
      <c r="AG65" t="s">
        <v>12</v>
      </c>
    </row>
    <row r="66" spans="1:33" outlineLevel="2" x14ac:dyDescent="0.25">
      <c r="A66" t="s">
        <v>129</v>
      </c>
      <c r="B66" t="s">
        <v>1</v>
      </c>
      <c r="C66" t="s">
        <v>2</v>
      </c>
      <c r="D66" t="s">
        <v>3</v>
      </c>
      <c r="E66" t="s">
        <v>4</v>
      </c>
      <c r="F66" t="s">
        <v>140</v>
      </c>
      <c r="G66" s="2">
        <v>45771</v>
      </c>
      <c r="H66" t="s">
        <v>226</v>
      </c>
      <c r="I66" t="s">
        <v>22</v>
      </c>
      <c r="J66" s="2">
        <v>45771</v>
      </c>
      <c r="K66" s="2">
        <v>45773</v>
      </c>
      <c r="L66" t="s">
        <v>8</v>
      </c>
      <c r="M66" t="s">
        <v>227</v>
      </c>
      <c r="N66" t="s">
        <v>10</v>
      </c>
      <c r="O66" t="s">
        <v>11</v>
      </c>
      <c r="P66" t="s">
        <v>12</v>
      </c>
      <c r="Q66" t="s">
        <v>24</v>
      </c>
      <c r="R66" t="s">
        <v>14</v>
      </c>
      <c r="S66" s="3">
        <v>95.39</v>
      </c>
      <c r="T66" t="s">
        <v>15</v>
      </c>
      <c r="U66" s="3">
        <v>8291.4699999999993</v>
      </c>
      <c r="V66" t="s">
        <v>16</v>
      </c>
      <c r="W66" t="s">
        <v>17</v>
      </c>
      <c r="X66" t="s">
        <v>12</v>
      </c>
      <c r="Y66" t="s">
        <v>8</v>
      </c>
      <c r="Z66" t="s">
        <v>18</v>
      </c>
      <c r="AA66" t="s">
        <v>228</v>
      </c>
      <c r="AB66" t="s">
        <v>12</v>
      </c>
      <c r="AC66" t="s">
        <v>12</v>
      </c>
      <c r="AD66" t="s">
        <v>12</v>
      </c>
      <c r="AE66" s="2">
        <v>45771</v>
      </c>
      <c r="AF66" s="2"/>
      <c r="AG66" t="s">
        <v>12</v>
      </c>
    </row>
    <row r="67" spans="1:33" outlineLevel="2" x14ac:dyDescent="0.25">
      <c r="A67" t="s">
        <v>129</v>
      </c>
      <c r="B67" t="s">
        <v>1</v>
      </c>
      <c r="C67" t="s">
        <v>2</v>
      </c>
      <c r="D67" t="s">
        <v>3</v>
      </c>
      <c r="E67" t="s">
        <v>4</v>
      </c>
      <c r="F67" t="s">
        <v>229</v>
      </c>
      <c r="G67" s="2">
        <v>45826</v>
      </c>
      <c r="H67" t="s">
        <v>230</v>
      </c>
      <c r="I67" t="s">
        <v>22</v>
      </c>
      <c r="J67" s="2">
        <v>45826</v>
      </c>
      <c r="K67" s="2">
        <v>45829</v>
      </c>
      <c r="L67" t="s">
        <v>8</v>
      </c>
      <c r="M67" t="s">
        <v>231</v>
      </c>
      <c r="N67" t="s">
        <v>10</v>
      </c>
      <c r="O67" t="s">
        <v>11</v>
      </c>
      <c r="P67" t="s">
        <v>12</v>
      </c>
      <c r="Q67" t="s">
        <v>24</v>
      </c>
      <c r="R67" t="s">
        <v>14</v>
      </c>
      <c r="S67" s="3">
        <v>173.9</v>
      </c>
      <c r="T67" t="s">
        <v>15</v>
      </c>
      <c r="U67" s="3">
        <v>14866.85</v>
      </c>
      <c r="V67" t="s">
        <v>16</v>
      </c>
      <c r="W67" t="s">
        <v>17</v>
      </c>
      <c r="X67" t="s">
        <v>12</v>
      </c>
      <c r="Y67" t="s">
        <v>8</v>
      </c>
      <c r="Z67" t="s">
        <v>18</v>
      </c>
      <c r="AA67" t="s">
        <v>232</v>
      </c>
      <c r="AB67" t="s">
        <v>12</v>
      </c>
      <c r="AC67" t="s">
        <v>12</v>
      </c>
      <c r="AD67" t="s">
        <v>12</v>
      </c>
      <c r="AE67" s="2">
        <v>45826</v>
      </c>
      <c r="AF67" s="2"/>
      <c r="AG67" t="s">
        <v>12</v>
      </c>
    </row>
    <row r="68" spans="1:33" outlineLevel="2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229</v>
      </c>
      <c r="G68" s="2">
        <v>45826</v>
      </c>
      <c r="H68" t="s">
        <v>233</v>
      </c>
      <c r="I68" t="s">
        <v>22</v>
      </c>
      <c r="J68" s="2">
        <v>45826</v>
      </c>
      <c r="K68" s="2">
        <v>45827</v>
      </c>
      <c r="L68" t="s">
        <v>8</v>
      </c>
      <c r="M68" t="s">
        <v>234</v>
      </c>
      <c r="N68" t="s">
        <v>10</v>
      </c>
      <c r="O68" t="s">
        <v>11</v>
      </c>
      <c r="P68" t="s">
        <v>12</v>
      </c>
      <c r="Q68" t="s">
        <v>24</v>
      </c>
      <c r="R68" t="s">
        <v>14</v>
      </c>
      <c r="S68" s="3">
        <v>456.75</v>
      </c>
      <c r="T68" t="s">
        <v>15</v>
      </c>
      <c r="U68" s="3">
        <v>39047.910000000003</v>
      </c>
      <c r="V68" t="s">
        <v>16</v>
      </c>
      <c r="W68" t="s">
        <v>17</v>
      </c>
      <c r="X68" t="s">
        <v>12</v>
      </c>
      <c r="Y68" t="s">
        <v>8</v>
      </c>
      <c r="Z68" t="s">
        <v>18</v>
      </c>
      <c r="AA68" t="s">
        <v>167</v>
      </c>
      <c r="AB68" t="s">
        <v>12</v>
      </c>
      <c r="AC68" t="s">
        <v>12</v>
      </c>
      <c r="AD68" t="s">
        <v>12</v>
      </c>
      <c r="AE68" s="2">
        <v>45826</v>
      </c>
      <c r="AF68" s="2">
        <v>45902</v>
      </c>
      <c r="AG68" t="s">
        <v>207</v>
      </c>
    </row>
    <row r="69" spans="1:33" outlineLevel="2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229</v>
      </c>
      <c r="G69" s="2">
        <v>45826</v>
      </c>
      <c r="H69" t="s">
        <v>235</v>
      </c>
      <c r="I69" t="s">
        <v>22</v>
      </c>
      <c r="J69" s="2">
        <v>45826</v>
      </c>
      <c r="K69" s="2">
        <v>45827</v>
      </c>
      <c r="L69" t="s">
        <v>8</v>
      </c>
      <c r="M69" t="s">
        <v>236</v>
      </c>
      <c r="N69" t="s">
        <v>10</v>
      </c>
      <c r="O69" t="s">
        <v>11</v>
      </c>
      <c r="P69" t="s">
        <v>12</v>
      </c>
      <c r="Q69" t="s">
        <v>24</v>
      </c>
      <c r="R69" t="s">
        <v>14</v>
      </c>
      <c r="S69" s="3">
        <v>456.75</v>
      </c>
      <c r="T69" t="s">
        <v>15</v>
      </c>
      <c r="U69" s="3">
        <v>39047.910000000003</v>
      </c>
      <c r="V69" t="s">
        <v>16</v>
      </c>
      <c r="W69" t="s">
        <v>17</v>
      </c>
      <c r="X69" t="s">
        <v>12</v>
      </c>
      <c r="Y69" t="s">
        <v>8</v>
      </c>
      <c r="Z69" t="s">
        <v>18</v>
      </c>
      <c r="AA69" t="s">
        <v>163</v>
      </c>
      <c r="AB69" t="s">
        <v>12</v>
      </c>
      <c r="AC69" t="s">
        <v>12</v>
      </c>
      <c r="AD69" t="s">
        <v>12</v>
      </c>
      <c r="AE69" s="2">
        <v>45826</v>
      </c>
      <c r="AF69" s="2">
        <v>45902</v>
      </c>
      <c r="AG69" t="s">
        <v>207</v>
      </c>
    </row>
    <row r="70" spans="1:33" outlineLevel="2" x14ac:dyDescent="0.25">
      <c r="A70" t="s">
        <v>129</v>
      </c>
      <c r="B70" t="s">
        <v>1</v>
      </c>
      <c r="C70" t="s">
        <v>2</v>
      </c>
      <c r="D70" t="s">
        <v>3</v>
      </c>
      <c r="E70" t="s">
        <v>4</v>
      </c>
      <c r="F70" t="s">
        <v>176</v>
      </c>
      <c r="G70" s="2">
        <v>45951</v>
      </c>
      <c r="H70" t="s">
        <v>237</v>
      </c>
      <c r="I70" t="s">
        <v>22</v>
      </c>
      <c r="J70" s="2">
        <v>45951</v>
      </c>
      <c r="K70" s="2">
        <v>45951</v>
      </c>
      <c r="L70" t="s">
        <v>8</v>
      </c>
      <c r="M70" t="s">
        <v>238</v>
      </c>
      <c r="N70" t="s">
        <v>10</v>
      </c>
      <c r="O70" t="s">
        <v>11</v>
      </c>
      <c r="P70" t="s">
        <v>12</v>
      </c>
      <c r="Q70" t="s">
        <v>24</v>
      </c>
      <c r="R70" t="s">
        <v>14</v>
      </c>
      <c r="S70" s="3">
        <v>3.4</v>
      </c>
      <c r="T70" t="s">
        <v>15</v>
      </c>
      <c r="U70" s="3">
        <v>299.85000000000002</v>
      </c>
      <c r="V70" t="s">
        <v>16</v>
      </c>
      <c r="W70" t="s">
        <v>17</v>
      </c>
      <c r="X70" t="s">
        <v>12</v>
      </c>
      <c r="Y70" t="s">
        <v>239</v>
      </c>
      <c r="Z70" t="s">
        <v>18</v>
      </c>
      <c r="AA70" t="s">
        <v>240</v>
      </c>
      <c r="AB70" t="s">
        <v>12</v>
      </c>
      <c r="AC70" t="s">
        <v>12</v>
      </c>
      <c r="AD70" t="s">
        <v>12</v>
      </c>
      <c r="AE70" s="2">
        <v>45951</v>
      </c>
      <c r="AF70" s="2"/>
      <c r="AG70" t="s">
        <v>12</v>
      </c>
    </row>
    <row r="71" spans="1:33" outlineLevel="2" x14ac:dyDescent="0.25">
      <c r="A71" t="s">
        <v>129</v>
      </c>
      <c r="B71" t="s">
        <v>1</v>
      </c>
      <c r="C71" t="s">
        <v>2</v>
      </c>
      <c r="D71" t="s">
        <v>3</v>
      </c>
      <c r="E71" t="s">
        <v>4</v>
      </c>
      <c r="F71" t="s">
        <v>176</v>
      </c>
      <c r="G71" s="2">
        <v>45951</v>
      </c>
      <c r="H71" t="s">
        <v>241</v>
      </c>
      <c r="I71" t="s">
        <v>22</v>
      </c>
      <c r="J71" s="2">
        <v>45951</v>
      </c>
      <c r="K71" s="2">
        <v>45951</v>
      </c>
      <c r="L71" t="s">
        <v>8</v>
      </c>
      <c r="M71" t="s">
        <v>242</v>
      </c>
      <c r="N71" t="s">
        <v>10</v>
      </c>
      <c r="O71" t="s">
        <v>11</v>
      </c>
      <c r="P71" t="s">
        <v>12</v>
      </c>
      <c r="Q71" t="s">
        <v>24</v>
      </c>
      <c r="R71" t="s">
        <v>14</v>
      </c>
      <c r="S71" s="3">
        <v>3.4</v>
      </c>
      <c r="T71" t="s">
        <v>15</v>
      </c>
      <c r="U71" s="3">
        <v>299.85000000000002</v>
      </c>
      <c r="V71" t="s">
        <v>16</v>
      </c>
      <c r="W71" t="s">
        <v>17</v>
      </c>
      <c r="X71" t="s">
        <v>12</v>
      </c>
      <c r="Y71" t="s">
        <v>239</v>
      </c>
      <c r="Z71" t="s">
        <v>18</v>
      </c>
      <c r="AA71" t="s">
        <v>240</v>
      </c>
      <c r="AB71" t="s">
        <v>12</v>
      </c>
      <c r="AC71" t="s">
        <v>12</v>
      </c>
      <c r="AD71" t="s">
        <v>12</v>
      </c>
      <c r="AE71" s="2">
        <v>45951</v>
      </c>
      <c r="AF71" s="2"/>
      <c r="AG71" t="s">
        <v>12</v>
      </c>
    </row>
    <row r="72" spans="1:33" outlineLevel="2" x14ac:dyDescent="0.25">
      <c r="A72" t="s">
        <v>129</v>
      </c>
      <c r="B72" t="s">
        <v>1</v>
      </c>
      <c r="C72" t="s">
        <v>2</v>
      </c>
      <c r="D72" t="s">
        <v>3</v>
      </c>
      <c r="E72" t="s">
        <v>4</v>
      </c>
      <c r="F72" t="s">
        <v>243</v>
      </c>
      <c r="G72" s="2">
        <v>45735</v>
      </c>
      <c r="H72" t="s">
        <v>244</v>
      </c>
      <c r="I72" t="s">
        <v>22</v>
      </c>
      <c r="J72" s="2">
        <v>45735</v>
      </c>
      <c r="K72" s="2">
        <v>45736</v>
      </c>
      <c r="L72" t="s">
        <v>8</v>
      </c>
      <c r="M72" t="s">
        <v>245</v>
      </c>
      <c r="N72" t="s">
        <v>10</v>
      </c>
      <c r="O72" t="s">
        <v>11</v>
      </c>
      <c r="P72" t="s">
        <v>12</v>
      </c>
      <c r="Q72" t="s">
        <v>24</v>
      </c>
      <c r="R72" t="s">
        <v>14</v>
      </c>
      <c r="S72" s="3">
        <v>456.75</v>
      </c>
      <c r="T72" t="s">
        <v>15</v>
      </c>
      <c r="U72" s="3">
        <v>39596.230000000003</v>
      </c>
      <c r="V72" t="s">
        <v>16</v>
      </c>
      <c r="W72" t="s">
        <v>17</v>
      </c>
      <c r="X72" t="s">
        <v>12</v>
      </c>
      <c r="Y72" t="s">
        <v>8</v>
      </c>
      <c r="Z72" t="s">
        <v>18</v>
      </c>
      <c r="AA72" t="s">
        <v>246</v>
      </c>
      <c r="AB72" t="s">
        <v>12</v>
      </c>
      <c r="AC72" t="s">
        <v>12</v>
      </c>
      <c r="AD72" t="s">
        <v>12</v>
      </c>
      <c r="AE72" s="2">
        <v>45735</v>
      </c>
      <c r="AF72" s="2"/>
      <c r="AG72" t="s">
        <v>12</v>
      </c>
    </row>
    <row r="73" spans="1:33" outlineLevel="2" x14ac:dyDescent="0.25">
      <c r="A73" t="s">
        <v>129</v>
      </c>
      <c r="B73" t="s">
        <v>1</v>
      </c>
      <c r="C73" t="s">
        <v>2</v>
      </c>
      <c r="D73" t="s">
        <v>3</v>
      </c>
      <c r="E73" t="s">
        <v>4</v>
      </c>
      <c r="F73" t="s">
        <v>243</v>
      </c>
      <c r="G73" s="2">
        <v>45735</v>
      </c>
      <c r="H73" t="s">
        <v>247</v>
      </c>
      <c r="I73" t="s">
        <v>22</v>
      </c>
      <c r="J73" s="2">
        <v>45735</v>
      </c>
      <c r="K73" s="2">
        <v>45736</v>
      </c>
      <c r="L73" t="s">
        <v>8</v>
      </c>
      <c r="M73" t="s">
        <v>248</v>
      </c>
      <c r="N73" t="s">
        <v>10</v>
      </c>
      <c r="O73" t="s">
        <v>11</v>
      </c>
      <c r="P73" t="s">
        <v>12</v>
      </c>
      <c r="Q73" t="s">
        <v>24</v>
      </c>
      <c r="R73" t="s">
        <v>14</v>
      </c>
      <c r="S73" s="3">
        <v>39.06</v>
      </c>
      <c r="T73" t="s">
        <v>15</v>
      </c>
      <c r="U73" s="3">
        <v>3386.16</v>
      </c>
      <c r="V73" t="s">
        <v>16</v>
      </c>
      <c r="W73" t="s">
        <v>17</v>
      </c>
      <c r="X73" t="s">
        <v>12</v>
      </c>
      <c r="Y73" t="s">
        <v>8</v>
      </c>
      <c r="Z73" t="s">
        <v>18</v>
      </c>
      <c r="AA73" t="s">
        <v>249</v>
      </c>
      <c r="AB73" t="s">
        <v>12</v>
      </c>
      <c r="AC73" t="s">
        <v>12</v>
      </c>
      <c r="AD73" t="s">
        <v>12</v>
      </c>
      <c r="AE73" s="2">
        <v>45735</v>
      </c>
      <c r="AF73" s="2"/>
      <c r="AG73" t="s">
        <v>12</v>
      </c>
    </row>
    <row r="74" spans="1:33" outlineLevel="2" x14ac:dyDescent="0.25">
      <c r="A74" t="s">
        <v>129</v>
      </c>
      <c r="B74" t="s">
        <v>1</v>
      </c>
      <c r="C74" t="s">
        <v>2</v>
      </c>
      <c r="D74" t="s">
        <v>3</v>
      </c>
      <c r="E74" t="s">
        <v>4</v>
      </c>
      <c r="F74" t="s">
        <v>243</v>
      </c>
      <c r="G74" s="2">
        <v>45735</v>
      </c>
      <c r="H74" t="s">
        <v>250</v>
      </c>
      <c r="I74" t="s">
        <v>22</v>
      </c>
      <c r="J74" s="2">
        <v>45735</v>
      </c>
      <c r="K74" s="2">
        <v>45736</v>
      </c>
      <c r="L74" t="s">
        <v>8</v>
      </c>
      <c r="M74" t="s">
        <v>251</v>
      </c>
      <c r="N74" t="s">
        <v>10</v>
      </c>
      <c r="O74" t="s">
        <v>11</v>
      </c>
      <c r="P74" t="s">
        <v>12</v>
      </c>
      <c r="Q74" t="s">
        <v>24</v>
      </c>
      <c r="R74" t="s">
        <v>14</v>
      </c>
      <c r="S74" s="3">
        <v>39.06</v>
      </c>
      <c r="T74" t="s">
        <v>15</v>
      </c>
      <c r="U74" s="3">
        <v>3386.16</v>
      </c>
      <c r="V74" t="s">
        <v>16</v>
      </c>
      <c r="W74" t="s">
        <v>17</v>
      </c>
      <c r="X74" t="s">
        <v>12</v>
      </c>
      <c r="Y74" t="s">
        <v>8</v>
      </c>
      <c r="Z74" t="s">
        <v>18</v>
      </c>
      <c r="AA74" t="s">
        <v>252</v>
      </c>
      <c r="AB74" t="s">
        <v>12</v>
      </c>
      <c r="AC74" t="s">
        <v>12</v>
      </c>
      <c r="AD74" t="s">
        <v>12</v>
      </c>
      <c r="AE74" s="2">
        <v>45735</v>
      </c>
      <c r="AF74" s="2"/>
      <c r="AG74" t="s">
        <v>12</v>
      </c>
    </row>
    <row r="75" spans="1:33" outlineLevel="2" x14ac:dyDescent="0.25">
      <c r="A75" t="s">
        <v>129</v>
      </c>
      <c r="B75" t="s">
        <v>1</v>
      </c>
      <c r="C75" t="s">
        <v>2</v>
      </c>
      <c r="D75" t="s">
        <v>3</v>
      </c>
      <c r="E75" t="s">
        <v>4</v>
      </c>
      <c r="F75" t="s">
        <v>243</v>
      </c>
      <c r="G75" s="2">
        <v>45735</v>
      </c>
      <c r="H75" t="s">
        <v>253</v>
      </c>
      <c r="I75" t="s">
        <v>22</v>
      </c>
      <c r="J75" s="2">
        <v>45735</v>
      </c>
      <c r="K75" s="2">
        <v>45736</v>
      </c>
      <c r="L75" t="s">
        <v>8</v>
      </c>
      <c r="M75" t="s">
        <v>254</v>
      </c>
      <c r="N75" t="s">
        <v>10</v>
      </c>
      <c r="O75" t="s">
        <v>11</v>
      </c>
      <c r="P75" t="s">
        <v>12</v>
      </c>
      <c r="Q75" t="s">
        <v>24</v>
      </c>
      <c r="R75" t="s">
        <v>14</v>
      </c>
      <c r="S75" s="3">
        <v>78.12</v>
      </c>
      <c r="T75" t="s">
        <v>15</v>
      </c>
      <c r="U75" s="3">
        <v>6772.32</v>
      </c>
      <c r="V75" t="s">
        <v>16</v>
      </c>
      <c r="W75" t="s">
        <v>17</v>
      </c>
      <c r="X75" t="s">
        <v>12</v>
      </c>
      <c r="Y75" t="s">
        <v>8</v>
      </c>
      <c r="Z75" t="s">
        <v>18</v>
      </c>
      <c r="AA75" t="s">
        <v>255</v>
      </c>
      <c r="AB75" t="s">
        <v>12</v>
      </c>
      <c r="AC75" t="s">
        <v>12</v>
      </c>
      <c r="AD75" t="s">
        <v>12</v>
      </c>
      <c r="AE75" s="2">
        <v>45735</v>
      </c>
      <c r="AF75" s="2"/>
      <c r="AG75" t="s">
        <v>12</v>
      </c>
    </row>
    <row r="76" spans="1:33" outlineLevel="2" x14ac:dyDescent="0.25">
      <c r="A76" t="s">
        <v>129</v>
      </c>
      <c r="B76" t="s">
        <v>1</v>
      </c>
      <c r="C76" t="s">
        <v>2</v>
      </c>
      <c r="D76" t="s">
        <v>3</v>
      </c>
      <c r="E76" t="s">
        <v>4</v>
      </c>
      <c r="F76" t="s">
        <v>243</v>
      </c>
      <c r="G76" s="2">
        <v>45735</v>
      </c>
      <c r="H76" t="s">
        <v>256</v>
      </c>
      <c r="I76" t="s">
        <v>22</v>
      </c>
      <c r="J76" s="2">
        <v>45735</v>
      </c>
      <c r="K76" s="2">
        <v>45736</v>
      </c>
      <c r="L76" t="s">
        <v>8</v>
      </c>
      <c r="M76" t="s">
        <v>257</v>
      </c>
      <c r="N76" t="s">
        <v>10</v>
      </c>
      <c r="O76" t="s">
        <v>11</v>
      </c>
      <c r="P76" t="s">
        <v>12</v>
      </c>
      <c r="Q76" t="s">
        <v>24</v>
      </c>
      <c r="R76" t="s">
        <v>14</v>
      </c>
      <c r="S76" s="3">
        <v>39.06</v>
      </c>
      <c r="T76" t="s">
        <v>15</v>
      </c>
      <c r="U76" s="3">
        <v>3386.16</v>
      </c>
      <c r="V76" t="s">
        <v>16</v>
      </c>
      <c r="W76" t="s">
        <v>17</v>
      </c>
      <c r="X76" t="s">
        <v>12</v>
      </c>
      <c r="Y76" t="s">
        <v>8</v>
      </c>
      <c r="Z76" t="s">
        <v>18</v>
      </c>
      <c r="AA76" t="s">
        <v>258</v>
      </c>
      <c r="AB76" t="s">
        <v>12</v>
      </c>
      <c r="AC76" t="s">
        <v>12</v>
      </c>
      <c r="AD76" t="s">
        <v>12</v>
      </c>
      <c r="AE76" s="2">
        <v>45735</v>
      </c>
      <c r="AF76" s="2"/>
      <c r="AG76" t="s">
        <v>12</v>
      </c>
    </row>
    <row r="77" spans="1:33" outlineLevel="2" x14ac:dyDescent="0.25">
      <c r="A77" t="s">
        <v>129</v>
      </c>
      <c r="B77" t="s">
        <v>1</v>
      </c>
      <c r="C77" t="s">
        <v>2</v>
      </c>
      <c r="D77" t="s">
        <v>3</v>
      </c>
      <c r="E77" t="s">
        <v>4</v>
      </c>
      <c r="F77" t="s">
        <v>243</v>
      </c>
      <c r="G77" s="2">
        <v>45735</v>
      </c>
      <c r="H77" t="s">
        <v>259</v>
      </c>
      <c r="I77" t="s">
        <v>22</v>
      </c>
      <c r="J77" s="2">
        <v>45735</v>
      </c>
      <c r="K77" s="2">
        <v>45736</v>
      </c>
      <c r="L77" t="s">
        <v>8</v>
      </c>
      <c r="M77" t="s">
        <v>260</v>
      </c>
      <c r="N77" t="s">
        <v>10</v>
      </c>
      <c r="O77" t="s">
        <v>11</v>
      </c>
      <c r="P77" t="s">
        <v>12</v>
      </c>
      <c r="Q77" t="s">
        <v>24</v>
      </c>
      <c r="R77" t="s">
        <v>14</v>
      </c>
      <c r="S77" s="3">
        <v>52.08</v>
      </c>
      <c r="T77" t="s">
        <v>15</v>
      </c>
      <c r="U77" s="3">
        <v>4514.88</v>
      </c>
      <c r="V77" t="s">
        <v>16</v>
      </c>
      <c r="W77" t="s">
        <v>17</v>
      </c>
      <c r="X77" t="s">
        <v>12</v>
      </c>
      <c r="Y77" t="s">
        <v>8</v>
      </c>
      <c r="Z77" t="s">
        <v>18</v>
      </c>
      <c r="AA77" t="s">
        <v>261</v>
      </c>
      <c r="AB77" t="s">
        <v>12</v>
      </c>
      <c r="AC77" t="s">
        <v>12</v>
      </c>
      <c r="AD77" t="s">
        <v>12</v>
      </c>
      <c r="AE77" s="2">
        <v>45735</v>
      </c>
      <c r="AF77" s="2"/>
      <c r="AG77" t="s">
        <v>12</v>
      </c>
    </row>
    <row r="78" spans="1:33" outlineLevel="2" x14ac:dyDescent="0.25">
      <c r="A78" t="s">
        <v>129</v>
      </c>
      <c r="B78" t="s">
        <v>1</v>
      </c>
      <c r="C78" t="s">
        <v>2</v>
      </c>
      <c r="D78" t="s">
        <v>3</v>
      </c>
      <c r="E78" t="s">
        <v>4</v>
      </c>
      <c r="F78" t="s">
        <v>243</v>
      </c>
      <c r="G78" s="2">
        <v>45735</v>
      </c>
      <c r="H78" t="s">
        <v>262</v>
      </c>
      <c r="I78" t="s">
        <v>22</v>
      </c>
      <c r="J78" s="2">
        <v>45735</v>
      </c>
      <c r="K78" s="2">
        <v>45736</v>
      </c>
      <c r="L78" t="s">
        <v>8</v>
      </c>
      <c r="M78" t="s">
        <v>263</v>
      </c>
      <c r="N78" t="s">
        <v>10</v>
      </c>
      <c r="O78" t="s">
        <v>11</v>
      </c>
      <c r="P78" t="s">
        <v>12</v>
      </c>
      <c r="Q78" t="s">
        <v>24</v>
      </c>
      <c r="R78" t="s">
        <v>14</v>
      </c>
      <c r="S78" s="3">
        <v>4.3</v>
      </c>
      <c r="T78" t="s">
        <v>15</v>
      </c>
      <c r="U78" s="3">
        <v>372.77</v>
      </c>
      <c r="V78" t="s">
        <v>16</v>
      </c>
      <c r="W78" t="s">
        <v>17</v>
      </c>
      <c r="X78" t="s">
        <v>12</v>
      </c>
      <c r="Y78" t="s">
        <v>8</v>
      </c>
      <c r="Z78" t="s">
        <v>18</v>
      </c>
      <c r="AA78" t="s">
        <v>264</v>
      </c>
      <c r="AB78" t="s">
        <v>12</v>
      </c>
      <c r="AC78" t="s">
        <v>12</v>
      </c>
      <c r="AD78" t="s">
        <v>12</v>
      </c>
      <c r="AE78" s="2">
        <v>45735</v>
      </c>
      <c r="AF78" s="2"/>
      <c r="AG78" t="s">
        <v>12</v>
      </c>
    </row>
    <row r="79" spans="1:33" outlineLevel="2" x14ac:dyDescent="0.25">
      <c r="A79" t="s">
        <v>129</v>
      </c>
      <c r="B79" t="s">
        <v>1</v>
      </c>
      <c r="C79" t="s">
        <v>2</v>
      </c>
      <c r="D79" t="s">
        <v>3</v>
      </c>
      <c r="E79" t="s">
        <v>4</v>
      </c>
      <c r="F79" t="s">
        <v>229</v>
      </c>
      <c r="G79" s="2">
        <v>45827</v>
      </c>
      <c r="H79" t="s">
        <v>265</v>
      </c>
      <c r="I79" t="s">
        <v>22</v>
      </c>
      <c r="J79" s="2">
        <v>45827</v>
      </c>
      <c r="K79" s="2">
        <v>45829</v>
      </c>
      <c r="L79" t="s">
        <v>8</v>
      </c>
      <c r="M79" t="s">
        <v>266</v>
      </c>
      <c r="N79" t="s">
        <v>10</v>
      </c>
      <c r="O79" t="s">
        <v>11</v>
      </c>
      <c r="P79" t="s">
        <v>12</v>
      </c>
      <c r="Q79" t="s">
        <v>24</v>
      </c>
      <c r="R79" t="s">
        <v>14</v>
      </c>
      <c r="S79" s="3">
        <v>71.430000000000007</v>
      </c>
      <c r="T79" t="s">
        <v>15</v>
      </c>
      <c r="U79" s="3">
        <v>6106.61</v>
      </c>
      <c r="V79" t="s">
        <v>16</v>
      </c>
      <c r="W79" t="s">
        <v>17</v>
      </c>
      <c r="X79" t="s">
        <v>12</v>
      </c>
      <c r="Y79" t="s">
        <v>12</v>
      </c>
      <c r="Z79" t="s">
        <v>18</v>
      </c>
      <c r="AA79" t="s">
        <v>267</v>
      </c>
      <c r="AB79" t="s">
        <v>12</v>
      </c>
      <c r="AC79" t="s">
        <v>12</v>
      </c>
      <c r="AD79" t="s">
        <v>12</v>
      </c>
      <c r="AE79" s="2">
        <v>45827</v>
      </c>
      <c r="AF79" s="2"/>
      <c r="AG79" t="s">
        <v>12</v>
      </c>
    </row>
    <row r="80" spans="1:33" outlineLevel="2" x14ac:dyDescent="0.25">
      <c r="A80" t="s">
        <v>129</v>
      </c>
      <c r="B80" t="s">
        <v>1</v>
      </c>
      <c r="C80" t="s">
        <v>2</v>
      </c>
      <c r="D80" t="s">
        <v>3</v>
      </c>
      <c r="E80" t="s">
        <v>4</v>
      </c>
      <c r="F80" t="s">
        <v>229</v>
      </c>
      <c r="G80" s="2">
        <v>45827</v>
      </c>
      <c r="H80" t="s">
        <v>268</v>
      </c>
      <c r="I80" t="s">
        <v>22</v>
      </c>
      <c r="J80" s="2">
        <v>45827</v>
      </c>
      <c r="K80" s="2">
        <v>45829</v>
      </c>
      <c r="L80" t="s">
        <v>8</v>
      </c>
      <c r="M80" t="s">
        <v>269</v>
      </c>
      <c r="N80" t="s">
        <v>10</v>
      </c>
      <c r="O80" t="s">
        <v>11</v>
      </c>
      <c r="P80" t="s">
        <v>12</v>
      </c>
      <c r="Q80" t="s">
        <v>24</v>
      </c>
      <c r="R80" t="s">
        <v>14</v>
      </c>
      <c r="S80" s="3">
        <v>20.91</v>
      </c>
      <c r="T80" t="s">
        <v>15</v>
      </c>
      <c r="U80" s="3">
        <v>1787.61</v>
      </c>
      <c r="V80" t="s">
        <v>16</v>
      </c>
      <c r="W80" t="s">
        <v>17</v>
      </c>
      <c r="X80" t="s">
        <v>12</v>
      </c>
      <c r="Y80" t="s">
        <v>12</v>
      </c>
      <c r="Z80" t="s">
        <v>18</v>
      </c>
      <c r="AA80" t="s">
        <v>270</v>
      </c>
      <c r="AB80" t="s">
        <v>12</v>
      </c>
      <c r="AC80" t="s">
        <v>12</v>
      </c>
      <c r="AD80" t="s">
        <v>12</v>
      </c>
      <c r="AE80" s="2">
        <v>45827</v>
      </c>
      <c r="AF80" s="2"/>
      <c r="AG80" t="s">
        <v>12</v>
      </c>
    </row>
    <row r="81" spans="1:33" outlineLevel="2" x14ac:dyDescent="0.25">
      <c r="A81" t="s">
        <v>129</v>
      </c>
      <c r="B81" t="s">
        <v>1</v>
      </c>
      <c r="C81" t="s">
        <v>2</v>
      </c>
      <c r="D81" t="s">
        <v>3</v>
      </c>
      <c r="E81" t="s">
        <v>4</v>
      </c>
      <c r="F81" t="s">
        <v>13</v>
      </c>
      <c r="G81" s="2">
        <v>45981</v>
      </c>
      <c r="H81" t="s">
        <v>271</v>
      </c>
      <c r="I81" t="s">
        <v>22</v>
      </c>
      <c r="J81" s="2">
        <v>45981</v>
      </c>
      <c r="K81" s="2">
        <v>45982</v>
      </c>
      <c r="L81" t="s">
        <v>8</v>
      </c>
      <c r="M81" t="s">
        <v>272</v>
      </c>
      <c r="N81" t="s">
        <v>10</v>
      </c>
      <c r="O81" t="s">
        <v>11</v>
      </c>
      <c r="P81" t="s">
        <v>12</v>
      </c>
      <c r="Q81" t="s">
        <v>24</v>
      </c>
      <c r="R81" t="s">
        <v>14</v>
      </c>
      <c r="S81" s="3">
        <v>240.14</v>
      </c>
      <c r="T81" t="s">
        <v>15</v>
      </c>
      <c r="U81" s="3">
        <v>21133.13</v>
      </c>
      <c r="V81" t="s">
        <v>16</v>
      </c>
      <c r="W81" t="s">
        <v>17</v>
      </c>
      <c r="X81" t="s">
        <v>12</v>
      </c>
      <c r="Y81" t="s">
        <v>273</v>
      </c>
      <c r="Z81" t="s">
        <v>18</v>
      </c>
      <c r="AA81" t="s">
        <v>274</v>
      </c>
      <c r="AB81" t="s">
        <v>12</v>
      </c>
      <c r="AC81" t="s">
        <v>12</v>
      </c>
      <c r="AD81" t="s">
        <v>12</v>
      </c>
      <c r="AE81" s="2">
        <v>45981</v>
      </c>
      <c r="AF81" s="2"/>
      <c r="AG81" t="s">
        <v>12</v>
      </c>
    </row>
    <row r="82" spans="1:33" outlineLevel="2" x14ac:dyDescent="0.25">
      <c r="A82" t="s">
        <v>129</v>
      </c>
      <c r="B82" t="s">
        <v>1</v>
      </c>
      <c r="C82" t="s">
        <v>2</v>
      </c>
      <c r="D82" t="s">
        <v>3</v>
      </c>
      <c r="E82" t="s">
        <v>4</v>
      </c>
      <c r="F82" t="s">
        <v>13</v>
      </c>
      <c r="G82" s="2">
        <v>45981</v>
      </c>
      <c r="H82" t="s">
        <v>275</v>
      </c>
      <c r="I82" t="s">
        <v>22</v>
      </c>
      <c r="J82" s="2">
        <v>45981</v>
      </c>
      <c r="K82" s="2">
        <v>45982</v>
      </c>
      <c r="L82" t="s">
        <v>8</v>
      </c>
      <c r="M82" t="s">
        <v>276</v>
      </c>
      <c r="N82" t="s">
        <v>10</v>
      </c>
      <c r="O82" t="s">
        <v>11</v>
      </c>
      <c r="P82" t="s">
        <v>12</v>
      </c>
      <c r="Q82" t="s">
        <v>24</v>
      </c>
      <c r="R82" t="s">
        <v>14</v>
      </c>
      <c r="S82" s="3">
        <v>162.27000000000001</v>
      </c>
      <c r="T82" t="s">
        <v>15</v>
      </c>
      <c r="U82" s="3">
        <v>14280.31</v>
      </c>
      <c r="V82" t="s">
        <v>16</v>
      </c>
      <c r="W82" t="s">
        <v>17</v>
      </c>
      <c r="X82" t="s">
        <v>12</v>
      </c>
      <c r="Y82" t="s">
        <v>273</v>
      </c>
      <c r="Z82" t="s">
        <v>18</v>
      </c>
      <c r="AA82" t="s">
        <v>277</v>
      </c>
      <c r="AB82" t="s">
        <v>12</v>
      </c>
      <c r="AC82" t="s">
        <v>12</v>
      </c>
      <c r="AD82" t="s">
        <v>12</v>
      </c>
      <c r="AE82" s="2">
        <v>45981</v>
      </c>
      <c r="AF82" s="2"/>
      <c r="AG82" t="s">
        <v>12</v>
      </c>
    </row>
    <row r="83" spans="1:33" outlineLevel="2" x14ac:dyDescent="0.25">
      <c r="A83" t="s">
        <v>129</v>
      </c>
      <c r="B83" t="s">
        <v>1</v>
      </c>
      <c r="C83" t="s">
        <v>2</v>
      </c>
      <c r="D83" t="s">
        <v>3</v>
      </c>
      <c r="E83" t="s">
        <v>4</v>
      </c>
      <c r="F83" t="s">
        <v>13</v>
      </c>
      <c r="G83" s="2">
        <v>45981</v>
      </c>
      <c r="H83" t="s">
        <v>278</v>
      </c>
      <c r="I83" t="s">
        <v>22</v>
      </c>
      <c r="J83" s="2">
        <v>45981</v>
      </c>
      <c r="K83" s="2">
        <v>45985</v>
      </c>
      <c r="L83" t="s">
        <v>8</v>
      </c>
      <c r="M83" t="s">
        <v>279</v>
      </c>
      <c r="N83" t="s">
        <v>10</v>
      </c>
      <c r="O83" t="s">
        <v>11</v>
      </c>
      <c r="P83" t="s">
        <v>12</v>
      </c>
      <c r="Q83" t="s">
        <v>24</v>
      </c>
      <c r="R83" t="s">
        <v>14</v>
      </c>
      <c r="S83" s="3">
        <v>90.2</v>
      </c>
      <c r="T83" t="s">
        <v>15</v>
      </c>
      <c r="U83" s="3">
        <v>7937.91</v>
      </c>
      <c r="V83" t="s">
        <v>16</v>
      </c>
      <c r="W83" t="s">
        <v>17</v>
      </c>
      <c r="X83" t="s">
        <v>12</v>
      </c>
      <c r="Y83" t="s">
        <v>8</v>
      </c>
      <c r="Z83" t="s">
        <v>18</v>
      </c>
      <c r="AA83" t="s">
        <v>280</v>
      </c>
      <c r="AB83" t="s">
        <v>12</v>
      </c>
      <c r="AC83" t="s">
        <v>12</v>
      </c>
      <c r="AD83" t="s">
        <v>12</v>
      </c>
      <c r="AE83" s="2">
        <v>45981</v>
      </c>
      <c r="AF83" s="2"/>
      <c r="AG83" t="s">
        <v>12</v>
      </c>
    </row>
    <row r="84" spans="1:33" outlineLevel="2" x14ac:dyDescent="0.25">
      <c r="A84" t="s">
        <v>129</v>
      </c>
      <c r="B84" t="s">
        <v>1</v>
      </c>
      <c r="C84" t="s">
        <v>2</v>
      </c>
      <c r="D84" t="s">
        <v>3</v>
      </c>
      <c r="E84" t="s">
        <v>4</v>
      </c>
      <c r="F84" t="s">
        <v>13</v>
      </c>
      <c r="G84" s="2">
        <v>45981</v>
      </c>
      <c r="H84" t="s">
        <v>281</v>
      </c>
      <c r="I84" t="s">
        <v>22</v>
      </c>
      <c r="J84" s="2">
        <v>45981</v>
      </c>
      <c r="K84" s="2">
        <v>45985</v>
      </c>
      <c r="L84" t="s">
        <v>8</v>
      </c>
      <c r="M84" t="s">
        <v>282</v>
      </c>
      <c r="N84" t="s">
        <v>10</v>
      </c>
      <c r="O84" t="s">
        <v>11</v>
      </c>
      <c r="P84" t="s">
        <v>12</v>
      </c>
      <c r="Q84" t="s">
        <v>24</v>
      </c>
      <c r="R84" t="s">
        <v>14</v>
      </c>
      <c r="S84" s="3">
        <v>502.5</v>
      </c>
      <c r="T84" t="s">
        <v>15</v>
      </c>
      <c r="U84" s="3">
        <v>44221.7</v>
      </c>
      <c r="V84" t="s">
        <v>16</v>
      </c>
      <c r="W84" t="s">
        <v>17</v>
      </c>
      <c r="X84" t="s">
        <v>12</v>
      </c>
      <c r="Y84" t="s">
        <v>283</v>
      </c>
      <c r="Z84" t="s">
        <v>18</v>
      </c>
      <c r="AA84" t="s">
        <v>284</v>
      </c>
      <c r="AB84" t="s">
        <v>12</v>
      </c>
      <c r="AC84" t="s">
        <v>12</v>
      </c>
      <c r="AD84" t="s">
        <v>12</v>
      </c>
      <c r="AE84" s="2">
        <v>45981</v>
      </c>
      <c r="AF84" s="2"/>
      <c r="AG84" t="s">
        <v>12</v>
      </c>
    </row>
    <row r="85" spans="1:33" outlineLevel="2" x14ac:dyDescent="0.25">
      <c r="A85" t="s">
        <v>129</v>
      </c>
      <c r="B85" t="s">
        <v>1</v>
      </c>
      <c r="C85" t="s">
        <v>2</v>
      </c>
      <c r="D85" t="s">
        <v>3</v>
      </c>
      <c r="E85" t="s">
        <v>4</v>
      </c>
      <c r="F85" t="s">
        <v>13</v>
      </c>
      <c r="G85" s="2">
        <v>45981</v>
      </c>
      <c r="H85" t="s">
        <v>285</v>
      </c>
      <c r="I85" t="s">
        <v>22</v>
      </c>
      <c r="J85" s="2">
        <v>45981</v>
      </c>
      <c r="K85" s="2">
        <v>45985</v>
      </c>
      <c r="L85" t="s">
        <v>8</v>
      </c>
      <c r="M85" t="s">
        <v>286</v>
      </c>
      <c r="N85" t="s">
        <v>10</v>
      </c>
      <c r="O85" t="s">
        <v>11</v>
      </c>
      <c r="P85" t="s">
        <v>12</v>
      </c>
      <c r="Q85" t="s">
        <v>24</v>
      </c>
      <c r="R85" t="s">
        <v>14</v>
      </c>
      <c r="S85" s="3">
        <v>109.01</v>
      </c>
      <c r="T85" t="s">
        <v>15</v>
      </c>
      <c r="U85" s="3">
        <v>9593.25</v>
      </c>
      <c r="V85" t="s">
        <v>16</v>
      </c>
      <c r="W85" t="s">
        <v>17</v>
      </c>
      <c r="X85" t="s">
        <v>12</v>
      </c>
      <c r="Y85" t="s">
        <v>287</v>
      </c>
      <c r="Z85" t="s">
        <v>18</v>
      </c>
      <c r="AA85" t="s">
        <v>288</v>
      </c>
      <c r="AB85" t="s">
        <v>12</v>
      </c>
      <c r="AC85" t="s">
        <v>12</v>
      </c>
      <c r="AD85" t="s">
        <v>12</v>
      </c>
      <c r="AE85" s="2">
        <v>45981</v>
      </c>
      <c r="AF85" s="2"/>
      <c r="AG85" t="s">
        <v>12</v>
      </c>
    </row>
    <row r="86" spans="1:33" outlineLevel="2" x14ac:dyDescent="0.25">
      <c r="A86" t="s">
        <v>129</v>
      </c>
      <c r="B86" t="s">
        <v>1</v>
      </c>
      <c r="C86" t="s">
        <v>2</v>
      </c>
      <c r="D86" t="s">
        <v>3</v>
      </c>
      <c r="E86" t="s">
        <v>4</v>
      </c>
      <c r="F86" t="s">
        <v>13</v>
      </c>
      <c r="G86" s="2">
        <v>45981</v>
      </c>
      <c r="H86" t="s">
        <v>289</v>
      </c>
      <c r="I86" t="s">
        <v>22</v>
      </c>
      <c r="J86" s="2">
        <v>45981</v>
      </c>
      <c r="K86" s="2">
        <v>45985</v>
      </c>
      <c r="L86" t="s">
        <v>8</v>
      </c>
      <c r="M86" t="s">
        <v>290</v>
      </c>
      <c r="N86" t="s">
        <v>10</v>
      </c>
      <c r="O86" t="s">
        <v>11</v>
      </c>
      <c r="P86" t="s">
        <v>12</v>
      </c>
      <c r="Q86" t="s">
        <v>24</v>
      </c>
      <c r="R86" t="s">
        <v>14</v>
      </c>
      <c r="S86" s="3">
        <v>339.2</v>
      </c>
      <c r="T86" t="s">
        <v>15</v>
      </c>
      <c r="U86" s="3">
        <v>29850.75</v>
      </c>
      <c r="V86" t="s">
        <v>16</v>
      </c>
      <c r="W86" t="s">
        <v>17</v>
      </c>
      <c r="X86" t="s">
        <v>12</v>
      </c>
      <c r="Y86" t="s">
        <v>291</v>
      </c>
      <c r="Z86" t="s">
        <v>18</v>
      </c>
      <c r="AA86" t="s">
        <v>292</v>
      </c>
      <c r="AB86" t="s">
        <v>12</v>
      </c>
      <c r="AC86" t="s">
        <v>12</v>
      </c>
      <c r="AD86" t="s">
        <v>12</v>
      </c>
      <c r="AE86" s="2">
        <v>45981</v>
      </c>
      <c r="AF86" s="2"/>
      <c r="AG86" t="s">
        <v>12</v>
      </c>
    </row>
    <row r="87" spans="1:33" outlineLevel="2" x14ac:dyDescent="0.25">
      <c r="A87" t="s">
        <v>129</v>
      </c>
      <c r="B87" t="s">
        <v>1</v>
      </c>
      <c r="C87" t="s">
        <v>2</v>
      </c>
      <c r="D87" t="s">
        <v>3</v>
      </c>
      <c r="E87" t="s">
        <v>4</v>
      </c>
      <c r="F87" t="s">
        <v>13</v>
      </c>
      <c r="G87" s="2">
        <v>45981</v>
      </c>
      <c r="H87" t="s">
        <v>293</v>
      </c>
      <c r="I87" t="s">
        <v>22</v>
      </c>
      <c r="J87" s="2">
        <v>45981</v>
      </c>
      <c r="K87" s="2">
        <v>45985</v>
      </c>
      <c r="L87" t="s">
        <v>8</v>
      </c>
      <c r="M87" t="s">
        <v>294</v>
      </c>
      <c r="N87" t="s">
        <v>10</v>
      </c>
      <c r="O87" t="s">
        <v>11</v>
      </c>
      <c r="P87" t="s">
        <v>12</v>
      </c>
      <c r="Q87" t="s">
        <v>24</v>
      </c>
      <c r="R87" t="s">
        <v>14</v>
      </c>
      <c r="S87" s="3">
        <v>10.199999999999999</v>
      </c>
      <c r="T87" t="s">
        <v>15</v>
      </c>
      <c r="U87" s="3">
        <v>897.63</v>
      </c>
      <c r="V87" t="s">
        <v>16</v>
      </c>
      <c r="W87" t="s">
        <v>17</v>
      </c>
      <c r="X87" t="s">
        <v>12</v>
      </c>
      <c r="Y87" t="s">
        <v>295</v>
      </c>
      <c r="Z87" t="s">
        <v>18</v>
      </c>
      <c r="AA87" t="s">
        <v>296</v>
      </c>
      <c r="AB87" t="s">
        <v>12</v>
      </c>
      <c r="AC87" t="s">
        <v>12</v>
      </c>
      <c r="AD87" t="s">
        <v>12</v>
      </c>
      <c r="AE87" s="2">
        <v>45981</v>
      </c>
      <c r="AF87" s="2"/>
      <c r="AG87" t="s">
        <v>12</v>
      </c>
    </row>
    <row r="88" spans="1:33" outlineLevel="2" x14ac:dyDescent="0.25">
      <c r="A88" t="s">
        <v>129</v>
      </c>
      <c r="B88" t="s">
        <v>1</v>
      </c>
      <c r="C88" t="s">
        <v>2</v>
      </c>
      <c r="D88" t="s">
        <v>3</v>
      </c>
      <c r="E88" t="s">
        <v>4</v>
      </c>
      <c r="F88" t="s">
        <v>140</v>
      </c>
      <c r="G88" s="2">
        <v>45769</v>
      </c>
      <c r="H88" t="s">
        <v>297</v>
      </c>
      <c r="I88" t="s">
        <v>22</v>
      </c>
      <c r="J88" s="2">
        <v>45769</v>
      </c>
      <c r="K88" s="2">
        <v>45770</v>
      </c>
      <c r="L88" t="s">
        <v>8</v>
      </c>
      <c r="M88" t="s">
        <v>298</v>
      </c>
      <c r="N88" t="s">
        <v>10</v>
      </c>
      <c r="O88" t="s">
        <v>11</v>
      </c>
      <c r="P88" t="s">
        <v>12</v>
      </c>
      <c r="Q88" t="s">
        <v>24</v>
      </c>
      <c r="R88" t="s">
        <v>14</v>
      </c>
      <c r="S88" s="3">
        <v>126.9</v>
      </c>
      <c r="T88" t="s">
        <v>15</v>
      </c>
      <c r="U88" s="3">
        <v>11030.38</v>
      </c>
      <c r="V88" t="s">
        <v>16</v>
      </c>
      <c r="W88" t="s">
        <v>17</v>
      </c>
      <c r="X88" t="s">
        <v>12</v>
      </c>
      <c r="Y88" t="s">
        <v>8</v>
      </c>
      <c r="Z88" t="s">
        <v>18</v>
      </c>
      <c r="AA88" t="s">
        <v>299</v>
      </c>
      <c r="AB88" t="s">
        <v>12</v>
      </c>
      <c r="AC88" t="s">
        <v>12</v>
      </c>
      <c r="AD88" t="s">
        <v>12</v>
      </c>
      <c r="AE88" s="2">
        <v>45769</v>
      </c>
      <c r="AF88" s="2"/>
      <c r="AG88" t="s">
        <v>12</v>
      </c>
    </row>
    <row r="89" spans="1:33" outlineLevel="2" x14ac:dyDescent="0.25">
      <c r="A89" t="s">
        <v>129</v>
      </c>
      <c r="B89" t="s">
        <v>1</v>
      </c>
      <c r="C89" t="s">
        <v>2</v>
      </c>
      <c r="D89" t="s">
        <v>3</v>
      </c>
      <c r="E89" t="s">
        <v>4</v>
      </c>
      <c r="F89" t="s">
        <v>140</v>
      </c>
      <c r="G89" s="2">
        <v>45769</v>
      </c>
      <c r="H89" t="s">
        <v>300</v>
      </c>
      <c r="I89" t="s">
        <v>22</v>
      </c>
      <c r="J89" s="2">
        <v>45769</v>
      </c>
      <c r="K89" s="2">
        <v>45770</v>
      </c>
      <c r="L89" t="s">
        <v>8</v>
      </c>
      <c r="M89" t="s">
        <v>301</v>
      </c>
      <c r="N89" t="s">
        <v>10</v>
      </c>
      <c r="O89" t="s">
        <v>11</v>
      </c>
      <c r="P89" t="s">
        <v>12</v>
      </c>
      <c r="Q89" t="s">
        <v>24</v>
      </c>
      <c r="R89" t="s">
        <v>14</v>
      </c>
      <c r="S89" s="3">
        <v>169.2</v>
      </c>
      <c r="T89" t="s">
        <v>15</v>
      </c>
      <c r="U89" s="3">
        <v>14707.17</v>
      </c>
      <c r="V89" t="s">
        <v>16</v>
      </c>
      <c r="W89" t="s">
        <v>17</v>
      </c>
      <c r="X89" t="s">
        <v>12</v>
      </c>
      <c r="Y89" t="s">
        <v>8</v>
      </c>
      <c r="Z89" t="s">
        <v>18</v>
      </c>
      <c r="AA89" t="s">
        <v>299</v>
      </c>
      <c r="AB89" t="s">
        <v>12</v>
      </c>
      <c r="AC89" t="s">
        <v>12</v>
      </c>
      <c r="AD89" t="s">
        <v>12</v>
      </c>
      <c r="AE89" s="2">
        <v>45769</v>
      </c>
      <c r="AF89" s="2"/>
      <c r="AG89" t="s">
        <v>12</v>
      </c>
    </row>
    <row r="90" spans="1:33" outlineLevel="2" x14ac:dyDescent="0.25">
      <c r="A90" t="s">
        <v>129</v>
      </c>
      <c r="B90" t="s">
        <v>1</v>
      </c>
      <c r="C90" t="s">
        <v>2</v>
      </c>
      <c r="D90" t="s">
        <v>3</v>
      </c>
      <c r="E90" t="s">
        <v>4</v>
      </c>
      <c r="F90" t="s">
        <v>140</v>
      </c>
      <c r="G90" s="2">
        <v>45769</v>
      </c>
      <c r="H90" t="s">
        <v>302</v>
      </c>
      <c r="I90" t="s">
        <v>22</v>
      </c>
      <c r="J90" s="2">
        <v>45769</v>
      </c>
      <c r="K90" s="2">
        <v>45770</v>
      </c>
      <c r="L90" t="s">
        <v>8</v>
      </c>
      <c r="M90" t="s">
        <v>303</v>
      </c>
      <c r="N90" t="s">
        <v>10</v>
      </c>
      <c r="O90" t="s">
        <v>11</v>
      </c>
      <c r="P90" t="s">
        <v>12</v>
      </c>
      <c r="Q90" t="s">
        <v>24</v>
      </c>
      <c r="R90" t="s">
        <v>14</v>
      </c>
      <c r="S90" s="3">
        <v>47</v>
      </c>
      <c r="T90" t="s">
        <v>15</v>
      </c>
      <c r="U90" s="3">
        <v>4085.33</v>
      </c>
      <c r="V90" t="s">
        <v>16</v>
      </c>
      <c r="W90" t="s">
        <v>17</v>
      </c>
      <c r="X90" t="s">
        <v>12</v>
      </c>
      <c r="Y90" t="s">
        <v>8</v>
      </c>
      <c r="Z90" t="s">
        <v>18</v>
      </c>
      <c r="AA90" t="s">
        <v>304</v>
      </c>
      <c r="AB90" t="s">
        <v>12</v>
      </c>
      <c r="AC90" t="s">
        <v>12</v>
      </c>
      <c r="AD90" t="s">
        <v>12</v>
      </c>
      <c r="AE90" s="2">
        <v>45769</v>
      </c>
      <c r="AF90" s="2"/>
      <c r="AG90" t="s">
        <v>12</v>
      </c>
    </row>
    <row r="91" spans="1:33" outlineLevel="2" x14ac:dyDescent="0.25">
      <c r="A91" t="s">
        <v>129</v>
      </c>
      <c r="B91" t="s">
        <v>1</v>
      </c>
      <c r="C91" t="s">
        <v>2</v>
      </c>
      <c r="D91" t="s">
        <v>3</v>
      </c>
      <c r="E91" t="s">
        <v>4</v>
      </c>
      <c r="F91" t="s">
        <v>140</v>
      </c>
      <c r="G91" s="2">
        <v>45769</v>
      </c>
      <c r="H91" t="s">
        <v>305</v>
      </c>
      <c r="I91" t="s">
        <v>22</v>
      </c>
      <c r="J91" s="2">
        <v>45769</v>
      </c>
      <c r="K91" s="2">
        <v>45770</v>
      </c>
      <c r="L91" t="s">
        <v>8</v>
      </c>
      <c r="M91" t="s">
        <v>306</v>
      </c>
      <c r="N91" t="s">
        <v>10</v>
      </c>
      <c r="O91" t="s">
        <v>11</v>
      </c>
      <c r="P91" t="s">
        <v>12</v>
      </c>
      <c r="Q91" t="s">
        <v>24</v>
      </c>
      <c r="R91" t="s">
        <v>14</v>
      </c>
      <c r="S91" s="3">
        <v>25</v>
      </c>
      <c r="T91" t="s">
        <v>15</v>
      </c>
      <c r="U91" s="3">
        <v>2173.0500000000002</v>
      </c>
      <c r="V91" t="s">
        <v>16</v>
      </c>
      <c r="W91" t="s">
        <v>17</v>
      </c>
      <c r="X91" t="s">
        <v>12</v>
      </c>
      <c r="Y91" t="s">
        <v>8</v>
      </c>
      <c r="Z91" t="s">
        <v>18</v>
      </c>
      <c r="AA91" t="s">
        <v>307</v>
      </c>
      <c r="AB91" t="s">
        <v>12</v>
      </c>
      <c r="AC91" t="s">
        <v>12</v>
      </c>
      <c r="AD91" t="s">
        <v>12</v>
      </c>
      <c r="AE91" s="2">
        <v>45769</v>
      </c>
      <c r="AF91" s="2"/>
      <c r="AG91" t="s">
        <v>12</v>
      </c>
    </row>
    <row r="92" spans="1:33" outlineLevel="2" x14ac:dyDescent="0.25">
      <c r="A92" t="s">
        <v>129</v>
      </c>
      <c r="B92" t="s">
        <v>1</v>
      </c>
      <c r="C92" t="s">
        <v>2</v>
      </c>
      <c r="D92" t="s">
        <v>3</v>
      </c>
      <c r="E92" t="s">
        <v>4</v>
      </c>
      <c r="F92" t="s">
        <v>140</v>
      </c>
      <c r="G92" s="2">
        <v>45769</v>
      </c>
      <c r="H92" t="s">
        <v>308</v>
      </c>
      <c r="I92" t="s">
        <v>22</v>
      </c>
      <c r="J92" s="2">
        <v>45769</v>
      </c>
      <c r="K92" s="2">
        <v>45770</v>
      </c>
      <c r="L92" t="s">
        <v>8</v>
      </c>
      <c r="M92" t="s">
        <v>309</v>
      </c>
      <c r="N92" t="s">
        <v>10</v>
      </c>
      <c r="O92" t="s">
        <v>11</v>
      </c>
      <c r="P92" t="s">
        <v>12</v>
      </c>
      <c r="Q92" t="s">
        <v>24</v>
      </c>
      <c r="R92" t="s">
        <v>14</v>
      </c>
      <c r="S92" s="3">
        <v>17.350000000000001</v>
      </c>
      <c r="T92" t="s">
        <v>15</v>
      </c>
      <c r="U92" s="3">
        <v>1508.09</v>
      </c>
      <c r="V92" t="s">
        <v>16</v>
      </c>
      <c r="W92" t="s">
        <v>17</v>
      </c>
      <c r="X92" t="s">
        <v>12</v>
      </c>
      <c r="Y92" t="s">
        <v>8</v>
      </c>
      <c r="Z92" t="s">
        <v>18</v>
      </c>
      <c r="AA92" t="s">
        <v>310</v>
      </c>
      <c r="AB92" t="s">
        <v>12</v>
      </c>
      <c r="AC92" t="s">
        <v>12</v>
      </c>
      <c r="AD92" t="s">
        <v>12</v>
      </c>
      <c r="AE92" s="2">
        <v>45769</v>
      </c>
      <c r="AF92" s="2"/>
      <c r="AG92" t="s">
        <v>12</v>
      </c>
    </row>
    <row r="93" spans="1:33" outlineLevel="2" x14ac:dyDescent="0.25">
      <c r="A93" t="s">
        <v>129</v>
      </c>
      <c r="B93" t="s">
        <v>1</v>
      </c>
      <c r="C93" t="s">
        <v>2</v>
      </c>
      <c r="D93" t="s">
        <v>3</v>
      </c>
      <c r="E93" t="s">
        <v>4</v>
      </c>
      <c r="F93" t="s">
        <v>140</v>
      </c>
      <c r="G93" s="2">
        <v>45769</v>
      </c>
      <c r="H93" t="s">
        <v>311</v>
      </c>
      <c r="I93" t="s">
        <v>22</v>
      </c>
      <c r="J93" s="2">
        <v>45769</v>
      </c>
      <c r="K93" s="2">
        <v>45770</v>
      </c>
      <c r="L93" t="s">
        <v>8</v>
      </c>
      <c r="M93" t="s">
        <v>312</v>
      </c>
      <c r="N93" t="s">
        <v>10</v>
      </c>
      <c r="O93" t="s">
        <v>11</v>
      </c>
      <c r="P93" t="s">
        <v>12</v>
      </c>
      <c r="Q93" t="s">
        <v>24</v>
      </c>
      <c r="R93" t="s">
        <v>14</v>
      </c>
      <c r="S93" s="3">
        <v>517.64</v>
      </c>
      <c r="T93" t="s">
        <v>15</v>
      </c>
      <c r="U93" s="3">
        <v>44994.21</v>
      </c>
      <c r="V93" t="s">
        <v>16</v>
      </c>
      <c r="W93" t="s">
        <v>17</v>
      </c>
      <c r="X93" t="s">
        <v>12</v>
      </c>
      <c r="Y93" t="s">
        <v>8</v>
      </c>
      <c r="Z93" t="s">
        <v>18</v>
      </c>
      <c r="AA93" t="s">
        <v>307</v>
      </c>
      <c r="AB93" t="s">
        <v>12</v>
      </c>
      <c r="AC93" t="s">
        <v>12</v>
      </c>
      <c r="AD93" t="s">
        <v>12</v>
      </c>
      <c r="AE93" s="2">
        <v>45769</v>
      </c>
      <c r="AF93" s="2"/>
      <c r="AG93" t="s">
        <v>12</v>
      </c>
    </row>
    <row r="94" spans="1:33" outlineLevel="2" x14ac:dyDescent="0.25">
      <c r="A94" t="s">
        <v>129</v>
      </c>
      <c r="B94" t="s">
        <v>1</v>
      </c>
      <c r="C94" t="s">
        <v>2</v>
      </c>
      <c r="D94" t="s">
        <v>3</v>
      </c>
      <c r="E94" t="s">
        <v>4</v>
      </c>
      <c r="F94" t="s">
        <v>313</v>
      </c>
      <c r="G94" s="2">
        <v>45918</v>
      </c>
      <c r="H94" t="s">
        <v>314</v>
      </c>
      <c r="I94" t="s">
        <v>22</v>
      </c>
      <c r="J94" s="2">
        <v>45918</v>
      </c>
      <c r="K94" s="2">
        <v>45922</v>
      </c>
      <c r="L94" t="s">
        <v>8</v>
      </c>
      <c r="M94" t="s">
        <v>315</v>
      </c>
      <c r="N94" t="s">
        <v>10</v>
      </c>
      <c r="O94" t="s">
        <v>11</v>
      </c>
      <c r="P94" t="s">
        <v>12</v>
      </c>
      <c r="Q94" t="s">
        <v>24</v>
      </c>
      <c r="R94" t="s">
        <v>14</v>
      </c>
      <c r="S94" s="3">
        <v>371.84</v>
      </c>
      <c r="T94" t="s">
        <v>15</v>
      </c>
      <c r="U94" s="3">
        <v>32541.33</v>
      </c>
      <c r="V94" t="s">
        <v>16</v>
      </c>
      <c r="W94" t="s">
        <v>17</v>
      </c>
      <c r="X94" t="s">
        <v>12</v>
      </c>
      <c r="Y94" t="s">
        <v>316</v>
      </c>
      <c r="Z94" t="s">
        <v>18</v>
      </c>
      <c r="AA94" t="s">
        <v>317</v>
      </c>
      <c r="AB94" t="s">
        <v>12</v>
      </c>
      <c r="AC94" t="s">
        <v>12</v>
      </c>
      <c r="AD94" t="s">
        <v>12</v>
      </c>
      <c r="AE94" s="2">
        <v>45918</v>
      </c>
      <c r="AF94" s="2"/>
      <c r="AG94" t="s">
        <v>12</v>
      </c>
    </row>
    <row r="95" spans="1:33" outlineLevel="2" x14ac:dyDescent="0.25">
      <c r="A95" t="s">
        <v>129</v>
      </c>
      <c r="B95" t="s">
        <v>1</v>
      </c>
      <c r="C95" t="s">
        <v>2</v>
      </c>
      <c r="D95" t="s">
        <v>3</v>
      </c>
      <c r="E95" t="s">
        <v>4</v>
      </c>
      <c r="F95" t="s">
        <v>313</v>
      </c>
      <c r="G95" s="2">
        <v>45918</v>
      </c>
      <c r="H95" t="s">
        <v>318</v>
      </c>
      <c r="I95" t="s">
        <v>22</v>
      </c>
      <c r="J95" s="2">
        <v>45918</v>
      </c>
      <c r="K95" s="2">
        <v>45922</v>
      </c>
      <c r="L95" t="s">
        <v>8</v>
      </c>
      <c r="M95" t="s">
        <v>319</v>
      </c>
      <c r="N95" t="s">
        <v>10</v>
      </c>
      <c r="O95" t="s">
        <v>11</v>
      </c>
      <c r="P95" t="s">
        <v>12</v>
      </c>
      <c r="Q95" t="s">
        <v>24</v>
      </c>
      <c r="R95" t="s">
        <v>14</v>
      </c>
      <c r="S95" s="3">
        <v>533.91999999999996</v>
      </c>
      <c r="T95" t="s">
        <v>15</v>
      </c>
      <c r="U95" s="3">
        <v>46725.65</v>
      </c>
      <c r="V95" t="s">
        <v>16</v>
      </c>
      <c r="W95" t="s">
        <v>17</v>
      </c>
      <c r="X95" t="s">
        <v>12</v>
      </c>
      <c r="Y95" t="s">
        <v>320</v>
      </c>
      <c r="Z95" t="s">
        <v>18</v>
      </c>
      <c r="AA95" t="s">
        <v>321</v>
      </c>
      <c r="AB95" t="s">
        <v>12</v>
      </c>
      <c r="AC95" t="s">
        <v>12</v>
      </c>
      <c r="AD95" t="s">
        <v>12</v>
      </c>
      <c r="AE95" s="2">
        <v>45918</v>
      </c>
      <c r="AF95" s="2"/>
      <c r="AG95" t="s">
        <v>12</v>
      </c>
    </row>
    <row r="96" spans="1:33" outlineLevel="2" x14ac:dyDescent="0.25">
      <c r="A96" t="s">
        <v>129</v>
      </c>
      <c r="B96" t="s">
        <v>1</v>
      </c>
      <c r="C96" t="s">
        <v>2</v>
      </c>
      <c r="D96" t="s">
        <v>3</v>
      </c>
      <c r="E96" t="s">
        <v>4</v>
      </c>
      <c r="F96" t="s">
        <v>313</v>
      </c>
      <c r="G96" s="2">
        <v>45918</v>
      </c>
      <c r="H96" t="s">
        <v>322</v>
      </c>
      <c r="I96" t="s">
        <v>22</v>
      </c>
      <c r="J96" s="2">
        <v>45918</v>
      </c>
      <c r="K96" s="2">
        <v>45922</v>
      </c>
      <c r="L96" t="s">
        <v>8</v>
      </c>
      <c r="M96" t="s">
        <v>323</v>
      </c>
      <c r="N96" t="s">
        <v>10</v>
      </c>
      <c r="O96" t="s">
        <v>11</v>
      </c>
      <c r="P96" t="s">
        <v>12</v>
      </c>
      <c r="Q96" t="s">
        <v>24</v>
      </c>
      <c r="R96" t="s">
        <v>14</v>
      </c>
      <c r="S96" s="3">
        <v>311.37</v>
      </c>
      <c r="T96" t="s">
        <v>15</v>
      </c>
      <c r="U96" s="3">
        <v>27249.34</v>
      </c>
      <c r="V96" t="s">
        <v>16</v>
      </c>
      <c r="W96" t="s">
        <v>17</v>
      </c>
      <c r="X96" t="s">
        <v>12</v>
      </c>
      <c r="Y96" t="s">
        <v>324</v>
      </c>
      <c r="Z96" t="s">
        <v>18</v>
      </c>
      <c r="AA96" t="s">
        <v>325</v>
      </c>
      <c r="AB96" t="s">
        <v>12</v>
      </c>
      <c r="AC96" t="s">
        <v>12</v>
      </c>
      <c r="AD96" t="s">
        <v>12</v>
      </c>
      <c r="AE96" s="2">
        <v>45918</v>
      </c>
      <c r="AF96" s="2"/>
      <c r="AG96" t="s">
        <v>12</v>
      </c>
    </row>
    <row r="97" spans="1:33" outlineLevel="2" x14ac:dyDescent="0.25">
      <c r="A97" t="s">
        <v>129</v>
      </c>
      <c r="B97" t="s">
        <v>1</v>
      </c>
      <c r="C97" t="s">
        <v>2</v>
      </c>
      <c r="D97" t="s">
        <v>3</v>
      </c>
      <c r="E97" t="s">
        <v>4</v>
      </c>
      <c r="F97" t="s">
        <v>313</v>
      </c>
      <c r="G97" s="2">
        <v>45918</v>
      </c>
      <c r="H97" t="s">
        <v>326</v>
      </c>
      <c r="I97" t="s">
        <v>22</v>
      </c>
      <c r="J97" s="2">
        <v>45918</v>
      </c>
      <c r="K97" s="2">
        <v>45922</v>
      </c>
      <c r="L97" t="s">
        <v>8</v>
      </c>
      <c r="M97" t="s">
        <v>327</v>
      </c>
      <c r="N97" t="s">
        <v>10</v>
      </c>
      <c r="O97" t="s">
        <v>11</v>
      </c>
      <c r="P97" t="s">
        <v>12</v>
      </c>
      <c r="Q97" t="s">
        <v>24</v>
      </c>
      <c r="R97" t="s">
        <v>14</v>
      </c>
      <c r="S97" s="3">
        <v>75.5</v>
      </c>
      <c r="T97" t="s">
        <v>15</v>
      </c>
      <c r="U97" s="3">
        <v>6607.33</v>
      </c>
      <c r="V97" t="s">
        <v>16</v>
      </c>
      <c r="W97" t="s">
        <v>17</v>
      </c>
      <c r="X97" t="s">
        <v>12</v>
      </c>
      <c r="Y97" t="s">
        <v>328</v>
      </c>
      <c r="Z97" t="s">
        <v>18</v>
      </c>
      <c r="AA97" t="s">
        <v>329</v>
      </c>
      <c r="AB97" t="s">
        <v>12</v>
      </c>
      <c r="AC97" t="s">
        <v>12</v>
      </c>
      <c r="AD97" t="s">
        <v>12</v>
      </c>
      <c r="AE97" s="2">
        <v>45918</v>
      </c>
      <c r="AF97" s="2"/>
      <c r="AG97" t="s">
        <v>12</v>
      </c>
    </row>
    <row r="98" spans="1:33" outlineLevel="2" x14ac:dyDescent="0.25">
      <c r="A98" t="s">
        <v>129</v>
      </c>
      <c r="B98" t="s">
        <v>1</v>
      </c>
      <c r="C98" t="s">
        <v>2</v>
      </c>
      <c r="D98" t="s">
        <v>3</v>
      </c>
      <c r="E98" t="s">
        <v>4</v>
      </c>
      <c r="F98" t="s">
        <v>313</v>
      </c>
      <c r="G98" s="2">
        <v>45918</v>
      </c>
      <c r="H98" t="s">
        <v>330</v>
      </c>
      <c r="I98" t="s">
        <v>22</v>
      </c>
      <c r="J98" s="2">
        <v>45918</v>
      </c>
      <c r="K98" s="2">
        <v>45922</v>
      </c>
      <c r="L98" t="s">
        <v>8</v>
      </c>
      <c r="M98" t="s">
        <v>331</v>
      </c>
      <c r="N98" t="s">
        <v>10</v>
      </c>
      <c r="O98" t="s">
        <v>11</v>
      </c>
      <c r="P98" t="s">
        <v>12</v>
      </c>
      <c r="Q98" t="s">
        <v>24</v>
      </c>
      <c r="R98" t="s">
        <v>14</v>
      </c>
      <c r="S98" s="3">
        <v>80.8</v>
      </c>
      <c r="T98" t="s">
        <v>15</v>
      </c>
      <c r="U98" s="3">
        <v>7071.16</v>
      </c>
      <c r="V98" t="s">
        <v>16</v>
      </c>
      <c r="W98" t="s">
        <v>17</v>
      </c>
      <c r="X98" t="s">
        <v>12</v>
      </c>
      <c r="Y98" t="s">
        <v>332</v>
      </c>
      <c r="Z98" t="s">
        <v>18</v>
      </c>
      <c r="AA98" t="s">
        <v>333</v>
      </c>
      <c r="AB98" t="s">
        <v>12</v>
      </c>
      <c r="AC98" t="s">
        <v>12</v>
      </c>
      <c r="AD98" t="s">
        <v>12</v>
      </c>
      <c r="AE98" s="2">
        <v>45918</v>
      </c>
      <c r="AF98" s="2"/>
      <c r="AG98" t="s">
        <v>12</v>
      </c>
    </row>
    <row r="99" spans="1:33" outlineLevel="2" x14ac:dyDescent="0.25">
      <c r="A99" t="s">
        <v>129</v>
      </c>
      <c r="B99" t="s">
        <v>1</v>
      </c>
      <c r="C99" t="s">
        <v>2</v>
      </c>
      <c r="D99" t="s">
        <v>3</v>
      </c>
      <c r="E99" t="s">
        <v>4</v>
      </c>
      <c r="F99" t="s">
        <v>334</v>
      </c>
      <c r="G99" s="2">
        <v>45996</v>
      </c>
      <c r="H99" t="s">
        <v>335</v>
      </c>
      <c r="I99" t="s">
        <v>22</v>
      </c>
      <c r="J99" s="2">
        <v>45996</v>
      </c>
      <c r="K99" s="2">
        <v>46000</v>
      </c>
      <c r="L99" t="s">
        <v>8</v>
      </c>
      <c r="M99" t="s">
        <v>336</v>
      </c>
      <c r="N99" t="s">
        <v>10</v>
      </c>
      <c r="O99" t="s">
        <v>11</v>
      </c>
      <c r="P99" t="s">
        <v>12</v>
      </c>
      <c r="Q99" t="s">
        <v>24</v>
      </c>
      <c r="R99" t="s">
        <v>14</v>
      </c>
      <c r="S99" s="3">
        <v>356.26</v>
      </c>
      <c r="T99" t="s">
        <v>15</v>
      </c>
      <c r="U99" s="3">
        <v>31600.31</v>
      </c>
      <c r="V99" t="s">
        <v>16</v>
      </c>
      <c r="W99" t="s">
        <v>17</v>
      </c>
      <c r="X99" t="s">
        <v>12</v>
      </c>
      <c r="Y99" t="s">
        <v>337</v>
      </c>
      <c r="Z99" t="s">
        <v>18</v>
      </c>
      <c r="AA99" t="s">
        <v>338</v>
      </c>
      <c r="AB99" t="s">
        <v>12</v>
      </c>
      <c r="AC99" t="s">
        <v>12</v>
      </c>
      <c r="AD99" t="s">
        <v>12</v>
      </c>
      <c r="AE99" s="2">
        <v>45996</v>
      </c>
      <c r="AF99" s="2"/>
      <c r="AG99" t="s">
        <v>12</v>
      </c>
    </row>
    <row r="100" spans="1:33" outlineLevel="2" x14ac:dyDescent="0.25">
      <c r="A100" t="s">
        <v>129</v>
      </c>
      <c r="B100" t="s">
        <v>1</v>
      </c>
      <c r="C100" t="s">
        <v>2</v>
      </c>
      <c r="D100" t="s">
        <v>3</v>
      </c>
      <c r="E100" t="s">
        <v>4</v>
      </c>
      <c r="F100" t="s">
        <v>334</v>
      </c>
      <c r="G100" s="2">
        <v>45996</v>
      </c>
      <c r="H100" t="s">
        <v>339</v>
      </c>
      <c r="I100" t="s">
        <v>22</v>
      </c>
      <c r="J100" s="2">
        <v>45996</v>
      </c>
      <c r="K100" s="2">
        <v>46000</v>
      </c>
      <c r="L100" t="s">
        <v>8</v>
      </c>
      <c r="M100" t="s">
        <v>340</v>
      </c>
      <c r="N100" t="s">
        <v>10</v>
      </c>
      <c r="O100" t="s">
        <v>11</v>
      </c>
      <c r="P100" t="s">
        <v>12</v>
      </c>
      <c r="Q100" t="s">
        <v>24</v>
      </c>
      <c r="R100" t="s">
        <v>14</v>
      </c>
      <c r="S100" s="3">
        <v>128.31</v>
      </c>
      <c r="T100" t="s">
        <v>15</v>
      </c>
      <c r="U100" s="3">
        <v>11381.11</v>
      </c>
      <c r="V100" t="s">
        <v>16</v>
      </c>
      <c r="W100" t="s">
        <v>17</v>
      </c>
      <c r="X100" t="s">
        <v>12</v>
      </c>
      <c r="Y100" t="s">
        <v>341</v>
      </c>
      <c r="Z100" t="s">
        <v>18</v>
      </c>
      <c r="AA100" t="s">
        <v>342</v>
      </c>
      <c r="AB100" t="s">
        <v>12</v>
      </c>
      <c r="AC100" t="s">
        <v>12</v>
      </c>
      <c r="AD100" t="s">
        <v>12</v>
      </c>
      <c r="AE100" s="2">
        <v>45996</v>
      </c>
      <c r="AF100" s="2"/>
      <c r="AG100" t="s">
        <v>12</v>
      </c>
    </row>
    <row r="101" spans="1:33" outlineLevel="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130</v>
      </c>
      <c r="G101" s="2">
        <v>45799</v>
      </c>
      <c r="H101" t="s">
        <v>343</v>
      </c>
      <c r="I101" t="s">
        <v>7</v>
      </c>
      <c r="J101" s="2">
        <v>45799</v>
      </c>
      <c r="K101" s="2">
        <v>45800</v>
      </c>
      <c r="L101" t="s">
        <v>8</v>
      </c>
      <c r="M101" t="s">
        <v>344</v>
      </c>
      <c r="N101" t="s">
        <v>10</v>
      </c>
      <c r="O101" t="s">
        <v>11</v>
      </c>
      <c r="P101" t="s">
        <v>12</v>
      </c>
      <c r="Q101" t="s">
        <v>13</v>
      </c>
      <c r="R101" t="s">
        <v>14</v>
      </c>
      <c r="S101" s="3">
        <v>-500.63</v>
      </c>
      <c r="T101" t="s">
        <v>15</v>
      </c>
      <c r="U101" s="3">
        <v>-43400.25</v>
      </c>
      <c r="V101" t="s">
        <v>16</v>
      </c>
      <c r="W101" t="s">
        <v>17</v>
      </c>
      <c r="X101" t="s">
        <v>12</v>
      </c>
      <c r="Y101" t="s">
        <v>8</v>
      </c>
      <c r="Z101" t="s">
        <v>18</v>
      </c>
      <c r="AA101" t="s">
        <v>345</v>
      </c>
      <c r="AB101" t="s">
        <v>12</v>
      </c>
      <c r="AC101" t="s">
        <v>12</v>
      </c>
      <c r="AD101" t="s">
        <v>12</v>
      </c>
      <c r="AE101" s="2">
        <v>45799</v>
      </c>
      <c r="AF101" s="2">
        <v>45842</v>
      </c>
      <c r="AG101" t="s">
        <v>346</v>
      </c>
    </row>
    <row r="102" spans="1:33" outlineLevel="2" x14ac:dyDescent="0.25">
      <c r="A102" t="s">
        <v>129</v>
      </c>
      <c r="B102" t="s">
        <v>1</v>
      </c>
      <c r="C102" t="s">
        <v>2</v>
      </c>
      <c r="D102" t="s">
        <v>3</v>
      </c>
      <c r="E102" t="s">
        <v>4</v>
      </c>
      <c r="F102" t="s">
        <v>140</v>
      </c>
      <c r="G102" s="2">
        <v>45770</v>
      </c>
      <c r="H102" t="s">
        <v>347</v>
      </c>
      <c r="I102" t="s">
        <v>22</v>
      </c>
      <c r="J102" s="2">
        <v>45770</v>
      </c>
      <c r="K102" s="2">
        <v>45776</v>
      </c>
      <c r="L102" t="s">
        <v>8</v>
      </c>
      <c r="M102" t="s">
        <v>348</v>
      </c>
      <c r="N102" t="s">
        <v>10</v>
      </c>
      <c r="O102" t="s">
        <v>11</v>
      </c>
      <c r="P102" t="s">
        <v>12</v>
      </c>
      <c r="Q102" t="s">
        <v>24</v>
      </c>
      <c r="R102" t="s">
        <v>14</v>
      </c>
      <c r="S102" s="3">
        <v>22.5</v>
      </c>
      <c r="T102" t="s">
        <v>15</v>
      </c>
      <c r="U102" s="3">
        <v>1955.74</v>
      </c>
      <c r="V102" t="s">
        <v>16</v>
      </c>
      <c r="W102" t="s">
        <v>17</v>
      </c>
      <c r="X102" t="s">
        <v>12</v>
      </c>
      <c r="Y102" t="s">
        <v>8</v>
      </c>
      <c r="Z102" t="s">
        <v>18</v>
      </c>
      <c r="AA102" t="s">
        <v>349</v>
      </c>
      <c r="AB102" t="s">
        <v>12</v>
      </c>
      <c r="AC102" t="s">
        <v>12</v>
      </c>
      <c r="AD102" t="s">
        <v>12</v>
      </c>
      <c r="AE102" s="2">
        <v>45770</v>
      </c>
      <c r="AF102" s="2"/>
      <c r="AG102" t="s">
        <v>12</v>
      </c>
    </row>
    <row r="103" spans="1:33" outlineLevel="2" x14ac:dyDescent="0.25">
      <c r="A103" t="s">
        <v>129</v>
      </c>
      <c r="B103" t="s">
        <v>1</v>
      </c>
      <c r="C103" t="s">
        <v>2</v>
      </c>
      <c r="D103" t="s">
        <v>3</v>
      </c>
      <c r="E103" t="s">
        <v>4</v>
      </c>
      <c r="F103" t="s">
        <v>140</v>
      </c>
      <c r="G103" s="2">
        <v>45770</v>
      </c>
      <c r="H103" t="s">
        <v>350</v>
      </c>
      <c r="I103" t="s">
        <v>22</v>
      </c>
      <c r="J103" s="2">
        <v>45770</v>
      </c>
      <c r="K103" s="2">
        <v>45776</v>
      </c>
      <c r="L103" t="s">
        <v>8</v>
      </c>
      <c r="M103" t="s">
        <v>351</v>
      </c>
      <c r="N103" t="s">
        <v>10</v>
      </c>
      <c r="O103" t="s">
        <v>11</v>
      </c>
      <c r="P103" t="s">
        <v>12</v>
      </c>
      <c r="Q103" t="s">
        <v>24</v>
      </c>
      <c r="R103" t="s">
        <v>14</v>
      </c>
      <c r="S103" s="3">
        <v>321.75</v>
      </c>
      <c r="T103" t="s">
        <v>15</v>
      </c>
      <c r="U103" s="3">
        <v>27967.1</v>
      </c>
      <c r="V103" t="s">
        <v>16</v>
      </c>
      <c r="W103" t="s">
        <v>17</v>
      </c>
      <c r="X103" t="s">
        <v>12</v>
      </c>
      <c r="Y103" t="s">
        <v>8</v>
      </c>
      <c r="Z103" t="s">
        <v>18</v>
      </c>
      <c r="AA103" t="s">
        <v>352</v>
      </c>
      <c r="AB103" t="s">
        <v>12</v>
      </c>
      <c r="AC103" t="s">
        <v>12</v>
      </c>
      <c r="AD103" t="s">
        <v>12</v>
      </c>
      <c r="AE103" s="2">
        <v>45770</v>
      </c>
      <c r="AF103" s="2"/>
      <c r="AG103" t="s">
        <v>12</v>
      </c>
    </row>
    <row r="104" spans="1:33" outlineLevel="2" x14ac:dyDescent="0.25">
      <c r="A104" t="s">
        <v>129</v>
      </c>
      <c r="B104" t="s">
        <v>1</v>
      </c>
      <c r="C104" t="s">
        <v>2</v>
      </c>
      <c r="D104" t="s">
        <v>3</v>
      </c>
      <c r="E104" t="s">
        <v>4</v>
      </c>
      <c r="F104" t="s">
        <v>140</v>
      </c>
      <c r="G104" s="2">
        <v>45770</v>
      </c>
      <c r="H104" t="s">
        <v>353</v>
      </c>
      <c r="I104" t="s">
        <v>22</v>
      </c>
      <c r="J104" s="2">
        <v>45770</v>
      </c>
      <c r="K104" s="2">
        <v>45776</v>
      </c>
      <c r="L104" t="s">
        <v>8</v>
      </c>
      <c r="M104" t="s">
        <v>354</v>
      </c>
      <c r="N104" t="s">
        <v>10</v>
      </c>
      <c r="O104" t="s">
        <v>11</v>
      </c>
      <c r="P104" t="s">
        <v>12</v>
      </c>
      <c r="Q104" t="s">
        <v>24</v>
      </c>
      <c r="R104" t="s">
        <v>14</v>
      </c>
      <c r="S104" s="3">
        <v>155.1</v>
      </c>
      <c r="T104" t="s">
        <v>15</v>
      </c>
      <c r="U104" s="3">
        <v>13481.57</v>
      </c>
      <c r="V104" t="s">
        <v>16</v>
      </c>
      <c r="W104" t="s">
        <v>17</v>
      </c>
      <c r="X104" t="s">
        <v>12</v>
      </c>
      <c r="Y104" t="s">
        <v>8</v>
      </c>
      <c r="Z104" t="s">
        <v>18</v>
      </c>
      <c r="AA104" t="s">
        <v>349</v>
      </c>
      <c r="AB104" t="s">
        <v>12</v>
      </c>
      <c r="AC104" t="s">
        <v>12</v>
      </c>
      <c r="AD104" t="s">
        <v>12</v>
      </c>
      <c r="AE104" s="2">
        <v>45770</v>
      </c>
      <c r="AF104" s="2"/>
      <c r="AG104" t="s">
        <v>12</v>
      </c>
    </row>
    <row r="105" spans="1:33" outlineLevel="2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140</v>
      </c>
      <c r="G105" s="2">
        <v>45770</v>
      </c>
      <c r="H105" t="s">
        <v>355</v>
      </c>
      <c r="I105" t="s">
        <v>22</v>
      </c>
      <c r="J105" s="2">
        <v>45770</v>
      </c>
      <c r="K105" s="2">
        <v>45773</v>
      </c>
      <c r="L105" t="s">
        <v>8</v>
      </c>
      <c r="M105" t="s">
        <v>356</v>
      </c>
      <c r="N105" t="s">
        <v>10</v>
      </c>
      <c r="O105" t="s">
        <v>11</v>
      </c>
      <c r="P105" t="s">
        <v>12</v>
      </c>
      <c r="Q105" t="s">
        <v>24</v>
      </c>
      <c r="R105" t="s">
        <v>14</v>
      </c>
      <c r="S105" s="3">
        <v>70</v>
      </c>
      <c r="T105" t="s">
        <v>15</v>
      </c>
      <c r="U105" s="3">
        <v>6084.53</v>
      </c>
      <c r="V105" t="s">
        <v>16</v>
      </c>
      <c r="W105" t="s">
        <v>17</v>
      </c>
      <c r="X105" t="s">
        <v>12</v>
      </c>
      <c r="Y105" t="s">
        <v>8</v>
      </c>
      <c r="Z105" t="s">
        <v>18</v>
      </c>
      <c r="AA105" t="s">
        <v>357</v>
      </c>
      <c r="AB105" t="s">
        <v>12</v>
      </c>
      <c r="AC105" t="s">
        <v>12</v>
      </c>
      <c r="AD105" t="s">
        <v>12</v>
      </c>
      <c r="AE105" s="2">
        <v>45770</v>
      </c>
      <c r="AF105" s="2">
        <v>45976</v>
      </c>
      <c r="AG105" t="s">
        <v>64</v>
      </c>
    </row>
    <row r="106" spans="1:33" outlineLevel="2" x14ac:dyDescent="0.25">
      <c r="A106" t="s">
        <v>129</v>
      </c>
      <c r="B106" t="s">
        <v>1</v>
      </c>
      <c r="C106" t="s">
        <v>2</v>
      </c>
      <c r="D106" t="s">
        <v>3</v>
      </c>
      <c r="E106" t="s">
        <v>4</v>
      </c>
      <c r="F106" t="s">
        <v>358</v>
      </c>
      <c r="G106" s="2">
        <v>45709</v>
      </c>
      <c r="H106" t="s">
        <v>359</v>
      </c>
      <c r="I106" t="s">
        <v>22</v>
      </c>
      <c r="J106" s="2">
        <v>45709</v>
      </c>
      <c r="K106" s="2">
        <v>45716</v>
      </c>
      <c r="L106" t="s">
        <v>8</v>
      </c>
      <c r="M106" t="s">
        <v>360</v>
      </c>
      <c r="N106" t="s">
        <v>10</v>
      </c>
      <c r="O106" t="s">
        <v>11</v>
      </c>
      <c r="P106" t="s">
        <v>12</v>
      </c>
      <c r="Q106" t="s">
        <v>24</v>
      </c>
      <c r="R106" t="s">
        <v>14</v>
      </c>
      <c r="S106" s="3">
        <v>211.97</v>
      </c>
      <c r="T106" t="s">
        <v>15</v>
      </c>
      <c r="U106" s="3">
        <v>18293.79</v>
      </c>
      <c r="V106" t="s">
        <v>16</v>
      </c>
      <c r="W106" t="s">
        <v>17</v>
      </c>
      <c r="X106" t="s">
        <v>12</v>
      </c>
      <c r="Y106" t="s">
        <v>8</v>
      </c>
      <c r="Z106" t="s">
        <v>18</v>
      </c>
      <c r="AA106" t="s">
        <v>361</v>
      </c>
      <c r="AB106" t="s">
        <v>12</v>
      </c>
      <c r="AC106" t="s">
        <v>12</v>
      </c>
      <c r="AD106" t="s">
        <v>12</v>
      </c>
      <c r="AE106" s="2">
        <v>45709</v>
      </c>
      <c r="AF106" s="2"/>
      <c r="AG106" t="s">
        <v>12</v>
      </c>
    </row>
    <row r="107" spans="1:33" outlineLevel="2" x14ac:dyDescent="0.25">
      <c r="A107" t="s">
        <v>129</v>
      </c>
      <c r="B107" t="s">
        <v>1</v>
      </c>
      <c r="C107" t="s">
        <v>2</v>
      </c>
      <c r="D107" t="s">
        <v>3</v>
      </c>
      <c r="E107" t="s">
        <v>4</v>
      </c>
      <c r="F107" t="s">
        <v>243</v>
      </c>
      <c r="G107" s="2">
        <v>45737</v>
      </c>
      <c r="H107" t="s">
        <v>362</v>
      </c>
      <c r="I107" t="s">
        <v>22</v>
      </c>
      <c r="J107" s="2">
        <v>45737</v>
      </c>
      <c r="K107" s="2">
        <v>45737</v>
      </c>
      <c r="L107" t="s">
        <v>8</v>
      </c>
      <c r="M107" t="s">
        <v>363</v>
      </c>
      <c r="N107" t="s">
        <v>10</v>
      </c>
      <c r="O107" t="s">
        <v>11</v>
      </c>
      <c r="P107" t="s">
        <v>12</v>
      </c>
      <c r="Q107" t="s">
        <v>24</v>
      </c>
      <c r="R107" t="s">
        <v>14</v>
      </c>
      <c r="S107" s="3">
        <v>25</v>
      </c>
      <c r="T107" t="s">
        <v>15</v>
      </c>
      <c r="U107" s="3">
        <v>2167.2800000000002</v>
      </c>
      <c r="V107" t="s">
        <v>16</v>
      </c>
      <c r="W107" t="s">
        <v>17</v>
      </c>
      <c r="X107" t="s">
        <v>12</v>
      </c>
      <c r="Y107" t="s">
        <v>8</v>
      </c>
      <c r="Z107" t="s">
        <v>18</v>
      </c>
      <c r="AA107" t="s">
        <v>364</v>
      </c>
      <c r="AB107" t="s">
        <v>12</v>
      </c>
      <c r="AC107" t="s">
        <v>12</v>
      </c>
      <c r="AD107" t="s">
        <v>12</v>
      </c>
      <c r="AE107" s="2">
        <v>45737</v>
      </c>
      <c r="AF107" s="2"/>
      <c r="AG107" t="s">
        <v>12</v>
      </c>
    </row>
    <row r="108" spans="1:33" outlineLevel="2" x14ac:dyDescent="0.25">
      <c r="A108" t="s">
        <v>129</v>
      </c>
      <c r="B108" t="s">
        <v>1</v>
      </c>
      <c r="C108" t="s">
        <v>2</v>
      </c>
      <c r="D108" t="s">
        <v>3</v>
      </c>
      <c r="E108" t="s">
        <v>4</v>
      </c>
      <c r="F108" t="s">
        <v>176</v>
      </c>
      <c r="G108" s="2">
        <v>45938</v>
      </c>
      <c r="H108" t="s">
        <v>365</v>
      </c>
      <c r="I108" t="s">
        <v>22</v>
      </c>
      <c r="J108" s="2">
        <v>45938</v>
      </c>
      <c r="K108" s="2">
        <v>45939</v>
      </c>
      <c r="L108" t="s">
        <v>8</v>
      </c>
      <c r="M108" t="s">
        <v>366</v>
      </c>
      <c r="N108" t="s">
        <v>10</v>
      </c>
      <c r="O108" t="s">
        <v>11</v>
      </c>
      <c r="P108" t="s">
        <v>12</v>
      </c>
      <c r="Q108" t="s">
        <v>24</v>
      </c>
      <c r="R108" t="s">
        <v>14</v>
      </c>
      <c r="S108" s="3">
        <v>11.26</v>
      </c>
      <c r="T108" t="s">
        <v>15</v>
      </c>
      <c r="U108" s="3">
        <v>993.03</v>
      </c>
      <c r="V108" t="s">
        <v>16</v>
      </c>
      <c r="W108" t="s">
        <v>17</v>
      </c>
      <c r="X108" t="s">
        <v>12</v>
      </c>
      <c r="Y108" t="s">
        <v>367</v>
      </c>
      <c r="Z108" t="s">
        <v>18</v>
      </c>
      <c r="AA108" t="s">
        <v>368</v>
      </c>
      <c r="AB108" t="s">
        <v>12</v>
      </c>
      <c r="AC108" t="s">
        <v>12</v>
      </c>
      <c r="AD108" t="s">
        <v>12</v>
      </c>
      <c r="AE108" s="2">
        <v>45938</v>
      </c>
      <c r="AF108" s="2"/>
      <c r="AG108" t="s">
        <v>12</v>
      </c>
    </row>
    <row r="109" spans="1:33" outlineLevel="2" x14ac:dyDescent="0.25">
      <c r="A109" t="s">
        <v>129</v>
      </c>
      <c r="B109" t="s">
        <v>1</v>
      </c>
      <c r="C109" t="s">
        <v>2</v>
      </c>
      <c r="D109" t="s">
        <v>3</v>
      </c>
      <c r="E109" t="s">
        <v>4</v>
      </c>
      <c r="F109" t="s">
        <v>229</v>
      </c>
      <c r="G109" s="2">
        <v>45810</v>
      </c>
      <c r="H109" t="s">
        <v>369</v>
      </c>
      <c r="I109" t="s">
        <v>22</v>
      </c>
      <c r="J109" s="2">
        <v>45810</v>
      </c>
      <c r="K109" s="2">
        <v>45810</v>
      </c>
      <c r="L109" t="s">
        <v>8</v>
      </c>
      <c r="M109" t="s">
        <v>370</v>
      </c>
      <c r="N109" t="s">
        <v>10</v>
      </c>
      <c r="O109" t="s">
        <v>11</v>
      </c>
      <c r="P109" t="s">
        <v>12</v>
      </c>
      <c r="Q109" t="s">
        <v>24</v>
      </c>
      <c r="R109" t="s">
        <v>14</v>
      </c>
      <c r="S109" s="3">
        <v>590.74</v>
      </c>
      <c r="T109" t="s">
        <v>15</v>
      </c>
      <c r="U109" s="3">
        <v>50502.82</v>
      </c>
      <c r="V109" t="s">
        <v>371</v>
      </c>
      <c r="W109" t="s">
        <v>17</v>
      </c>
      <c r="X109" t="s">
        <v>12</v>
      </c>
      <c r="Y109" t="s">
        <v>8</v>
      </c>
      <c r="Z109" t="s">
        <v>18</v>
      </c>
      <c r="AA109" t="s">
        <v>372</v>
      </c>
      <c r="AB109" t="s">
        <v>12</v>
      </c>
      <c r="AC109" t="s">
        <v>12</v>
      </c>
      <c r="AD109" t="s">
        <v>12</v>
      </c>
      <c r="AE109" s="2">
        <v>45810</v>
      </c>
      <c r="AF109" s="2"/>
      <c r="AG109" t="s">
        <v>12</v>
      </c>
    </row>
    <row r="110" spans="1:33" outlineLevel="2" x14ac:dyDescent="0.25">
      <c r="A110" t="s">
        <v>129</v>
      </c>
      <c r="B110" t="s">
        <v>1</v>
      </c>
      <c r="C110" t="s">
        <v>2</v>
      </c>
      <c r="D110" t="s">
        <v>3</v>
      </c>
      <c r="E110" t="s">
        <v>4</v>
      </c>
      <c r="F110" t="s">
        <v>176</v>
      </c>
      <c r="G110" s="2">
        <v>45937</v>
      </c>
      <c r="H110" t="s">
        <v>373</v>
      </c>
      <c r="I110" t="s">
        <v>22</v>
      </c>
      <c r="J110" s="2">
        <v>45937</v>
      </c>
      <c r="K110" s="2">
        <v>45939</v>
      </c>
      <c r="L110" t="s">
        <v>8</v>
      </c>
      <c r="M110" t="s">
        <v>374</v>
      </c>
      <c r="N110" t="s">
        <v>10</v>
      </c>
      <c r="O110" t="s">
        <v>11</v>
      </c>
      <c r="P110" t="s">
        <v>12</v>
      </c>
      <c r="Q110" t="s">
        <v>24</v>
      </c>
      <c r="R110" t="s">
        <v>14</v>
      </c>
      <c r="S110" s="3">
        <v>70</v>
      </c>
      <c r="T110" t="s">
        <v>15</v>
      </c>
      <c r="U110" s="3">
        <v>6173.35</v>
      </c>
      <c r="V110" t="s">
        <v>16</v>
      </c>
      <c r="W110" t="s">
        <v>17</v>
      </c>
      <c r="X110" t="s">
        <v>12</v>
      </c>
      <c r="Y110" t="s">
        <v>375</v>
      </c>
      <c r="Z110" t="s">
        <v>18</v>
      </c>
      <c r="AA110" t="s">
        <v>376</v>
      </c>
      <c r="AB110" t="s">
        <v>12</v>
      </c>
      <c r="AC110" t="s">
        <v>12</v>
      </c>
      <c r="AD110" t="s">
        <v>12</v>
      </c>
      <c r="AE110" s="2">
        <v>45937</v>
      </c>
      <c r="AF110" s="2"/>
      <c r="AG110" t="s">
        <v>12</v>
      </c>
    </row>
    <row r="111" spans="1:33" outlineLevel="2" x14ac:dyDescent="0.25">
      <c r="A111" t="s">
        <v>129</v>
      </c>
      <c r="B111" t="s">
        <v>1</v>
      </c>
      <c r="C111" t="s">
        <v>2</v>
      </c>
      <c r="D111" t="s">
        <v>3</v>
      </c>
      <c r="E111" t="s">
        <v>4</v>
      </c>
      <c r="F111" t="s">
        <v>176</v>
      </c>
      <c r="G111" s="2">
        <v>45937</v>
      </c>
      <c r="H111" t="s">
        <v>377</v>
      </c>
      <c r="I111" t="s">
        <v>22</v>
      </c>
      <c r="J111" s="2">
        <v>45937</v>
      </c>
      <c r="K111" s="2">
        <v>45939</v>
      </c>
      <c r="L111" t="s">
        <v>8</v>
      </c>
      <c r="M111" t="s">
        <v>378</v>
      </c>
      <c r="N111" t="s">
        <v>10</v>
      </c>
      <c r="O111" t="s">
        <v>11</v>
      </c>
      <c r="P111" t="s">
        <v>12</v>
      </c>
      <c r="Q111" t="s">
        <v>24</v>
      </c>
      <c r="R111" t="s">
        <v>14</v>
      </c>
      <c r="S111" s="3">
        <v>528.99</v>
      </c>
      <c r="T111" t="s">
        <v>15</v>
      </c>
      <c r="U111" s="3">
        <v>46652.04</v>
      </c>
      <c r="V111" t="s">
        <v>16</v>
      </c>
      <c r="W111" t="s">
        <v>17</v>
      </c>
      <c r="X111" t="s">
        <v>12</v>
      </c>
      <c r="Y111" t="s">
        <v>375</v>
      </c>
      <c r="Z111" t="s">
        <v>18</v>
      </c>
      <c r="AA111" t="s">
        <v>379</v>
      </c>
      <c r="AB111" t="s">
        <v>12</v>
      </c>
      <c r="AC111" t="s">
        <v>12</v>
      </c>
      <c r="AD111" t="s">
        <v>12</v>
      </c>
      <c r="AE111" s="2">
        <v>45937</v>
      </c>
      <c r="AF111" s="2"/>
      <c r="AG111" t="s">
        <v>12</v>
      </c>
    </row>
    <row r="112" spans="1:33" outlineLevel="2" x14ac:dyDescent="0.25">
      <c r="A112" t="s">
        <v>129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s="2">
        <v>45857</v>
      </c>
      <c r="H112" t="s">
        <v>380</v>
      </c>
      <c r="I112" t="s">
        <v>22</v>
      </c>
      <c r="J112" s="2">
        <v>45857</v>
      </c>
      <c r="K112" s="2">
        <v>45859</v>
      </c>
      <c r="L112" t="s">
        <v>8</v>
      </c>
      <c r="M112" t="s">
        <v>381</v>
      </c>
      <c r="N112" t="s">
        <v>10</v>
      </c>
      <c r="O112" t="s">
        <v>11</v>
      </c>
      <c r="P112" t="s">
        <v>12</v>
      </c>
      <c r="Q112" t="s">
        <v>24</v>
      </c>
      <c r="R112" t="s">
        <v>14</v>
      </c>
      <c r="S112" s="3">
        <v>30.76</v>
      </c>
      <c r="T112" t="s">
        <v>15</v>
      </c>
      <c r="U112" s="3">
        <v>2645.38</v>
      </c>
      <c r="V112" t="s">
        <v>16</v>
      </c>
      <c r="W112" t="s">
        <v>17</v>
      </c>
      <c r="X112" t="s">
        <v>12</v>
      </c>
      <c r="Y112" t="s">
        <v>8</v>
      </c>
      <c r="Z112" t="s">
        <v>18</v>
      </c>
      <c r="AA112" t="s">
        <v>382</v>
      </c>
      <c r="AB112" t="s">
        <v>12</v>
      </c>
      <c r="AC112" t="s">
        <v>12</v>
      </c>
      <c r="AD112" t="s">
        <v>12</v>
      </c>
      <c r="AE112" s="2">
        <v>45857</v>
      </c>
      <c r="AF112" s="2"/>
      <c r="AG112" t="s">
        <v>12</v>
      </c>
    </row>
    <row r="113" spans="1:33" outlineLevel="2" x14ac:dyDescent="0.25">
      <c r="A113" t="s">
        <v>129</v>
      </c>
      <c r="B113" t="s">
        <v>1</v>
      </c>
      <c r="C113" t="s">
        <v>2</v>
      </c>
      <c r="D113" t="s">
        <v>3</v>
      </c>
      <c r="E113" t="s">
        <v>4</v>
      </c>
      <c r="F113" t="s">
        <v>130</v>
      </c>
      <c r="G113" s="2">
        <v>45787</v>
      </c>
      <c r="H113" t="s">
        <v>383</v>
      </c>
      <c r="I113" t="s">
        <v>22</v>
      </c>
      <c r="J113" s="2">
        <v>45787</v>
      </c>
      <c r="K113" s="2">
        <v>45791</v>
      </c>
      <c r="L113" t="s">
        <v>8</v>
      </c>
      <c r="M113" t="s">
        <v>384</v>
      </c>
      <c r="N113" t="s">
        <v>10</v>
      </c>
      <c r="O113" t="s">
        <v>11</v>
      </c>
      <c r="P113" t="s">
        <v>12</v>
      </c>
      <c r="Q113" t="s">
        <v>24</v>
      </c>
      <c r="R113" t="s">
        <v>14</v>
      </c>
      <c r="S113" s="3">
        <v>456.75</v>
      </c>
      <c r="T113" t="s">
        <v>15</v>
      </c>
      <c r="U113" s="3">
        <v>39273.050000000003</v>
      </c>
      <c r="V113" t="s">
        <v>16</v>
      </c>
      <c r="W113" t="s">
        <v>17</v>
      </c>
      <c r="X113" t="s">
        <v>12</v>
      </c>
      <c r="Y113" t="s">
        <v>8</v>
      </c>
      <c r="Z113" t="s">
        <v>18</v>
      </c>
      <c r="AA113" t="s">
        <v>385</v>
      </c>
      <c r="AB113" t="s">
        <v>12</v>
      </c>
      <c r="AC113" t="s">
        <v>12</v>
      </c>
      <c r="AD113" t="s">
        <v>12</v>
      </c>
      <c r="AE113" s="2">
        <v>45787</v>
      </c>
      <c r="AF113" s="2"/>
      <c r="AG113" t="s">
        <v>12</v>
      </c>
    </row>
    <row r="114" spans="1:33" outlineLevel="2" x14ac:dyDescent="0.25">
      <c r="A114" t="s">
        <v>129</v>
      </c>
      <c r="B114" t="s">
        <v>1</v>
      </c>
      <c r="C114" t="s">
        <v>2</v>
      </c>
      <c r="D114" t="s">
        <v>3</v>
      </c>
      <c r="E114" t="s">
        <v>4</v>
      </c>
      <c r="F114" t="s">
        <v>130</v>
      </c>
      <c r="G114" s="2">
        <v>45787</v>
      </c>
      <c r="H114" t="s">
        <v>386</v>
      </c>
      <c r="I114" t="s">
        <v>22</v>
      </c>
      <c r="J114" s="2">
        <v>45787</v>
      </c>
      <c r="K114" s="2">
        <v>45792</v>
      </c>
      <c r="L114" t="s">
        <v>8</v>
      </c>
      <c r="M114" t="s">
        <v>387</v>
      </c>
      <c r="N114" t="s">
        <v>10</v>
      </c>
      <c r="O114" t="s">
        <v>11</v>
      </c>
      <c r="P114" t="s">
        <v>12</v>
      </c>
      <c r="Q114" t="s">
        <v>24</v>
      </c>
      <c r="R114" t="s">
        <v>14</v>
      </c>
      <c r="S114" s="3">
        <v>190.35</v>
      </c>
      <c r="T114" t="s">
        <v>15</v>
      </c>
      <c r="U114" s="3">
        <v>16367</v>
      </c>
      <c r="V114" t="s">
        <v>16</v>
      </c>
      <c r="W114" t="s">
        <v>17</v>
      </c>
      <c r="X114" t="s">
        <v>12</v>
      </c>
      <c r="Y114" t="s">
        <v>8</v>
      </c>
      <c r="Z114" t="s">
        <v>18</v>
      </c>
      <c r="AA114" t="s">
        <v>388</v>
      </c>
      <c r="AB114" t="s">
        <v>12</v>
      </c>
      <c r="AC114" t="s">
        <v>12</v>
      </c>
      <c r="AD114" t="s">
        <v>12</v>
      </c>
      <c r="AE114" s="2">
        <v>45787</v>
      </c>
      <c r="AF114" s="2"/>
      <c r="AG114" t="s">
        <v>12</v>
      </c>
    </row>
    <row r="115" spans="1:33" outlineLevel="2" x14ac:dyDescent="0.25">
      <c r="A115" t="s">
        <v>129</v>
      </c>
      <c r="B115" t="s">
        <v>1</v>
      </c>
      <c r="C115" t="s">
        <v>2</v>
      </c>
      <c r="D115" t="s">
        <v>3</v>
      </c>
      <c r="E115" t="s">
        <v>4</v>
      </c>
      <c r="F115" t="s">
        <v>130</v>
      </c>
      <c r="G115" s="2">
        <v>45787</v>
      </c>
      <c r="H115" t="s">
        <v>389</v>
      </c>
      <c r="I115" t="s">
        <v>22</v>
      </c>
      <c r="J115" s="2">
        <v>45787</v>
      </c>
      <c r="K115" s="2">
        <v>45792</v>
      </c>
      <c r="L115" t="s">
        <v>8</v>
      </c>
      <c r="M115" t="s">
        <v>390</v>
      </c>
      <c r="N115" t="s">
        <v>10</v>
      </c>
      <c r="O115" t="s">
        <v>11</v>
      </c>
      <c r="P115" t="s">
        <v>12</v>
      </c>
      <c r="Q115" t="s">
        <v>24</v>
      </c>
      <c r="R115" t="s">
        <v>14</v>
      </c>
      <c r="S115" s="3">
        <v>138.65</v>
      </c>
      <c r="T115" t="s">
        <v>15</v>
      </c>
      <c r="U115" s="3">
        <v>11921.64</v>
      </c>
      <c r="V115" t="s">
        <v>16</v>
      </c>
      <c r="W115" t="s">
        <v>17</v>
      </c>
      <c r="X115" t="s">
        <v>12</v>
      </c>
      <c r="Y115" t="s">
        <v>8</v>
      </c>
      <c r="Z115" t="s">
        <v>18</v>
      </c>
      <c r="AA115" t="s">
        <v>391</v>
      </c>
      <c r="AB115" t="s">
        <v>12</v>
      </c>
      <c r="AC115" t="s">
        <v>12</v>
      </c>
      <c r="AD115" t="s">
        <v>12</v>
      </c>
      <c r="AE115" s="2">
        <v>45787</v>
      </c>
      <c r="AF115" s="2"/>
      <c r="AG115" t="s">
        <v>12</v>
      </c>
    </row>
    <row r="116" spans="1:33" outlineLevel="2" x14ac:dyDescent="0.25">
      <c r="A116" t="s">
        <v>129</v>
      </c>
      <c r="B116" t="s">
        <v>1</v>
      </c>
      <c r="C116" t="s">
        <v>2</v>
      </c>
      <c r="D116" t="s">
        <v>3</v>
      </c>
      <c r="E116" t="s">
        <v>4</v>
      </c>
      <c r="F116" t="s">
        <v>130</v>
      </c>
      <c r="G116" s="2">
        <v>45787</v>
      </c>
      <c r="H116" t="s">
        <v>392</v>
      </c>
      <c r="I116" t="s">
        <v>22</v>
      </c>
      <c r="J116" s="2">
        <v>45787</v>
      </c>
      <c r="K116" s="2">
        <v>45792</v>
      </c>
      <c r="L116" t="s">
        <v>8</v>
      </c>
      <c r="M116" t="s">
        <v>393</v>
      </c>
      <c r="N116" t="s">
        <v>10</v>
      </c>
      <c r="O116" t="s">
        <v>11</v>
      </c>
      <c r="P116" t="s">
        <v>12</v>
      </c>
      <c r="Q116" t="s">
        <v>24</v>
      </c>
      <c r="R116" t="s">
        <v>14</v>
      </c>
      <c r="S116" s="3">
        <v>151.34</v>
      </c>
      <c r="T116" t="s">
        <v>15</v>
      </c>
      <c r="U116" s="3">
        <v>13012.77</v>
      </c>
      <c r="V116" t="s">
        <v>16</v>
      </c>
      <c r="W116" t="s">
        <v>17</v>
      </c>
      <c r="X116" t="s">
        <v>12</v>
      </c>
      <c r="Y116" t="s">
        <v>8</v>
      </c>
      <c r="Z116" t="s">
        <v>18</v>
      </c>
      <c r="AA116" t="s">
        <v>394</v>
      </c>
      <c r="AB116" t="s">
        <v>12</v>
      </c>
      <c r="AC116" t="s">
        <v>12</v>
      </c>
      <c r="AD116" t="s">
        <v>12</v>
      </c>
      <c r="AE116" s="2">
        <v>45787</v>
      </c>
      <c r="AF116" s="2"/>
      <c r="AG116" t="s">
        <v>12</v>
      </c>
    </row>
    <row r="117" spans="1:33" outlineLevel="2" x14ac:dyDescent="0.25">
      <c r="A117" t="s">
        <v>129</v>
      </c>
      <c r="B117" t="s">
        <v>1</v>
      </c>
      <c r="C117" t="s">
        <v>2</v>
      </c>
      <c r="D117" t="s">
        <v>3</v>
      </c>
      <c r="E117" t="s">
        <v>4</v>
      </c>
      <c r="F117" t="s">
        <v>130</v>
      </c>
      <c r="G117" s="2">
        <v>45787</v>
      </c>
      <c r="H117" t="s">
        <v>395</v>
      </c>
      <c r="I117" t="s">
        <v>22</v>
      </c>
      <c r="J117" s="2">
        <v>45787</v>
      </c>
      <c r="K117" s="2">
        <v>45792</v>
      </c>
      <c r="L117" t="s">
        <v>8</v>
      </c>
      <c r="M117" t="s">
        <v>396</v>
      </c>
      <c r="N117" t="s">
        <v>10</v>
      </c>
      <c r="O117" t="s">
        <v>11</v>
      </c>
      <c r="P117" t="s">
        <v>12</v>
      </c>
      <c r="Q117" t="s">
        <v>24</v>
      </c>
      <c r="R117" t="s">
        <v>14</v>
      </c>
      <c r="S117" s="3">
        <v>42.53</v>
      </c>
      <c r="T117" t="s">
        <v>15</v>
      </c>
      <c r="U117" s="3">
        <v>3656.89</v>
      </c>
      <c r="V117" t="s">
        <v>16</v>
      </c>
      <c r="W117" t="s">
        <v>17</v>
      </c>
      <c r="X117" t="s">
        <v>12</v>
      </c>
      <c r="Y117" t="s">
        <v>8</v>
      </c>
      <c r="Z117" t="s">
        <v>18</v>
      </c>
      <c r="AA117" t="s">
        <v>397</v>
      </c>
      <c r="AB117" t="s">
        <v>12</v>
      </c>
      <c r="AC117" t="s">
        <v>12</v>
      </c>
      <c r="AD117" t="s">
        <v>12</v>
      </c>
      <c r="AE117" s="2">
        <v>45787</v>
      </c>
      <c r="AF117" s="2"/>
      <c r="AG117" t="s">
        <v>12</v>
      </c>
    </row>
    <row r="118" spans="1:33" outlineLevel="2" x14ac:dyDescent="0.25">
      <c r="A118" t="s">
        <v>129</v>
      </c>
      <c r="B118" t="s">
        <v>1</v>
      </c>
      <c r="C118" t="s">
        <v>2</v>
      </c>
      <c r="D118" t="s">
        <v>3</v>
      </c>
      <c r="E118" t="s">
        <v>4</v>
      </c>
      <c r="F118" t="s">
        <v>334</v>
      </c>
      <c r="G118" s="2">
        <v>45997</v>
      </c>
      <c r="H118" t="s">
        <v>398</v>
      </c>
      <c r="I118" t="s">
        <v>22</v>
      </c>
      <c r="J118" s="2">
        <v>45997</v>
      </c>
      <c r="K118" s="2">
        <v>46000</v>
      </c>
      <c r="L118" t="s">
        <v>8</v>
      </c>
      <c r="M118" t="s">
        <v>399</v>
      </c>
      <c r="N118" t="s">
        <v>10</v>
      </c>
      <c r="O118" t="s">
        <v>11</v>
      </c>
      <c r="P118" t="s">
        <v>12</v>
      </c>
      <c r="Q118" t="s">
        <v>24</v>
      </c>
      <c r="R118" t="s">
        <v>14</v>
      </c>
      <c r="S118" s="3">
        <v>131.26</v>
      </c>
      <c r="T118" t="s">
        <v>15</v>
      </c>
      <c r="U118" s="3">
        <v>11642.78</v>
      </c>
      <c r="V118" t="s">
        <v>16</v>
      </c>
      <c r="W118" t="s">
        <v>17</v>
      </c>
      <c r="X118" t="s">
        <v>12</v>
      </c>
      <c r="Y118" t="s">
        <v>400</v>
      </c>
      <c r="Z118" t="s">
        <v>18</v>
      </c>
      <c r="AA118" t="s">
        <v>401</v>
      </c>
      <c r="AB118" t="s">
        <v>12</v>
      </c>
      <c r="AC118" t="s">
        <v>12</v>
      </c>
      <c r="AD118" t="s">
        <v>12</v>
      </c>
      <c r="AE118" s="2">
        <v>45997</v>
      </c>
      <c r="AF118" s="2"/>
      <c r="AG118" t="s">
        <v>12</v>
      </c>
    </row>
    <row r="119" spans="1:33" outlineLevel="2" x14ac:dyDescent="0.25">
      <c r="A119" t="s">
        <v>129</v>
      </c>
      <c r="B119" t="s">
        <v>1</v>
      </c>
      <c r="C119" t="s">
        <v>2</v>
      </c>
      <c r="D119" t="s">
        <v>3</v>
      </c>
      <c r="E119" t="s">
        <v>4</v>
      </c>
      <c r="F119" t="s">
        <v>334</v>
      </c>
      <c r="G119" s="2">
        <v>45997</v>
      </c>
      <c r="H119" t="s">
        <v>402</v>
      </c>
      <c r="I119" t="s">
        <v>22</v>
      </c>
      <c r="J119" s="2">
        <v>45997</v>
      </c>
      <c r="K119" s="2">
        <v>46000</v>
      </c>
      <c r="L119" t="s">
        <v>8</v>
      </c>
      <c r="M119" t="s">
        <v>403</v>
      </c>
      <c r="N119" t="s">
        <v>10</v>
      </c>
      <c r="O119" t="s">
        <v>11</v>
      </c>
      <c r="P119" t="s">
        <v>12</v>
      </c>
      <c r="Q119" t="s">
        <v>24</v>
      </c>
      <c r="R119" t="s">
        <v>14</v>
      </c>
      <c r="S119" s="3">
        <v>429.75</v>
      </c>
      <c r="T119" t="s">
        <v>15</v>
      </c>
      <c r="U119" s="3">
        <v>38118.89</v>
      </c>
      <c r="V119" t="s">
        <v>16</v>
      </c>
      <c r="W119" t="s">
        <v>17</v>
      </c>
      <c r="X119" t="s">
        <v>12</v>
      </c>
      <c r="Y119" t="s">
        <v>404</v>
      </c>
      <c r="Z119" t="s">
        <v>18</v>
      </c>
      <c r="AA119" t="s">
        <v>405</v>
      </c>
      <c r="AB119" t="s">
        <v>12</v>
      </c>
      <c r="AC119" t="s">
        <v>12</v>
      </c>
      <c r="AD119" t="s">
        <v>12</v>
      </c>
      <c r="AE119" s="2">
        <v>45997</v>
      </c>
      <c r="AF119" s="2"/>
      <c r="AG119" t="s">
        <v>12</v>
      </c>
    </row>
    <row r="120" spans="1:33" outlineLevel="2" x14ac:dyDescent="0.25">
      <c r="A120" t="s">
        <v>129</v>
      </c>
      <c r="B120" t="s">
        <v>1</v>
      </c>
      <c r="C120" t="s">
        <v>2</v>
      </c>
      <c r="D120" t="s">
        <v>3</v>
      </c>
      <c r="E120" t="s">
        <v>4</v>
      </c>
      <c r="F120" t="s">
        <v>176</v>
      </c>
      <c r="G120" s="2">
        <v>45948</v>
      </c>
      <c r="H120" t="s">
        <v>406</v>
      </c>
      <c r="I120" t="s">
        <v>22</v>
      </c>
      <c r="J120" s="2">
        <v>45948</v>
      </c>
      <c r="K120" s="2">
        <v>45951</v>
      </c>
      <c r="L120" t="s">
        <v>8</v>
      </c>
      <c r="M120" t="s">
        <v>407</v>
      </c>
      <c r="N120" t="s">
        <v>10</v>
      </c>
      <c r="O120" t="s">
        <v>11</v>
      </c>
      <c r="P120" t="s">
        <v>12</v>
      </c>
      <c r="Q120" t="s">
        <v>24</v>
      </c>
      <c r="R120" t="s">
        <v>14</v>
      </c>
      <c r="S120" s="3">
        <v>32.9</v>
      </c>
      <c r="T120" t="s">
        <v>15</v>
      </c>
      <c r="U120" s="3">
        <v>2901.48</v>
      </c>
      <c r="V120" t="s">
        <v>16</v>
      </c>
      <c r="W120" t="s">
        <v>17</v>
      </c>
      <c r="X120" t="s">
        <v>12</v>
      </c>
      <c r="Y120" t="s">
        <v>408</v>
      </c>
      <c r="Z120" t="s">
        <v>18</v>
      </c>
      <c r="AA120" t="s">
        <v>409</v>
      </c>
      <c r="AB120" t="s">
        <v>12</v>
      </c>
      <c r="AC120" t="s">
        <v>12</v>
      </c>
      <c r="AD120" t="s">
        <v>12</v>
      </c>
      <c r="AE120" s="2">
        <v>45948</v>
      </c>
      <c r="AF120" s="2"/>
      <c r="AG120" t="s">
        <v>12</v>
      </c>
    </row>
    <row r="121" spans="1:33" outlineLevel="2" x14ac:dyDescent="0.25">
      <c r="A121" t="s">
        <v>129</v>
      </c>
      <c r="B121" t="s">
        <v>1</v>
      </c>
      <c r="C121" t="s">
        <v>2</v>
      </c>
      <c r="D121" t="s">
        <v>3</v>
      </c>
      <c r="E121" t="s">
        <v>4</v>
      </c>
      <c r="F121" t="s">
        <v>176</v>
      </c>
      <c r="G121" s="2">
        <v>45948</v>
      </c>
      <c r="H121" t="s">
        <v>410</v>
      </c>
      <c r="I121" t="s">
        <v>22</v>
      </c>
      <c r="J121" s="2">
        <v>45948</v>
      </c>
      <c r="K121" s="2">
        <v>45951</v>
      </c>
      <c r="L121" t="s">
        <v>8</v>
      </c>
      <c r="M121" t="s">
        <v>411</v>
      </c>
      <c r="N121" t="s">
        <v>10</v>
      </c>
      <c r="O121" t="s">
        <v>11</v>
      </c>
      <c r="P121" t="s">
        <v>12</v>
      </c>
      <c r="Q121" t="s">
        <v>24</v>
      </c>
      <c r="R121" t="s">
        <v>14</v>
      </c>
      <c r="S121" s="3">
        <v>79.900000000000006</v>
      </c>
      <c r="T121" t="s">
        <v>15</v>
      </c>
      <c r="U121" s="3">
        <v>7046.44</v>
      </c>
      <c r="V121" t="s">
        <v>16</v>
      </c>
      <c r="W121" t="s">
        <v>17</v>
      </c>
      <c r="X121" t="s">
        <v>12</v>
      </c>
      <c r="Y121" t="s">
        <v>412</v>
      </c>
      <c r="Z121" t="s">
        <v>18</v>
      </c>
      <c r="AA121" t="s">
        <v>413</v>
      </c>
      <c r="AB121" t="s">
        <v>12</v>
      </c>
      <c r="AC121" t="s">
        <v>12</v>
      </c>
      <c r="AD121" t="s">
        <v>12</v>
      </c>
      <c r="AE121" s="2">
        <v>45948</v>
      </c>
      <c r="AF121" s="2"/>
      <c r="AG121" t="s">
        <v>12</v>
      </c>
    </row>
    <row r="122" spans="1:33" outlineLevel="2" x14ac:dyDescent="0.25">
      <c r="A122" t="s">
        <v>129</v>
      </c>
      <c r="B122" t="s">
        <v>1</v>
      </c>
      <c r="C122" t="s">
        <v>2</v>
      </c>
      <c r="D122" t="s">
        <v>3</v>
      </c>
      <c r="E122" t="s">
        <v>4</v>
      </c>
      <c r="F122" t="s">
        <v>229</v>
      </c>
      <c r="G122" s="2">
        <v>45815</v>
      </c>
      <c r="H122" t="s">
        <v>414</v>
      </c>
      <c r="I122" t="s">
        <v>22</v>
      </c>
      <c r="J122" s="2">
        <v>45815</v>
      </c>
      <c r="K122" s="2">
        <v>45817</v>
      </c>
      <c r="L122" t="s">
        <v>8</v>
      </c>
      <c r="M122" t="s">
        <v>415</v>
      </c>
      <c r="N122" t="s">
        <v>10</v>
      </c>
      <c r="O122" t="s">
        <v>11</v>
      </c>
      <c r="P122" t="s">
        <v>12</v>
      </c>
      <c r="Q122" t="s">
        <v>24</v>
      </c>
      <c r="R122" t="s">
        <v>14</v>
      </c>
      <c r="S122" s="3">
        <v>4585.18</v>
      </c>
      <c r="T122" t="s">
        <v>15</v>
      </c>
      <c r="U122" s="3">
        <v>391990.61</v>
      </c>
      <c r="V122" t="s">
        <v>16</v>
      </c>
      <c r="W122" t="s">
        <v>17</v>
      </c>
      <c r="X122" t="s">
        <v>12</v>
      </c>
      <c r="Y122" t="s">
        <v>8</v>
      </c>
      <c r="Z122" t="s">
        <v>18</v>
      </c>
      <c r="AA122" t="s">
        <v>416</v>
      </c>
      <c r="AB122" t="s">
        <v>12</v>
      </c>
      <c r="AC122" t="s">
        <v>12</v>
      </c>
      <c r="AD122" t="s">
        <v>12</v>
      </c>
      <c r="AE122" s="2">
        <v>45815</v>
      </c>
      <c r="AF122" s="2"/>
      <c r="AG122" t="s">
        <v>12</v>
      </c>
    </row>
    <row r="123" spans="1:33" outlineLevel="2" x14ac:dyDescent="0.25">
      <c r="A123" t="s">
        <v>129</v>
      </c>
      <c r="B123" t="s">
        <v>1</v>
      </c>
      <c r="C123" t="s">
        <v>2</v>
      </c>
      <c r="D123" t="s">
        <v>3</v>
      </c>
      <c r="E123" t="s">
        <v>4</v>
      </c>
      <c r="F123" t="s">
        <v>176</v>
      </c>
      <c r="G123" s="2">
        <v>45936</v>
      </c>
      <c r="H123" t="s">
        <v>417</v>
      </c>
      <c r="I123" t="s">
        <v>22</v>
      </c>
      <c r="J123" s="2">
        <v>45936</v>
      </c>
      <c r="K123" s="2">
        <v>45937</v>
      </c>
      <c r="L123" t="s">
        <v>8</v>
      </c>
      <c r="M123" t="s">
        <v>418</v>
      </c>
      <c r="N123" t="s">
        <v>10</v>
      </c>
      <c r="O123" t="s">
        <v>11</v>
      </c>
      <c r="P123" t="s">
        <v>12</v>
      </c>
      <c r="Q123" t="s">
        <v>24</v>
      </c>
      <c r="R123" t="s">
        <v>14</v>
      </c>
      <c r="S123" s="3">
        <v>8566.5</v>
      </c>
      <c r="T123" t="s">
        <v>15</v>
      </c>
      <c r="U123" s="3">
        <v>755486.23</v>
      </c>
      <c r="V123" t="s">
        <v>16</v>
      </c>
      <c r="W123" t="s">
        <v>17</v>
      </c>
      <c r="X123" t="s">
        <v>12</v>
      </c>
      <c r="Y123" t="s">
        <v>419</v>
      </c>
      <c r="Z123" t="s">
        <v>18</v>
      </c>
      <c r="AA123" t="s">
        <v>420</v>
      </c>
      <c r="AB123" t="s">
        <v>12</v>
      </c>
      <c r="AC123" t="s">
        <v>12</v>
      </c>
      <c r="AD123" t="s">
        <v>12</v>
      </c>
      <c r="AE123" s="2">
        <v>45936</v>
      </c>
      <c r="AF123" s="2"/>
      <c r="AG123" t="s">
        <v>12</v>
      </c>
    </row>
    <row r="124" spans="1:33" outlineLevel="2" x14ac:dyDescent="0.25">
      <c r="A124" t="s">
        <v>129</v>
      </c>
      <c r="B124" t="s">
        <v>1</v>
      </c>
      <c r="C124" t="s">
        <v>2</v>
      </c>
      <c r="D124" t="s">
        <v>3</v>
      </c>
      <c r="E124" t="s">
        <v>4</v>
      </c>
      <c r="F124" t="s">
        <v>176</v>
      </c>
      <c r="G124" s="2">
        <v>45935</v>
      </c>
      <c r="H124" t="s">
        <v>421</v>
      </c>
      <c r="I124" t="s">
        <v>22</v>
      </c>
      <c r="J124" s="2">
        <v>45935</v>
      </c>
      <c r="K124" s="2">
        <v>45937</v>
      </c>
      <c r="L124" t="s">
        <v>8</v>
      </c>
      <c r="M124" t="s">
        <v>422</v>
      </c>
      <c r="N124" t="s">
        <v>10</v>
      </c>
      <c r="O124" t="s">
        <v>11</v>
      </c>
      <c r="P124" t="s">
        <v>12</v>
      </c>
      <c r="Q124" t="s">
        <v>24</v>
      </c>
      <c r="R124" t="s">
        <v>14</v>
      </c>
      <c r="S124" s="3">
        <v>445.35</v>
      </c>
      <c r="T124" t="s">
        <v>15</v>
      </c>
      <c r="U124" s="3">
        <v>39275.760000000002</v>
      </c>
      <c r="V124" t="s">
        <v>16</v>
      </c>
      <c r="W124" t="s">
        <v>17</v>
      </c>
      <c r="X124" t="s">
        <v>12</v>
      </c>
      <c r="Y124" t="s">
        <v>8</v>
      </c>
      <c r="Z124" t="s">
        <v>18</v>
      </c>
      <c r="AA124" t="s">
        <v>423</v>
      </c>
      <c r="AB124" t="s">
        <v>12</v>
      </c>
      <c r="AC124" t="s">
        <v>12</v>
      </c>
      <c r="AD124" t="s">
        <v>12</v>
      </c>
      <c r="AE124" s="2">
        <v>45935</v>
      </c>
      <c r="AF124" s="2"/>
      <c r="AG124" t="s">
        <v>12</v>
      </c>
    </row>
    <row r="125" spans="1:33" outlineLevel="2" x14ac:dyDescent="0.25">
      <c r="A125" t="s">
        <v>129</v>
      </c>
      <c r="B125" t="s">
        <v>1</v>
      </c>
      <c r="C125" t="s">
        <v>2</v>
      </c>
      <c r="D125" t="s">
        <v>3</v>
      </c>
      <c r="E125" t="s">
        <v>4</v>
      </c>
      <c r="F125" t="s">
        <v>176</v>
      </c>
      <c r="G125" s="2">
        <v>45935</v>
      </c>
      <c r="H125" t="s">
        <v>424</v>
      </c>
      <c r="I125" t="s">
        <v>22</v>
      </c>
      <c r="J125" s="2">
        <v>45935</v>
      </c>
      <c r="K125" s="2">
        <v>45937</v>
      </c>
      <c r="L125" t="s">
        <v>8</v>
      </c>
      <c r="M125" t="s">
        <v>425</v>
      </c>
      <c r="N125" t="s">
        <v>10</v>
      </c>
      <c r="O125" t="s">
        <v>11</v>
      </c>
      <c r="P125" t="s">
        <v>12</v>
      </c>
      <c r="Q125" t="s">
        <v>24</v>
      </c>
      <c r="R125" t="s">
        <v>14</v>
      </c>
      <c r="S125" s="3">
        <v>582.79999999999995</v>
      </c>
      <c r="T125" t="s">
        <v>15</v>
      </c>
      <c r="U125" s="3">
        <v>51397.58</v>
      </c>
      <c r="V125" t="s">
        <v>16</v>
      </c>
      <c r="W125" t="s">
        <v>17</v>
      </c>
      <c r="X125" t="s">
        <v>12</v>
      </c>
      <c r="Y125" t="s">
        <v>426</v>
      </c>
      <c r="Z125" t="s">
        <v>18</v>
      </c>
      <c r="AA125" t="s">
        <v>427</v>
      </c>
      <c r="AB125" t="s">
        <v>12</v>
      </c>
      <c r="AC125" t="s">
        <v>12</v>
      </c>
      <c r="AD125" t="s">
        <v>12</v>
      </c>
      <c r="AE125" s="2">
        <v>45935</v>
      </c>
      <c r="AF125" s="2"/>
      <c r="AG125" t="s">
        <v>12</v>
      </c>
    </row>
    <row r="126" spans="1:33" outlineLevel="2" x14ac:dyDescent="0.25">
      <c r="A126" t="s">
        <v>129</v>
      </c>
      <c r="B126" t="s">
        <v>1</v>
      </c>
      <c r="C126" t="s">
        <v>2</v>
      </c>
      <c r="D126" t="s">
        <v>3</v>
      </c>
      <c r="E126" t="s">
        <v>4</v>
      </c>
      <c r="F126" t="s">
        <v>176</v>
      </c>
      <c r="G126" s="2">
        <v>45935</v>
      </c>
      <c r="H126" t="s">
        <v>428</v>
      </c>
      <c r="I126" t="s">
        <v>22</v>
      </c>
      <c r="J126" s="2">
        <v>45935</v>
      </c>
      <c r="K126" s="2">
        <v>45937</v>
      </c>
      <c r="L126" t="s">
        <v>8</v>
      </c>
      <c r="M126" t="s">
        <v>429</v>
      </c>
      <c r="N126" t="s">
        <v>10</v>
      </c>
      <c r="O126" t="s">
        <v>11</v>
      </c>
      <c r="P126" t="s">
        <v>12</v>
      </c>
      <c r="Q126" t="s">
        <v>24</v>
      </c>
      <c r="R126" t="s">
        <v>14</v>
      </c>
      <c r="S126" s="3">
        <v>456.75</v>
      </c>
      <c r="T126" t="s">
        <v>15</v>
      </c>
      <c r="U126" s="3">
        <v>40281.129999999997</v>
      </c>
      <c r="V126" t="s">
        <v>16</v>
      </c>
      <c r="W126" t="s">
        <v>17</v>
      </c>
      <c r="X126" t="s">
        <v>12</v>
      </c>
      <c r="Y126" t="s">
        <v>430</v>
      </c>
      <c r="Z126" t="s">
        <v>18</v>
      </c>
      <c r="AA126" t="s">
        <v>431</v>
      </c>
      <c r="AB126" t="s">
        <v>12</v>
      </c>
      <c r="AC126" t="s">
        <v>12</v>
      </c>
      <c r="AD126" t="s">
        <v>12</v>
      </c>
      <c r="AE126" s="2">
        <v>45935</v>
      </c>
      <c r="AF126" s="2"/>
      <c r="AG126" t="s">
        <v>12</v>
      </c>
    </row>
    <row r="127" spans="1:33" outlineLevel="2" x14ac:dyDescent="0.25">
      <c r="A127" t="s">
        <v>129</v>
      </c>
      <c r="B127" t="s">
        <v>1</v>
      </c>
      <c r="C127" t="s">
        <v>2</v>
      </c>
      <c r="D127" t="s">
        <v>3</v>
      </c>
      <c r="E127" t="s">
        <v>4</v>
      </c>
      <c r="F127" t="s">
        <v>176</v>
      </c>
      <c r="G127" s="2">
        <v>45935</v>
      </c>
      <c r="H127" t="s">
        <v>432</v>
      </c>
      <c r="I127" t="s">
        <v>22</v>
      </c>
      <c r="J127" s="2">
        <v>45935</v>
      </c>
      <c r="K127" s="2">
        <v>45937</v>
      </c>
      <c r="L127" t="s">
        <v>8</v>
      </c>
      <c r="M127" t="s">
        <v>433</v>
      </c>
      <c r="N127" t="s">
        <v>10</v>
      </c>
      <c r="O127" t="s">
        <v>11</v>
      </c>
      <c r="P127" t="s">
        <v>12</v>
      </c>
      <c r="Q127" t="s">
        <v>24</v>
      </c>
      <c r="R127" t="s">
        <v>14</v>
      </c>
      <c r="S127" s="3">
        <v>771.74</v>
      </c>
      <c r="T127" t="s">
        <v>15</v>
      </c>
      <c r="U127" s="3">
        <v>68060.34</v>
      </c>
      <c r="V127" t="s">
        <v>16</v>
      </c>
      <c r="W127" t="s">
        <v>17</v>
      </c>
      <c r="X127" t="s">
        <v>12</v>
      </c>
      <c r="Y127" t="s">
        <v>434</v>
      </c>
      <c r="Z127" t="s">
        <v>18</v>
      </c>
      <c r="AA127" t="s">
        <v>435</v>
      </c>
      <c r="AB127" t="s">
        <v>12</v>
      </c>
      <c r="AC127" t="s">
        <v>12</v>
      </c>
      <c r="AD127" t="s">
        <v>12</v>
      </c>
      <c r="AE127" s="2">
        <v>45935</v>
      </c>
      <c r="AF127" s="2"/>
      <c r="AG127" t="s">
        <v>12</v>
      </c>
    </row>
    <row r="128" spans="1:33" outlineLevel="2" x14ac:dyDescent="0.25">
      <c r="A128" t="s">
        <v>129</v>
      </c>
      <c r="B128" t="s">
        <v>1</v>
      </c>
      <c r="C128" t="s">
        <v>2</v>
      </c>
      <c r="D128" t="s">
        <v>3</v>
      </c>
      <c r="E128" t="s">
        <v>4</v>
      </c>
      <c r="F128" t="s">
        <v>176</v>
      </c>
      <c r="G128" s="2">
        <v>45935</v>
      </c>
      <c r="H128" t="s">
        <v>436</v>
      </c>
      <c r="I128" t="s">
        <v>22</v>
      </c>
      <c r="J128" s="2">
        <v>45935</v>
      </c>
      <c r="K128" s="2">
        <v>45940</v>
      </c>
      <c r="L128" t="s">
        <v>8</v>
      </c>
      <c r="M128" t="s">
        <v>437</v>
      </c>
      <c r="N128" t="s">
        <v>10</v>
      </c>
      <c r="O128" t="s">
        <v>11</v>
      </c>
      <c r="P128" t="s">
        <v>12</v>
      </c>
      <c r="Q128" t="s">
        <v>24</v>
      </c>
      <c r="R128" t="s">
        <v>14</v>
      </c>
      <c r="S128" s="3">
        <v>1432.98</v>
      </c>
      <c r="T128" t="s">
        <v>15</v>
      </c>
      <c r="U128" s="3">
        <v>126375.61</v>
      </c>
      <c r="V128" t="s">
        <v>16</v>
      </c>
      <c r="W128" t="s">
        <v>17</v>
      </c>
      <c r="X128" t="s">
        <v>12</v>
      </c>
      <c r="Y128" t="s">
        <v>438</v>
      </c>
      <c r="Z128" t="s">
        <v>18</v>
      </c>
      <c r="AA128" t="s">
        <v>439</v>
      </c>
      <c r="AB128" t="s">
        <v>12</v>
      </c>
      <c r="AC128" t="s">
        <v>12</v>
      </c>
      <c r="AD128" t="s">
        <v>12</v>
      </c>
      <c r="AE128" s="2">
        <v>45935</v>
      </c>
      <c r="AF128" s="2"/>
      <c r="AG128" t="s">
        <v>12</v>
      </c>
    </row>
    <row r="129" spans="1:33" outlineLevel="2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176</v>
      </c>
      <c r="G129" s="2">
        <v>45935</v>
      </c>
      <c r="H129" t="s">
        <v>440</v>
      </c>
      <c r="I129" t="s">
        <v>22</v>
      </c>
      <c r="J129" s="2">
        <v>45935</v>
      </c>
      <c r="K129" s="2">
        <v>45937</v>
      </c>
      <c r="L129" t="s">
        <v>8</v>
      </c>
      <c r="M129" t="s">
        <v>441</v>
      </c>
      <c r="N129" t="s">
        <v>10</v>
      </c>
      <c r="O129" t="s">
        <v>11</v>
      </c>
      <c r="P129" t="s">
        <v>12</v>
      </c>
      <c r="Q129" t="s">
        <v>24</v>
      </c>
      <c r="R129" t="s">
        <v>14</v>
      </c>
      <c r="S129" s="3">
        <v>582.79999999999995</v>
      </c>
      <c r="T129" t="s">
        <v>15</v>
      </c>
      <c r="U129" s="3">
        <v>51397.58</v>
      </c>
      <c r="V129" t="s">
        <v>16</v>
      </c>
      <c r="W129" t="s">
        <v>17</v>
      </c>
      <c r="X129" t="s">
        <v>12</v>
      </c>
      <c r="Y129" t="s">
        <v>442</v>
      </c>
      <c r="Z129" t="s">
        <v>18</v>
      </c>
      <c r="AA129" t="s">
        <v>427</v>
      </c>
      <c r="AB129" t="s">
        <v>12</v>
      </c>
      <c r="AC129" t="s">
        <v>12</v>
      </c>
      <c r="AD129" t="s">
        <v>12</v>
      </c>
      <c r="AE129" s="2">
        <v>45935</v>
      </c>
      <c r="AF129" s="2">
        <v>45976</v>
      </c>
      <c r="AG129" t="s">
        <v>64</v>
      </c>
    </row>
    <row r="130" spans="1:33" outlineLevel="2" x14ac:dyDescent="0.25">
      <c r="A130" t="s">
        <v>129</v>
      </c>
      <c r="B130" t="s">
        <v>1</v>
      </c>
      <c r="C130" t="s">
        <v>2</v>
      </c>
      <c r="D130" t="s">
        <v>3</v>
      </c>
      <c r="E130" t="s">
        <v>4</v>
      </c>
      <c r="F130" t="s">
        <v>313</v>
      </c>
      <c r="G130" s="2">
        <v>45906</v>
      </c>
      <c r="H130" t="s">
        <v>443</v>
      </c>
      <c r="I130" t="s">
        <v>22</v>
      </c>
      <c r="J130" s="2">
        <v>45906</v>
      </c>
      <c r="K130" s="2">
        <v>45909</v>
      </c>
      <c r="L130" t="s">
        <v>8</v>
      </c>
      <c r="M130" t="s">
        <v>444</v>
      </c>
      <c r="N130" t="s">
        <v>10</v>
      </c>
      <c r="O130" t="s">
        <v>11</v>
      </c>
      <c r="P130" t="s">
        <v>12</v>
      </c>
      <c r="Q130" t="s">
        <v>24</v>
      </c>
      <c r="R130" t="s">
        <v>14</v>
      </c>
      <c r="S130" s="3">
        <v>8832.14</v>
      </c>
      <c r="T130" t="s">
        <v>15</v>
      </c>
      <c r="U130" s="3">
        <v>772938.81</v>
      </c>
      <c r="V130" t="s">
        <v>16</v>
      </c>
      <c r="W130" t="s">
        <v>17</v>
      </c>
      <c r="X130" t="s">
        <v>12</v>
      </c>
      <c r="Y130" t="s">
        <v>8</v>
      </c>
      <c r="Z130" t="s">
        <v>18</v>
      </c>
      <c r="AA130" t="s">
        <v>445</v>
      </c>
      <c r="AB130" t="s">
        <v>12</v>
      </c>
      <c r="AC130" t="s">
        <v>12</v>
      </c>
      <c r="AD130" t="s">
        <v>12</v>
      </c>
      <c r="AE130" s="2">
        <v>45906</v>
      </c>
      <c r="AF130" s="2"/>
      <c r="AG130" t="s">
        <v>12</v>
      </c>
    </row>
    <row r="131" spans="1:33" outlineLevel="2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130</v>
      </c>
      <c r="G131" s="2">
        <v>45795</v>
      </c>
      <c r="H131" t="s">
        <v>446</v>
      </c>
      <c r="I131" t="s">
        <v>22</v>
      </c>
      <c r="J131" s="2">
        <v>45795</v>
      </c>
      <c r="K131" s="2">
        <v>45805</v>
      </c>
      <c r="L131" t="s">
        <v>8</v>
      </c>
      <c r="M131" t="s">
        <v>447</v>
      </c>
      <c r="N131" t="s">
        <v>10</v>
      </c>
      <c r="O131" t="s">
        <v>11</v>
      </c>
      <c r="P131" t="s">
        <v>12</v>
      </c>
      <c r="Q131" t="s">
        <v>24</v>
      </c>
      <c r="R131" t="s">
        <v>14</v>
      </c>
      <c r="S131" s="3">
        <v>140</v>
      </c>
      <c r="T131" t="s">
        <v>15</v>
      </c>
      <c r="U131" s="3">
        <v>12037.72</v>
      </c>
      <c r="V131" t="s">
        <v>16</v>
      </c>
      <c r="W131" t="s">
        <v>17</v>
      </c>
      <c r="X131" t="s">
        <v>12</v>
      </c>
      <c r="Y131" t="s">
        <v>8</v>
      </c>
      <c r="Z131" t="s">
        <v>18</v>
      </c>
      <c r="AA131" t="s">
        <v>201</v>
      </c>
      <c r="AB131" t="s">
        <v>12</v>
      </c>
      <c r="AC131" t="s">
        <v>12</v>
      </c>
      <c r="AD131" t="s">
        <v>12</v>
      </c>
      <c r="AE131" s="2">
        <v>45795</v>
      </c>
      <c r="AF131" s="2">
        <v>45976</v>
      </c>
      <c r="AG131" t="s">
        <v>64</v>
      </c>
    </row>
    <row r="132" spans="1:33" outlineLevel="2" x14ac:dyDescent="0.25">
      <c r="A132" t="s">
        <v>129</v>
      </c>
      <c r="B132" t="s">
        <v>1</v>
      </c>
      <c r="C132" t="s">
        <v>2</v>
      </c>
      <c r="D132" t="s">
        <v>3</v>
      </c>
      <c r="E132" t="s">
        <v>448</v>
      </c>
      <c r="F132" t="s">
        <v>18</v>
      </c>
      <c r="G132" s="2">
        <v>46024</v>
      </c>
      <c r="H132" t="s">
        <v>449</v>
      </c>
      <c r="I132" t="s">
        <v>22</v>
      </c>
      <c r="J132" s="2">
        <v>46024</v>
      </c>
      <c r="K132" s="2">
        <v>46024</v>
      </c>
      <c r="L132" t="s">
        <v>8</v>
      </c>
      <c r="M132" t="s">
        <v>450</v>
      </c>
      <c r="N132" t="s">
        <v>10</v>
      </c>
      <c r="O132" t="s">
        <v>11</v>
      </c>
      <c r="P132" t="s">
        <v>12</v>
      </c>
      <c r="Q132" t="s">
        <v>24</v>
      </c>
      <c r="R132" t="s">
        <v>14</v>
      </c>
      <c r="S132" s="3">
        <v>7039.11</v>
      </c>
      <c r="T132" t="s">
        <v>15</v>
      </c>
      <c r="U132" s="3">
        <v>638750.93999999994</v>
      </c>
      <c r="V132" t="s">
        <v>16</v>
      </c>
      <c r="W132" t="s">
        <v>17</v>
      </c>
      <c r="X132" t="s">
        <v>12</v>
      </c>
      <c r="Y132" t="s">
        <v>451</v>
      </c>
      <c r="Z132" t="s">
        <v>18</v>
      </c>
      <c r="AA132" t="s">
        <v>452</v>
      </c>
      <c r="AB132" t="s">
        <v>12</v>
      </c>
      <c r="AC132" t="s">
        <v>12</v>
      </c>
      <c r="AD132" t="s">
        <v>12</v>
      </c>
      <c r="AE132" s="2">
        <v>46024</v>
      </c>
      <c r="AF132" s="2"/>
      <c r="AG132" t="s">
        <v>12</v>
      </c>
    </row>
    <row r="133" spans="1:33" outlineLevel="2" x14ac:dyDescent="0.25">
      <c r="A133" t="s">
        <v>129</v>
      </c>
      <c r="B133" t="s">
        <v>1</v>
      </c>
      <c r="C133" t="s">
        <v>2</v>
      </c>
      <c r="D133" t="s">
        <v>3</v>
      </c>
      <c r="E133" t="s">
        <v>448</v>
      </c>
      <c r="F133" t="s">
        <v>18</v>
      </c>
      <c r="G133" s="2">
        <v>46024</v>
      </c>
      <c r="H133" t="s">
        <v>453</v>
      </c>
      <c r="I133" t="s">
        <v>22</v>
      </c>
      <c r="J133" s="2">
        <v>46024</v>
      </c>
      <c r="K133" s="2">
        <v>46024</v>
      </c>
      <c r="L133" t="s">
        <v>8</v>
      </c>
      <c r="M133" t="s">
        <v>454</v>
      </c>
      <c r="N133" t="s">
        <v>10</v>
      </c>
      <c r="O133" t="s">
        <v>11</v>
      </c>
      <c r="P133" t="s">
        <v>12</v>
      </c>
      <c r="Q133" t="s">
        <v>24</v>
      </c>
      <c r="R133" t="s">
        <v>14</v>
      </c>
      <c r="S133" s="3">
        <v>456.75</v>
      </c>
      <c r="T133" t="s">
        <v>15</v>
      </c>
      <c r="U133" s="3">
        <v>41446.93</v>
      </c>
      <c r="V133" t="s">
        <v>16</v>
      </c>
      <c r="W133" t="s">
        <v>17</v>
      </c>
      <c r="X133" t="s">
        <v>12</v>
      </c>
      <c r="Y133" t="s">
        <v>455</v>
      </c>
      <c r="Z133" t="s">
        <v>18</v>
      </c>
      <c r="AA133" t="s">
        <v>456</v>
      </c>
      <c r="AB133" t="s">
        <v>12</v>
      </c>
      <c r="AC133" t="s">
        <v>12</v>
      </c>
      <c r="AD133" t="s">
        <v>12</v>
      </c>
      <c r="AE133" s="2">
        <v>46024</v>
      </c>
      <c r="AF133" s="2"/>
      <c r="AG133" t="s">
        <v>12</v>
      </c>
    </row>
    <row r="134" spans="1:33" outlineLevel="2" x14ac:dyDescent="0.25">
      <c r="A134" t="s">
        <v>129</v>
      </c>
      <c r="B134" t="s">
        <v>1</v>
      </c>
      <c r="C134" t="s">
        <v>2</v>
      </c>
      <c r="D134" t="s">
        <v>3</v>
      </c>
      <c r="E134" t="s">
        <v>448</v>
      </c>
      <c r="F134" t="s">
        <v>18</v>
      </c>
      <c r="G134" s="2">
        <v>46027</v>
      </c>
      <c r="H134" t="s">
        <v>457</v>
      </c>
      <c r="I134" t="s">
        <v>22</v>
      </c>
      <c r="J134" s="2">
        <v>46027</v>
      </c>
      <c r="K134" s="2">
        <v>46027</v>
      </c>
      <c r="L134" t="s">
        <v>8</v>
      </c>
      <c r="M134" t="s">
        <v>458</v>
      </c>
      <c r="N134" t="s">
        <v>10</v>
      </c>
      <c r="O134" t="s">
        <v>11</v>
      </c>
      <c r="P134" t="s">
        <v>12</v>
      </c>
      <c r="Q134" t="s">
        <v>24</v>
      </c>
      <c r="R134" t="s">
        <v>14</v>
      </c>
      <c r="S134" s="3">
        <v>358.14</v>
      </c>
      <c r="T134" t="s">
        <v>15</v>
      </c>
      <c r="U134" s="3">
        <v>32498.75</v>
      </c>
      <c r="V134" t="s">
        <v>16</v>
      </c>
      <c r="W134" t="s">
        <v>17</v>
      </c>
      <c r="X134" t="s">
        <v>12</v>
      </c>
      <c r="Y134" t="s">
        <v>459</v>
      </c>
      <c r="Z134" t="s">
        <v>18</v>
      </c>
      <c r="AA134" t="s">
        <v>460</v>
      </c>
      <c r="AB134" t="s">
        <v>12</v>
      </c>
      <c r="AC134" t="s">
        <v>12</v>
      </c>
      <c r="AD134" t="s">
        <v>12</v>
      </c>
      <c r="AE134" s="2">
        <v>46027</v>
      </c>
      <c r="AF134" s="2"/>
      <c r="AG134" t="s">
        <v>12</v>
      </c>
    </row>
    <row r="135" spans="1:33" outlineLevel="2" x14ac:dyDescent="0.25">
      <c r="A135" t="s">
        <v>129</v>
      </c>
      <c r="B135" t="s">
        <v>1</v>
      </c>
      <c r="C135" t="s">
        <v>2</v>
      </c>
      <c r="D135" t="s">
        <v>3</v>
      </c>
      <c r="E135" t="s">
        <v>448</v>
      </c>
      <c r="F135" t="s">
        <v>18</v>
      </c>
      <c r="G135" s="2">
        <v>46027</v>
      </c>
      <c r="H135" t="s">
        <v>461</v>
      </c>
      <c r="I135" t="s">
        <v>7</v>
      </c>
      <c r="J135" s="2">
        <v>46027</v>
      </c>
      <c r="K135" s="2">
        <v>46027</v>
      </c>
      <c r="L135" t="s">
        <v>8</v>
      </c>
      <c r="M135" t="s">
        <v>462</v>
      </c>
      <c r="N135" t="s">
        <v>10</v>
      </c>
      <c r="O135" t="s">
        <v>11</v>
      </c>
      <c r="P135" t="s">
        <v>12</v>
      </c>
      <c r="Q135" t="s">
        <v>13</v>
      </c>
      <c r="R135" t="s">
        <v>14</v>
      </c>
      <c r="S135" s="3">
        <v>-3.4</v>
      </c>
      <c r="T135" t="s">
        <v>15</v>
      </c>
      <c r="U135" s="3">
        <v>-308.52999999999997</v>
      </c>
      <c r="V135" t="s">
        <v>16</v>
      </c>
      <c r="W135" t="s">
        <v>17</v>
      </c>
      <c r="X135" t="s">
        <v>12</v>
      </c>
      <c r="Y135" t="s">
        <v>463</v>
      </c>
      <c r="Z135" t="s">
        <v>18</v>
      </c>
      <c r="AA135" t="s">
        <v>464</v>
      </c>
      <c r="AB135" t="s">
        <v>12</v>
      </c>
      <c r="AC135" t="s">
        <v>12</v>
      </c>
      <c r="AD135" t="s">
        <v>12</v>
      </c>
      <c r="AE135" s="2">
        <v>46027</v>
      </c>
      <c r="AF135" s="2"/>
      <c r="AG135" t="s">
        <v>12</v>
      </c>
    </row>
    <row r="136" spans="1:33" outlineLevel="2" x14ac:dyDescent="0.25">
      <c r="A136" t="s">
        <v>129</v>
      </c>
      <c r="B136" t="s">
        <v>1</v>
      </c>
      <c r="C136" t="s">
        <v>2</v>
      </c>
      <c r="D136" t="s">
        <v>3</v>
      </c>
      <c r="E136" t="s">
        <v>448</v>
      </c>
      <c r="F136" t="s">
        <v>18</v>
      </c>
      <c r="G136" s="2">
        <v>46027</v>
      </c>
      <c r="H136" t="s">
        <v>465</v>
      </c>
      <c r="I136" t="s">
        <v>22</v>
      </c>
      <c r="J136" s="2">
        <v>46027</v>
      </c>
      <c r="K136" s="2">
        <v>46027</v>
      </c>
      <c r="L136" t="s">
        <v>8</v>
      </c>
      <c r="M136" t="s">
        <v>466</v>
      </c>
      <c r="N136" t="s">
        <v>10</v>
      </c>
      <c r="O136" t="s">
        <v>11</v>
      </c>
      <c r="P136" t="s">
        <v>12</v>
      </c>
      <c r="Q136" t="s">
        <v>24</v>
      </c>
      <c r="R136" t="s">
        <v>14</v>
      </c>
      <c r="S136" s="3">
        <v>11.75</v>
      </c>
      <c r="T136" t="s">
        <v>15</v>
      </c>
      <c r="U136" s="3">
        <v>1066.23</v>
      </c>
      <c r="V136" t="s">
        <v>16</v>
      </c>
      <c r="W136" t="s">
        <v>17</v>
      </c>
      <c r="X136" t="s">
        <v>12</v>
      </c>
      <c r="Y136" t="s">
        <v>467</v>
      </c>
      <c r="Z136" t="s">
        <v>18</v>
      </c>
      <c r="AA136" t="s">
        <v>468</v>
      </c>
      <c r="AB136" t="s">
        <v>12</v>
      </c>
      <c r="AC136" t="s">
        <v>12</v>
      </c>
      <c r="AD136" t="s">
        <v>12</v>
      </c>
      <c r="AE136" s="2">
        <v>46027</v>
      </c>
      <c r="AF136" s="2"/>
      <c r="AG136" t="s">
        <v>12</v>
      </c>
    </row>
    <row r="137" spans="1:33" outlineLevel="2" x14ac:dyDescent="0.25">
      <c r="A137" t="s">
        <v>129</v>
      </c>
      <c r="B137" t="s">
        <v>1</v>
      </c>
      <c r="C137" t="s">
        <v>2</v>
      </c>
      <c r="D137" t="s">
        <v>3</v>
      </c>
      <c r="E137" t="s">
        <v>448</v>
      </c>
      <c r="F137" t="s">
        <v>18</v>
      </c>
      <c r="G137" s="2">
        <v>46027</v>
      </c>
      <c r="H137" t="s">
        <v>469</v>
      </c>
      <c r="I137" t="s">
        <v>22</v>
      </c>
      <c r="J137" s="2">
        <v>46027</v>
      </c>
      <c r="K137" s="2">
        <v>46027</v>
      </c>
      <c r="L137" t="s">
        <v>470</v>
      </c>
      <c r="M137" t="s">
        <v>471</v>
      </c>
      <c r="N137" t="s">
        <v>10</v>
      </c>
      <c r="O137" t="s">
        <v>11</v>
      </c>
      <c r="P137" t="s">
        <v>12</v>
      </c>
      <c r="Q137" t="s">
        <v>24</v>
      </c>
      <c r="R137" t="s">
        <v>14</v>
      </c>
      <c r="S137" s="3">
        <v>41.46</v>
      </c>
      <c r="T137" t="s">
        <v>15</v>
      </c>
      <c r="U137" s="3">
        <v>3762.21</v>
      </c>
      <c r="V137" t="s">
        <v>16</v>
      </c>
      <c r="W137" t="s">
        <v>17</v>
      </c>
      <c r="X137" t="s">
        <v>12</v>
      </c>
      <c r="Y137" t="s">
        <v>8</v>
      </c>
      <c r="Z137" t="s">
        <v>18</v>
      </c>
      <c r="AA137" t="s">
        <v>472</v>
      </c>
      <c r="AB137" t="s">
        <v>12</v>
      </c>
      <c r="AC137" t="s">
        <v>12</v>
      </c>
      <c r="AD137" t="s">
        <v>12</v>
      </c>
      <c r="AE137" s="2">
        <v>46027</v>
      </c>
      <c r="AF137" s="2"/>
      <c r="AG137" t="s">
        <v>12</v>
      </c>
    </row>
    <row r="138" spans="1:33" outlineLevel="2" x14ac:dyDescent="0.25">
      <c r="A138" t="s">
        <v>129</v>
      </c>
      <c r="B138" t="s">
        <v>1</v>
      </c>
      <c r="C138" t="s">
        <v>2</v>
      </c>
      <c r="D138" t="s">
        <v>3</v>
      </c>
      <c r="E138" t="s">
        <v>448</v>
      </c>
      <c r="F138" t="s">
        <v>18</v>
      </c>
      <c r="G138" s="2">
        <v>46027</v>
      </c>
      <c r="H138" t="s">
        <v>473</v>
      </c>
      <c r="I138" t="s">
        <v>22</v>
      </c>
      <c r="J138" s="2">
        <v>46027</v>
      </c>
      <c r="K138" s="2">
        <v>46027</v>
      </c>
      <c r="L138" t="s">
        <v>474</v>
      </c>
      <c r="M138" t="s">
        <v>475</v>
      </c>
      <c r="N138" t="s">
        <v>10</v>
      </c>
      <c r="O138" t="s">
        <v>11</v>
      </c>
      <c r="P138" t="s">
        <v>12</v>
      </c>
      <c r="Q138" t="s">
        <v>24</v>
      </c>
      <c r="R138" t="s">
        <v>14</v>
      </c>
      <c r="S138" s="3">
        <v>99</v>
      </c>
      <c r="T138" t="s">
        <v>15</v>
      </c>
      <c r="U138" s="3">
        <v>8983.57</v>
      </c>
      <c r="V138" t="s">
        <v>16</v>
      </c>
      <c r="W138" t="s">
        <v>17</v>
      </c>
      <c r="X138" t="s">
        <v>12</v>
      </c>
      <c r="Y138" t="s">
        <v>8</v>
      </c>
      <c r="Z138" t="s">
        <v>18</v>
      </c>
      <c r="AA138" t="s">
        <v>476</v>
      </c>
      <c r="AB138" t="s">
        <v>12</v>
      </c>
      <c r="AC138" t="s">
        <v>12</v>
      </c>
      <c r="AD138" t="s">
        <v>12</v>
      </c>
      <c r="AE138" s="2">
        <v>46027</v>
      </c>
      <c r="AF138" s="2"/>
      <c r="AG138" t="s">
        <v>12</v>
      </c>
    </row>
    <row r="139" spans="1:33" outlineLevel="2" x14ac:dyDescent="0.25">
      <c r="A139" t="s">
        <v>129</v>
      </c>
      <c r="B139" t="s">
        <v>1</v>
      </c>
      <c r="C139" t="s">
        <v>2</v>
      </c>
      <c r="D139" t="s">
        <v>3</v>
      </c>
      <c r="E139" t="s">
        <v>448</v>
      </c>
      <c r="F139" t="s">
        <v>18</v>
      </c>
      <c r="G139" s="2">
        <v>46027</v>
      </c>
      <c r="H139" t="s">
        <v>477</v>
      </c>
      <c r="I139" t="s">
        <v>22</v>
      </c>
      <c r="J139" s="2">
        <v>46027</v>
      </c>
      <c r="K139" s="2">
        <v>46027</v>
      </c>
      <c r="L139" t="s">
        <v>8</v>
      </c>
      <c r="M139" t="s">
        <v>478</v>
      </c>
      <c r="N139" t="s">
        <v>10</v>
      </c>
      <c r="O139" t="s">
        <v>11</v>
      </c>
      <c r="P139" t="s">
        <v>12</v>
      </c>
      <c r="Q139" t="s">
        <v>24</v>
      </c>
      <c r="R139" t="s">
        <v>14</v>
      </c>
      <c r="S139" s="3">
        <v>123.27</v>
      </c>
      <c r="T139" t="s">
        <v>15</v>
      </c>
      <c r="U139" s="3">
        <v>11185.91</v>
      </c>
      <c r="V139" t="s">
        <v>16</v>
      </c>
      <c r="W139" t="s">
        <v>17</v>
      </c>
      <c r="X139" t="s">
        <v>12</v>
      </c>
      <c r="Y139" t="s">
        <v>479</v>
      </c>
      <c r="Z139" t="s">
        <v>18</v>
      </c>
      <c r="AA139" t="s">
        <v>480</v>
      </c>
      <c r="AB139" t="s">
        <v>12</v>
      </c>
      <c r="AC139" t="s">
        <v>12</v>
      </c>
      <c r="AD139" t="s">
        <v>12</v>
      </c>
      <c r="AE139" s="2">
        <v>46027</v>
      </c>
      <c r="AF139" s="2"/>
      <c r="AG139" t="s">
        <v>12</v>
      </c>
    </row>
    <row r="140" spans="1:33" outlineLevel="2" x14ac:dyDescent="0.25">
      <c r="A140" t="s">
        <v>129</v>
      </c>
      <c r="B140" t="s">
        <v>1</v>
      </c>
      <c r="C140" t="s">
        <v>2</v>
      </c>
      <c r="D140" t="s">
        <v>3</v>
      </c>
      <c r="E140" t="s">
        <v>448</v>
      </c>
      <c r="F140" t="s">
        <v>18</v>
      </c>
      <c r="G140" s="2">
        <v>46030</v>
      </c>
      <c r="H140" t="s">
        <v>481</v>
      </c>
      <c r="I140" t="s">
        <v>482</v>
      </c>
      <c r="J140" s="2">
        <v>46030</v>
      </c>
      <c r="K140" s="2">
        <v>46030</v>
      </c>
      <c r="L140" t="s">
        <v>483</v>
      </c>
      <c r="M140" t="s">
        <v>12</v>
      </c>
      <c r="N140" t="s">
        <v>10</v>
      </c>
      <c r="O140" t="s">
        <v>11</v>
      </c>
      <c r="P140" t="s">
        <v>12</v>
      </c>
      <c r="Q140" t="s">
        <v>484</v>
      </c>
      <c r="R140" t="s">
        <v>15</v>
      </c>
      <c r="S140" s="3">
        <v>-500000</v>
      </c>
      <c r="T140" t="s">
        <v>15</v>
      </c>
      <c r="U140" s="3">
        <v>-500000</v>
      </c>
      <c r="V140" t="s">
        <v>12</v>
      </c>
      <c r="W140" t="s">
        <v>485</v>
      </c>
      <c r="X140" t="s">
        <v>12</v>
      </c>
      <c r="Y140" t="s">
        <v>12</v>
      </c>
      <c r="Z140" t="s">
        <v>358</v>
      </c>
      <c r="AA140" t="s">
        <v>12</v>
      </c>
      <c r="AB140" t="s">
        <v>12</v>
      </c>
      <c r="AC140" t="s">
        <v>12</v>
      </c>
      <c r="AD140" t="s">
        <v>12</v>
      </c>
      <c r="AE140" s="2">
        <v>46030</v>
      </c>
      <c r="AF140" s="2"/>
      <c r="AG140" t="s">
        <v>12</v>
      </c>
    </row>
    <row r="141" spans="1:33" outlineLevel="2" x14ac:dyDescent="0.25">
      <c r="A141" t="s">
        <v>129</v>
      </c>
      <c r="B141" t="s">
        <v>1</v>
      </c>
      <c r="C141" t="s">
        <v>2</v>
      </c>
      <c r="D141" t="s">
        <v>3</v>
      </c>
      <c r="E141" t="s">
        <v>448</v>
      </c>
      <c r="F141" t="s">
        <v>18</v>
      </c>
      <c r="G141" s="2">
        <v>46031</v>
      </c>
      <c r="H141" t="s">
        <v>486</v>
      </c>
      <c r="I141" t="s">
        <v>22</v>
      </c>
      <c r="J141" s="2">
        <v>46031</v>
      </c>
      <c r="K141" s="2">
        <v>46031</v>
      </c>
      <c r="L141" t="s">
        <v>8</v>
      </c>
      <c r="M141" t="s">
        <v>487</v>
      </c>
      <c r="N141" t="s">
        <v>10</v>
      </c>
      <c r="O141" t="s">
        <v>11</v>
      </c>
      <c r="P141" t="s">
        <v>12</v>
      </c>
      <c r="Q141" t="s">
        <v>24</v>
      </c>
      <c r="R141" t="s">
        <v>14</v>
      </c>
      <c r="S141" s="3">
        <v>16.45</v>
      </c>
      <c r="T141" t="s">
        <v>15</v>
      </c>
      <c r="U141" s="3">
        <v>1492.72</v>
      </c>
      <c r="V141" t="s">
        <v>16</v>
      </c>
      <c r="W141" t="s">
        <v>17</v>
      </c>
      <c r="X141" t="s">
        <v>12</v>
      </c>
      <c r="Y141" t="s">
        <v>8</v>
      </c>
      <c r="Z141" t="s">
        <v>18</v>
      </c>
      <c r="AA141" t="s">
        <v>288</v>
      </c>
      <c r="AB141" t="s">
        <v>12</v>
      </c>
      <c r="AC141" t="s">
        <v>12</v>
      </c>
      <c r="AD141" t="s">
        <v>12</v>
      </c>
      <c r="AE141" s="2">
        <v>46031</v>
      </c>
      <c r="AF141" s="2"/>
      <c r="AG141" t="s">
        <v>12</v>
      </c>
    </row>
    <row r="142" spans="1:33" outlineLevel="2" x14ac:dyDescent="0.25">
      <c r="A142" t="s">
        <v>129</v>
      </c>
      <c r="B142" t="s">
        <v>1</v>
      </c>
      <c r="C142" t="s">
        <v>2</v>
      </c>
      <c r="D142" t="s">
        <v>3</v>
      </c>
      <c r="E142" t="s">
        <v>448</v>
      </c>
      <c r="F142" t="s">
        <v>18</v>
      </c>
      <c r="G142" s="2">
        <v>46028</v>
      </c>
      <c r="H142" t="s">
        <v>488</v>
      </c>
      <c r="I142" t="s">
        <v>22</v>
      </c>
      <c r="J142" s="2">
        <v>46028</v>
      </c>
      <c r="K142" s="2">
        <v>46031</v>
      </c>
      <c r="L142" t="s">
        <v>489</v>
      </c>
      <c r="M142" t="s">
        <v>490</v>
      </c>
      <c r="N142" t="s">
        <v>10</v>
      </c>
      <c r="O142" t="s">
        <v>11</v>
      </c>
      <c r="P142" t="s">
        <v>12</v>
      </c>
      <c r="Q142" t="s">
        <v>24</v>
      </c>
      <c r="R142" t="s">
        <v>14</v>
      </c>
      <c r="S142" s="3">
        <v>360.75</v>
      </c>
      <c r="T142" t="s">
        <v>15</v>
      </c>
      <c r="U142" s="3">
        <v>32735.59</v>
      </c>
      <c r="V142" t="s">
        <v>16</v>
      </c>
      <c r="W142" t="s">
        <v>17</v>
      </c>
      <c r="X142" t="s">
        <v>12</v>
      </c>
      <c r="Y142" t="s">
        <v>8</v>
      </c>
      <c r="Z142" t="s">
        <v>18</v>
      </c>
      <c r="AA142" t="s">
        <v>491</v>
      </c>
      <c r="AB142" t="s">
        <v>12</v>
      </c>
      <c r="AC142" t="s">
        <v>12</v>
      </c>
      <c r="AD142" t="s">
        <v>12</v>
      </c>
      <c r="AE142" s="2">
        <v>46028</v>
      </c>
      <c r="AF142" s="2"/>
      <c r="AG142" t="s">
        <v>12</v>
      </c>
    </row>
    <row r="143" spans="1:33" outlineLevel="2" x14ac:dyDescent="0.25">
      <c r="A143" t="s">
        <v>129</v>
      </c>
      <c r="B143" t="s">
        <v>1</v>
      </c>
      <c r="C143" t="s">
        <v>2</v>
      </c>
      <c r="D143" t="s">
        <v>3</v>
      </c>
      <c r="E143" t="s">
        <v>448</v>
      </c>
      <c r="F143" t="s">
        <v>18</v>
      </c>
      <c r="G143" s="2">
        <v>46028</v>
      </c>
      <c r="H143" t="s">
        <v>492</v>
      </c>
      <c r="I143" t="s">
        <v>22</v>
      </c>
      <c r="J143" s="2">
        <v>46028</v>
      </c>
      <c r="K143" s="2">
        <v>46031</v>
      </c>
      <c r="L143" t="s">
        <v>493</v>
      </c>
      <c r="M143" t="s">
        <v>494</v>
      </c>
      <c r="N143" t="s">
        <v>10</v>
      </c>
      <c r="O143" t="s">
        <v>11</v>
      </c>
      <c r="P143" t="s">
        <v>12</v>
      </c>
      <c r="Q143" t="s">
        <v>24</v>
      </c>
      <c r="R143" t="s">
        <v>14</v>
      </c>
      <c r="S143" s="3">
        <v>505.46</v>
      </c>
      <c r="T143" t="s">
        <v>15</v>
      </c>
      <c r="U143" s="3">
        <v>45867.03</v>
      </c>
      <c r="V143" t="s">
        <v>16</v>
      </c>
      <c r="W143" t="s">
        <v>17</v>
      </c>
      <c r="X143" t="s">
        <v>12</v>
      </c>
      <c r="Y143" t="s">
        <v>8</v>
      </c>
      <c r="Z143" t="s">
        <v>18</v>
      </c>
      <c r="AA143" t="s">
        <v>495</v>
      </c>
      <c r="AB143" t="s">
        <v>12</v>
      </c>
      <c r="AC143" t="s">
        <v>12</v>
      </c>
      <c r="AD143" t="s">
        <v>12</v>
      </c>
      <c r="AE143" s="2">
        <v>46028</v>
      </c>
      <c r="AF143" s="2"/>
      <c r="AG143" t="s">
        <v>12</v>
      </c>
    </row>
    <row r="144" spans="1:33" outlineLevel="2" x14ac:dyDescent="0.25">
      <c r="A144" t="s">
        <v>129</v>
      </c>
      <c r="B144" t="s">
        <v>1</v>
      </c>
      <c r="C144" t="s">
        <v>2</v>
      </c>
      <c r="D144" t="s">
        <v>3</v>
      </c>
      <c r="E144" t="s">
        <v>448</v>
      </c>
      <c r="F144" t="s">
        <v>18</v>
      </c>
      <c r="G144" s="2">
        <v>46034</v>
      </c>
      <c r="H144" t="s">
        <v>496</v>
      </c>
      <c r="I144" t="s">
        <v>22</v>
      </c>
      <c r="J144" s="2">
        <v>46034</v>
      </c>
      <c r="K144" s="2">
        <v>46034</v>
      </c>
      <c r="L144" t="s">
        <v>497</v>
      </c>
      <c r="M144" t="s">
        <v>498</v>
      </c>
      <c r="N144" t="s">
        <v>10</v>
      </c>
      <c r="O144" t="s">
        <v>11</v>
      </c>
      <c r="P144" t="s">
        <v>12</v>
      </c>
      <c r="Q144" t="s">
        <v>24</v>
      </c>
      <c r="R144" t="s">
        <v>14</v>
      </c>
      <c r="S144" s="3">
        <v>188</v>
      </c>
      <c r="T144" t="s">
        <v>15</v>
      </c>
      <c r="U144" s="3">
        <v>17059.71</v>
      </c>
      <c r="V144" t="s">
        <v>16</v>
      </c>
      <c r="W144" t="s">
        <v>17</v>
      </c>
      <c r="X144" t="s">
        <v>12</v>
      </c>
      <c r="Y144" t="s">
        <v>8</v>
      </c>
      <c r="Z144" t="s">
        <v>18</v>
      </c>
      <c r="AA144" t="s">
        <v>499</v>
      </c>
      <c r="AB144" t="s">
        <v>12</v>
      </c>
      <c r="AC144" t="s">
        <v>12</v>
      </c>
      <c r="AD144" t="s">
        <v>12</v>
      </c>
      <c r="AE144" s="2">
        <v>46034</v>
      </c>
      <c r="AF144" s="2"/>
      <c r="AG144" t="s">
        <v>12</v>
      </c>
    </row>
    <row r="145" spans="1:33" outlineLevel="2" x14ac:dyDescent="0.25">
      <c r="A145" t="s">
        <v>129</v>
      </c>
      <c r="B145" t="s">
        <v>1</v>
      </c>
      <c r="C145" t="s">
        <v>2</v>
      </c>
      <c r="D145" t="s">
        <v>3</v>
      </c>
      <c r="E145" t="s">
        <v>448</v>
      </c>
      <c r="F145" t="s">
        <v>18</v>
      </c>
      <c r="G145" s="2">
        <v>46034</v>
      </c>
      <c r="H145" t="s">
        <v>500</v>
      </c>
      <c r="I145" t="s">
        <v>22</v>
      </c>
      <c r="J145" s="2">
        <v>46034</v>
      </c>
      <c r="K145" s="2">
        <v>46034</v>
      </c>
      <c r="L145" t="s">
        <v>501</v>
      </c>
      <c r="M145" t="s">
        <v>502</v>
      </c>
      <c r="N145" t="s">
        <v>10</v>
      </c>
      <c r="O145" t="s">
        <v>11</v>
      </c>
      <c r="P145" t="s">
        <v>12</v>
      </c>
      <c r="Q145" t="s">
        <v>24</v>
      </c>
      <c r="R145" t="s">
        <v>14</v>
      </c>
      <c r="S145" s="3">
        <v>48.8</v>
      </c>
      <c r="T145" t="s">
        <v>15</v>
      </c>
      <c r="U145" s="3">
        <v>4428.2700000000004</v>
      </c>
      <c r="V145" t="s">
        <v>16</v>
      </c>
      <c r="W145" t="s">
        <v>17</v>
      </c>
      <c r="X145" t="s">
        <v>12</v>
      </c>
      <c r="Y145" t="s">
        <v>8</v>
      </c>
      <c r="Z145" t="s">
        <v>18</v>
      </c>
      <c r="AA145" t="s">
        <v>503</v>
      </c>
      <c r="AB145" t="s">
        <v>12</v>
      </c>
      <c r="AC145" t="s">
        <v>12</v>
      </c>
      <c r="AD145" t="s">
        <v>12</v>
      </c>
      <c r="AE145" s="2">
        <v>46034</v>
      </c>
      <c r="AF145" s="2"/>
      <c r="AG145" t="s">
        <v>12</v>
      </c>
    </row>
    <row r="146" spans="1:33" outlineLevel="2" x14ac:dyDescent="0.25">
      <c r="A146" t="s">
        <v>129</v>
      </c>
      <c r="B146" t="s">
        <v>1</v>
      </c>
      <c r="C146" t="s">
        <v>2</v>
      </c>
      <c r="D146" t="s">
        <v>3</v>
      </c>
      <c r="E146" t="s">
        <v>448</v>
      </c>
      <c r="F146" t="s">
        <v>18</v>
      </c>
      <c r="G146" s="2">
        <v>46028</v>
      </c>
      <c r="H146" t="s">
        <v>504</v>
      </c>
      <c r="I146" t="s">
        <v>22</v>
      </c>
      <c r="J146" s="2">
        <v>46028</v>
      </c>
      <c r="K146" s="2">
        <v>46034</v>
      </c>
      <c r="L146" t="s">
        <v>505</v>
      </c>
      <c r="M146" t="s">
        <v>506</v>
      </c>
      <c r="N146" t="s">
        <v>10</v>
      </c>
      <c r="O146" t="s">
        <v>11</v>
      </c>
      <c r="P146" t="s">
        <v>12</v>
      </c>
      <c r="Q146" t="s">
        <v>24</v>
      </c>
      <c r="R146" t="s">
        <v>14</v>
      </c>
      <c r="S146" s="3">
        <v>77.849999999999994</v>
      </c>
      <c r="T146" t="s">
        <v>15</v>
      </c>
      <c r="U146" s="3">
        <v>7064.35</v>
      </c>
      <c r="V146" t="s">
        <v>16</v>
      </c>
      <c r="W146" t="s">
        <v>17</v>
      </c>
      <c r="X146" t="s">
        <v>12</v>
      </c>
      <c r="Y146" t="s">
        <v>8</v>
      </c>
      <c r="Z146" t="s">
        <v>18</v>
      </c>
      <c r="AA146" t="s">
        <v>476</v>
      </c>
      <c r="AB146" t="s">
        <v>12</v>
      </c>
      <c r="AC146" t="s">
        <v>12</v>
      </c>
      <c r="AD146" t="s">
        <v>12</v>
      </c>
      <c r="AE146" s="2">
        <v>46028</v>
      </c>
      <c r="AF146" s="2"/>
      <c r="AG146" t="s">
        <v>12</v>
      </c>
    </row>
    <row r="147" spans="1:33" outlineLevel="2" x14ac:dyDescent="0.25">
      <c r="A147" t="s">
        <v>129</v>
      </c>
      <c r="B147" t="s">
        <v>1</v>
      </c>
      <c r="C147" t="s">
        <v>2</v>
      </c>
      <c r="D147" t="s">
        <v>3</v>
      </c>
      <c r="E147" t="s">
        <v>448</v>
      </c>
      <c r="F147" t="s">
        <v>18</v>
      </c>
      <c r="G147" s="2">
        <v>46034</v>
      </c>
      <c r="H147" t="s">
        <v>507</v>
      </c>
      <c r="I147" t="s">
        <v>22</v>
      </c>
      <c r="J147" s="2">
        <v>46034</v>
      </c>
      <c r="K147" s="2">
        <v>46034</v>
      </c>
      <c r="L147" t="s">
        <v>508</v>
      </c>
      <c r="M147" t="s">
        <v>509</v>
      </c>
      <c r="N147" t="s">
        <v>10</v>
      </c>
      <c r="O147" t="s">
        <v>11</v>
      </c>
      <c r="P147" t="s">
        <v>12</v>
      </c>
      <c r="Q147" t="s">
        <v>24</v>
      </c>
      <c r="R147" t="s">
        <v>14</v>
      </c>
      <c r="S147" s="3">
        <v>308.79000000000002</v>
      </c>
      <c r="T147" t="s">
        <v>15</v>
      </c>
      <c r="U147" s="3">
        <v>28020.57</v>
      </c>
      <c r="V147" t="s">
        <v>16</v>
      </c>
      <c r="W147" t="s">
        <v>17</v>
      </c>
      <c r="X147" t="s">
        <v>12</v>
      </c>
      <c r="Y147" t="s">
        <v>8</v>
      </c>
      <c r="Z147" t="s">
        <v>18</v>
      </c>
      <c r="AA147" t="s">
        <v>510</v>
      </c>
      <c r="AB147" t="s">
        <v>12</v>
      </c>
      <c r="AC147" t="s">
        <v>12</v>
      </c>
      <c r="AD147" t="s">
        <v>12</v>
      </c>
      <c r="AE147" s="2">
        <v>46034</v>
      </c>
      <c r="AF147" s="2"/>
      <c r="AG147" t="s">
        <v>12</v>
      </c>
    </row>
    <row r="148" spans="1:33" outlineLevel="2" x14ac:dyDescent="0.25">
      <c r="A148" t="s">
        <v>129</v>
      </c>
      <c r="B148" t="s">
        <v>1</v>
      </c>
      <c r="C148" t="s">
        <v>2</v>
      </c>
      <c r="D148" t="s">
        <v>3</v>
      </c>
      <c r="E148" t="s">
        <v>448</v>
      </c>
      <c r="F148" t="s">
        <v>18</v>
      </c>
      <c r="G148" s="2">
        <v>46028</v>
      </c>
      <c r="H148" t="s">
        <v>511</v>
      </c>
      <c r="I148" t="s">
        <v>22</v>
      </c>
      <c r="J148" s="2">
        <v>46028</v>
      </c>
      <c r="K148" s="2">
        <v>46034</v>
      </c>
      <c r="L148" t="s">
        <v>512</v>
      </c>
      <c r="M148" t="s">
        <v>513</v>
      </c>
      <c r="N148" t="s">
        <v>10</v>
      </c>
      <c r="O148" t="s">
        <v>11</v>
      </c>
      <c r="P148" t="s">
        <v>12</v>
      </c>
      <c r="Q148" t="s">
        <v>24</v>
      </c>
      <c r="R148" t="s">
        <v>14</v>
      </c>
      <c r="S148" s="3">
        <v>7267.85</v>
      </c>
      <c r="T148" t="s">
        <v>15</v>
      </c>
      <c r="U148" s="3">
        <v>659507.53</v>
      </c>
      <c r="V148" t="s">
        <v>16</v>
      </c>
      <c r="W148" t="s">
        <v>17</v>
      </c>
      <c r="X148" t="s">
        <v>12</v>
      </c>
      <c r="Y148" t="s">
        <v>8</v>
      </c>
      <c r="Z148" t="s">
        <v>18</v>
      </c>
      <c r="AA148" t="s">
        <v>514</v>
      </c>
      <c r="AB148" t="s">
        <v>12</v>
      </c>
      <c r="AC148" t="s">
        <v>12</v>
      </c>
      <c r="AD148" t="s">
        <v>12</v>
      </c>
      <c r="AE148" s="2">
        <v>46028</v>
      </c>
      <c r="AF148" s="2"/>
      <c r="AG148" t="s">
        <v>12</v>
      </c>
    </row>
    <row r="149" spans="1:33" outlineLevel="2" x14ac:dyDescent="0.25">
      <c r="A149" t="s">
        <v>129</v>
      </c>
      <c r="B149" t="s">
        <v>1</v>
      </c>
      <c r="C149" t="s">
        <v>2</v>
      </c>
      <c r="D149" t="s">
        <v>3</v>
      </c>
      <c r="E149" t="s">
        <v>448</v>
      </c>
      <c r="F149" t="s">
        <v>18</v>
      </c>
      <c r="G149" s="2">
        <v>46028</v>
      </c>
      <c r="H149" t="s">
        <v>515</v>
      </c>
      <c r="I149" t="s">
        <v>22</v>
      </c>
      <c r="J149" s="2">
        <v>46028</v>
      </c>
      <c r="K149" s="2">
        <v>46035</v>
      </c>
      <c r="L149" t="s">
        <v>516</v>
      </c>
      <c r="M149" t="s">
        <v>517</v>
      </c>
      <c r="N149" t="s">
        <v>10</v>
      </c>
      <c r="O149" t="s">
        <v>11</v>
      </c>
      <c r="P149" t="s">
        <v>12</v>
      </c>
      <c r="Q149" t="s">
        <v>24</v>
      </c>
      <c r="R149" t="s">
        <v>14</v>
      </c>
      <c r="S149" s="3">
        <v>4.7</v>
      </c>
      <c r="T149" t="s">
        <v>15</v>
      </c>
      <c r="U149" s="3">
        <v>426.49</v>
      </c>
      <c r="V149" t="s">
        <v>16</v>
      </c>
      <c r="W149" t="s">
        <v>17</v>
      </c>
      <c r="X149" t="s">
        <v>12</v>
      </c>
      <c r="Y149" t="s">
        <v>8</v>
      </c>
      <c r="Z149" t="s">
        <v>18</v>
      </c>
      <c r="AA149" t="s">
        <v>518</v>
      </c>
      <c r="AB149" t="s">
        <v>12</v>
      </c>
      <c r="AC149" t="s">
        <v>12</v>
      </c>
      <c r="AD149" t="s">
        <v>12</v>
      </c>
      <c r="AE149" s="2">
        <v>46028</v>
      </c>
      <c r="AF149" s="2"/>
      <c r="AG149" t="s">
        <v>12</v>
      </c>
    </row>
    <row r="150" spans="1:33" outlineLevel="2" x14ac:dyDescent="0.25">
      <c r="A150" t="s">
        <v>129</v>
      </c>
      <c r="B150" t="s">
        <v>1</v>
      </c>
      <c r="C150" t="s">
        <v>2</v>
      </c>
      <c r="D150" t="s">
        <v>3</v>
      </c>
      <c r="E150" t="s">
        <v>448</v>
      </c>
      <c r="F150" t="s">
        <v>18</v>
      </c>
      <c r="G150" s="2">
        <v>46034</v>
      </c>
      <c r="H150" t="s">
        <v>519</v>
      </c>
      <c r="I150" t="s">
        <v>22</v>
      </c>
      <c r="J150" s="2">
        <v>46034</v>
      </c>
      <c r="K150" s="2">
        <v>46035</v>
      </c>
      <c r="L150" t="s">
        <v>520</v>
      </c>
      <c r="M150" t="s">
        <v>521</v>
      </c>
      <c r="N150" t="s">
        <v>10</v>
      </c>
      <c r="O150" t="s">
        <v>11</v>
      </c>
      <c r="P150" t="s">
        <v>12</v>
      </c>
      <c r="Q150" t="s">
        <v>24</v>
      </c>
      <c r="R150" t="s">
        <v>14</v>
      </c>
      <c r="S150" s="3">
        <v>498.5</v>
      </c>
      <c r="T150" t="s">
        <v>15</v>
      </c>
      <c r="U150" s="3">
        <v>45235.46</v>
      </c>
      <c r="V150" t="s">
        <v>16</v>
      </c>
      <c r="W150" t="s">
        <v>17</v>
      </c>
      <c r="X150" t="s">
        <v>12</v>
      </c>
      <c r="Y150" t="s">
        <v>8</v>
      </c>
      <c r="Z150" t="s">
        <v>18</v>
      </c>
      <c r="AA150" t="s">
        <v>522</v>
      </c>
      <c r="AB150" t="s">
        <v>12</v>
      </c>
      <c r="AC150" t="s">
        <v>12</v>
      </c>
      <c r="AD150" t="s">
        <v>12</v>
      </c>
      <c r="AE150" s="2">
        <v>46034</v>
      </c>
      <c r="AF150" s="2"/>
      <c r="AG150" t="s">
        <v>12</v>
      </c>
    </row>
    <row r="151" spans="1:33" outlineLevel="2" x14ac:dyDescent="0.25">
      <c r="A151" t="s">
        <v>129</v>
      </c>
      <c r="B151" t="s">
        <v>1</v>
      </c>
      <c r="C151" t="s">
        <v>2</v>
      </c>
      <c r="D151" t="s">
        <v>3</v>
      </c>
      <c r="E151" t="s">
        <v>448</v>
      </c>
      <c r="F151" t="s">
        <v>18</v>
      </c>
      <c r="G151" s="2">
        <v>46028</v>
      </c>
      <c r="H151" t="s">
        <v>523</v>
      </c>
      <c r="I151" t="s">
        <v>22</v>
      </c>
      <c r="J151" s="2">
        <v>46028</v>
      </c>
      <c r="K151" s="2">
        <v>46035</v>
      </c>
      <c r="L151" t="s">
        <v>8</v>
      </c>
      <c r="M151" t="s">
        <v>524</v>
      </c>
      <c r="N151" t="s">
        <v>10</v>
      </c>
      <c r="O151" t="s">
        <v>11</v>
      </c>
      <c r="P151" t="s">
        <v>12</v>
      </c>
      <c r="Q151" t="s">
        <v>24</v>
      </c>
      <c r="R151" t="s">
        <v>14</v>
      </c>
      <c r="S151" s="3">
        <v>456.75</v>
      </c>
      <c r="T151" t="s">
        <v>15</v>
      </c>
      <c r="U151" s="3">
        <v>41446.93</v>
      </c>
      <c r="V151" t="s">
        <v>16</v>
      </c>
      <c r="W151" t="s">
        <v>17</v>
      </c>
      <c r="X151" t="s">
        <v>12</v>
      </c>
      <c r="Y151" t="s">
        <v>525</v>
      </c>
      <c r="Z151" t="s">
        <v>18</v>
      </c>
      <c r="AA151" t="s">
        <v>526</v>
      </c>
      <c r="AB151" t="s">
        <v>12</v>
      </c>
      <c r="AC151" t="s">
        <v>12</v>
      </c>
      <c r="AD151" t="s">
        <v>12</v>
      </c>
      <c r="AE151" s="2">
        <v>46028</v>
      </c>
      <c r="AF151" s="2"/>
      <c r="AG151" t="s">
        <v>12</v>
      </c>
    </row>
    <row r="152" spans="1:33" outlineLevel="2" x14ac:dyDescent="0.25">
      <c r="A152" t="s">
        <v>129</v>
      </c>
      <c r="B152" t="s">
        <v>1</v>
      </c>
      <c r="C152" t="s">
        <v>2</v>
      </c>
      <c r="D152" t="s">
        <v>3</v>
      </c>
      <c r="E152" t="s">
        <v>448</v>
      </c>
      <c r="F152" t="s">
        <v>18</v>
      </c>
      <c r="G152" s="2">
        <v>46035</v>
      </c>
      <c r="H152" t="s">
        <v>527</v>
      </c>
      <c r="I152" t="s">
        <v>22</v>
      </c>
      <c r="J152" s="2">
        <v>46035</v>
      </c>
      <c r="K152" s="2">
        <v>46035</v>
      </c>
      <c r="L152" t="s">
        <v>8</v>
      </c>
      <c r="M152" t="s">
        <v>528</v>
      </c>
      <c r="N152" t="s">
        <v>10</v>
      </c>
      <c r="O152" t="s">
        <v>11</v>
      </c>
      <c r="P152" t="s">
        <v>12</v>
      </c>
      <c r="Q152" t="s">
        <v>24</v>
      </c>
      <c r="R152" t="s">
        <v>14</v>
      </c>
      <c r="S152" s="3">
        <v>70</v>
      </c>
      <c r="T152" t="s">
        <v>15</v>
      </c>
      <c r="U152" s="3">
        <v>6352.02</v>
      </c>
      <c r="V152" t="s">
        <v>16</v>
      </c>
      <c r="W152" t="s">
        <v>17</v>
      </c>
      <c r="X152" t="s">
        <v>12</v>
      </c>
      <c r="Y152" t="s">
        <v>529</v>
      </c>
      <c r="Z152" t="s">
        <v>18</v>
      </c>
      <c r="AA152" t="s">
        <v>530</v>
      </c>
      <c r="AB152" t="s">
        <v>12</v>
      </c>
      <c r="AC152" t="s">
        <v>12</v>
      </c>
      <c r="AD152" t="s">
        <v>12</v>
      </c>
      <c r="AE152" s="2">
        <v>46035</v>
      </c>
      <c r="AF152" s="2"/>
      <c r="AG152" t="s">
        <v>12</v>
      </c>
    </row>
    <row r="153" spans="1:33" outlineLevel="2" x14ac:dyDescent="0.25">
      <c r="A153" t="s">
        <v>129</v>
      </c>
      <c r="B153" t="s">
        <v>1</v>
      </c>
      <c r="C153" t="s">
        <v>2</v>
      </c>
      <c r="D153" t="s">
        <v>3</v>
      </c>
      <c r="E153" t="s">
        <v>448</v>
      </c>
      <c r="F153" t="s">
        <v>18</v>
      </c>
      <c r="G153" s="2">
        <v>46043</v>
      </c>
      <c r="H153" t="s">
        <v>531</v>
      </c>
      <c r="I153" t="s">
        <v>22</v>
      </c>
      <c r="J153" s="2">
        <v>46043</v>
      </c>
      <c r="K153" s="2">
        <v>46045</v>
      </c>
      <c r="L153" t="s">
        <v>532</v>
      </c>
      <c r="M153" t="s">
        <v>533</v>
      </c>
      <c r="N153" t="s">
        <v>10</v>
      </c>
      <c r="O153" t="s">
        <v>11</v>
      </c>
      <c r="P153" t="s">
        <v>12</v>
      </c>
      <c r="Q153" t="s">
        <v>24</v>
      </c>
      <c r="R153" t="s">
        <v>14</v>
      </c>
      <c r="S153" s="3">
        <v>54.41</v>
      </c>
      <c r="T153" t="s">
        <v>15</v>
      </c>
      <c r="U153" s="3">
        <v>4937.33</v>
      </c>
      <c r="V153" t="s">
        <v>16</v>
      </c>
      <c r="W153" t="s">
        <v>17</v>
      </c>
      <c r="X153" t="s">
        <v>12</v>
      </c>
      <c r="Y153" t="s">
        <v>8</v>
      </c>
      <c r="Z153" t="s">
        <v>18</v>
      </c>
      <c r="AA153" t="s">
        <v>534</v>
      </c>
      <c r="AB153" t="s">
        <v>12</v>
      </c>
      <c r="AC153" t="s">
        <v>12</v>
      </c>
      <c r="AD153" t="s">
        <v>12</v>
      </c>
      <c r="AE153" s="2">
        <v>46043</v>
      </c>
      <c r="AF153" s="2"/>
      <c r="AG153" t="s">
        <v>12</v>
      </c>
    </row>
    <row r="154" spans="1:33" outlineLevel="2" x14ac:dyDescent="0.25">
      <c r="A154" t="s">
        <v>129</v>
      </c>
      <c r="B154" t="s">
        <v>1</v>
      </c>
      <c r="C154" t="s">
        <v>2</v>
      </c>
      <c r="D154" t="s">
        <v>3</v>
      </c>
      <c r="E154" t="s">
        <v>448</v>
      </c>
      <c r="F154" t="s">
        <v>18</v>
      </c>
      <c r="G154" s="2">
        <v>46044</v>
      </c>
      <c r="H154" t="s">
        <v>535</v>
      </c>
      <c r="I154" t="s">
        <v>22</v>
      </c>
      <c r="J154" s="2">
        <v>46044</v>
      </c>
      <c r="K154" s="2">
        <v>46045</v>
      </c>
      <c r="L154" t="s">
        <v>8</v>
      </c>
      <c r="M154" t="s">
        <v>536</v>
      </c>
      <c r="N154" t="s">
        <v>10</v>
      </c>
      <c r="O154" t="s">
        <v>11</v>
      </c>
      <c r="P154" t="s">
        <v>12</v>
      </c>
      <c r="Q154" t="s">
        <v>24</v>
      </c>
      <c r="R154" t="s">
        <v>14</v>
      </c>
      <c r="S154" s="3">
        <v>124.68</v>
      </c>
      <c r="T154" t="s">
        <v>15</v>
      </c>
      <c r="U154" s="3">
        <v>11313.85</v>
      </c>
      <c r="V154" t="s">
        <v>16</v>
      </c>
      <c r="W154" t="s">
        <v>17</v>
      </c>
      <c r="X154" t="s">
        <v>12</v>
      </c>
      <c r="Y154" t="s">
        <v>537</v>
      </c>
      <c r="Z154" t="s">
        <v>18</v>
      </c>
      <c r="AA154" t="s">
        <v>538</v>
      </c>
      <c r="AB154" t="s">
        <v>12</v>
      </c>
      <c r="AC154" t="s">
        <v>12</v>
      </c>
      <c r="AD154" t="s">
        <v>12</v>
      </c>
      <c r="AE154" s="2">
        <v>46044</v>
      </c>
      <c r="AF154" s="2"/>
      <c r="AG154" t="s">
        <v>12</v>
      </c>
    </row>
    <row r="155" spans="1:33" outlineLevel="2" x14ac:dyDescent="0.25">
      <c r="A155" t="s">
        <v>129</v>
      </c>
      <c r="B155" t="s">
        <v>1</v>
      </c>
      <c r="C155" t="s">
        <v>2</v>
      </c>
      <c r="D155" t="s">
        <v>3</v>
      </c>
      <c r="E155" t="s">
        <v>448</v>
      </c>
      <c r="F155" t="s">
        <v>18</v>
      </c>
      <c r="G155" s="2">
        <v>46044</v>
      </c>
      <c r="H155" t="s">
        <v>539</v>
      </c>
      <c r="I155" t="s">
        <v>22</v>
      </c>
      <c r="J155" s="2">
        <v>46044</v>
      </c>
      <c r="K155" s="2">
        <v>46049</v>
      </c>
      <c r="L155" t="s">
        <v>540</v>
      </c>
      <c r="M155" t="s">
        <v>541</v>
      </c>
      <c r="N155" t="s">
        <v>10</v>
      </c>
      <c r="O155" t="s">
        <v>11</v>
      </c>
      <c r="P155" t="s">
        <v>12</v>
      </c>
      <c r="Q155" t="s">
        <v>24</v>
      </c>
      <c r="R155" t="s">
        <v>14</v>
      </c>
      <c r="S155" s="3">
        <v>200.69</v>
      </c>
      <c r="T155" t="s">
        <v>15</v>
      </c>
      <c r="U155" s="3">
        <v>18211.240000000002</v>
      </c>
      <c r="V155" t="s">
        <v>16</v>
      </c>
      <c r="W155" t="s">
        <v>17</v>
      </c>
      <c r="X155" t="s">
        <v>12</v>
      </c>
      <c r="Y155" t="s">
        <v>8</v>
      </c>
      <c r="Z155" t="s">
        <v>18</v>
      </c>
      <c r="AA155" t="s">
        <v>542</v>
      </c>
      <c r="AB155" t="s">
        <v>12</v>
      </c>
      <c r="AC155" t="s">
        <v>12</v>
      </c>
      <c r="AD155" t="s">
        <v>12</v>
      </c>
      <c r="AE155" s="2">
        <v>46044</v>
      </c>
      <c r="AF155" s="2"/>
      <c r="AG155" t="s">
        <v>12</v>
      </c>
    </row>
    <row r="156" spans="1:33" outlineLevel="2" x14ac:dyDescent="0.25">
      <c r="A156" t="s">
        <v>129</v>
      </c>
      <c r="B156" t="s">
        <v>1</v>
      </c>
      <c r="C156" t="s">
        <v>2</v>
      </c>
      <c r="D156" t="s">
        <v>3</v>
      </c>
      <c r="E156" t="s">
        <v>448</v>
      </c>
      <c r="F156" t="s">
        <v>18</v>
      </c>
      <c r="G156" s="2">
        <v>46045</v>
      </c>
      <c r="H156" t="s">
        <v>543</v>
      </c>
      <c r="I156" t="s">
        <v>22</v>
      </c>
      <c r="J156" s="2">
        <v>46045</v>
      </c>
      <c r="K156" s="2">
        <v>46049</v>
      </c>
      <c r="L156" t="s">
        <v>544</v>
      </c>
      <c r="M156" t="s">
        <v>545</v>
      </c>
      <c r="N156" t="s">
        <v>10</v>
      </c>
      <c r="O156" t="s">
        <v>11</v>
      </c>
      <c r="P156" t="s">
        <v>12</v>
      </c>
      <c r="Q156" t="s">
        <v>24</v>
      </c>
      <c r="R156" t="s">
        <v>14</v>
      </c>
      <c r="S156" s="3">
        <v>99</v>
      </c>
      <c r="T156" t="s">
        <v>15</v>
      </c>
      <c r="U156" s="3">
        <v>8983.57</v>
      </c>
      <c r="V156" t="s">
        <v>16</v>
      </c>
      <c r="W156" t="s">
        <v>17</v>
      </c>
      <c r="X156" t="s">
        <v>12</v>
      </c>
      <c r="Y156" t="s">
        <v>8</v>
      </c>
      <c r="Z156" t="s">
        <v>18</v>
      </c>
      <c r="AA156" t="s">
        <v>546</v>
      </c>
      <c r="AB156" t="s">
        <v>12</v>
      </c>
      <c r="AC156" t="s">
        <v>12</v>
      </c>
      <c r="AD156" t="s">
        <v>12</v>
      </c>
      <c r="AE156" s="2">
        <v>46045</v>
      </c>
      <c r="AF156" s="2"/>
      <c r="AG156" t="s">
        <v>12</v>
      </c>
    </row>
    <row r="157" spans="1:33" outlineLevel="2" x14ac:dyDescent="0.25">
      <c r="A157" t="s">
        <v>129</v>
      </c>
      <c r="B157" t="s">
        <v>1</v>
      </c>
      <c r="C157" t="s">
        <v>2</v>
      </c>
      <c r="D157" t="s">
        <v>3</v>
      </c>
      <c r="E157" t="s">
        <v>448</v>
      </c>
      <c r="F157" t="s">
        <v>18</v>
      </c>
      <c r="G157" s="2">
        <v>46045</v>
      </c>
      <c r="H157" t="s">
        <v>547</v>
      </c>
      <c r="I157" t="s">
        <v>22</v>
      </c>
      <c r="J157" s="2">
        <v>46045</v>
      </c>
      <c r="K157" s="2">
        <v>46049</v>
      </c>
      <c r="L157" t="s">
        <v>548</v>
      </c>
      <c r="M157" t="s">
        <v>549</v>
      </c>
      <c r="N157" t="s">
        <v>10</v>
      </c>
      <c r="O157" t="s">
        <v>11</v>
      </c>
      <c r="P157" t="s">
        <v>12</v>
      </c>
      <c r="Q157" t="s">
        <v>24</v>
      </c>
      <c r="R157" t="s">
        <v>14</v>
      </c>
      <c r="S157" s="3">
        <v>67.680000000000007</v>
      </c>
      <c r="T157" t="s">
        <v>15</v>
      </c>
      <c r="U157" s="3">
        <v>6141.5</v>
      </c>
      <c r="V157" t="s">
        <v>16</v>
      </c>
      <c r="W157" t="s">
        <v>17</v>
      </c>
      <c r="X157" t="s">
        <v>12</v>
      </c>
      <c r="Y157" t="s">
        <v>8</v>
      </c>
      <c r="Z157" t="s">
        <v>18</v>
      </c>
      <c r="AA157" t="s">
        <v>550</v>
      </c>
      <c r="AB157" t="s">
        <v>12</v>
      </c>
      <c r="AC157" t="s">
        <v>12</v>
      </c>
      <c r="AD157" t="s">
        <v>12</v>
      </c>
      <c r="AE157" s="2">
        <v>46045</v>
      </c>
      <c r="AF157" s="2"/>
      <c r="AG157" t="s">
        <v>12</v>
      </c>
    </row>
    <row r="158" spans="1:33" outlineLevel="2" x14ac:dyDescent="0.25">
      <c r="A158" t="s">
        <v>129</v>
      </c>
      <c r="B158" t="s">
        <v>1</v>
      </c>
      <c r="C158" t="s">
        <v>2</v>
      </c>
      <c r="D158" t="s">
        <v>3</v>
      </c>
      <c r="E158" t="s">
        <v>448</v>
      </c>
      <c r="F158" t="s">
        <v>18</v>
      </c>
      <c r="G158" s="2">
        <v>46049</v>
      </c>
      <c r="H158" t="s">
        <v>551</v>
      </c>
      <c r="I158" t="s">
        <v>22</v>
      </c>
      <c r="J158" s="2">
        <v>46049</v>
      </c>
      <c r="K158" s="2">
        <v>46049</v>
      </c>
      <c r="L158" t="s">
        <v>552</v>
      </c>
      <c r="M158" t="s">
        <v>553</v>
      </c>
      <c r="N158" t="s">
        <v>10</v>
      </c>
      <c r="O158" t="s">
        <v>11</v>
      </c>
      <c r="P158" t="s">
        <v>12</v>
      </c>
      <c r="Q158" t="s">
        <v>24</v>
      </c>
      <c r="R158" t="s">
        <v>14</v>
      </c>
      <c r="S158" s="3">
        <v>137.13999999999999</v>
      </c>
      <c r="T158" t="s">
        <v>15</v>
      </c>
      <c r="U158" s="3">
        <v>12444.51</v>
      </c>
      <c r="V158" t="s">
        <v>16</v>
      </c>
      <c r="W158" t="s">
        <v>17</v>
      </c>
      <c r="X158" t="s">
        <v>12</v>
      </c>
      <c r="Y158" t="s">
        <v>8</v>
      </c>
      <c r="Z158" t="s">
        <v>18</v>
      </c>
      <c r="AA158" t="s">
        <v>554</v>
      </c>
      <c r="AB158" t="s">
        <v>12</v>
      </c>
      <c r="AC158" t="s">
        <v>12</v>
      </c>
      <c r="AD158" t="s">
        <v>12</v>
      </c>
      <c r="AE158" s="2">
        <v>46049</v>
      </c>
      <c r="AF158" s="2"/>
      <c r="AG158" t="s">
        <v>12</v>
      </c>
    </row>
    <row r="159" spans="1:33" outlineLevel="2" x14ac:dyDescent="0.25">
      <c r="A159" t="s">
        <v>129</v>
      </c>
      <c r="B159" t="s">
        <v>1</v>
      </c>
      <c r="C159" t="s">
        <v>2</v>
      </c>
      <c r="D159" t="s">
        <v>3</v>
      </c>
      <c r="E159" t="s">
        <v>448</v>
      </c>
      <c r="F159" t="s">
        <v>358</v>
      </c>
      <c r="G159" s="2">
        <v>46055</v>
      </c>
      <c r="H159" t="s">
        <v>555</v>
      </c>
      <c r="I159" t="s">
        <v>482</v>
      </c>
      <c r="J159" s="2">
        <v>46055</v>
      </c>
      <c r="K159" s="2">
        <v>46052</v>
      </c>
      <c r="L159" t="s">
        <v>556</v>
      </c>
      <c r="M159" t="s">
        <v>556</v>
      </c>
      <c r="N159" t="s">
        <v>10</v>
      </c>
      <c r="O159" t="s">
        <v>11</v>
      </c>
      <c r="P159" t="s">
        <v>12</v>
      </c>
      <c r="Q159" t="s">
        <v>484</v>
      </c>
      <c r="R159" t="s">
        <v>15</v>
      </c>
      <c r="S159" s="3">
        <v>-674751</v>
      </c>
      <c r="T159" t="s">
        <v>15</v>
      </c>
      <c r="U159" s="3">
        <v>-674751</v>
      </c>
      <c r="V159" t="s">
        <v>12</v>
      </c>
      <c r="W159" t="s">
        <v>485</v>
      </c>
      <c r="X159" t="s">
        <v>12</v>
      </c>
      <c r="Y159" t="s">
        <v>12</v>
      </c>
      <c r="Z159" t="s">
        <v>358</v>
      </c>
      <c r="AA159" t="s">
        <v>12</v>
      </c>
      <c r="AB159" t="s">
        <v>12</v>
      </c>
      <c r="AC159" t="s">
        <v>12</v>
      </c>
      <c r="AD159" t="s">
        <v>12</v>
      </c>
      <c r="AE159" s="2">
        <v>46055</v>
      </c>
      <c r="AF159" s="2"/>
      <c r="AG159" t="s">
        <v>12</v>
      </c>
    </row>
    <row r="160" spans="1:33" outlineLevel="2" x14ac:dyDescent="0.25">
      <c r="A160" t="s">
        <v>129</v>
      </c>
      <c r="B160" t="s">
        <v>1</v>
      </c>
      <c r="C160" t="s">
        <v>2</v>
      </c>
      <c r="D160" t="s">
        <v>3</v>
      </c>
      <c r="E160" t="s">
        <v>4</v>
      </c>
      <c r="F160" t="s">
        <v>243</v>
      </c>
      <c r="G160" s="2">
        <v>45733</v>
      </c>
      <c r="H160" t="s">
        <v>557</v>
      </c>
      <c r="I160" t="s">
        <v>22</v>
      </c>
      <c r="J160" s="2">
        <v>45733</v>
      </c>
      <c r="K160" s="2">
        <v>45733</v>
      </c>
      <c r="L160" t="s">
        <v>8</v>
      </c>
      <c r="M160" t="s">
        <v>558</v>
      </c>
      <c r="N160" t="s">
        <v>10</v>
      </c>
      <c r="O160" t="s">
        <v>11</v>
      </c>
      <c r="P160" t="s">
        <v>12</v>
      </c>
      <c r="Q160" t="s">
        <v>24</v>
      </c>
      <c r="R160" t="s">
        <v>14</v>
      </c>
      <c r="S160" s="3">
        <v>1765.65</v>
      </c>
      <c r="T160" t="s">
        <v>15</v>
      </c>
      <c r="U160" s="3">
        <v>153066.42000000001</v>
      </c>
      <c r="V160" t="s">
        <v>16</v>
      </c>
      <c r="W160" t="s">
        <v>17</v>
      </c>
      <c r="X160" t="s">
        <v>12</v>
      </c>
      <c r="Y160" t="s">
        <v>8</v>
      </c>
      <c r="Z160" t="s">
        <v>18</v>
      </c>
      <c r="AA160" t="s">
        <v>559</v>
      </c>
      <c r="AB160" t="s">
        <v>12</v>
      </c>
      <c r="AC160" t="s">
        <v>12</v>
      </c>
      <c r="AD160" t="s">
        <v>12</v>
      </c>
      <c r="AE160" s="2">
        <v>45733</v>
      </c>
      <c r="AF160" s="2"/>
      <c r="AG160" t="s">
        <v>12</v>
      </c>
    </row>
    <row r="161" spans="1:33" outlineLevel="2" x14ac:dyDescent="0.25">
      <c r="A161" t="s">
        <v>129</v>
      </c>
      <c r="B161" t="s">
        <v>1</v>
      </c>
      <c r="C161" t="s">
        <v>2</v>
      </c>
      <c r="D161" t="s">
        <v>3</v>
      </c>
      <c r="E161" t="s">
        <v>4</v>
      </c>
      <c r="F161" t="s">
        <v>243</v>
      </c>
      <c r="G161" s="2">
        <v>45733</v>
      </c>
      <c r="H161" t="s">
        <v>560</v>
      </c>
      <c r="I161" t="s">
        <v>22</v>
      </c>
      <c r="J161" s="2">
        <v>45733</v>
      </c>
      <c r="K161" s="2">
        <v>45733</v>
      </c>
      <c r="L161" t="s">
        <v>8</v>
      </c>
      <c r="M161" t="s">
        <v>561</v>
      </c>
      <c r="N161" t="s">
        <v>10</v>
      </c>
      <c r="O161" t="s">
        <v>11</v>
      </c>
      <c r="P161" t="s">
        <v>12</v>
      </c>
      <c r="Q161" t="s">
        <v>24</v>
      </c>
      <c r="R161" t="s">
        <v>14</v>
      </c>
      <c r="S161" s="3">
        <v>71.61</v>
      </c>
      <c r="T161" t="s">
        <v>15</v>
      </c>
      <c r="U161" s="3">
        <v>6207.96</v>
      </c>
      <c r="V161" t="s">
        <v>16</v>
      </c>
      <c r="W161" t="s">
        <v>17</v>
      </c>
      <c r="X161" t="s">
        <v>12</v>
      </c>
      <c r="Y161" t="s">
        <v>8</v>
      </c>
      <c r="Z161" t="s">
        <v>18</v>
      </c>
      <c r="AA161" t="s">
        <v>559</v>
      </c>
      <c r="AB161" t="s">
        <v>12</v>
      </c>
      <c r="AC161" t="s">
        <v>12</v>
      </c>
      <c r="AD161" t="s">
        <v>12</v>
      </c>
      <c r="AE161" s="2">
        <v>45733</v>
      </c>
      <c r="AF161" s="2"/>
      <c r="AG161" t="s">
        <v>12</v>
      </c>
    </row>
    <row r="162" spans="1:33" outlineLevel="2" x14ac:dyDescent="0.25">
      <c r="A162" t="s">
        <v>129</v>
      </c>
      <c r="B162" t="s">
        <v>1</v>
      </c>
      <c r="C162" t="s">
        <v>2</v>
      </c>
      <c r="D162" t="s">
        <v>3</v>
      </c>
      <c r="E162" t="s">
        <v>4</v>
      </c>
      <c r="F162" t="s">
        <v>243</v>
      </c>
      <c r="G162" s="2">
        <v>45733</v>
      </c>
      <c r="H162" t="s">
        <v>562</v>
      </c>
      <c r="I162" t="s">
        <v>22</v>
      </c>
      <c r="J162" s="2">
        <v>45733</v>
      </c>
      <c r="K162" s="2">
        <v>45734</v>
      </c>
      <c r="L162" t="s">
        <v>8</v>
      </c>
      <c r="M162" t="s">
        <v>563</v>
      </c>
      <c r="N162" t="s">
        <v>10</v>
      </c>
      <c r="O162" t="s">
        <v>11</v>
      </c>
      <c r="P162" t="s">
        <v>12</v>
      </c>
      <c r="Q162" t="s">
        <v>24</v>
      </c>
      <c r="R162" t="s">
        <v>14</v>
      </c>
      <c r="S162" s="3">
        <v>3.57</v>
      </c>
      <c r="T162" t="s">
        <v>15</v>
      </c>
      <c r="U162" s="3">
        <v>309.49</v>
      </c>
      <c r="V162" t="s">
        <v>16</v>
      </c>
      <c r="W162" t="s">
        <v>17</v>
      </c>
      <c r="X162" t="s">
        <v>12</v>
      </c>
      <c r="Y162" t="s">
        <v>8</v>
      </c>
      <c r="Z162" t="s">
        <v>18</v>
      </c>
      <c r="AA162" t="s">
        <v>564</v>
      </c>
      <c r="AB162" t="s">
        <v>12</v>
      </c>
      <c r="AC162" t="s">
        <v>12</v>
      </c>
      <c r="AD162" t="s">
        <v>12</v>
      </c>
      <c r="AE162" s="2">
        <v>45733</v>
      </c>
      <c r="AF162" s="2"/>
      <c r="AG162" t="s">
        <v>12</v>
      </c>
    </row>
    <row r="163" spans="1:33" outlineLevel="2" x14ac:dyDescent="0.25">
      <c r="A163" t="s">
        <v>129</v>
      </c>
      <c r="B163" t="s">
        <v>1</v>
      </c>
      <c r="C163" t="s">
        <v>2</v>
      </c>
      <c r="D163" t="s">
        <v>3</v>
      </c>
      <c r="E163" t="s">
        <v>4</v>
      </c>
      <c r="F163" t="s">
        <v>243</v>
      </c>
      <c r="G163" s="2">
        <v>45733</v>
      </c>
      <c r="H163" t="s">
        <v>565</v>
      </c>
      <c r="I163" t="s">
        <v>22</v>
      </c>
      <c r="J163" s="2">
        <v>45733</v>
      </c>
      <c r="K163" s="2">
        <v>45734</v>
      </c>
      <c r="L163" t="s">
        <v>8</v>
      </c>
      <c r="M163" t="s">
        <v>566</v>
      </c>
      <c r="N163" t="s">
        <v>10</v>
      </c>
      <c r="O163" t="s">
        <v>11</v>
      </c>
      <c r="P163" t="s">
        <v>12</v>
      </c>
      <c r="Q163" t="s">
        <v>24</v>
      </c>
      <c r="R163" t="s">
        <v>14</v>
      </c>
      <c r="S163" s="3">
        <v>59.46</v>
      </c>
      <c r="T163" t="s">
        <v>15</v>
      </c>
      <c r="U163" s="3">
        <v>5154.66</v>
      </c>
      <c r="V163" t="s">
        <v>16</v>
      </c>
      <c r="W163" t="s">
        <v>17</v>
      </c>
      <c r="X163" t="s">
        <v>12</v>
      </c>
      <c r="Y163" t="s">
        <v>8</v>
      </c>
      <c r="Z163" t="s">
        <v>18</v>
      </c>
      <c r="AA163" t="s">
        <v>564</v>
      </c>
      <c r="AB163" t="s">
        <v>12</v>
      </c>
      <c r="AC163" t="s">
        <v>12</v>
      </c>
      <c r="AD163" t="s">
        <v>12</v>
      </c>
      <c r="AE163" s="2">
        <v>45733</v>
      </c>
      <c r="AF163" s="2"/>
      <c r="AG163" t="s">
        <v>12</v>
      </c>
    </row>
    <row r="164" spans="1:33" outlineLevel="2" x14ac:dyDescent="0.25">
      <c r="A164" t="s">
        <v>129</v>
      </c>
      <c r="B164" t="s">
        <v>1</v>
      </c>
      <c r="C164" t="s">
        <v>2</v>
      </c>
      <c r="D164" t="s">
        <v>3</v>
      </c>
      <c r="E164" t="s">
        <v>4</v>
      </c>
      <c r="F164" t="s">
        <v>243</v>
      </c>
      <c r="G164" s="2">
        <v>45733</v>
      </c>
      <c r="H164" t="s">
        <v>567</v>
      </c>
      <c r="I164" t="s">
        <v>22</v>
      </c>
      <c r="J164" s="2">
        <v>45733</v>
      </c>
      <c r="K164" s="2">
        <v>45734</v>
      </c>
      <c r="L164" t="s">
        <v>8</v>
      </c>
      <c r="M164" t="s">
        <v>568</v>
      </c>
      <c r="N164" t="s">
        <v>10</v>
      </c>
      <c r="O164" t="s">
        <v>11</v>
      </c>
      <c r="P164" t="s">
        <v>12</v>
      </c>
      <c r="Q164" t="s">
        <v>24</v>
      </c>
      <c r="R164" t="s">
        <v>14</v>
      </c>
      <c r="S164" s="3">
        <v>38.29</v>
      </c>
      <c r="T164" t="s">
        <v>15</v>
      </c>
      <c r="U164" s="3">
        <v>3319.41</v>
      </c>
      <c r="V164" t="s">
        <v>16</v>
      </c>
      <c r="W164" t="s">
        <v>17</v>
      </c>
      <c r="X164" t="s">
        <v>12</v>
      </c>
      <c r="Y164" t="s">
        <v>8</v>
      </c>
      <c r="Z164" t="s">
        <v>18</v>
      </c>
      <c r="AA164" t="s">
        <v>564</v>
      </c>
      <c r="AB164" t="s">
        <v>12</v>
      </c>
      <c r="AC164" t="s">
        <v>12</v>
      </c>
      <c r="AD164" t="s">
        <v>12</v>
      </c>
      <c r="AE164" s="2">
        <v>45733</v>
      </c>
      <c r="AF164" s="2"/>
      <c r="AG164" t="s">
        <v>12</v>
      </c>
    </row>
    <row r="165" spans="1:33" outlineLevel="2" x14ac:dyDescent="0.25">
      <c r="A165" t="s">
        <v>129</v>
      </c>
      <c r="B165" t="s">
        <v>1</v>
      </c>
      <c r="C165" t="s">
        <v>2</v>
      </c>
      <c r="D165" t="s">
        <v>3</v>
      </c>
      <c r="E165" t="s">
        <v>4</v>
      </c>
      <c r="F165" t="s">
        <v>243</v>
      </c>
      <c r="G165" s="2">
        <v>45733</v>
      </c>
      <c r="H165" t="s">
        <v>569</v>
      </c>
      <c r="I165" t="s">
        <v>22</v>
      </c>
      <c r="J165" s="2">
        <v>45733</v>
      </c>
      <c r="K165" s="2">
        <v>45734</v>
      </c>
      <c r="L165" t="s">
        <v>8</v>
      </c>
      <c r="M165" t="s">
        <v>570</v>
      </c>
      <c r="N165" t="s">
        <v>10</v>
      </c>
      <c r="O165" t="s">
        <v>11</v>
      </c>
      <c r="P165" t="s">
        <v>12</v>
      </c>
      <c r="Q165" t="s">
        <v>24</v>
      </c>
      <c r="R165" t="s">
        <v>14</v>
      </c>
      <c r="S165" s="3">
        <v>22.69</v>
      </c>
      <c r="T165" t="s">
        <v>15</v>
      </c>
      <c r="U165" s="3">
        <v>1967.02</v>
      </c>
      <c r="V165" t="s">
        <v>16</v>
      </c>
      <c r="W165" t="s">
        <v>17</v>
      </c>
      <c r="X165" t="s">
        <v>12</v>
      </c>
      <c r="Y165" t="s">
        <v>8</v>
      </c>
      <c r="Z165" t="s">
        <v>18</v>
      </c>
      <c r="AA165" t="s">
        <v>564</v>
      </c>
      <c r="AB165" t="s">
        <v>12</v>
      </c>
      <c r="AC165" t="s">
        <v>12</v>
      </c>
      <c r="AD165" t="s">
        <v>12</v>
      </c>
      <c r="AE165" s="2">
        <v>45733</v>
      </c>
      <c r="AF165" s="2"/>
      <c r="AG165" t="s">
        <v>12</v>
      </c>
    </row>
    <row r="166" spans="1:33" outlineLevel="2" x14ac:dyDescent="0.25">
      <c r="A166" t="s">
        <v>129</v>
      </c>
      <c r="B166" t="s">
        <v>1</v>
      </c>
      <c r="C166" t="s">
        <v>2</v>
      </c>
      <c r="D166" t="s">
        <v>3</v>
      </c>
      <c r="E166" t="s">
        <v>4</v>
      </c>
      <c r="F166" t="s">
        <v>243</v>
      </c>
      <c r="G166" s="2">
        <v>45733</v>
      </c>
      <c r="H166" t="s">
        <v>571</v>
      </c>
      <c r="I166" t="s">
        <v>22</v>
      </c>
      <c r="J166" s="2">
        <v>45733</v>
      </c>
      <c r="K166" s="2">
        <v>45734</v>
      </c>
      <c r="L166" t="s">
        <v>8</v>
      </c>
      <c r="M166" t="s">
        <v>572</v>
      </c>
      <c r="N166" t="s">
        <v>10</v>
      </c>
      <c r="O166" t="s">
        <v>11</v>
      </c>
      <c r="P166" t="s">
        <v>12</v>
      </c>
      <c r="Q166" t="s">
        <v>24</v>
      </c>
      <c r="R166" t="s">
        <v>14</v>
      </c>
      <c r="S166" s="3">
        <v>83.24</v>
      </c>
      <c r="T166" t="s">
        <v>15</v>
      </c>
      <c r="U166" s="3">
        <v>7216.18</v>
      </c>
      <c r="V166" t="s">
        <v>16</v>
      </c>
      <c r="W166" t="s">
        <v>17</v>
      </c>
      <c r="X166" t="s">
        <v>12</v>
      </c>
      <c r="Y166" t="s">
        <v>8</v>
      </c>
      <c r="Z166" t="s">
        <v>18</v>
      </c>
      <c r="AA166" t="s">
        <v>564</v>
      </c>
      <c r="AB166" t="s">
        <v>12</v>
      </c>
      <c r="AC166" t="s">
        <v>12</v>
      </c>
      <c r="AD166" t="s">
        <v>12</v>
      </c>
      <c r="AE166" s="2">
        <v>45733</v>
      </c>
      <c r="AF166" s="2"/>
      <c r="AG166" t="s">
        <v>12</v>
      </c>
    </row>
    <row r="167" spans="1:33" outlineLevel="2" x14ac:dyDescent="0.25">
      <c r="A167" t="s">
        <v>129</v>
      </c>
      <c r="B167" t="s">
        <v>1</v>
      </c>
      <c r="C167" t="s">
        <v>2</v>
      </c>
      <c r="D167" t="s">
        <v>3</v>
      </c>
      <c r="E167" t="s">
        <v>4</v>
      </c>
      <c r="F167" t="s">
        <v>243</v>
      </c>
      <c r="G167" s="2">
        <v>45733</v>
      </c>
      <c r="H167" t="s">
        <v>573</v>
      </c>
      <c r="I167" t="s">
        <v>22</v>
      </c>
      <c r="J167" s="2">
        <v>45733</v>
      </c>
      <c r="K167" s="2">
        <v>45734</v>
      </c>
      <c r="L167" t="s">
        <v>8</v>
      </c>
      <c r="M167" t="s">
        <v>574</v>
      </c>
      <c r="N167" t="s">
        <v>10</v>
      </c>
      <c r="O167" t="s">
        <v>11</v>
      </c>
      <c r="P167" t="s">
        <v>12</v>
      </c>
      <c r="Q167" t="s">
        <v>24</v>
      </c>
      <c r="R167" t="s">
        <v>14</v>
      </c>
      <c r="S167" s="3">
        <v>7.1</v>
      </c>
      <c r="T167" t="s">
        <v>15</v>
      </c>
      <c r="U167" s="3">
        <v>615.51</v>
      </c>
      <c r="V167" t="s">
        <v>16</v>
      </c>
      <c r="W167" t="s">
        <v>17</v>
      </c>
      <c r="X167" t="s">
        <v>12</v>
      </c>
      <c r="Y167" t="s">
        <v>8</v>
      </c>
      <c r="Z167" t="s">
        <v>18</v>
      </c>
      <c r="AA167" t="s">
        <v>575</v>
      </c>
      <c r="AB167" t="s">
        <v>12</v>
      </c>
      <c r="AC167" t="s">
        <v>12</v>
      </c>
      <c r="AD167" t="s">
        <v>12</v>
      </c>
      <c r="AE167" s="2">
        <v>45733</v>
      </c>
      <c r="AF167" s="2"/>
      <c r="AG167" t="s">
        <v>12</v>
      </c>
    </row>
    <row r="168" spans="1:33" outlineLevel="2" x14ac:dyDescent="0.25">
      <c r="A168" t="s">
        <v>129</v>
      </c>
      <c r="B168" t="s">
        <v>1</v>
      </c>
      <c r="C168" t="s">
        <v>2</v>
      </c>
      <c r="D168" t="s">
        <v>3</v>
      </c>
      <c r="E168" t="s">
        <v>4</v>
      </c>
      <c r="F168" t="s">
        <v>243</v>
      </c>
      <c r="G168" s="2">
        <v>45733</v>
      </c>
      <c r="H168" t="s">
        <v>576</v>
      </c>
      <c r="I168" t="s">
        <v>22</v>
      </c>
      <c r="J168" s="2">
        <v>45733</v>
      </c>
      <c r="K168" s="2">
        <v>45734</v>
      </c>
      <c r="L168" t="s">
        <v>8</v>
      </c>
      <c r="M168" t="s">
        <v>577</v>
      </c>
      <c r="N168" t="s">
        <v>10</v>
      </c>
      <c r="O168" t="s">
        <v>11</v>
      </c>
      <c r="P168" t="s">
        <v>12</v>
      </c>
      <c r="Q168" t="s">
        <v>24</v>
      </c>
      <c r="R168" t="s">
        <v>14</v>
      </c>
      <c r="S168" s="3">
        <v>4.1399999999999997</v>
      </c>
      <c r="T168" t="s">
        <v>15</v>
      </c>
      <c r="U168" s="3">
        <v>358.9</v>
      </c>
      <c r="V168" t="s">
        <v>16</v>
      </c>
      <c r="W168" t="s">
        <v>17</v>
      </c>
      <c r="X168" t="s">
        <v>12</v>
      </c>
      <c r="Y168" t="s">
        <v>8</v>
      </c>
      <c r="Z168" t="s">
        <v>18</v>
      </c>
      <c r="AA168" t="s">
        <v>575</v>
      </c>
      <c r="AB168" t="s">
        <v>12</v>
      </c>
      <c r="AC168" t="s">
        <v>12</v>
      </c>
      <c r="AD168" t="s">
        <v>12</v>
      </c>
      <c r="AE168" s="2">
        <v>45733</v>
      </c>
      <c r="AF168" s="2"/>
      <c r="AG168" t="s">
        <v>12</v>
      </c>
    </row>
    <row r="169" spans="1:33" outlineLevel="2" x14ac:dyDescent="0.25">
      <c r="A169" t="s">
        <v>129</v>
      </c>
      <c r="B169" t="s">
        <v>1</v>
      </c>
      <c r="C169" t="s">
        <v>2</v>
      </c>
      <c r="D169" t="s">
        <v>3</v>
      </c>
      <c r="E169" t="s">
        <v>4</v>
      </c>
      <c r="F169" t="s">
        <v>243</v>
      </c>
      <c r="G169" s="2">
        <v>45733</v>
      </c>
      <c r="H169" t="s">
        <v>578</v>
      </c>
      <c r="I169" t="s">
        <v>22</v>
      </c>
      <c r="J169" s="2">
        <v>45733</v>
      </c>
      <c r="K169" s="2">
        <v>45734</v>
      </c>
      <c r="L169" t="s">
        <v>8</v>
      </c>
      <c r="M169" t="s">
        <v>579</v>
      </c>
      <c r="N169" t="s">
        <v>10</v>
      </c>
      <c r="O169" t="s">
        <v>11</v>
      </c>
      <c r="P169" t="s">
        <v>12</v>
      </c>
      <c r="Q169" t="s">
        <v>24</v>
      </c>
      <c r="R169" t="s">
        <v>14</v>
      </c>
      <c r="S169" s="3">
        <v>7.1</v>
      </c>
      <c r="T169" t="s">
        <v>15</v>
      </c>
      <c r="U169" s="3">
        <v>615.51</v>
      </c>
      <c r="V169" t="s">
        <v>16</v>
      </c>
      <c r="W169" t="s">
        <v>17</v>
      </c>
      <c r="X169" t="s">
        <v>12</v>
      </c>
      <c r="Y169" t="s">
        <v>8</v>
      </c>
      <c r="Z169" t="s">
        <v>18</v>
      </c>
      <c r="AA169" t="s">
        <v>575</v>
      </c>
      <c r="AB169" t="s">
        <v>12</v>
      </c>
      <c r="AC169" t="s">
        <v>12</v>
      </c>
      <c r="AD169" t="s">
        <v>12</v>
      </c>
      <c r="AE169" s="2">
        <v>45733</v>
      </c>
      <c r="AF169" s="2"/>
      <c r="AG169" t="s">
        <v>12</v>
      </c>
    </row>
    <row r="170" spans="1:33" outlineLevel="2" x14ac:dyDescent="0.25">
      <c r="A170" t="s">
        <v>129</v>
      </c>
      <c r="B170" t="s">
        <v>1</v>
      </c>
      <c r="C170" t="s">
        <v>2</v>
      </c>
      <c r="D170" t="s">
        <v>3</v>
      </c>
      <c r="E170" t="s">
        <v>4</v>
      </c>
      <c r="F170" t="s">
        <v>243</v>
      </c>
      <c r="G170" s="2">
        <v>45733</v>
      </c>
      <c r="H170" t="s">
        <v>580</v>
      </c>
      <c r="I170" t="s">
        <v>22</v>
      </c>
      <c r="J170" s="2">
        <v>45733</v>
      </c>
      <c r="K170" s="2">
        <v>45734</v>
      </c>
      <c r="L170" t="s">
        <v>8</v>
      </c>
      <c r="M170" t="s">
        <v>581</v>
      </c>
      <c r="N170" t="s">
        <v>10</v>
      </c>
      <c r="O170" t="s">
        <v>11</v>
      </c>
      <c r="P170" t="s">
        <v>12</v>
      </c>
      <c r="Q170" t="s">
        <v>24</v>
      </c>
      <c r="R170" t="s">
        <v>14</v>
      </c>
      <c r="S170" s="3">
        <v>5.92</v>
      </c>
      <c r="T170" t="s">
        <v>15</v>
      </c>
      <c r="U170" s="3">
        <v>513.21</v>
      </c>
      <c r="V170" t="s">
        <v>16</v>
      </c>
      <c r="W170" t="s">
        <v>17</v>
      </c>
      <c r="X170" t="s">
        <v>12</v>
      </c>
      <c r="Y170" t="s">
        <v>8</v>
      </c>
      <c r="Z170" t="s">
        <v>18</v>
      </c>
      <c r="AA170" t="s">
        <v>575</v>
      </c>
      <c r="AB170" t="s">
        <v>12</v>
      </c>
      <c r="AC170" t="s">
        <v>12</v>
      </c>
      <c r="AD170" t="s">
        <v>12</v>
      </c>
      <c r="AE170" s="2">
        <v>45733</v>
      </c>
      <c r="AF170" s="2"/>
      <c r="AG170" t="s">
        <v>12</v>
      </c>
    </row>
    <row r="171" spans="1:33" outlineLevel="2" x14ac:dyDescent="0.25">
      <c r="A171" t="s">
        <v>129</v>
      </c>
      <c r="B171" t="s">
        <v>1</v>
      </c>
      <c r="C171" t="s">
        <v>2</v>
      </c>
      <c r="D171" t="s">
        <v>3</v>
      </c>
      <c r="E171" t="s">
        <v>4</v>
      </c>
      <c r="F171" t="s">
        <v>229</v>
      </c>
      <c r="G171" s="2">
        <v>45818</v>
      </c>
      <c r="H171" t="s">
        <v>582</v>
      </c>
      <c r="I171" t="s">
        <v>22</v>
      </c>
      <c r="J171" s="2">
        <v>45818</v>
      </c>
      <c r="K171" s="2">
        <v>45825</v>
      </c>
      <c r="L171" t="s">
        <v>8</v>
      </c>
      <c r="M171" t="s">
        <v>583</v>
      </c>
      <c r="N171" t="s">
        <v>10</v>
      </c>
      <c r="O171" t="s">
        <v>11</v>
      </c>
      <c r="P171" t="s">
        <v>12</v>
      </c>
      <c r="Q171" t="s">
        <v>24</v>
      </c>
      <c r="R171" t="s">
        <v>14</v>
      </c>
      <c r="S171" s="3">
        <v>456.75</v>
      </c>
      <c r="T171" t="s">
        <v>15</v>
      </c>
      <c r="U171" s="3">
        <v>39047.910000000003</v>
      </c>
      <c r="V171" t="s">
        <v>16</v>
      </c>
      <c r="W171" t="s">
        <v>17</v>
      </c>
      <c r="X171" t="s">
        <v>12</v>
      </c>
      <c r="Y171" t="s">
        <v>8</v>
      </c>
      <c r="Z171" t="s">
        <v>18</v>
      </c>
      <c r="AA171" t="s">
        <v>584</v>
      </c>
      <c r="AB171" t="s">
        <v>12</v>
      </c>
      <c r="AC171" t="s">
        <v>12</v>
      </c>
      <c r="AD171" t="s">
        <v>12</v>
      </c>
      <c r="AE171" s="2">
        <v>45818</v>
      </c>
      <c r="AF171" s="2"/>
      <c r="AG171" t="s">
        <v>12</v>
      </c>
    </row>
    <row r="172" spans="1:33" outlineLevel="2" x14ac:dyDescent="0.25">
      <c r="A172" t="s">
        <v>129</v>
      </c>
      <c r="B172" t="s">
        <v>1</v>
      </c>
      <c r="C172" t="s">
        <v>2</v>
      </c>
      <c r="D172" t="s">
        <v>3</v>
      </c>
      <c r="E172" t="s">
        <v>4</v>
      </c>
      <c r="F172" t="s">
        <v>313</v>
      </c>
      <c r="G172" s="2">
        <v>45917</v>
      </c>
      <c r="H172" t="s">
        <v>585</v>
      </c>
      <c r="I172" t="s">
        <v>22</v>
      </c>
      <c r="J172" s="2">
        <v>45917</v>
      </c>
      <c r="K172" s="2">
        <v>45922</v>
      </c>
      <c r="L172" t="s">
        <v>8</v>
      </c>
      <c r="M172" t="s">
        <v>586</v>
      </c>
      <c r="N172" t="s">
        <v>10</v>
      </c>
      <c r="O172" t="s">
        <v>11</v>
      </c>
      <c r="P172" t="s">
        <v>12</v>
      </c>
      <c r="Q172" t="s">
        <v>24</v>
      </c>
      <c r="R172" t="s">
        <v>14</v>
      </c>
      <c r="S172" s="3">
        <v>6.23</v>
      </c>
      <c r="T172" t="s">
        <v>15</v>
      </c>
      <c r="U172" s="3">
        <v>545.21</v>
      </c>
      <c r="V172" t="s">
        <v>16</v>
      </c>
      <c r="W172" t="s">
        <v>17</v>
      </c>
      <c r="X172" t="s">
        <v>12</v>
      </c>
      <c r="Y172" t="s">
        <v>587</v>
      </c>
      <c r="Z172" t="s">
        <v>18</v>
      </c>
      <c r="AA172" t="s">
        <v>588</v>
      </c>
      <c r="AB172" t="s">
        <v>12</v>
      </c>
      <c r="AC172" t="s">
        <v>12</v>
      </c>
      <c r="AD172" t="s">
        <v>12</v>
      </c>
      <c r="AE172" s="2">
        <v>45917</v>
      </c>
      <c r="AF172" s="2"/>
      <c r="AG172" t="s">
        <v>12</v>
      </c>
    </row>
    <row r="173" spans="1:33" outlineLevel="2" x14ac:dyDescent="0.25">
      <c r="A173" t="s">
        <v>129</v>
      </c>
      <c r="B173" t="s">
        <v>1</v>
      </c>
      <c r="C173" t="s">
        <v>2</v>
      </c>
      <c r="D173" t="s">
        <v>3</v>
      </c>
      <c r="E173" t="s">
        <v>4</v>
      </c>
      <c r="F173" t="s">
        <v>13</v>
      </c>
      <c r="G173" s="2">
        <v>45980</v>
      </c>
      <c r="H173" t="s">
        <v>589</v>
      </c>
      <c r="I173" t="s">
        <v>22</v>
      </c>
      <c r="J173" s="2">
        <v>45980</v>
      </c>
      <c r="K173" s="2">
        <v>45981</v>
      </c>
      <c r="L173" t="s">
        <v>8</v>
      </c>
      <c r="M173" t="s">
        <v>590</v>
      </c>
      <c r="N173" t="s">
        <v>10</v>
      </c>
      <c r="O173" t="s">
        <v>11</v>
      </c>
      <c r="P173" t="s">
        <v>12</v>
      </c>
      <c r="Q173" t="s">
        <v>24</v>
      </c>
      <c r="R173" t="s">
        <v>14</v>
      </c>
      <c r="S173" s="3">
        <v>350.75</v>
      </c>
      <c r="T173" t="s">
        <v>15</v>
      </c>
      <c r="U173" s="3">
        <v>30867.19</v>
      </c>
      <c r="V173" t="s">
        <v>16</v>
      </c>
      <c r="W173" t="s">
        <v>17</v>
      </c>
      <c r="X173" t="s">
        <v>12</v>
      </c>
      <c r="Y173" t="s">
        <v>591</v>
      </c>
      <c r="Z173" t="s">
        <v>18</v>
      </c>
      <c r="AA173" t="s">
        <v>592</v>
      </c>
      <c r="AB173" t="s">
        <v>12</v>
      </c>
      <c r="AC173" t="s">
        <v>12</v>
      </c>
      <c r="AD173" t="s">
        <v>12</v>
      </c>
      <c r="AE173" s="2">
        <v>45980</v>
      </c>
      <c r="AF173" s="2"/>
      <c r="AG173" t="s">
        <v>12</v>
      </c>
    </row>
    <row r="174" spans="1:33" outlineLevel="2" x14ac:dyDescent="0.25">
      <c r="A174" t="s">
        <v>129</v>
      </c>
      <c r="B174" t="s">
        <v>1</v>
      </c>
      <c r="C174" t="s">
        <v>2</v>
      </c>
      <c r="D174" t="s">
        <v>3</v>
      </c>
      <c r="E174" t="s">
        <v>4</v>
      </c>
      <c r="F174" t="s">
        <v>140</v>
      </c>
      <c r="G174" s="2">
        <v>45762</v>
      </c>
      <c r="H174" t="s">
        <v>593</v>
      </c>
      <c r="I174" t="s">
        <v>22</v>
      </c>
      <c r="J174" s="2">
        <v>45762</v>
      </c>
      <c r="K174" s="2">
        <v>45763</v>
      </c>
      <c r="L174" t="s">
        <v>8</v>
      </c>
      <c r="M174" t="s">
        <v>594</v>
      </c>
      <c r="N174" t="s">
        <v>10</v>
      </c>
      <c r="O174" t="s">
        <v>11</v>
      </c>
      <c r="P174" t="s">
        <v>12</v>
      </c>
      <c r="Q174" t="s">
        <v>24</v>
      </c>
      <c r="R174" t="s">
        <v>14</v>
      </c>
      <c r="S174" s="3">
        <v>304.01</v>
      </c>
      <c r="T174" t="s">
        <v>15</v>
      </c>
      <c r="U174" s="3">
        <v>26425.1</v>
      </c>
      <c r="V174" t="s">
        <v>16</v>
      </c>
      <c r="W174" t="s">
        <v>12</v>
      </c>
      <c r="X174" t="s">
        <v>12</v>
      </c>
      <c r="Y174" t="s">
        <v>8</v>
      </c>
      <c r="Z174" t="s">
        <v>18</v>
      </c>
      <c r="AA174" t="s">
        <v>595</v>
      </c>
      <c r="AB174" t="s">
        <v>12</v>
      </c>
      <c r="AC174" t="s">
        <v>12</v>
      </c>
      <c r="AD174" t="s">
        <v>12</v>
      </c>
      <c r="AE174" s="2">
        <v>45762</v>
      </c>
      <c r="AF174" s="2"/>
      <c r="AG174" t="s">
        <v>12</v>
      </c>
    </row>
    <row r="175" spans="1:33" outlineLevel="2" x14ac:dyDescent="0.25">
      <c r="A175" t="s">
        <v>129</v>
      </c>
      <c r="B175" t="s">
        <v>1</v>
      </c>
      <c r="C175" t="s">
        <v>2</v>
      </c>
      <c r="D175" t="s">
        <v>3</v>
      </c>
      <c r="E175" t="s">
        <v>4</v>
      </c>
      <c r="F175" t="s">
        <v>140</v>
      </c>
      <c r="G175" s="2">
        <v>45762</v>
      </c>
      <c r="H175" t="s">
        <v>596</v>
      </c>
      <c r="I175" t="s">
        <v>22</v>
      </c>
      <c r="J175" s="2">
        <v>45762</v>
      </c>
      <c r="K175" s="2">
        <v>45763</v>
      </c>
      <c r="L175" t="s">
        <v>8</v>
      </c>
      <c r="M175" t="s">
        <v>597</v>
      </c>
      <c r="N175" t="s">
        <v>10</v>
      </c>
      <c r="O175" t="s">
        <v>11</v>
      </c>
      <c r="P175" t="s">
        <v>12</v>
      </c>
      <c r="Q175" t="s">
        <v>24</v>
      </c>
      <c r="R175" t="s">
        <v>14</v>
      </c>
      <c r="S175" s="3">
        <v>31.72</v>
      </c>
      <c r="T175" t="s">
        <v>15</v>
      </c>
      <c r="U175" s="3">
        <v>2757.16</v>
      </c>
      <c r="V175" t="s">
        <v>16</v>
      </c>
      <c r="W175" t="s">
        <v>12</v>
      </c>
      <c r="X175" t="s">
        <v>12</v>
      </c>
      <c r="Y175" t="s">
        <v>8</v>
      </c>
      <c r="Z175" t="s">
        <v>18</v>
      </c>
      <c r="AA175" t="s">
        <v>598</v>
      </c>
      <c r="AB175" t="s">
        <v>12</v>
      </c>
      <c r="AC175" t="s">
        <v>12</v>
      </c>
      <c r="AD175" t="s">
        <v>12</v>
      </c>
      <c r="AE175" s="2">
        <v>45762</v>
      </c>
      <c r="AF175" s="2"/>
      <c r="AG175" t="s">
        <v>12</v>
      </c>
    </row>
    <row r="176" spans="1:33" outlineLevel="2" x14ac:dyDescent="0.25">
      <c r="A176" t="s">
        <v>129</v>
      </c>
      <c r="B176" t="s">
        <v>1</v>
      </c>
      <c r="C176" t="s">
        <v>2</v>
      </c>
      <c r="D176" t="s">
        <v>3</v>
      </c>
      <c r="E176" t="s">
        <v>4</v>
      </c>
      <c r="F176" t="s">
        <v>140</v>
      </c>
      <c r="G176" s="2">
        <v>45762</v>
      </c>
      <c r="H176" t="s">
        <v>599</v>
      </c>
      <c r="I176" t="s">
        <v>22</v>
      </c>
      <c r="J176" s="2">
        <v>45762</v>
      </c>
      <c r="K176" s="2">
        <v>45763</v>
      </c>
      <c r="L176" t="s">
        <v>8</v>
      </c>
      <c r="M176" t="s">
        <v>600</v>
      </c>
      <c r="N176" t="s">
        <v>10</v>
      </c>
      <c r="O176" t="s">
        <v>11</v>
      </c>
      <c r="P176" t="s">
        <v>12</v>
      </c>
      <c r="Q176" t="s">
        <v>24</v>
      </c>
      <c r="R176" t="s">
        <v>14</v>
      </c>
      <c r="S176" s="3">
        <v>158.6</v>
      </c>
      <c r="T176" t="s">
        <v>15</v>
      </c>
      <c r="U176" s="3">
        <v>13785.8</v>
      </c>
      <c r="V176" t="s">
        <v>16</v>
      </c>
      <c r="W176" t="s">
        <v>12</v>
      </c>
      <c r="X176" t="s">
        <v>12</v>
      </c>
      <c r="Y176" t="s">
        <v>8</v>
      </c>
      <c r="Z176" t="s">
        <v>18</v>
      </c>
      <c r="AA176" t="s">
        <v>598</v>
      </c>
      <c r="AB176" t="s">
        <v>12</v>
      </c>
      <c r="AC176" t="s">
        <v>12</v>
      </c>
      <c r="AD176" t="s">
        <v>12</v>
      </c>
      <c r="AE176" s="2">
        <v>45762</v>
      </c>
      <c r="AF176" s="2"/>
      <c r="AG176" t="s">
        <v>12</v>
      </c>
    </row>
    <row r="177" spans="1:33" outlineLevel="2" x14ac:dyDescent="0.25">
      <c r="A177" t="s">
        <v>129</v>
      </c>
      <c r="B177" t="s">
        <v>1</v>
      </c>
      <c r="C177" t="s">
        <v>2</v>
      </c>
      <c r="D177" t="s">
        <v>3</v>
      </c>
      <c r="E177" t="s">
        <v>4</v>
      </c>
      <c r="F177" t="s">
        <v>140</v>
      </c>
      <c r="G177" s="2">
        <v>45762</v>
      </c>
      <c r="H177" t="s">
        <v>601</v>
      </c>
      <c r="I177" t="s">
        <v>22</v>
      </c>
      <c r="J177" s="2">
        <v>45762</v>
      </c>
      <c r="K177" s="2">
        <v>45763</v>
      </c>
      <c r="L177" t="s">
        <v>8</v>
      </c>
      <c r="M177" t="s">
        <v>602</v>
      </c>
      <c r="N177" t="s">
        <v>10</v>
      </c>
      <c r="O177" t="s">
        <v>11</v>
      </c>
      <c r="P177" t="s">
        <v>12</v>
      </c>
      <c r="Q177" t="s">
        <v>24</v>
      </c>
      <c r="R177" t="s">
        <v>14</v>
      </c>
      <c r="S177" s="3">
        <v>160</v>
      </c>
      <c r="T177" t="s">
        <v>15</v>
      </c>
      <c r="U177" s="3">
        <v>13907.49</v>
      </c>
      <c r="V177" t="s">
        <v>16</v>
      </c>
      <c r="W177" t="s">
        <v>12</v>
      </c>
      <c r="X177" t="s">
        <v>12</v>
      </c>
      <c r="Y177" t="s">
        <v>8</v>
      </c>
      <c r="Z177" t="s">
        <v>18</v>
      </c>
      <c r="AA177" t="s">
        <v>603</v>
      </c>
      <c r="AB177" t="s">
        <v>12</v>
      </c>
      <c r="AC177" t="s">
        <v>12</v>
      </c>
      <c r="AD177" t="s">
        <v>12</v>
      </c>
      <c r="AE177" s="2">
        <v>45762</v>
      </c>
      <c r="AF177" s="2"/>
      <c r="AG177" t="s">
        <v>12</v>
      </c>
    </row>
    <row r="178" spans="1:33" outlineLevel="2" x14ac:dyDescent="0.25">
      <c r="A178" t="s">
        <v>129</v>
      </c>
      <c r="B178" t="s">
        <v>1</v>
      </c>
      <c r="C178" t="s">
        <v>2</v>
      </c>
      <c r="D178" t="s">
        <v>3</v>
      </c>
      <c r="E178" t="s">
        <v>4</v>
      </c>
      <c r="F178" t="s">
        <v>140</v>
      </c>
      <c r="G178" s="2">
        <v>45762</v>
      </c>
      <c r="H178" t="s">
        <v>604</v>
      </c>
      <c r="I178" t="s">
        <v>22</v>
      </c>
      <c r="J178" s="2">
        <v>45762</v>
      </c>
      <c r="K178" s="2">
        <v>45763</v>
      </c>
      <c r="L178" t="s">
        <v>8</v>
      </c>
      <c r="M178" t="s">
        <v>605</v>
      </c>
      <c r="N178" t="s">
        <v>10</v>
      </c>
      <c r="O178" t="s">
        <v>11</v>
      </c>
      <c r="P178" t="s">
        <v>12</v>
      </c>
      <c r="Q178" t="s">
        <v>24</v>
      </c>
      <c r="R178" t="s">
        <v>14</v>
      </c>
      <c r="S178" s="3">
        <v>2.35</v>
      </c>
      <c r="T178" t="s">
        <v>15</v>
      </c>
      <c r="U178" s="3">
        <v>204.27</v>
      </c>
      <c r="V178" t="s">
        <v>16</v>
      </c>
      <c r="W178" t="s">
        <v>12</v>
      </c>
      <c r="X178" t="s">
        <v>12</v>
      </c>
      <c r="Y178" t="s">
        <v>8</v>
      </c>
      <c r="Z178" t="s">
        <v>18</v>
      </c>
      <c r="AA178" t="s">
        <v>606</v>
      </c>
      <c r="AB178" t="s">
        <v>12</v>
      </c>
      <c r="AC178" t="s">
        <v>12</v>
      </c>
      <c r="AD178" t="s">
        <v>12</v>
      </c>
      <c r="AE178" s="2">
        <v>45762</v>
      </c>
      <c r="AF178" s="2"/>
      <c r="AG178" t="s">
        <v>12</v>
      </c>
    </row>
    <row r="179" spans="1:33" outlineLevel="2" x14ac:dyDescent="0.25">
      <c r="A179" t="s">
        <v>129</v>
      </c>
      <c r="B179" t="s">
        <v>1</v>
      </c>
      <c r="C179" t="s">
        <v>2</v>
      </c>
      <c r="D179" t="s">
        <v>3</v>
      </c>
      <c r="E179" t="s">
        <v>4</v>
      </c>
      <c r="F179" t="s">
        <v>140</v>
      </c>
      <c r="G179" s="2">
        <v>45762</v>
      </c>
      <c r="H179" t="s">
        <v>607</v>
      </c>
      <c r="I179" t="s">
        <v>22</v>
      </c>
      <c r="J179" s="2">
        <v>45762</v>
      </c>
      <c r="K179" s="2">
        <v>45763</v>
      </c>
      <c r="L179" t="s">
        <v>8</v>
      </c>
      <c r="M179" t="s">
        <v>608</v>
      </c>
      <c r="N179" t="s">
        <v>10</v>
      </c>
      <c r="O179" t="s">
        <v>11</v>
      </c>
      <c r="P179" t="s">
        <v>12</v>
      </c>
      <c r="Q179" t="s">
        <v>24</v>
      </c>
      <c r="R179" t="s">
        <v>14</v>
      </c>
      <c r="S179" s="3">
        <v>9.4</v>
      </c>
      <c r="T179" t="s">
        <v>15</v>
      </c>
      <c r="U179" s="3">
        <v>817.07</v>
      </c>
      <c r="V179" t="s">
        <v>16</v>
      </c>
      <c r="W179" t="s">
        <v>12</v>
      </c>
      <c r="X179" t="s">
        <v>12</v>
      </c>
      <c r="Y179" t="s">
        <v>8</v>
      </c>
      <c r="Z179" t="s">
        <v>18</v>
      </c>
      <c r="AA179" t="s">
        <v>606</v>
      </c>
      <c r="AB179" t="s">
        <v>12</v>
      </c>
      <c r="AC179" t="s">
        <v>12</v>
      </c>
      <c r="AD179" t="s">
        <v>12</v>
      </c>
      <c r="AE179" s="2">
        <v>45762</v>
      </c>
      <c r="AF179" s="2"/>
      <c r="AG179" t="s">
        <v>12</v>
      </c>
    </row>
    <row r="180" spans="1:33" outlineLevel="2" x14ac:dyDescent="0.25">
      <c r="A180" t="s">
        <v>129</v>
      </c>
      <c r="B180" t="s">
        <v>1</v>
      </c>
      <c r="C180" t="s">
        <v>2</v>
      </c>
      <c r="D180" t="s">
        <v>3</v>
      </c>
      <c r="E180" t="s">
        <v>4</v>
      </c>
      <c r="F180" t="s">
        <v>609</v>
      </c>
      <c r="G180" s="2">
        <v>45880</v>
      </c>
      <c r="H180" t="s">
        <v>610</v>
      </c>
      <c r="I180" t="s">
        <v>22</v>
      </c>
      <c r="J180" s="2">
        <v>45880</v>
      </c>
      <c r="K180" s="2">
        <v>45881</v>
      </c>
      <c r="L180" t="s">
        <v>8</v>
      </c>
      <c r="M180" t="s">
        <v>611</v>
      </c>
      <c r="N180" t="s">
        <v>10</v>
      </c>
      <c r="O180" t="s">
        <v>11</v>
      </c>
      <c r="P180" t="s">
        <v>12</v>
      </c>
      <c r="Q180" t="s">
        <v>24</v>
      </c>
      <c r="R180" t="s">
        <v>14</v>
      </c>
      <c r="S180" s="3">
        <v>298.70999999999998</v>
      </c>
      <c r="T180" t="s">
        <v>15</v>
      </c>
      <c r="U180" s="3">
        <v>25698.06</v>
      </c>
      <c r="V180" t="s">
        <v>16</v>
      </c>
      <c r="W180" t="s">
        <v>17</v>
      </c>
      <c r="X180" t="s">
        <v>12</v>
      </c>
      <c r="Y180" t="s">
        <v>8</v>
      </c>
      <c r="Z180" t="s">
        <v>18</v>
      </c>
      <c r="AA180" t="s">
        <v>612</v>
      </c>
      <c r="AB180" t="s">
        <v>12</v>
      </c>
      <c r="AC180" t="s">
        <v>12</v>
      </c>
      <c r="AD180" t="s">
        <v>12</v>
      </c>
      <c r="AE180" s="2">
        <v>45880</v>
      </c>
      <c r="AF180" s="2"/>
      <c r="AG180" t="s">
        <v>12</v>
      </c>
    </row>
    <row r="181" spans="1:33" outlineLevel="2" x14ac:dyDescent="0.25">
      <c r="A181" t="s">
        <v>129</v>
      </c>
      <c r="B181" t="s">
        <v>1</v>
      </c>
      <c r="C181" t="s">
        <v>2</v>
      </c>
      <c r="D181" t="s">
        <v>3</v>
      </c>
      <c r="E181" t="s">
        <v>4</v>
      </c>
      <c r="F181" t="s">
        <v>609</v>
      </c>
      <c r="G181" s="2">
        <v>45880</v>
      </c>
      <c r="H181" t="s">
        <v>613</v>
      </c>
      <c r="I181" t="s">
        <v>22</v>
      </c>
      <c r="J181" s="2">
        <v>45880</v>
      </c>
      <c r="K181" s="2">
        <v>45881</v>
      </c>
      <c r="L181" t="s">
        <v>8</v>
      </c>
      <c r="M181" t="s">
        <v>614</v>
      </c>
      <c r="N181" t="s">
        <v>10</v>
      </c>
      <c r="O181" t="s">
        <v>11</v>
      </c>
      <c r="P181" t="s">
        <v>12</v>
      </c>
      <c r="Q181" t="s">
        <v>24</v>
      </c>
      <c r="R181" t="s">
        <v>14</v>
      </c>
      <c r="S181" s="3">
        <v>282.89999999999998</v>
      </c>
      <c r="T181" t="s">
        <v>15</v>
      </c>
      <c r="U181" s="3">
        <v>24337.919999999998</v>
      </c>
      <c r="V181" t="s">
        <v>16</v>
      </c>
      <c r="W181" t="s">
        <v>17</v>
      </c>
      <c r="X181" t="s">
        <v>12</v>
      </c>
      <c r="Y181" t="s">
        <v>8</v>
      </c>
      <c r="Z181" t="s">
        <v>18</v>
      </c>
      <c r="AA181" t="s">
        <v>615</v>
      </c>
      <c r="AB181" t="s">
        <v>12</v>
      </c>
      <c r="AC181" t="s">
        <v>12</v>
      </c>
      <c r="AD181" t="s">
        <v>12</v>
      </c>
      <c r="AE181" s="2">
        <v>45880</v>
      </c>
      <c r="AF181" s="2"/>
      <c r="AG181" t="s">
        <v>12</v>
      </c>
    </row>
    <row r="182" spans="1:33" outlineLevel="2" x14ac:dyDescent="0.25">
      <c r="A182" t="s">
        <v>129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s="2">
        <v>45845</v>
      </c>
      <c r="H182" t="s">
        <v>616</v>
      </c>
      <c r="I182" t="s">
        <v>22</v>
      </c>
      <c r="J182" s="2">
        <v>45845</v>
      </c>
      <c r="K182" s="2">
        <v>45847</v>
      </c>
      <c r="L182" t="s">
        <v>8</v>
      </c>
      <c r="M182" t="s">
        <v>617</v>
      </c>
      <c r="N182" t="s">
        <v>10</v>
      </c>
      <c r="O182" t="s">
        <v>11</v>
      </c>
      <c r="P182" t="s">
        <v>12</v>
      </c>
      <c r="Q182" t="s">
        <v>24</v>
      </c>
      <c r="R182" t="s">
        <v>14</v>
      </c>
      <c r="S182" s="3">
        <v>31.58</v>
      </c>
      <c r="T182" t="s">
        <v>15</v>
      </c>
      <c r="U182" s="3">
        <v>2715.9</v>
      </c>
      <c r="V182" t="s">
        <v>16</v>
      </c>
      <c r="W182" t="s">
        <v>17</v>
      </c>
      <c r="X182" t="s">
        <v>12</v>
      </c>
      <c r="Y182" t="s">
        <v>8</v>
      </c>
      <c r="Z182" t="s">
        <v>18</v>
      </c>
      <c r="AA182" t="s">
        <v>12</v>
      </c>
      <c r="AB182" t="s">
        <v>12</v>
      </c>
      <c r="AC182" t="s">
        <v>12</v>
      </c>
      <c r="AD182" t="s">
        <v>12</v>
      </c>
      <c r="AE182" s="2">
        <v>45845</v>
      </c>
      <c r="AF182" s="2"/>
      <c r="AG182" t="s">
        <v>12</v>
      </c>
    </row>
    <row r="183" spans="1:33" outlineLevel="2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176</v>
      </c>
      <c r="G183" s="2">
        <v>45947</v>
      </c>
      <c r="H183" t="s">
        <v>618</v>
      </c>
      <c r="I183" t="s">
        <v>7</v>
      </c>
      <c r="J183" s="2">
        <v>45947</v>
      </c>
      <c r="K183" s="2">
        <v>45953</v>
      </c>
      <c r="L183" t="s">
        <v>8</v>
      </c>
      <c r="M183" t="s">
        <v>619</v>
      </c>
      <c r="N183" t="s">
        <v>10</v>
      </c>
      <c r="O183" t="s">
        <v>11</v>
      </c>
      <c r="P183" t="s">
        <v>12</v>
      </c>
      <c r="Q183" t="s">
        <v>13</v>
      </c>
      <c r="R183" t="s">
        <v>14</v>
      </c>
      <c r="S183" s="3">
        <v>-582.79999999999995</v>
      </c>
      <c r="T183" t="s">
        <v>15</v>
      </c>
      <c r="U183" s="3">
        <v>-51397.58</v>
      </c>
      <c r="V183" t="s">
        <v>16</v>
      </c>
      <c r="W183" t="s">
        <v>17</v>
      </c>
      <c r="X183" t="s">
        <v>12</v>
      </c>
      <c r="Y183" t="s">
        <v>620</v>
      </c>
      <c r="Z183" t="s">
        <v>18</v>
      </c>
      <c r="AA183" t="s">
        <v>621</v>
      </c>
      <c r="AB183" t="s">
        <v>12</v>
      </c>
      <c r="AC183" t="s">
        <v>12</v>
      </c>
      <c r="AD183" t="s">
        <v>12</v>
      </c>
      <c r="AE183" s="2">
        <v>45947</v>
      </c>
      <c r="AF183" s="2">
        <v>45976</v>
      </c>
      <c r="AG183" t="s">
        <v>64</v>
      </c>
    </row>
    <row r="184" spans="1:33" outlineLevel="2" x14ac:dyDescent="0.25">
      <c r="A184" t="s">
        <v>129</v>
      </c>
      <c r="B184" t="s">
        <v>1</v>
      </c>
      <c r="C184" t="s">
        <v>2</v>
      </c>
      <c r="D184" t="s">
        <v>3</v>
      </c>
      <c r="E184" t="s">
        <v>4</v>
      </c>
      <c r="F184" t="s">
        <v>140</v>
      </c>
      <c r="G184" s="2">
        <v>45763</v>
      </c>
      <c r="H184" t="s">
        <v>622</v>
      </c>
      <c r="I184" t="s">
        <v>22</v>
      </c>
      <c r="J184" s="2">
        <v>45763</v>
      </c>
      <c r="K184" s="2">
        <v>45764</v>
      </c>
      <c r="L184" t="s">
        <v>8</v>
      </c>
      <c r="M184" t="s">
        <v>623</v>
      </c>
      <c r="N184" t="s">
        <v>10</v>
      </c>
      <c r="O184" t="s">
        <v>11</v>
      </c>
      <c r="P184" t="s">
        <v>12</v>
      </c>
      <c r="Q184" t="s">
        <v>24</v>
      </c>
      <c r="R184" t="s">
        <v>14</v>
      </c>
      <c r="S184" s="3">
        <v>23.5</v>
      </c>
      <c r="T184" t="s">
        <v>15</v>
      </c>
      <c r="U184" s="3">
        <v>2042.66</v>
      </c>
      <c r="V184" t="s">
        <v>16</v>
      </c>
      <c r="W184" t="s">
        <v>17</v>
      </c>
      <c r="X184" t="s">
        <v>12</v>
      </c>
      <c r="Y184" t="s">
        <v>8</v>
      </c>
      <c r="Z184" t="s">
        <v>18</v>
      </c>
      <c r="AA184" t="s">
        <v>624</v>
      </c>
      <c r="AB184" t="s">
        <v>12</v>
      </c>
      <c r="AC184" t="s">
        <v>12</v>
      </c>
      <c r="AD184" t="s">
        <v>12</v>
      </c>
      <c r="AE184" s="2">
        <v>45763</v>
      </c>
      <c r="AF184" s="2"/>
      <c r="AG184" t="s">
        <v>12</v>
      </c>
    </row>
    <row r="185" spans="1:33" outlineLevel="2" x14ac:dyDescent="0.25">
      <c r="A185" t="s">
        <v>129</v>
      </c>
      <c r="B185" t="s">
        <v>1</v>
      </c>
      <c r="C185" t="s">
        <v>2</v>
      </c>
      <c r="D185" t="s">
        <v>3</v>
      </c>
      <c r="E185" t="s">
        <v>4</v>
      </c>
      <c r="F185" t="s">
        <v>140</v>
      </c>
      <c r="G185" s="2">
        <v>45763</v>
      </c>
      <c r="H185" t="s">
        <v>625</v>
      </c>
      <c r="I185" t="s">
        <v>22</v>
      </c>
      <c r="J185" s="2">
        <v>45763</v>
      </c>
      <c r="K185" s="2">
        <v>45764</v>
      </c>
      <c r="L185" t="s">
        <v>8</v>
      </c>
      <c r="M185" t="s">
        <v>626</v>
      </c>
      <c r="N185" t="s">
        <v>10</v>
      </c>
      <c r="O185" t="s">
        <v>11</v>
      </c>
      <c r="P185" t="s">
        <v>12</v>
      </c>
      <c r="Q185" t="s">
        <v>24</v>
      </c>
      <c r="R185" t="s">
        <v>14</v>
      </c>
      <c r="S185" s="3">
        <v>15</v>
      </c>
      <c r="T185" t="s">
        <v>15</v>
      </c>
      <c r="U185" s="3">
        <v>1303.83</v>
      </c>
      <c r="V185" t="s">
        <v>16</v>
      </c>
      <c r="W185" t="s">
        <v>17</v>
      </c>
      <c r="X185" t="s">
        <v>12</v>
      </c>
      <c r="Y185" t="s">
        <v>8</v>
      </c>
      <c r="Z185" t="s">
        <v>18</v>
      </c>
      <c r="AA185" t="s">
        <v>627</v>
      </c>
      <c r="AB185" t="s">
        <v>12</v>
      </c>
      <c r="AC185" t="s">
        <v>12</v>
      </c>
      <c r="AD185" t="s">
        <v>12</v>
      </c>
      <c r="AE185" s="2">
        <v>45763</v>
      </c>
      <c r="AF185" s="2"/>
      <c r="AG185" t="s">
        <v>12</v>
      </c>
    </row>
    <row r="186" spans="1:33" outlineLevel="2" x14ac:dyDescent="0.25">
      <c r="A186" t="s">
        <v>129</v>
      </c>
      <c r="B186" t="s">
        <v>1</v>
      </c>
      <c r="C186" t="s">
        <v>2</v>
      </c>
      <c r="D186" t="s">
        <v>3</v>
      </c>
      <c r="E186" t="s">
        <v>4</v>
      </c>
      <c r="F186" t="s">
        <v>140</v>
      </c>
      <c r="G186" s="2">
        <v>45763</v>
      </c>
      <c r="H186" t="s">
        <v>628</v>
      </c>
      <c r="I186" t="s">
        <v>22</v>
      </c>
      <c r="J186" s="2">
        <v>45763</v>
      </c>
      <c r="K186" s="2">
        <v>45764</v>
      </c>
      <c r="L186" t="s">
        <v>8</v>
      </c>
      <c r="M186" t="s">
        <v>629</v>
      </c>
      <c r="N186" t="s">
        <v>10</v>
      </c>
      <c r="O186" t="s">
        <v>11</v>
      </c>
      <c r="P186" t="s">
        <v>12</v>
      </c>
      <c r="Q186" t="s">
        <v>24</v>
      </c>
      <c r="R186" t="s">
        <v>14</v>
      </c>
      <c r="S186" s="3">
        <v>5.25</v>
      </c>
      <c r="T186" t="s">
        <v>15</v>
      </c>
      <c r="U186" s="3">
        <v>456.34</v>
      </c>
      <c r="V186" t="s">
        <v>16</v>
      </c>
      <c r="W186" t="s">
        <v>17</v>
      </c>
      <c r="X186" t="s">
        <v>12</v>
      </c>
      <c r="Y186" t="s">
        <v>8</v>
      </c>
      <c r="Z186" t="s">
        <v>18</v>
      </c>
      <c r="AA186" t="s">
        <v>630</v>
      </c>
      <c r="AB186" t="s">
        <v>12</v>
      </c>
      <c r="AC186" t="s">
        <v>12</v>
      </c>
      <c r="AD186" t="s">
        <v>12</v>
      </c>
      <c r="AE186" s="2">
        <v>45763</v>
      </c>
      <c r="AF186" s="2"/>
      <c r="AG186" t="s">
        <v>12</v>
      </c>
    </row>
    <row r="187" spans="1:33" outlineLevel="2" x14ac:dyDescent="0.25">
      <c r="A187" t="s">
        <v>129</v>
      </c>
      <c r="B187" t="s">
        <v>1</v>
      </c>
      <c r="C187" t="s">
        <v>2</v>
      </c>
      <c r="D187" t="s">
        <v>3</v>
      </c>
      <c r="E187" t="s">
        <v>4</v>
      </c>
      <c r="F187" t="s">
        <v>140</v>
      </c>
      <c r="G187" s="2">
        <v>45763</v>
      </c>
      <c r="H187" t="s">
        <v>631</v>
      </c>
      <c r="I187" t="s">
        <v>22</v>
      </c>
      <c r="J187" s="2">
        <v>45763</v>
      </c>
      <c r="K187" s="2">
        <v>45764</v>
      </c>
      <c r="L187" t="s">
        <v>8</v>
      </c>
      <c r="M187" t="s">
        <v>632</v>
      </c>
      <c r="N187" t="s">
        <v>10</v>
      </c>
      <c r="O187" t="s">
        <v>11</v>
      </c>
      <c r="P187" t="s">
        <v>12</v>
      </c>
      <c r="Q187" t="s">
        <v>24</v>
      </c>
      <c r="R187" t="s">
        <v>14</v>
      </c>
      <c r="S187" s="3">
        <v>46.85</v>
      </c>
      <c r="T187" t="s">
        <v>15</v>
      </c>
      <c r="U187" s="3">
        <v>4072.29</v>
      </c>
      <c r="V187" t="s">
        <v>16</v>
      </c>
      <c r="W187" t="s">
        <v>17</v>
      </c>
      <c r="X187" t="s">
        <v>12</v>
      </c>
      <c r="Y187" t="s">
        <v>8</v>
      </c>
      <c r="Z187" t="s">
        <v>18</v>
      </c>
      <c r="AA187" t="s">
        <v>633</v>
      </c>
      <c r="AB187" t="s">
        <v>12</v>
      </c>
      <c r="AC187" t="s">
        <v>12</v>
      </c>
      <c r="AD187" t="s">
        <v>12</v>
      </c>
      <c r="AE187" s="2">
        <v>45763</v>
      </c>
      <c r="AF187" s="2"/>
      <c r="AG187" t="s">
        <v>12</v>
      </c>
    </row>
    <row r="188" spans="1:33" outlineLevel="2" x14ac:dyDescent="0.25">
      <c r="A188" t="s">
        <v>129</v>
      </c>
      <c r="B188" t="s">
        <v>1</v>
      </c>
      <c r="C188" t="s">
        <v>2</v>
      </c>
      <c r="D188" t="s">
        <v>3</v>
      </c>
      <c r="E188" t="s">
        <v>4</v>
      </c>
      <c r="F188" t="s">
        <v>140</v>
      </c>
      <c r="G188" s="2">
        <v>45763</v>
      </c>
      <c r="H188" t="s">
        <v>634</v>
      </c>
      <c r="I188" t="s">
        <v>22</v>
      </c>
      <c r="J188" s="2">
        <v>45763</v>
      </c>
      <c r="K188" s="2">
        <v>45764</v>
      </c>
      <c r="L188" t="s">
        <v>8</v>
      </c>
      <c r="M188" t="s">
        <v>635</v>
      </c>
      <c r="N188" t="s">
        <v>10</v>
      </c>
      <c r="O188" t="s">
        <v>11</v>
      </c>
      <c r="P188" t="s">
        <v>12</v>
      </c>
      <c r="Q188" t="s">
        <v>24</v>
      </c>
      <c r="R188" t="s">
        <v>14</v>
      </c>
      <c r="S188" s="3">
        <v>37.56</v>
      </c>
      <c r="T188" t="s">
        <v>15</v>
      </c>
      <c r="U188" s="3">
        <v>3264.78</v>
      </c>
      <c r="V188" t="s">
        <v>16</v>
      </c>
      <c r="W188" t="s">
        <v>17</v>
      </c>
      <c r="X188" t="s">
        <v>12</v>
      </c>
      <c r="Y188" t="s">
        <v>8</v>
      </c>
      <c r="Z188" t="s">
        <v>18</v>
      </c>
      <c r="AA188" t="s">
        <v>636</v>
      </c>
      <c r="AB188" t="s">
        <v>12</v>
      </c>
      <c r="AC188" t="s">
        <v>12</v>
      </c>
      <c r="AD188" t="s">
        <v>12</v>
      </c>
      <c r="AE188" s="2">
        <v>45763</v>
      </c>
      <c r="AF188" s="2"/>
      <c r="AG188" t="s">
        <v>12</v>
      </c>
    </row>
    <row r="189" spans="1:33" outlineLevel="2" x14ac:dyDescent="0.25">
      <c r="A189" t="s">
        <v>129</v>
      </c>
      <c r="B189" t="s">
        <v>1</v>
      </c>
      <c r="C189" t="s">
        <v>2</v>
      </c>
      <c r="D189" t="s">
        <v>3</v>
      </c>
      <c r="E189" t="s">
        <v>4</v>
      </c>
      <c r="F189" t="s">
        <v>140</v>
      </c>
      <c r="G189" s="2">
        <v>45763</v>
      </c>
      <c r="H189" t="s">
        <v>637</v>
      </c>
      <c r="I189" t="s">
        <v>22</v>
      </c>
      <c r="J189" s="2">
        <v>45763</v>
      </c>
      <c r="K189" s="2">
        <v>45764</v>
      </c>
      <c r="L189" t="s">
        <v>8</v>
      </c>
      <c r="M189" t="s">
        <v>638</v>
      </c>
      <c r="N189" t="s">
        <v>10</v>
      </c>
      <c r="O189" t="s">
        <v>11</v>
      </c>
      <c r="P189" t="s">
        <v>12</v>
      </c>
      <c r="Q189" t="s">
        <v>24</v>
      </c>
      <c r="R189" t="s">
        <v>14</v>
      </c>
      <c r="S189" s="3">
        <v>17.420000000000002</v>
      </c>
      <c r="T189" t="s">
        <v>15</v>
      </c>
      <c r="U189" s="3">
        <v>1514.18</v>
      </c>
      <c r="V189" t="s">
        <v>16</v>
      </c>
      <c r="W189" t="s">
        <v>17</v>
      </c>
      <c r="X189" t="s">
        <v>12</v>
      </c>
      <c r="Y189" t="s">
        <v>8</v>
      </c>
      <c r="Z189" t="s">
        <v>18</v>
      </c>
      <c r="AA189" t="s">
        <v>639</v>
      </c>
      <c r="AB189" t="s">
        <v>12</v>
      </c>
      <c r="AC189" t="s">
        <v>12</v>
      </c>
      <c r="AD189" t="s">
        <v>12</v>
      </c>
      <c r="AE189" s="2">
        <v>45763</v>
      </c>
      <c r="AF189" s="2"/>
      <c r="AG189" t="s">
        <v>12</v>
      </c>
    </row>
    <row r="190" spans="1:33" outlineLevel="2" x14ac:dyDescent="0.25">
      <c r="A190" t="s">
        <v>129</v>
      </c>
      <c r="B190" t="s">
        <v>1</v>
      </c>
      <c r="C190" t="s">
        <v>2</v>
      </c>
      <c r="D190" t="s">
        <v>3</v>
      </c>
      <c r="E190" t="s">
        <v>4</v>
      </c>
      <c r="F190" t="s">
        <v>140</v>
      </c>
      <c r="G190" s="2">
        <v>45763</v>
      </c>
      <c r="H190" t="s">
        <v>640</v>
      </c>
      <c r="I190" t="s">
        <v>22</v>
      </c>
      <c r="J190" s="2">
        <v>45763</v>
      </c>
      <c r="K190" s="2">
        <v>45764</v>
      </c>
      <c r="L190" t="s">
        <v>8</v>
      </c>
      <c r="M190" t="s">
        <v>641</v>
      </c>
      <c r="N190" t="s">
        <v>10</v>
      </c>
      <c r="O190" t="s">
        <v>11</v>
      </c>
      <c r="P190" t="s">
        <v>12</v>
      </c>
      <c r="Q190" t="s">
        <v>24</v>
      </c>
      <c r="R190" t="s">
        <v>14</v>
      </c>
      <c r="S190" s="3">
        <v>18.88</v>
      </c>
      <c r="T190" t="s">
        <v>15</v>
      </c>
      <c r="U190" s="3">
        <v>1641.08</v>
      </c>
      <c r="V190" t="s">
        <v>16</v>
      </c>
      <c r="W190" t="s">
        <v>17</v>
      </c>
      <c r="X190" t="s">
        <v>12</v>
      </c>
      <c r="Y190" t="s">
        <v>8</v>
      </c>
      <c r="Z190" t="s">
        <v>18</v>
      </c>
      <c r="AA190" t="s">
        <v>642</v>
      </c>
      <c r="AB190" t="s">
        <v>12</v>
      </c>
      <c r="AC190" t="s">
        <v>12</v>
      </c>
      <c r="AD190" t="s">
        <v>12</v>
      </c>
      <c r="AE190" s="2">
        <v>45763</v>
      </c>
      <c r="AF190" s="2"/>
      <c r="AG190" t="s">
        <v>12</v>
      </c>
    </row>
    <row r="191" spans="1:33" outlineLevel="2" x14ac:dyDescent="0.25">
      <c r="A191" t="s">
        <v>129</v>
      </c>
      <c r="B191" t="s">
        <v>1</v>
      </c>
      <c r="C191" t="s">
        <v>2</v>
      </c>
      <c r="D191" t="s">
        <v>3</v>
      </c>
      <c r="E191" t="s">
        <v>4</v>
      </c>
      <c r="F191" t="s">
        <v>140</v>
      </c>
      <c r="G191" s="2">
        <v>45763</v>
      </c>
      <c r="H191" t="s">
        <v>643</v>
      </c>
      <c r="I191" t="s">
        <v>22</v>
      </c>
      <c r="J191" s="2">
        <v>45763</v>
      </c>
      <c r="K191" s="2">
        <v>45764</v>
      </c>
      <c r="L191" t="s">
        <v>8</v>
      </c>
      <c r="M191" t="s">
        <v>644</v>
      </c>
      <c r="N191" t="s">
        <v>10</v>
      </c>
      <c r="O191" t="s">
        <v>11</v>
      </c>
      <c r="P191" t="s">
        <v>12</v>
      </c>
      <c r="Q191" t="s">
        <v>24</v>
      </c>
      <c r="R191" t="s">
        <v>14</v>
      </c>
      <c r="S191" s="3">
        <v>252.98</v>
      </c>
      <c r="T191" t="s">
        <v>15</v>
      </c>
      <c r="U191" s="3">
        <v>21989.48</v>
      </c>
      <c r="V191" t="s">
        <v>16</v>
      </c>
      <c r="W191" t="s">
        <v>17</v>
      </c>
      <c r="X191" t="s">
        <v>12</v>
      </c>
      <c r="Y191" t="s">
        <v>8</v>
      </c>
      <c r="Z191" t="s">
        <v>18</v>
      </c>
      <c r="AA191" t="s">
        <v>645</v>
      </c>
      <c r="AB191" t="s">
        <v>12</v>
      </c>
      <c r="AC191" t="s">
        <v>12</v>
      </c>
      <c r="AD191" t="s">
        <v>12</v>
      </c>
      <c r="AE191" s="2">
        <v>45763</v>
      </c>
      <c r="AF191" s="2"/>
      <c r="AG191" t="s">
        <v>12</v>
      </c>
    </row>
    <row r="192" spans="1:33" outlineLevel="2" x14ac:dyDescent="0.25">
      <c r="A192" t="s">
        <v>129</v>
      </c>
      <c r="B192" t="s">
        <v>1</v>
      </c>
      <c r="C192" t="s">
        <v>2</v>
      </c>
      <c r="D192" t="s">
        <v>3</v>
      </c>
      <c r="E192" t="s">
        <v>4</v>
      </c>
      <c r="F192" t="s">
        <v>140</v>
      </c>
      <c r="G192" s="2">
        <v>45763</v>
      </c>
      <c r="H192" t="s">
        <v>646</v>
      </c>
      <c r="I192" t="s">
        <v>22</v>
      </c>
      <c r="J192" s="2">
        <v>45763</v>
      </c>
      <c r="K192" s="2">
        <v>45764</v>
      </c>
      <c r="L192" t="s">
        <v>8</v>
      </c>
      <c r="M192" t="s">
        <v>647</v>
      </c>
      <c r="N192" t="s">
        <v>10</v>
      </c>
      <c r="O192" t="s">
        <v>11</v>
      </c>
      <c r="P192" t="s">
        <v>12</v>
      </c>
      <c r="Q192" t="s">
        <v>24</v>
      </c>
      <c r="R192" t="s">
        <v>14</v>
      </c>
      <c r="S192" s="3">
        <v>5415.85</v>
      </c>
      <c r="T192" t="s">
        <v>15</v>
      </c>
      <c r="U192" s="3">
        <v>470755.54</v>
      </c>
      <c r="V192" t="s">
        <v>16</v>
      </c>
      <c r="W192" t="s">
        <v>17</v>
      </c>
      <c r="X192" t="s">
        <v>12</v>
      </c>
      <c r="Y192" t="s">
        <v>8</v>
      </c>
      <c r="Z192" t="s">
        <v>18</v>
      </c>
      <c r="AA192" t="s">
        <v>648</v>
      </c>
      <c r="AB192" t="s">
        <v>12</v>
      </c>
      <c r="AC192" t="s">
        <v>12</v>
      </c>
      <c r="AD192" t="s">
        <v>12</v>
      </c>
      <c r="AE192" s="2">
        <v>45763</v>
      </c>
      <c r="AF192" s="2"/>
      <c r="AG192" t="s">
        <v>12</v>
      </c>
    </row>
    <row r="193" spans="1:33" outlineLevel="2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140</v>
      </c>
      <c r="G193" s="2">
        <v>45763</v>
      </c>
      <c r="H193" t="s">
        <v>649</v>
      </c>
      <c r="I193" t="s">
        <v>22</v>
      </c>
      <c r="J193" s="2">
        <v>45763</v>
      </c>
      <c r="K193" s="2">
        <v>45764</v>
      </c>
      <c r="L193" t="s">
        <v>8</v>
      </c>
      <c r="M193" t="s">
        <v>650</v>
      </c>
      <c r="N193" t="s">
        <v>10</v>
      </c>
      <c r="O193" t="s">
        <v>11</v>
      </c>
      <c r="P193" t="s">
        <v>12</v>
      </c>
      <c r="Q193" t="s">
        <v>24</v>
      </c>
      <c r="R193" t="s">
        <v>14</v>
      </c>
      <c r="S193" s="3">
        <v>140</v>
      </c>
      <c r="T193" t="s">
        <v>15</v>
      </c>
      <c r="U193" s="3">
        <v>12169.05</v>
      </c>
      <c r="V193" t="s">
        <v>16</v>
      </c>
      <c r="W193" t="s">
        <v>17</v>
      </c>
      <c r="X193" t="s">
        <v>12</v>
      </c>
      <c r="Y193" t="s">
        <v>8</v>
      </c>
      <c r="Z193" t="s">
        <v>18</v>
      </c>
      <c r="AA193" t="s">
        <v>651</v>
      </c>
      <c r="AB193" t="s">
        <v>12</v>
      </c>
      <c r="AC193" t="s">
        <v>12</v>
      </c>
      <c r="AD193" t="s">
        <v>12</v>
      </c>
      <c r="AE193" s="2">
        <v>45763</v>
      </c>
      <c r="AF193" s="2">
        <v>45976</v>
      </c>
      <c r="AG193" t="s">
        <v>64</v>
      </c>
    </row>
    <row r="194" spans="1:33" outlineLevel="2" x14ac:dyDescent="0.25">
      <c r="A194" t="s">
        <v>129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s="2">
        <v>45863</v>
      </c>
      <c r="H194" t="s">
        <v>652</v>
      </c>
      <c r="I194" t="s">
        <v>22</v>
      </c>
      <c r="J194" s="2">
        <v>45863</v>
      </c>
      <c r="K194" s="2">
        <v>45863</v>
      </c>
      <c r="L194" t="s">
        <v>8</v>
      </c>
      <c r="M194" t="s">
        <v>653</v>
      </c>
      <c r="N194" t="s">
        <v>10</v>
      </c>
      <c r="O194" t="s">
        <v>11</v>
      </c>
      <c r="P194" t="s">
        <v>12</v>
      </c>
      <c r="Q194" t="s">
        <v>24</v>
      </c>
      <c r="R194" t="s">
        <v>14</v>
      </c>
      <c r="S194" s="3">
        <v>379.76</v>
      </c>
      <c r="T194" t="s">
        <v>15</v>
      </c>
      <c r="U194" s="3">
        <v>32659.61</v>
      </c>
      <c r="V194" t="s">
        <v>16</v>
      </c>
      <c r="W194" t="s">
        <v>17</v>
      </c>
      <c r="X194" t="s">
        <v>12</v>
      </c>
      <c r="Y194" t="s">
        <v>8</v>
      </c>
      <c r="Z194" t="s">
        <v>18</v>
      </c>
      <c r="AA194" t="s">
        <v>654</v>
      </c>
      <c r="AB194" t="s">
        <v>12</v>
      </c>
      <c r="AC194" t="s">
        <v>12</v>
      </c>
      <c r="AD194" t="s">
        <v>12</v>
      </c>
      <c r="AE194" s="2">
        <v>45863</v>
      </c>
      <c r="AF194" s="2"/>
      <c r="AG194" t="s">
        <v>12</v>
      </c>
    </row>
    <row r="195" spans="1:33" outlineLevel="2" x14ac:dyDescent="0.25">
      <c r="A195" t="s">
        <v>129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s="2">
        <v>45863</v>
      </c>
      <c r="H195" t="s">
        <v>655</v>
      </c>
      <c r="I195" t="s">
        <v>22</v>
      </c>
      <c r="J195" s="2">
        <v>45863</v>
      </c>
      <c r="K195" s="2">
        <v>45863</v>
      </c>
      <c r="L195" t="s">
        <v>8</v>
      </c>
      <c r="M195" t="s">
        <v>656</v>
      </c>
      <c r="N195" t="s">
        <v>10</v>
      </c>
      <c r="O195" t="s">
        <v>11</v>
      </c>
      <c r="P195" t="s">
        <v>12</v>
      </c>
      <c r="Q195" t="s">
        <v>24</v>
      </c>
      <c r="R195" t="s">
        <v>14</v>
      </c>
      <c r="S195" s="3">
        <v>110.92</v>
      </c>
      <c r="T195" t="s">
        <v>15</v>
      </c>
      <c r="U195" s="3">
        <v>9539.19</v>
      </c>
      <c r="V195" t="s">
        <v>16</v>
      </c>
      <c r="W195" t="s">
        <v>17</v>
      </c>
      <c r="X195" t="s">
        <v>12</v>
      </c>
      <c r="Y195" t="s">
        <v>8</v>
      </c>
      <c r="Z195" t="s">
        <v>18</v>
      </c>
      <c r="AA195" t="s">
        <v>657</v>
      </c>
      <c r="AB195" t="s">
        <v>12</v>
      </c>
      <c r="AC195" t="s">
        <v>12</v>
      </c>
      <c r="AD195" t="s">
        <v>12</v>
      </c>
      <c r="AE195" s="2">
        <v>45863</v>
      </c>
      <c r="AF195" s="2"/>
      <c r="AG195" t="s">
        <v>12</v>
      </c>
    </row>
    <row r="196" spans="1:33" outlineLevel="2" x14ac:dyDescent="0.25">
      <c r="A196" t="s">
        <v>129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s="2">
        <v>45863</v>
      </c>
      <c r="H196" t="s">
        <v>658</v>
      </c>
      <c r="I196" t="s">
        <v>22</v>
      </c>
      <c r="J196" s="2">
        <v>45863</v>
      </c>
      <c r="K196" s="2">
        <v>45863</v>
      </c>
      <c r="L196" t="s">
        <v>8</v>
      </c>
      <c r="M196" t="s">
        <v>659</v>
      </c>
      <c r="N196" t="s">
        <v>10</v>
      </c>
      <c r="O196" t="s">
        <v>11</v>
      </c>
      <c r="P196" t="s">
        <v>12</v>
      </c>
      <c r="Q196" t="s">
        <v>24</v>
      </c>
      <c r="R196" t="s">
        <v>14</v>
      </c>
      <c r="S196" s="3">
        <v>2.34</v>
      </c>
      <c r="T196" t="s">
        <v>15</v>
      </c>
      <c r="U196" s="3">
        <v>201.24</v>
      </c>
      <c r="V196" t="s">
        <v>16</v>
      </c>
      <c r="W196" t="s">
        <v>17</v>
      </c>
      <c r="X196" t="s">
        <v>12</v>
      </c>
      <c r="Y196" t="s">
        <v>8</v>
      </c>
      <c r="Z196" t="s">
        <v>18</v>
      </c>
      <c r="AA196" t="s">
        <v>660</v>
      </c>
      <c r="AB196" t="s">
        <v>12</v>
      </c>
      <c r="AC196" t="s">
        <v>12</v>
      </c>
      <c r="AD196" t="s">
        <v>12</v>
      </c>
      <c r="AE196" s="2">
        <v>45863</v>
      </c>
      <c r="AF196" s="2"/>
      <c r="AG196" t="s">
        <v>12</v>
      </c>
    </row>
    <row r="197" spans="1:33" outlineLevel="2" x14ac:dyDescent="0.25">
      <c r="A197" t="s">
        <v>129</v>
      </c>
      <c r="B197" t="s">
        <v>1</v>
      </c>
      <c r="C197" t="s">
        <v>2</v>
      </c>
      <c r="D197" t="s">
        <v>3</v>
      </c>
      <c r="E197" t="s">
        <v>4</v>
      </c>
      <c r="F197" t="s">
        <v>243</v>
      </c>
      <c r="G197" s="2">
        <v>45730</v>
      </c>
      <c r="H197" t="s">
        <v>661</v>
      </c>
      <c r="I197" t="s">
        <v>22</v>
      </c>
      <c r="J197" s="2">
        <v>45730</v>
      </c>
      <c r="K197" s="2">
        <v>45733</v>
      </c>
      <c r="L197" t="s">
        <v>8</v>
      </c>
      <c r="M197" t="s">
        <v>662</v>
      </c>
      <c r="N197" t="s">
        <v>10</v>
      </c>
      <c r="O197" t="s">
        <v>11</v>
      </c>
      <c r="P197" t="s">
        <v>12</v>
      </c>
      <c r="Q197" t="s">
        <v>24</v>
      </c>
      <c r="R197" t="s">
        <v>14</v>
      </c>
      <c r="S197" s="3">
        <v>14.31</v>
      </c>
      <c r="T197" t="s">
        <v>15</v>
      </c>
      <c r="U197" s="3">
        <v>1240.55</v>
      </c>
      <c r="V197" t="s">
        <v>16</v>
      </c>
      <c r="W197" t="s">
        <v>17</v>
      </c>
      <c r="X197" t="s">
        <v>12</v>
      </c>
      <c r="Y197" t="s">
        <v>8</v>
      </c>
      <c r="Z197" t="s">
        <v>18</v>
      </c>
      <c r="AA197" t="s">
        <v>663</v>
      </c>
      <c r="AB197" t="s">
        <v>12</v>
      </c>
      <c r="AC197" t="s">
        <v>12</v>
      </c>
      <c r="AD197" t="s">
        <v>12</v>
      </c>
      <c r="AE197" s="2">
        <v>45730</v>
      </c>
      <c r="AF197" s="2"/>
      <c r="AG197" t="s">
        <v>12</v>
      </c>
    </row>
    <row r="198" spans="1:33" outlineLevel="2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243</v>
      </c>
      <c r="G198" s="2">
        <v>45730</v>
      </c>
      <c r="H198" t="s">
        <v>664</v>
      </c>
      <c r="I198" t="s">
        <v>22</v>
      </c>
      <c r="J198" s="2">
        <v>45730</v>
      </c>
      <c r="K198" s="2">
        <v>45735</v>
      </c>
      <c r="L198" t="s">
        <v>8</v>
      </c>
      <c r="M198" t="s">
        <v>665</v>
      </c>
      <c r="N198" t="s">
        <v>10</v>
      </c>
      <c r="O198" t="s">
        <v>11</v>
      </c>
      <c r="P198" t="s">
        <v>12</v>
      </c>
      <c r="Q198" t="s">
        <v>24</v>
      </c>
      <c r="R198" t="s">
        <v>14</v>
      </c>
      <c r="S198" s="3">
        <v>14.31</v>
      </c>
      <c r="T198" t="s">
        <v>15</v>
      </c>
      <c r="U198" s="3">
        <v>1240.55</v>
      </c>
      <c r="V198" t="s">
        <v>16</v>
      </c>
      <c r="W198" t="s">
        <v>17</v>
      </c>
      <c r="X198" t="s">
        <v>12</v>
      </c>
      <c r="Y198" t="s">
        <v>8</v>
      </c>
      <c r="Z198" t="s">
        <v>18</v>
      </c>
      <c r="AA198" t="s">
        <v>663</v>
      </c>
      <c r="AB198" t="s">
        <v>12</v>
      </c>
      <c r="AC198" t="s">
        <v>12</v>
      </c>
      <c r="AD198" t="s">
        <v>12</v>
      </c>
      <c r="AE198" s="2">
        <v>45730</v>
      </c>
      <c r="AF198" s="2">
        <v>45842</v>
      </c>
      <c r="AG198" t="s">
        <v>666</v>
      </c>
    </row>
    <row r="199" spans="1:33" outlineLevel="2" x14ac:dyDescent="0.25">
      <c r="A199" t="s">
        <v>129</v>
      </c>
      <c r="B199" t="s">
        <v>1</v>
      </c>
      <c r="C199" t="s">
        <v>2</v>
      </c>
      <c r="D199" t="s">
        <v>3</v>
      </c>
      <c r="E199" t="s">
        <v>4</v>
      </c>
      <c r="F199" t="s">
        <v>313</v>
      </c>
      <c r="G199" s="2">
        <v>45904</v>
      </c>
      <c r="H199" t="s">
        <v>667</v>
      </c>
      <c r="I199" t="s">
        <v>22</v>
      </c>
      <c r="J199" s="2">
        <v>45904</v>
      </c>
      <c r="K199" s="2">
        <v>45908</v>
      </c>
      <c r="L199" t="s">
        <v>8</v>
      </c>
      <c r="M199" t="s">
        <v>668</v>
      </c>
      <c r="N199" t="s">
        <v>10</v>
      </c>
      <c r="O199" t="s">
        <v>11</v>
      </c>
      <c r="P199" t="s">
        <v>12</v>
      </c>
      <c r="Q199" t="s">
        <v>24</v>
      </c>
      <c r="R199" t="s">
        <v>14</v>
      </c>
      <c r="S199" s="3">
        <v>40.85</v>
      </c>
      <c r="T199" t="s">
        <v>15</v>
      </c>
      <c r="U199" s="3">
        <v>3574.96</v>
      </c>
      <c r="V199" t="s">
        <v>16</v>
      </c>
      <c r="W199" t="s">
        <v>17</v>
      </c>
      <c r="X199" t="s">
        <v>12</v>
      </c>
      <c r="Y199" t="s">
        <v>8</v>
      </c>
      <c r="Z199" t="s">
        <v>18</v>
      </c>
      <c r="AA199" t="s">
        <v>669</v>
      </c>
      <c r="AB199" t="s">
        <v>12</v>
      </c>
      <c r="AC199" t="s">
        <v>12</v>
      </c>
      <c r="AD199" t="s">
        <v>12</v>
      </c>
      <c r="AE199" s="2">
        <v>45904</v>
      </c>
      <c r="AF199" s="2"/>
      <c r="AG199" t="s">
        <v>12</v>
      </c>
    </row>
    <row r="200" spans="1:33" outlineLevel="2" x14ac:dyDescent="0.25">
      <c r="A200" t="s">
        <v>129</v>
      </c>
      <c r="B200" t="s">
        <v>1</v>
      </c>
      <c r="C200" t="s">
        <v>2</v>
      </c>
      <c r="D200" t="s">
        <v>3</v>
      </c>
      <c r="E200" t="s">
        <v>4</v>
      </c>
      <c r="F200" t="s">
        <v>313</v>
      </c>
      <c r="G200" s="2">
        <v>45904</v>
      </c>
      <c r="H200" t="s">
        <v>670</v>
      </c>
      <c r="I200" t="s">
        <v>22</v>
      </c>
      <c r="J200" s="2">
        <v>45904</v>
      </c>
      <c r="K200" s="2">
        <v>45908</v>
      </c>
      <c r="L200" t="s">
        <v>8</v>
      </c>
      <c r="M200" t="s">
        <v>671</v>
      </c>
      <c r="N200" t="s">
        <v>10</v>
      </c>
      <c r="O200" t="s">
        <v>11</v>
      </c>
      <c r="P200" t="s">
        <v>12</v>
      </c>
      <c r="Q200" t="s">
        <v>24</v>
      </c>
      <c r="R200" t="s">
        <v>14</v>
      </c>
      <c r="S200" s="3">
        <v>14.1</v>
      </c>
      <c r="T200" t="s">
        <v>15</v>
      </c>
      <c r="U200" s="3">
        <v>1233.95</v>
      </c>
      <c r="V200" t="s">
        <v>16</v>
      </c>
      <c r="W200" t="s">
        <v>17</v>
      </c>
      <c r="X200" t="s">
        <v>12</v>
      </c>
      <c r="Y200" t="s">
        <v>8</v>
      </c>
      <c r="Z200" t="s">
        <v>18</v>
      </c>
      <c r="AA200" t="s">
        <v>672</v>
      </c>
      <c r="AB200" t="s">
        <v>12</v>
      </c>
      <c r="AC200" t="s">
        <v>12</v>
      </c>
      <c r="AD200" t="s">
        <v>12</v>
      </c>
      <c r="AE200" s="2">
        <v>45904</v>
      </c>
      <c r="AF200" s="2"/>
      <c r="AG200" t="s">
        <v>12</v>
      </c>
    </row>
    <row r="201" spans="1:33" outlineLevel="2" x14ac:dyDescent="0.25">
      <c r="A201" t="s">
        <v>129</v>
      </c>
      <c r="B201" t="s">
        <v>1</v>
      </c>
      <c r="C201" t="s">
        <v>2</v>
      </c>
      <c r="D201" t="s">
        <v>3</v>
      </c>
      <c r="E201" t="s">
        <v>4</v>
      </c>
      <c r="F201" t="s">
        <v>313</v>
      </c>
      <c r="G201" s="2">
        <v>45904</v>
      </c>
      <c r="H201" t="s">
        <v>673</v>
      </c>
      <c r="I201" t="s">
        <v>22</v>
      </c>
      <c r="J201" s="2">
        <v>45904</v>
      </c>
      <c r="K201" s="2">
        <v>45909</v>
      </c>
      <c r="L201" t="s">
        <v>8</v>
      </c>
      <c r="M201" t="s">
        <v>674</v>
      </c>
      <c r="N201" t="s">
        <v>10</v>
      </c>
      <c r="O201" t="s">
        <v>11</v>
      </c>
      <c r="P201" t="s">
        <v>12</v>
      </c>
      <c r="Q201" t="s">
        <v>24</v>
      </c>
      <c r="R201" t="s">
        <v>14</v>
      </c>
      <c r="S201" s="3">
        <v>14.25</v>
      </c>
      <c r="T201" t="s">
        <v>15</v>
      </c>
      <c r="U201" s="3">
        <v>1247.08</v>
      </c>
      <c r="V201" t="s">
        <v>16</v>
      </c>
      <c r="W201" t="s">
        <v>17</v>
      </c>
      <c r="X201" t="s">
        <v>12</v>
      </c>
      <c r="Y201" t="s">
        <v>8</v>
      </c>
      <c r="Z201" t="s">
        <v>18</v>
      </c>
      <c r="AA201" t="s">
        <v>675</v>
      </c>
      <c r="AB201" t="s">
        <v>12</v>
      </c>
      <c r="AC201" t="s">
        <v>12</v>
      </c>
      <c r="AD201" t="s">
        <v>12</v>
      </c>
      <c r="AE201" s="2">
        <v>45904</v>
      </c>
      <c r="AF201" s="2"/>
      <c r="AG201" t="s">
        <v>12</v>
      </c>
    </row>
    <row r="202" spans="1:33" outlineLevel="2" x14ac:dyDescent="0.25">
      <c r="A202" t="s">
        <v>129</v>
      </c>
      <c r="B202" t="s">
        <v>1</v>
      </c>
      <c r="C202" t="s">
        <v>2</v>
      </c>
      <c r="D202" t="s">
        <v>3</v>
      </c>
      <c r="E202" t="s">
        <v>4</v>
      </c>
      <c r="F202" t="s">
        <v>313</v>
      </c>
      <c r="G202" s="2">
        <v>45904</v>
      </c>
      <c r="H202" t="s">
        <v>676</v>
      </c>
      <c r="I202" t="s">
        <v>22</v>
      </c>
      <c r="J202" s="2">
        <v>45904</v>
      </c>
      <c r="K202" s="2">
        <v>45909</v>
      </c>
      <c r="L202" t="s">
        <v>8</v>
      </c>
      <c r="M202" t="s">
        <v>677</v>
      </c>
      <c r="N202" t="s">
        <v>10</v>
      </c>
      <c r="O202" t="s">
        <v>11</v>
      </c>
      <c r="P202" t="s">
        <v>12</v>
      </c>
      <c r="Q202" t="s">
        <v>24</v>
      </c>
      <c r="R202" t="s">
        <v>14</v>
      </c>
      <c r="S202" s="3">
        <v>760.25</v>
      </c>
      <c r="T202" t="s">
        <v>15</v>
      </c>
      <c r="U202" s="3">
        <v>66532.77</v>
      </c>
      <c r="V202" t="s">
        <v>16</v>
      </c>
      <c r="W202" t="s">
        <v>17</v>
      </c>
      <c r="X202" t="s">
        <v>12</v>
      </c>
      <c r="Y202" t="s">
        <v>8</v>
      </c>
      <c r="Z202" t="s">
        <v>18</v>
      </c>
      <c r="AA202" t="s">
        <v>678</v>
      </c>
      <c r="AB202" t="s">
        <v>12</v>
      </c>
      <c r="AC202" t="s">
        <v>12</v>
      </c>
      <c r="AD202" t="s">
        <v>12</v>
      </c>
      <c r="AE202" s="2">
        <v>45904</v>
      </c>
      <c r="AF202" s="2"/>
      <c r="AG202" t="s">
        <v>12</v>
      </c>
    </row>
    <row r="203" spans="1:33" outlineLevel="2" x14ac:dyDescent="0.25">
      <c r="A203" t="s">
        <v>129</v>
      </c>
      <c r="B203" t="s">
        <v>1</v>
      </c>
      <c r="C203" t="s">
        <v>2</v>
      </c>
      <c r="D203" t="s">
        <v>3</v>
      </c>
      <c r="E203" t="s">
        <v>4</v>
      </c>
      <c r="F203" t="s">
        <v>313</v>
      </c>
      <c r="G203" s="2">
        <v>45904</v>
      </c>
      <c r="H203" t="s">
        <v>679</v>
      </c>
      <c r="I203" t="s">
        <v>22</v>
      </c>
      <c r="J203" s="2">
        <v>45904</v>
      </c>
      <c r="K203" s="2">
        <v>45909</v>
      </c>
      <c r="L203" t="s">
        <v>8</v>
      </c>
      <c r="M203" t="s">
        <v>680</v>
      </c>
      <c r="N203" t="s">
        <v>10</v>
      </c>
      <c r="O203" t="s">
        <v>11</v>
      </c>
      <c r="P203" t="s">
        <v>12</v>
      </c>
      <c r="Q203" t="s">
        <v>24</v>
      </c>
      <c r="R203" t="s">
        <v>14</v>
      </c>
      <c r="S203" s="3">
        <v>743.54</v>
      </c>
      <c r="T203" t="s">
        <v>15</v>
      </c>
      <c r="U203" s="3">
        <v>65070.400000000001</v>
      </c>
      <c r="V203" t="s">
        <v>16</v>
      </c>
      <c r="W203" t="s">
        <v>17</v>
      </c>
      <c r="X203" t="s">
        <v>12</v>
      </c>
      <c r="Y203" t="s">
        <v>8</v>
      </c>
      <c r="Z203" t="s">
        <v>18</v>
      </c>
      <c r="AA203" t="s">
        <v>681</v>
      </c>
      <c r="AB203" t="s">
        <v>12</v>
      </c>
      <c r="AC203" t="s">
        <v>12</v>
      </c>
      <c r="AD203" t="s">
        <v>12</v>
      </c>
      <c r="AE203" s="2">
        <v>45904</v>
      </c>
      <c r="AF203" s="2"/>
      <c r="AG203" t="s">
        <v>12</v>
      </c>
    </row>
    <row r="204" spans="1:33" outlineLevel="2" x14ac:dyDescent="0.25">
      <c r="A204" t="s">
        <v>129</v>
      </c>
      <c r="B204" t="s">
        <v>1</v>
      </c>
      <c r="C204" t="s">
        <v>2</v>
      </c>
      <c r="D204" t="s">
        <v>3</v>
      </c>
      <c r="E204" t="s">
        <v>4</v>
      </c>
      <c r="F204" t="s">
        <v>313</v>
      </c>
      <c r="G204" s="2">
        <v>45904</v>
      </c>
      <c r="H204" t="s">
        <v>682</v>
      </c>
      <c r="I204" t="s">
        <v>22</v>
      </c>
      <c r="J204" s="2">
        <v>45904</v>
      </c>
      <c r="K204" s="2">
        <v>45909</v>
      </c>
      <c r="L204" t="s">
        <v>8</v>
      </c>
      <c r="M204" t="s">
        <v>683</v>
      </c>
      <c r="N204" t="s">
        <v>10</v>
      </c>
      <c r="O204" t="s">
        <v>11</v>
      </c>
      <c r="P204" t="s">
        <v>12</v>
      </c>
      <c r="Q204" t="s">
        <v>24</v>
      </c>
      <c r="R204" t="s">
        <v>14</v>
      </c>
      <c r="S204" s="3">
        <v>685.41</v>
      </c>
      <c r="T204" t="s">
        <v>15</v>
      </c>
      <c r="U204" s="3">
        <v>59983.199999999997</v>
      </c>
      <c r="V204" t="s">
        <v>16</v>
      </c>
      <c r="W204" t="s">
        <v>17</v>
      </c>
      <c r="X204" t="s">
        <v>12</v>
      </c>
      <c r="Y204" t="s">
        <v>8</v>
      </c>
      <c r="Z204" t="s">
        <v>18</v>
      </c>
      <c r="AA204" t="s">
        <v>684</v>
      </c>
      <c r="AB204" t="s">
        <v>12</v>
      </c>
      <c r="AC204" t="s">
        <v>12</v>
      </c>
      <c r="AD204" t="s">
        <v>12</v>
      </c>
      <c r="AE204" s="2">
        <v>45904</v>
      </c>
      <c r="AF204" s="2"/>
      <c r="AG204" t="s">
        <v>12</v>
      </c>
    </row>
    <row r="205" spans="1:33" outlineLevel="2" x14ac:dyDescent="0.25">
      <c r="A205" t="s">
        <v>129</v>
      </c>
      <c r="B205" t="s">
        <v>1</v>
      </c>
      <c r="C205" t="s">
        <v>2</v>
      </c>
      <c r="D205" t="s">
        <v>3</v>
      </c>
      <c r="E205" t="s">
        <v>4</v>
      </c>
      <c r="F205" t="s">
        <v>313</v>
      </c>
      <c r="G205" s="2">
        <v>45904</v>
      </c>
      <c r="H205" t="s">
        <v>685</v>
      </c>
      <c r="I205" t="s">
        <v>22</v>
      </c>
      <c r="J205" s="2">
        <v>45904</v>
      </c>
      <c r="K205" s="2">
        <v>45909</v>
      </c>
      <c r="L205" t="s">
        <v>8</v>
      </c>
      <c r="M205" t="s">
        <v>686</v>
      </c>
      <c r="N205" t="s">
        <v>10</v>
      </c>
      <c r="O205" t="s">
        <v>11</v>
      </c>
      <c r="P205" t="s">
        <v>12</v>
      </c>
      <c r="Q205" t="s">
        <v>24</v>
      </c>
      <c r="R205" t="s">
        <v>14</v>
      </c>
      <c r="S205" s="3">
        <v>22.77</v>
      </c>
      <c r="T205" t="s">
        <v>15</v>
      </c>
      <c r="U205" s="3">
        <v>1992.7</v>
      </c>
      <c r="V205" t="s">
        <v>16</v>
      </c>
      <c r="W205" t="s">
        <v>17</v>
      </c>
      <c r="X205" t="s">
        <v>12</v>
      </c>
      <c r="Y205" t="s">
        <v>8</v>
      </c>
      <c r="Z205" t="s">
        <v>18</v>
      </c>
      <c r="AA205" t="s">
        <v>687</v>
      </c>
      <c r="AB205" t="s">
        <v>12</v>
      </c>
      <c r="AC205" t="s">
        <v>12</v>
      </c>
      <c r="AD205" t="s">
        <v>12</v>
      </c>
      <c r="AE205" s="2">
        <v>45904</v>
      </c>
      <c r="AF205" s="2"/>
      <c r="AG205" t="s">
        <v>12</v>
      </c>
    </row>
    <row r="206" spans="1:33" outlineLevel="2" x14ac:dyDescent="0.25">
      <c r="A206" t="s">
        <v>129</v>
      </c>
      <c r="B206" t="s">
        <v>1</v>
      </c>
      <c r="C206" t="s">
        <v>2</v>
      </c>
      <c r="D206" t="s">
        <v>3</v>
      </c>
      <c r="E206" t="s">
        <v>4</v>
      </c>
      <c r="F206" t="s">
        <v>313</v>
      </c>
      <c r="G206" s="2">
        <v>45904</v>
      </c>
      <c r="H206" t="s">
        <v>688</v>
      </c>
      <c r="I206" t="s">
        <v>22</v>
      </c>
      <c r="J206" s="2">
        <v>45904</v>
      </c>
      <c r="K206" s="2">
        <v>45909</v>
      </c>
      <c r="L206" t="s">
        <v>8</v>
      </c>
      <c r="M206" t="s">
        <v>689</v>
      </c>
      <c r="N206" t="s">
        <v>10</v>
      </c>
      <c r="O206" t="s">
        <v>11</v>
      </c>
      <c r="P206" t="s">
        <v>12</v>
      </c>
      <c r="Q206" t="s">
        <v>24</v>
      </c>
      <c r="R206" t="s">
        <v>14</v>
      </c>
      <c r="S206" s="3">
        <v>1050.9000000000001</v>
      </c>
      <c r="T206" t="s">
        <v>15</v>
      </c>
      <c r="U206" s="3">
        <v>91968.81</v>
      </c>
      <c r="V206" t="s">
        <v>16</v>
      </c>
      <c r="W206" t="s">
        <v>17</v>
      </c>
      <c r="X206" t="s">
        <v>12</v>
      </c>
      <c r="Y206" t="s">
        <v>8</v>
      </c>
      <c r="Z206" t="s">
        <v>18</v>
      </c>
      <c r="AA206" t="s">
        <v>690</v>
      </c>
      <c r="AB206" t="s">
        <v>12</v>
      </c>
      <c r="AC206" t="s">
        <v>12</v>
      </c>
      <c r="AD206" t="s">
        <v>12</v>
      </c>
      <c r="AE206" s="2">
        <v>45904</v>
      </c>
      <c r="AF206" s="2"/>
      <c r="AG206" t="s">
        <v>12</v>
      </c>
    </row>
    <row r="207" spans="1:33" outlineLevel="2" x14ac:dyDescent="0.25">
      <c r="A207" t="s">
        <v>129</v>
      </c>
      <c r="B207" t="s">
        <v>1</v>
      </c>
      <c r="C207" t="s">
        <v>2</v>
      </c>
      <c r="D207" t="s">
        <v>3</v>
      </c>
      <c r="E207" t="s">
        <v>4</v>
      </c>
      <c r="F207" t="s">
        <v>313</v>
      </c>
      <c r="G207" s="2">
        <v>45904</v>
      </c>
      <c r="H207" t="s">
        <v>691</v>
      </c>
      <c r="I207" t="s">
        <v>22</v>
      </c>
      <c r="J207" s="2">
        <v>45904</v>
      </c>
      <c r="K207" s="2">
        <v>45909</v>
      </c>
      <c r="L207" t="s">
        <v>8</v>
      </c>
      <c r="M207" t="s">
        <v>692</v>
      </c>
      <c r="N207" t="s">
        <v>10</v>
      </c>
      <c r="O207" t="s">
        <v>11</v>
      </c>
      <c r="P207" t="s">
        <v>12</v>
      </c>
      <c r="Q207" t="s">
        <v>24</v>
      </c>
      <c r="R207" t="s">
        <v>14</v>
      </c>
      <c r="S207" s="3">
        <v>49.35</v>
      </c>
      <c r="T207" t="s">
        <v>15</v>
      </c>
      <c r="U207" s="3">
        <v>4318.83</v>
      </c>
      <c r="V207" t="s">
        <v>16</v>
      </c>
      <c r="W207" t="s">
        <v>17</v>
      </c>
      <c r="X207" t="s">
        <v>12</v>
      </c>
      <c r="Y207" t="s">
        <v>693</v>
      </c>
      <c r="Z207" t="s">
        <v>18</v>
      </c>
      <c r="AA207" t="s">
        <v>694</v>
      </c>
      <c r="AB207" t="s">
        <v>12</v>
      </c>
      <c r="AC207" t="s">
        <v>12</v>
      </c>
      <c r="AD207" t="s">
        <v>12</v>
      </c>
      <c r="AE207" s="2">
        <v>45904</v>
      </c>
      <c r="AF207" s="2"/>
      <c r="AG207" t="s">
        <v>12</v>
      </c>
    </row>
    <row r="208" spans="1:33" outlineLevel="2" x14ac:dyDescent="0.25">
      <c r="A208" t="s">
        <v>129</v>
      </c>
      <c r="B208" t="s">
        <v>1</v>
      </c>
      <c r="C208" t="s">
        <v>2</v>
      </c>
      <c r="D208" t="s">
        <v>3</v>
      </c>
      <c r="E208" t="s">
        <v>4</v>
      </c>
      <c r="F208" t="s">
        <v>313</v>
      </c>
      <c r="G208" s="2">
        <v>45904</v>
      </c>
      <c r="H208" t="s">
        <v>695</v>
      </c>
      <c r="I208" t="s">
        <v>22</v>
      </c>
      <c r="J208" s="2">
        <v>45904</v>
      </c>
      <c r="K208" s="2">
        <v>45909</v>
      </c>
      <c r="L208" t="s">
        <v>8</v>
      </c>
      <c r="M208" t="s">
        <v>696</v>
      </c>
      <c r="N208" t="s">
        <v>10</v>
      </c>
      <c r="O208" t="s">
        <v>11</v>
      </c>
      <c r="P208" t="s">
        <v>12</v>
      </c>
      <c r="Q208" t="s">
        <v>24</v>
      </c>
      <c r="R208" t="s">
        <v>14</v>
      </c>
      <c r="S208" s="3">
        <v>456.75</v>
      </c>
      <c r="T208" t="s">
        <v>15</v>
      </c>
      <c r="U208" s="3">
        <v>39972.17</v>
      </c>
      <c r="V208" t="s">
        <v>16</v>
      </c>
      <c r="W208" t="s">
        <v>17</v>
      </c>
      <c r="X208" t="s">
        <v>12</v>
      </c>
      <c r="Y208" t="s">
        <v>8</v>
      </c>
      <c r="Z208" t="s">
        <v>18</v>
      </c>
      <c r="AA208" t="s">
        <v>697</v>
      </c>
      <c r="AB208" t="s">
        <v>12</v>
      </c>
      <c r="AC208" t="s">
        <v>12</v>
      </c>
      <c r="AD208" t="s">
        <v>12</v>
      </c>
      <c r="AE208" s="2">
        <v>45904</v>
      </c>
      <c r="AF208" s="2"/>
      <c r="AG208" t="s">
        <v>12</v>
      </c>
    </row>
    <row r="209" spans="1:33" outlineLevel="2" x14ac:dyDescent="0.25">
      <c r="A209" t="s">
        <v>129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s="2">
        <v>45842</v>
      </c>
      <c r="H209" t="s">
        <v>698</v>
      </c>
      <c r="I209" t="s">
        <v>22</v>
      </c>
      <c r="J209" s="2">
        <v>45842</v>
      </c>
      <c r="K209" s="2">
        <v>45845</v>
      </c>
      <c r="L209" t="s">
        <v>8</v>
      </c>
      <c r="M209" t="s">
        <v>699</v>
      </c>
      <c r="N209" t="s">
        <v>10</v>
      </c>
      <c r="O209" t="s">
        <v>11</v>
      </c>
      <c r="P209" t="s">
        <v>12</v>
      </c>
      <c r="Q209" t="s">
        <v>24</v>
      </c>
      <c r="R209" t="s">
        <v>14</v>
      </c>
      <c r="S209" s="3">
        <v>17.350000000000001</v>
      </c>
      <c r="T209" t="s">
        <v>15</v>
      </c>
      <c r="U209" s="3">
        <v>1492.11</v>
      </c>
      <c r="V209" t="s">
        <v>16</v>
      </c>
      <c r="W209" t="s">
        <v>17</v>
      </c>
      <c r="X209" t="s">
        <v>12</v>
      </c>
      <c r="Y209" t="s">
        <v>8</v>
      </c>
      <c r="Z209" t="s">
        <v>18</v>
      </c>
      <c r="AA209" t="s">
        <v>700</v>
      </c>
      <c r="AB209" t="s">
        <v>12</v>
      </c>
      <c r="AC209" t="s">
        <v>12</v>
      </c>
      <c r="AD209" t="s">
        <v>12</v>
      </c>
      <c r="AE209" s="2">
        <v>45842</v>
      </c>
      <c r="AF209" s="2"/>
      <c r="AG209" t="s">
        <v>12</v>
      </c>
    </row>
    <row r="210" spans="1:33" outlineLevel="2" x14ac:dyDescent="0.25">
      <c r="A210" t="s">
        <v>129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45842</v>
      </c>
      <c r="H210" t="s">
        <v>701</v>
      </c>
      <c r="I210" t="s">
        <v>22</v>
      </c>
      <c r="J210" s="2">
        <v>45842</v>
      </c>
      <c r="K210" s="2">
        <v>45845</v>
      </c>
      <c r="L210" t="s">
        <v>8</v>
      </c>
      <c r="M210" t="s">
        <v>702</v>
      </c>
      <c r="N210" t="s">
        <v>10</v>
      </c>
      <c r="O210" t="s">
        <v>11</v>
      </c>
      <c r="P210" t="s">
        <v>12</v>
      </c>
      <c r="Q210" t="s">
        <v>24</v>
      </c>
      <c r="R210" t="s">
        <v>14</v>
      </c>
      <c r="S210" s="3">
        <v>101.95</v>
      </c>
      <c r="T210" t="s">
        <v>15</v>
      </c>
      <c r="U210" s="3">
        <v>8767.77</v>
      </c>
      <c r="V210" t="s">
        <v>16</v>
      </c>
      <c r="W210" t="s">
        <v>17</v>
      </c>
      <c r="X210" t="s">
        <v>12</v>
      </c>
      <c r="Y210" t="s">
        <v>8</v>
      </c>
      <c r="Z210" t="s">
        <v>18</v>
      </c>
      <c r="AA210" t="s">
        <v>703</v>
      </c>
      <c r="AB210" t="s">
        <v>12</v>
      </c>
      <c r="AC210" t="s">
        <v>12</v>
      </c>
      <c r="AD210" t="s">
        <v>12</v>
      </c>
      <c r="AE210" s="2">
        <v>45842</v>
      </c>
      <c r="AF210" s="2"/>
      <c r="AG210" t="s">
        <v>12</v>
      </c>
    </row>
    <row r="211" spans="1:33" outlineLevel="2" x14ac:dyDescent="0.25">
      <c r="A211" t="s">
        <v>129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s="2">
        <v>45842</v>
      </c>
      <c r="H211" t="s">
        <v>704</v>
      </c>
      <c r="I211" t="s">
        <v>22</v>
      </c>
      <c r="J211" s="2">
        <v>45842</v>
      </c>
      <c r="K211" s="2">
        <v>45847</v>
      </c>
      <c r="L211" t="s">
        <v>8</v>
      </c>
      <c r="M211" t="s">
        <v>705</v>
      </c>
      <c r="N211" t="s">
        <v>10</v>
      </c>
      <c r="O211" t="s">
        <v>11</v>
      </c>
      <c r="P211" t="s">
        <v>12</v>
      </c>
      <c r="Q211" t="s">
        <v>24</v>
      </c>
      <c r="R211" t="s">
        <v>14</v>
      </c>
      <c r="S211" s="3">
        <v>31.73</v>
      </c>
      <c r="T211" t="s">
        <v>15</v>
      </c>
      <c r="U211" s="3">
        <v>2728.8</v>
      </c>
      <c r="V211" t="s">
        <v>16</v>
      </c>
      <c r="W211" t="s">
        <v>17</v>
      </c>
      <c r="X211" t="s">
        <v>12</v>
      </c>
      <c r="Y211" t="s">
        <v>8</v>
      </c>
      <c r="Z211" t="s">
        <v>18</v>
      </c>
      <c r="AA211" t="s">
        <v>706</v>
      </c>
      <c r="AB211" t="s">
        <v>12</v>
      </c>
      <c r="AC211" t="s">
        <v>12</v>
      </c>
      <c r="AD211" t="s">
        <v>12</v>
      </c>
      <c r="AE211" s="2">
        <v>45842</v>
      </c>
      <c r="AF211" s="2"/>
      <c r="AG211" t="s">
        <v>12</v>
      </c>
    </row>
    <row r="212" spans="1:33" outlineLevel="2" x14ac:dyDescent="0.25">
      <c r="A212" t="s">
        <v>129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45842</v>
      </c>
      <c r="H212" t="s">
        <v>707</v>
      </c>
      <c r="I212" t="s">
        <v>22</v>
      </c>
      <c r="J212" s="2">
        <v>45842</v>
      </c>
      <c r="K212" s="2">
        <v>45847</v>
      </c>
      <c r="L212" t="s">
        <v>8</v>
      </c>
      <c r="M212" t="s">
        <v>708</v>
      </c>
      <c r="N212" t="s">
        <v>10</v>
      </c>
      <c r="O212" t="s">
        <v>11</v>
      </c>
      <c r="P212" t="s">
        <v>12</v>
      </c>
      <c r="Q212" t="s">
        <v>24</v>
      </c>
      <c r="R212" t="s">
        <v>14</v>
      </c>
      <c r="S212" s="3">
        <v>1180.8</v>
      </c>
      <c r="T212" t="s">
        <v>15</v>
      </c>
      <c r="U212" s="3">
        <v>101549.59</v>
      </c>
      <c r="V212" t="s">
        <v>16</v>
      </c>
      <c r="W212" t="s">
        <v>17</v>
      </c>
      <c r="X212" t="s">
        <v>12</v>
      </c>
      <c r="Y212" t="s">
        <v>8</v>
      </c>
      <c r="Z212" t="s">
        <v>18</v>
      </c>
      <c r="AA212" t="s">
        <v>709</v>
      </c>
      <c r="AB212" t="s">
        <v>12</v>
      </c>
      <c r="AC212" t="s">
        <v>12</v>
      </c>
      <c r="AD212" t="s">
        <v>12</v>
      </c>
      <c r="AE212" s="2">
        <v>45842</v>
      </c>
      <c r="AF212" s="2"/>
      <c r="AG212" t="s">
        <v>12</v>
      </c>
    </row>
    <row r="213" spans="1:33" outlineLevel="2" x14ac:dyDescent="0.25">
      <c r="A213" t="s">
        <v>129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s="2">
        <v>45842</v>
      </c>
      <c r="H213" t="s">
        <v>710</v>
      </c>
      <c r="I213" t="s">
        <v>22</v>
      </c>
      <c r="J213" s="2">
        <v>45842</v>
      </c>
      <c r="K213" s="2">
        <v>45847</v>
      </c>
      <c r="L213" t="s">
        <v>8</v>
      </c>
      <c r="M213" t="s">
        <v>711</v>
      </c>
      <c r="N213" t="s">
        <v>10</v>
      </c>
      <c r="O213" t="s">
        <v>11</v>
      </c>
      <c r="P213" t="s">
        <v>12</v>
      </c>
      <c r="Q213" t="s">
        <v>24</v>
      </c>
      <c r="R213" t="s">
        <v>14</v>
      </c>
      <c r="S213" s="3">
        <v>456.75</v>
      </c>
      <c r="T213" t="s">
        <v>15</v>
      </c>
      <c r="U213" s="3">
        <v>39280.81</v>
      </c>
      <c r="V213" t="s">
        <v>16</v>
      </c>
      <c r="W213" t="s">
        <v>17</v>
      </c>
      <c r="X213" t="s">
        <v>12</v>
      </c>
      <c r="Y213" t="s">
        <v>8</v>
      </c>
      <c r="Z213" t="s">
        <v>18</v>
      </c>
      <c r="AA213" t="s">
        <v>712</v>
      </c>
      <c r="AB213" t="s">
        <v>12</v>
      </c>
      <c r="AC213" t="s">
        <v>12</v>
      </c>
      <c r="AD213" t="s">
        <v>12</v>
      </c>
      <c r="AE213" s="2">
        <v>45842</v>
      </c>
      <c r="AF213" s="2"/>
      <c r="AG213" t="s">
        <v>12</v>
      </c>
    </row>
    <row r="214" spans="1:33" outlineLevel="2" x14ac:dyDescent="0.25">
      <c r="A214" t="s">
        <v>129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s="2">
        <v>45842</v>
      </c>
      <c r="H214" t="s">
        <v>713</v>
      </c>
      <c r="I214" t="s">
        <v>22</v>
      </c>
      <c r="J214" s="2">
        <v>45842</v>
      </c>
      <c r="K214" s="2">
        <v>45847</v>
      </c>
      <c r="L214" t="s">
        <v>8</v>
      </c>
      <c r="M214" t="s">
        <v>714</v>
      </c>
      <c r="N214" t="s">
        <v>10</v>
      </c>
      <c r="O214" t="s">
        <v>11</v>
      </c>
      <c r="P214" t="s">
        <v>12</v>
      </c>
      <c r="Q214" t="s">
        <v>24</v>
      </c>
      <c r="R214" t="s">
        <v>14</v>
      </c>
      <c r="S214" s="3">
        <v>54.05</v>
      </c>
      <c r="T214" t="s">
        <v>15</v>
      </c>
      <c r="U214" s="3">
        <v>4648.34</v>
      </c>
      <c r="V214" t="s">
        <v>16</v>
      </c>
      <c r="W214" t="s">
        <v>17</v>
      </c>
      <c r="X214" t="s">
        <v>12</v>
      </c>
      <c r="Y214" t="s">
        <v>8</v>
      </c>
      <c r="Z214" t="s">
        <v>18</v>
      </c>
      <c r="AA214" t="s">
        <v>12</v>
      </c>
      <c r="AB214" t="s">
        <v>12</v>
      </c>
      <c r="AC214" t="s">
        <v>12</v>
      </c>
      <c r="AD214" t="s">
        <v>12</v>
      </c>
      <c r="AE214" s="2">
        <v>45842</v>
      </c>
      <c r="AF214" s="2"/>
      <c r="AG214" t="s">
        <v>12</v>
      </c>
    </row>
    <row r="215" spans="1:33" outlineLevel="2" x14ac:dyDescent="0.25">
      <c r="A215" t="s">
        <v>129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s="2">
        <v>45842</v>
      </c>
      <c r="H215" t="s">
        <v>715</v>
      </c>
      <c r="I215" t="s">
        <v>22</v>
      </c>
      <c r="J215" s="2">
        <v>45842</v>
      </c>
      <c r="K215" s="2">
        <v>45847</v>
      </c>
      <c r="L215" t="s">
        <v>8</v>
      </c>
      <c r="M215" t="s">
        <v>716</v>
      </c>
      <c r="N215" t="s">
        <v>10</v>
      </c>
      <c r="O215" t="s">
        <v>11</v>
      </c>
      <c r="P215" t="s">
        <v>12</v>
      </c>
      <c r="Q215" t="s">
        <v>24</v>
      </c>
      <c r="R215" t="s">
        <v>14</v>
      </c>
      <c r="S215" s="3">
        <v>155.09</v>
      </c>
      <c r="T215" t="s">
        <v>15</v>
      </c>
      <c r="U215" s="3">
        <v>13337.84</v>
      </c>
      <c r="V215" t="s">
        <v>16</v>
      </c>
      <c r="W215" t="s">
        <v>17</v>
      </c>
      <c r="X215" t="s">
        <v>12</v>
      </c>
      <c r="Y215" t="s">
        <v>8</v>
      </c>
      <c r="Z215" t="s">
        <v>18</v>
      </c>
      <c r="AA215" t="s">
        <v>717</v>
      </c>
      <c r="AB215" t="s">
        <v>12</v>
      </c>
      <c r="AC215" t="s">
        <v>12</v>
      </c>
      <c r="AD215" t="s">
        <v>12</v>
      </c>
      <c r="AE215" s="2">
        <v>45842</v>
      </c>
      <c r="AF215" s="2"/>
      <c r="AG215" t="s">
        <v>12</v>
      </c>
    </row>
    <row r="216" spans="1:33" outlineLevel="2" x14ac:dyDescent="0.25">
      <c r="A216" t="s">
        <v>129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s="2">
        <v>45842</v>
      </c>
      <c r="H216" t="s">
        <v>718</v>
      </c>
      <c r="I216" t="s">
        <v>22</v>
      </c>
      <c r="J216" s="2">
        <v>45842</v>
      </c>
      <c r="K216" s="2">
        <v>45847</v>
      </c>
      <c r="L216" t="s">
        <v>8</v>
      </c>
      <c r="M216" t="s">
        <v>719</v>
      </c>
      <c r="N216" t="s">
        <v>10</v>
      </c>
      <c r="O216" t="s">
        <v>11</v>
      </c>
      <c r="P216" t="s">
        <v>12</v>
      </c>
      <c r="Q216" t="s">
        <v>24</v>
      </c>
      <c r="R216" t="s">
        <v>14</v>
      </c>
      <c r="S216" s="3">
        <v>6.43</v>
      </c>
      <c r="T216" t="s">
        <v>15</v>
      </c>
      <c r="U216" s="3">
        <v>552.98</v>
      </c>
      <c r="V216" t="s">
        <v>16</v>
      </c>
      <c r="W216" t="s">
        <v>17</v>
      </c>
      <c r="X216" t="s">
        <v>12</v>
      </c>
      <c r="Y216" t="s">
        <v>8</v>
      </c>
      <c r="Z216" t="s">
        <v>18</v>
      </c>
      <c r="AA216" t="s">
        <v>720</v>
      </c>
      <c r="AB216" t="s">
        <v>12</v>
      </c>
      <c r="AC216" t="s">
        <v>12</v>
      </c>
      <c r="AD216" t="s">
        <v>12</v>
      </c>
      <c r="AE216" s="2">
        <v>45842</v>
      </c>
      <c r="AF216" s="2"/>
      <c r="AG216" t="s">
        <v>12</v>
      </c>
    </row>
    <row r="217" spans="1:33" outlineLevel="2" x14ac:dyDescent="0.25">
      <c r="A217" t="s">
        <v>129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s="2">
        <v>45842</v>
      </c>
      <c r="H217" t="s">
        <v>721</v>
      </c>
      <c r="I217" t="s">
        <v>22</v>
      </c>
      <c r="J217" s="2">
        <v>45842</v>
      </c>
      <c r="K217" s="2">
        <v>45847</v>
      </c>
      <c r="L217" t="s">
        <v>8</v>
      </c>
      <c r="M217" t="s">
        <v>722</v>
      </c>
      <c r="N217" t="s">
        <v>10</v>
      </c>
      <c r="O217" t="s">
        <v>11</v>
      </c>
      <c r="P217" t="s">
        <v>12</v>
      </c>
      <c r="Q217" t="s">
        <v>24</v>
      </c>
      <c r="R217" t="s">
        <v>14</v>
      </c>
      <c r="S217" s="3">
        <v>3330.8</v>
      </c>
      <c r="T217" t="s">
        <v>15</v>
      </c>
      <c r="U217" s="3">
        <v>286451.03000000003</v>
      </c>
      <c r="V217" t="s">
        <v>16</v>
      </c>
      <c r="W217" t="s">
        <v>17</v>
      </c>
      <c r="X217" t="s">
        <v>12</v>
      </c>
      <c r="Y217" t="s">
        <v>8</v>
      </c>
      <c r="Z217" t="s">
        <v>18</v>
      </c>
      <c r="AA217" t="s">
        <v>723</v>
      </c>
      <c r="AB217" t="s">
        <v>12</v>
      </c>
      <c r="AC217" t="s">
        <v>12</v>
      </c>
      <c r="AD217" t="s">
        <v>12</v>
      </c>
      <c r="AE217" s="2">
        <v>45842</v>
      </c>
      <c r="AF217" s="2"/>
      <c r="AG217" t="s">
        <v>12</v>
      </c>
    </row>
    <row r="218" spans="1:33" outlineLevel="2" x14ac:dyDescent="0.25">
      <c r="A218" t="s">
        <v>129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s="2">
        <v>45842</v>
      </c>
      <c r="H218" t="s">
        <v>724</v>
      </c>
      <c r="I218" t="s">
        <v>22</v>
      </c>
      <c r="J218" s="2">
        <v>45842</v>
      </c>
      <c r="K218" s="2">
        <v>45847</v>
      </c>
      <c r="L218" t="s">
        <v>8</v>
      </c>
      <c r="M218" t="s">
        <v>725</v>
      </c>
      <c r="N218" t="s">
        <v>10</v>
      </c>
      <c r="O218" t="s">
        <v>11</v>
      </c>
      <c r="P218" t="s">
        <v>12</v>
      </c>
      <c r="Q218" t="s">
        <v>24</v>
      </c>
      <c r="R218" t="s">
        <v>14</v>
      </c>
      <c r="S218" s="3">
        <v>2.34</v>
      </c>
      <c r="T218" t="s">
        <v>15</v>
      </c>
      <c r="U218" s="3">
        <v>201.24</v>
      </c>
      <c r="V218" t="s">
        <v>16</v>
      </c>
      <c r="W218" t="s">
        <v>17</v>
      </c>
      <c r="X218" t="s">
        <v>12</v>
      </c>
      <c r="Y218" t="s">
        <v>12</v>
      </c>
      <c r="Z218" t="s">
        <v>18</v>
      </c>
      <c r="AA218" t="s">
        <v>726</v>
      </c>
      <c r="AB218" t="s">
        <v>12</v>
      </c>
      <c r="AC218" t="s">
        <v>12</v>
      </c>
      <c r="AD218" t="s">
        <v>12</v>
      </c>
      <c r="AE218" s="2">
        <v>45842</v>
      </c>
      <c r="AF218" s="2"/>
      <c r="AG218" t="s">
        <v>12</v>
      </c>
    </row>
    <row r="219" spans="1:33" outlineLevel="2" x14ac:dyDescent="0.25">
      <c r="A219" t="s">
        <v>129</v>
      </c>
      <c r="B219" t="s">
        <v>1</v>
      </c>
      <c r="C219" t="s">
        <v>2</v>
      </c>
      <c r="D219" t="s">
        <v>3</v>
      </c>
      <c r="E219" t="s">
        <v>4</v>
      </c>
      <c r="F219" t="s">
        <v>13</v>
      </c>
      <c r="G219" s="2">
        <v>45966</v>
      </c>
      <c r="H219" t="s">
        <v>727</v>
      </c>
      <c r="I219" t="s">
        <v>22</v>
      </c>
      <c r="J219" s="2">
        <v>45966</v>
      </c>
      <c r="K219" s="2">
        <v>45966</v>
      </c>
      <c r="L219" t="s">
        <v>8</v>
      </c>
      <c r="M219" t="s">
        <v>728</v>
      </c>
      <c r="N219" t="s">
        <v>10</v>
      </c>
      <c r="O219" t="s">
        <v>11</v>
      </c>
      <c r="P219" t="s">
        <v>12</v>
      </c>
      <c r="Q219" t="s">
        <v>24</v>
      </c>
      <c r="R219" t="s">
        <v>14</v>
      </c>
      <c r="S219" s="3">
        <v>456.75</v>
      </c>
      <c r="T219" t="s">
        <v>15</v>
      </c>
      <c r="U219" s="3">
        <v>40195.550000000003</v>
      </c>
      <c r="V219" t="s">
        <v>16</v>
      </c>
      <c r="W219" t="s">
        <v>17</v>
      </c>
      <c r="X219" t="s">
        <v>12</v>
      </c>
      <c r="Y219" t="s">
        <v>729</v>
      </c>
      <c r="Z219" t="s">
        <v>18</v>
      </c>
      <c r="AA219" t="s">
        <v>730</v>
      </c>
      <c r="AB219" t="s">
        <v>12</v>
      </c>
      <c r="AC219" t="s">
        <v>12</v>
      </c>
      <c r="AD219" t="s">
        <v>12</v>
      </c>
      <c r="AE219" s="2">
        <v>45966</v>
      </c>
      <c r="AF219" s="2"/>
      <c r="AG219" t="s">
        <v>12</v>
      </c>
    </row>
    <row r="220" spans="1:33" outlineLevel="2" x14ac:dyDescent="0.25">
      <c r="A220" t="s">
        <v>129</v>
      </c>
      <c r="B220" t="s">
        <v>1</v>
      </c>
      <c r="C220" t="s">
        <v>2</v>
      </c>
      <c r="D220" t="s">
        <v>3</v>
      </c>
      <c r="E220" t="s">
        <v>4</v>
      </c>
      <c r="F220" t="s">
        <v>13</v>
      </c>
      <c r="G220" s="2">
        <v>45966</v>
      </c>
      <c r="H220" t="s">
        <v>731</v>
      </c>
      <c r="I220" t="s">
        <v>22</v>
      </c>
      <c r="J220" s="2">
        <v>45966</v>
      </c>
      <c r="K220" s="2">
        <v>45967</v>
      </c>
      <c r="L220" t="s">
        <v>8</v>
      </c>
      <c r="M220" t="s">
        <v>732</v>
      </c>
      <c r="N220" t="s">
        <v>10</v>
      </c>
      <c r="O220" t="s">
        <v>11</v>
      </c>
      <c r="P220" t="s">
        <v>12</v>
      </c>
      <c r="Q220" t="s">
        <v>24</v>
      </c>
      <c r="R220" t="s">
        <v>14</v>
      </c>
      <c r="S220" s="3">
        <v>32.74</v>
      </c>
      <c r="T220" t="s">
        <v>15</v>
      </c>
      <c r="U220" s="3">
        <v>2881.23</v>
      </c>
      <c r="V220" t="s">
        <v>16</v>
      </c>
      <c r="W220" t="s">
        <v>17</v>
      </c>
      <c r="X220" t="s">
        <v>12</v>
      </c>
      <c r="Y220" t="s">
        <v>733</v>
      </c>
      <c r="Z220" t="s">
        <v>18</v>
      </c>
      <c r="AA220" t="s">
        <v>734</v>
      </c>
      <c r="AB220" t="s">
        <v>12</v>
      </c>
      <c r="AC220" t="s">
        <v>12</v>
      </c>
      <c r="AD220" t="s">
        <v>12</v>
      </c>
      <c r="AE220" s="2">
        <v>45966</v>
      </c>
      <c r="AF220" s="2"/>
      <c r="AG220" t="s">
        <v>12</v>
      </c>
    </row>
    <row r="221" spans="1:33" outlineLevel="2" x14ac:dyDescent="0.25">
      <c r="A221" t="s">
        <v>129</v>
      </c>
      <c r="B221" t="s">
        <v>1</v>
      </c>
      <c r="C221" t="s">
        <v>2</v>
      </c>
      <c r="D221" t="s">
        <v>3</v>
      </c>
      <c r="E221" t="s">
        <v>4</v>
      </c>
      <c r="F221" t="s">
        <v>13</v>
      </c>
      <c r="G221" s="2">
        <v>45966</v>
      </c>
      <c r="H221" t="s">
        <v>735</v>
      </c>
      <c r="I221" t="s">
        <v>22</v>
      </c>
      <c r="J221" s="2">
        <v>45966</v>
      </c>
      <c r="K221" s="2">
        <v>45967</v>
      </c>
      <c r="L221" t="s">
        <v>8</v>
      </c>
      <c r="M221" t="s">
        <v>736</v>
      </c>
      <c r="N221" t="s">
        <v>10</v>
      </c>
      <c r="O221" t="s">
        <v>11</v>
      </c>
      <c r="P221" t="s">
        <v>12</v>
      </c>
      <c r="Q221" t="s">
        <v>24</v>
      </c>
      <c r="R221" t="s">
        <v>14</v>
      </c>
      <c r="S221" s="3">
        <v>6685.47</v>
      </c>
      <c r="T221" t="s">
        <v>15</v>
      </c>
      <c r="U221" s="3">
        <v>588344.02</v>
      </c>
      <c r="V221" t="s">
        <v>16</v>
      </c>
      <c r="W221" t="s">
        <v>17</v>
      </c>
      <c r="X221" t="s">
        <v>12</v>
      </c>
      <c r="Y221" t="s">
        <v>737</v>
      </c>
      <c r="Z221" t="s">
        <v>18</v>
      </c>
      <c r="AA221" t="s">
        <v>738</v>
      </c>
      <c r="AB221" t="s">
        <v>12</v>
      </c>
      <c r="AC221" t="s">
        <v>12</v>
      </c>
      <c r="AD221" t="s">
        <v>12</v>
      </c>
      <c r="AE221" s="2">
        <v>45966</v>
      </c>
      <c r="AF221" s="2"/>
      <c r="AG221" t="s">
        <v>12</v>
      </c>
    </row>
    <row r="222" spans="1:33" outlineLevel="2" x14ac:dyDescent="0.25">
      <c r="A222" t="s">
        <v>129</v>
      </c>
      <c r="B222" t="s">
        <v>1</v>
      </c>
      <c r="C222" t="s">
        <v>2</v>
      </c>
      <c r="D222" t="s">
        <v>3</v>
      </c>
      <c r="E222" t="s">
        <v>4</v>
      </c>
      <c r="F222" t="s">
        <v>13</v>
      </c>
      <c r="G222" s="2">
        <v>45966</v>
      </c>
      <c r="H222" t="s">
        <v>739</v>
      </c>
      <c r="I222" t="s">
        <v>22</v>
      </c>
      <c r="J222" s="2">
        <v>45966</v>
      </c>
      <c r="K222" s="2">
        <v>45967</v>
      </c>
      <c r="L222" t="s">
        <v>8</v>
      </c>
      <c r="M222" t="s">
        <v>740</v>
      </c>
      <c r="N222" t="s">
        <v>10</v>
      </c>
      <c r="O222" t="s">
        <v>11</v>
      </c>
      <c r="P222" t="s">
        <v>12</v>
      </c>
      <c r="Q222" t="s">
        <v>24</v>
      </c>
      <c r="R222" t="s">
        <v>14</v>
      </c>
      <c r="S222" s="3">
        <v>108.45</v>
      </c>
      <c r="T222" t="s">
        <v>15</v>
      </c>
      <c r="U222" s="3">
        <v>9543.9699999999993</v>
      </c>
      <c r="V222" t="s">
        <v>16</v>
      </c>
      <c r="W222" t="s">
        <v>17</v>
      </c>
      <c r="X222" t="s">
        <v>12</v>
      </c>
      <c r="Y222" t="s">
        <v>741</v>
      </c>
      <c r="Z222" t="s">
        <v>18</v>
      </c>
      <c r="AA222" t="s">
        <v>742</v>
      </c>
      <c r="AB222" t="s">
        <v>12</v>
      </c>
      <c r="AC222" t="s">
        <v>12</v>
      </c>
      <c r="AD222" t="s">
        <v>12</v>
      </c>
      <c r="AE222" s="2">
        <v>45966</v>
      </c>
      <c r="AF222" s="2"/>
      <c r="AG222" t="s">
        <v>12</v>
      </c>
    </row>
    <row r="223" spans="1:33" outlineLevel="2" x14ac:dyDescent="0.25">
      <c r="A223" t="s">
        <v>129</v>
      </c>
      <c r="B223" t="s">
        <v>1</v>
      </c>
      <c r="C223" t="s">
        <v>2</v>
      </c>
      <c r="D223" t="s">
        <v>3</v>
      </c>
      <c r="E223" t="s">
        <v>4</v>
      </c>
      <c r="F223" t="s">
        <v>13</v>
      </c>
      <c r="G223" s="2">
        <v>45966</v>
      </c>
      <c r="H223" t="s">
        <v>743</v>
      </c>
      <c r="I223" t="s">
        <v>22</v>
      </c>
      <c r="J223" s="2">
        <v>45966</v>
      </c>
      <c r="K223" s="2">
        <v>45967</v>
      </c>
      <c r="L223" t="s">
        <v>8</v>
      </c>
      <c r="M223" t="s">
        <v>744</v>
      </c>
      <c r="N223" t="s">
        <v>10</v>
      </c>
      <c r="O223" t="s">
        <v>11</v>
      </c>
      <c r="P223" t="s">
        <v>12</v>
      </c>
      <c r="Q223" t="s">
        <v>24</v>
      </c>
      <c r="R223" t="s">
        <v>14</v>
      </c>
      <c r="S223" s="3">
        <v>35.25</v>
      </c>
      <c r="T223" t="s">
        <v>15</v>
      </c>
      <c r="U223" s="3">
        <v>3102.12</v>
      </c>
      <c r="V223" t="s">
        <v>16</v>
      </c>
      <c r="W223" t="s">
        <v>17</v>
      </c>
      <c r="X223" t="s">
        <v>12</v>
      </c>
      <c r="Y223" t="s">
        <v>745</v>
      </c>
      <c r="Z223" t="s">
        <v>18</v>
      </c>
      <c r="AA223" t="s">
        <v>746</v>
      </c>
      <c r="AB223" t="s">
        <v>12</v>
      </c>
      <c r="AC223" t="s">
        <v>12</v>
      </c>
      <c r="AD223" t="s">
        <v>12</v>
      </c>
      <c r="AE223" s="2">
        <v>45966</v>
      </c>
      <c r="AF223" s="2"/>
      <c r="AG223" t="s">
        <v>12</v>
      </c>
    </row>
    <row r="224" spans="1:33" outlineLevel="2" x14ac:dyDescent="0.25">
      <c r="A224" t="s">
        <v>129</v>
      </c>
      <c r="B224" t="s">
        <v>1</v>
      </c>
      <c r="C224" t="s">
        <v>2</v>
      </c>
      <c r="D224" t="s">
        <v>3</v>
      </c>
      <c r="E224" t="s">
        <v>4</v>
      </c>
      <c r="F224" t="s">
        <v>13</v>
      </c>
      <c r="G224" s="2">
        <v>45966</v>
      </c>
      <c r="H224" t="s">
        <v>747</v>
      </c>
      <c r="I224" t="s">
        <v>22</v>
      </c>
      <c r="J224" s="2">
        <v>45966</v>
      </c>
      <c r="K224" s="2">
        <v>45967</v>
      </c>
      <c r="L224" t="s">
        <v>8</v>
      </c>
      <c r="M224" t="s">
        <v>748</v>
      </c>
      <c r="N224" t="s">
        <v>10</v>
      </c>
      <c r="O224" t="s">
        <v>11</v>
      </c>
      <c r="P224" t="s">
        <v>12</v>
      </c>
      <c r="Q224" t="s">
        <v>24</v>
      </c>
      <c r="R224" t="s">
        <v>14</v>
      </c>
      <c r="S224" s="3">
        <v>337.59</v>
      </c>
      <c r="T224" t="s">
        <v>15</v>
      </c>
      <c r="U224" s="3">
        <v>29709.06</v>
      </c>
      <c r="V224" t="s">
        <v>16</v>
      </c>
      <c r="W224" t="s">
        <v>17</v>
      </c>
      <c r="X224" t="s">
        <v>12</v>
      </c>
      <c r="Y224" t="s">
        <v>749</v>
      </c>
      <c r="Z224" t="s">
        <v>18</v>
      </c>
      <c r="AA224" t="s">
        <v>750</v>
      </c>
      <c r="AB224" t="s">
        <v>12</v>
      </c>
      <c r="AC224" t="s">
        <v>12</v>
      </c>
      <c r="AD224" t="s">
        <v>12</v>
      </c>
      <c r="AE224" s="2">
        <v>45966</v>
      </c>
      <c r="AF224" s="2"/>
      <c r="AG224" t="s">
        <v>12</v>
      </c>
    </row>
    <row r="225" spans="1:33" outlineLevel="2" x14ac:dyDescent="0.25">
      <c r="A225" t="s">
        <v>129</v>
      </c>
      <c r="B225" t="s">
        <v>1</v>
      </c>
      <c r="C225" t="s">
        <v>2</v>
      </c>
      <c r="D225" t="s">
        <v>3</v>
      </c>
      <c r="E225" t="s">
        <v>4</v>
      </c>
      <c r="F225" t="s">
        <v>13</v>
      </c>
      <c r="G225" s="2">
        <v>45966</v>
      </c>
      <c r="H225" t="s">
        <v>751</v>
      </c>
      <c r="I225" t="s">
        <v>22</v>
      </c>
      <c r="J225" s="2">
        <v>45966</v>
      </c>
      <c r="K225" s="2">
        <v>45967</v>
      </c>
      <c r="L225" t="s">
        <v>8</v>
      </c>
      <c r="M225" t="s">
        <v>752</v>
      </c>
      <c r="N225" t="s">
        <v>10</v>
      </c>
      <c r="O225" t="s">
        <v>11</v>
      </c>
      <c r="P225" t="s">
        <v>12</v>
      </c>
      <c r="Q225" t="s">
        <v>24</v>
      </c>
      <c r="R225" t="s">
        <v>14</v>
      </c>
      <c r="S225" s="3">
        <v>799</v>
      </c>
      <c r="T225" t="s">
        <v>15</v>
      </c>
      <c r="U225" s="3">
        <v>70314.710000000006</v>
      </c>
      <c r="V225" t="s">
        <v>16</v>
      </c>
      <c r="W225" t="s">
        <v>17</v>
      </c>
      <c r="X225" t="s">
        <v>12</v>
      </c>
      <c r="Y225" t="s">
        <v>753</v>
      </c>
      <c r="Z225" t="s">
        <v>18</v>
      </c>
      <c r="AA225" t="s">
        <v>754</v>
      </c>
      <c r="AB225" t="s">
        <v>12</v>
      </c>
      <c r="AC225" t="s">
        <v>12</v>
      </c>
      <c r="AD225" t="s">
        <v>12</v>
      </c>
      <c r="AE225" s="2">
        <v>45966</v>
      </c>
      <c r="AF225" s="2"/>
      <c r="AG225" t="s">
        <v>12</v>
      </c>
    </row>
    <row r="226" spans="1:33" outlineLevel="2" x14ac:dyDescent="0.25">
      <c r="A226" t="s">
        <v>129</v>
      </c>
      <c r="B226" t="s">
        <v>1</v>
      </c>
      <c r="C226" t="s">
        <v>2</v>
      </c>
      <c r="D226" t="s">
        <v>3</v>
      </c>
      <c r="E226" t="s">
        <v>4</v>
      </c>
      <c r="F226" t="s">
        <v>13</v>
      </c>
      <c r="G226" s="2">
        <v>45966</v>
      </c>
      <c r="H226" t="s">
        <v>755</v>
      </c>
      <c r="I226" t="s">
        <v>22</v>
      </c>
      <c r="J226" s="2">
        <v>45966</v>
      </c>
      <c r="K226" s="2">
        <v>45967</v>
      </c>
      <c r="L226" t="s">
        <v>8</v>
      </c>
      <c r="M226" t="s">
        <v>756</v>
      </c>
      <c r="N226" t="s">
        <v>10</v>
      </c>
      <c r="O226" t="s">
        <v>11</v>
      </c>
      <c r="P226" t="s">
        <v>12</v>
      </c>
      <c r="Q226" t="s">
        <v>24</v>
      </c>
      <c r="R226" t="s">
        <v>14</v>
      </c>
      <c r="S226" s="3">
        <v>68.150000000000006</v>
      </c>
      <c r="T226" t="s">
        <v>15</v>
      </c>
      <c r="U226" s="3">
        <v>5997.43</v>
      </c>
      <c r="V226" t="s">
        <v>16</v>
      </c>
      <c r="W226" t="s">
        <v>17</v>
      </c>
      <c r="X226" t="s">
        <v>12</v>
      </c>
      <c r="Y226" t="s">
        <v>757</v>
      </c>
      <c r="Z226" t="s">
        <v>18</v>
      </c>
      <c r="AA226" t="s">
        <v>758</v>
      </c>
      <c r="AB226" t="s">
        <v>12</v>
      </c>
      <c r="AC226" t="s">
        <v>12</v>
      </c>
      <c r="AD226" t="s">
        <v>12</v>
      </c>
      <c r="AE226" s="2">
        <v>45966</v>
      </c>
      <c r="AF226" s="2"/>
      <c r="AG226" t="s">
        <v>12</v>
      </c>
    </row>
    <row r="227" spans="1:33" outlineLevel="2" x14ac:dyDescent="0.25">
      <c r="A227" t="s">
        <v>129</v>
      </c>
      <c r="B227" t="s">
        <v>1</v>
      </c>
      <c r="C227" t="s">
        <v>2</v>
      </c>
      <c r="D227" t="s">
        <v>3</v>
      </c>
      <c r="E227" t="s">
        <v>4</v>
      </c>
      <c r="F227" t="s">
        <v>13</v>
      </c>
      <c r="G227" s="2">
        <v>45966</v>
      </c>
      <c r="H227" t="s">
        <v>759</v>
      </c>
      <c r="I227" t="s">
        <v>22</v>
      </c>
      <c r="J227" s="2">
        <v>45966</v>
      </c>
      <c r="K227" s="2">
        <v>45968</v>
      </c>
      <c r="L227" t="s">
        <v>760</v>
      </c>
      <c r="M227" t="s">
        <v>761</v>
      </c>
      <c r="N227" t="s">
        <v>10</v>
      </c>
      <c r="O227" t="s">
        <v>11</v>
      </c>
      <c r="P227" t="s">
        <v>12</v>
      </c>
      <c r="Q227" t="s">
        <v>24</v>
      </c>
      <c r="R227" t="s">
        <v>14</v>
      </c>
      <c r="S227" s="3">
        <v>179.58</v>
      </c>
      <c r="T227" t="s">
        <v>15</v>
      </c>
      <c r="U227" s="3">
        <v>15803.65</v>
      </c>
      <c r="V227" t="s">
        <v>16</v>
      </c>
      <c r="W227" t="s">
        <v>17</v>
      </c>
      <c r="X227" t="s">
        <v>12</v>
      </c>
      <c r="Y227" t="s">
        <v>8</v>
      </c>
      <c r="Z227" t="s">
        <v>18</v>
      </c>
      <c r="AA227" t="s">
        <v>762</v>
      </c>
      <c r="AB227" t="s">
        <v>12</v>
      </c>
      <c r="AC227" t="s">
        <v>12</v>
      </c>
      <c r="AD227" t="s">
        <v>12</v>
      </c>
      <c r="AE227" s="2">
        <v>45966</v>
      </c>
      <c r="AF227" s="2"/>
      <c r="AG227" t="s">
        <v>12</v>
      </c>
    </row>
    <row r="228" spans="1:33" outlineLevel="2" x14ac:dyDescent="0.25">
      <c r="A228" t="s">
        <v>129</v>
      </c>
      <c r="B228" t="s">
        <v>1</v>
      </c>
      <c r="C228" t="s">
        <v>2</v>
      </c>
      <c r="D228" t="s">
        <v>3</v>
      </c>
      <c r="E228" t="s">
        <v>4</v>
      </c>
      <c r="F228" t="s">
        <v>13</v>
      </c>
      <c r="G228" s="2">
        <v>45966</v>
      </c>
      <c r="H228" t="s">
        <v>763</v>
      </c>
      <c r="I228" t="s">
        <v>22</v>
      </c>
      <c r="J228" s="2">
        <v>45966</v>
      </c>
      <c r="K228" s="2">
        <v>45968</v>
      </c>
      <c r="L228" t="s">
        <v>8</v>
      </c>
      <c r="M228" t="s">
        <v>764</v>
      </c>
      <c r="N228" t="s">
        <v>10</v>
      </c>
      <c r="O228" t="s">
        <v>11</v>
      </c>
      <c r="P228" t="s">
        <v>12</v>
      </c>
      <c r="Q228" t="s">
        <v>24</v>
      </c>
      <c r="R228" t="s">
        <v>14</v>
      </c>
      <c r="S228" s="3">
        <v>11.27</v>
      </c>
      <c r="T228" t="s">
        <v>15</v>
      </c>
      <c r="U228" s="3">
        <v>991.8</v>
      </c>
      <c r="V228" t="s">
        <v>16</v>
      </c>
      <c r="W228" t="s">
        <v>17</v>
      </c>
      <c r="X228" t="s">
        <v>12</v>
      </c>
      <c r="Y228" t="s">
        <v>765</v>
      </c>
      <c r="Z228" t="s">
        <v>18</v>
      </c>
      <c r="AA228" t="s">
        <v>766</v>
      </c>
      <c r="AB228" t="s">
        <v>12</v>
      </c>
      <c r="AC228" t="s">
        <v>12</v>
      </c>
      <c r="AD228" t="s">
        <v>12</v>
      </c>
      <c r="AE228" s="2">
        <v>45966</v>
      </c>
      <c r="AF228" s="2"/>
      <c r="AG228" t="s">
        <v>12</v>
      </c>
    </row>
    <row r="229" spans="1:33" outlineLevel="2" x14ac:dyDescent="0.25">
      <c r="A229" t="s">
        <v>129</v>
      </c>
      <c r="B229" t="s">
        <v>1</v>
      </c>
      <c r="C229" t="s">
        <v>2</v>
      </c>
      <c r="D229" t="s">
        <v>3</v>
      </c>
      <c r="E229" t="s">
        <v>4</v>
      </c>
      <c r="F229" t="s">
        <v>609</v>
      </c>
      <c r="G229" s="2">
        <v>45877</v>
      </c>
      <c r="H229" t="s">
        <v>767</v>
      </c>
      <c r="I229" t="s">
        <v>22</v>
      </c>
      <c r="J229" s="2">
        <v>45877</v>
      </c>
      <c r="K229" s="2">
        <v>45877</v>
      </c>
      <c r="L229" t="s">
        <v>8</v>
      </c>
      <c r="M229" t="s">
        <v>768</v>
      </c>
      <c r="N229" t="s">
        <v>10</v>
      </c>
      <c r="O229" t="s">
        <v>11</v>
      </c>
      <c r="P229" t="s">
        <v>12</v>
      </c>
      <c r="Q229" t="s">
        <v>24</v>
      </c>
      <c r="R229" t="s">
        <v>14</v>
      </c>
      <c r="S229" s="3">
        <v>5977.6</v>
      </c>
      <c r="T229" t="s">
        <v>15</v>
      </c>
      <c r="U229" s="3">
        <v>514253.65</v>
      </c>
      <c r="V229" t="s">
        <v>16</v>
      </c>
      <c r="W229" t="s">
        <v>17</v>
      </c>
      <c r="X229" t="s">
        <v>12</v>
      </c>
      <c r="Y229" t="s">
        <v>8</v>
      </c>
      <c r="Z229" t="s">
        <v>18</v>
      </c>
      <c r="AA229" t="s">
        <v>769</v>
      </c>
      <c r="AB229" t="s">
        <v>12</v>
      </c>
      <c r="AC229" t="s">
        <v>12</v>
      </c>
      <c r="AD229" t="s">
        <v>12</v>
      </c>
      <c r="AE229" s="2">
        <v>45877</v>
      </c>
      <c r="AF229" s="2"/>
      <c r="AG229" t="s">
        <v>12</v>
      </c>
    </row>
    <row r="230" spans="1:33" outlineLevel="2" x14ac:dyDescent="0.25">
      <c r="A230" t="s">
        <v>129</v>
      </c>
      <c r="B230" t="s">
        <v>1</v>
      </c>
      <c r="C230" t="s">
        <v>2</v>
      </c>
      <c r="D230" t="s">
        <v>3</v>
      </c>
      <c r="E230" t="s">
        <v>4</v>
      </c>
      <c r="F230" t="s">
        <v>609</v>
      </c>
      <c r="G230" s="2">
        <v>45877</v>
      </c>
      <c r="H230" t="s">
        <v>770</v>
      </c>
      <c r="I230" t="s">
        <v>22</v>
      </c>
      <c r="J230" s="2">
        <v>45877</v>
      </c>
      <c r="K230" s="2">
        <v>45877</v>
      </c>
      <c r="L230" t="s">
        <v>8</v>
      </c>
      <c r="M230" t="s">
        <v>771</v>
      </c>
      <c r="N230" t="s">
        <v>10</v>
      </c>
      <c r="O230" t="s">
        <v>11</v>
      </c>
      <c r="P230" t="s">
        <v>12</v>
      </c>
      <c r="Q230" t="s">
        <v>24</v>
      </c>
      <c r="R230" t="s">
        <v>14</v>
      </c>
      <c r="S230" s="3">
        <v>782.3</v>
      </c>
      <c r="T230" t="s">
        <v>15</v>
      </c>
      <c r="U230" s="3">
        <v>67301.36</v>
      </c>
      <c r="V230" t="s">
        <v>16</v>
      </c>
      <c r="W230" t="s">
        <v>17</v>
      </c>
      <c r="X230" t="s">
        <v>12</v>
      </c>
      <c r="Y230" t="s">
        <v>8</v>
      </c>
      <c r="Z230" t="s">
        <v>18</v>
      </c>
      <c r="AA230" t="s">
        <v>772</v>
      </c>
      <c r="AB230" t="s">
        <v>12</v>
      </c>
      <c r="AC230" t="s">
        <v>12</v>
      </c>
      <c r="AD230" t="s">
        <v>12</v>
      </c>
      <c r="AE230" s="2">
        <v>45877</v>
      </c>
      <c r="AF230" s="2"/>
      <c r="AG230" t="s">
        <v>12</v>
      </c>
    </row>
    <row r="231" spans="1:33" outlineLevel="2" x14ac:dyDescent="0.25">
      <c r="A231" t="s">
        <v>129</v>
      </c>
      <c r="B231" t="s">
        <v>1</v>
      </c>
      <c r="C231" t="s">
        <v>2</v>
      </c>
      <c r="D231" t="s">
        <v>3</v>
      </c>
      <c r="E231" t="s">
        <v>4</v>
      </c>
      <c r="F231" t="s">
        <v>609</v>
      </c>
      <c r="G231" s="2">
        <v>45877</v>
      </c>
      <c r="H231" t="s">
        <v>773</v>
      </c>
      <c r="I231" t="s">
        <v>22</v>
      </c>
      <c r="J231" s="2">
        <v>45877</v>
      </c>
      <c r="K231" s="2">
        <v>45877</v>
      </c>
      <c r="L231" t="s">
        <v>8</v>
      </c>
      <c r="M231" t="s">
        <v>774</v>
      </c>
      <c r="N231" t="s">
        <v>10</v>
      </c>
      <c r="O231" t="s">
        <v>11</v>
      </c>
      <c r="P231" t="s">
        <v>12</v>
      </c>
      <c r="Q231" t="s">
        <v>24</v>
      </c>
      <c r="R231" t="s">
        <v>14</v>
      </c>
      <c r="S231" s="3">
        <v>108.22</v>
      </c>
      <c r="T231" t="s">
        <v>15</v>
      </c>
      <c r="U231" s="3">
        <v>9310.18</v>
      </c>
      <c r="V231" t="s">
        <v>16</v>
      </c>
      <c r="W231" t="s">
        <v>17</v>
      </c>
      <c r="X231" t="s">
        <v>12</v>
      </c>
      <c r="Y231" t="s">
        <v>8</v>
      </c>
      <c r="Z231" t="s">
        <v>18</v>
      </c>
      <c r="AA231" t="s">
        <v>775</v>
      </c>
      <c r="AB231" t="s">
        <v>12</v>
      </c>
      <c r="AC231" t="s">
        <v>12</v>
      </c>
      <c r="AD231" t="s">
        <v>12</v>
      </c>
      <c r="AE231" s="2">
        <v>45877</v>
      </c>
      <c r="AF231" s="2"/>
      <c r="AG231" t="s">
        <v>12</v>
      </c>
    </row>
    <row r="232" spans="1:33" outlineLevel="2" x14ac:dyDescent="0.25">
      <c r="A232" t="s">
        <v>129</v>
      </c>
      <c r="B232" t="s">
        <v>1</v>
      </c>
      <c r="C232" t="s">
        <v>2</v>
      </c>
      <c r="D232" t="s">
        <v>3</v>
      </c>
      <c r="E232" t="s">
        <v>4</v>
      </c>
      <c r="F232" t="s">
        <v>609</v>
      </c>
      <c r="G232" s="2">
        <v>45877</v>
      </c>
      <c r="H232" t="s">
        <v>776</v>
      </c>
      <c r="I232" t="s">
        <v>22</v>
      </c>
      <c r="J232" s="2">
        <v>45877</v>
      </c>
      <c r="K232" s="2">
        <v>45877</v>
      </c>
      <c r="L232" t="s">
        <v>8</v>
      </c>
      <c r="M232" t="s">
        <v>777</v>
      </c>
      <c r="N232" t="s">
        <v>10</v>
      </c>
      <c r="O232" t="s">
        <v>11</v>
      </c>
      <c r="P232" t="s">
        <v>12</v>
      </c>
      <c r="Q232" t="s">
        <v>24</v>
      </c>
      <c r="R232" t="s">
        <v>14</v>
      </c>
      <c r="S232" s="3">
        <v>56.4</v>
      </c>
      <c r="T232" t="s">
        <v>15</v>
      </c>
      <c r="U232" s="3">
        <v>4852.1000000000004</v>
      </c>
      <c r="V232" t="s">
        <v>16</v>
      </c>
      <c r="W232" t="s">
        <v>17</v>
      </c>
      <c r="X232" t="s">
        <v>12</v>
      </c>
      <c r="Y232" t="s">
        <v>8</v>
      </c>
      <c r="Z232" t="s">
        <v>18</v>
      </c>
      <c r="AA232" t="s">
        <v>778</v>
      </c>
      <c r="AB232" t="s">
        <v>12</v>
      </c>
      <c r="AC232" t="s">
        <v>12</v>
      </c>
      <c r="AD232" t="s">
        <v>12</v>
      </c>
      <c r="AE232" s="2">
        <v>45877</v>
      </c>
      <c r="AF232" s="2"/>
      <c r="AG232" t="s">
        <v>12</v>
      </c>
    </row>
    <row r="233" spans="1:33" outlineLevel="2" x14ac:dyDescent="0.25">
      <c r="A233" t="s">
        <v>129</v>
      </c>
      <c r="B233" t="s">
        <v>1</v>
      </c>
      <c r="C233" t="s">
        <v>2</v>
      </c>
      <c r="D233" t="s">
        <v>3</v>
      </c>
      <c r="E233" t="s">
        <v>4</v>
      </c>
      <c r="F233" t="s">
        <v>609</v>
      </c>
      <c r="G233" s="2">
        <v>45877</v>
      </c>
      <c r="H233" t="s">
        <v>779</v>
      </c>
      <c r="I233" t="s">
        <v>22</v>
      </c>
      <c r="J233" s="2">
        <v>45877</v>
      </c>
      <c r="K233" s="2">
        <v>45877</v>
      </c>
      <c r="L233" t="s">
        <v>8</v>
      </c>
      <c r="M233" t="s">
        <v>780</v>
      </c>
      <c r="N233" t="s">
        <v>10</v>
      </c>
      <c r="O233" t="s">
        <v>11</v>
      </c>
      <c r="P233" t="s">
        <v>12</v>
      </c>
      <c r="Q233" t="s">
        <v>24</v>
      </c>
      <c r="R233" t="s">
        <v>14</v>
      </c>
      <c r="S233" s="3">
        <v>109.64</v>
      </c>
      <c r="T233" t="s">
        <v>15</v>
      </c>
      <c r="U233" s="3">
        <v>9432.34</v>
      </c>
      <c r="V233" t="s">
        <v>16</v>
      </c>
      <c r="W233" t="s">
        <v>17</v>
      </c>
      <c r="X233" t="s">
        <v>12</v>
      </c>
      <c r="Y233" t="s">
        <v>8</v>
      </c>
      <c r="Z233" t="s">
        <v>18</v>
      </c>
      <c r="AA233" t="s">
        <v>781</v>
      </c>
      <c r="AB233" t="s">
        <v>12</v>
      </c>
      <c r="AC233" t="s">
        <v>12</v>
      </c>
      <c r="AD233" t="s">
        <v>12</v>
      </c>
      <c r="AE233" s="2">
        <v>45877</v>
      </c>
      <c r="AF233" s="2"/>
      <c r="AG233" t="s">
        <v>12</v>
      </c>
    </row>
    <row r="234" spans="1:33" outlineLevel="2" x14ac:dyDescent="0.25">
      <c r="A234" t="s">
        <v>129</v>
      </c>
      <c r="B234" t="s">
        <v>1</v>
      </c>
      <c r="C234" t="s">
        <v>2</v>
      </c>
      <c r="D234" t="s">
        <v>3</v>
      </c>
      <c r="E234" t="s">
        <v>4</v>
      </c>
      <c r="F234" t="s">
        <v>609</v>
      </c>
      <c r="G234" s="2">
        <v>45877</v>
      </c>
      <c r="H234" t="s">
        <v>782</v>
      </c>
      <c r="I234" t="s">
        <v>22</v>
      </c>
      <c r="J234" s="2">
        <v>45877</v>
      </c>
      <c r="K234" s="2">
        <v>45877</v>
      </c>
      <c r="L234" t="s">
        <v>8</v>
      </c>
      <c r="M234" t="s">
        <v>783</v>
      </c>
      <c r="N234" t="s">
        <v>10</v>
      </c>
      <c r="O234" t="s">
        <v>11</v>
      </c>
      <c r="P234" t="s">
        <v>12</v>
      </c>
      <c r="Q234" t="s">
        <v>24</v>
      </c>
      <c r="R234" t="s">
        <v>14</v>
      </c>
      <c r="S234" s="3">
        <v>1804.03</v>
      </c>
      <c r="T234" t="s">
        <v>15</v>
      </c>
      <c r="U234" s="3">
        <v>155200.92000000001</v>
      </c>
      <c r="V234" t="s">
        <v>16</v>
      </c>
      <c r="W234" t="s">
        <v>17</v>
      </c>
      <c r="X234" t="s">
        <v>12</v>
      </c>
      <c r="Y234" t="s">
        <v>8</v>
      </c>
      <c r="Z234" t="s">
        <v>18</v>
      </c>
      <c r="AA234" t="s">
        <v>784</v>
      </c>
      <c r="AB234" t="s">
        <v>12</v>
      </c>
      <c r="AC234" t="s">
        <v>12</v>
      </c>
      <c r="AD234" t="s">
        <v>12</v>
      </c>
      <c r="AE234" s="2">
        <v>45877</v>
      </c>
      <c r="AF234" s="2"/>
      <c r="AG234" t="s">
        <v>12</v>
      </c>
    </row>
    <row r="235" spans="1:33" outlineLevel="2" x14ac:dyDescent="0.25">
      <c r="A235" t="s">
        <v>129</v>
      </c>
      <c r="B235" t="s">
        <v>1</v>
      </c>
      <c r="C235" t="s">
        <v>2</v>
      </c>
      <c r="D235" t="s">
        <v>3</v>
      </c>
      <c r="E235" t="s">
        <v>4</v>
      </c>
      <c r="F235" t="s">
        <v>609</v>
      </c>
      <c r="G235" s="2">
        <v>45877</v>
      </c>
      <c r="H235" t="s">
        <v>785</v>
      </c>
      <c r="I235" t="s">
        <v>22</v>
      </c>
      <c r="J235" s="2">
        <v>45877</v>
      </c>
      <c r="K235" s="2">
        <v>45877</v>
      </c>
      <c r="L235" t="s">
        <v>8</v>
      </c>
      <c r="M235" t="s">
        <v>786</v>
      </c>
      <c r="N235" t="s">
        <v>10</v>
      </c>
      <c r="O235" t="s">
        <v>11</v>
      </c>
      <c r="P235" t="s">
        <v>12</v>
      </c>
      <c r="Q235" t="s">
        <v>24</v>
      </c>
      <c r="R235" t="s">
        <v>14</v>
      </c>
      <c r="S235" s="3">
        <v>353.44</v>
      </c>
      <c r="T235" t="s">
        <v>15</v>
      </c>
      <c r="U235" s="3">
        <v>30406.49</v>
      </c>
      <c r="V235" t="s">
        <v>16</v>
      </c>
      <c r="W235" t="s">
        <v>17</v>
      </c>
      <c r="X235" t="s">
        <v>12</v>
      </c>
      <c r="Y235" t="s">
        <v>8</v>
      </c>
      <c r="Z235" t="s">
        <v>18</v>
      </c>
      <c r="AA235" t="s">
        <v>787</v>
      </c>
      <c r="AB235" t="s">
        <v>12</v>
      </c>
      <c r="AC235" t="s">
        <v>12</v>
      </c>
      <c r="AD235" t="s">
        <v>12</v>
      </c>
      <c r="AE235" s="2">
        <v>45877</v>
      </c>
      <c r="AF235" s="2"/>
      <c r="AG235" t="s">
        <v>12</v>
      </c>
    </row>
    <row r="236" spans="1:33" outlineLevel="2" x14ac:dyDescent="0.25">
      <c r="A236" t="s">
        <v>129</v>
      </c>
      <c r="B236" t="s">
        <v>1</v>
      </c>
      <c r="C236" t="s">
        <v>2</v>
      </c>
      <c r="D236" t="s">
        <v>3</v>
      </c>
      <c r="E236" t="s">
        <v>4</v>
      </c>
      <c r="F236" t="s">
        <v>229</v>
      </c>
      <c r="G236" s="2">
        <v>45812</v>
      </c>
      <c r="H236" t="s">
        <v>788</v>
      </c>
      <c r="I236" t="s">
        <v>22</v>
      </c>
      <c r="J236" s="2">
        <v>45812</v>
      </c>
      <c r="K236" s="2">
        <v>45817</v>
      </c>
      <c r="L236" t="s">
        <v>8</v>
      </c>
      <c r="M236" t="s">
        <v>789</v>
      </c>
      <c r="N236" t="s">
        <v>10</v>
      </c>
      <c r="O236" t="s">
        <v>11</v>
      </c>
      <c r="P236" t="s">
        <v>12</v>
      </c>
      <c r="Q236" t="s">
        <v>24</v>
      </c>
      <c r="R236" t="s">
        <v>14</v>
      </c>
      <c r="S236" s="3">
        <v>498.55</v>
      </c>
      <c r="T236" t="s">
        <v>15</v>
      </c>
      <c r="U236" s="3">
        <v>42621.43</v>
      </c>
      <c r="V236" t="s">
        <v>16</v>
      </c>
      <c r="W236" t="s">
        <v>17</v>
      </c>
      <c r="X236" t="s">
        <v>12</v>
      </c>
      <c r="Y236" t="s">
        <v>8</v>
      </c>
      <c r="Z236" t="s">
        <v>18</v>
      </c>
      <c r="AA236" t="s">
        <v>790</v>
      </c>
      <c r="AB236" t="s">
        <v>12</v>
      </c>
      <c r="AC236" t="s">
        <v>12</v>
      </c>
      <c r="AD236" t="s">
        <v>12</v>
      </c>
      <c r="AE236" s="2">
        <v>45812</v>
      </c>
      <c r="AF236" s="2"/>
      <c r="AG236" t="s">
        <v>12</v>
      </c>
    </row>
    <row r="237" spans="1:33" outlineLevel="2" x14ac:dyDescent="0.25">
      <c r="A237" t="s">
        <v>129</v>
      </c>
      <c r="B237" t="s">
        <v>1</v>
      </c>
      <c r="C237" t="s">
        <v>2</v>
      </c>
      <c r="D237" t="s">
        <v>3</v>
      </c>
      <c r="E237" t="s">
        <v>4</v>
      </c>
      <c r="F237" t="s">
        <v>229</v>
      </c>
      <c r="G237" s="2">
        <v>45812</v>
      </c>
      <c r="H237" t="s">
        <v>791</v>
      </c>
      <c r="I237" t="s">
        <v>22</v>
      </c>
      <c r="J237" s="2">
        <v>45812</v>
      </c>
      <c r="K237" s="2">
        <v>45817</v>
      </c>
      <c r="L237" t="s">
        <v>8</v>
      </c>
      <c r="M237" t="s">
        <v>792</v>
      </c>
      <c r="N237" t="s">
        <v>10</v>
      </c>
      <c r="O237" t="s">
        <v>11</v>
      </c>
      <c r="P237" t="s">
        <v>12</v>
      </c>
      <c r="Q237" t="s">
        <v>24</v>
      </c>
      <c r="R237" t="s">
        <v>14</v>
      </c>
      <c r="S237" s="3">
        <v>117.5</v>
      </c>
      <c r="T237" t="s">
        <v>15</v>
      </c>
      <c r="U237" s="3">
        <v>10045.17</v>
      </c>
      <c r="V237" t="s">
        <v>16</v>
      </c>
      <c r="W237" t="s">
        <v>17</v>
      </c>
      <c r="X237" t="s">
        <v>12</v>
      </c>
      <c r="Y237" t="s">
        <v>8</v>
      </c>
      <c r="Z237" t="s">
        <v>18</v>
      </c>
      <c r="AA237" t="s">
        <v>793</v>
      </c>
      <c r="AB237" t="s">
        <v>12</v>
      </c>
      <c r="AC237" t="s">
        <v>12</v>
      </c>
      <c r="AD237" t="s">
        <v>12</v>
      </c>
      <c r="AE237" s="2">
        <v>45812</v>
      </c>
      <c r="AF237" s="2"/>
      <c r="AG237" t="s">
        <v>12</v>
      </c>
    </row>
    <row r="238" spans="1:33" outlineLevel="2" x14ac:dyDescent="0.25">
      <c r="A238" t="s">
        <v>129</v>
      </c>
      <c r="B238" t="s">
        <v>1</v>
      </c>
      <c r="C238" t="s">
        <v>2</v>
      </c>
      <c r="D238" t="s">
        <v>3</v>
      </c>
      <c r="E238" t="s">
        <v>4</v>
      </c>
      <c r="F238" t="s">
        <v>229</v>
      </c>
      <c r="G238" s="2">
        <v>45812</v>
      </c>
      <c r="H238" t="s">
        <v>794</v>
      </c>
      <c r="I238" t="s">
        <v>22</v>
      </c>
      <c r="J238" s="2">
        <v>45812</v>
      </c>
      <c r="K238" s="2">
        <v>45817</v>
      </c>
      <c r="L238" t="s">
        <v>8</v>
      </c>
      <c r="M238" t="s">
        <v>795</v>
      </c>
      <c r="N238" t="s">
        <v>10</v>
      </c>
      <c r="O238" t="s">
        <v>11</v>
      </c>
      <c r="P238" t="s">
        <v>12</v>
      </c>
      <c r="Q238" t="s">
        <v>24</v>
      </c>
      <c r="R238" t="s">
        <v>14</v>
      </c>
      <c r="S238" s="3">
        <v>472.4</v>
      </c>
      <c r="T238" t="s">
        <v>15</v>
      </c>
      <c r="U238" s="3">
        <v>40385.839999999997</v>
      </c>
      <c r="V238" t="s">
        <v>16</v>
      </c>
      <c r="W238" t="s">
        <v>17</v>
      </c>
      <c r="X238" t="s">
        <v>12</v>
      </c>
      <c r="Y238" t="s">
        <v>8</v>
      </c>
      <c r="Z238" t="s">
        <v>18</v>
      </c>
      <c r="AA238" t="s">
        <v>796</v>
      </c>
      <c r="AB238" t="s">
        <v>12</v>
      </c>
      <c r="AC238" t="s">
        <v>12</v>
      </c>
      <c r="AD238" t="s">
        <v>12</v>
      </c>
      <c r="AE238" s="2">
        <v>45812</v>
      </c>
      <c r="AF238" s="2"/>
      <c r="AG238" t="s">
        <v>12</v>
      </c>
    </row>
    <row r="239" spans="1:33" outlineLevel="2" x14ac:dyDescent="0.25">
      <c r="A239" t="s">
        <v>129</v>
      </c>
      <c r="B239" t="s">
        <v>1</v>
      </c>
      <c r="C239" t="s">
        <v>2</v>
      </c>
      <c r="D239" t="s">
        <v>3</v>
      </c>
      <c r="E239" t="s">
        <v>4</v>
      </c>
      <c r="F239" t="s">
        <v>229</v>
      </c>
      <c r="G239" s="2">
        <v>45812</v>
      </c>
      <c r="H239" t="s">
        <v>797</v>
      </c>
      <c r="I239" t="s">
        <v>22</v>
      </c>
      <c r="J239" s="2">
        <v>45812</v>
      </c>
      <c r="K239" s="2">
        <v>45817</v>
      </c>
      <c r="L239" t="s">
        <v>8</v>
      </c>
      <c r="M239" t="s">
        <v>798</v>
      </c>
      <c r="N239" t="s">
        <v>10</v>
      </c>
      <c r="O239" t="s">
        <v>11</v>
      </c>
      <c r="P239" t="s">
        <v>12</v>
      </c>
      <c r="Q239" t="s">
        <v>24</v>
      </c>
      <c r="R239" t="s">
        <v>14</v>
      </c>
      <c r="S239" s="3">
        <v>100.35</v>
      </c>
      <c r="T239" t="s">
        <v>15</v>
      </c>
      <c r="U239" s="3">
        <v>8579</v>
      </c>
      <c r="V239" t="s">
        <v>16</v>
      </c>
      <c r="W239" t="s">
        <v>17</v>
      </c>
      <c r="X239" t="s">
        <v>12</v>
      </c>
      <c r="Y239" t="s">
        <v>8</v>
      </c>
      <c r="Z239" t="s">
        <v>18</v>
      </c>
      <c r="AA239" t="s">
        <v>799</v>
      </c>
      <c r="AB239" t="s">
        <v>12</v>
      </c>
      <c r="AC239" t="s">
        <v>12</v>
      </c>
      <c r="AD239" t="s">
        <v>12</v>
      </c>
      <c r="AE239" s="2">
        <v>45812</v>
      </c>
      <c r="AF239" s="2"/>
      <c r="AG239" t="s">
        <v>12</v>
      </c>
    </row>
    <row r="240" spans="1:33" outlineLevel="2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229</v>
      </c>
      <c r="G240" s="2">
        <v>45812</v>
      </c>
      <c r="H240" t="s">
        <v>800</v>
      </c>
      <c r="I240" t="s">
        <v>22</v>
      </c>
      <c r="J240" s="2">
        <v>45812</v>
      </c>
      <c r="K240" s="2">
        <v>45817</v>
      </c>
      <c r="L240" t="s">
        <v>8</v>
      </c>
      <c r="M240" t="s">
        <v>801</v>
      </c>
      <c r="N240" t="s">
        <v>10</v>
      </c>
      <c r="O240" t="s">
        <v>11</v>
      </c>
      <c r="P240" t="s">
        <v>12</v>
      </c>
      <c r="Q240" t="s">
        <v>24</v>
      </c>
      <c r="R240" t="s">
        <v>14</v>
      </c>
      <c r="S240" s="3">
        <v>190</v>
      </c>
      <c r="T240" t="s">
        <v>15</v>
      </c>
      <c r="U240" s="3">
        <v>16243.25</v>
      </c>
      <c r="V240" t="s">
        <v>16</v>
      </c>
      <c r="W240" t="s">
        <v>17</v>
      </c>
      <c r="X240" t="s">
        <v>12</v>
      </c>
      <c r="Y240" t="s">
        <v>8</v>
      </c>
      <c r="Z240" t="s">
        <v>18</v>
      </c>
      <c r="AA240" t="s">
        <v>802</v>
      </c>
      <c r="AB240" t="s">
        <v>12</v>
      </c>
      <c r="AC240" t="s">
        <v>12</v>
      </c>
      <c r="AD240" t="s">
        <v>12</v>
      </c>
      <c r="AE240" s="2">
        <v>45812</v>
      </c>
      <c r="AF240" s="2">
        <v>45976</v>
      </c>
      <c r="AG240" t="s">
        <v>64</v>
      </c>
    </row>
    <row r="241" spans="1:33" outlineLevel="2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130</v>
      </c>
      <c r="G241" s="2">
        <v>45791</v>
      </c>
      <c r="H241" t="s">
        <v>803</v>
      </c>
      <c r="I241" t="s">
        <v>7</v>
      </c>
      <c r="J241" s="2">
        <v>45791</v>
      </c>
      <c r="K241" s="2">
        <v>45793</v>
      </c>
      <c r="L241" t="s">
        <v>8</v>
      </c>
      <c r="M241" t="s">
        <v>804</v>
      </c>
      <c r="N241" t="s">
        <v>10</v>
      </c>
      <c r="O241" t="s">
        <v>11</v>
      </c>
      <c r="P241" t="s">
        <v>12</v>
      </c>
      <c r="Q241" t="s">
        <v>13</v>
      </c>
      <c r="R241" t="s">
        <v>14</v>
      </c>
      <c r="S241" s="3">
        <v>-14.31</v>
      </c>
      <c r="T241" t="s">
        <v>15</v>
      </c>
      <c r="U241" s="3">
        <v>-1240.55</v>
      </c>
      <c r="V241" t="s">
        <v>16</v>
      </c>
      <c r="W241" t="s">
        <v>17</v>
      </c>
      <c r="X241" t="s">
        <v>12</v>
      </c>
      <c r="Y241" t="s">
        <v>8</v>
      </c>
      <c r="Z241" t="s">
        <v>18</v>
      </c>
      <c r="AA241" t="s">
        <v>805</v>
      </c>
      <c r="AB241" t="s">
        <v>12</v>
      </c>
      <c r="AC241" t="s">
        <v>12</v>
      </c>
      <c r="AD241" t="s">
        <v>12</v>
      </c>
      <c r="AE241" s="2">
        <v>45791</v>
      </c>
      <c r="AF241" s="2">
        <v>45842</v>
      </c>
      <c r="AG241" t="s">
        <v>666</v>
      </c>
    </row>
    <row r="242" spans="1:33" outlineLevel="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130</v>
      </c>
      <c r="G242" s="2">
        <v>45791</v>
      </c>
      <c r="H242" t="s">
        <v>806</v>
      </c>
      <c r="I242" t="s">
        <v>7</v>
      </c>
      <c r="J242" s="2">
        <v>45791</v>
      </c>
      <c r="K242" s="2">
        <v>45793</v>
      </c>
      <c r="L242" t="s">
        <v>8</v>
      </c>
      <c r="M242" t="s">
        <v>807</v>
      </c>
      <c r="N242" t="s">
        <v>10</v>
      </c>
      <c r="O242" t="s">
        <v>11</v>
      </c>
      <c r="P242" t="s">
        <v>12</v>
      </c>
      <c r="Q242" t="s">
        <v>13</v>
      </c>
      <c r="R242" t="s">
        <v>14</v>
      </c>
      <c r="S242" s="3">
        <v>-456.75</v>
      </c>
      <c r="T242" t="s">
        <v>15</v>
      </c>
      <c r="U242" s="3">
        <v>-39701.54</v>
      </c>
      <c r="V242" t="s">
        <v>16</v>
      </c>
      <c r="W242" t="s">
        <v>17</v>
      </c>
      <c r="X242" t="s">
        <v>12</v>
      </c>
      <c r="Y242" t="s">
        <v>8</v>
      </c>
      <c r="Z242" t="s">
        <v>18</v>
      </c>
      <c r="AA242" t="s">
        <v>808</v>
      </c>
      <c r="AB242" t="s">
        <v>12</v>
      </c>
      <c r="AC242" t="s">
        <v>12</v>
      </c>
      <c r="AD242" t="s">
        <v>12</v>
      </c>
      <c r="AE242" s="2">
        <v>45791</v>
      </c>
      <c r="AF242" s="2">
        <v>45842</v>
      </c>
      <c r="AG242" t="s">
        <v>164</v>
      </c>
    </row>
    <row r="243" spans="1:33" outlineLevel="2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130</v>
      </c>
      <c r="G243" s="2">
        <v>45791</v>
      </c>
      <c r="H243" t="s">
        <v>809</v>
      </c>
      <c r="I243" t="s">
        <v>7</v>
      </c>
      <c r="J243" s="2">
        <v>45791</v>
      </c>
      <c r="K243" s="2">
        <v>45793</v>
      </c>
      <c r="L243" t="s">
        <v>8</v>
      </c>
      <c r="M243" t="s">
        <v>810</v>
      </c>
      <c r="N243" t="s">
        <v>10</v>
      </c>
      <c r="O243" t="s">
        <v>11</v>
      </c>
      <c r="P243" t="s">
        <v>12</v>
      </c>
      <c r="Q243" t="s">
        <v>13</v>
      </c>
      <c r="R243" t="s">
        <v>14</v>
      </c>
      <c r="S243" s="3">
        <v>-456.75</v>
      </c>
      <c r="T243" t="s">
        <v>15</v>
      </c>
      <c r="U243" s="3">
        <v>-39701.54</v>
      </c>
      <c r="V243" t="s">
        <v>16</v>
      </c>
      <c r="W243" t="s">
        <v>17</v>
      </c>
      <c r="X243" t="s">
        <v>12</v>
      </c>
      <c r="Y243" t="s">
        <v>8</v>
      </c>
      <c r="Z243" t="s">
        <v>18</v>
      </c>
      <c r="AA243" t="s">
        <v>811</v>
      </c>
      <c r="AB243" t="s">
        <v>12</v>
      </c>
      <c r="AC243" t="s">
        <v>12</v>
      </c>
      <c r="AD243" t="s">
        <v>12</v>
      </c>
      <c r="AE243" s="2">
        <v>45791</v>
      </c>
      <c r="AF243" s="2">
        <v>45842</v>
      </c>
      <c r="AG243" t="s">
        <v>168</v>
      </c>
    </row>
    <row r="244" spans="1:33" outlineLevel="2" x14ac:dyDescent="0.25">
      <c r="A244" t="s">
        <v>129</v>
      </c>
      <c r="B244" t="s">
        <v>1</v>
      </c>
      <c r="C244" t="s">
        <v>2</v>
      </c>
      <c r="D244" t="s">
        <v>3</v>
      </c>
      <c r="E244" t="s">
        <v>4</v>
      </c>
      <c r="F244" t="s">
        <v>130</v>
      </c>
      <c r="G244" s="2">
        <v>45793</v>
      </c>
      <c r="H244" t="s">
        <v>812</v>
      </c>
      <c r="I244" t="s">
        <v>22</v>
      </c>
      <c r="J244" s="2">
        <v>45793</v>
      </c>
      <c r="K244" s="2">
        <v>45800</v>
      </c>
      <c r="L244" t="s">
        <v>8</v>
      </c>
      <c r="M244" t="s">
        <v>813</v>
      </c>
      <c r="N244" t="s">
        <v>10</v>
      </c>
      <c r="O244" t="s">
        <v>11</v>
      </c>
      <c r="P244" t="s">
        <v>12</v>
      </c>
      <c r="Q244" t="s">
        <v>24</v>
      </c>
      <c r="R244" t="s">
        <v>14</v>
      </c>
      <c r="S244" s="3">
        <v>15</v>
      </c>
      <c r="T244" t="s">
        <v>15</v>
      </c>
      <c r="U244" s="3">
        <v>1289.76</v>
      </c>
      <c r="V244" t="s">
        <v>16</v>
      </c>
      <c r="W244" t="s">
        <v>17</v>
      </c>
      <c r="X244" t="s">
        <v>12</v>
      </c>
      <c r="Y244" t="s">
        <v>8</v>
      </c>
      <c r="Z244" t="s">
        <v>18</v>
      </c>
      <c r="AA244" t="s">
        <v>814</v>
      </c>
      <c r="AB244" t="s">
        <v>12</v>
      </c>
      <c r="AC244" t="s">
        <v>12</v>
      </c>
      <c r="AD244" t="s">
        <v>12</v>
      </c>
      <c r="AE244" s="2">
        <v>45793</v>
      </c>
      <c r="AF244" s="2"/>
      <c r="AG244" t="s">
        <v>12</v>
      </c>
    </row>
    <row r="245" spans="1:33" outlineLevel="2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130</v>
      </c>
      <c r="G245" s="2">
        <v>45793</v>
      </c>
      <c r="H245" t="s">
        <v>815</v>
      </c>
      <c r="I245" t="s">
        <v>22</v>
      </c>
      <c r="J245" s="2">
        <v>45793</v>
      </c>
      <c r="K245" s="2">
        <v>45800</v>
      </c>
      <c r="L245" t="s">
        <v>8</v>
      </c>
      <c r="M245" t="s">
        <v>816</v>
      </c>
      <c r="N245" t="s">
        <v>10</v>
      </c>
      <c r="O245" t="s">
        <v>11</v>
      </c>
      <c r="P245" t="s">
        <v>12</v>
      </c>
      <c r="Q245" t="s">
        <v>24</v>
      </c>
      <c r="R245" t="s">
        <v>14</v>
      </c>
      <c r="S245" s="3">
        <v>140</v>
      </c>
      <c r="T245" t="s">
        <v>15</v>
      </c>
      <c r="U245" s="3">
        <v>12037.72</v>
      </c>
      <c r="V245" t="s">
        <v>16</v>
      </c>
      <c r="W245" t="s">
        <v>17</v>
      </c>
      <c r="X245" t="s">
        <v>12</v>
      </c>
      <c r="Y245" t="s">
        <v>8</v>
      </c>
      <c r="Z245" t="s">
        <v>18</v>
      </c>
      <c r="AA245" t="s">
        <v>817</v>
      </c>
      <c r="AB245" t="s">
        <v>12</v>
      </c>
      <c r="AC245" t="s">
        <v>12</v>
      </c>
      <c r="AD245" t="s">
        <v>12</v>
      </c>
      <c r="AE245" s="2">
        <v>45793</v>
      </c>
      <c r="AF245" s="2">
        <v>45976</v>
      </c>
      <c r="AG245" t="s">
        <v>64</v>
      </c>
    </row>
    <row r="246" spans="1:33" outlineLevel="2" x14ac:dyDescent="0.25">
      <c r="A246" t="s">
        <v>129</v>
      </c>
      <c r="B246" t="s">
        <v>1</v>
      </c>
      <c r="C246" t="s">
        <v>2</v>
      </c>
      <c r="D246" t="s">
        <v>3</v>
      </c>
      <c r="E246" t="s">
        <v>4</v>
      </c>
      <c r="F246" t="s">
        <v>130</v>
      </c>
      <c r="G246" s="2">
        <v>45805</v>
      </c>
      <c r="H246" t="s">
        <v>818</v>
      </c>
      <c r="I246" t="s">
        <v>22</v>
      </c>
      <c r="J246" s="2">
        <v>45805</v>
      </c>
      <c r="K246" s="2">
        <v>45805</v>
      </c>
      <c r="L246" t="s">
        <v>8</v>
      </c>
      <c r="M246" t="s">
        <v>819</v>
      </c>
      <c r="N246" t="s">
        <v>10</v>
      </c>
      <c r="O246" t="s">
        <v>11</v>
      </c>
      <c r="P246" t="s">
        <v>12</v>
      </c>
      <c r="Q246" t="s">
        <v>24</v>
      </c>
      <c r="R246" t="s">
        <v>14</v>
      </c>
      <c r="S246" s="3">
        <v>4312.12</v>
      </c>
      <c r="T246" t="s">
        <v>15</v>
      </c>
      <c r="U246" s="3">
        <v>370772.03</v>
      </c>
      <c r="V246" t="s">
        <v>16</v>
      </c>
      <c r="W246" t="s">
        <v>17</v>
      </c>
      <c r="X246" t="s">
        <v>12</v>
      </c>
      <c r="Y246" t="s">
        <v>8</v>
      </c>
      <c r="Z246" t="s">
        <v>18</v>
      </c>
      <c r="AA246" t="s">
        <v>820</v>
      </c>
      <c r="AB246" t="s">
        <v>12</v>
      </c>
      <c r="AC246" t="s">
        <v>12</v>
      </c>
      <c r="AD246" t="s">
        <v>12</v>
      </c>
      <c r="AE246" s="2">
        <v>45805</v>
      </c>
      <c r="AF246" s="2"/>
      <c r="AG246" t="s">
        <v>12</v>
      </c>
    </row>
    <row r="247" spans="1:33" outlineLevel="2" x14ac:dyDescent="0.25">
      <c r="A247" t="s">
        <v>129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s="2">
        <v>45856</v>
      </c>
      <c r="H247" t="s">
        <v>821</v>
      </c>
      <c r="I247" t="s">
        <v>22</v>
      </c>
      <c r="J247" s="2">
        <v>45856</v>
      </c>
      <c r="K247" s="2">
        <v>45859</v>
      </c>
      <c r="L247" t="s">
        <v>8</v>
      </c>
      <c r="M247" t="s">
        <v>822</v>
      </c>
      <c r="N247" t="s">
        <v>10</v>
      </c>
      <c r="O247" t="s">
        <v>11</v>
      </c>
      <c r="P247" t="s">
        <v>12</v>
      </c>
      <c r="Q247" t="s">
        <v>24</v>
      </c>
      <c r="R247" t="s">
        <v>14</v>
      </c>
      <c r="S247" s="3">
        <v>358.33</v>
      </c>
      <c r="T247" t="s">
        <v>15</v>
      </c>
      <c r="U247" s="3">
        <v>30816.62</v>
      </c>
      <c r="V247" t="s">
        <v>16</v>
      </c>
      <c r="W247" t="s">
        <v>17</v>
      </c>
      <c r="X247" t="s">
        <v>12</v>
      </c>
      <c r="Y247" t="s">
        <v>8</v>
      </c>
      <c r="Z247" t="s">
        <v>18</v>
      </c>
      <c r="AA247" t="s">
        <v>823</v>
      </c>
      <c r="AB247" t="s">
        <v>12</v>
      </c>
      <c r="AC247" t="s">
        <v>12</v>
      </c>
      <c r="AD247" t="s">
        <v>12</v>
      </c>
      <c r="AE247" s="2">
        <v>45856</v>
      </c>
      <c r="AF247" s="2"/>
      <c r="AG247" t="s">
        <v>12</v>
      </c>
    </row>
    <row r="248" spans="1:33" outlineLevel="2" x14ac:dyDescent="0.25">
      <c r="A248" t="s">
        <v>129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s="2">
        <v>45856</v>
      </c>
      <c r="H248" t="s">
        <v>824</v>
      </c>
      <c r="I248" t="s">
        <v>22</v>
      </c>
      <c r="J248" s="2">
        <v>45856</v>
      </c>
      <c r="K248" s="2">
        <v>45859</v>
      </c>
      <c r="L248" t="s">
        <v>8</v>
      </c>
      <c r="M248" t="s">
        <v>825</v>
      </c>
      <c r="N248" t="s">
        <v>10</v>
      </c>
      <c r="O248" t="s">
        <v>11</v>
      </c>
      <c r="P248" t="s">
        <v>12</v>
      </c>
      <c r="Q248" t="s">
        <v>24</v>
      </c>
      <c r="R248" t="s">
        <v>14</v>
      </c>
      <c r="S248" s="3">
        <v>99</v>
      </c>
      <c r="T248" t="s">
        <v>15</v>
      </c>
      <c r="U248" s="3">
        <v>8514.07</v>
      </c>
      <c r="V248" t="s">
        <v>16</v>
      </c>
      <c r="W248" t="s">
        <v>17</v>
      </c>
      <c r="X248" t="s">
        <v>12</v>
      </c>
      <c r="Y248" t="s">
        <v>8</v>
      </c>
      <c r="Z248" t="s">
        <v>18</v>
      </c>
      <c r="AA248" t="s">
        <v>826</v>
      </c>
      <c r="AB248" t="s">
        <v>12</v>
      </c>
      <c r="AC248" t="s">
        <v>12</v>
      </c>
      <c r="AD248" t="s">
        <v>12</v>
      </c>
      <c r="AE248" s="2">
        <v>45856</v>
      </c>
      <c r="AF248" s="2"/>
      <c r="AG248" t="s">
        <v>12</v>
      </c>
    </row>
    <row r="249" spans="1:33" outlineLevel="2" x14ac:dyDescent="0.25">
      <c r="A249" t="s">
        <v>129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s="2">
        <v>45856</v>
      </c>
      <c r="H249" t="s">
        <v>827</v>
      </c>
      <c r="I249" t="s">
        <v>22</v>
      </c>
      <c r="J249" s="2">
        <v>45856</v>
      </c>
      <c r="K249" s="2">
        <v>45859</v>
      </c>
      <c r="L249" t="s">
        <v>8</v>
      </c>
      <c r="M249" t="s">
        <v>828</v>
      </c>
      <c r="N249" t="s">
        <v>10</v>
      </c>
      <c r="O249" t="s">
        <v>11</v>
      </c>
      <c r="P249" t="s">
        <v>12</v>
      </c>
      <c r="Q249" t="s">
        <v>24</v>
      </c>
      <c r="R249" t="s">
        <v>14</v>
      </c>
      <c r="S249" s="3">
        <v>160.24</v>
      </c>
      <c r="T249" t="s">
        <v>15</v>
      </c>
      <c r="U249" s="3">
        <v>13780.75</v>
      </c>
      <c r="V249" t="s">
        <v>16</v>
      </c>
      <c r="W249" t="s">
        <v>17</v>
      </c>
      <c r="X249" t="s">
        <v>12</v>
      </c>
      <c r="Y249" t="s">
        <v>8</v>
      </c>
      <c r="Z249" t="s">
        <v>18</v>
      </c>
      <c r="AA249" t="s">
        <v>829</v>
      </c>
      <c r="AB249" t="s">
        <v>12</v>
      </c>
      <c r="AC249" t="s">
        <v>12</v>
      </c>
      <c r="AD249" t="s">
        <v>12</v>
      </c>
      <c r="AE249" s="2">
        <v>45856</v>
      </c>
      <c r="AF249" s="2"/>
      <c r="AG249" t="s">
        <v>12</v>
      </c>
    </row>
    <row r="250" spans="1:33" outlineLevel="2" x14ac:dyDescent="0.25">
      <c r="A250" t="s">
        <v>129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s="2">
        <v>45856</v>
      </c>
      <c r="H250" t="s">
        <v>830</v>
      </c>
      <c r="I250" t="s">
        <v>22</v>
      </c>
      <c r="J250" s="2">
        <v>45856</v>
      </c>
      <c r="K250" s="2">
        <v>45859</v>
      </c>
      <c r="L250" t="s">
        <v>8</v>
      </c>
      <c r="M250" t="s">
        <v>831</v>
      </c>
      <c r="N250" t="s">
        <v>10</v>
      </c>
      <c r="O250" t="s">
        <v>11</v>
      </c>
      <c r="P250" t="s">
        <v>12</v>
      </c>
      <c r="Q250" t="s">
        <v>24</v>
      </c>
      <c r="R250" t="s">
        <v>14</v>
      </c>
      <c r="S250" s="3">
        <v>1762.2</v>
      </c>
      <c r="T250" t="s">
        <v>15</v>
      </c>
      <c r="U250" s="3">
        <v>151550.38</v>
      </c>
      <c r="V250" t="s">
        <v>16</v>
      </c>
      <c r="W250" t="s">
        <v>17</v>
      </c>
      <c r="X250" t="s">
        <v>12</v>
      </c>
      <c r="Y250" t="s">
        <v>8</v>
      </c>
      <c r="Z250" t="s">
        <v>18</v>
      </c>
      <c r="AA250" t="s">
        <v>832</v>
      </c>
      <c r="AB250" t="s">
        <v>12</v>
      </c>
      <c r="AC250" t="s">
        <v>12</v>
      </c>
      <c r="AD250" t="s">
        <v>12</v>
      </c>
      <c r="AE250" s="2">
        <v>45856</v>
      </c>
      <c r="AF250" s="2"/>
      <c r="AG250" t="s">
        <v>12</v>
      </c>
    </row>
    <row r="251" spans="1:33" outlineLevel="2" x14ac:dyDescent="0.25">
      <c r="A251" t="s">
        <v>129</v>
      </c>
      <c r="B251" t="s">
        <v>1</v>
      </c>
      <c r="C251" t="s">
        <v>2</v>
      </c>
      <c r="D251" t="s">
        <v>3</v>
      </c>
      <c r="E251" t="s">
        <v>4</v>
      </c>
      <c r="F251" t="s">
        <v>243</v>
      </c>
      <c r="G251" s="2">
        <v>45729</v>
      </c>
      <c r="H251" t="s">
        <v>833</v>
      </c>
      <c r="I251" t="s">
        <v>22</v>
      </c>
      <c r="J251" s="2">
        <v>45729</v>
      </c>
      <c r="K251" s="2">
        <v>45731</v>
      </c>
      <c r="L251" t="s">
        <v>8</v>
      </c>
      <c r="M251" t="s">
        <v>834</v>
      </c>
      <c r="N251" t="s">
        <v>10</v>
      </c>
      <c r="O251" t="s">
        <v>11</v>
      </c>
      <c r="P251" t="s">
        <v>12</v>
      </c>
      <c r="Q251" t="s">
        <v>24</v>
      </c>
      <c r="R251" t="s">
        <v>14</v>
      </c>
      <c r="S251" s="3">
        <v>525</v>
      </c>
      <c r="T251" t="s">
        <v>15</v>
      </c>
      <c r="U251" s="3">
        <v>45512.91</v>
      </c>
      <c r="V251" t="s">
        <v>16</v>
      </c>
      <c r="W251" t="s">
        <v>17</v>
      </c>
      <c r="X251" t="s">
        <v>12</v>
      </c>
      <c r="Y251" t="s">
        <v>8</v>
      </c>
      <c r="Z251" t="s">
        <v>18</v>
      </c>
      <c r="AA251" t="s">
        <v>835</v>
      </c>
      <c r="AB251" t="s">
        <v>12</v>
      </c>
      <c r="AC251" t="s">
        <v>12</v>
      </c>
      <c r="AD251" t="s">
        <v>12</v>
      </c>
      <c r="AE251" s="2">
        <v>45729</v>
      </c>
      <c r="AF251" s="2"/>
      <c r="AG251" t="s">
        <v>12</v>
      </c>
    </row>
    <row r="252" spans="1:33" outlineLevel="2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243</v>
      </c>
      <c r="G252" s="2">
        <v>45729</v>
      </c>
      <c r="H252" t="s">
        <v>836</v>
      </c>
      <c r="I252" t="s">
        <v>22</v>
      </c>
      <c r="J252" s="2">
        <v>45729</v>
      </c>
      <c r="K252" s="2">
        <v>45733</v>
      </c>
      <c r="L252" t="s">
        <v>8</v>
      </c>
      <c r="M252" t="s">
        <v>837</v>
      </c>
      <c r="N252" t="s">
        <v>10</v>
      </c>
      <c r="O252" t="s">
        <v>11</v>
      </c>
      <c r="P252" t="s">
        <v>12</v>
      </c>
      <c r="Q252" t="s">
        <v>24</v>
      </c>
      <c r="R252" t="s">
        <v>14</v>
      </c>
      <c r="S252" s="3">
        <v>220</v>
      </c>
      <c r="T252" t="s">
        <v>15</v>
      </c>
      <c r="U252" s="3">
        <v>19072.080000000002</v>
      </c>
      <c r="V252" t="s">
        <v>16</v>
      </c>
      <c r="W252" t="s">
        <v>17</v>
      </c>
      <c r="X252" t="s">
        <v>12</v>
      </c>
      <c r="Y252" t="s">
        <v>8</v>
      </c>
      <c r="Z252" t="s">
        <v>18</v>
      </c>
      <c r="AA252" t="s">
        <v>838</v>
      </c>
      <c r="AB252" t="s">
        <v>12</v>
      </c>
      <c r="AC252" t="s">
        <v>12</v>
      </c>
      <c r="AD252" t="s">
        <v>12</v>
      </c>
      <c r="AE252" s="2">
        <v>45729</v>
      </c>
      <c r="AF252" s="2">
        <v>45976</v>
      </c>
      <c r="AG252" t="s">
        <v>64</v>
      </c>
    </row>
    <row r="253" spans="1:33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243</v>
      </c>
      <c r="G253" s="2">
        <v>45729</v>
      </c>
      <c r="H253" t="s">
        <v>839</v>
      </c>
      <c r="I253" t="s">
        <v>22</v>
      </c>
      <c r="J253" s="2">
        <v>45729</v>
      </c>
      <c r="K253" s="2">
        <v>45733</v>
      </c>
      <c r="L253" t="s">
        <v>8</v>
      </c>
      <c r="M253" t="s">
        <v>840</v>
      </c>
      <c r="N253" t="s">
        <v>10</v>
      </c>
      <c r="O253" t="s">
        <v>11</v>
      </c>
      <c r="P253" t="s">
        <v>12</v>
      </c>
      <c r="Q253" t="s">
        <v>24</v>
      </c>
      <c r="R253" t="s">
        <v>14</v>
      </c>
      <c r="S253" s="3">
        <v>245</v>
      </c>
      <c r="T253" t="s">
        <v>15</v>
      </c>
      <c r="U253" s="3">
        <v>21239.360000000001</v>
      </c>
      <c r="V253" t="s">
        <v>16</v>
      </c>
      <c r="W253" t="s">
        <v>17</v>
      </c>
      <c r="X253" t="s">
        <v>12</v>
      </c>
      <c r="Y253" t="s">
        <v>8</v>
      </c>
      <c r="Z253" t="s">
        <v>18</v>
      </c>
      <c r="AA253" t="s">
        <v>841</v>
      </c>
      <c r="AB253" t="s">
        <v>12</v>
      </c>
      <c r="AC253" t="s">
        <v>12</v>
      </c>
      <c r="AD253" t="s">
        <v>12</v>
      </c>
      <c r="AE253" s="2">
        <v>45729</v>
      </c>
      <c r="AF253" s="2">
        <v>45976</v>
      </c>
      <c r="AG253" t="s">
        <v>64</v>
      </c>
    </row>
    <row r="254" spans="1:33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243</v>
      </c>
      <c r="G254" s="2">
        <v>45729</v>
      </c>
      <c r="H254" t="s">
        <v>842</v>
      </c>
      <c r="I254" t="s">
        <v>22</v>
      </c>
      <c r="J254" s="2">
        <v>45729</v>
      </c>
      <c r="K254" s="2">
        <v>45733</v>
      </c>
      <c r="L254" t="s">
        <v>8</v>
      </c>
      <c r="M254" t="s">
        <v>843</v>
      </c>
      <c r="N254" t="s">
        <v>10</v>
      </c>
      <c r="O254" t="s">
        <v>11</v>
      </c>
      <c r="P254" t="s">
        <v>12</v>
      </c>
      <c r="Q254" t="s">
        <v>24</v>
      </c>
      <c r="R254" t="s">
        <v>14</v>
      </c>
      <c r="S254" s="3">
        <v>105</v>
      </c>
      <c r="T254" t="s">
        <v>15</v>
      </c>
      <c r="U254" s="3">
        <v>9102.58</v>
      </c>
      <c r="V254" t="s">
        <v>16</v>
      </c>
      <c r="W254" t="s">
        <v>17</v>
      </c>
      <c r="X254" t="s">
        <v>12</v>
      </c>
      <c r="Y254" t="s">
        <v>8</v>
      </c>
      <c r="Z254" t="s">
        <v>18</v>
      </c>
      <c r="AA254" t="s">
        <v>844</v>
      </c>
      <c r="AB254" t="s">
        <v>12</v>
      </c>
      <c r="AC254" t="s">
        <v>12</v>
      </c>
      <c r="AD254" t="s">
        <v>12</v>
      </c>
      <c r="AE254" s="2">
        <v>45729</v>
      </c>
      <c r="AF254" s="2">
        <v>45976</v>
      </c>
      <c r="AG254" t="s">
        <v>64</v>
      </c>
    </row>
    <row r="255" spans="1:33" outlineLevel="2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243</v>
      </c>
      <c r="G255" s="2">
        <v>45729</v>
      </c>
      <c r="H255" t="s">
        <v>845</v>
      </c>
      <c r="I255" t="s">
        <v>22</v>
      </c>
      <c r="J255" s="2">
        <v>45729</v>
      </c>
      <c r="K255" s="2">
        <v>45733</v>
      </c>
      <c r="L255" t="s">
        <v>8</v>
      </c>
      <c r="M255" t="s">
        <v>846</v>
      </c>
      <c r="N255" t="s">
        <v>10</v>
      </c>
      <c r="O255" t="s">
        <v>11</v>
      </c>
      <c r="P255" t="s">
        <v>12</v>
      </c>
      <c r="Q255" t="s">
        <v>24</v>
      </c>
      <c r="R255" t="s">
        <v>14</v>
      </c>
      <c r="S255" s="3">
        <v>385</v>
      </c>
      <c r="T255" t="s">
        <v>15</v>
      </c>
      <c r="U255" s="3">
        <v>33376.14</v>
      </c>
      <c r="V255" t="s">
        <v>16</v>
      </c>
      <c r="W255" t="s">
        <v>17</v>
      </c>
      <c r="X255" t="s">
        <v>12</v>
      </c>
      <c r="Y255" t="s">
        <v>8</v>
      </c>
      <c r="Z255" t="s">
        <v>18</v>
      </c>
      <c r="AA255" t="s">
        <v>847</v>
      </c>
      <c r="AB255" t="s">
        <v>12</v>
      </c>
      <c r="AC255" t="s">
        <v>12</v>
      </c>
      <c r="AD255" t="s">
        <v>12</v>
      </c>
      <c r="AE255" s="2">
        <v>45729</v>
      </c>
      <c r="AF255" s="2">
        <v>45976</v>
      </c>
      <c r="AG255" t="s">
        <v>64</v>
      </c>
    </row>
    <row r="256" spans="1:33" outlineLevel="2" x14ac:dyDescent="0.25">
      <c r="A256" t="s">
        <v>129</v>
      </c>
      <c r="B256" t="s">
        <v>1</v>
      </c>
      <c r="C256" t="s">
        <v>2</v>
      </c>
      <c r="D256" t="s">
        <v>3</v>
      </c>
      <c r="E256" t="s">
        <v>4</v>
      </c>
      <c r="F256" t="s">
        <v>243</v>
      </c>
      <c r="G256" s="2">
        <v>45736</v>
      </c>
      <c r="H256" t="s">
        <v>848</v>
      </c>
      <c r="I256" t="s">
        <v>22</v>
      </c>
      <c r="J256" s="2">
        <v>45736</v>
      </c>
      <c r="K256" s="2">
        <v>45736</v>
      </c>
      <c r="L256" t="s">
        <v>8</v>
      </c>
      <c r="M256" t="s">
        <v>849</v>
      </c>
      <c r="N256" t="s">
        <v>10</v>
      </c>
      <c r="O256" t="s">
        <v>11</v>
      </c>
      <c r="P256" t="s">
        <v>12</v>
      </c>
      <c r="Q256" t="s">
        <v>24</v>
      </c>
      <c r="R256" t="s">
        <v>14</v>
      </c>
      <c r="S256" s="3">
        <v>18.8</v>
      </c>
      <c r="T256" t="s">
        <v>15</v>
      </c>
      <c r="U256" s="3">
        <v>1629.8</v>
      </c>
      <c r="V256" t="s">
        <v>16</v>
      </c>
      <c r="W256" t="s">
        <v>17</v>
      </c>
      <c r="X256" t="s">
        <v>12</v>
      </c>
      <c r="Y256" t="s">
        <v>8</v>
      </c>
      <c r="Z256" t="s">
        <v>18</v>
      </c>
      <c r="AA256" t="s">
        <v>850</v>
      </c>
      <c r="AB256" t="s">
        <v>12</v>
      </c>
      <c r="AC256" t="s">
        <v>12</v>
      </c>
      <c r="AD256" t="s">
        <v>12</v>
      </c>
      <c r="AE256" s="2">
        <v>45736</v>
      </c>
      <c r="AF256" s="2"/>
      <c r="AG256" t="s">
        <v>12</v>
      </c>
    </row>
    <row r="257" spans="1:33" outlineLevel="2" x14ac:dyDescent="0.25">
      <c r="A257" t="s">
        <v>129</v>
      </c>
      <c r="B257" t="s">
        <v>1</v>
      </c>
      <c r="C257" t="s">
        <v>2</v>
      </c>
      <c r="D257" t="s">
        <v>3</v>
      </c>
      <c r="E257" t="s">
        <v>4</v>
      </c>
      <c r="F257" t="s">
        <v>243</v>
      </c>
      <c r="G257" s="2">
        <v>45736</v>
      </c>
      <c r="H257" t="s">
        <v>851</v>
      </c>
      <c r="I257" t="s">
        <v>22</v>
      </c>
      <c r="J257" s="2">
        <v>45736</v>
      </c>
      <c r="K257" s="2">
        <v>45736</v>
      </c>
      <c r="L257" t="s">
        <v>8</v>
      </c>
      <c r="M257" t="s">
        <v>852</v>
      </c>
      <c r="N257" t="s">
        <v>10</v>
      </c>
      <c r="O257" t="s">
        <v>11</v>
      </c>
      <c r="P257" t="s">
        <v>12</v>
      </c>
      <c r="Q257" t="s">
        <v>24</v>
      </c>
      <c r="R257" t="s">
        <v>14</v>
      </c>
      <c r="S257" s="3">
        <v>2.35</v>
      </c>
      <c r="T257" t="s">
        <v>15</v>
      </c>
      <c r="U257" s="3">
        <v>203.72</v>
      </c>
      <c r="V257" t="s">
        <v>16</v>
      </c>
      <c r="W257" t="s">
        <v>17</v>
      </c>
      <c r="X257" t="s">
        <v>12</v>
      </c>
      <c r="Y257" t="s">
        <v>8</v>
      </c>
      <c r="Z257" t="s">
        <v>18</v>
      </c>
      <c r="AA257" t="s">
        <v>850</v>
      </c>
      <c r="AB257" t="s">
        <v>12</v>
      </c>
      <c r="AC257" t="s">
        <v>12</v>
      </c>
      <c r="AD257" t="s">
        <v>12</v>
      </c>
      <c r="AE257" s="2">
        <v>45736</v>
      </c>
      <c r="AF257" s="2"/>
      <c r="AG257" t="s">
        <v>12</v>
      </c>
    </row>
    <row r="258" spans="1:33" outlineLevel="2" x14ac:dyDescent="0.25">
      <c r="A258" t="s">
        <v>129</v>
      </c>
      <c r="B258" t="s">
        <v>1</v>
      </c>
      <c r="C258" t="s">
        <v>2</v>
      </c>
      <c r="D258" t="s">
        <v>3</v>
      </c>
      <c r="E258" t="s">
        <v>4</v>
      </c>
      <c r="F258" t="s">
        <v>243</v>
      </c>
      <c r="G258" s="2">
        <v>45736</v>
      </c>
      <c r="H258" t="s">
        <v>853</v>
      </c>
      <c r="I258" t="s">
        <v>22</v>
      </c>
      <c r="J258" s="2">
        <v>45736</v>
      </c>
      <c r="K258" s="2">
        <v>45736</v>
      </c>
      <c r="L258" t="s">
        <v>8</v>
      </c>
      <c r="M258" t="s">
        <v>854</v>
      </c>
      <c r="N258" t="s">
        <v>10</v>
      </c>
      <c r="O258" t="s">
        <v>11</v>
      </c>
      <c r="P258" t="s">
        <v>12</v>
      </c>
      <c r="Q258" t="s">
        <v>24</v>
      </c>
      <c r="R258" t="s">
        <v>14</v>
      </c>
      <c r="S258" s="3">
        <v>7.05</v>
      </c>
      <c r="T258" t="s">
        <v>15</v>
      </c>
      <c r="U258" s="3">
        <v>611.16999999999996</v>
      </c>
      <c r="V258" t="s">
        <v>16</v>
      </c>
      <c r="W258" t="s">
        <v>17</v>
      </c>
      <c r="X258" t="s">
        <v>12</v>
      </c>
      <c r="Y258" t="s">
        <v>8</v>
      </c>
      <c r="Z258" t="s">
        <v>18</v>
      </c>
      <c r="AA258" t="s">
        <v>850</v>
      </c>
      <c r="AB258" t="s">
        <v>12</v>
      </c>
      <c r="AC258" t="s">
        <v>12</v>
      </c>
      <c r="AD258" t="s">
        <v>12</v>
      </c>
      <c r="AE258" s="2">
        <v>45736</v>
      </c>
      <c r="AF258" s="2"/>
      <c r="AG258" t="s">
        <v>12</v>
      </c>
    </row>
    <row r="259" spans="1:33" outlineLevel="2" x14ac:dyDescent="0.25">
      <c r="A259" t="s">
        <v>129</v>
      </c>
      <c r="B259" t="s">
        <v>1</v>
      </c>
      <c r="C259" t="s">
        <v>2</v>
      </c>
      <c r="D259" t="s">
        <v>3</v>
      </c>
      <c r="E259" t="s">
        <v>4</v>
      </c>
      <c r="F259" t="s">
        <v>243</v>
      </c>
      <c r="G259" s="2">
        <v>45736</v>
      </c>
      <c r="H259" t="s">
        <v>855</v>
      </c>
      <c r="I259" t="s">
        <v>22</v>
      </c>
      <c r="J259" s="2">
        <v>45736</v>
      </c>
      <c r="K259" s="2">
        <v>45736</v>
      </c>
      <c r="L259" t="s">
        <v>8</v>
      </c>
      <c r="M259" t="s">
        <v>856</v>
      </c>
      <c r="N259" t="s">
        <v>10</v>
      </c>
      <c r="O259" t="s">
        <v>11</v>
      </c>
      <c r="P259" t="s">
        <v>12</v>
      </c>
      <c r="Q259" t="s">
        <v>24</v>
      </c>
      <c r="R259" t="s">
        <v>14</v>
      </c>
      <c r="S259" s="3">
        <v>2.35</v>
      </c>
      <c r="T259" t="s">
        <v>15</v>
      </c>
      <c r="U259" s="3">
        <v>203.72</v>
      </c>
      <c r="V259" t="s">
        <v>16</v>
      </c>
      <c r="W259" t="s">
        <v>17</v>
      </c>
      <c r="X259" t="s">
        <v>12</v>
      </c>
      <c r="Y259" t="s">
        <v>8</v>
      </c>
      <c r="Z259" t="s">
        <v>18</v>
      </c>
      <c r="AA259" t="s">
        <v>850</v>
      </c>
      <c r="AB259" t="s">
        <v>12</v>
      </c>
      <c r="AC259" t="s">
        <v>12</v>
      </c>
      <c r="AD259" t="s">
        <v>12</v>
      </c>
      <c r="AE259" s="2">
        <v>45736</v>
      </c>
      <c r="AF259" s="2"/>
      <c r="AG259" t="s">
        <v>12</v>
      </c>
    </row>
    <row r="260" spans="1:33" outlineLevel="2" x14ac:dyDescent="0.25">
      <c r="A260" t="s">
        <v>129</v>
      </c>
      <c r="B260" t="s">
        <v>1</v>
      </c>
      <c r="C260" t="s">
        <v>2</v>
      </c>
      <c r="D260" t="s">
        <v>3</v>
      </c>
      <c r="E260" t="s">
        <v>4</v>
      </c>
      <c r="F260" t="s">
        <v>243</v>
      </c>
      <c r="G260" s="2">
        <v>45736</v>
      </c>
      <c r="H260" t="s">
        <v>857</v>
      </c>
      <c r="I260" t="s">
        <v>22</v>
      </c>
      <c r="J260" s="2">
        <v>45736</v>
      </c>
      <c r="K260" s="2">
        <v>45736</v>
      </c>
      <c r="L260" t="s">
        <v>8</v>
      </c>
      <c r="M260" t="s">
        <v>858</v>
      </c>
      <c r="N260" t="s">
        <v>10</v>
      </c>
      <c r="O260" t="s">
        <v>11</v>
      </c>
      <c r="P260" t="s">
        <v>12</v>
      </c>
      <c r="Q260" t="s">
        <v>24</v>
      </c>
      <c r="R260" t="s">
        <v>14</v>
      </c>
      <c r="S260" s="3">
        <v>84.6</v>
      </c>
      <c r="T260" t="s">
        <v>15</v>
      </c>
      <c r="U260" s="3">
        <v>7334.08</v>
      </c>
      <c r="V260" t="s">
        <v>16</v>
      </c>
      <c r="W260" t="s">
        <v>17</v>
      </c>
      <c r="X260" t="s">
        <v>12</v>
      </c>
      <c r="Y260" t="s">
        <v>8</v>
      </c>
      <c r="Z260" t="s">
        <v>18</v>
      </c>
      <c r="AA260" t="s">
        <v>850</v>
      </c>
      <c r="AB260" t="s">
        <v>12</v>
      </c>
      <c r="AC260" t="s">
        <v>12</v>
      </c>
      <c r="AD260" t="s">
        <v>12</v>
      </c>
      <c r="AE260" s="2">
        <v>45736</v>
      </c>
      <c r="AF260" s="2"/>
      <c r="AG260" t="s">
        <v>12</v>
      </c>
    </row>
    <row r="261" spans="1:33" outlineLevel="2" x14ac:dyDescent="0.25">
      <c r="A261" t="s">
        <v>129</v>
      </c>
      <c r="B261" t="s">
        <v>1</v>
      </c>
      <c r="C261" t="s">
        <v>2</v>
      </c>
      <c r="D261" t="s">
        <v>3</v>
      </c>
      <c r="E261" t="s">
        <v>4</v>
      </c>
      <c r="F261" t="s">
        <v>243</v>
      </c>
      <c r="G261" s="2">
        <v>45736</v>
      </c>
      <c r="H261" t="s">
        <v>859</v>
      </c>
      <c r="I261" t="s">
        <v>22</v>
      </c>
      <c r="J261" s="2">
        <v>45736</v>
      </c>
      <c r="K261" s="2">
        <v>45736</v>
      </c>
      <c r="L261" t="s">
        <v>8</v>
      </c>
      <c r="M261" t="s">
        <v>860</v>
      </c>
      <c r="N261" t="s">
        <v>10</v>
      </c>
      <c r="O261" t="s">
        <v>11</v>
      </c>
      <c r="P261" t="s">
        <v>12</v>
      </c>
      <c r="Q261" t="s">
        <v>24</v>
      </c>
      <c r="R261" t="s">
        <v>14</v>
      </c>
      <c r="S261" s="3">
        <v>42.3</v>
      </c>
      <c r="T261" t="s">
        <v>15</v>
      </c>
      <c r="U261" s="3">
        <v>3667.04</v>
      </c>
      <c r="V261" t="s">
        <v>16</v>
      </c>
      <c r="W261" t="s">
        <v>17</v>
      </c>
      <c r="X261" t="s">
        <v>12</v>
      </c>
      <c r="Y261" t="s">
        <v>8</v>
      </c>
      <c r="Z261" t="s">
        <v>18</v>
      </c>
      <c r="AA261" t="s">
        <v>850</v>
      </c>
      <c r="AB261" t="s">
        <v>12</v>
      </c>
      <c r="AC261" t="s">
        <v>12</v>
      </c>
      <c r="AD261" t="s">
        <v>12</v>
      </c>
      <c r="AE261" s="2">
        <v>45736</v>
      </c>
      <c r="AF261" s="2"/>
      <c r="AG261" t="s">
        <v>12</v>
      </c>
    </row>
    <row r="262" spans="1:33" outlineLevel="2" x14ac:dyDescent="0.25">
      <c r="A262" t="s">
        <v>129</v>
      </c>
      <c r="B262" t="s">
        <v>1</v>
      </c>
      <c r="C262" t="s">
        <v>2</v>
      </c>
      <c r="D262" t="s">
        <v>3</v>
      </c>
      <c r="E262" t="s">
        <v>4</v>
      </c>
      <c r="F262" t="s">
        <v>243</v>
      </c>
      <c r="G262" s="2">
        <v>45736</v>
      </c>
      <c r="H262" t="s">
        <v>861</v>
      </c>
      <c r="I262" t="s">
        <v>22</v>
      </c>
      <c r="J262" s="2">
        <v>45736</v>
      </c>
      <c r="K262" s="2">
        <v>45736</v>
      </c>
      <c r="L262" t="s">
        <v>8</v>
      </c>
      <c r="M262" t="s">
        <v>862</v>
      </c>
      <c r="N262" t="s">
        <v>10</v>
      </c>
      <c r="O262" t="s">
        <v>11</v>
      </c>
      <c r="P262" t="s">
        <v>12</v>
      </c>
      <c r="Q262" t="s">
        <v>24</v>
      </c>
      <c r="R262" t="s">
        <v>14</v>
      </c>
      <c r="S262" s="3">
        <v>2.35</v>
      </c>
      <c r="T262" t="s">
        <v>15</v>
      </c>
      <c r="U262" s="3">
        <v>203.72</v>
      </c>
      <c r="V262" t="s">
        <v>16</v>
      </c>
      <c r="W262" t="s">
        <v>17</v>
      </c>
      <c r="X262" t="s">
        <v>12</v>
      </c>
      <c r="Y262" t="s">
        <v>8</v>
      </c>
      <c r="Z262" t="s">
        <v>18</v>
      </c>
      <c r="AA262" t="s">
        <v>850</v>
      </c>
      <c r="AB262" t="s">
        <v>12</v>
      </c>
      <c r="AC262" t="s">
        <v>12</v>
      </c>
      <c r="AD262" t="s">
        <v>12</v>
      </c>
      <c r="AE262" s="2">
        <v>45736</v>
      </c>
      <c r="AF262" s="2"/>
      <c r="AG262" t="s">
        <v>12</v>
      </c>
    </row>
    <row r="263" spans="1:33" outlineLevel="2" x14ac:dyDescent="0.25">
      <c r="A263" t="s">
        <v>129</v>
      </c>
      <c r="B263" t="s">
        <v>1</v>
      </c>
      <c r="C263" t="s">
        <v>2</v>
      </c>
      <c r="D263" t="s">
        <v>3</v>
      </c>
      <c r="E263" t="s">
        <v>4</v>
      </c>
      <c r="F263" t="s">
        <v>243</v>
      </c>
      <c r="G263" s="2">
        <v>45736</v>
      </c>
      <c r="H263" t="s">
        <v>863</v>
      </c>
      <c r="I263" t="s">
        <v>22</v>
      </c>
      <c r="J263" s="2">
        <v>45736</v>
      </c>
      <c r="K263" s="2">
        <v>45736</v>
      </c>
      <c r="L263" t="s">
        <v>8</v>
      </c>
      <c r="M263" t="s">
        <v>864</v>
      </c>
      <c r="N263" t="s">
        <v>10</v>
      </c>
      <c r="O263" t="s">
        <v>11</v>
      </c>
      <c r="P263" t="s">
        <v>12</v>
      </c>
      <c r="Q263" t="s">
        <v>24</v>
      </c>
      <c r="R263" t="s">
        <v>14</v>
      </c>
      <c r="S263" s="3">
        <v>4.7</v>
      </c>
      <c r="T263" t="s">
        <v>15</v>
      </c>
      <c r="U263" s="3">
        <v>407.45</v>
      </c>
      <c r="V263" t="s">
        <v>16</v>
      </c>
      <c r="W263" t="s">
        <v>17</v>
      </c>
      <c r="X263" t="s">
        <v>12</v>
      </c>
      <c r="Y263" t="s">
        <v>8</v>
      </c>
      <c r="Z263" t="s">
        <v>18</v>
      </c>
      <c r="AA263" t="s">
        <v>850</v>
      </c>
      <c r="AB263" t="s">
        <v>12</v>
      </c>
      <c r="AC263" t="s">
        <v>12</v>
      </c>
      <c r="AD263" t="s">
        <v>12</v>
      </c>
      <c r="AE263" s="2">
        <v>45736</v>
      </c>
      <c r="AF263" s="2"/>
      <c r="AG263" t="s">
        <v>12</v>
      </c>
    </row>
    <row r="264" spans="1:33" outlineLevel="2" x14ac:dyDescent="0.25">
      <c r="A264" t="s">
        <v>129</v>
      </c>
      <c r="B264" t="s">
        <v>1</v>
      </c>
      <c r="C264" t="s">
        <v>2</v>
      </c>
      <c r="D264" t="s">
        <v>3</v>
      </c>
      <c r="E264" t="s">
        <v>4</v>
      </c>
      <c r="F264" t="s">
        <v>243</v>
      </c>
      <c r="G264" s="2">
        <v>45736</v>
      </c>
      <c r="H264" t="s">
        <v>865</v>
      </c>
      <c r="I264" t="s">
        <v>22</v>
      </c>
      <c r="J264" s="2">
        <v>45736</v>
      </c>
      <c r="K264" s="2">
        <v>45736</v>
      </c>
      <c r="L264" t="s">
        <v>8</v>
      </c>
      <c r="M264" t="s">
        <v>866</v>
      </c>
      <c r="N264" t="s">
        <v>10</v>
      </c>
      <c r="O264" t="s">
        <v>11</v>
      </c>
      <c r="P264" t="s">
        <v>12</v>
      </c>
      <c r="Q264" t="s">
        <v>24</v>
      </c>
      <c r="R264" t="s">
        <v>14</v>
      </c>
      <c r="S264" s="3">
        <v>18.8</v>
      </c>
      <c r="T264" t="s">
        <v>15</v>
      </c>
      <c r="U264" s="3">
        <v>1629.8</v>
      </c>
      <c r="V264" t="s">
        <v>16</v>
      </c>
      <c r="W264" t="s">
        <v>17</v>
      </c>
      <c r="X264" t="s">
        <v>12</v>
      </c>
      <c r="Y264" t="s">
        <v>8</v>
      </c>
      <c r="Z264" t="s">
        <v>18</v>
      </c>
      <c r="AA264" t="s">
        <v>850</v>
      </c>
      <c r="AB264" t="s">
        <v>12</v>
      </c>
      <c r="AC264" t="s">
        <v>12</v>
      </c>
      <c r="AD264" t="s">
        <v>12</v>
      </c>
      <c r="AE264" s="2">
        <v>45736</v>
      </c>
      <c r="AF264" s="2"/>
      <c r="AG264" t="s">
        <v>12</v>
      </c>
    </row>
    <row r="265" spans="1:33" outlineLevel="2" x14ac:dyDescent="0.25">
      <c r="A265" t="s">
        <v>129</v>
      </c>
      <c r="B265" t="s">
        <v>1</v>
      </c>
      <c r="C265" t="s">
        <v>2</v>
      </c>
      <c r="D265" t="s">
        <v>3</v>
      </c>
      <c r="E265" t="s">
        <v>4</v>
      </c>
      <c r="F265" t="s">
        <v>243</v>
      </c>
      <c r="G265" s="2">
        <v>45736</v>
      </c>
      <c r="H265" t="s">
        <v>867</v>
      </c>
      <c r="I265" t="s">
        <v>22</v>
      </c>
      <c r="J265" s="2">
        <v>45736</v>
      </c>
      <c r="K265" s="2">
        <v>45736</v>
      </c>
      <c r="L265" t="s">
        <v>8</v>
      </c>
      <c r="M265" t="s">
        <v>868</v>
      </c>
      <c r="N265" t="s">
        <v>10</v>
      </c>
      <c r="O265" t="s">
        <v>11</v>
      </c>
      <c r="P265" t="s">
        <v>12</v>
      </c>
      <c r="Q265" t="s">
        <v>24</v>
      </c>
      <c r="R265" t="s">
        <v>14</v>
      </c>
      <c r="S265" s="3">
        <v>2.35</v>
      </c>
      <c r="T265" t="s">
        <v>15</v>
      </c>
      <c r="U265" s="3">
        <v>203.72</v>
      </c>
      <c r="V265" t="s">
        <v>16</v>
      </c>
      <c r="W265" t="s">
        <v>17</v>
      </c>
      <c r="X265" t="s">
        <v>12</v>
      </c>
      <c r="Y265" t="s">
        <v>8</v>
      </c>
      <c r="Z265" t="s">
        <v>18</v>
      </c>
      <c r="AA265" t="s">
        <v>850</v>
      </c>
      <c r="AB265" t="s">
        <v>12</v>
      </c>
      <c r="AC265" t="s">
        <v>12</v>
      </c>
      <c r="AD265" t="s">
        <v>12</v>
      </c>
      <c r="AE265" s="2">
        <v>45736</v>
      </c>
      <c r="AF265" s="2"/>
      <c r="AG265" t="s">
        <v>12</v>
      </c>
    </row>
    <row r="266" spans="1:33" outlineLevel="2" x14ac:dyDescent="0.25">
      <c r="A266" t="s">
        <v>129</v>
      </c>
      <c r="B266" t="s">
        <v>1</v>
      </c>
      <c r="C266" t="s">
        <v>2</v>
      </c>
      <c r="D266" t="s">
        <v>3</v>
      </c>
      <c r="E266" t="s">
        <v>4</v>
      </c>
      <c r="F266" t="s">
        <v>243</v>
      </c>
      <c r="G266" s="2">
        <v>45736</v>
      </c>
      <c r="H266" t="s">
        <v>869</v>
      </c>
      <c r="I266" t="s">
        <v>22</v>
      </c>
      <c r="J266" s="2">
        <v>45736</v>
      </c>
      <c r="K266" s="2">
        <v>45736</v>
      </c>
      <c r="L266" t="s">
        <v>8</v>
      </c>
      <c r="M266" t="s">
        <v>870</v>
      </c>
      <c r="N266" t="s">
        <v>10</v>
      </c>
      <c r="O266" t="s">
        <v>11</v>
      </c>
      <c r="P266" t="s">
        <v>12</v>
      </c>
      <c r="Q266" t="s">
        <v>24</v>
      </c>
      <c r="R266" t="s">
        <v>14</v>
      </c>
      <c r="S266" s="3">
        <v>7.05</v>
      </c>
      <c r="T266" t="s">
        <v>15</v>
      </c>
      <c r="U266" s="3">
        <v>611.16999999999996</v>
      </c>
      <c r="V266" t="s">
        <v>16</v>
      </c>
      <c r="W266" t="s">
        <v>17</v>
      </c>
      <c r="X266" t="s">
        <v>12</v>
      </c>
      <c r="Y266" t="s">
        <v>8</v>
      </c>
      <c r="Z266" t="s">
        <v>18</v>
      </c>
      <c r="AA266" t="s">
        <v>850</v>
      </c>
      <c r="AB266" t="s">
        <v>12</v>
      </c>
      <c r="AC266" t="s">
        <v>12</v>
      </c>
      <c r="AD266" t="s">
        <v>12</v>
      </c>
      <c r="AE266" s="2">
        <v>45736</v>
      </c>
      <c r="AF266" s="2"/>
      <c r="AG266" t="s">
        <v>12</v>
      </c>
    </row>
    <row r="267" spans="1:33" outlineLevel="2" x14ac:dyDescent="0.25">
      <c r="A267" t="s">
        <v>129</v>
      </c>
      <c r="B267" t="s">
        <v>1</v>
      </c>
      <c r="C267" t="s">
        <v>2</v>
      </c>
      <c r="D267" t="s">
        <v>3</v>
      </c>
      <c r="E267" t="s">
        <v>4</v>
      </c>
      <c r="F267" t="s">
        <v>243</v>
      </c>
      <c r="G267" s="2">
        <v>45736</v>
      </c>
      <c r="H267" t="s">
        <v>871</v>
      </c>
      <c r="I267" t="s">
        <v>22</v>
      </c>
      <c r="J267" s="2">
        <v>45736</v>
      </c>
      <c r="K267" s="2">
        <v>45736</v>
      </c>
      <c r="L267" t="s">
        <v>8</v>
      </c>
      <c r="M267" t="s">
        <v>872</v>
      </c>
      <c r="N267" t="s">
        <v>10</v>
      </c>
      <c r="O267" t="s">
        <v>11</v>
      </c>
      <c r="P267" t="s">
        <v>12</v>
      </c>
      <c r="Q267" t="s">
        <v>24</v>
      </c>
      <c r="R267" t="s">
        <v>14</v>
      </c>
      <c r="S267" s="3">
        <v>2.35</v>
      </c>
      <c r="T267" t="s">
        <v>15</v>
      </c>
      <c r="U267" s="3">
        <v>203.72</v>
      </c>
      <c r="V267" t="s">
        <v>16</v>
      </c>
      <c r="W267" t="s">
        <v>17</v>
      </c>
      <c r="X267" t="s">
        <v>12</v>
      </c>
      <c r="Y267" t="s">
        <v>8</v>
      </c>
      <c r="Z267" t="s">
        <v>18</v>
      </c>
      <c r="AA267" t="s">
        <v>850</v>
      </c>
      <c r="AB267" t="s">
        <v>12</v>
      </c>
      <c r="AC267" t="s">
        <v>12</v>
      </c>
      <c r="AD267" t="s">
        <v>12</v>
      </c>
      <c r="AE267" s="2">
        <v>45736</v>
      </c>
      <c r="AF267" s="2"/>
      <c r="AG267" t="s">
        <v>12</v>
      </c>
    </row>
    <row r="268" spans="1:33" outlineLevel="2" x14ac:dyDescent="0.25">
      <c r="A268" t="s">
        <v>129</v>
      </c>
      <c r="B268" t="s">
        <v>1</v>
      </c>
      <c r="C268" t="s">
        <v>2</v>
      </c>
      <c r="D268" t="s">
        <v>3</v>
      </c>
      <c r="E268" t="s">
        <v>4</v>
      </c>
      <c r="F268" t="s">
        <v>243</v>
      </c>
      <c r="G268" s="2">
        <v>45736</v>
      </c>
      <c r="H268" t="s">
        <v>873</v>
      </c>
      <c r="I268" t="s">
        <v>22</v>
      </c>
      <c r="J268" s="2">
        <v>45736</v>
      </c>
      <c r="K268" s="2">
        <v>45736</v>
      </c>
      <c r="L268" t="s">
        <v>8</v>
      </c>
      <c r="M268" t="s">
        <v>874</v>
      </c>
      <c r="N268" t="s">
        <v>10</v>
      </c>
      <c r="O268" t="s">
        <v>11</v>
      </c>
      <c r="P268" t="s">
        <v>12</v>
      </c>
      <c r="Q268" t="s">
        <v>24</v>
      </c>
      <c r="R268" t="s">
        <v>14</v>
      </c>
      <c r="S268" s="3">
        <v>84.6</v>
      </c>
      <c r="T268" t="s">
        <v>15</v>
      </c>
      <c r="U268" s="3">
        <v>7334.08</v>
      </c>
      <c r="V268" t="s">
        <v>16</v>
      </c>
      <c r="W268" t="s">
        <v>17</v>
      </c>
      <c r="X268" t="s">
        <v>12</v>
      </c>
      <c r="Y268" t="s">
        <v>8</v>
      </c>
      <c r="Z268" t="s">
        <v>18</v>
      </c>
      <c r="AA268" t="s">
        <v>850</v>
      </c>
      <c r="AB268" t="s">
        <v>12</v>
      </c>
      <c r="AC268" t="s">
        <v>12</v>
      </c>
      <c r="AD268" t="s">
        <v>12</v>
      </c>
      <c r="AE268" s="2">
        <v>45736</v>
      </c>
      <c r="AF268" s="2"/>
      <c r="AG268" t="s">
        <v>12</v>
      </c>
    </row>
    <row r="269" spans="1:33" outlineLevel="2" x14ac:dyDescent="0.25">
      <c r="A269" t="s">
        <v>129</v>
      </c>
      <c r="B269" t="s">
        <v>1</v>
      </c>
      <c r="C269" t="s">
        <v>2</v>
      </c>
      <c r="D269" t="s">
        <v>3</v>
      </c>
      <c r="E269" t="s">
        <v>4</v>
      </c>
      <c r="F269" t="s">
        <v>243</v>
      </c>
      <c r="G269" s="2">
        <v>45736</v>
      </c>
      <c r="H269" t="s">
        <v>875</v>
      </c>
      <c r="I269" t="s">
        <v>22</v>
      </c>
      <c r="J269" s="2">
        <v>45736</v>
      </c>
      <c r="K269" s="2">
        <v>45736</v>
      </c>
      <c r="L269" t="s">
        <v>8</v>
      </c>
      <c r="M269" t="s">
        <v>876</v>
      </c>
      <c r="N269" t="s">
        <v>10</v>
      </c>
      <c r="O269" t="s">
        <v>11</v>
      </c>
      <c r="P269" t="s">
        <v>12</v>
      </c>
      <c r="Q269" t="s">
        <v>24</v>
      </c>
      <c r="R269" t="s">
        <v>14</v>
      </c>
      <c r="S269" s="3">
        <v>42.3</v>
      </c>
      <c r="T269" t="s">
        <v>15</v>
      </c>
      <c r="U269" s="3">
        <v>3667.04</v>
      </c>
      <c r="V269" t="s">
        <v>16</v>
      </c>
      <c r="W269" t="s">
        <v>17</v>
      </c>
      <c r="X269" t="s">
        <v>12</v>
      </c>
      <c r="Y269" t="s">
        <v>8</v>
      </c>
      <c r="Z269" t="s">
        <v>18</v>
      </c>
      <c r="AA269" t="s">
        <v>850</v>
      </c>
      <c r="AB269" t="s">
        <v>12</v>
      </c>
      <c r="AC269" t="s">
        <v>12</v>
      </c>
      <c r="AD269" t="s">
        <v>12</v>
      </c>
      <c r="AE269" s="2">
        <v>45736</v>
      </c>
      <c r="AF269" s="2"/>
      <c r="AG269" t="s">
        <v>12</v>
      </c>
    </row>
    <row r="270" spans="1:33" outlineLevel="2" x14ac:dyDescent="0.25">
      <c r="A270" t="s">
        <v>129</v>
      </c>
      <c r="B270" t="s">
        <v>1</v>
      </c>
      <c r="C270" t="s">
        <v>2</v>
      </c>
      <c r="D270" t="s">
        <v>3</v>
      </c>
      <c r="E270" t="s">
        <v>4</v>
      </c>
      <c r="F270" t="s">
        <v>243</v>
      </c>
      <c r="G270" s="2">
        <v>45736</v>
      </c>
      <c r="H270" t="s">
        <v>877</v>
      </c>
      <c r="I270" t="s">
        <v>22</v>
      </c>
      <c r="J270" s="2">
        <v>45736</v>
      </c>
      <c r="K270" s="2">
        <v>45736</v>
      </c>
      <c r="L270" t="s">
        <v>8</v>
      </c>
      <c r="M270" t="s">
        <v>878</v>
      </c>
      <c r="N270" t="s">
        <v>10</v>
      </c>
      <c r="O270" t="s">
        <v>11</v>
      </c>
      <c r="P270" t="s">
        <v>12</v>
      </c>
      <c r="Q270" t="s">
        <v>24</v>
      </c>
      <c r="R270" t="s">
        <v>14</v>
      </c>
      <c r="S270" s="3">
        <v>2.35</v>
      </c>
      <c r="T270" t="s">
        <v>15</v>
      </c>
      <c r="U270" s="3">
        <v>203.72</v>
      </c>
      <c r="V270" t="s">
        <v>16</v>
      </c>
      <c r="W270" t="s">
        <v>17</v>
      </c>
      <c r="X270" t="s">
        <v>12</v>
      </c>
      <c r="Y270" t="s">
        <v>8</v>
      </c>
      <c r="Z270" t="s">
        <v>18</v>
      </c>
      <c r="AA270" t="s">
        <v>850</v>
      </c>
      <c r="AB270" t="s">
        <v>12</v>
      </c>
      <c r="AC270" t="s">
        <v>12</v>
      </c>
      <c r="AD270" t="s">
        <v>12</v>
      </c>
      <c r="AE270" s="2">
        <v>45736</v>
      </c>
      <c r="AF270" s="2"/>
      <c r="AG270" t="s">
        <v>12</v>
      </c>
    </row>
    <row r="271" spans="1:33" outlineLevel="2" x14ac:dyDescent="0.25">
      <c r="A271" t="s">
        <v>129</v>
      </c>
      <c r="B271" t="s">
        <v>1</v>
      </c>
      <c r="C271" t="s">
        <v>2</v>
      </c>
      <c r="D271" t="s">
        <v>3</v>
      </c>
      <c r="E271" t="s">
        <v>4</v>
      </c>
      <c r="F271" t="s">
        <v>243</v>
      </c>
      <c r="G271" s="2">
        <v>45736</v>
      </c>
      <c r="H271" t="s">
        <v>879</v>
      </c>
      <c r="I271" t="s">
        <v>22</v>
      </c>
      <c r="J271" s="2">
        <v>45736</v>
      </c>
      <c r="K271" s="2">
        <v>45736</v>
      </c>
      <c r="L271" t="s">
        <v>8</v>
      </c>
      <c r="M271" t="s">
        <v>880</v>
      </c>
      <c r="N271" t="s">
        <v>10</v>
      </c>
      <c r="O271" t="s">
        <v>11</v>
      </c>
      <c r="P271" t="s">
        <v>12</v>
      </c>
      <c r="Q271" t="s">
        <v>24</v>
      </c>
      <c r="R271" t="s">
        <v>14</v>
      </c>
      <c r="S271" s="3">
        <v>4.7</v>
      </c>
      <c r="T271" t="s">
        <v>15</v>
      </c>
      <c r="U271" s="3">
        <v>407.45</v>
      </c>
      <c r="V271" t="s">
        <v>16</v>
      </c>
      <c r="W271" t="s">
        <v>17</v>
      </c>
      <c r="X271" t="s">
        <v>12</v>
      </c>
      <c r="Y271" t="s">
        <v>8</v>
      </c>
      <c r="Z271" t="s">
        <v>18</v>
      </c>
      <c r="AA271" t="s">
        <v>850</v>
      </c>
      <c r="AB271" t="s">
        <v>12</v>
      </c>
      <c r="AC271" t="s">
        <v>12</v>
      </c>
      <c r="AD271" t="s">
        <v>12</v>
      </c>
      <c r="AE271" s="2">
        <v>45736</v>
      </c>
      <c r="AF271" s="2"/>
      <c r="AG271" t="s">
        <v>12</v>
      </c>
    </row>
    <row r="272" spans="1:33" outlineLevel="2" x14ac:dyDescent="0.25">
      <c r="A272" t="s">
        <v>129</v>
      </c>
      <c r="B272" t="s">
        <v>1</v>
      </c>
      <c r="C272" t="s">
        <v>2</v>
      </c>
      <c r="D272" t="s">
        <v>3</v>
      </c>
      <c r="E272" t="s">
        <v>4</v>
      </c>
      <c r="F272" t="s">
        <v>243</v>
      </c>
      <c r="G272" s="2">
        <v>45736</v>
      </c>
      <c r="H272" t="s">
        <v>881</v>
      </c>
      <c r="I272" t="s">
        <v>22</v>
      </c>
      <c r="J272" s="2">
        <v>45736</v>
      </c>
      <c r="K272" s="2">
        <v>45736</v>
      </c>
      <c r="L272" t="s">
        <v>8</v>
      </c>
      <c r="M272" t="s">
        <v>882</v>
      </c>
      <c r="N272" t="s">
        <v>10</v>
      </c>
      <c r="O272" t="s">
        <v>11</v>
      </c>
      <c r="P272" t="s">
        <v>12</v>
      </c>
      <c r="Q272" t="s">
        <v>24</v>
      </c>
      <c r="R272" t="s">
        <v>14</v>
      </c>
      <c r="S272" s="3">
        <v>216.2</v>
      </c>
      <c r="T272" t="s">
        <v>15</v>
      </c>
      <c r="U272" s="3">
        <v>18742.650000000001</v>
      </c>
      <c r="V272" t="s">
        <v>16</v>
      </c>
      <c r="W272" t="s">
        <v>17</v>
      </c>
      <c r="X272" t="s">
        <v>12</v>
      </c>
      <c r="Y272" t="s">
        <v>8</v>
      </c>
      <c r="Z272" t="s">
        <v>18</v>
      </c>
      <c r="AA272" t="s">
        <v>883</v>
      </c>
      <c r="AB272" t="s">
        <v>12</v>
      </c>
      <c r="AC272" t="s">
        <v>12</v>
      </c>
      <c r="AD272" t="s">
        <v>12</v>
      </c>
      <c r="AE272" s="2">
        <v>45736</v>
      </c>
      <c r="AF272" s="2"/>
      <c r="AG272" t="s">
        <v>12</v>
      </c>
    </row>
    <row r="273" spans="1:33" outlineLevel="2" x14ac:dyDescent="0.25">
      <c r="A273" t="s">
        <v>129</v>
      </c>
      <c r="B273" t="s">
        <v>1</v>
      </c>
      <c r="C273" t="s">
        <v>2</v>
      </c>
      <c r="D273" t="s">
        <v>3</v>
      </c>
      <c r="E273" t="s">
        <v>4</v>
      </c>
      <c r="F273" t="s">
        <v>243</v>
      </c>
      <c r="G273" s="2">
        <v>45736</v>
      </c>
      <c r="H273" t="s">
        <v>884</v>
      </c>
      <c r="I273" t="s">
        <v>22</v>
      </c>
      <c r="J273" s="2">
        <v>45736</v>
      </c>
      <c r="K273" s="2">
        <v>45736</v>
      </c>
      <c r="L273" t="s">
        <v>8</v>
      </c>
      <c r="M273" t="s">
        <v>885</v>
      </c>
      <c r="N273" t="s">
        <v>10</v>
      </c>
      <c r="O273" t="s">
        <v>11</v>
      </c>
      <c r="P273" t="s">
        <v>12</v>
      </c>
      <c r="Q273" t="s">
        <v>24</v>
      </c>
      <c r="R273" t="s">
        <v>14</v>
      </c>
      <c r="S273" s="3">
        <v>152.75</v>
      </c>
      <c r="T273" t="s">
        <v>15</v>
      </c>
      <c r="U273" s="3">
        <v>13242.09</v>
      </c>
      <c r="V273" t="s">
        <v>16</v>
      </c>
      <c r="W273" t="s">
        <v>17</v>
      </c>
      <c r="X273" t="s">
        <v>12</v>
      </c>
      <c r="Y273" t="s">
        <v>8</v>
      </c>
      <c r="Z273" t="s">
        <v>18</v>
      </c>
      <c r="AA273" t="s">
        <v>886</v>
      </c>
      <c r="AB273" t="s">
        <v>12</v>
      </c>
      <c r="AC273" t="s">
        <v>12</v>
      </c>
      <c r="AD273" t="s">
        <v>12</v>
      </c>
      <c r="AE273" s="2">
        <v>45736</v>
      </c>
      <c r="AF273" s="2"/>
      <c r="AG273" t="s">
        <v>12</v>
      </c>
    </row>
    <row r="274" spans="1:33" outlineLevel="2" x14ac:dyDescent="0.25">
      <c r="A274" t="s">
        <v>129</v>
      </c>
      <c r="B274" t="s">
        <v>1</v>
      </c>
      <c r="C274" t="s">
        <v>2</v>
      </c>
      <c r="D274" t="s">
        <v>3</v>
      </c>
      <c r="E274" t="s">
        <v>4</v>
      </c>
      <c r="F274" t="s">
        <v>243</v>
      </c>
      <c r="G274" s="2">
        <v>45736</v>
      </c>
      <c r="H274" t="s">
        <v>887</v>
      </c>
      <c r="I274" t="s">
        <v>22</v>
      </c>
      <c r="J274" s="2">
        <v>45736</v>
      </c>
      <c r="K274" s="2">
        <v>45736</v>
      </c>
      <c r="L274" t="s">
        <v>8</v>
      </c>
      <c r="M274" t="s">
        <v>888</v>
      </c>
      <c r="N274" t="s">
        <v>10</v>
      </c>
      <c r="O274" t="s">
        <v>11</v>
      </c>
      <c r="P274" t="s">
        <v>12</v>
      </c>
      <c r="Q274" t="s">
        <v>24</v>
      </c>
      <c r="R274" t="s">
        <v>14</v>
      </c>
      <c r="S274" s="3">
        <v>2.35</v>
      </c>
      <c r="T274" t="s">
        <v>15</v>
      </c>
      <c r="U274" s="3">
        <v>203.72</v>
      </c>
      <c r="V274" t="s">
        <v>16</v>
      </c>
      <c r="W274" t="s">
        <v>17</v>
      </c>
      <c r="X274" t="s">
        <v>12</v>
      </c>
      <c r="Y274" t="s">
        <v>8</v>
      </c>
      <c r="Z274" t="s">
        <v>18</v>
      </c>
      <c r="AA274" t="s">
        <v>850</v>
      </c>
      <c r="AB274" t="s">
        <v>12</v>
      </c>
      <c r="AC274" t="s">
        <v>12</v>
      </c>
      <c r="AD274" t="s">
        <v>12</v>
      </c>
      <c r="AE274" s="2">
        <v>45736</v>
      </c>
      <c r="AF274" s="2"/>
      <c r="AG274" t="s">
        <v>12</v>
      </c>
    </row>
    <row r="275" spans="1:33" outlineLevel="2" x14ac:dyDescent="0.25">
      <c r="A275" t="s">
        <v>129</v>
      </c>
      <c r="B275" t="s">
        <v>1</v>
      </c>
      <c r="C275" t="s">
        <v>2</v>
      </c>
      <c r="D275" t="s">
        <v>3</v>
      </c>
      <c r="E275" t="s">
        <v>4</v>
      </c>
      <c r="F275" t="s">
        <v>243</v>
      </c>
      <c r="G275" s="2">
        <v>45736</v>
      </c>
      <c r="H275" t="s">
        <v>889</v>
      </c>
      <c r="I275" t="s">
        <v>22</v>
      </c>
      <c r="J275" s="2">
        <v>45736</v>
      </c>
      <c r="K275" s="2">
        <v>45736</v>
      </c>
      <c r="L275" t="s">
        <v>8</v>
      </c>
      <c r="M275" t="s">
        <v>890</v>
      </c>
      <c r="N275" t="s">
        <v>10</v>
      </c>
      <c r="O275" t="s">
        <v>11</v>
      </c>
      <c r="P275" t="s">
        <v>12</v>
      </c>
      <c r="Q275" t="s">
        <v>24</v>
      </c>
      <c r="R275" t="s">
        <v>14</v>
      </c>
      <c r="S275" s="3">
        <v>42.3</v>
      </c>
      <c r="T275" t="s">
        <v>15</v>
      </c>
      <c r="U275" s="3">
        <v>3667.04</v>
      </c>
      <c r="V275" t="s">
        <v>16</v>
      </c>
      <c r="W275" t="s">
        <v>17</v>
      </c>
      <c r="X275" t="s">
        <v>12</v>
      </c>
      <c r="Y275" t="s">
        <v>8</v>
      </c>
      <c r="Z275" t="s">
        <v>18</v>
      </c>
      <c r="AA275" t="s">
        <v>850</v>
      </c>
      <c r="AB275" t="s">
        <v>12</v>
      </c>
      <c r="AC275" t="s">
        <v>12</v>
      </c>
      <c r="AD275" t="s">
        <v>12</v>
      </c>
      <c r="AE275" s="2">
        <v>45736</v>
      </c>
      <c r="AF275" s="2"/>
      <c r="AG275" t="s">
        <v>12</v>
      </c>
    </row>
    <row r="276" spans="1:33" outlineLevel="2" x14ac:dyDescent="0.25">
      <c r="A276" t="s">
        <v>129</v>
      </c>
      <c r="B276" t="s">
        <v>1</v>
      </c>
      <c r="C276" t="s">
        <v>2</v>
      </c>
      <c r="D276" t="s">
        <v>3</v>
      </c>
      <c r="E276" t="s">
        <v>4</v>
      </c>
      <c r="F276" t="s">
        <v>243</v>
      </c>
      <c r="G276" s="2">
        <v>45736</v>
      </c>
      <c r="H276" t="s">
        <v>891</v>
      </c>
      <c r="I276" t="s">
        <v>22</v>
      </c>
      <c r="J276" s="2">
        <v>45736</v>
      </c>
      <c r="K276" s="2">
        <v>45736</v>
      </c>
      <c r="L276" t="s">
        <v>8</v>
      </c>
      <c r="M276" t="s">
        <v>892</v>
      </c>
      <c r="N276" t="s">
        <v>10</v>
      </c>
      <c r="O276" t="s">
        <v>11</v>
      </c>
      <c r="P276" t="s">
        <v>12</v>
      </c>
      <c r="Q276" t="s">
        <v>24</v>
      </c>
      <c r="R276" t="s">
        <v>14</v>
      </c>
      <c r="S276" s="3">
        <v>84.6</v>
      </c>
      <c r="T276" t="s">
        <v>15</v>
      </c>
      <c r="U276" s="3">
        <v>7334.08</v>
      </c>
      <c r="V276" t="s">
        <v>16</v>
      </c>
      <c r="W276" t="s">
        <v>17</v>
      </c>
      <c r="X276" t="s">
        <v>12</v>
      </c>
      <c r="Y276" t="s">
        <v>8</v>
      </c>
      <c r="Z276" t="s">
        <v>18</v>
      </c>
      <c r="AA276" t="s">
        <v>850</v>
      </c>
      <c r="AB276" t="s">
        <v>12</v>
      </c>
      <c r="AC276" t="s">
        <v>12</v>
      </c>
      <c r="AD276" t="s">
        <v>12</v>
      </c>
      <c r="AE276" s="2">
        <v>45736</v>
      </c>
      <c r="AF276" s="2"/>
      <c r="AG276" t="s">
        <v>12</v>
      </c>
    </row>
    <row r="277" spans="1:33" outlineLevel="2" x14ac:dyDescent="0.25">
      <c r="A277" t="s">
        <v>129</v>
      </c>
      <c r="B277" t="s">
        <v>1</v>
      </c>
      <c r="C277" t="s">
        <v>2</v>
      </c>
      <c r="D277" t="s">
        <v>3</v>
      </c>
      <c r="E277" t="s">
        <v>4</v>
      </c>
      <c r="F277" t="s">
        <v>243</v>
      </c>
      <c r="G277" s="2">
        <v>45736</v>
      </c>
      <c r="H277" t="s">
        <v>893</v>
      </c>
      <c r="I277" t="s">
        <v>22</v>
      </c>
      <c r="J277" s="2">
        <v>45736</v>
      </c>
      <c r="K277" s="2">
        <v>45736</v>
      </c>
      <c r="L277" t="s">
        <v>8</v>
      </c>
      <c r="M277" t="s">
        <v>894</v>
      </c>
      <c r="N277" t="s">
        <v>10</v>
      </c>
      <c r="O277" t="s">
        <v>11</v>
      </c>
      <c r="P277" t="s">
        <v>12</v>
      </c>
      <c r="Q277" t="s">
        <v>24</v>
      </c>
      <c r="R277" t="s">
        <v>14</v>
      </c>
      <c r="S277" s="3">
        <v>79.900000000000006</v>
      </c>
      <c r="T277" t="s">
        <v>15</v>
      </c>
      <c r="U277" s="3">
        <v>6926.63</v>
      </c>
      <c r="V277" t="s">
        <v>16</v>
      </c>
      <c r="W277" t="s">
        <v>17</v>
      </c>
      <c r="X277" t="s">
        <v>12</v>
      </c>
      <c r="Y277" t="s">
        <v>8</v>
      </c>
      <c r="Z277" t="s">
        <v>18</v>
      </c>
      <c r="AA277" t="s">
        <v>850</v>
      </c>
      <c r="AB277" t="s">
        <v>12</v>
      </c>
      <c r="AC277" t="s">
        <v>12</v>
      </c>
      <c r="AD277" t="s">
        <v>12</v>
      </c>
      <c r="AE277" s="2">
        <v>45736</v>
      </c>
      <c r="AF277" s="2"/>
      <c r="AG277" t="s">
        <v>12</v>
      </c>
    </row>
    <row r="278" spans="1:33" outlineLevel="2" x14ac:dyDescent="0.25">
      <c r="A278" t="s">
        <v>129</v>
      </c>
      <c r="B278" t="s">
        <v>1</v>
      </c>
      <c r="C278" t="s">
        <v>2</v>
      </c>
      <c r="D278" t="s">
        <v>3</v>
      </c>
      <c r="E278" t="s">
        <v>4</v>
      </c>
      <c r="F278" t="s">
        <v>243</v>
      </c>
      <c r="G278" s="2">
        <v>45736</v>
      </c>
      <c r="H278" t="s">
        <v>895</v>
      </c>
      <c r="I278" t="s">
        <v>22</v>
      </c>
      <c r="J278" s="2">
        <v>45736</v>
      </c>
      <c r="K278" s="2">
        <v>45736</v>
      </c>
      <c r="L278" t="s">
        <v>8</v>
      </c>
      <c r="M278" t="s">
        <v>896</v>
      </c>
      <c r="N278" t="s">
        <v>10</v>
      </c>
      <c r="O278" t="s">
        <v>11</v>
      </c>
      <c r="P278" t="s">
        <v>12</v>
      </c>
      <c r="Q278" t="s">
        <v>24</v>
      </c>
      <c r="R278" t="s">
        <v>14</v>
      </c>
      <c r="S278" s="3">
        <v>2.35</v>
      </c>
      <c r="T278" t="s">
        <v>15</v>
      </c>
      <c r="U278" s="3">
        <v>203.72</v>
      </c>
      <c r="V278" t="s">
        <v>16</v>
      </c>
      <c r="W278" t="s">
        <v>17</v>
      </c>
      <c r="X278" t="s">
        <v>12</v>
      </c>
      <c r="Y278" t="s">
        <v>8</v>
      </c>
      <c r="Z278" t="s">
        <v>18</v>
      </c>
      <c r="AA278" t="s">
        <v>850</v>
      </c>
      <c r="AB278" t="s">
        <v>12</v>
      </c>
      <c r="AC278" t="s">
        <v>12</v>
      </c>
      <c r="AD278" t="s">
        <v>12</v>
      </c>
      <c r="AE278" s="2">
        <v>45736</v>
      </c>
      <c r="AF278" s="2"/>
      <c r="AG278" t="s">
        <v>12</v>
      </c>
    </row>
    <row r="279" spans="1:33" outlineLevel="2" x14ac:dyDescent="0.25">
      <c r="A279" t="s">
        <v>129</v>
      </c>
      <c r="B279" t="s">
        <v>1</v>
      </c>
      <c r="C279" t="s">
        <v>2</v>
      </c>
      <c r="D279" t="s">
        <v>3</v>
      </c>
      <c r="E279" t="s">
        <v>4</v>
      </c>
      <c r="F279" t="s">
        <v>243</v>
      </c>
      <c r="G279" s="2">
        <v>45736</v>
      </c>
      <c r="H279" t="s">
        <v>897</v>
      </c>
      <c r="I279" t="s">
        <v>22</v>
      </c>
      <c r="J279" s="2">
        <v>45736</v>
      </c>
      <c r="K279" s="2">
        <v>45736</v>
      </c>
      <c r="L279" t="s">
        <v>8</v>
      </c>
      <c r="M279" t="s">
        <v>898</v>
      </c>
      <c r="N279" t="s">
        <v>10</v>
      </c>
      <c r="O279" t="s">
        <v>11</v>
      </c>
      <c r="P279" t="s">
        <v>12</v>
      </c>
      <c r="Q279" t="s">
        <v>24</v>
      </c>
      <c r="R279" t="s">
        <v>14</v>
      </c>
      <c r="S279" s="3">
        <v>42.3</v>
      </c>
      <c r="T279" t="s">
        <v>15</v>
      </c>
      <c r="U279" s="3">
        <v>3667.04</v>
      </c>
      <c r="V279" t="s">
        <v>16</v>
      </c>
      <c r="W279" t="s">
        <v>17</v>
      </c>
      <c r="X279" t="s">
        <v>12</v>
      </c>
      <c r="Y279" t="s">
        <v>8</v>
      </c>
      <c r="Z279" t="s">
        <v>18</v>
      </c>
      <c r="AA279" t="s">
        <v>850</v>
      </c>
      <c r="AB279" t="s">
        <v>12</v>
      </c>
      <c r="AC279" t="s">
        <v>12</v>
      </c>
      <c r="AD279" t="s">
        <v>12</v>
      </c>
      <c r="AE279" s="2">
        <v>45736</v>
      </c>
      <c r="AF279" s="2"/>
      <c r="AG279" t="s">
        <v>12</v>
      </c>
    </row>
    <row r="280" spans="1:33" outlineLevel="2" x14ac:dyDescent="0.25">
      <c r="A280" t="s">
        <v>129</v>
      </c>
      <c r="B280" t="s">
        <v>1</v>
      </c>
      <c r="C280" t="s">
        <v>2</v>
      </c>
      <c r="D280" t="s">
        <v>3</v>
      </c>
      <c r="E280" t="s">
        <v>4</v>
      </c>
      <c r="F280" t="s">
        <v>243</v>
      </c>
      <c r="G280" s="2">
        <v>45736</v>
      </c>
      <c r="H280" t="s">
        <v>899</v>
      </c>
      <c r="I280" t="s">
        <v>22</v>
      </c>
      <c r="J280" s="2">
        <v>45736</v>
      </c>
      <c r="K280" s="2">
        <v>45736</v>
      </c>
      <c r="L280" t="s">
        <v>8</v>
      </c>
      <c r="M280" t="s">
        <v>900</v>
      </c>
      <c r="N280" t="s">
        <v>10</v>
      </c>
      <c r="O280" t="s">
        <v>11</v>
      </c>
      <c r="P280" t="s">
        <v>12</v>
      </c>
      <c r="Q280" t="s">
        <v>24</v>
      </c>
      <c r="R280" t="s">
        <v>14</v>
      </c>
      <c r="S280" s="3">
        <v>21.15</v>
      </c>
      <c r="T280" t="s">
        <v>15</v>
      </c>
      <c r="U280" s="3">
        <v>1833.52</v>
      </c>
      <c r="V280" t="s">
        <v>16</v>
      </c>
      <c r="W280" t="s">
        <v>17</v>
      </c>
      <c r="X280" t="s">
        <v>12</v>
      </c>
      <c r="Y280" t="s">
        <v>8</v>
      </c>
      <c r="Z280" t="s">
        <v>18</v>
      </c>
      <c r="AA280" t="s">
        <v>850</v>
      </c>
      <c r="AB280" t="s">
        <v>12</v>
      </c>
      <c r="AC280" t="s">
        <v>12</v>
      </c>
      <c r="AD280" t="s">
        <v>12</v>
      </c>
      <c r="AE280" s="2">
        <v>45736</v>
      </c>
      <c r="AF280" s="2"/>
      <c r="AG280" t="s">
        <v>12</v>
      </c>
    </row>
    <row r="281" spans="1:33" outlineLevel="2" x14ac:dyDescent="0.25">
      <c r="A281" t="s">
        <v>129</v>
      </c>
      <c r="B281" t="s">
        <v>1</v>
      </c>
      <c r="C281" t="s">
        <v>2</v>
      </c>
      <c r="D281" t="s">
        <v>3</v>
      </c>
      <c r="E281" t="s">
        <v>4</v>
      </c>
      <c r="F281" t="s">
        <v>243</v>
      </c>
      <c r="G281" s="2">
        <v>45736</v>
      </c>
      <c r="H281" t="s">
        <v>901</v>
      </c>
      <c r="I281" t="s">
        <v>22</v>
      </c>
      <c r="J281" s="2">
        <v>45736</v>
      </c>
      <c r="K281" s="2">
        <v>45736</v>
      </c>
      <c r="L281" t="s">
        <v>8</v>
      </c>
      <c r="M281" t="s">
        <v>902</v>
      </c>
      <c r="N281" t="s">
        <v>10</v>
      </c>
      <c r="O281" t="s">
        <v>11</v>
      </c>
      <c r="P281" t="s">
        <v>12</v>
      </c>
      <c r="Q281" t="s">
        <v>24</v>
      </c>
      <c r="R281" t="s">
        <v>14</v>
      </c>
      <c r="S281" s="3">
        <v>7.05</v>
      </c>
      <c r="T281" t="s">
        <v>15</v>
      </c>
      <c r="U281" s="3">
        <v>611.16999999999996</v>
      </c>
      <c r="V281" t="s">
        <v>16</v>
      </c>
      <c r="W281" t="s">
        <v>17</v>
      </c>
      <c r="X281" t="s">
        <v>12</v>
      </c>
      <c r="Y281" t="s">
        <v>8</v>
      </c>
      <c r="Z281" t="s">
        <v>18</v>
      </c>
      <c r="AA281" t="s">
        <v>850</v>
      </c>
      <c r="AB281" t="s">
        <v>12</v>
      </c>
      <c r="AC281" t="s">
        <v>12</v>
      </c>
      <c r="AD281" t="s">
        <v>12</v>
      </c>
      <c r="AE281" s="2">
        <v>45736</v>
      </c>
      <c r="AF281" s="2"/>
      <c r="AG281" t="s">
        <v>12</v>
      </c>
    </row>
    <row r="282" spans="1:33" outlineLevel="2" x14ac:dyDescent="0.25">
      <c r="A282" t="s">
        <v>129</v>
      </c>
      <c r="B282" t="s">
        <v>1</v>
      </c>
      <c r="C282" t="s">
        <v>2</v>
      </c>
      <c r="D282" t="s">
        <v>3</v>
      </c>
      <c r="E282" t="s">
        <v>4</v>
      </c>
      <c r="F282" t="s">
        <v>243</v>
      </c>
      <c r="G282" s="2">
        <v>45736</v>
      </c>
      <c r="H282" t="s">
        <v>903</v>
      </c>
      <c r="I282" t="s">
        <v>22</v>
      </c>
      <c r="J282" s="2">
        <v>45736</v>
      </c>
      <c r="K282" s="2">
        <v>45736</v>
      </c>
      <c r="L282" t="s">
        <v>8</v>
      </c>
      <c r="M282" t="s">
        <v>904</v>
      </c>
      <c r="N282" t="s">
        <v>10</v>
      </c>
      <c r="O282" t="s">
        <v>11</v>
      </c>
      <c r="P282" t="s">
        <v>12</v>
      </c>
      <c r="Q282" t="s">
        <v>24</v>
      </c>
      <c r="R282" t="s">
        <v>14</v>
      </c>
      <c r="S282" s="3">
        <v>84.6</v>
      </c>
      <c r="T282" t="s">
        <v>15</v>
      </c>
      <c r="U282" s="3">
        <v>7334.08</v>
      </c>
      <c r="V282" t="s">
        <v>16</v>
      </c>
      <c r="W282" t="s">
        <v>17</v>
      </c>
      <c r="X282" t="s">
        <v>12</v>
      </c>
      <c r="Y282" t="s">
        <v>8</v>
      </c>
      <c r="Z282" t="s">
        <v>18</v>
      </c>
      <c r="AA282" t="s">
        <v>850</v>
      </c>
      <c r="AB282" t="s">
        <v>12</v>
      </c>
      <c r="AC282" t="s">
        <v>12</v>
      </c>
      <c r="AD282" t="s">
        <v>12</v>
      </c>
      <c r="AE282" s="2">
        <v>45736</v>
      </c>
      <c r="AF282" s="2"/>
      <c r="AG282" t="s">
        <v>12</v>
      </c>
    </row>
    <row r="283" spans="1:33" outlineLevel="2" x14ac:dyDescent="0.25">
      <c r="A283" t="s">
        <v>129</v>
      </c>
      <c r="B283" t="s">
        <v>1</v>
      </c>
      <c r="C283" t="s">
        <v>2</v>
      </c>
      <c r="D283" t="s">
        <v>3</v>
      </c>
      <c r="E283" t="s">
        <v>4</v>
      </c>
      <c r="F283" t="s">
        <v>243</v>
      </c>
      <c r="G283" s="2">
        <v>45736</v>
      </c>
      <c r="H283" t="s">
        <v>905</v>
      </c>
      <c r="I283" t="s">
        <v>22</v>
      </c>
      <c r="J283" s="2">
        <v>45736</v>
      </c>
      <c r="K283" s="2">
        <v>45736</v>
      </c>
      <c r="L283" t="s">
        <v>8</v>
      </c>
      <c r="M283" t="s">
        <v>906</v>
      </c>
      <c r="N283" t="s">
        <v>10</v>
      </c>
      <c r="O283" t="s">
        <v>11</v>
      </c>
      <c r="P283" t="s">
        <v>12</v>
      </c>
      <c r="Q283" t="s">
        <v>24</v>
      </c>
      <c r="R283" t="s">
        <v>14</v>
      </c>
      <c r="S283" s="3">
        <v>2.35</v>
      </c>
      <c r="T283" t="s">
        <v>15</v>
      </c>
      <c r="U283" s="3">
        <v>203.72</v>
      </c>
      <c r="V283" t="s">
        <v>16</v>
      </c>
      <c r="W283" t="s">
        <v>17</v>
      </c>
      <c r="X283" t="s">
        <v>12</v>
      </c>
      <c r="Y283" t="s">
        <v>8</v>
      </c>
      <c r="Z283" t="s">
        <v>18</v>
      </c>
      <c r="AA283" t="s">
        <v>850</v>
      </c>
      <c r="AB283" t="s">
        <v>12</v>
      </c>
      <c r="AC283" t="s">
        <v>12</v>
      </c>
      <c r="AD283" t="s">
        <v>12</v>
      </c>
      <c r="AE283" s="2">
        <v>45736</v>
      </c>
      <c r="AF283" s="2"/>
      <c r="AG283" t="s">
        <v>12</v>
      </c>
    </row>
    <row r="284" spans="1:33" outlineLevel="2" x14ac:dyDescent="0.25">
      <c r="A284" t="s">
        <v>129</v>
      </c>
      <c r="B284" t="s">
        <v>1</v>
      </c>
      <c r="C284" t="s">
        <v>2</v>
      </c>
      <c r="D284" t="s">
        <v>3</v>
      </c>
      <c r="E284" t="s">
        <v>4</v>
      </c>
      <c r="F284" t="s">
        <v>243</v>
      </c>
      <c r="G284" s="2">
        <v>45736</v>
      </c>
      <c r="H284" t="s">
        <v>907</v>
      </c>
      <c r="I284" t="s">
        <v>22</v>
      </c>
      <c r="J284" s="2">
        <v>45736</v>
      </c>
      <c r="K284" s="2">
        <v>45736</v>
      </c>
      <c r="L284" t="s">
        <v>8</v>
      </c>
      <c r="M284" t="s">
        <v>908</v>
      </c>
      <c r="N284" t="s">
        <v>10</v>
      </c>
      <c r="O284" t="s">
        <v>11</v>
      </c>
      <c r="P284" t="s">
        <v>12</v>
      </c>
      <c r="Q284" t="s">
        <v>24</v>
      </c>
      <c r="R284" t="s">
        <v>14</v>
      </c>
      <c r="S284" s="3">
        <v>37.6</v>
      </c>
      <c r="T284" t="s">
        <v>15</v>
      </c>
      <c r="U284" s="3">
        <v>3259.59</v>
      </c>
      <c r="V284" t="s">
        <v>16</v>
      </c>
      <c r="W284" t="s">
        <v>17</v>
      </c>
      <c r="X284" t="s">
        <v>12</v>
      </c>
      <c r="Y284" t="s">
        <v>8</v>
      </c>
      <c r="Z284" t="s">
        <v>18</v>
      </c>
      <c r="AA284" t="s">
        <v>850</v>
      </c>
      <c r="AB284" t="s">
        <v>12</v>
      </c>
      <c r="AC284" t="s">
        <v>12</v>
      </c>
      <c r="AD284" t="s">
        <v>12</v>
      </c>
      <c r="AE284" s="2">
        <v>45736</v>
      </c>
      <c r="AF284" s="2"/>
      <c r="AG284" t="s">
        <v>12</v>
      </c>
    </row>
    <row r="285" spans="1:33" outlineLevel="2" x14ac:dyDescent="0.25">
      <c r="A285" t="s">
        <v>129</v>
      </c>
      <c r="B285" t="s">
        <v>1</v>
      </c>
      <c r="C285" t="s">
        <v>2</v>
      </c>
      <c r="D285" t="s">
        <v>3</v>
      </c>
      <c r="E285" t="s">
        <v>4</v>
      </c>
      <c r="F285" t="s">
        <v>243</v>
      </c>
      <c r="G285" s="2">
        <v>45736</v>
      </c>
      <c r="H285" t="s">
        <v>909</v>
      </c>
      <c r="I285" t="s">
        <v>22</v>
      </c>
      <c r="J285" s="2">
        <v>45736</v>
      </c>
      <c r="K285" s="2">
        <v>45736</v>
      </c>
      <c r="L285" t="s">
        <v>8</v>
      </c>
      <c r="M285" t="s">
        <v>910</v>
      </c>
      <c r="N285" t="s">
        <v>10</v>
      </c>
      <c r="O285" t="s">
        <v>11</v>
      </c>
      <c r="P285" t="s">
        <v>12</v>
      </c>
      <c r="Q285" t="s">
        <v>24</v>
      </c>
      <c r="R285" t="s">
        <v>14</v>
      </c>
      <c r="S285" s="3">
        <v>2.35</v>
      </c>
      <c r="T285" t="s">
        <v>15</v>
      </c>
      <c r="U285" s="3">
        <v>203.72</v>
      </c>
      <c r="V285" t="s">
        <v>16</v>
      </c>
      <c r="W285" t="s">
        <v>17</v>
      </c>
      <c r="X285" t="s">
        <v>12</v>
      </c>
      <c r="Y285" t="s">
        <v>8</v>
      </c>
      <c r="Z285" t="s">
        <v>18</v>
      </c>
      <c r="AA285" t="s">
        <v>157</v>
      </c>
      <c r="AB285" t="s">
        <v>12</v>
      </c>
      <c r="AC285" t="s">
        <v>12</v>
      </c>
      <c r="AD285" t="s">
        <v>12</v>
      </c>
      <c r="AE285" s="2">
        <v>45736</v>
      </c>
      <c r="AF285" s="2"/>
      <c r="AG285" t="s">
        <v>12</v>
      </c>
    </row>
    <row r="286" spans="1:33" outlineLevel="2" x14ac:dyDescent="0.25">
      <c r="A286" t="s">
        <v>129</v>
      </c>
      <c r="B286" t="s">
        <v>1</v>
      </c>
      <c r="C286" t="s">
        <v>2</v>
      </c>
      <c r="D286" t="s">
        <v>3</v>
      </c>
      <c r="E286" t="s">
        <v>4</v>
      </c>
      <c r="F286" t="s">
        <v>243</v>
      </c>
      <c r="G286" s="2">
        <v>45736</v>
      </c>
      <c r="H286" t="s">
        <v>911</v>
      </c>
      <c r="I286" t="s">
        <v>22</v>
      </c>
      <c r="J286" s="2">
        <v>45736</v>
      </c>
      <c r="K286" s="2">
        <v>45736</v>
      </c>
      <c r="L286" t="s">
        <v>8</v>
      </c>
      <c r="M286" t="s">
        <v>912</v>
      </c>
      <c r="N286" t="s">
        <v>10</v>
      </c>
      <c r="O286" t="s">
        <v>11</v>
      </c>
      <c r="P286" t="s">
        <v>12</v>
      </c>
      <c r="Q286" t="s">
        <v>24</v>
      </c>
      <c r="R286" t="s">
        <v>14</v>
      </c>
      <c r="S286" s="3">
        <v>7.05</v>
      </c>
      <c r="T286" t="s">
        <v>15</v>
      </c>
      <c r="U286" s="3">
        <v>611.16999999999996</v>
      </c>
      <c r="V286" t="s">
        <v>16</v>
      </c>
      <c r="W286" t="s">
        <v>17</v>
      </c>
      <c r="X286" t="s">
        <v>12</v>
      </c>
      <c r="Y286" t="s">
        <v>8</v>
      </c>
      <c r="Z286" t="s">
        <v>18</v>
      </c>
      <c r="AA286" t="s">
        <v>157</v>
      </c>
      <c r="AB286" t="s">
        <v>12</v>
      </c>
      <c r="AC286" t="s">
        <v>12</v>
      </c>
      <c r="AD286" t="s">
        <v>12</v>
      </c>
      <c r="AE286" s="2">
        <v>45736</v>
      </c>
      <c r="AF286" s="2"/>
      <c r="AG286" t="s">
        <v>12</v>
      </c>
    </row>
    <row r="287" spans="1:33" outlineLevel="2" x14ac:dyDescent="0.25">
      <c r="A287" t="s">
        <v>129</v>
      </c>
      <c r="B287" t="s">
        <v>1</v>
      </c>
      <c r="C287" t="s">
        <v>2</v>
      </c>
      <c r="D287" t="s">
        <v>3</v>
      </c>
      <c r="E287" t="s">
        <v>4</v>
      </c>
      <c r="F287" t="s">
        <v>243</v>
      </c>
      <c r="G287" s="2">
        <v>45736</v>
      </c>
      <c r="H287" t="s">
        <v>913</v>
      </c>
      <c r="I287" t="s">
        <v>22</v>
      </c>
      <c r="J287" s="2">
        <v>45736</v>
      </c>
      <c r="K287" s="2">
        <v>45736</v>
      </c>
      <c r="L287" t="s">
        <v>8</v>
      </c>
      <c r="M287" t="s">
        <v>914</v>
      </c>
      <c r="N287" t="s">
        <v>10</v>
      </c>
      <c r="O287" t="s">
        <v>11</v>
      </c>
      <c r="P287" t="s">
        <v>12</v>
      </c>
      <c r="Q287" t="s">
        <v>24</v>
      </c>
      <c r="R287" t="s">
        <v>14</v>
      </c>
      <c r="S287" s="3">
        <v>1926.06</v>
      </c>
      <c r="T287" t="s">
        <v>15</v>
      </c>
      <c r="U287" s="3">
        <v>166972.57</v>
      </c>
      <c r="V287" t="s">
        <v>16</v>
      </c>
      <c r="W287" t="s">
        <v>17</v>
      </c>
      <c r="X287" t="s">
        <v>12</v>
      </c>
      <c r="Y287" t="s">
        <v>8</v>
      </c>
      <c r="Z287" t="s">
        <v>18</v>
      </c>
      <c r="AA287" t="s">
        <v>915</v>
      </c>
      <c r="AB287" t="s">
        <v>12</v>
      </c>
      <c r="AC287" t="s">
        <v>12</v>
      </c>
      <c r="AD287" t="s">
        <v>12</v>
      </c>
      <c r="AE287" s="2">
        <v>45736</v>
      </c>
      <c r="AF287" s="2"/>
      <c r="AG287" t="s">
        <v>12</v>
      </c>
    </row>
    <row r="288" spans="1:33" outlineLevel="2" x14ac:dyDescent="0.25">
      <c r="A288" t="s">
        <v>129</v>
      </c>
      <c r="B288" t="s">
        <v>1</v>
      </c>
      <c r="C288" t="s">
        <v>2</v>
      </c>
      <c r="D288" t="s">
        <v>3</v>
      </c>
      <c r="E288" t="s">
        <v>4</v>
      </c>
      <c r="F288" t="s">
        <v>243</v>
      </c>
      <c r="G288" s="2">
        <v>45736</v>
      </c>
      <c r="H288" t="s">
        <v>916</v>
      </c>
      <c r="I288" t="s">
        <v>22</v>
      </c>
      <c r="J288" s="2">
        <v>45736</v>
      </c>
      <c r="K288" s="2">
        <v>45737</v>
      </c>
      <c r="L288" t="s">
        <v>8</v>
      </c>
      <c r="M288" t="s">
        <v>917</v>
      </c>
      <c r="N288" t="s">
        <v>10</v>
      </c>
      <c r="O288" t="s">
        <v>11</v>
      </c>
      <c r="P288" t="s">
        <v>12</v>
      </c>
      <c r="Q288" t="s">
        <v>24</v>
      </c>
      <c r="R288" t="s">
        <v>14</v>
      </c>
      <c r="S288" s="3">
        <v>531.9</v>
      </c>
      <c r="T288" t="s">
        <v>15</v>
      </c>
      <c r="U288" s="3">
        <v>46111.08</v>
      </c>
      <c r="V288" t="s">
        <v>16</v>
      </c>
      <c r="W288" t="s">
        <v>17</v>
      </c>
      <c r="X288" t="s">
        <v>12</v>
      </c>
      <c r="Y288" t="s">
        <v>8</v>
      </c>
      <c r="Z288" t="s">
        <v>18</v>
      </c>
      <c r="AA288" t="s">
        <v>918</v>
      </c>
      <c r="AB288" t="s">
        <v>12</v>
      </c>
      <c r="AC288" t="s">
        <v>12</v>
      </c>
      <c r="AD288" t="s">
        <v>12</v>
      </c>
      <c r="AE288" s="2">
        <v>45736</v>
      </c>
      <c r="AF288" s="2"/>
      <c r="AG288" t="s">
        <v>12</v>
      </c>
    </row>
    <row r="289" spans="1:33" outlineLevel="2" x14ac:dyDescent="0.25">
      <c r="A289" t="s">
        <v>129</v>
      </c>
      <c r="B289" t="s">
        <v>1</v>
      </c>
      <c r="C289" t="s">
        <v>2</v>
      </c>
      <c r="D289" t="s">
        <v>3</v>
      </c>
      <c r="E289" t="s">
        <v>4</v>
      </c>
      <c r="F289" t="s">
        <v>243</v>
      </c>
      <c r="G289" s="2">
        <v>45736</v>
      </c>
      <c r="H289" t="s">
        <v>919</v>
      </c>
      <c r="I289" t="s">
        <v>22</v>
      </c>
      <c r="J289" s="2">
        <v>45736</v>
      </c>
      <c r="K289" s="2">
        <v>45737</v>
      </c>
      <c r="L289" t="s">
        <v>8</v>
      </c>
      <c r="M289" t="s">
        <v>920</v>
      </c>
      <c r="N289" t="s">
        <v>10</v>
      </c>
      <c r="O289" t="s">
        <v>11</v>
      </c>
      <c r="P289" t="s">
        <v>12</v>
      </c>
      <c r="Q289" t="s">
        <v>24</v>
      </c>
      <c r="R289" t="s">
        <v>14</v>
      </c>
      <c r="S289" s="3">
        <v>10</v>
      </c>
      <c r="T289" t="s">
        <v>15</v>
      </c>
      <c r="U289" s="3">
        <v>866.91</v>
      </c>
      <c r="V289" t="s">
        <v>16</v>
      </c>
      <c r="W289" t="s">
        <v>17</v>
      </c>
      <c r="X289" t="s">
        <v>12</v>
      </c>
      <c r="Y289" t="s">
        <v>8</v>
      </c>
      <c r="Z289" t="s">
        <v>18</v>
      </c>
      <c r="AA289" t="s">
        <v>157</v>
      </c>
      <c r="AB289" t="s">
        <v>12</v>
      </c>
      <c r="AC289" t="s">
        <v>12</v>
      </c>
      <c r="AD289" t="s">
        <v>12</v>
      </c>
      <c r="AE289" s="2">
        <v>45736</v>
      </c>
      <c r="AF289" s="2"/>
      <c r="AG289" t="s">
        <v>12</v>
      </c>
    </row>
    <row r="290" spans="1:33" outlineLevel="2" x14ac:dyDescent="0.25">
      <c r="A290" t="s">
        <v>129</v>
      </c>
      <c r="B290" t="s">
        <v>1</v>
      </c>
      <c r="C290" t="s">
        <v>2</v>
      </c>
      <c r="D290" t="s">
        <v>3</v>
      </c>
      <c r="E290" t="s">
        <v>4</v>
      </c>
      <c r="F290" t="s">
        <v>243</v>
      </c>
      <c r="G290" s="2">
        <v>45736</v>
      </c>
      <c r="H290" t="s">
        <v>921</v>
      </c>
      <c r="I290" t="s">
        <v>22</v>
      </c>
      <c r="J290" s="2">
        <v>45736</v>
      </c>
      <c r="K290" s="2">
        <v>45737</v>
      </c>
      <c r="L290" t="s">
        <v>8</v>
      </c>
      <c r="M290" t="s">
        <v>922</v>
      </c>
      <c r="N290" t="s">
        <v>10</v>
      </c>
      <c r="O290" t="s">
        <v>11</v>
      </c>
      <c r="P290" t="s">
        <v>12</v>
      </c>
      <c r="Q290" t="s">
        <v>24</v>
      </c>
      <c r="R290" t="s">
        <v>14</v>
      </c>
      <c r="S290" s="3">
        <v>55</v>
      </c>
      <c r="T290" t="s">
        <v>15</v>
      </c>
      <c r="U290" s="3">
        <v>4768.0200000000004</v>
      </c>
      <c r="V290" t="s">
        <v>16</v>
      </c>
      <c r="W290" t="s">
        <v>17</v>
      </c>
      <c r="X290" t="s">
        <v>12</v>
      </c>
      <c r="Y290" t="s">
        <v>8</v>
      </c>
      <c r="Z290" t="s">
        <v>18</v>
      </c>
      <c r="AA290" t="s">
        <v>923</v>
      </c>
      <c r="AB290" t="s">
        <v>12</v>
      </c>
      <c r="AC290" t="s">
        <v>12</v>
      </c>
      <c r="AD290" t="s">
        <v>12</v>
      </c>
      <c r="AE290" s="2">
        <v>45736</v>
      </c>
      <c r="AF290" s="2"/>
      <c r="AG290" t="s">
        <v>12</v>
      </c>
    </row>
    <row r="291" spans="1:33" outlineLevel="2" x14ac:dyDescent="0.25">
      <c r="A291" t="s">
        <v>129</v>
      </c>
      <c r="B291" t="s">
        <v>1</v>
      </c>
      <c r="C291" t="s">
        <v>2</v>
      </c>
      <c r="D291" t="s">
        <v>3</v>
      </c>
      <c r="E291" t="s">
        <v>4</v>
      </c>
      <c r="F291" t="s">
        <v>243</v>
      </c>
      <c r="G291" s="2">
        <v>45736</v>
      </c>
      <c r="H291" t="s">
        <v>924</v>
      </c>
      <c r="I291" t="s">
        <v>22</v>
      </c>
      <c r="J291" s="2">
        <v>45736</v>
      </c>
      <c r="K291" s="2">
        <v>45737</v>
      </c>
      <c r="L291" t="s">
        <v>8</v>
      </c>
      <c r="M291" t="s">
        <v>925</v>
      </c>
      <c r="N291" t="s">
        <v>10</v>
      </c>
      <c r="O291" t="s">
        <v>11</v>
      </c>
      <c r="P291" t="s">
        <v>12</v>
      </c>
      <c r="Q291" t="s">
        <v>24</v>
      </c>
      <c r="R291" t="s">
        <v>14</v>
      </c>
      <c r="S291" s="3">
        <v>15</v>
      </c>
      <c r="T291" t="s">
        <v>15</v>
      </c>
      <c r="U291" s="3">
        <v>1300.3699999999999</v>
      </c>
      <c r="V291" t="s">
        <v>16</v>
      </c>
      <c r="W291" t="s">
        <v>17</v>
      </c>
      <c r="X291" t="s">
        <v>12</v>
      </c>
      <c r="Y291" t="s">
        <v>8</v>
      </c>
      <c r="Z291" t="s">
        <v>18</v>
      </c>
      <c r="AA291" t="s">
        <v>926</v>
      </c>
      <c r="AB291" t="s">
        <v>12</v>
      </c>
      <c r="AC291" t="s">
        <v>12</v>
      </c>
      <c r="AD291" t="s">
        <v>12</v>
      </c>
      <c r="AE291" s="2">
        <v>45736</v>
      </c>
      <c r="AF291" s="2"/>
      <c r="AG291" t="s">
        <v>12</v>
      </c>
    </row>
    <row r="292" spans="1:33" outlineLevel="2" x14ac:dyDescent="0.25">
      <c r="A292" t="s">
        <v>129</v>
      </c>
      <c r="B292" t="s">
        <v>1</v>
      </c>
      <c r="C292" t="s">
        <v>2</v>
      </c>
      <c r="D292" t="s">
        <v>3</v>
      </c>
      <c r="E292" t="s">
        <v>4</v>
      </c>
      <c r="F292" t="s">
        <v>243</v>
      </c>
      <c r="G292" s="2">
        <v>45736</v>
      </c>
      <c r="H292" t="s">
        <v>927</v>
      </c>
      <c r="I292" t="s">
        <v>22</v>
      </c>
      <c r="J292" s="2">
        <v>45736</v>
      </c>
      <c r="K292" s="2">
        <v>45737</v>
      </c>
      <c r="L292" t="s">
        <v>8</v>
      </c>
      <c r="M292" t="s">
        <v>928</v>
      </c>
      <c r="N292" t="s">
        <v>10</v>
      </c>
      <c r="O292" t="s">
        <v>11</v>
      </c>
      <c r="P292" t="s">
        <v>12</v>
      </c>
      <c r="Q292" t="s">
        <v>24</v>
      </c>
      <c r="R292" t="s">
        <v>14</v>
      </c>
      <c r="S292" s="3">
        <v>209.25</v>
      </c>
      <c r="T292" t="s">
        <v>15</v>
      </c>
      <c r="U292" s="3">
        <v>18140.150000000001</v>
      </c>
      <c r="V292" t="s">
        <v>16</v>
      </c>
      <c r="W292" t="s">
        <v>17</v>
      </c>
      <c r="X292" t="s">
        <v>12</v>
      </c>
      <c r="Y292" t="s">
        <v>8</v>
      </c>
      <c r="Z292" t="s">
        <v>18</v>
      </c>
      <c r="AA292" t="s">
        <v>929</v>
      </c>
      <c r="AB292" t="s">
        <v>12</v>
      </c>
      <c r="AC292" t="s">
        <v>12</v>
      </c>
      <c r="AD292" t="s">
        <v>12</v>
      </c>
      <c r="AE292" s="2">
        <v>45736</v>
      </c>
      <c r="AF292" s="2"/>
      <c r="AG292" t="s">
        <v>12</v>
      </c>
    </row>
    <row r="293" spans="1:33" outlineLevel="2" x14ac:dyDescent="0.25">
      <c r="A293" t="s">
        <v>129</v>
      </c>
      <c r="B293" t="s">
        <v>1</v>
      </c>
      <c r="C293" t="s">
        <v>2</v>
      </c>
      <c r="D293" t="s">
        <v>3</v>
      </c>
      <c r="E293" t="s">
        <v>4</v>
      </c>
      <c r="F293" t="s">
        <v>243</v>
      </c>
      <c r="G293" s="2">
        <v>45736</v>
      </c>
      <c r="H293" t="s">
        <v>930</v>
      </c>
      <c r="I293" t="s">
        <v>22</v>
      </c>
      <c r="J293" s="2">
        <v>45736</v>
      </c>
      <c r="K293" s="2">
        <v>45737</v>
      </c>
      <c r="L293" t="s">
        <v>8</v>
      </c>
      <c r="M293" t="s">
        <v>931</v>
      </c>
      <c r="N293" t="s">
        <v>10</v>
      </c>
      <c r="O293" t="s">
        <v>11</v>
      </c>
      <c r="P293" t="s">
        <v>12</v>
      </c>
      <c r="Q293" t="s">
        <v>24</v>
      </c>
      <c r="R293" t="s">
        <v>14</v>
      </c>
      <c r="S293" s="3">
        <v>31.73</v>
      </c>
      <c r="T293" t="s">
        <v>15</v>
      </c>
      <c r="U293" s="3">
        <v>2750.71</v>
      </c>
      <c r="V293" t="s">
        <v>16</v>
      </c>
      <c r="W293" t="s">
        <v>17</v>
      </c>
      <c r="X293" t="s">
        <v>12</v>
      </c>
      <c r="Y293" t="s">
        <v>8</v>
      </c>
      <c r="Z293" t="s">
        <v>18</v>
      </c>
      <c r="AA293" t="s">
        <v>932</v>
      </c>
      <c r="AB293" t="s">
        <v>12</v>
      </c>
      <c r="AC293" t="s">
        <v>12</v>
      </c>
      <c r="AD293" t="s">
        <v>12</v>
      </c>
      <c r="AE293" s="2">
        <v>45736</v>
      </c>
      <c r="AF293" s="2"/>
      <c r="AG293" t="s">
        <v>12</v>
      </c>
    </row>
    <row r="294" spans="1:33" outlineLevel="2" x14ac:dyDescent="0.25">
      <c r="A294" t="s">
        <v>129</v>
      </c>
      <c r="B294" t="s">
        <v>1</v>
      </c>
      <c r="C294" t="s">
        <v>2</v>
      </c>
      <c r="D294" t="s">
        <v>3</v>
      </c>
      <c r="E294" t="s">
        <v>4</v>
      </c>
      <c r="F294" t="s">
        <v>243</v>
      </c>
      <c r="G294" s="2">
        <v>45736</v>
      </c>
      <c r="H294" t="s">
        <v>933</v>
      </c>
      <c r="I294" t="s">
        <v>22</v>
      </c>
      <c r="J294" s="2">
        <v>45736</v>
      </c>
      <c r="K294" s="2">
        <v>45737</v>
      </c>
      <c r="L294" t="s">
        <v>8</v>
      </c>
      <c r="M294" t="s">
        <v>934</v>
      </c>
      <c r="N294" t="s">
        <v>10</v>
      </c>
      <c r="O294" t="s">
        <v>11</v>
      </c>
      <c r="P294" t="s">
        <v>12</v>
      </c>
      <c r="Q294" t="s">
        <v>24</v>
      </c>
      <c r="R294" t="s">
        <v>14</v>
      </c>
      <c r="S294" s="3">
        <v>15</v>
      </c>
      <c r="T294" t="s">
        <v>15</v>
      </c>
      <c r="U294" s="3">
        <v>1300.3699999999999</v>
      </c>
      <c r="V294" t="s">
        <v>16</v>
      </c>
      <c r="W294" t="s">
        <v>17</v>
      </c>
      <c r="X294" t="s">
        <v>12</v>
      </c>
      <c r="Y294" t="s">
        <v>8</v>
      </c>
      <c r="Z294" t="s">
        <v>18</v>
      </c>
      <c r="AA294" t="s">
        <v>935</v>
      </c>
      <c r="AB294" t="s">
        <v>12</v>
      </c>
      <c r="AC294" t="s">
        <v>12</v>
      </c>
      <c r="AD294" t="s">
        <v>12</v>
      </c>
      <c r="AE294" s="2">
        <v>45736</v>
      </c>
      <c r="AF294" s="2"/>
      <c r="AG294" t="s">
        <v>12</v>
      </c>
    </row>
    <row r="295" spans="1:33" outlineLevel="2" x14ac:dyDescent="0.25">
      <c r="A295" t="s">
        <v>129</v>
      </c>
      <c r="B295" t="s">
        <v>1</v>
      </c>
      <c r="C295" t="s">
        <v>2</v>
      </c>
      <c r="D295" t="s">
        <v>3</v>
      </c>
      <c r="E295" t="s">
        <v>4</v>
      </c>
      <c r="F295" t="s">
        <v>243</v>
      </c>
      <c r="G295" s="2">
        <v>45736</v>
      </c>
      <c r="H295" t="s">
        <v>936</v>
      </c>
      <c r="I295" t="s">
        <v>22</v>
      </c>
      <c r="J295" s="2">
        <v>45736</v>
      </c>
      <c r="K295" s="2">
        <v>45737</v>
      </c>
      <c r="L295" t="s">
        <v>8</v>
      </c>
      <c r="M295" t="s">
        <v>937</v>
      </c>
      <c r="N295" t="s">
        <v>10</v>
      </c>
      <c r="O295" t="s">
        <v>11</v>
      </c>
      <c r="P295" t="s">
        <v>12</v>
      </c>
      <c r="Q295" t="s">
        <v>24</v>
      </c>
      <c r="R295" t="s">
        <v>14</v>
      </c>
      <c r="S295" s="3">
        <v>2.5</v>
      </c>
      <c r="T295" t="s">
        <v>15</v>
      </c>
      <c r="U295" s="3">
        <v>216.73</v>
      </c>
      <c r="V295" t="s">
        <v>16</v>
      </c>
      <c r="W295" t="s">
        <v>17</v>
      </c>
      <c r="X295" t="s">
        <v>12</v>
      </c>
      <c r="Y295" t="s">
        <v>8</v>
      </c>
      <c r="Z295" t="s">
        <v>18</v>
      </c>
      <c r="AA295" t="s">
        <v>850</v>
      </c>
      <c r="AB295" t="s">
        <v>12</v>
      </c>
      <c r="AC295" t="s">
        <v>12</v>
      </c>
      <c r="AD295" t="s">
        <v>12</v>
      </c>
      <c r="AE295" s="2">
        <v>45736</v>
      </c>
      <c r="AF295" s="2"/>
      <c r="AG295" t="s">
        <v>12</v>
      </c>
    </row>
    <row r="296" spans="1:33" outlineLevel="2" x14ac:dyDescent="0.25">
      <c r="A296" t="s">
        <v>129</v>
      </c>
      <c r="B296" t="s">
        <v>1</v>
      </c>
      <c r="C296" t="s">
        <v>2</v>
      </c>
      <c r="D296" t="s">
        <v>3</v>
      </c>
      <c r="E296" t="s">
        <v>4</v>
      </c>
      <c r="F296" t="s">
        <v>243</v>
      </c>
      <c r="G296" s="2">
        <v>45736</v>
      </c>
      <c r="H296" t="s">
        <v>938</v>
      </c>
      <c r="I296" t="s">
        <v>22</v>
      </c>
      <c r="J296" s="2">
        <v>45736</v>
      </c>
      <c r="K296" s="2">
        <v>45737</v>
      </c>
      <c r="L296" t="s">
        <v>8</v>
      </c>
      <c r="M296" t="s">
        <v>939</v>
      </c>
      <c r="N296" t="s">
        <v>10</v>
      </c>
      <c r="O296" t="s">
        <v>11</v>
      </c>
      <c r="P296" t="s">
        <v>12</v>
      </c>
      <c r="Q296" t="s">
        <v>24</v>
      </c>
      <c r="R296" t="s">
        <v>14</v>
      </c>
      <c r="S296" s="3">
        <v>2.5</v>
      </c>
      <c r="T296" t="s">
        <v>15</v>
      </c>
      <c r="U296" s="3">
        <v>216.73</v>
      </c>
      <c r="V296" t="s">
        <v>16</v>
      </c>
      <c r="W296" t="s">
        <v>17</v>
      </c>
      <c r="X296" t="s">
        <v>12</v>
      </c>
      <c r="Y296" t="s">
        <v>8</v>
      </c>
      <c r="Z296" t="s">
        <v>18</v>
      </c>
      <c r="AA296" t="s">
        <v>850</v>
      </c>
      <c r="AB296" t="s">
        <v>12</v>
      </c>
      <c r="AC296" t="s">
        <v>12</v>
      </c>
      <c r="AD296" t="s">
        <v>12</v>
      </c>
      <c r="AE296" s="2">
        <v>45736</v>
      </c>
      <c r="AF296" s="2"/>
      <c r="AG296" t="s">
        <v>12</v>
      </c>
    </row>
    <row r="297" spans="1:33" outlineLevel="2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243</v>
      </c>
      <c r="G297" s="2">
        <v>45736</v>
      </c>
      <c r="H297" t="s">
        <v>940</v>
      </c>
      <c r="I297" t="s">
        <v>22</v>
      </c>
      <c r="J297" s="2">
        <v>45736</v>
      </c>
      <c r="K297" s="2">
        <v>45736</v>
      </c>
      <c r="L297" t="s">
        <v>8</v>
      </c>
      <c r="M297" t="s">
        <v>941</v>
      </c>
      <c r="N297" t="s">
        <v>10</v>
      </c>
      <c r="O297" t="s">
        <v>11</v>
      </c>
      <c r="P297" t="s">
        <v>12</v>
      </c>
      <c r="Q297" t="s">
        <v>24</v>
      </c>
      <c r="R297" t="s">
        <v>14</v>
      </c>
      <c r="S297" s="3">
        <v>364.25</v>
      </c>
      <c r="T297" t="s">
        <v>15</v>
      </c>
      <c r="U297" s="3">
        <v>31577.29</v>
      </c>
      <c r="V297" t="s">
        <v>16</v>
      </c>
      <c r="W297" t="s">
        <v>17</v>
      </c>
      <c r="X297" t="s">
        <v>12</v>
      </c>
      <c r="Y297" t="s">
        <v>8</v>
      </c>
      <c r="Z297" t="s">
        <v>18</v>
      </c>
      <c r="AA297" t="s">
        <v>942</v>
      </c>
      <c r="AB297" t="s">
        <v>12</v>
      </c>
      <c r="AC297" t="s">
        <v>12</v>
      </c>
      <c r="AD297" t="s">
        <v>12</v>
      </c>
      <c r="AE297" s="2">
        <v>45736</v>
      </c>
      <c r="AF297" s="2">
        <v>45976</v>
      </c>
      <c r="AG297" t="s">
        <v>64</v>
      </c>
    </row>
    <row r="298" spans="1:33" outlineLevel="2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243</v>
      </c>
      <c r="G298" s="2">
        <v>45736</v>
      </c>
      <c r="H298" t="s">
        <v>943</v>
      </c>
      <c r="I298" t="s">
        <v>22</v>
      </c>
      <c r="J298" s="2">
        <v>45736</v>
      </c>
      <c r="K298" s="2">
        <v>45736</v>
      </c>
      <c r="L298" t="s">
        <v>8</v>
      </c>
      <c r="M298" t="s">
        <v>944</v>
      </c>
      <c r="N298" t="s">
        <v>10</v>
      </c>
      <c r="O298" t="s">
        <v>11</v>
      </c>
      <c r="P298" t="s">
        <v>12</v>
      </c>
      <c r="Q298" t="s">
        <v>24</v>
      </c>
      <c r="R298" t="s">
        <v>14</v>
      </c>
      <c r="S298" s="3">
        <v>237.35</v>
      </c>
      <c r="T298" t="s">
        <v>15</v>
      </c>
      <c r="U298" s="3">
        <v>20576.169999999998</v>
      </c>
      <c r="V298" t="s">
        <v>16</v>
      </c>
      <c r="W298" t="s">
        <v>17</v>
      </c>
      <c r="X298" t="s">
        <v>12</v>
      </c>
      <c r="Y298" t="s">
        <v>8</v>
      </c>
      <c r="Z298" t="s">
        <v>18</v>
      </c>
      <c r="AA298" t="s">
        <v>945</v>
      </c>
      <c r="AB298" t="s">
        <v>12</v>
      </c>
      <c r="AC298" t="s">
        <v>12</v>
      </c>
      <c r="AD298" t="s">
        <v>12</v>
      </c>
      <c r="AE298" s="2">
        <v>45736</v>
      </c>
      <c r="AF298" s="2">
        <v>45976</v>
      </c>
      <c r="AG298" t="s">
        <v>64</v>
      </c>
    </row>
    <row r="299" spans="1:33" outlineLevel="2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243</v>
      </c>
      <c r="G299" s="2">
        <v>45736</v>
      </c>
      <c r="H299" t="s">
        <v>946</v>
      </c>
      <c r="I299" t="s">
        <v>22</v>
      </c>
      <c r="J299" s="2">
        <v>45736</v>
      </c>
      <c r="K299" s="2">
        <v>45737</v>
      </c>
      <c r="L299" t="s">
        <v>8</v>
      </c>
      <c r="M299" t="s">
        <v>947</v>
      </c>
      <c r="N299" t="s">
        <v>10</v>
      </c>
      <c r="O299" t="s">
        <v>11</v>
      </c>
      <c r="P299" t="s">
        <v>12</v>
      </c>
      <c r="Q299" t="s">
        <v>24</v>
      </c>
      <c r="R299" t="s">
        <v>14</v>
      </c>
      <c r="S299" s="3">
        <v>220</v>
      </c>
      <c r="T299" t="s">
        <v>15</v>
      </c>
      <c r="U299" s="3">
        <v>19072.080000000002</v>
      </c>
      <c r="V299" t="s">
        <v>16</v>
      </c>
      <c r="W299" t="s">
        <v>17</v>
      </c>
      <c r="X299" t="s">
        <v>12</v>
      </c>
      <c r="Y299" t="s">
        <v>8</v>
      </c>
      <c r="Z299" t="s">
        <v>18</v>
      </c>
      <c r="AA299" t="s">
        <v>948</v>
      </c>
      <c r="AB299" t="s">
        <v>12</v>
      </c>
      <c r="AC299" t="s">
        <v>12</v>
      </c>
      <c r="AD299" t="s">
        <v>12</v>
      </c>
      <c r="AE299" s="2">
        <v>45736</v>
      </c>
      <c r="AF299" s="2">
        <v>45976</v>
      </c>
      <c r="AG299" t="s">
        <v>64</v>
      </c>
    </row>
    <row r="300" spans="1:33" outlineLevel="2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243</v>
      </c>
      <c r="G300" s="2">
        <v>45736</v>
      </c>
      <c r="H300" t="s">
        <v>949</v>
      </c>
      <c r="I300" t="s">
        <v>22</v>
      </c>
      <c r="J300" s="2">
        <v>45736</v>
      </c>
      <c r="K300" s="2">
        <v>45737</v>
      </c>
      <c r="L300" t="s">
        <v>8</v>
      </c>
      <c r="M300" t="s">
        <v>950</v>
      </c>
      <c r="N300" t="s">
        <v>10</v>
      </c>
      <c r="O300" t="s">
        <v>11</v>
      </c>
      <c r="P300" t="s">
        <v>12</v>
      </c>
      <c r="Q300" t="s">
        <v>24</v>
      </c>
      <c r="R300" t="s">
        <v>14</v>
      </c>
      <c r="S300" s="3">
        <v>375</v>
      </c>
      <c r="T300" t="s">
        <v>15</v>
      </c>
      <c r="U300" s="3">
        <v>32509.22</v>
      </c>
      <c r="V300" t="s">
        <v>16</v>
      </c>
      <c r="W300" t="s">
        <v>17</v>
      </c>
      <c r="X300" t="s">
        <v>12</v>
      </c>
      <c r="Y300" t="s">
        <v>8</v>
      </c>
      <c r="Z300" t="s">
        <v>18</v>
      </c>
      <c r="AA300" t="s">
        <v>951</v>
      </c>
      <c r="AB300" t="s">
        <v>12</v>
      </c>
      <c r="AC300" t="s">
        <v>12</v>
      </c>
      <c r="AD300" t="s">
        <v>12</v>
      </c>
      <c r="AE300" s="2">
        <v>45736</v>
      </c>
      <c r="AF300" s="2">
        <v>45976</v>
      </c>
      <c r="AG300" t="s">
        <v>64</v>
      </c>
    </row>
    <row r="301" spans="1:33" outlineLevel="2" x14ac:dyDescent="0.25">
      <c r="A301" t="s">
        <v>129</v>
      </c>
      <c r="B301" t="s">
        <v>1</v>
      </c>
      <c r="C301" t="s">
        <v>2</v>
      </c>
      <c r="D301" t="s">
        <v>3</v>
      </c>
      <c r="E301" t="s">
        <v>4</v>
      </c>
      <c r="F301" t="s">
        <v>243</v>
      </c>
      <c r="G301" s="2">
        <v>45736</v>
      </c>
      <c r="H301" t="s">
        <v>952</v>
      </c>
      <c r="I301" t="s">
        <v>22</v>
      </c>
      <c r="J301" s="2">
        <v>45736</v>
      </c>
      <c r="K301" s="2">
        <v>45736</v>
      </c>
      <c r="L301" t="s">
        <v>8</v>
      </c>
      <c r="M301" t="s">
        <v>953</v>
      </c>
      <c r="N301" t="s">
        <v>10</v>
      </c>
      <c r="O301" t="s">
        <v>11</v>
      </c>
      <c r="P301" t="s">
        <v>12</v>
      </c>
      <c r="Q301" t="s">
        <v>24</v>
      </c>
      <c r="R301" t="s">
        <v>14</v>
      </c>
      <c r="S301" s="3">
        <v>14.1</v>
      </c>
      <c r="T301" t="s">
        <v>15</v>
      </c>
      <c r="U301" s="3">
        <v>1222.3499999999999</v>
      </c>
      <c r="V301" t="s">
        <v>16</v>
      </c>
      <c r="W301" t="s">
        <v>17</v>
      </c>
      <c r="X301" t="s">
        <v>12</v>
      </c>
      <c r="Y301" t="s">
        <v>8</v>
      </c>
      <c r="Z301" t="s">
        <v>18</v>
      </c>
      <c r="AA301" t="s">
        <v>850</v>
      </c>
      <c r="AB301" t="s">
        <v>12</v>
      </c>
      <c r="AC301" t="s">
        <v>12</v>
      </c>
      <c r="AD301" t="s">
        <v>12</v>
      </c>
      <c r="AE301" s="2">
        <v>45736</v>
      </c>
      <c r="AF301" s="2"/>
      <c r="AG301" t="s">
        <v>12</v>
      </c>
    </row>
    <row r="302" spans="1:33" outlineLevel="2" x14ac:dyDescent="0.25">
      <c r="A302" t="s">
        <v>129</v>
      </c>
      <c r="B302" t="s">
        <v>1</v>
      </c>
      <c r="C302" t="s">
        <v>2</v>
      </c>
      <c r="D302" t="s">
        <v>3</v>
      </c>
      <c r="E302" t="s">
        <v>4</v>
      </c>
      <c r="F302" t="s">
        <v>243</v>
      </c>
      <c r="G302" s="2">
        <v>45736</v>
      </c>
      <c r="H302" t="s">
        <v>954</v>
      </c>
      <c r="I302" t="s">
        <v>22</v>
      </c>
      <c r="J302" s="2">
        <v>45736</v>
      </c>
      <c r="K302" s="2">
        <v>45736</v>
      </c>
      <c r="L302" t="s">
        <v>8</v>
      </c>
      <c r="M302" t="s">
        <v>955</v>
      </c>
      <c r="N302" t="s">
        <v>10</v>
      </c>
      <c r="O302" t="s">
        <v>11</v>
      </c>
      <c r="P302" t="s">
        <v>12</v>
      </c>
      <c r="Q302" t="s">
        <v>24</v>
      </c>
      <c r="R302" t="s">
        <v>14</v>
      </c>
      <c r="S302" s="3">
        <v>4.7</v>
      </c>
      <c r="T302" t="s">
        <v>15</v>
      </c>
      <c r="U302" s="3">
        <v>407.45</v>
      </c>
      <c r="V302" t="s">
        <v>16</v>
      </c>
      <c r="W302" t="s">
        <v>17</v>
      </c>
      <c r="X302" t="s">
        <v>12</v>
      </c>
      <c r="Y302" t="s">
        <v>8</v>
      </c>
      <c r="Z302" t="s">
        <v>18</v>
      </c>
      <c r="AA302" t="s">
        <v>850</v>
      </c>
      <c r="AB302" t="s">
        <v>12</v>
      </c>
      <c r="AC302" t="s">
        <v>12</v>
      </c>
      <c r="AD302" t="s">
        <v>12</v>
      </c>
      <c r="AE302" s="2">
        <v>45736</v>
      </c>
      <c r="AF302" s="2"/>
      <c r="AG302" t="s">
        <v>12</v>
      </c>
    </row>
    <row r="303" spans="1:33" outlineLevel="2" x14ac:dyDescent="0.25">
      <c r="A303" t="s">
        <v>129</v>
      </c>
      <c r="B303" t="s">
        <v>1</v>
      </c>
      <c r="C303" t="s">
        <v>2</v>
      </c>
      <c r="D303" t="s">
        <v>3</v>
      </c>
      <c r="E303" t="s">
        <v>4</v>
      </c>
      <c r="F303" t="s">
        <v>243</v>
      </c>
      <c r="G303" s="2">
        <v>45736</v>
      </c>
      <c r="H303" t="s">
        <v>956</v>
      </c>
      <c r="I303" t="s">
        <v>22</v>
      </c>
      <c r="J303" s="2">
        <v>45736</v>
      </c>
      <c r="K303" s="2">
        <v>45736</v>
      </c>
      <c r="L303" t="s">
        <v>8</v>
      </c>
      <c r="M303" t="s">
        <v>957</v>
      </c>
      <c r="N303" t="s">
        <v>10</v>
      </c>
      <c r="O303" t="s">
        <v>11</v>
      </c>
      <c r="P303" t="s">
        <v>12</v>
      </c>
      <c r="Q303" t="s">
        <v>24</v>
      </c>
      <c r="R303" t="s">
        <v>14</v>
      </c>
      <c r="S303" s="3">
        <v>2.35</v>
      </c>
      <c r="T303" t="s">
        <v>15</v>
      </c>
      <c r="U303" s="3">
        <v>203.72</v>
      </c>
      <c r="V303" t="s">
        <v>16</v>
      </c>
      <c r="W303" t="s">
        <v>17</v>
      </c>
      <c r="X303" t="s">
        <v>12</v>
      </c>
      <c r="Y303" t="s">
        <v>8</v>
      </c>
      <c r="Z303" t="s">
        <v>18</v>
      </c>
      <c r="AA303" t="s">
        <v>157</v>
      </c>
      <c r="AB303" t="s">
        <v>12</v>
      </c>
      <c r="AC303" t="s">
        <v>12</v>
      </c>
      <c r="AD303" t="s">
        <v>12</v>
      </c>
      <c r="AE303" s="2">
        <v>45736</v>
      </c>
      <c r="AF303" s="2"/>
      <c r="AG303" t="s">
        <v>12</v>
      </c>
    </row>
    <row r="304" spans="1:33" outlineLevel="2" x14ac:dyDescent="0.25">
      <c r="A304" t="s">
        <v>129</v>
      </c>
      <c r="B304" t="s">
        <v>1</v>
      </c>
      <c r="C304" t="s">
        <v>2</v>
      </c>
      <c r="D304" t="s">
        <v>3</v>
      </c>
      <c r="E304" t="s">
        <v>4</v>
      </c>
      <c r="F304" t="s">
        <v>243</v>
      </c>
      <c r="G304" s="2">
        <v>45736</v>
      </c>
      <c r="H304" t="s">
        <v>958</v>
      </c>
      <c r="I304" t="s">
        <v>22</v>
      </c>
      <c r="J304" s="2">
        <v>45736</v>
      </c>
      <c r="K304" s="2">
        <v>45737</v>
      </c>
      <c r="L304" t="s">
        <v>8</v>
      </c>
      <c r="M304" t="s">
        <v>959</v>
      </c>
      <c r="N304" t="s">
        <v>10</v>
      </c>
      <c r="O304" t="s">
        <v>11</v>
      </c>
      <c r="P304" t="s">
        <v>12</v>
      </c>
      <c r="Q304" t="s">
        <v>24</v>
      </c>
      <c r="R304" t="s">
        <v>14</v>
      </c>
      <c r="S304" s="3">
        <v>412.38</v>
      </c>
      <c r="T304" t="s">
        <v>15</v>
      </c>
      <c r="U304" s="3">
        <v>35749.74</v>
      </c>
      <c r="V304" t="s">
        <v>16</v>
      </c>
      <c r="W304" t="s">
        <v>17</v>
      </c>
      <c r="X304" t="s">
        <v>12</v>
      </c>
      <c r="Y304" t="s">
        <v>8</v>
      </c>
      <c r="Z304" t="s">
        <v>18</v>
      </c>
      <c r="AA304" t="s">
        <v>960</v>
      </c>
      <c r="AB304" t="s">
        <v>12</v>
      </c>
      <c r="AC304" t="s">
        <v>12</v>
      </c>
      <c r="AD304" t="s">
        <v>12</v>
      </c>
      <c r="AE304" s="2">
        <v>45736</v>
      </c>
      <c r="AF304" s="2"/>
      <c r="AG304" t="s">
        <v>12</v>
      </c>
    </row>
    <row r="305" spans="1:33" outlineLevel="2" x14ac:dyDescent="0.25">
      <c r="A305" t="s">
        <v>129</v>
      </c>
      <c r="B305" t="s">
        <v>1</v>
      </c>
      <c r="C305" t="s">
        <v>2</v>
      </c>
      <c r="D305" t="s">
        <v>3</v>
      </c>
      <c r="E305" t="s">
        <v>4</v>
      </c>
      <c r="F305" t="s">
        <v>243</v>
      </c>
      <c r="G305" s="2">
        <v>45736</v>
      </c>
      <c r="H305" t="s">
        <v>961</v>
      </c>
      <c r="I305" t="s">
        <v>22</v>
      </c>
      <c r="J305" s="2">
        <v>45736</v>
      </c>
      <c r="K305" s="2">
        <v>45737</v>
      </c>
      <c r="L305" t="s">
        <v>8</v>
      </c>
      <c r="M305" t="s">
        <v>962</v>
      </c>
      <c r="N305" t="s">
        <v>10</v>
      </c>
      <c r="O305" t="s">
        <v>11</v>
      </c>
      <c r="P305" t="s">
        <v>12</v>
      </c>
      <c r="Q305" t="s">
        <v>24</v>
      </c>
      <c r="R305" t="s">
        <v>14</v>
      </c>
      <c r="S305" s="3">
        <v>2.5</v>
      </c>
      <c r="T305" t="s">
        <v>15</v>
      </c>
      <c r="U305" s="3">
        <v>216.73</v>
      </c>
      <c r="V305" t="s">
        <v>16</v>
      </c>
      <c r="W305" t="s">
        <v>17</v>
      </c>
      <c r="X305" t="s">
        <v>12</v>
      </c>
      <c r="Y305" t="s">
        <v>8</v>
      </c>
      <c r="Z305" t="s">
        <v>18</v>
      </c>
      <c r="AA305" t="s">
        <v>963</v>
      </c>
      <c r="AB305" t="s">
        <v>12</v>
      </c>
      <c r="AC305" t="s">
        <v>12</v>
      </c>
      <c r="AD305" t="s">
        <v>12</v>
      </c>
      <c r="AE305" s="2">
        <v>45736</v>
      </c>
      <c r="AF305" s="2"/>
      <c r="AG305" t="s">
        <v>12</v>
      </c>
    </row>
    <row r="306" spans="1:33" outlineLevel="2" x14ac:dyDescent="0.25">
      <c r="A306" t="s">
        <v>129</v>
      </c>
      <c r="B306" t="s">
        <v>1</v>
      </c>
      <c r="C306" t="s">
        <v>2</v>
      </c>
      <c r="D306" t="s">
        <v>3</v>
      </c>
      <c r="E306" t="s">
        <v>4</v>
      </c>
      <c r="F306" t="s">
        <v>358</v>
      </c>
      <c r="G306" s="2">
        <v>45708</v>
      </c>
      <c r="H306" t="s">
        <v>964</v>
      </c>
      <c r="I306" t="s">
        <v>22</v>
      </c>
      <c r="J306" s="2">
        <v>45708</v>
      </c>
      <c r="K306" s="2">
        <v>45708</v>
      </c>
      <c r="L306" t="s">
        <v>8</v>
      </c>
      <c r="M306" t="s">
        <v>965</v>
      </c>
      <c r="N306" t="s">
        <v>10</v>
      </c>
      <c r="O306" t="s">
        <v>11</v>
      </c>
      <c r="P306" t="s">
        <v>12</v>
      </c>
      <c r="Q306" t="s">
        <v>24</v>
      </c>
      <c r="R306" t="s">
        <v>14</v>
      </c>
      <c r="S306" s="3">
        <v>456.75</v>
      </c>
      <c r="T306" t="s">
        <v>15</v>
      </c>
      <c r="U306" s="3">
        <v>39419.199999999997</v>
      </c>
      <c r="V306" t="s">
        <v>16</v>
      </c>
      <c r="W306" t="s">
        <v>17</v>
      </c>
      <c r="X306" t="s">
        <v>12</v>
      </c>
      <c r="Y306" t="s">
        <v>8</v>
      </c>
      <c r="Z306" t="s">
        <v>18</v>
      </c>
      <c r="AA306" t="s">
        <v>966</v>
      </c>
      <c r="AB306" t="s">
        <v>12</v>
      </c>
      <c r="AC306" t="s">
        <v>12</v>
      </c>
      <c r="AD306" t="s">
        <v>12</v>
      </c>
      <c r="AE306" s="2">
        <v>45708</v>
      </c>
      <c r="AF306" s="2"/>
      <c r="AG306" t="s">
        <v>12</v>
      </c>
    </row>
    <row r="307" spans="1:33" outlineLevel="2" x14ac:dyDescent="0.25">
      <c r="A307" t="s">
        <v>129</v>
      </c>
      <c r="B307" t="s">
        <v>1</v>
      </c>
      <c r="C307" t="s">
        <v>2</v>
      </c>
      <c r="D307" t="s">
        <v>3</v>
      </c>
      <c r="E307" t="s">
        <v>4</v>
      </c>
      <c r="F307" t="s">
        <v>358</v>
      </c>
      <c r="G307" s="2">
        <v>45708</v>
      </c>
      <c r="H307" t="s">
        <v>967</v>
      </c>
      <c r="I307" t="s">
        <v>22</v>
      </c>
      <c r="J307" s="2">
        <v>45708</v>
      </c>
      <c r="K307" s="2">
        <v>45708</v>
      </c>
      <c r="L307" t="s">
        <v>8</v>
      </c>
      <c r="M307" t="s">
        <v>968</v>
      </c>
      <c r="N307" t="s">
        <v>10</v>
      </c>
      <c r="O307" t="s">
        <v>11</v>
      </c>
      <c r="P307" t="s">
        <v>12</v>
      </c>
      <c r="Q307" t="s">
        <v>24</v>
      </c>
      <c r="R307" t="s">
        <v>14</v>
      </c>
      <c r="S307" s="3">
        <v>456.75</v>
      </c>
      <c r="T307" t="s">
        <v>15</v>
      </c>
      <c r="U307" s="3">
        <v>39419.199999999997</v>
      </c>
      <c r="V307" t="s">
        <v>16</v>
      </c>
      <c r="W307" t="s">
        <v>17</v>
      </c>
      <c r="X307" t="s">
        <v>12</v>
      </c>
      <c r="Y307" t="s">
        <v>8</v>
      </c>
      <c r="Z307" t="s">
        <v>18</v>
      </c>
      <c r="AA307" t="s">
        <v>969</v>
      </c>
      <c r="AB307" t="s">
        <v>12</v>
      </c>
      <c r="AC307" t="s">
        <v>12</v>
      </c>
      <c r="AD307" t="s">
        <v>12</v>
      </c>
      <c r="AE307" s="2">
        <v>45708</v>
      </c>
      <c r="AF307" s="2"/>
      <c r="AG307" t="s">
        <v>12</v>
      </c>
    </row>
    <row r="308" spans="1:33" outlineLevel="2" x14ac:dyDescent="0.25">
      <c r="A308" t="s">
        <v>129</v>
      </c>
      <c r="B308" t="s">
        <v>1</v>
      </c>
      <c r="C308" t="s">
        <v>2</v>
      </c>
      <c r="D308" t="s">
        <v>3</v>
      </c>
      <c r="E308" t="s">
        <v>4</v>
      </c>
      <c r="F308" t="s">
        <v>358</v>
      </c>
      <c r="G308" s="2">
        <v>45708</v>
      </c>
      <c r="H308" t="s">
        <v>970</v>
      </c>
      <c r="I308" t="s">
        <v>22</v>
      </c>
      <c r="J308" s="2">
        <v>45708</v>
      </c>
      <c r="K308" s="2">
        <v>45708</v>
      </c>
      <c r="L308" t="s">
        <v>8</v>
      </c>
      <c r="M308" t="s">
        <v>971</v>
      </c>
      <c r="N308" t="s">
        <v>10</v>
      </c>
      <c r="O308" t="s">
        <v>11</v>
      </c>
      <c r="P308" t="s">
        <v>12</v>
      </c>
      <c r="Q308" t="s">
        <v>24</v>
      </c>
      <c r="R308" t="s">
        <v>14</v>
      </c>
      <c r="S308" s="3">
        <v>456.75</v>
      </c>
      <c r="T308" t="s">
        <v>15</v>
      </c>
      <c r="U308" s="3">
        <v>39419.199999999997</v>
      </c>
      <c r="V308" t="s">
        <v>16</v>
      </c>
      <c r="W308" t="s">
        <v>17</v>
      </c>
      <c r="X308" t="s">
        <v>12</v>
      </c>
      <c r="Y308" t="s">
        <v>8</v>
      </c>
      <c r="Z308" t="s">
        <v>18</v>
      </c>
      <c r="AA308" t="s">
        <v>972</v>
      </c>
      <c r="AB308" t="s">
        <v>12</v>
      </c>
      <c r="AC308" t="s">
        <v>12</v>
      </c>
      <c r="AD308" t="s">
        <v>12</v>
      </c>
      <c r="AE308" s="2">
        <v>45708</v>
      </c>
      <c r="AF308" s="2"/>
      <c r="AG308" t="s">
        <v>12</v>
      </c>
    </row>
    <row r="309" spans="1:33" outlineLevel="2" x14ac:dyDescent="0.25">
      <c r="A309" t="s">
        <v>129</v>
      </c>
      <c r="B309" t="s">
        <v>1</v>
      </c>
      <c r="C309" t="s">
        <v>2</v>
      </c>
      <c r="D309" t="s">
        <v>3</v>
      </c>
      <c r="E309" t="s">
        <v>4</v>
      </c>
      <c r="F309" t="s">
        <v>358</v>
      </c>
      <c r="G309" s="2">
        <v>45708</v>
      </c>
      <c r="H309" t="s">
        <v>973</v>
      </c>
      <c r="I309" t="s">
        <v>22</v>
      </c>
      <c r="J309" s="2">
        <v>45708</v>
      </c>
      <c r="K309" s="2">
        <v>45708</v>
      </c>
      <c r="L309" t="s">
        <v>8</v>
      </c>
      <c r="M309" t="s">
        <v>974</v>
      </c>
      <c r="N309" t="s">
        <v>10</v>
      </c>
      <c r="O309" t="s">
        <v>11</v>
      </c>
      <c r="P309" t="s">
        <v>12</v>
      </c>
      <c r="Q309" t="s">
        <v>24</v>
      </c>
      <c r="R309" t="s">
        <v>14</v>
      </c>
      <c r="S309" s="3">
        <v>456.75</v>
      </c>
      <c r="T309" t="s">
        <v>15</v>
      </c>
      <c r="U309" s="3">
        <v>39419.199999999997</v>
      </c>
      <c r="V309" t="s">
        <v>16</v>
      </c>
      <c r="W309" t="s">
        <v>17</v>
      </c>
      <c r="X309" t="s">
        <v>12</v>
      </c>
      <c r="Y309" t="s">
        <v>8</v>
      </c>
      <c r="Z309" t="s">
        <v>18</v>
      </c>
      <c r="AA309" t="s">
        <v>975</v>
      </c>
      <c r="AB309" t="s">
        <v>12</v>
      </c>
      <c r="AC309" t="s">
        <v>12</v>
      </c>
      <c r="AD309" t="s">
        <v>12</v>
      </c>
      <c r="AE309" s="2">
        <v>45708</v>
      </c>
      <c r="AF309" s="2"/>
      <c r="AG309" t="s">
        <v>12</v>
      </c>
    </row>
    <row r="310" spans="1:33" outlineLevel="2" x14ac:dyDescent="0.25">
      <c r="A310" t="s">
        <v>129</v>
      </c>
      <c r="B310" t="s">
        <v>1</v>
      </c>
      <c r="C310" t="s">
        <v>2</v>
      </c>
      <c r="D310" t="s">
        <v>3</v>
      </c>
      <c r="E310" t="s">
        <v>4</v>
      </c>
      <c r="F310" t="s">
        <v>358</v>
      </c>
      <c r="G310" s="2">
        <v>45708</v>
      </c>
      <c r="H310" t="s">
        <v>976</v>
      </c>
      <c r="I310" t="s">
        <v>22</v>
      </c>
      <c r="J310" s="2">
        <v>45708</v>
      </c>
      <c r="K310" s="2">
        <v>45708</v>
      </c>
      <c r="L310" t="s">
        <v>8</v>
      </c>
      <c r="M310" t="s">
        <v>977</v>
      </c>
      <c r="N310" t="s">
        <v>10</v>
      </c>
      <c r="O310" t="s">
        <v>11</v>
      </c>
      <c r="P310" t="s">
        <v>12</v>
      </c>
      <c r="Q310" t="s">
        <v>24</v>
      </c>
      <c r="R310" t="s">
        <v>14</v>
      </c>
      <c r="S310" s="3">
        <v>456.75</v>
      </c>
      <c r="T310" t="s">
        <v>15</v>
      </c>
      <c r="U310" s="3">
        <v>39419.199999999997</v>
      </c>
      <c r="V310" t="s">
        <v>16</v>
      </c>
      <c r="W310" t="s">
        <v>17</v>
      </c>
      <c r="X310" t="s">
        <v>12</v>
      </c>
      <c r="Y310" t="s">
        <v>8</v>
      </c>
      <c r="Z310" t="s">
        <v>18</v>
      </c>
      <c r="AA310" t="s">
        <v>167</v>
      </c>
      <c r="AB310" t="s">
        <v>12</v>
      </c>
      <c r="AC310" t="s">
        <v>12</v>
      </c>
      <c r="AD310" t="s">
        <v>12</v>
      </c>
      <c r="AE310" s="2">
        <v>45708</v>
      </c>
      <c r="AF310" s="2"/>
      <c r="AG310" t="s">
        <v>12</v>
      </c>
    </row>
    <row r="311" spans="1:33" outlineLevel="2" x14ac:dyDescent="0.25">
      <c r="A311" t="s">
        <v>129</v>
      </c>
      <c r="B311" t="s">
        <v>1</v>
      </c>
      <c r="C311" t="s">
        <v>2</v>
      </c>
      <c r="D311" t="s">
        <v>3</v>
      </c>
      <c r="E311" t="s">
        <v>4</v>
      </c>
      <c r="F311" t="s">
        <v>358</v>
      </c>
      <c r="G311" s="2">
        <v>45708</v>
      </c>
      <c r="H311" t="s">
        <v>978</v>
      </c>
      <c r="I311" t="s">
        <v>22</v>
      </c>
      <c r="J311" s="2">
        <v>45708</v>
      </c>
      <c r="K311" s="2">
        <v>45708</v>
      </c>
      <c r="L311" t="s">
        <v>8</v>
      </c>
      <c r="M311" t="s">
        <v>979</v>
      </c>
      <c r="N311" t="s">
        <v>10</v>
      </c>
      <c r="O311" t="s">
        <v>11</v>
      </c>
      <c r="P311" t="s">
        <v>12</v>
      </c>
      <c r="Q311" t="s">
        <v>24</v>
      </c>
      <c r="R311" t="s">
        <v>14</v>
      </c>
      <c r="S311" s="3">
        <v>456.75</v>
      </c>
      <c r="T311" t="s">
        <v>15</v>
      </c>
      <c r="U311" s="3">
        <v>39419.199999999997</v>
      </c>
      <c r="V311" t="s">
        <v>16</v>
      </c>
      <c r="W311" t="s">
        <v>17</v>
      </c>
      <c r="X311" t="s">
        <v>12</v>
      </c>
      <c r="Y311" t="s">
        <v>8</v>
      </c>
      <c r="Z311" t="s">
        <v>18</v>
      </c>
      <c r="AA311" t="s">
        <v>163</v>
      </c>
      <c r="AB311" t="s">
        <v>12</v>
      </c>
      <c r="AC311" t="s">
        <v>12</v>
      </c>
      <c r="AD311" t="s">
        <v>12</v>
      </c>
      <c r="AE311" s="2">
        <v>45708</v>
      </c>
      <c r="AF311" s="2"/>
      <c r="AG311" t="s">
        <v>12</v>
      </c>
    </row>
    <row r="312" spans="1:33" outlineLevel="2" x14ac:dyDescent="0.25">
      <c r="A312" t="s">
        <v>129</v>
      </c>
      <c r="B312" t="s">
        <v>1</v>
      </c>
      <c r="C312" t="s">
        <v>2</v>
      </c>
      <c r="D312" t="s">
        <v>3</v>
      </c>
      <c r="E312" t="s">
        <v>4</v>
      </c>
      <c r="F312" t="s">
        <v>358</v>
      </c>
      <c r="G312" s="2">
        <v>45708</v>
      </c>
      <c r="H312" t="s">
        <v>980</v>
      </c>
      <c r="I312" t="s">
        <v>22</v>
      </c>
      <c r="J312" s="2">
        <v>45708</v>
      </c>
      <c r="K312" s="2">
        <v>45709</v>
      </c>
      <c r="L312" t="s">
        <v>8</v>
      </c>
      <c r="M312" t="s">
        <v>981</v>
      </c>
      <c r="N312" t="s">
        <v>10</v>
      </c>
      <c r="O312" t="s">
        <v>11</v>
      </c>
      <c r="P312" t="s">
        <v>12</v>
      </c>
      <c r="Q312" t="s">
        <v>24</v>
      </c>
      <c r="R312" t="s">
        <v>14</v>
      </c>
      <c r="S312" s="3">
        <v>456.75</v>
      </c>
      <c r="T312" t="s">
        <v>15</v>
      </c>
      <c r="U312" s="3">
        <v>39419.199999999997</v>
      </c>
      <c r="V312" t="s">
        <v>16</v>
      </c>
      <c r="W312" t="s">
        <v>17</v>
      </c>
      <c r="X312" t="s">
        <v>12</v>
      </c>
      <c r="Y312" t="s">
        <v>8</v>
      </c>
      <c r="Z312" t="s">
        <v>18</v>
      </c>
      <c r="AA312" t="s">
        <v>982</v>
      </c>
      <c r="AB312" t="s">
        <v>12</v>
      </c>
      <c r="AC312" t="s">
        <v>12</v>
      </c>
      <c r="AD312" t="s">
        <v>12</v>
      </c>
      <c r="AE312" s="2">
        <v>45708</v>
      </c>
      <c r="AF312" s="2"/>
      <c r="AG312" t="s">
        <v>12</v>
      </c>
    </row>
    <row r="313" spans="1:33" outlineLevel="2" x14ac:dyDescent="0.25">
      <c r="A313" t="s">
        <v>129</v>
      </c>
      <c r="B313" t="s">
        <v>1</v>
      </c>
      <c r="C313" t="s">
        <v>2</v>
      </c>
      <c r="D313" t="s">
        <v>3</v>
      </c>
      <c r="E313" t="s">
        <v>4</v>
      </c>
      <c r="F313" t="s">
        <v>609</v>
      </c>
      <c r="G313" s="2">
        <v>45889</v>
      </c>
      <c r="H313" t="s">
        <v>983</v>
      </c>
      <c r="I313" t="s">
        <v>22</v>
      </c>
      <c r="J313" s="2">
        <v>45889</v>
      </c>
      <c r="K313" s="2">
        <v>45891</v>
      </c>
      <c r="L313" t="s">
        <v>8</v>
      </c>
      <c r="M313" t="s">
        <v>984</v>
      </c>
      <c r="N313" t="s">
        <v>10</v>
      </c>
      <c r="O313" t="s">
        <v>11</v>
      </c>
      <c r="P313" t="s">
        <v>12</v>
      </c>
      <c r="Q313" t="s">
        <v>24</v>
      </c>
      <c r="R313" t="s">
        <v>14</v>
      </c>
      <c r="S313" s="3">
        <v>17.350000000000001</v>
      </c>
      <c r="T313" t="s">
        <v>15</v>
      </c>
      <c r="U313" s="3">
        <v>1492.62</v>
      </c>
      <c r="V313" t="s">
        <v>16</v>
      </c>
      <c r="W313" t="s">
        <v>17</v>
      </c>
      <c r="X313" t="s">
        <v>12</v>
      </c>
      <c r="Y313" t="s">
        <v>8</v>
      </c>
      <c r="Z313" t="s">
        <v>18</v>
      </c>
      <c r="AA313" t="s">
        <v>985</v>
      </c>
      <c r="AB313" t="s">
        <v>12</v>
      </c>
      <c r="AC313" t="s">
        <v>12</v>
      </c>
      <c r="AD313" t="s">
        <v>12</v>
      </c>
      <c r="AE313" s="2">
        <v>45889</v>
      </c>
      <c r="AF313" s="2"/>
      <c r="AG313" t="s">
        <v>12</v>
      </c>
    </row>
    <row r="314" spans="1:33" outlineLevel="2" x14ac:dyDescent="0.25">
      <c r="A314" t="s">
        <v>129</v>
      </c>
      <c r="B314" t="s">
        <v>1</v>
      </c>
      <c r="C314" t="s">
        <v>2</v>
      </c>
      <c r="D314" t="s">
        <v>3</v>
      </c>
      <c r="E314" t="s">
        <v>4</v>
      </c>
      <c r="F314" t="s">
        <v>609</v>
      </c>
      <c r="G314" s="2">
        <v>45889</v>
      </c>
      <c r="H314" t="s">
        <v>986</v>
      </c>
      <c r="I314" t="s">
        <v>22</v>
      </c>
      <c r="J314" s="2">
        <v>45889</v>
      </c>
      <c r="K314" s="2">
        <v>45891</v>
      </c>
      <c r="L314" t="s">
        <v>8</v>
      </c>
      <c r="M314" t="s">
        <v>987</v>
      </c>
      <c r="N314" t="s">
        <v>10</v>
      </c>
      <c r="O314" t="s">
        <v>11</v>
      </c>
      <c r="P314" t="s">
        <v>12</v>
      </c>
      <c r="Q314" t="s">
        <v>24</v>
      </c>
      <c r="R314" t="s">
        <v>14</v>
      </c>
      <c r="S314" s="3">
        <v>56.82</v>
      </c>
      <c r="T314" t="s">
        <v>15</v>
      </c>
      <c r="U314" s="3">
        <v>4888.2299999999996</v>
      </c>
      <c r="V314" t="s">
        <v>16</v>
      </c>
      <c r="W314" t="s">
        <v>17</v>
      </c>
      <c r="X314" t="s">
        <v>12</v>
      </c>
      <c r="Y314" t="s">
        <v>8</v>
      </c>
      <c r="Z314" t="s">
        <v>18</v>
      </c>
      <c r="AA314" t="s">
        <v>988</v>
      </c>
      <c r="AB314" t="s">
        <v>12</v>
      </c>
      <c r="AC314" t="s">
        <v>12</v>
      </c>
      <c r="AD314" t="s">
        <v>12</v>
      </c>
      <c r="AE314" s="2">
        <v>45889</v>
      </c>
      <c r="AF314" s="2"/>
      <c r="AG314" t="s">
        <v>12</v>
      </c>
    </row>
    <row r="315" spans="1:33" outlineLevel="2" x14ac:dyDescent="0.25">
      <c r="A315" t="s">
        <v>129</v>
      </c>
      <c r="B315" t="s">
        <v>1</v>
      </c>
      <c r="C315" t="s">
        <v>2</v>
      </c>
      <c r="D315" t="s">
        <v>3</v>
      </c>
      <c r="E315" t="s">
        <v>4</v>
      </c>
      <c r="F315" t="s">
        <v>609</v>
      </c>
      <c r="G315" s="2">
        <v>45889</v>
      </c>
      <c r="H315" t="s">
        <v>989</v>
      </c>
      <c r="I315" t="s">
        <v>22</v>
      </c>
      <c r="J315" s="2">
        <v>45889</v>
      </c>
      <c r="K315" s="2">
        <v>45891</v>
      </c>
      <c r="L315" t="s">
        <v>8</v>
      </c>
      <c r="M315" t="s">
        <v>990</v>
      </c>
      <c r="N315" t="s">
        <v>10</v>
      </c>
      <c r="O315" t="s">
        <v>11</v>
      </c>
      <c r="P315" t="s">
        <v>12</v>
      </c>
      <c r="Q315" t="s">
        <v>24</v>
      </c>
      <c r="R315" t="s">
        <v>14</v>
      </c>
      <c r="S315" s="3">
        <v>82.8</v>
      </c>
      <c r="T315" t="s">
        <v>15</v>
      </c>
      <c r="U315" s="3">
        <v>7123.29</v>
      </c>
      <c r="V315" t="s">
        <v>16</v>
      </c>
      <c r="W315" t="s">
        <v>17</v>
      </c>
      <c r="X315" t="s">
        <v>12</v>
      </c>
      <c r="Y315" t="s">
        <v>8</v>
      </c>
      <c r="Z315" t="s">
        <v>18</v>
      </c>
      <c r="AA315" t="s">
        <v>991</v>
      </c>
      <c r="AB315" t="s">
        <v>12</v>
      </c>
      <c r="AC315" t="s">
        <v>12</v>
      </c>
      <c r="AD315" t="s">
        <v>12</v>
      </c>
      <c r="AE315" s="2">
        <v>45889</v>
      </c>
      <c r="AF315" s="2"/>
      <c r="AG315" t="s">
        <v>12</v>
      </c>
    </row>
    <row r="316" spans="1:33" outlineLevel="2" x14ac:dyDescent="0.25">
      <c r="A316" t="s">
        <v>129</v>
      </c>
      <c r="B316" t="s">
        <v>1</v>
      </c>
      <c r="C316" t="s">
        <v>2</v>
      </c>
      <c r="D316" t="s">
        <v>3</v>
      </c>
      <c r="E316" t="s">
        <v>4</v>
      </c>
      <c r="F316" t="s">
        <v>609</v>
      </c>
      <c r="G316" s="2">
        <v>45889</v>
      </c>
      <c r="H316" t="s">
        <v>992</v>
      </c>
      <c r="I316" t="s">
        <v>22</v>
      </c>
      <c r="J316" s="2">
        <v>45889</v>
      </c>
      <c r="K316" s="2">
        <v>45891</v>
      </c>
      <c r="L316" t="s">
        <v>8</v>
      </c>
      <c r="M316" t="s">
        <v>993</v>
      </c>
      <c r="N316" t="s">
        <v>10</v>
      </c>
      <c r="O316" t="s">
        <v>11</v>
      </c>
      <c r="P316" t="s">
        <v>12</v>
      </c>
      <c r="Q316" t="s">
        <v>24</v>
      </c>
      <c r="R316" t="s">
        <v>14</v>
      </c>
      <c r="S316" s="3">
        <v>141.4</v>
      </c>
      <c r="T316" t="s">
        <v>15</v>
      </c>
      <c r="U316" s="3">
        <v>12164.66</v>
      </c>
      <c r="V316" t="s">
        <v>16</v>
      </c>
      <c r="W316" t="s">
        <v>17</v>
      </c>
      <c r="X316" t="s">
        <v>12</v>
      </c>
      <c r="Y316" t="s">
        <v>8</v>
      </c>
      <c r="Z316" t="s">
        <v>18</v>
      </c>
      <c r="AA316" t="s">
        <v>994</v>
      </c>
      <c r="AB316" t="s">
        <v>12</v>
      </c>
      <c r="AC316" t="s">
        <v>12</v>
      </c>
      <c r="AD316" t="s">
        <v>12</v>
      </c>
      <c r="AE316" s="2">
        <v>45889</v>
      </c>
      <c r="AF316" s="2"/>
      <c r="AG316" t="s">
        <v>12</v>
      </c>
    </row>
    <row r="317" spans="1:33" outlineLevel="2" x14ac:dyDescent="0.25">
      <c r="A317" t="s">
        <v>129</v>
      </c>
      <c r="B317" t="s">
        <v>1</v>
      </c>
      <c r="C317" t="s">
        <v>2</v>
      </c>
      <c r="D317" t="s">
        <v>3</v>
      </c>
      <c r="E317" t="s">
        <v>4</v>
      </c>
      <c r="F317" t="s">
        <v>609</v>
      </c>
      <c r="G317" s="2">
        <v>45889</v>
      </c>
      <c r="H317" t="s">
        <v>995</v>
      </c>
      <c r="I317" t="s">
        <v>22</v>
      </c>
      <c r="J317" s="2">
        <v>45889</v>
      </c>
      <c r="K317" s="2">
        <v>45891</v>
      </c>
      <c r="L317" t="s">
        <v>8</v>
      </c>
      <c r="M317" t="s">
        <v>996</v>
      </c>
      <c r="N317" t="s">
        <v>10</v>
      </c>
      <c r="O317" t="s">
        <v>11</v>
      </c>
      <c r="P317" t="s">
        <v>12</v>
      </c>
      <c r="Q317" t="s">
        <v>24</v>
      </c>
      <c r="R317" t="s">
        <v>14</v>
      </c>
      <c r="S317" s="3">
        <v>11.52</v>
      </c>
      <c r="T317" t="s">
        <v>15</v>
      </c>
      <c r="U317" s="3">
        <v>991.07</v>
      </c>
      <c r="V317" t="s">
        <v>16</v>
      </c>
      <c r="W317" t="s">
        <v>17</v>
      </c>
      <c r="X317" t="s">
        <v>12</v>
      </c>
      <c r="Y317" t="s">
        <v>8</v>
      </c>
      <c r="Z317" t="s">
        <v>18</v>
      </c>
      <c r="AA317" t="s">
        <v>997</v>
      </c>
      <c r="AB317" t="s">
        <v>12</v>
      </c>
      <c r="AC317" t="s">
        <v>12</v>
      </c>
      <c r="AD317" t="s">
        <v>12</v>
      </c>
      <c r="AE317" s="2">
        <v>45889</v>
      </c>
      <c r="AF317" s="2"/>
      <c r="AG317" t="s">
        <v>12</v>
      </c>
    </row>
    <row r="318" spans="1:33" outlineLevel="2" x14ac:dyDescent="0.25">
      <c r="A318" t="s">
        <v>129</v>
      </c>
      <c r="B318" t="s">
        <v>1</v>
      </c>
      <c r="C318" t="s">
        <v>2</v>
      </c>
      <c r="D318" t="s">
        <v>3</v>
      </c>
      <c r="E318" t="s">
        <v>4</v>
      </c>
      <c r="F318" t="s">
        <v>334</v>
      </c>
      <c r="G318" s="2">
        <v>45999</v>
      </c>
      <c r="H318" t="s">
        <v>998</v>
      </c>
      <c r="I318" t="s">
        <v>22</v>
      </c>
      <c r="J318" s="2">
        <v>45999</v>
      </c>
      <c r="K318" s="2">
        <v>46000</v>
      </c>
      <c r="L318" t="s">
        <v>8</v>
      </c>
      <c r="M318" t="s">
        <v>999</v>
      </c>
      <c r="N318" t="s">
        <v>10</v>
      </c>
      <c r="O318" t="s">
        <v>11</v>
      </c>
      <c r="P318" t="s">
        <v>12</v>
      </c>
      <c r="Q318" t="s">
        <v>24</v>
      </c>
      <c r="R318" t="s">
        <v>14</v>
      </c>
      <c r="S318" s="3">
        <v>703.51</v>
      </c>
      <c r="T318" t="s">
        <v>15</v>
      </c>
      <c r="U318" s="3">
        <v>62401.440000000002</v>
      </c>
      <c r="V318" t="s">
        <v>16</v>
      </c>
      <c r="W318" t="s">
        <v>17</v>
      </c>
      <c r="X318" t="s">
        <v>12</v>
      </c>
      <c r="Y318" t="s">
        <v>1000</v>
      </c>
      <c r="Z318" t="s">
        <v>18</v>
      </c>
      <c r="AA318" t="s">
        <v>476</v>
      </c>
      <c r="AB318" t="s">
        <v>12</v>
      </c>
      <c r="AC318" t="s">
        <v>12</v>
      </c>
      <c r="AD318" t="s">
        <v>12</v>
      </c>
      <c r="AE318" s="2">
        <v>45999</v>
      </c>
      <c r="AF318" s="2"/>
      <c r="AG318" t="s">
        <v>12</v>
      </c>
    </row>
    <row r="319" spans="1:33" outlineLevel="2" x14ac:dyDescent="0.25">
      <c r="A319" t="s">
        <v>129</v>
      </c>
      <c r="B319" t="s">
        <v>1</v>
      </c>
      <c r="C319" t="s">
        <v>2</v>
      </c>
      <c r="D319" t="s">
        <v>3</v>
      </c>
      <c r="E319" t="s">
        <v>4</v>
      </c>
      <c r="F319" t="s">
        <v>229</v>
      </c>
      <c r="G319" s="2">
        <v>45821</v>
      </c>
      <c r="H319" t="s">
        <v>1001</v>
      </c>
      <c r="I319" t="s">
        <v>22</v>
      </c>
      <c r="J319" s="2">
        <v>45821</v>
      </c>
      <c r="K319" s="2">
        <v>45825</v>
      </c>
      <c r="L319" t="s">
        <v>8</v>
      </c>
      <c r="M319" t="s">
        <v>1002</v>
      </c>
      <c r="N319" t="s">
        <v>10</v>
      </c>
      <c r="O319" t="s">
        <v>11</v>
      </c>
      <c r="P319" t="s">
        <v>12</v>
      </c>
      <c r="Q319" t="s">
        <v>24</v>
      </c>
      <c r="R319" t="s">
        <v>14</v>
      </c>
      <c r="S319" s="3">
        <v>586.09</v>
      </c>
      <c r="T319" t="s">
        <v>15</v>
      </c>
      <c r="U319" s="3">
        <v>50105.29</v>
      </c>
      <c r="V319" t="s">
        <v>16</v>
      </c>
      <c r="W319" t="s">
        <v>17</v>
      </c>
      <c r="X319" t="s">
        <v>12</v>
      </c>
      <c r="Y319" t="s">
        <v>8</v>
      </c>
      <c r="Z319" t="s">
        <v>18</v>
      </c>
      <c r="AA319" t="s">
        <v>1003</v>
      </c>
      <c r="AB319" t="s">
        <v>12</v>
      </c>
      <c r="AC319" t="s">
        <v>12</v>
      </c>
      <c r="AD319" t="s">
        <v>12</v>
      </c>
      <c r="AE319" s="2">
        <v>45821</v>
      </c>
      <c r="AF319" s="2"/>
      <c r="AG319" t="s">
        <v>12</v>
      </c>
    </row>
    <row r="320" spans="1:33" outlineLevel="2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140</v>
      </c>
      <c r="G320" s="2">
        <v>45758</v>
      </c>
      <c r="H320" t="s">
        <v>1004</v>
      </c>
      <c r="I320" t="s">
        <v>1005</v>
      </c>
      <c r="J320" s="2">
        <v>45758</v>
      </c>
      <c r="K320" s="2">
        <v>45758</v>
      </c>
      <c r="L320" t="s">
        <v>12</v>
      </c>
      <c r="M320" t="s">
        <v>12</v>
      </c>
      <c r="N320" t="s">
        <v>10</v>
      </c>
      <c r="O320" t="s">
        <v>11</v>
      </c>
      <c r="P320" t="s">
        <v>12</v>
      </c>
      <c r="Q320" t="s">
        <v>1006</v>
      </c>
      <c r="R320" t="s">
        <v>15</v>
      </c>
      <c r="S320" s="3">
        <v>1</v>
      </c>
      <c r="T320" t="s">
        <v>15</v>
      </c>
      <c r="U320" s="3">
        <v>1</v>
      </c>
      <c r="V320" t="s">
        <v>12</v>
      </c>
      <c r="W320" t="s">
        <v>17</v>
      </c>
      <c r="X320" t="s">
        <v>12</v>
      </c>
      <c r="Y320" t="s">
        <v>12</v>
      </c>
      <c r="Z320" t="s">
        <v>18</v>
      </c>
      <c r="AA320" t="s">
        <v>1007</v>
      </c>
      <c r="AB320" t="s">
        <v>12</v>
      </c>
      <c r="AC320" t="s">
        <v>12</v>
      </c>
      <c r="AD320" t="s">
        <v>12</v>
      </c>
      <c r="AE320" s="2">
        <v>45758</v>
      </c>
      <c r="AF320" s="2">
        <v>45758</v>
      </c>
      <c r="AG320" t="s">
        <v>1004</v>
      </c>
    </row>
    <row r="321" spans="1:33" outlineLevel="2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140</v>
      </c>
      <c r="G321" s="2">
        <v>45758</v>
      </c>
      <c r="H321" t="s">
        <v>1004</v>
      </c>
      <c r="I321" t="s">
        <v>1005</v>
      </c>
      <c r="J321" s="2">
        <v>45758</v>
      </c>
      <c r="K321" s="2">
        <v>45758</v>
      </c>
      <c r="L321" t="s">
        <v>12</v>
      </c>
      <c r="M321" t="s">
        <v>12</v>
      </c>
      <c r="N321" t="s">
        <v>10</v>
      </c>
      <c r="O321" t="s">
        <v>11</v>
      </c>
      <c r="P321" t="s">
        <v>12</v>
      </c>
      <c r="Q321" t="s">
        <v>1008</v>
      </c>
      <c r="R321" t="s">
        <v>15</v>
      </c>
      <c r="S321" s="3">
        <v>-1</v>
      </c>
      <c r="T321" t="s">
        <v>15</v>
      </c>
      <c r="U321" s="3">
        <v>-1</v>
      </c>
      <c r="V321" t="s">
        <v>12</v>
      </c>
      <c r="W321" t="s">
        <v>17</v>
      </c>
      <c r="X321" t="s">
        <v>12</v>
      </c>
      <c r="Y321" t="s">
        <v>12</v>
      </c>
      <c r="Z321" t="s">
        <v>358</v>
      </c>
      <c r="AA321" t="s">
        <v>1007</v>
      </c>
      <c r="AB321" t="s">
        <v>12</v>
      </c>
      <c r="AC321" t="s">
        <v>12</v>
      </c>
      <c r="AD321" t="s">
        <v>12</v>
      </c>
      <c r="AE321" s="2">
        <v>45758</v>
      </c>
      <c r="AF321" s="2">
        <v>45758</v>
      </c>
      <c r="AG321" t="s">
        <v>1004</v>
      </c>
    </row>
    <row r="322" spans="1:33" outlineLevel="2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313</v>
      </c>
      <c r="G322" s="2">
        <v>45902</v>
      </c>
      <c r="H322" t="s">
        <v>207</v>
      </c>
      <c r="I322" t="s">
        <v>1009</v>
      </c>
      <c r="J322" s="2">
        <v>45902</v>
      </c>
      <c r="K322" s="2">
        <v>45902</v>
      </c>
      <c r="L322" t="s">
        <v>12</v>
      </c>
      <c r="M322" t="s">
        <v>12</v>
      </c>
      <c r="N322" t="s">
        <v>10</v>
      </c>
      <c r="O322" t="s">
        <v>11</v>
      </c>
      <c r="P322" t="s">
        <v>12</v>
      </c>
      <c r="Q322" t="s">
        <v>1010</v>
      </c>
      <c r="R322" t="s">
        <v>15</v>
      </c>
      <c r="S322" s="3">
        <v>79944.34</v>
      </c>
      <c r="T322" t="s">
        <v>15</v>
      </c>
      <c r="U322" s="3">
        <v>78561.62</v>
      </c>
      <c r="V322" t="s">
        <v>12</v>
      </c>
      <c r="W322" t="s">
        <v>17</v>
      </c>
      <c r="X322" t="s">
        <v>12</v>
      </c>
      <c r="Y322" t="s">
        <v>12</v>
      </c>
      <c r="Z322" t="s">
        <v>18</v>
      </c>
      <c r="AA322" t="s">
        <v>12</v>
      </c>
      <c r="AB322" t="s">
        <v>12</v>
      </c>
      <c r="AC322" t="s">
        <v>12</v>
      </c>
      <c r="AD322" t="s">
        <v>12</v>
      </c>
      <c r="AE322" s="2">
        <v>45902</v>
      </c>
      <c r="AF322" s="2">
        <v>45902</v>
      </c>
      <c r="AG322" t="s">
        <v>207</v>
      </c>
    </row>
    <row r="323" spans="1:33" outlineLevel="2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313</v>
      </c>
      <c r="G323" s="2">
        <v>45902</v>
      </c>
      <c r="H323" t="s">
        <v>207</v>
      </c>
      <c r="I323" t="s">
        <v>1009</v>
      </c>
      <c r="J323" s="2">
        <v>45902</v>
      </c>
      <c r="K323" s="2">
        <v>45902</v>
      </c>
      <c r="L323" t="s">
        <v>12</v>
      </c>
      <c r="M323" t="s">
        <v>12</v>
      </c>
      <c r="N323" t="s">
        <v>10</v>
      </c>
      <c r="O323" t="s">
        <v>11</v>
      </c>
      <c r="P323" t="s">
        <v>12</v>
      </c>
      <c r="Q323" t="s">
        <v>484</v>
      </c>
      <c r="R323" t="s">
        <v>15</v>
      </c>
      <c r="S323" s="3">
        <v>-79944.34</v>
      </c>
      <c r="T323" t="s">
        <v>15</v>
      </c>
      <c r="U323" s="3">
        <v>-78095.820000000007</v>
      </c>
      <c r="V323" t="s">
        <v>12</v>
      </c>
      <c r="W323" t="s">
        <v>17</v>
      </c>
      <c r="X323" t="s">
        <v>12</v>
      </c>
      <c r="Y323" t="s">
        <v>12</v>
      </c>
      <c r="Z323" t="s">
        <v>358</v>
      </c>
      <c r="AA323" t="s">
        <v>12</v>
      </c>
      <c r="AB323" t="s">
        <v>12</v>
      </c>
      <c r="AC323" t="s">
        <v>12</v>
      </c>
      <c r="AD323" t="s">
        <v>12</v>
      </c>
      <c r="AE323" s="2">
        <v>45902</v>
      </c>
      <c r="AF323" s="2">
        <v>45902</v>
      </c>
      <c r="AG323" t="s">
        <v>207</v>
      </c>
    </row>
    <row r="324" spans="1:33" outlineLevel="2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s="2">
        <v>45854</v>
      </c>
      <c r="H324" t="s">
        <v>20</v>
      </c>
      <c r="I324" t="s">
        <v>1009</v>
      </c>
      <c r="J324" s="2">
        <v>45854</v>
      </c>
      <c r="K324" s="2">
        <v>45855</v>
      </c>
      <c r="L324" t="s">
        <v>8</v>
      </c>
      <c r="M324" t="s">
        <v>12</v>
      </c>
      <c r="N324" t="s">
        <v>10</v>
      </c>
      <c r="O324" t="s">
        <v>11</v>
      </c>
      <c r="P324" t="s">
        <v>12</v>
      </c>
      <c r="Q324" t="s">
        <v>1010</v>
      </c>
      <c r="R324" t="s">
        <v>14</v>
      </c>
      <c r="S324" s="3">
        <v>1793.99</v>
      </c>
      <c r="T324" t="s">
        <v>15</v>
      </c>
      <c r="U324" s="3">
        <v>154827.9</v>
      </c>
      <c r="V324" t="s">
        <v>12</v>
      </c>
      <c r="W324" t="s">
        <v>17</v>
      </c>
      <c r="X324" t="s">
        <v>12</v>
      </c>
      <c r="Y324" t="s">
        <v>12</v>
      </c>
      <c r="Z324" t="s">
        <v>18</v>
      </c>
      <c r="AA324" t="s">
        <v>12</v>
      </c>
      <c r="AB324" t="s">
        <v>12</v>
      </c>
      <c r="AC324" t="s">
        <v>12</v>
      </c>
      <c r="AD324" t="s">
        <v>12</v>
      </c>
      <c r="AE324" s="2">
        <v>45854</v>
      </c>
      <c r="AF324" s="2">
        <v>45854</v>
      </c>
      <c r="AG324" t="s">
        <v>20</v>
      </c>
    </row>
    <row r="325" spans="1:33" outlineLevel="2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45854</v>
      </c>
      <c r="H325" t="s">
        <v>20</v>
      </c>
      <c r="I325" t="s">
        <v>1009</v>
      </c>
      <c r="J325" s="2">
        <v>45854</v>
      </c>
      <c r="K325" s="2">
        <v>45855</v>
      </c>
      <c r="L325" t="s">
        <v>8</v>
      </c>
      <c r="M325" t="s">
        <v>12</v>
      </c>
      <c r="N325" t="s">
        <v>10</v>
      </c>
      <c r="O325" t="s">
        <v>11</v>
      </c>
      <c r="P325" t="s">
        <v>12</v>
      </c>
      <c r="Q325" t="s">
        <v>484</v>
      </c>
      <c r="R325" t="s">
        <v>14</v>
      </c>
      <c r="S325" s="3">
        <v>-1793.99</v>
      </c>
      <c r="T325" t="s">
        <v>15</v>
      </c>
      <c r="U325" s="3">
        <v>-154827.9</v>
      </c>
      <c r="V325" t="s">
        <v>12</v>
      </c>
      <c r="W325" t="s">
        <v>17</v>
      </c>
      <c r="X325" t="s">
        <v>12</v>
      </c>
      <c r="Y325" t="s">
        <v>12</v>
      </c>
      <c r="Z325" t="s">
        <v>358</v>
      </c>
      <c r="AA325" t="s">
        <v>12</v>
      </c>
      <c r="AB325" t="s">
        <v>12</v>
      </c>
      <c r="AC325" t="s">
        <v>12</v>
      </c>
      <c r="AD325" t="s">
        <v>12</v>
      </c>
      <c r="AE325" s="2">
        <v>45854</v>
      </c>
      <c r="AF325" s="2">
        <v>45854</v>
      </c>
      <c r="AG325" t="s">
        <v>20</v>
      </c>
    </row>
    <row r="326" spans="1:33" outlineLevel="2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45854</v>
      </c>
      <c r="H326" t="s">
        <v>29</v>
      </c>
      <c r="I326" t="s">
        <v>1009</v>
      </c>
      <c r="J326" s="2">
        <v>45854</v>
      </c>
      <c r="K326" s="2">
        <v>45855</v>
      </c>
      <c r="L326" t="s">
        <v>8</v>
      </c>
      <c r="M326" t="s">
        <v>12</v>
      </c>
      <c r="N326" t="s">
        <v>10</v>
      </c>
      <c r="O326" t="s">
        <v>11</v>
      </c>
      <c r="P326" t="s">
        <v>12</v>
      </c>
      <c r="Q326" t="s">
        <v>1010</v>
      </c>
      <c r="R326" t="s">
        <v>14</v>
      </c>
      <c r="S326" s="3">
        <v>705</v>
      </c>
      <c r="T326" t="s">
        <v>15</v>
      </c>
      <c r="U326" s="3">
        <v>60844.08</v>
      </c>
      <c r="V326" t="s">
        <v>12</v>
      </c>
      <c r="W326" t="s">
        <v>17</v>
      </c>
      <c r="X326" t="s">
        <v>12</v>
      </c>
      <c r="Y326" t="s">
        <v>12</v>
      </c>
      <c r="Z326" t="s">
        <v>18</v>
      </c>
      <c r="AA326" t="s">
        <v>12</v>
      </c>
      <c r="AB326" t="s">
        <v>12</v>
      </c>
      <c r="AC326" t="s">
        <v>12</v>
      </c>
      <c r="AD326" t="s">
        <v>12</v>
      </c>
      <c r="AE326" s="2">
        <v>45854</v>
      </c>
      <c r="AF326" s="2">
        <v>45854</v>
      </c>
      <c r="AG326" t="s">
        <v>29</v>
      </c>
    </row>
    <row r="327" spans="1:33" outlineLevel="2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2">
        <v>45854</v>
      </c>
      <c r="H327" t="s">
        <v>29</v>
      </c>
      <c r="I327" t="s">
        <v>1009</v>
      </c>
      <c r="J327" s="2">
        <v>45854</v>
      </c>
      <c r="K327" s="2">
        <v>45855</v>
      </c>
      <c r="L327" t="s">
        <v>8</v>
      </c>
      <c r="M327" t="s">
        <v>12</v>
      </c>
      <c r="N327" t="s">
        <v>10</v>
      </c>
      <c r="O327" t="s">
        <v>11</v>
      </c>
      <c r="P327" t="s">
        <v>12</v>
      </c>
      <c r="Q327" t="s">
        <v>484</v>
      </c>
      <c r="R327" t="s">
        <v>14</v>
      </c>
      <c r="S327" s="3">
        <v>-705</v>
      </c>
      <c r="T327" t="s">
        <v>15</v>
      </c>
      <c r="U327" s="3">
        <v>-60844.08</v>
      </c>
      <c r="V327" t="s">
        <v>12</v>
      </c>
      <c r="W327" t="s">
        <v>17</v>
      </c>
      <c r="X327" t="s">
        <v>12</v>
      </c>
      <c r="Y327" t="s">
        <v>12</v>
      </c>
      <c r="Z327" t="s">
        <v>358</v>
      </c>
      <c r="AA327" t="s">
        <v>12</v>
      </c>
      <c r="AB327" t="s">
        <v>12</v>
      </c>
      <c r="AC327" t="s">
        <v>12</v>
      </c>
      <c r="AD327" t="s">
        <v>12</v>
      </c>
      <c r="AE327" s="2">
        <v>45854</v>
      </c>
      <c r="AF327" s="2">
        <v>45854</v>
      </c>
      <c r="AG327" t="s">
        <v>29</v>
      </c>
    </row>
    <row r="328" spans="1:33" outlineLevel="2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s="2">
        <v>45854</v>
      </c>
      <c r="H328" t="s">
        <v>36</v>
      </c>
      <c r="I328" t="s">
        <v>1009</v>
      </c>
      <c r="J328" s="2">
        <v>45854</v>
      </c>
      <c r="K328" s="2">
        <v>45855</v>
      </c>
      <c r="L328" t="s">
        <v>8</v>
      </c>
      <c r="M328" t="s">
        <v>12</v>
      </c>
      <c r="N328" t="s">
        <v>10</v>
      </c>
      <c r="O328" t="s">
        <v>11</v>
      </c>
      <c r="P328" t="s">
        <v>12</v>
      </c>
      <c r="Q328" t="s">
        <v>1010</v>
      </c>
      <c r="R328" t="s">
        <v>14</v>
      </c>
      <c r="S328" s="3">
        <v>216.2</v>
      </c>
      <c r="T328" t="s">
        <v>15</v>
      </c>
      <c r="U328" s="3">
        <v>18742.650000000001</v>
      </c>
      <c r="V328" t="s">
        <v>12</v>
      </c>
      <c r="W328" t="s">
        <v>17</v>
      </c>
      <c r="X328" t="s">
        <v>12</v>
      </c>
      <c r="Y328" t="s">
        <v>12</v>
      </c>
      <c r="Z328" t="s">
        <v>18</v>
      </c>
      <c r="AA328" t="s">
        <v>12</v>
      </c>
      <c r="AB328" t="s">
        <v>12</v>
      </c>
      <c r="AC328" t="s">
        <v>12</v>
      </c>
      <c r="AD328" t="s">
        <v>12</v>
      </c>
      <c r="AE328" s="2">
        <v>45854</v>
      </c>
      <c r="AF328" s="2">
        <v>45854</v>
      </c>
      <c r="AG328" t="s">
        <v>36</v>
      </c>
    </row>
    <row r="329" spans="1:33" outlineLevel="2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2">
        <v>45854</v>
      </c>
      <c r="H329" t="s">
        <v>36</v>
      </c>
      <c r="I329" t="s">
        <v>1009</v>
      </c>
      <c r="J329" s="2">
        <v>45854</v>
      </c>
      <c r="K329" s="2">
        <v>45855</v>
      </c>
      <c r="L329" t="s">
        <v>8</v>
      </c>
      <c r="M329" t="s">
        <v>12</v>
      </c>
      <c r="N329" t="s">
        <v>10</v>
      </c>
      <c r="O329" t="s">
        <v>11</v>
      </c>
      <c r="P329" t="s">
        <v>12</v>
      </c>
      <c r="Q329" t="s">
        <v>484</v>
      </c>
      <c r="R329" t="s">
        <v>14</v>
      </c>
      <c r="S329" s="3">
        <v>-216.2</v>
      </c>
      <c r="T329" t="s">
        <v>15</v>
      </c>
      <c r="U329" s="3">
        <v>-18742.650000000001</v>
      </c>
      <c r="V329" t="s">
        <v>12</v>
      </c>
      <c r="W329" t="s">
        <v>17</v>
      </c>
      <c r="X329" t="s">
        <v>12</v>
      </c>
      <c r="Y329" t="s">
        <v>12</v>
      </c>
      <c r="Z329" t="s">
        <v>358</v>
      </c>
      <c r="AA329" t="s">
        <v>12</v>
      </c>
      <c r="AB329" t="s">
        <v>12</v>
      </c>
      <c r="AC329" t="s">
        <v>12</v>
      </c>
      <c r="AD329" t="s">
        <v>12</v>
      </c>
      <c r="AE329" s="2">
        <v>45854</v>
      </c>
      <c r="AF329" s="2">
        <v>45854</v>
      </c>
      <c r="AG329" t="s">
        <v>36</v>
      </c>
    </row>
    <row r="330" spans="1:33" outlineLevel="2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s="2">
        <v>45854</v>
      </c>
      <c r="H330" t="s">
        <v>43</v>
      </c>
      <c r="I330" t="s">
        <v>1009</v>
      </c>
      <c r="J330" s="2">
        <v>45854</v>
      </c>
      <c r="K330" s="2">
        <v>45855</v>
      </c>
      <c r="L330" t="s">
        <v>8</v>
      </c>
      <c r="M330" t="s">
        <v>12</v>
      </c>
      <c r="N330" t="s">
        <v>10</v>
      </c>
      <c r="O330" t="s">
        <v>11</v>
      </c>
      <c r="P330" t="s">
        <v>12</v>
      </c>
      <c r="Q330" t="s">
        <v>1010</v>
      </c>
      <c r="R330" t="s">
        <v>14</v>
      </c>
      <c r="S330" s="3">
        <v>1926.06</v>
      </c>
      <c r="T330" t="s">
        <v>15</v>
      </c>
      <c r="U330" s="3">
        <v>166972.57</v>
      </c>
      <c r="V330" t="s">
        <v>12</v>
      </c>
      <c r="W330" t="s">
        <v>17</v>
      </c>
      <c r="X330" t="s">
        <v>12</v>
      </c>
      <c r="Y330" t="s">
        <v>12</v>
      </c>
      <c r="Z330" t="s">
        <v>18</v>
      </c>
      <c r="AA330" t="s">
        <v>12</v>
      </c>
      <c r="AB330" t="s">
        <v>12</v>
      </c>
      <c r="AC330" t="s">
        <v>12</v>
      </c>
      <c r="AD330" t="s">
        <v>12</v>
      </c>
      <c r="AE330" s="2">
        <v>45854</v>
      </c>
      <c r="AF330" s="2">
        <v>45854</v>
      </c>
      <c r="AG330" t="s">
        <v>43</v>
      </c>
    </row>
    <row r="331" spans="1:33" outlineLevel="2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s="2">
        <v>45854</v>
      </c>
      <c r="H331" t="s">
        <v>43</v>
      </c>
      <c r="I331" t="s">
        <v>1009</v>
      </c>
      <c r="J331" s="2">
        <v>45854</v>
      </c>
      <c r="K331" s="2">
        <v>45855</v>
      </c>
      <c r="L331" t="s">
        <v>8</v>
      </c>
      <c r="M331" t="s">
        <v>12</v>
      </c>
      <c r="N331" t="s">
        <v>10</v>
      </c>
      <c r="O331" t="s">
        <v>11</v>
      </c>
      <c r="P331" t="s">
        <v>12</v>
      </c>
      <c r="Q331" t="s">
        <v>484</v>
      </c>
      <c r="R331" t="s">
        <v>14</v>
      </c>
      <c r="S331" s="3">
        <v>-1926.06</v>
      </c>
      <c r="T331" t="s">
        <v>15</v>
      </c>
      <c r="U331" s="3">
        <v>-166972.57</v>
      </c>
      <c r="V331" t="s">
        <v>12</v>
      </c>
      <c r="W331" t="s">
        <v>17</v>
      </c>
      <c r="X331" t="s">
        <v>12</v>
      </c>
      <c r="Y331" t="s">
        <v>12</v>
      </c>
      <c r="Z331" t="s">
        <v>358</v>
      </c>
      <c r="AA331" t="s">
        <v>12</v>
      </c>
      <c r="AB331" t="s">
        <v>12</v>
      </c>
      <c r="AC331" t="s">
        <v>12</v>
      </c>
      <c r="AD331" t="s">
        <v>12</v>
      </c>
      <c r="AE331" s="2">
        <v>45854</v>
      </c>
      <c r="AF331" s="2">
        <v>45854</v>
      </c>
      <c r="AG331" t="s">
        <v>43</v>
      </c>
    </row>
    <row r="332" spans="1:33" outlineLevel="2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s="2">
        <v>45854</v>
      </c>
      <c r="H332" t="s">
        <v>50</v>
      </c>
      <c r="I332" t="s">
        <v>1009</v>
      </c>
      <c r="J332" s="2">
        <v>45854</v>
      </c>
      <c r="K332" s="2">
        <v>45855</v>
      </c>
      <c r="L332" t="s">
        <v>8</v>
      </c>
      <c r="M332" t="s">
        <v>12</v>
      </c>
      <c r="N332" t="s">
        <v>10</v>
      </c>
      <c r="O332" t="s">
        <v>11</v>
      </c>
      <c r="P332" t="s">
        <v>12</v>
      </c>
      <c r="Q332" t="s">
        <v>1010</v>
      </c>
      <c r="R332" t="s">
        <v>14</v>
      </c>
      <c r="S332" s="3">
        <v>531.9</v>
      </c>
      <c r="T332" t="s">
        <v>15</v>
      </c>
      <c r="U332" s="3">
        <v>46111.08</v>
      </c>
      <c r="V332" t="s">
        <v>12</v>
      </c>
      <c r="W332" t="s">
        <v>17</v>
      </c>
      <c r="X332" t="s">
        <v>12</v>
      </c>
      <c r="Y332" t="s">
        <v>12</v>
      </c>
      <c r="Z332" t="s">
        <v>18</v>
      </c>
      <c r="AA332" t="s">
        <v>12</v>
      </c>
      <c r="AB332" t="s">
        <v>12</v>
      </c>
      <c r="AC332" t="s">
        <v>12</v>
      </c>
      <c r="AD332" t="s">
        <v>12</v>
      </c>
      <c r="AE332" s="2">
        <v>45854</v>
      </c>
      <c r="AF332" s="2">
        <v>45854</v>
      </c>
      <c r="AG332" t="s">
        <v>50</v>
      </c>
    </row>
    <row r="333" spans="1:33" outlineLevel="2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2">
        <v>45854</v>
      </c>
      <c r="H333" t="s">
        <v>50</v>
      </c>
      <c r="I333" t="s">
        <v>1009</v>
      </c>
      <c r="J333" s="2">
        <v>45854</v>
      </c>
      <c r="K333" s="2">
        <v>45855</v>
      </c>
      <c r="L333" t="s">
        <v>8</v>
      </c>
      <c r="M333" t="s">
        <v>12</v>
      </c>
      <c r="N333" t="s">
        <v>10</v>
      </c>
      <c r="O333" t="s">
        <v>11</v>
      </c>
      <c r="P333" t="s">
        <v>12</v>
      </c>
      <c r="Q333" t="s">
        <v>484</v>
      </c>
      <c r="R333" t="s">
        <v>14</v>
      </c>
      <c r="S333" s="3">
        <v>-531.9</v>
      </c>
      <c r="T333" t="s">
        <v>15</v>
      </c>
      <c r="U333" s="3">
        <v>-46111.08</v>
      </c>
      <c r="V333" t="s">
        <v>12</v>
      </c>
      <c r="W333" t="s">
        <v>17</v>
      </c>
      <c r="X333" t="s">
        <v>12</v>
      </c>
      <c r="Y333" t="s">
        <v>12</v>
      </c>
      <c r="Z333" t="s">
        <v>358</v>
      </c>
      <c r="AA333" t="s">
        <v>12</v>
      </c>
      <c r="AB333" t="s">
        <v>12</v>
      </c>
      <c r="AC333" t="s">
        <v>12</v>
      </c>
      <c r="AD333" t="s">
        <v>12</v>
      </c>
      <c r="AE333" s="2">
        <v>45854</v>
      </c>
      <c r="AF333" s="2">
        <v>45854</v>
      </c>
      <c r="AG333" t="s">
        <v>50</v>
      </c>
    </row>
    <row r="334" spans="1:33" outlineLevel="2" x14ac:dyDescent="0.25">
      <c r="A334" t="s">
        <v>129</v>
      </c>
      <c r="B334" t="s">
        <v>1</v>
      </c>
      <c r="C334" t="s">
        <v>2</v>
      </c>
      <c r="D334" t="s">
        <v>3</v>
      </c>
      <c r="E334" t="s">
        <v>4</v>
      </c>
      <c r="F334" t="s">
        <v>176</v>
      </c>
      <c r="G334" s="2">
        <v>45946</v>
      </c>
      <c r="H334" t="s">
        <v>1011</v>
      </c>
      <c r="I334" t="s">
        <v>482</v>
      </c>
      <c r="J334" s="2">
        <v>45946</v>
      </c>
      <c r="K334" s="2">
        <v>45946</v>
      </c>
      <c r="L334" t="s">
        <v>1012</v>
      </c>
      <c r="M334" t="s">
        <v>12</v>
      </c>
      <c r="N334" t="s">
        <v>10</v>
      </c>
      <c r="O334" t="s">
        <v>11</v>
      </c>
      <c r="P334" t="s">
        <v>12</v>
      </c>
      <c r="Q334" t="s">
        <v>484</v>
      </c>
      <c r="R334" t="s">
        <v>15</v>
      </c>
      <c r="S334" s="3">
        <v>-500000</v>
      </c>
      <c r="T334" t="s">
        <v>15</v>
      </c>
      <c r="U334" s="3">
        <v>-500000</v>
      </c>
      <c r="V334" t="s">
        <v>12</v>
      </c>
      <c r="W334" t="s">
        <v>485</v>
      </c>
      <c r="X334" t="s">
        <v>12</v>
      </c>
      <c r="Y334" t="s">
        <v>12</v>
      </c>
      <c r="Z334" t="s">
        <v>358</v>
      </c>
      <c r="AA334" t="s">
        <v>12</v>
      </c>
      <c r="AB334" t="s">
        <v>12</v>
      </c>
      <c r="AC334" t="s">
        <v>12</v>
      </c>
      <c r="AD334" t="s">
        <v>12</v>
      </c>
      <c r="AE334" s="2">
        <v>45946</v>
      </c>
      <c r="AF334" s="2"/>
      <c r="AG334" t="s">
        <v>12</v>
      </c>
    </row>
    <row r="335" spans="1:33" outlineLevel="2" x14ac:dyDescent="0.25">
      <c r="A335" t="s">
        <v>129</v>
      </c>
      <c r="B335" t="s">
        <v>1</v>
      </c>
      <c r="C335" t="s">
        <v>2</v>
      </c>
      <c r="D335" t="s">
        <v>3</v>
      </c>
      <c r="E335" t="s">
        <v>4</v>
      </c>
      <c r="F335" t="s">
        <v>176</v>
      </c>
      <c r="G335" s="2">
        <v>45959</v>
      </c>
      <c r="H335" t="s">
        <v>1013</v>
      </c>
      <c r="I335" t="s">
        <v>482</v>
      </c>
      <c r="J335" s="2">
        <v>45959</v>
      </c>
      <c r="K335" s="2">
        <v>45959</v>
      </c>
      <c r="L335" t="s">
        <v>1014</v>
      </c>
      <c r="M335" t="s">
        <v>12</v>
      </c>
      <c r="N335" t="s">
        <v>10</v>
      </c>
      <c r="O335" t="s">
        <v>11</v>
      </c>
      <c r="P335" t="s">
        <v>12</v>
      </c>
      <c r="Q335" t="s">
        <v>484</v>
      </c>
      <c r="R335" t="s">
        <v>15</v>
      </c>
      <c r="S335" s="3">
        <v>-500000</v>
      </c>
      <c r="T335" t="s">
        <v>15</v>
      </c>
      <c r="U335" s="3">
        <v>-500000</v>
      </c>
      <c r="V335" t="s">
        <v>12</v>
      </c>
      <c r="W335" t="s">
        <v>485</v>
      </c>
      <c r="X335" t="s">
        <v>12</v>
      </c>
      <c r="Y335" t="s">
        <v>12</v>
      </c>
      <c r="Z335" t="s">
        <v>358</v>
      </c>
      <c r="AA335" t="s">
        <v>12</v>
      </c>
      <c r="AB335" t="s">
        <v>12</v>
      </c>
      <c r="AC335" t="s">
        <v>12</v>
      </c>
      <c r="AD335" t="s">
        <v>12</v>
      </c>
      <c r="AE335" s="2">
        <v>45959</v>
      </c>
      <c r="AF335" s="2"/>
      <c r="AG335" t="s">
        <v>12</v>
      </c>
    </row>
    <row r="336" spans="1:33" outlineLevel="2" x14ac:dyDescent="0.25">
      <c r="A336" t="s">
        <v>129</v>
      </c>
      <c r="B336" t="s">
        <v>1</v>
      </c>
      <c r="C336" t="s">
        <v>2</v>
      </c>
      <c r="D336" t="s">
        <v>3</v>
      </c>
      <c r="E336" t="s">
        <v>4</v>
      </c>
      <c r="F336" t="s">
        <v>13</v>
      </c>
      <c r="G336" s="2">
        <v>45972</v>
      </c>
      <c r="H336" t="s">
        <v>1015</v>
      </c>
      <c r="I336" t="s">
        <v>482</v>
      </c>
      <c r="J336" s="2">
        <v>45972</v>
      </c>
      <c r="K336" s="2">
        <v>45972</v>
      </c>
      <c r="L336" t="s">
        <v>1016</v>
      </c>
      <c r="M336" t="s">
        <v>12</v>
      </c>
      <c r="N336" t="s">
        <v>10</v>
      </c>
      <c r="O336" t="s">
        <v>11</v>
      </c>
      <c r="P336" t="s">
        <v>12</v>
      </c>
      <c r="Q336" t="s">
        <v>484</v>
      </c>
      <c r="R336" t="s">
        <v>15</v>
      </c>
      <c r="S336" s="3">
        <v>-500000</v>
      </c>
      <c r="T336" t="s">
        <v>15</v>
      </c>
      <c r="U336" s="3">
        <v>-500000</v>
      </c>
      <c r="V336" t="s">
        <v>12</v>
      </c>
      <c r="W336" t="s">
        <v>485</v>
      </c>
      <c r="X336" t="s">
        <v>12</v>
      </c>
      <c r="Y336" t="s">
        <v>12</v>
      </c>
      <c r="Z336" t="s">
        <v>358</v>
      </c>
      <c r="AA336" t="s">
        <v>12</v>
      </c>
      <c r="AB336" t="s">
        <v>12</v>
      </c>
      <c r="AC336" t="s">
        <v>12</v>
      </c>
      <c r="AD336" t="s">
        <v>12</v>
      </c>
      <c r="AE336" s="2">
        <v>45972</v>
      </c>
      <c r="AF336" s="2"/>
      <c r="AG336" t="s">
        <v>12</v>
      </c>
    </row>
    <row r="337" spans="1:33" outlineLevel="2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13</v>
      </c>
      <c r="G337" s="2">
        <v>45972</v>
      </c>
      <c r="H337" t="s">
        <v>1017</v>
      </c>
      <c r="I337" t="s">
        <v>482</v>
      </c>
      <c r="J337" s="2">
        <v>45972</v>
      </c>
      <c r="K337" s="2">
        <v>45985</v>
      </c>
      <c r="L337" t="s">
        <v>1016</v>
      </c>
      <c r="M337" t="s">
        <v>12</v>
      </c>
      <c r="N337" t="s">
        <v>10</v>
      </c>
      <c r="O337" t="s">
        <v>11</v>
      </c>
      <c r="P337" t="s">
        <v>12</v>
      </c>
      <c r="Q337" t="s">
        <v>1018</v>
      </c>
      <c r="R337" t="s">
        <v>15</v>
      </c>
      <c r="S337" s="3">
        <v>500000</v>
      </c>
      <c r="T337" t="s">
        <v>15</v>
      </c>
      <c r="U337" s="3">
        <v>500000</v>
      </c>
      <c r="V337" t="s">
        <v>12</v>
      </c>
      <c r="W337" t="s">
        <v>485</v>
      </c>
      <c r="X337" t="s">
        <v>12</v>
      </c>
      <c r="Y337" t="s">
        <v>12</v>
      </c>
      <c r="Z337" t="s">
        <v>358</v>
      </c>
      <c r="AA337" t="s">
        <v>12</v>
      </c>
      <c r="AB337" t="s">
        <v>12</v>
      </c>
      <c r="AC337" t="s">
        <v>12</v>
      </c>
      <c r="AD337" t="s">
        <v>12</v>
      </c>
      <c r="AE337" s="2">
        <v>45972</v>
      </c>
      <c r="AF337" s="2">
        <v>45972</v>
      </c>
      <c r="AG337" t="s">
        <v>1017</v>
      </c>
    </row>
    <row r="338" spans="1:33" outlineLevel="2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13</v>
      </c>
      <c r="G338" s="2">
        <v>45972</v>
      </c>
      <c r="H338" t="s">
        <v>1019</v>
      </c>
      <c r="I338" t="s">
        <v>482</v>
      </c>
      <c r="J338" s="2">
        <v>45972</v>
      </c>
      <c r="K338" s="2">
        <v>45972</v>
      </c>
      <c r="L338" t="s">
        <v>1016</v>
      </c>
      <c r="M338" t="s">
        <v>12</v>
      </c>
      <c r="N338" t="s">
        <v>10</v>
      </c>
      <c r="O338" t="s">
        <v>11</v>
      </c>
      <c r="P338" t="s">
        <v>12</v>
      </c>
      <c r="Q338" t="s">
        <v>484</v>
      </c>
      <c r="R338" t="s">
        <v>15</v>
      </c>
      <c r="S338" s="3">
        <v>-500000</v>
      </c>
      <c r="T338" t="s">
        <v>15</v>
      </c>
      <c r="U338" s="3">
        <v>-500000</v>
      </c>
      <c r="V338" t="s">
        <v>12</v>
      </c>
      <c r="W338" t="s">
        <v>485</v>
      </c>
      <c r="X338" t="s">
        <v>12</v>
      </c>
      <c r="Y338" t="s">
        <v>12</v>
      </c>
      <c r="Z338" t="s">
        <v>358</v>
      </c>
      <c r="AA338" t="s">
        <v>12</v>
      </c>
      <c r="AB338" t="s">
        <v>12</v>
      </c>
      <c r="AC338" t="s">
        <v>12</v>
      </c>
      <c r="AD338" t="s">
        <v>12</v>
      </c>
      <c r="AE338" s="2">
        <v>45972</v>
      </c>
      <c r="AF338" s="2">
        <v>45972</v>
      </c>
      <c r="AG338" t="s">
        <v>1017</v>
      </c>
    </row>
    <row r="339" spans="1:33" outlineLevel="2" x14ac:dyDescent="0.25">
      <c r="A339" t="s">
        <v>129</v>
      </c>
      <c r="B339" t="s">
        <v>1</v>
      </c>
      <c r="C339" t="s">
        <v>2</v>
      </c>
      <c r="D339" t="s">
        <v>3</v>
      </c>
      <c r="E339" t="s">
        <v>4</v>
      </c>
      <c r="F339" t="s">
        <v>334</v>
      </c>
      <c r="G339" s="2">
        <v>46007</v>
      </c>
      <c r="H339" t="s">
        <v>1020</v>
      </c>
      <c r="I339" t="s">
        <v>482</v>
      </c>
      <c r="J339" s="2">
        <v>46007</v>
      </c>
      <c r="K339" s="2">
        <v>46007</v>
      </c>
      <c r="L339" t="s">
        <v>1021</v>
      </c>
      <c r="M339" t="s">
        <v>12</v>
      </c>
      <c r="N339" t="s">
        <v>10</v>
      </c>
      <c r="O339" t="s">
        <v>11</v>
      </c>
      <c r="P339" t="s">
        <v>12</v>
      </c>
      <c r="Q339" t="s">
        <v>484</v>
      </c>
      <c r="R339" t="s">
        <v>15</v>
      </c>
      <c r="S339" s="3">
        <v>-500000</v>
      </c>
      <c r="T339" t="s">
        <v>15</v>
      </c>
      <c r="U339" s="3">
        <v>-500000</v>
      </c>
      <c r="V339" t="s">
        <v>12</v>
      </c>
      <c r="W339" t="s">
        <v>485</v>
      </c>
      <c r="X339" t="s">
        <v>12</v>
      </c>
      <c r="Y339" t="s">
        <v>12</v>
      </c>
      <c r="Z339" t="s">
        <v>358</v>
      </c>
      <c r="AA339" t="s">
        <v>12</v>
      </c>
      <c r="AB339" t="s">
        <v>12</v>
      </c>
      <c r="AC339" t="s">
        <v>12</v>
      </c>
      <c r="AD339" t="s">
        <v>12</v>
      </c>
      <c r="AE339" s="2">
        <v>46007</v>
      </c>
      <c r="AF339" s="2"/>
      <c r="AG339" t="s">
        <v>12</v>
      </c>
    </row>
    <row r="340" spans="1:33" outlineLevel="2" x14ac:dyDescent="0.25">
      <c r="A340" t="s">
        <v>129</v>
      </c>
      <c r="B340" t="s">
        <v>1</v>
      </c>
      <c r="C340" t="s">
        <v>2</v>
      </c>
      <c r="D340" t="s">
        <v>3</v>
      </c>
      <c r="E340" t="s">
        <v>4</v>
      </c>
      <c r="F340" t="s">
        <v>609</v>
      </c>
      <c r="G340" s="2">
        <v>45890</v>
      </c>
      <c r="H340" t="s">
        <v>1022</v>
      </c>
      <c r="I340" t="s">
        <v>482</v>
      </c>
      <c r="J340" s="2">
        <v>45890</v>
      </c>
      <c r="K340" s="2">
        <v>45890</v>
      </c>
      <c r="L340" t="s">
        <v>1023</v>
      </c>
      <c r="M340" t="s">
        <v>12</v>
      </c>
      <c r="N340" t="s">
        <v>10</v>
      </c>
      <c r="O340" t="s">
        <v>11</v>
      </c>
      <c r="P340" t="s">
        <v>12</v>
      </c>
      <c r="Q340" t="s">
        <v>484</v>
      </c>
      <c r="R340" t="s">
        <v>15</v>
      </c>
      <c r="S340" s="3">
        <v>-700000</v>
      </c>
      <c r="T340" t="s">
        <v>15</v>
      </c>
      <c r="U340" s="3">
        <v>-700000</v>
      </c>
      <c r="V340" t="s">
        <v>12</v>
      </c>
      <c r="W340" t="s">
        <v>485</v>
      </c>
      <c r="X340" t="s">
        <v>12</v>
      </c>
      <c r="Y340" t="s">
        <v>12</v>
      </c>
      <c r="Z340" t="s">
        <v>358</v>
      </c>
      <c r="AA340" t="s">
        <v>12</v>
      </c>
      <c r="AB340" t="s">
        <v>12</v>
      </c>
      <c r="AC340" t="s">
        <v>12</v>
      </c>
      <c r="AD340" t="s">
        <v>12</v>
      </c>
      <c r="AE340" s="2">
        <v>45890</v>
      </c>
      <c r="AF340" s="2"/>
      <c r="AG340" t="s">
        <v>12</v>
      </c>
    </row>
    <row r="341" spans="1:33" outlineLevel="2" x14ac:dyDescent="0.25">
      <c r="A341" t="s">
        <v>129</v>
      </c>
      <c r="B341" t="s">
        <v>1</v>
      </c>
      <c r="C341" t="s">
        <v>2</v>
      </c>
      <c r="D341" t="s">
        <v>3</v>
      </c>
      <c r="E341" t="s">
        <v>4</v>
      </c>
      <c r="F341" t="s">
        <v>609</v>
      </c>
      <c r="G341" s="2">
        <v>45890</v>
      </c>
      <c r="H341" t="s">
        <v>1024</v>
      </c>
      <c r="I341" t="s">
        <v>482</v>
      </c>
      <c r="J341" s="2">
        <v>45890</v>
      </c>
      <c r="K341" s="2">
        <v>45890</v>
      </c>
      <c r="L341" t="s">
        <v>1025</v>
      </c>
      <c r="M341" t="s">
        <v>12</v>
      </c>
      <c r="N341" t="s">
        <v>10</v>
      </c>
      <c r="O341" t="s">
        <v>11</v>
      </c>
      <c r="P341" t="s">
        <v>12</v>
      </c>
      <c r="Q341" t="s">
        <v>484</v>
      </c>
      <c r="R341" t="s">
        <v>15</v>
      </c>
      <c r="S341" s="3">
        <v>-700000</v>
      </c>
      <c r="T341" t="s">
        <v>15</v>
      </c>
      <c r="U341" s="3">
        <v>-700000</v>
      </c>
      <c r="V341" t="s">
        <v>12</v>
      </c>
      <c r="W341" t="s">
        <v>485</v>
      </c>
      <c r="X341" t="s">
        <v>12</v>
      </c>
      <c r="Y341" t="s">
        <v>12</v>
      </c>
      <c r="Z341" t="s">
        <v>358</v>
      </c>
      <c r="AA341" t="s">
        <v>12</v>
      </c>
      <c r="AB341" t="s">
        <v>12</v>
      </c>
      <c r="AC341" t="s">
        <v>12</v>
      </c>
      <c r="AD341" t="s">
        <v>12</v>
      </c>
      <c r="AE341" s="2">
        <v>45890</v>
      </c>
      <c r="AF341" s="2"/>
      <c r="AG341" t="s">
        <v>12</v>
      </c>
    </row>
    <row r="342" spans="1:33" outlineLevel="2" x14ac:dyDescent="0.25">
      <c r="A342" t="s">
        <v>129</v>
      </c>
      <c r="B342" t="s">
        <v>1</v>
      </c>
      <c r="C342" t="s">
        <v>2</v>
      </c>
      <c r="D342" t="s">
        <v>3</v>
      </c>
      <c r="E342" t="s">
        <v>4</v>
      </c>
      <c r="F342" t="s">
        <v>609</v>
      </c>
      <c r="G342" s="2">
        <v>45890</v>
      </c>
      <c r="H342" t="s">
        <v>1026</v>
      </c>
      <c r="I342" t="s">
        <v>482</v>
      </c>
      <c r="J342" s="2">
        <v>45890</v>
      </c>
      <c r="K342" s="2">
        <v>45890</v>
      </c>
      <c r="L342" t="s">
        <v>1027</v>
      </c>
      <c r="M342" t="s">
        <v>12</v>
      </c>
      <c r="N342" t="s">
        <v>10</v>
      </c>
      <c r="O342" t="s">
        <v>11</v>
      </c>
      <c r="P342" t="s">
        <v>12</v>
      </c>
      <c r="Q342" t="s">
        <v>484</v>
      </c>
      <c r="R342" t="s">
        <v>15</v>
      </c>
      <c r="S342" s="3">
        <v>-700000</v>
      </c>
      <c r="T342" t="s">
        <v>15</v>
      </c>
      <c r="U342" s="3">
        <v>-700000</v>
      </c>
      <c r="V342" t="s">
        <v>12</v>
      </c>
      <c r="W342" t="s">
        <v>485</v>
      </c>
      <c r="X342" t="s">
        <v>12</v>
      </c>
      <c r="Y342" t="s">
        <v>12</v>
      </c>
      <c r="Z342" t="s">
        <v>358</v>
      </c>
      <c r="AA342" t="s">
        <v>12</v>
      </c>
      <c r="AB342" t="s">
        <v>12</v>
      </c>
      <c r="AC342" t="s">
        <v>12</v>
      </c>
      <c r="AD342" t="s">
        <v>12</v>
      </c>
      <c r="AE342" s="2">
        <v>45890</v>
      </c>
      <c r="AF342" s="2"/>
      <c r="AG342" t="s">
        <v>12</v>
      </c>
    </row>
    <row r="343" spans="1:33" outlineLevel="2" x14ac:dyDescent="0.25">
      <c r="A343" t="s">
        <v>129</v>
      </c>
      <c r="B343" t="s">
        <v>1</v>
      </c>
      <c r="C343" t="s">
        <v>2</v>
      </c>
      <c r="D343" t="s">
        <v>3</v>
      </c>
      <c r="E343" t="s">
        <v>4</v>
      </c>
      <c r="F343" t="s">
        <v>609</v>
      </c>
      <c r="G343" s="2">
        <v>45890</v>
      </c>
      <c r="H343" t="s">
        <v>1028</v>
      </c>
      <c r="I343" t="s">
        <v>482</v>
      </c>
      <c r="J343" s="2">
        <v>45890</v>
      </c>
      <c r="K343" s="2">
        <v>45890</v>
      </c>
      <c r="L343" t="s">
        <v>1029</v>
      </c>
      <c r="M343" t="s">
        <v>12</v>
      </c>
      <c r="N343" t="s">
        <v>10</v>
      </c>
      <c r="O343" t="s">
        <v>11</v>
      </c>
      <c r="P343" t="s">
        <v>12</v>
      </c>
      <c r="Q343" t="s">
        <v>484</v>
      </c>
      <c r="R343" t="s">
        <v>15</v>
      </c>
      <c r="S343" s="3">
        <v>-700000</v>
      </c>
      <c r="T343" t="s">
        <v>15</v>
      </c>
      <c r="U343" s="3">
        <v>-700000</v>
      </c>
      <c r="V343" t="s">
        <v>12</v>
      </c>
      <c r="W343" t="s">
        <v>485</v>
      </c>
      <c r="X343" t="s">
        <v>12</v>
      </c>
      <c r="Y343" t="s">
        <v>12</v>
      </c>
      <c r="Z343" t="s">
        <v>358</v>
      </c>
      <c r="AA343" t="s">
        <v>12</v>
      </c>
      <c r="AB343" t="s">
        <v>12</v>
      </c>
      <c r="AC343" t="s">
        <v>12</v>
      </c>
      <c r="AD343" t="s">
        <v>12</v>
      </c>
      <c r="AE343" s="2">
        <v>45890</v>
      </c>
      <c r="AF343" s="2"/>
      <c r="AG343" t="s">
        <v>12</v>
      </c>
    </row>
    <row r="344" spans="1:33" outlineLevel="2" x14ac:dyDescent="0.25">
      <c r="A344" t="s">
        <v>129</v>
      </c>
      <c r="B344" t="s">
        <v>1</v>
      </c>
      <c r="C344" t="s">
        <v>2</v>
      </c>
      <c r="D344" t="s">
        <v>3</v>
      </c>
      <c r="E344" t="s">
        <v>4</v>
      </c>
      <c r="F344" t="s">
        <v>609</v>
      </c>
      <c r="G344" s="2">
        <v>45890</v>
      </c>
      <c r="H344" t="s">
        <v>1030</v>
      </c>
      <c r="I344" t="s">
        <v>482</v>
      </c>
      <c r="J344" s="2">
        <v>45890</v>
      </c>
      <c r="K344" s="2">
        <v>45890</v>
      </c>
      <c r="L344" t="s">
        <v>1031</v>
      </c>
      <c r="M344" t="s">
        <v>12</v>
      </c>
      <c r="N344" t="s">
        <v>10</v>
      </c>
      <c r="O344" t="s">
        <v>11</v>
      </c>
      <c r="P344" t="s">
        <v>12</v>
      </c>
      <c r="Q344" t="s">
        <v>484</v>
      </c>
      <c r="R344" t="s">
        <v>15</v>
      </c>
      <c r="S344" s="3">
        <v>-700000</v>
      </c>
      <c r="T344" t="s">
        <v>15</v>
      </c>
      <c r="U344" s="3">
        <v>-700000</v>
      </c>
      <c r="V344" t="s">
        <v>12</v>
      </c>
      <c r="W344" t="s">
        <v>485</v>
      </c>
      <c r="X344" t="s">
        <v>12</v>
      </c>
      <c r="Y344" t="s">
        <v>12</v>
      </c>
      <c r="Z344" t="s">
        <v>358</v>
      </c>
      <c r="AA344" t="s">
        <v>12</v>
      </c>
      <c r="AB344" t="s">
        <v>12</v>
      </c>
      <c r="AC344" t="s">
        <v>12</v>
      </c>
      <c r="AD344" t="s">
        <v>12</v>
      </c>
      <c r="AE344" s="2">
        <v>45890</v>
      </c>
      <c r="AF344" s="2"/>
      <c r="AG344" t="s">
        <v>12</v>
      </c>
    </row>
    <row r="345" spans="1:33" outlineLevel="2" x14ac:dyDescent="0.25">
      <c r="A345" t="s">
        <v>129</v>
      </c>
      <c r="B345" t="s">
        <v>1</v>
      </c>
      <c r="C345" t="s">
        <v>2</v>
      </c>
      <c r="D345" t="s">
        <v>3</v>
      </c>
      <c r="E345" t="s">
        <v>4</v>
      </c>
      <c r="F345" t="s">
        <v>609</v>
      </c>
      <c r="G345" s="2">
        <v>45890</v>
      </c>
      <c r="H345" t="s">
        <v>1032</v>
      </c>
      <c r="I345" t="s">
        <v>482</v>
      </c>
      <c r="J345" s="2">
        <v>45890</v>
      </c>
      <c r="K345" s="2">
        <v>45890</v>
      </c>
      <c r="L345" t="s">
        <v>1033</v>
      </c>
      <c r="M345" t="s">
        <v>12</v>
      </c>
      <c r="N345" t="s">
        <v>10</v>
      </c>
      <c r="O345" t="s">
        <v>11</v>
      </c>
      <c r="P345" t="s">
        <v>12</v>
      </c>
      <c r="Q345" t="s">
        <v>484</v>
      </c>
      <c r="R345" t="s">
        <v>15</v>
      </c>
      <c r="S345" s="3">
        <v>-350672</v>
      </c>
      <c r="T345" t="s">
        <v>15</v>
      </c>
      <c r="U345" s="3">
        <v>-350672</v>
      </c>
      <c r="V345" t="s">
        <v>12</v>
      </c>
      <c r="W345" t="s">
        <v>485</v>
      </c>
      <c r="X345" t="s">
        <v>12</v>
      </c>
      <c r="Y345" t="s">
        <v>12</v>
      </c>
      <c r="Z345" t="s">
        <v>358</v>
      </c>
      <c r="AA345" t="s">
        <v>12</v>
      </c>
      <c r="AB345" t="s">
        <v>12</v>
      </c>
      <c r="AC345" t="s">
        <v>12</v>
      </c>
      <c r="AD345" t="s">
        <v>12</v>
      </c>
      <c r="AE345" s="2">
        <v>45890</v>
      </c>
      <c r="AF345" s="2"/>
      <c r="AG345" t="s">
        <v>12</v>
      </c>
    </row>
    <row r="346" spans="1:33" outlineLevel="2" x14ac:dyDescent="0.25">
      <c r="A346" t="s">
        <v>129</v>
      </c>
      <c r="B346" t="s">
        <v>1</v>
      </c>
      <c r="C346" t="s">
        <v>2</v>
      </c>
      <c r="D346" t="s">
        <v>3</v>
      </c>
      <c r="E346" t="s">
        <v>4</v>
      </c>
      <c r="F346" t="s">
        <v>176</v>
      </c>
      <c r="G346" s="2">
        <v>45946</v>
      </c>
      <c r="H346" t="s">
        <v>1034</v>
      </c>
      <c r="I346" t="s">
        <v>482</v>
      </c>
      <c r="J346" s="2">
        <v>45946</v>
      </c>
      <c r="K346" s="2">
        <v>45946</v>
      </c>
      <c r="L346" t="s">
        <v>1035</v>
      </c>
      <c r="M346" t="s">
        <v>12</v>
      </c>
      <c r="N346" t="s">
        <v>10</v>
      </c>
      <c r="O346" t="s">
        <v>11</v>
      </c>
      <c r="P346" t="s">
        <v>12</v>
      </c>
      <c r="Q346" t="s">
        <v>484</v>
      </c>
      <c r="R346" t="s">
        <v>15</v>
      </c>
      <c r="S346" s="3">
        <v>-108564</v>
      </c>
      <c r="T346" t="s">
        <v>15</v>
      </c>
      <c r="U346" s="3">
        <v>-108564</v>
      </c>
      <c r="V346" t="s">
        <v>12</v>
      </c>
      <c r="W346" t="s">
        <v>485</v>
      </c>
      <c r="X346" t="s">
        <v>12</v>
      </c>
      <c r="Y346" t="s">
        <v>12</v>
      </c>
      <c r="Z346" t="s">
        <v>358</v>
      </c>
      <c r="AA346" t="s">
        <v>12</v>
      </c>
      <c r="AB346" t="s">
        <v>12</v>
      </c>
      <c r="AC346" t="s">
        <v>12</v>
      </c>
      <c r="AD346" t="s">
        <v>12</v>
      </c>
      <c r="AE346" s="2">
        <v>45946</v>
      </c>
      <c r="AF346" s="2"/>
      <c r="AG346" t="s">
        <v>12</v>
      </c>
    </row>
    <row r="347" spans="1:33" outlineLevel="2" x14ac:dyDescent="0.25">
      <c r="A347" t="s">
        <v>129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s="2">
        <v>45839</v>
      </c>
      <c r="H347" t="s">
        <v>1036</v>
      </c>
      <c r="I347" t="s">
        <v>482</v>
      </c>
      <c r="J347" s="2">
        <v>45832</v>
      </c>
      <c r="K347" s="2">
        <v>45832</v>
      </c>
      <c r="L347" t="s">
        <v>1037</v>
      </c>
      <c r="M347" t="s">
        <v>12</v>
      </c>
      <c r="N347" t="s">
        <v>10</v>
      </c>
      <c r="O347" t="s">
        <v>11</v>
      </c>
      <c r="P347" t="s">
        <v>12</v>
      </c>
      <c r="Q347" t="s">
        <v>484</v>
      </c>
      <c r="R347" t="s">
        <v>15</v>
      </c>
      <c r="S347" s="3">
        <v>-177773</v>
      </c>
      <c r="T347" t="s">
        <v>15</v>
      </c>
      <c r="U347" s="3">
        <v>-177773</v>
      </c>
      <c r="V347" t="s">
        <v>12</v>
      </c>
      <c r="W347" t="s">
        <v>485</v>
      </c>
      <c r="X347" t="s">
        <v>12</v>
      </c>
      <c r="Y347" t="s">
        <v>12</v>
      </c>
      <c r="Z347" t="s">
        <v>358</v>
      </c>
      <c r="AA347" t="s">
        <v>12</v>
      </c>
      <c r="AB347" t="s">
        <v>12</v>
      </c>
      <c r="AC347" t="s">
        <v>12</v>
      </c>
      <c r="AD347" t="s">
        <v>12</v>
      </c>
      <c r="AE347" s="2">
        <v>45832</v>
      </c>
      <c r="AF347" s="2"/>
      <c r="AG347" t="s">
        <v>12</v>
      </c>
    </row>
    <row r="348" spans="1:33" outlineLevel="2" x14ac:dyDescent="0.25">
      <c r="A348" t="s">
        <v>129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2">
        <v>45839</v>
      </c>
      <c r="H348" t="s">
        <v>1038</v>
      </c>
      <c r="I348" t="s">
        <v>482</v>
      </c>
      <c r="J348" s="2">
        <v>45832</v>
      </c>
      <c r="K348" s="2">
        <v>45832</v>
      </c>
      <c r="L348" t="s">
        <v>1039</v>
      </c>
      <c r="M348" t="s">
        <v>12</v>
      </c>
      <c r="N348" t="s">
        <v>10</v>
      </c>
      <c r="O348" t="s">
        <v>11</v>
      </c>
      <c r="P348" t="s">
        <v>12</v>
      </c>
      <c r="Q348" t="s">
        <v>484</v>
      </c>
      <c r="R348" t="s">
        <v>15</v>
      </c>
      <c r="S348" s="3">
        <v>-500947</v>
      </c>
      <c r="T348" t="s">
        <v>15</v>
      </c>
      <c r="U348" s="3">
        <v>-500947</v>
      </c>
      <c r="V348" t="s">
        <v>12</v>
      </c>
      <c r="W348" t="s">
        <v>485</v>
      </c>
      <c r="X348" t="s">
        <v>12</v>
      </c>
      <c r="Y348" t="s">
        <v>12</v>
      </c>
      <c r="Z348" t="s">
        <v>358</v>
      </c>
      <c r="AA348" t="s">
        <v>12</v>
      </c>
      <c r="AB348" t="s">
        <v>12</v>
      </c>
      <c r="AC348" t="s">
        <v>12</v>
      </c>
      <c r="AD348" t="s">
        <v>12</v>
      </c>
      <c r="AE348" s="2">
        <v>45832</v>
      </c>
      <c r="AF348" s="2"/>
      <c r="AG348" t="s">
        <v>12</v>
      </c>
    </row>
    <row r="349" spans="1:33" outlineLevel="2" x14ac:dyDescent="0.25">
      <c r="A349" t="s">
        <v>129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45839</v>
      </c>
      <c r="H349" t="s">
        <v>1040</v>
      </c>
      <c r="I349" t="s">
        <v>482</v>
      </c>
      <c r="J349" s="2">
        <v>45832</v>
      </c>
      <c r="K349" s="2">
        <v>45832</v>
      </c>
      <c r="L349" t="s">
        <v>1041</v>
      </c>
      <c r="M349" t="s">
        <v>12</v>
      </c>
      <c r="N349" t="s">
        <v>10</v>
      </c>
      <c r="O349" t="s">
        <v>11</v>
      </c>
      <c r="P349" t="s">
        <v>12</v>
      </c>
      <c r="Q349" t="s">
        <v>484</v>
      </c>
      <c r="R349" t="s">
        <v>15</v>
      </c>
      <c r="S349" s="3">
        <v>-700000</v>
      </c>
      <c r="T349" t="s">
        <v>15</v>
      </c>
      <c r="U349" s="3">
        <v>-700000</v>
      </c>
      <c r="V349" t="s">
        <v>12</v>
      </c>
      <c r="W349" t="s">
        <v>485</v>
      </c>
      <c r="X349" t="s">
        <v>12</v>
      </c>
      <c r="Y349" t="s">
        <v>12</v>
      </c>
      <c r="Z349" t="s">
        <v>358</v>
      </c>
      <c r="AA349" t="s">
        <v>12</v>
      </c>
      <c r="AB349" t="s">
        <v>12</v>
      </c>
      <c r="AC349" t="s">
        <v>12</v>
      </c>
      <c r="AD349" t="s">
        <v>12</v>
      </c>
      <c r="AE349" s="2">
        <v>45832</v>
      </c>
      <c r="AF349" s="2"/>
      <c r="AG349" t="s">
        <v>12</v>
      </c>
    </row>
    <row r="350" spans="1:33" outlineLevel="2" x14ac:dyDescent="0.25">
      <c r="A350" t="s">
        <v>129</v>
      </c>
      <c r="B350" t="s">
        <v>1</v>
      </c>
      <c r="C350" t="s">
        <v>2</v>
      </c>
      <c r="D350" t="s">
        <v>3</v>
      </c>
      <c r="E350" t="s">
        <v>4</v>
      </c>
      <c r="F350" t="s">
        <v>13</v>
      </c>
      <c r="G350" s="2">
        <v>45964</v>
      </c>
      <c r="H350" t="s">
        <v>1042</v>
      </c>
      <c r="I350" t="s">
        <v>482</v>
      </c>
      <c r="J350" s="2">
        <v>45964</v>
      </c>
      <c r="K350" s="2">
        <v>45964</v>
      </c>
      <c r="L350" t="s">
        <v>1043</v>
      </c>
      <c r="M350" t="s">
        <v>12</v>
      </c>
      <c r="N350" t="s">
        <v>10</v>
      </c>
      <c r="O350" t="s">
        <v>11</v>
      </c>
      <c r="P350" t="s">
        <v>12</v>
      </c>
      <c r="Q350" t="s">
        <v>484</v>
      </c>
      <c r="R350" t="s">
        <v>15</v>
      </c>
      <c r="S350" s="3">
        <v>-300000</v>
      </c>
      <c r="T350" t="s">
        <v>15</v>
      </c>
      <c r="U350" s="3">
        <v>-300000</v>
      </c>
      <c r="V350" t="s">
        <v>12</v>
      </c>
      <c r="W350" t="s">
        <v>485</v>
      </c>
      <c r="X350" t="s">
        <v>12</v>
      </c>
      <c r="Y350" t="s">
        <v>12</v>
      </c>
      <c r="Z350" t="s">
        <v>358</v>
      </c>
      <c r="AA350" t="s">
        <v>12</v>
      </c>
      <c r="AB350" t="s">
        <v>12</v>
      </c>
      <c r="AC350" t="s">
        <v>12</v>
      </c>
      <c r="AD350" t="s">
        <v>12</v>
      </c>
      <c r="AE350" s="2">
        <v>45964</v>
      </c>
      <c r="AF350" s="2"/>
      <c r="AG350" t="s">
        <v>12</v>
      </c>
    </row>
    <row r="351" spans="1:33" outlineLevel="2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358</v>
      </c>
      <c r="G351" s="2">
        <v>45701</v>
      </c>
      <c r="H351" t="s">
        <v>1044</v>
      </c>
      <c r="I351" t="s">
        <v>1045</v>
      </c>
      <c r="J351" s="2">
        <v>45701</v>
      </c>
      <c r="K351" s="2">
        <v>45701</v>
      </c>
      <c r="L351" t="s">
        <v>1046</v>
      </c>
      <c r="M351" t="s">
        <v>1046</v>
      </c>
      <c r="N351" t="s">
        <v>10</v>
      </c>
      <c r="O351" t="s">
        <v>11</v>
      </c>
      <c r="P351" t="s">
        <v>12</v>
      </c>
      <c r="Q351" t="s">
        <v>13</v>
      </c>
      <c r="R351" t="s">
        <v>15</v>
      </c>
      <c r="S351" s="3">
        <v>-1</v>
      </c>
      <c r="T351" t="s">
        <v>15</v>
      </c>
      <c r="U351" s="3">
        <v>-1</v>
      </c>
      <c r="V351" t="s">
        <v>12</v>
      </c>
      <c r="W351" t="s">
        <v>17</v>
      </c>
      <c r="X351" t="s">
        <v>12</v>
      </c>
      <c r="Y351" t="s">
        <v>1046</v>
      </c>
      <c r="Z351" t="s">
        <v>18</v>
      </c>
      <c r="AA351" t="s">
        <v>1007</v>
      </c>
      <c r="AB351" t="s">
        <v>2</v>
      </c>
      <c r="AC351" t="s">
        <v>12</v>
      </c>
      <c r="AD351" t="s">
        <v>2</v>
      </c>
      <c r="AE351" s="2">
        <v>45701</v>
      </c>
      <c r="AF351" s="2">
        <v>45758</v>
      </c>
      <c r="AG351" t="s">
        <v>1004</v>
      </c>
    </row>
    <row r="352" spans="1:33" outlineLevel="2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243</v>
      </c>
      <c r="G352" s="2">
        <v>45744</v>
      </c>
      <c r="H352" t="s">
        <v>1047</v>
      </c>
      <c r="I352" t="s">
        <v>1045</v>
      </c>
      <c r="J352" s="2">
        <v>45744</v>
      </c>
      <c r="K352" s="2">
        <v>45744</v>
      </c>
      <c r="L352" t="s">
        <v>1048</v>
      </c>
      <c r="M352" t="s">
        <v>1048</v>
      </c>
      <c r="N352" t="s">
        <v>10</v>
      </c>
      <c r="O352" t="s">
        <v>11</v>
      </c>
      <c r="P352" t="s">
        <v>12</v>
      </c>
      <c r="Q352" t="s">
        <v>24</v>
      </c>
      <c r="R352" t="s">
        <v>15</v>
      </c>
      <c r="S352" s="3">
        <v>1</v>
      </c>
      <c r="T352" t="s">
        <v>15</v>
      </c>
      <c r="U352" s="3">
        <v>1</v>
      </c>
      <c r="V352" t="s">
        <v>12</v>
      </c>
      <c r="W352" t="s">
        <v>17</v>
      </c>
      <c r="X352" t="s">
        <v>12</v>
      </c>
      <c r="Y352" t="s">
        <v>1046</v>
      </c>
      <c r="Z352" t="s">
        <v>1049</v>
      </c>
      <c r="AA352" t="s">
        <v>1007</v>
      </c>
      <c r="AB352" t="s">
        <v>2</v>
      </c>
      <c r="AC352" t="s">
        <v>12</v>
      </c>
      <c r="AD352" t="s">
        <v>2</v>
      </c>
      <c r="AE352" s="2">
        <v>45744</v>
      </c>
      <c r="AF352" s="2">
        <v>45758</v>
      </c>
      <c r="AG352" t="s">
        <v>1004</v>
      </c>
    </row>
    <row r="353" spans="1:33" outlineLevel="2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2">
        <v>45842</v>
      </c>
      <c r="H353" t="s">
        <v>666</v>
      </c>
      <c r="I353" t="s">
        <v>1009</v>
      </c>
      <c r="J353" s="2">
        <v>45842</v>
      </c>
      <c r="K353" s="2">
        <v>45842</v>
      </c>
      <c r="L353" t="s">
        <v>8</v>
      </c>
      <c r="M353" t="s">
        <v>1050</v>
      </c>
      <c r="N353" t="s">
        <v>10</v>
      </c>
      <c r="O353" t="s">
        <v>11</v>
      </c>
      <c r="P353" t="s">
        <v>12</v>
      </c>
      <c r="Q353" t="s">
        <v>484</v>
      </c>
      <c r="R353" t="s">
        <v>14</v>
      </c>
      <c r="S353" s="3">
        <v>0</v>
      </c>
      <c r="T353" t="s">
        <v>15</v>
      </c>
      <c r="U353" s="3">
        <v>0</v>
      </c>
      <c r="V353" t="s">
        <v>12</v>
      </c>
      <c r="W353" t="s">
        <v>17</v>
      </c>
      <c r="X353" t="s">
        <v>12</v>
      </c>
      <c r="Y353" t="s">
        <v>12</v>
      </c>
      <c r="Z353" t="s">
        <v>18</v>
      </c>
      <c r="AA353" t="s">
        <v>12</v>
      </c>
      <c r="AB353" t="s">
        <v>12</v>
      </c>
      <c r="AC353" t="s">
        <v>12</v>
      </c>
      <c r="AD353" t="s">
        <v>12</v>
      </c>
      <c r="AE353" s="2">
        <v>45842</v>
      </c>
      <c r="AF353" s="2">
        <v>45842</v>
      </c>
      <c r="AG353" t="s">
        <v>666</v>
      </c>
    </row>
    <row r="354" spans="1:33" outlineLevel="2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2">
        <v>45842</v>
      </c>
      <c r="H354" t="s">
        <v>346</v>
      </c>
      <c r="I354" t="s">
        <v>1009</v>
      </c>
      <c r="J354" s="2">
        <v>45842</v>
      </c>
      <c r="K354" s="2">
        <v>45842</v>
      </c>
      <c r="L354" t="s">
        <v>8</v>
      </c>
      <c r="M354" t="s">
        <v>1050</v>
      </c>
      <c r="N354" t="s">
        <v>10</v>
      </c>
      <c r="O354" t="s">
        <v>11</v>
      </c>
      <c r="P354" t="s">
        <v>12</v>
      </c>
      <c r="Q354" t="s">
        <v>484</v>
      </c>
      <c r="R354" t="s">
        <v>14</v>
      </c>
      <c r="S354" s="3">
        <v>0</v>
      </c>
      <c r="T354" t="s">
        <v>15</v>
      </c>
      <c r="U354" s="3">
        <v>0</v>
      </c>
      <c r="V354" t="s">
        <v>12</v>
      </c>
      <c r="W354" t="s">
        <v>17</v>
      </c>
      <c r="X354" t="s">
        <v>12</v>
      </c>
      <c r="Y354" t="s">
        <v>12</v>
      </c>
      <c r="Z354" t="s">
        <v>18</v>
      </c>
      <c r="AA354" t="s">
        <v>12</v>
      </c>
      <c r="AB354" t="s">
        <v>12</v>
      </c>
      <c r="AC354" t="s">
        <v>12</v>
      </c>
      <c r="AD354" t="s">
        <v>12</v>
      </c>
      <c r="AE354" s="2">
        <v>45842</v>
      </c>
      <c r="AF354" s="2">
        <v>45842</v>
      </c>
      <c r="AG354" t="s">
        <v>346</v>
      </c>
    </row>
    <row r="355" spans="1:33" outlineLevel="2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45842</v>
      </c>
      <c r="H355" t="s">
        <v>164</v>
      </c>
      <c r="I355" t="s">
        <v>1009</v>
      </c>
      <c r="J355" s="2">
        <v>45842</v>
      </c>
      <c r="K355" s="2">
        <v>45842</v>
      </c>
      <c r="L355" t="s">
        <v>8</v>
      </c>
      <c r="M355" t="s">
        <v>1050</v>
      </c>
      <c r="N355" t="s">
        <v>10</v>
      </c>
      <c r="O355" t="s">
        <v>11</v>
      </c>
      <c r="P355" t="s">
        <v>12</v>
      </c>
      <c r="Q355" t="s">
        <v>1010</v>
      </c>
      <c r="R355" t="s">
        <v>14</v>
      </c>
      <c r="S355" s="3">
        <v>456.75</v>
      </c>
      <c r="T355" t="s">
        <v>15</v>
      </c>
      <c r="U355" s="3">
        <v>39701.54</v>
      </c>
      <c r="V355" t="s">
        <v>12</v>
      </c>
      <c r="W355" t="s">
        <v>17</v>
      </c>
      <c r="X355" t="s">
        <v>12</v>
      </c>
      <c r="Y355" t="s">
        <v>12</v>
      </c>
      <c r="Z355" t="s">
        <v>18</v>
      </c>
      <c r="AA355" t="s">
        <v>12</v>
      </c>
      <c r="AB355" t="s">
        <v>12</v>
      </c>
      <c r="AC355" t="s">
        <v>12</v>
      </c>
      <c r="AD355" t="s">
        <v>12</v>
      </c>
      <c r="AE355" s="2">
        <v>45842</v>
      </c>
      <c r="AF355" s="2">
        <v>45842</v>
      </c>
      <c r="AG355" t="s">
        <v>164</v>
      </c>
    </row>
    <row r="356" spans="1:33" outlineLevel="2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s="2">
        <v>45842</v>
      </c>
      <c r="H356" t="s">
        <v>164</v>
      </c>
      <c r="I356" t="s">
        <v>1009</v>
      </c>
      <c r="J356" s="2">
        <v>45842</v>
      </c>
      <c r="K356" s="2">
        <v>45842</v>
      </c>
      <c r="L356" t="s">
        <v>8</v>
      </c>
      <c r="M356" t="s">
        <v>1050</v>
      </c>
      <c r="N356" t="s">
        <v>10</v>
      </c>
      <c r="O356" t="s">
        <v>11</v>
      </c>
      <c r="P356" t="s">
        <v>12</v>
      </c>
      <c r="Q356" t="s">
        <v>484</v>
      </c>
      <c r="R356" t="s">
        <v>14</v>
      </c>
      <c r="S356" s="3">
        <v>-456.75</v>
      </c>
      <c r="T356" t="s">
        <v>15</v>
      </c>
      <c r="U356" s="3">
        <v>-39701.54</v>
      </c>
      <c r="V356" t="s">
        <v>12</v>
      </c>
      <c r="W356" t="s">
        <v>17</v>
      </c>
      <c r="X356" t="s">
        <v>12</v>
      </c>
      <c r="Y356" t="s">
        <v>12</v>
      </c>
      <c r="Z356" t="s">
        <v>358</v>
      </c>
      <c r="AA356" t="s">
        <v>12</v>
      </c>
      <c r="AB356" t="s">
        <v>12</v>
      </c>
      <c r="AC356" t="s">
        <v>12</v>
      </c>
      <c r="AD356" t="s">
        <v>12</v>
      </c>
      <c r="AE356" s="2">
        <v>45842</v>
      </c>
      <c r="AF356" s="2">
        <v>45842</v>
      </c>
      <c r="AG356" t="s">
        <v>164</v>
      </c>
    </row>
    <row r="357" spans="1:33" outlineLevel="2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s="2">
        <v>45842</v>
      </c>
      <c r="H357" t="s">
        <v>168</v>
      </c>
      <c r="I357" t="s">
        <v>1009</v>
      </c>
      <c r="J357" s="2">
        <v>45842</v>
      </c>
      <c r="K357" s="2">
        <v>45842</v>
      </c>
      <c r="L357" t="s">
        <v>8</v>
      </c>
      <c r="M357" t="s">
        <v>1050</v>
      </c>
      <c r="N357" t="s">
        <v>10</v>
      </c>
      <c r="O357" t="s">
        <v>11</v>
      </c>
      <c r="P357" t="s">
        <v>12</v>
      </c>
      <c r="Q357" t="s">
        <v>1010</v>
      </c>
      <c r="R357" t="s">
        <v>14</v>
      </c>
      <c r="S357" s="3">
        <v>456.75</v>
      </c>
      <c r="T357" t="s">
        <v>15</v>
      </c>
      <c r="U357" s="3">
        <v>39701.54</v>
      </c>
      <c r="V357" t="s">
        <v>12</v>
      </c>
      <c r="W357" t="s">
        <v>17</v>
      </c>
      <c r="X357" t="s">
        <v>12</v>
      </c>
      <c r="Y357" t="s">
        <v>12</v>
      </c>
      <c r="Z357" t="s">
        <v>18</v>
      </c>
      <c r="AA357" t="s">
        <v>12</v>
      </c>
      <c r="AB357" t="s">
        <v>12</v>
      </c>
      <c r="AC357" t="s">
        <v>12</v>
      </c>
      <c r="AD357" t="s">
        <v>12</v>
      </c>
      <c r="AE357" s="2">
        <v>45842</v>
      </c>
      <c r="AF357" s="2">
        <v>45842</v>
      </c>
      <c r="AG357" t="s">
        <v>168</v>
      </c>
    </row>
    <row r="358" spans="1:33" outlineLevel="2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s="2">
        <v>45842</v>
      </c>
      <c r="H358" t="s">
        <v>168</v>
      </c>
      <c r="I358" t="s">
        <v>1009</v>
      </c>
      <c r="J358" s="2">
        <v>45842</v>
      </c>
      <c r="K358" s="2">
        <v>45842</v>
      </c>
      <c r="L358" t="s">
        <v>8</v>
      </c>
      <c r="M358" t="s">
        <v>1050</v>
      </c>
      <c r="N358" t="s">
        <v>10</v>
      </c>
      <c r="O358" t="s">
        <v>11</v>
      </c>
      <c r="P358" t="s">
        <v>12</v>
      </c>
      <c r="Q358" t="s">
        <v>484</v>
      </c>
      <c r="R358" t="s">
        <v>14</v>
      </c>
      <c r="S358" s="3">
        <v>-456.75</v>
      </c>
      <c r="T358" t="s">
        <v>15</v>
      </c>
      <c r="U358" s="3">
        <v>-39701.54</v>
      </c>
      <c r="V358" t="s">
        <v>12</v>
      </c>
      <c r="W358" t="s">
        <v>17</v>
      </c>
      <c r="X358" t="s">
        <v>12</v>
      </c>
      <c r="Y358" t="s">
        <v>12</v>
      </c>
      <c r="Z358" t="s">
        <v>358</v>
      </c>
      <c r="AA358" t="s">
        <v>12</v>
      </c>
      <c r="AB358" t="s">
        <v>12</v>
      </c>
      <c r="AC358" t="s">
        <v>12</v>
      </c>
      <c r="AD358" t="s">
        <v>12</v>
      </c>
      <c r="AE358" s="2">
        <v>45842</v>
      </c>
      <c r="AF358" s="2">
        <v>45842</v>
      </c>
      <c r="AG358" t="s">
        <v>168</v>
      </c>
    </row>
    <row r="359" spans="1:33" outlineLevel="2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s="2">
        <v>45854</v>
      </c>
      <c r="H359" t="s">
        <v>57</v>
      </c>
      <c r="I359" t="s">
        <v>1009</v>
      </c>
      <c r="J359" s="2">
        <v>45854</v>
      </c>
      <c r="K359" s="2">
        <v>45855</v>
      </c>
      <c r="L359" t="s">
        <v>8</v>
      </c>
      <c r="M359" t="s">
        <v>1050</v>
      </c>
      <c r="N359" t="s">
        <v>10</v>
      </c>
      <c r="O359" t="s">
        <v>11</v>
      </c>
      <c r="P359" t="s">
        <v>12</v>
      </c>
      <c r="Q359" t="s">
        <v>1010</v>
      </c>
      <c r="R359" t="s">
        <v>14</v>
      </c>
      <c r="S359" s="3">
        <v>525</v>
      </c>
      <c r="T359" t="s">
        <v>15</v>
      </c>
      <c r="U359" s="3">
        <v>45512.91</v>
      </c>
      <c r="V359" t="s">
        <v>12</v>
      </c>
      <c r="W359" t="s">
        <v>17</v>
      </c>
      <c r="X359" t="s">
        <v>12</v>
      </c>
      <c r="Y359" t="s">
        <v>12</v>
      </c>
      <c r="Z359" t="s">
        <v>18</v>
      </c>
      <c r="AA359" t="s">
        <v>12</v>
      </c>
      <c r="AB359" t="s">
        <v>12</v>
      </c>
      <c r="AC359" t="s">
        <v>12</v>
      </c>
      <c r="AD359" t="s">
        <v>12</v>
      </c>
      <c r="AE359" s="2">
        <v>45854</v>
      </c>
      <c r="AF359" s="2">
        <v>45854</v>
      </c>
      <c r="AG359" t="s">
        <v>57</v>
      </c>
    </row>
    <row r="360" spans="1:33" outlineLevel="2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s="2">
        <v>45854</v>
      </c>
      <c r="H360" t="s">
        <v>57</v>
      </c>
      <c r="I360" t="s">
        <v>1009</v>
      </c>
      <c r="J360" s="2">
        <v>45854</v>
      </c>
      <c r="K360" s="2">
        <v>45855</v>
      </c>
      <c r="L360" t="s">
        <v>8</v>
      </c>
      <c r="M360" t="s">
        <v>1050</v>
      </c>
      <c r="N360" t="s">
        <v>10</v>
      </c>
      <c r="O360" t="s">
        <v>11</v>
      </c>
      <c r="P360" t="s">
        <v>12</v>
      </c>
      <c r="Q360" t="s">
        <v>484</v>
      </c>
      <c r="R360" t="s">
        <v>14</v>
      </c>
      <c r="S360" s="3">
        <v>-525</v>
      </c>
      <c r="T360" t="s">
        <v>15</v>
      </c>
      <c r="U360" s="3">
        <v>-45512.91</v>
      </c>
      <c r="V360" t="s">
        <v>12</v>
      </c>
      <c r="W360" t="s">
        <v>17</v>
      </c>
      <c r="X360" t="s">
        <v>12</v>
      </c>
      <c r="Y360" t="s">
        <v>12</v>
      </c>
      <c r="Z360" t="s">
        <v>358</v>
      </c>
      <c r="AA360" t="s">
        <v>12</v>
      </c>
      <c r="AB360" t="s">
        <v>12</v>
      </c>
      <c r="AC360" t="s">
        <v>12</v>
      </c>
      <c r="AD360" t="s">
        <v>12</v>
      </c>
      <c r="AE360" s="2">
        <v>45854</v>
      </c>
      <c r="AF360" s="2">
        <v>45854</v>
      </c>
      <c r="AG360" t="s">
        <v>57</v>
      </c>
    </row>
    <row r="361" spans="1:33" outlineLevel="2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243</v>
      </c>
      <c r="G361" s="2">
        <v>45735</v>
      </c>
      <c r="H361" t="s">
        <v>1051</v>
      </c>
      <c r="I361" t="s">
        <v>22</v>
      </c>
      <c r="J361" s="2">
        <v>45735</v>
      </c>
      <c r="K361" s="2">
        <v>45736</v>
      </c>
      <c r="L361" t="s">
        <v>8</v>
      </c>
      <c r="M361" t="s">
        <v>1052</v>
      </c>
      <c r="N361" t="s">
        <v>10</v>
      </c>
      <c r="O361" t="s">
        <v>11</v>
      </c>
      <c r="P361" t="s">
        <v>12</v>
      </c>
      <c r="Q361" t="s">
        <v>24</v>
      </c>
      <c r="R361" t="s">
        <v>14</v>
      </c>
      <c r="S361" s="3">
        <v>500.63</v>
      </c>
      <c r="T361" t="s">
        <v>15</v>
      </c>
      <c r="U361" s="3">
        <v>43400.25</v>
      </c>
      <c r="V361" t="s">
        <v>371</v>
      </c>
      <c r="W361" t="s">
        <v>17</v>
      </c>
      <c r="X361" t="s">
        <v>12</v>
      </c>
      <c r="Y361" t="s">
        <v>8</v>
      </c>
      <c r="Z361" t="s">
        <v>18</v>
      </c>
      <c r="AA361" t="s">
        <v>1053</v>
      </c>
      <c r="AB361" t="s">
        <v>12</v>
      </c>
      <c r="AC361" t="s">
        <v>12</v>
      </c>
      <c r="AD361" t="s">
        <v>12</v>
      </c>
      <c r="AE361" s="2">
        <v>45735</v>
      </c>
      <c r="AF361" s="2">
        <v>45842</v>
      </c>
      <c r="AG361" t="s">
        <v>346</v>
      </c>
    </row>
    <row r="362" spans="1:33" outlineLevel="2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13</v>
      </c>
      <c r="G362" s="2">
        <v>45976</v>
      </c>
      <c r="H362" t="s">
        <v>64</v>
      </c>
      <c r="I362" t="s">
        <v>1009</v>
      </c>
      <c r="J362" s="2">
        <v>45976</v>
      </c>
      <c r="K362" s="2">
        <v>45976</v>
      </c>
      <c r="L362" t="s">
        <v>8</v>
      </c>
      <c r="M362" t="s">
        <v>1050</v>
      </c>
      <c r="N362" t="s">
        <v>10</v>
      </c>
      <c r="O362" t="s">
        <v>11</v>
      </c>
      <c r="P362" t="s">
        <v>12</v>
      </c>
      <c r="Q362" t="s">
        <v>1010</v>
      </c>
      <c r="R362" t="s">
        <v>14</v>
      </c>
      <c r="S362" s="3">
        <v>3813.11</v>
      </c>
      <c r="T362" t="s">
        <v>15</v>
      </c>
      <c r="U362" s="3">
        <v>331442.46000000002</v>
      </c>
      <c r="V362" t="s">
        <v>12</v>
      </c>
      <c r="W362" t="s">
        <v>17</v>
      </c>
      <c r="X362" t="s">
        <v>12</v>
      </c>
      <c r="Y362" t="s">
        <v>12</v>
      </c>
      <c r="Z362" t="s">
        <v>18</v>
      </c>
      <c r="AA362" t="s">
        <v>12</v>
      </c>
      <c r="AB362" t="s">
        <v>12</v>
      </c>
      <c r="AC362" t="s">
        <v>12</v>
      </c>
      <c r="AD362" t="s">
        <v>12</v>
      </c>
      <c r="AE362" s="2">
        <v>45976</v>
      </c>
      <c r="AF362" s="2">
        <v>45976</v>
      </c>
      <c r="AG362" t="s">
        <v>64</v>
      </c>
    </row>
    <row r="363" spans="1:33" outlineLevel="2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13</v>
      </c>
      <c r="G363" s="2">
        <v>45976</v>
      </c>
      <c r="H363" t="s">
        <v>64</v>
      </c>
      <c r="I363" t="s">
        <v>1009</v>
      </c>
      <c r="J363" s="2">
        <v>45976</v>
      </c>
      <c r="K363" s="2">
        <v>45976</v>
      </c>
      <c r="L363" t="s">
        <v>8</v>
      </c>
      <c r="M363" t="s">
        <v>1050</v>
      </c>
      <c r="N363" t="s">
        <v>10</v>
      </c>
      <c r="O363" t="s">
        <v>11</v>
      </c>
      <c r="P363" t="s">
        <v>12</v>
      </c>
      <c r="Q363" t="s">
        <v>484</v>
      </c>
      <c r="R363" t="s">
        <v>14</v>
      </c>
      <c r="S363" s="3">
        <v>-3813.11</v>
      </c>
      <c r="T363" t="s">
        <v>15</v>
      </c>
      <c r="U363" s="3">
        <v>-331442.46000000002</v>
      </c>
      <c r="V363" t="s">
        <v>12</v>
      </c>
      <c r="W363" t="s">
        <v>17</v>
      </c>
      <c r="X363" t="s">
        <v>12</v>
      </c>
      <c r="Y363" t="s">
        <v>12</v>
      </c>
      <c r="Z363" t="s">
        <v>358</v>
      </c>
      <c r="AA363" t="s">
        <v>12</v>
      </c>
      <c r="AB363" t="s">
        <v>12</v>
      </c>
      <c r="AC363" t="s">
        <v>12</v>
      </c>
      <c r="AD363" t="s">
        <v>12</v>
      </c>
      <c r="AE363" s="2">
        <v>45976</v>
      </c>
      <c r="AF363" s="2">
        <v>45976</v>
      </c>
      <c r="AG363" t="s">
        <v>64</v>
      </c>
    </row>
    <row r="364" spans="1:33" outlineLevel="2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13</v>
      </c>
      <c r="G364" s="2">
        <v>45976</v>
      </c>
      <c r="H364" t="s">
        <v>113</v>
      </c>
      <c r="I364" t="s">
        <v>1009</v>
      </c>
      <c r="J364" s="2">
        <v>45976</v>
      </c>
      <c r="K364" s="2">
        <v>45976</v>
      </c>
      <c r="L364" t="s">
        <v>8</v>
      </c>
      <c r="M364" t="s">
        <v>1050</v>
      </c>
      <c r="N364" t="s">
        <v>10</v>
      </c>
      <c r="O364" t="s">
        <v>11</v>
      </c>
      <c r="P364" t="s">
        <v>12</v>
      </c>
      <c r="Q364" t="s">
        <v>1010</v>
      </c>
      <c r="R364" t="s">
        <v>14</v>
      </c>
      <c r="S364" s="3">
        <v>1117.6600000000001</v>
      </c>
      <c r="T364" t="s">
        <v>15</v>
      </c>
      <c r="U364" s="3">
        <v>96798.99</v>
      </c>
      <c r="V364" t="s">
        <v>12</v>
      </c>
      <c r="W364" t="s">
        <v>17</v>
      </c>
      <c r="X364" t="s">
        <v>12</v>
      </c>
      <c r="Y364" t="s">
        <v>12</v>
      </c>
      <c r="Z364" t="s">
        <v>5</v>
      </c>
      <c r="AA364" t="s">
        <v>12</v>
      </c>
      <c r="AB364" t="s">
        <v>12</v>
      </c>
      <c r="AC364" t="s">
        <v>12</v>
      </c>
      <c r="AD364" t="s">
        <v>12</v>
      </c>
      <c r="AE364" s="2">
        <v>45976</v>
      </c>
      <c r="AF364" s="2">
        <v>45976</v>
      </c>
      <c r="AG364" t="s">
        <v>113</v>
      </c>
    </row>
    <row r="365" spans="1:33" outlineLevel="2" x14ac:dyDescent="0.25">
      <c r="A365" t="s">
        <v>129</v>
      </c>
      <c r="B365" t="s">
        <v>1</v>
      </c>
      <c r="C365" t="s">
        <v>2</v>
      </c>
      <c r="D365" t="s">
        <v>3</v>
      </c>
      <c r="E365" t="s">
        <v>4</v>
      </c>
      <c r="F365" t="s">
        <v>13</v>
      </c>
      <c r="G365" s="2">
        <v>45976</v>
      </c>
      <c r="H365" t="s">
        <v>113</v>
      </c>
      <c r="I365" t="s">
        <v>1009</v>
      </c>
      <c r="J365" s="2">
        <v>45976</v>
      </c>
      <c r="K365" s="2">
        <v>45976</v>
      </c>
      <c r="L365" t="s">
        <v>8</v>
      </c>
      <c r="M365" t="s">
        <v>1050</v>
      </c>
      <c r="N365" t="s">
        <v>10</v>
      </c>
      <c r="O365" t="s">
        <v>11</v>
      </c>
      <c r="P365" t="s">
        <v>12</v>
      </c>
      <c r="Q365" t="s">
        <v>484</v>
      </c>
      <c r="R365" t="s">
        <v>14</v>
      </c>
      <c r="S365" s="3">
        <v>-182.83</v>
      </c>
      <c r="T365" t="s">
        <v>15</v>
      </c>
      <c r="U365" s="3">
        <v>-16089.66</v>
      </c>
      <c r="V365" t="s">
        <v>12</v>
      </c>
      <c r="W365" t="s">
        <v>17</v>
      </c>
      <c r="X365" t="s">
        <v>12</v>
      </c>
      <c r="Y365" t="s">
        <v>8</v>
      </c>
      <c r="Z365" t="s">
        <v>18</v>
      </c>
      <c r="AA365" t="s">
        <v>12</v>
      </c>
      <c r="AB365" t="s">
        <v>12</v>
      </c>
      <c r="AC365" t="s">
        <v>12</v>
      </c>
      <c r="AD365" t="s">
        <v>12</v>
      </c>
      <c r="AE365" s="2">
        <v>45976</v>
      </c>
      <c r="AF365" s="2"/>
      <c r="AG365" t="s">
        <v>12</v>
      </c>
    </row>
    <row r="366" spans="1:33" outlineLevel="2" x14ac:dyDescent="0.25">
      <c r="A366" t="s">
        <v>129</v>
      </c>
      <c r="B366" t="s">
        <v>1</v>
      </c>
      <c r="C366" t="s">
        <v>2</v>
      </c>
      <c r="D366" t="s">
        <v>3</v>
      </c>
      <c r="E366" t="s">
        <v>4</v>
      </c>
      <c r="F366" t="s">
        <v>13</v>
      </c>
      <c r="G366" s="2">
        <v>45976</v>
      </c>
      <c r="H366" t="s">
        <v>113</v>
      </c>
      <c r="I366" t="s">
        <v>1009</v>
      </c>
      <c r="J366" s="2">
        <v>45976</v>
      </c>
      <c r="K366" s="2">
        <v>45976</v>
      </c>
      <c r="L366" t="s">
        <v>8</v>
      </c>
      <c r="M366" t="s">
        <v>1050</v>
      </c>
      <c r="N366" t="s">
        <v>10</v>
      </c>
      <c r="O366" t="s">
        <v>11</v>
      </c>
      <c r="P366" t="s">
        <v>12</v>
      </c>
      <c r="Q366" t="s">
        <v>484</v>
      </c>
      <c r="R366" t="s">
        <v>14</v>
      </c>
      <c r="S366" s="3">
        <v>-55.46</v>
      </c>
      <c r="T366" t="s">
        <v>15</v>
      </c>
      <c r="U366" s="3">
        <v>-4880.67</v>
      </c>
      <c r="V366" t="s">
        <v>12</v>
      </c>
      <c r="W366" t="s">
        <v>17</v>
      </c>
      <c r="X366" t="s">
        <v>12</v>
      </c>
      <c r="Y366" t="s">
        <v>8</v>
      </c>
      <c r="Z366" t="s">
        <v>358</v>
      </c>
      <c r="AA366" t="s">
        <v>12</v>
      </c>
      <c r="AB366" t="s">
        <v>12</v>
      </c>
      <c r="AC366" t="s">
        <v>12</v>
      </c>
      <c r="AD366" t="s">
        <v>12</v>
      </c>
      <c r="AE366" s="2">
        <v>45976</v>
      </c>
      <c r="AF366" s="2"/>
      <c r="AG366" t="s">
        <v>12</v>
      </c>
    </row>
    <row r="367" spans="1:33" outlineLevel="2" x14ac:dyDescent="0.25">
      <c r="A367" t="s">
        <v>129</v>
      </c>
      <c r="B367" t="s">
        <v>1</v>
      </c>
      <c r="C367" t="s">
        <v>2</v>
      </c>
      <c r="D367" t="s">
        <v>3</v>
      </c>
      <c r="E367" t="s">
        <v>4</v>
      </c>
      <c r="F367" t="s">
        <v>13</v>
      </c>
      <c r="G367" s="2">
        <v>45976</v>
      </c>
      <c r="H367" t="s">
        <v>113</v>
      </c>
      <c r="I367" t="s">
        <v>1009</v>
      </c>
      <c r="J367" s="2">
        <v>45976</v>
      </c>
      <c r="K367" s="2">
        <v>45976</v>
      </c>
      <c r="L367" t="s">
        <v>8</v>
      </c>
      <c r="M367" t="s">
        <v>1050</v>
      </c>
      <c r="N367" t="s">
        <v>10</v>
      </c>
      <c r="O367" t="s">
        <v>11</v>
      </c>
      <c r="P367" t="s">
        <v>12</v>
      </c>
      <c r="Q367" t="s">
        <v>484</v>
      </c>
      <c r="R367" t="s">
        <v>14</v>
      </c>
      <c r="S367" s="3">
        <v>-420</v>
      </c>
      <c r="T367" t="s">
        <v>15</v>
      </c>
      <c r="U367" s="3">
        <v>-36961.42</v>
      </c>
      <c r="V367" t="s">
        <v>12</v>
      </c>
      <c r="W367" t="s">
        <v>17</v>
      </c>
      <c r="X367" t="s">
        <v>12</v>
      </c>
      <c r="Y367" t="s">
        <v>8</v>
      </c>
      <c r="Z367" t="s">
        <v>243</v>
      </c>
      <c r="AA367" t="s">
        <v>12</v>
      </c>
      <c r="AB367" t="s">
        <v>12</v>
      </c>
      <c r="AC367" t="s">
        <v>12</v>
      </c>
      <c r="AD367" t="s">
        <v>12</v>
      </c>
      <c r="AE367" s="2">
        <v>45976</v>
      </c>
      <c r="AF367" s="2"/>
      <c r="AG367" t="s">
        <v>12</v>
      </c>
    </row>
    <row r="368" spans="1:33" outlineLevel="2" x14ac:dyDescent="0.25">
      <c r="A368" t="s">
        <v>129</v>
      </c>
      <c r="B368" t="s">
        <v>1</v>
      </c>
      <c r="C368" t="s">
        <v>2</v>
      </c>
      <c r="D368" t="s">
        <v>3</v>
      </c>
      <c r="E368" t="s">
        <v>4</v>
      </c>
      <c r="F368" t="s">
        <v>13</v>
      </c>
      <c r="G368" s="2">
        <v>45976</v>
      </c>
      <c r="H368" t="s">
        <v>113</v>
      </c>
      <c r="I368" t="s">
        <v>1009</v>
      </c>
      <c r="J368" s="2">
        <v>45976</v>
      </c>
      <c r="K368" s="2">
        <v>45976</v>
      </c>
      <c r="L368" t="s">
        <v>8</v>
      </c>
      <c r="M368" t="s">
        <v>1050</v>
      </c>
      <c r="N368" t="s">
        <v>10</v>
      </c>
      <c r="O368" t="s">
        <v>11</v>
      </c>
      <c r="P368" t="s">
        <v>12</v>
      </c>
      <c r="Q368" t="s">
        <v>484</v>
      </c>
      <c r="R368" t="s">
        <v>14</v>
      </c>
      <c r="S368" s="3">
        <v>-177.66</v>
      </c>
      <c r="T368" t="s">
        <v>15</v>
      </c>
      <c r="U368" s="3">
        <v>-15634.68</v>
      </c>
      <c r="V368" t="s">
        <v>12</v>
      </c>
      <c r="W368" t="s">
        <v>17</v>
      </c>
      <c r="X368" t="s">
        <v>12</v>
      </c>
      <c r="Y368" t="s">
        <v>8</v>
      </c>
      <c r="Z368" t="s">
        <v>140</v>
      </c>
      <c r="AA368" t="s">
        <v>12</v>
      </c>
      <c r="AB368" t="s">
        <v>12</v>
      </c>
      <c r="AC368" t="s">
        <v>12</v>
      </c>
      <c r="AD368" t="s">
        <v>12</v>
      </c>
      <c r="AE368" s="2">
        <v>45976</v>
      </c>
      <c r="AF368" s="2"/>
      <c r="AG368" t="s">
        <v>12</v>
      </c>
    </row>
    <row r="369" spans="1:33" outlineLevel="2" x14ac:dyDescent="0.25">
      <c r="A369" t="s">
        <v>129</v>
      </c>
      <c r="B369" t="s">
        <v>1</v>
      </c>
      <c r="C369" t="s">
        <v>2</v>
      </c>
      <c r="D369" t="s">
        <v>3</v>
      </c>
      <c r="E369" t="s">
        <v>4</v>
      </c>
      <c r="F369" t="s">
        <v>13</v>
      </c>
      <c r="G369" s="2">
        <v>45976</v>
      </c>
      <c r="H369" t="s">
        <v>113</v>
      </c>
      <c r="I369" t="s">
        <v>1009</v>
      </c>
      <c r="J369" s="2">
        <v>45976</v>
      </c>
      <c r="K369" s="2">
        <v>45976</v>
      </c>
      <c r="L369" t="s">
        <v>8</v>
      </c>
      <c r="M369" t="s">
        <v>1050</v>
      </c>
      <c r="N369" t="s">
        <v>10</v>
      </c>
      <c r="O369" t="s">
        <v>11</v>
      </c>
      <c r="P369" t="s">
        <v>12</v>
      </c>
      <c r="Q369" t="s">
        <v>484</v>
      </c>
      <c r="R369" t="s">
        <v>14</v>
      </c>
      <c r="S369" s="3">
        <v>-143.81</v>
      </c>
      <c r="T369" t="s">
        <v>15</v>
      </c>
      <c r="U369" s="3">
        <v>-12655.77</v>
      </c>
      <c r="V369" t="s">
        <v>12</v>
      </c>
      <c r="W369" t="s">
        <v>17</v>
      </c>
      <c r="X369" t="s">
        <v>12</v>
      </c>
      <c r="Y369" t="s">
        <v>8</v>
      </c>
      <c r="Z369" t="s">
        <v>130</v>
      </c>
      <c r="AA369" t="s">
        <v>12</v>
      </c>
      <c r="AB369" t="s">
        <v>12</v>
      </c>
      <c r="AC369" t="s">
        <v>12</v>
      </c>
      <c r="AD369" t="s">
        <v>12</v>
      </c>
      <c r="AE369" s="2">
        <v>45976</v>
      </c>
      <c r="AF369" s="2"/>
      <c r="AG369" t="s">
        <v>12</v>
      </c>
    </row>
    <row r="370" spans="1:33" outlineLevel="2" x14ac:dyDescent="0.25">
      <c r="A370" t="s">
        <v>129</v>
      </c>
      <c r="B370" t="s">
        <v>1</v>
      </c>
      <c r="C370" t="s">
        <v>2</v>
      </c>
      <c r="D370" t="s">
        <v>3</v>
      </c>
      <c r="E370" t="s">
        <v>4</v>
      </c>
      <c r="F370" t="s">
        <v>13</v>
      </c>
      <c r="G370" s="2">
        <v>45976</v>
      </c>
      <c r="H370" t="s">
        <v>113</v>
      </c>
      <c r="I370" t="s">
        <v>1009</v>
      </c>
      <c r="J370" s="2">
        <v>45976</v>
      </c>
      <c r="K370" s="2">
        <v>45976</v>
      </c>
      <c r="L370" t="s">
        <v>8</v>
      </c>
      <c r="M370" t="s">
        <v>1050</v>
      </c>
      <c r="N370" t="s">
        <v>10</v>
      </c>
      <c r="O370" t="s">
        <v>11</v>
      </c>
      <c r="P370" t="s">
        <v>12</v>
      </c>
      <c r="Q370" t="s">
        <v>484</v>
      </c>
      <c r="R370" t="s">
        <v>14</v>
      </c>
      <c r="S370" s="3">
        <v>-137.9</v>
      </c>
      <c r="T370" t="s">
        <v>15</v>
      </c>
      <c r="U370" s="3">
        <v>-12135.67</v>
      </c>
      <c r="V370" t="s">
        <v>12</v>
      </c>
      <c r="W370" t="s">
        <v>17</v>
      </c>
      <c r="X370" t="s">
        <v>12</v>
      </c>
      <c r="Y370" t="s">
        <v>8</v>
      </c>
      <c r="Z370" t="s">
        <v>229</v>
      </c>
      <c r="AA370" t="s">
        <v>12</v>
      </c>
      <c r="AB370" t="s">
        <v>12</v>
      </c>
      <c r="AC370" t="s">
        <v>12</v>
      </c>
      <c r="AD370" t="s">
        <v>12</v>
      </c>
      <c r="AE370" s="2">
        <v>45976</v>
      </c>
      <c r="AF370" s="2"/>
      <c r="AG370" t="s">
        <v>12</v>
      </c>
    </row>
    <row r="371" spans="1:33" outlineLevel="2" x14ac:dyDescent="0.25">
      <c r="A371" t="s">
        <v>129</v>
      </c>
      <c r="B371" t="s">
        <v>1</v>
      </c>
      <c r="C371" t="s">
        <v>2</v>
      </c>
      <c r="D371" t="s">
        <v>3</v>
      </c>
      <c r="E371" t="s">
        <v>4</v>
      </c>
      <c r="F371" t="s">
        <v>243</v>
      </c>
      <c r="G371" s="2">
        <v>45719</v>
      </c>
      <c r="H371" t="s">
        <v>1054</v>
      </c>
      <c r="I371" t="s">
        <v>22</v>
      </c>
      <c r="J371" s="2">
        <v>45719</v>
      </c>
      <c r="K371" s="2">
        <v>45720</v>
      </c>
      <c r="L371" t="s">
        <v>8</v>
      </c>
      <c r="M371" t="s">
        <v>1055</v>
      </c>
      <c r="N371" t="s">
        <v>10</v>
      </c>
      <c r="O371" t="s">
        <v>11</v>
      </c>
      <c r="P371" t="s">
        <v>12</v>
      </c>
      <c r="Q371" t="s">
        <v>24</v>
      </c>
      <c r="R371" t="s">
        <v>14</v>
      </c>
      <c r="S371" s="3">
        <v>11.75</v>
      </c>
      <c r="T371" t="s">
        <v>15</v>
      </c>
      <c r="U371" s="3">
        <v>1018.62</v>
      </c>
      <c r="V371" t="s">
        <v>16</v>
      </c>
      <c r="W371" t="s">
        <v>17</v>
      </c>
      <c r="X371" t="s">
        <v>12</v>
      </c>
      <c r="Y371" t="s">
        <v>8</v>
      </c>
      <c r="Z371" t="s">
        <v>18</v>
      </c>
      <c r="AA371" t="s">
        <v>1056</v>
      </c>
      <c r="AB371" t="s">
        <v>12</v>
      </c>
      <c r="AC371" t="s">
        <v>12</v>
      </c>
      <c r="AD371" t="s">
        <v>12</v>
      </c>
      <c r="AE371" s="2">
        <v>45719</v>
      </c>
      <c r="AF371" s="2"/>
      <c r="AG371" t="s">
        <v>12</v>
      </c>
    </row>
    <row r="372" spans="1:33" outlineLevel="2" x14ac:dyDescent="0.25">
      <c r="A372" t="s">
        <v>129</v>
      </c>
      <c r="B372" t="s">
        <v>1</v>
      </c>
      <c r="C372" t="s">
        <v>2</v>
      </c>
      <c r="D372" t="s">
        <v>3</v>
      </c>
      <c r="E372" t="s">
        <v>4</v>
      </c>
      <c r="F372" t="s">
        <v>243</v>
      </c>
      <c r="G372" s="2">
        <v>45720</v>
      </c>
      <c r="H372" t="s">
        <v>1057</v>
      </c>
      <c r="I372" t="s">
        <v>22</v>
      </c>
      <c r="J372" s="2">
        <v>45720</v>
      </c>
      <c r="K372" s="2">
        <v>45721</v>
      </c>
      <c r="L372" t="s">
        <v>8</v>
      </c>
      <c r="M372" t="s">
        <v>1058</v>
      </c>
      <c r="N372" t="s">
        <v>10</v>
      </c>
      <c r="O372" t="s">
        <v>11</v>
      </c>
      <c r="P372" t="s">
        <v>12</v>
      </c>
      <c r="Q372" t="s">
        <v>24</v>
      </c>
      <c r="R372" t="s">
        <v>14</v>
      </c>
      <c r="S372" s="3">
        <v>11.75</v>
      </c>
      <c r="T372" t="s">
        <v>15</v>
      </c>
      <c r="U372" s="3">
        <v>1018.62</v>
      </c>
      <c r="V372" t="s">
        <v>16</v>
      </c>
      <c r="W372" t="s">
        <v>17</v>
      </c>
      <c r="X372" t="s">
        <v>12</v>
      </c>
      <c r="Y372" t="s">
        <v>8</v>
      </c>
      <c r="Z372" t="s">
        <v>18</v>
      </c>
      <c r="AA372" t="s">
        <v>1059</v>
      </c>
      <c r="AB372" t="s">
        <v>12</v>
      </c>
      <c r="AC372" t="s">
        <v>12</v>
      </c>
      <c r="AD372" t="s">
        <v>12</v>
      </c>
      <c r="AE372" s="2">
        <v>45720</v>
      </c>
      <c r="AF372" s="2"/>
      <c r="AG372" t="s">
        <v>12</v>
      </c>
    </row>
    <row r="373" spans="1:33" outlineLevel="2" x14ac:dyDescent="0.25">
      <c r="A373" t="s">
        <v>129</v>
      </c>
      <c r="B373" t="s">
        <v>1</v>
      </c>
      <c r="C373" t="s">
        <v>2</v>
      </c>
      <c r="D373" t="s">
        <v>3</v>
      </c>
      <c r="E373" t="s">
        <v>4</v>
      </c>
      <c r="F373" t="s">
        <v>243</v>
      </c>
      <c r="G373" s="2">
        <v>45736</v>
      </c>
      <c r="H373" t="s">
        <v>1060</v>
      </c>
      <c r="I373" t="s">
        <v>22</v>
      </c>
      <c r="J373" s="2">
        <v>45736</v>
      </c>
      <c r="K373" s="2">
        <v>45736</v>
      </c>
      <c r="L373" t="s">
        <v>8</v>
      </c>
      <c r="M373" t="s">
        <v>1061</v>
      </c>
      <c r="N373" t="s">
        <v>10</v>
      </c>
      <c r="O373" t="s">
        <v>11</v>
      </c>
      <c r="P373" t="s">
        <v>12</v>
      </c>
      <c r="Q373" t="s">
        <v>24</v>
      </c>
      <c r="R373" t="s">
        <v>14</v>
      </c>
      <c r="S373" s="3">
        <v>11.75</v>
      </c>
      <c r="T373" t="s">
        <v>15</v>
      </c>
      <c r="U373" s="3">
        <v>1018.62</v>
      </c>
      <c r="V373" t="s">
        <v>16</v>
      </c>
      <c r="W373" t="s">
        <v>17</v>
      </c>
      <c r="X373" t="s">
        <v>12</v>
      </c>
      <c r="Y373" t="s">
        <v>8</v>
      </c>
      <c r="Z373" t="s">
        <v>18</v>
      </c>
      <c r="AA373" t="s">
        <v>157</v>
      </c>
      <c r="AB373" t="s">
        <v>12</v>
      </c>
      <c r="AC373" t="s">
        <v>12</v>
      </c>
      <c r="AD373" t="s">
        <v>12</v>
      </c>
      <c r="AE373" s="2">
        <v>45736</v>
      </c>
      <c r="AF373" s="2"/>
      <c r="AG373" t="s">
        <v>12</v>
      </c>
    </row>
    <row r="374" spans="1:33" outlineLevel="2" x14ac:dyDescent="0.25">
      <c r="A374" t="s">
        <v>129</v>
      </c>
      <c r="B374" t="s">
        <v>1</v>
      </c>
      <c r="C374" t="s">
        <v>2</v>
      </c>
      <c r="D374" t="s">
        <v>3</v>
      </c>
      <c r="E374" t="s">
        <v>4</v>
      </c>
      <c r="F374" t="s">
        <v>130</v>
      </c>
      <c r="G374" s="2">
        <v>45798</v>
      </c>
      <c r="H374" t="s">
        <v>1062</v>
      </c>
      <c r="I374" t="s">
        <v>22</v>
      </c>
      <c r="J374" s="2">
        <v>45798</v>
      </c>
      <c r="K374" s="2">
        <v>45800</v>
      </c>
      <c r="L374" t="s">
        <v>8</v>
      </c>
      <c r="M374" t="s">
        <v>1063</v>
      </c>
      <c r="N374" t="s">
        <v>10</v>
      </c>
      <c r="O374" t="s">
        <v>11</v>
      </c>
      <c r="P374" t="s">
        <v>12</v>
      </c>
      <c r="Q374" t="s">
        <v>24</v>
      </c>
      <c r="R374" t="s">
        <v>14</v>
      </c>
      <c r="S374" s="3">
        <v>11.75</v>
      </c>
      <c r="T374" t="s">
        <v>15</v>
      </c>
      <c r="U374" s="3">
        <v>1010.31</v>
      </c>
      <c r="V374" t="s">
        <v>16</v>
      </c>
      <c r="W374" t="s">
        <v>17</v>
      </c>
      <c r="X374" t="s">
        <v>12</v>
      </c>
      <c r="Y374" t="s">
        <v>8</v>
      </c>
      <c r="Z374" t="s">
        <v>18</v>
      </c>
      <c r="AA374" t="s">
        <v>1064</v>
      </c>
      <c r="AB374" t="s">
        <v>12</v>
      </c>
      <c r="AC374" t="s">
        <v>12</v>
      </c>
      <c r="AD374" t="s">
        <v>12</v>
      </c>
      <c r="AE374" s="2">
        <v>45798</v>
      </c>
      <c r="AF374" s="2"/>
      <c r="AG374" t="s">
        <v>12</v>
      </c>
    </row>
    <row r="375" spans="1:33" outlineLevel="2" x14ac:dyDescent="0.25">
      <c r="A375" t="s">
        <v>129</v>
      </c>
      <c r="B375" t="s">
        <v>1</v>
      </c>
      <c r="C375" t="s">
        <v>2</v>
      </c>
      <c r="D375" t="s">
        <v>3</v>
      </c>
      <c r="E375" t="s">
        <v>4</v>
      </c>
      <c r="F375" t="s">
        <v>130</v>
      </c>
      <c r="G375" s="2">
        <v>45798</v>
      </c>
      <c r="H375" t="s">
        <v>1065</v>
      </c>
      <c r="I375" t="s">
        <v>22</v>
      </c>
      <c r="J375" s="2">
        <v>45798</v>
      </c>
      <c r="K375" s="2">
        <v>45800</v>
      </c>
      <c r="L375" t="s">
        <v>8</v>
      </c>
      <c r="M375" t="s">
        <v>1066</v>
      </c>
      <c r="N375" t="s">
        <v>10</v>
      </c>
      <c r="O375" t="s">
        <v>11</v>
      </c>
      <c r="P375" t="s">
        <v>12</v>
      </c>
      <c r="Q375" t="s">
        <v>24</v>
      </c>
      <c r="R375" t="s">
        <v>14</v>
      </c>
      <c r="S375" s="3">
        <v>11.75</v>
      </c>
      <c r="T375" t="s">
        <v>15</v>
      </c>
      <c r="U375" s="3">
        <v>1010.31</v>
      </c>
      <c r="V375" t="s">
        <v>16</v>
      </c>
      <c r="W375" t="s">
        <v>17</v>
      </c>
      <c r="X375" t="s">
        <v>12</v>
      </c>
      <c r="Y375" t="s">
        <v>8</v>
      </c>
      <c r="Z375" t="s">
        <v>18</v>
      </c>
      <c r="AA375" t="s">
        <v>1067</v>
      </c>
      <c r="AB375" t="s">
        <v>12</v>
      </c>
      <c r="AC375" t="s">
        <v>12</v>
      </c>
      <c r="AD375" t="s">
        <v>12</v>
      </c>
      <c r="AE375" s="2">
        <v>45798</v>
      </c>
      <c r="AF375" s="2"/>
      <c r="AG375" t="s">
        <v>12</v>
      </c>
    </row>
    <row r="376" spans="1:33" outlineLevel="2" x14ac:dyDescent="0.25">
      <c r="A376" t="s">
        <v>129</v>
      </c>
      <c r="B376" t="s">
        <v>1</v>
      </c>
      <c r="C376" t="s">
        <v>2</v>
      </c>
      <c r="D376" t="s">
        <v>3</v>
      </c>
      <c r="E376" t="s">
        <v>4</v>
      </c>
      <c r="F376" t="s">
        <v>313</v>
      </c>
      <c r="G376" s="2">
        <v>45918</v>
      </c>
      <c r="H376" t="s">
        <v>1068</v>
      </c>
      <c r="I376" t="s">
        <v>22</v>
      </c>
      <c r="J376" s="2">
        <v>45918</v>
      </c>
      <c r="K376" s="2">
        <v>45922</v>
      </c>
      <c r="L376" t="s">
        <v>8</v>
      </c>
      <c r="M376" t="s">
        <v>1069</v>
      </c>
      <c r="N376" t="s">
        <v>10</v>
      </c>
      <c r="O376" t="s">
        <v>11</v>
      </c>
      <c r="P376" t="s">
        <v>12</v>
      </c>
      <c r="Q376" t="s">
        <v>24</v>
      </c>
      <c r="R376" t="s">
        <v>14</v>
      </c>
      <c r="S376" s="3">
        <v>11.75</v>
      </c>
      <c r="T376" t="s">
        <v>15</v>
      </c>
      <c r="U376" s="3">
        <v>1028.29</v>
      </c>
      <c r="V376" t="s">
        <v>16</v>
      </c>
      <c r="W376" t="s">
        <v>17</v>
      </c>
      <c r="X376" t="s">
        <v>12</v>
      </c>
      <c r="Y376" t="s">
        <v>1070</v>
      </c>
      <c r="Z376" t="s">
        <v>18</v>
      </c>
      <c r="AA376" t="s">
        <v>1071</v>
      </c>
      <c r="AB376" t="s">
        <v>12</v>
      </c>
      <c r="AC376" t="s">
        <v>12</v>
      </c>
      <c r="AD376" t="s">
        <v>12</v>
      </c>
      <c r="AE376" s="2">
        <v>45918</v>
      </c>
      <c r="AF376" s="2"/>
      <c r="AG376" t="s">
        <v>12</v>
      </c>
    </row>
    <row r="377" spans="1:33" outlineLevel="2" x14ac:dyDescent="0.25">
      <c r="A377" t="s">
        <v>129</v>
      </c>
      <c r="B377" t="s">
        <v>1</v>
      </c>
      <c r="C377" t="s">
        <v>2</v>
      </c>
      <c r="D377" t="s">
        <v>3</v>
      </c>
      <c r="E377" t="s">
        <v>4</v>
      </c>
      <c r="F377" t="s">
        <v>176</v>
      </c>
      <c r="G377" s="2">
        <v>45937</v>
      </c>
      <c r="H377" t="s">
        <v>1072</v>
      </c>
      <c r="I377" t="s">
        <v>22</v>
      </c>
      <c r="J377" s="2">
        <v>45937</v>
      </c>
      <c r="K377" s="2">
        <v>45940</v>
      </c>
      <c r="L377" t="s">
        <v>8</v>
      </c>
      <c r="M377" t="s">
        <v>1073</v>
      </c>
      <c r="N377" t="s">
        <v>10</v>
      </c>
      <c r="O377" t="s">
        <v>11</v>
      </c>
      <c r="P377" t="s">
        <v>12</v>
      </c>
      <c r="Q377" t="s">
        <v>24</v>
      </c>
      <c r="R377" t="s">
        <v>14</v>
      </c>
      <c r="S377" s="3">
        <v>11.75</v>
      </c>
      <c r="T377" t="s">
        <v>15</v>
      </c>
      <c r="U377" s="3">
        <v>1036.24</v>
      </c>
      <c r="V377" t="s">
        <v>16</v>
      </c>
      <c r="W377" t="s">
        <v>17</v>
      </c>
      <c r="X377" t="s">
        <v>12</v>
      </c>
      <c r="Y377" t="s">
        <v>1074</v>
      </c>
      <c r="Z377" t="s">
        <v>18</v>
      </c>
      <c r="AA377" t="s">
        <v>1075</v>
      </c>
      <c r="AB377" t="s">
        <v>12</v>
      </c>
      <c r="AC377" t="s">
        <v>12</v>
      </c>
      <c r="AD377" t="s">
        <v>12</v>
      </c>
      <c r="AE377" s="2">
        <v>45937</v>
      </c>
      <c r="AF377" s="2"/>
      <c r="AG377" t="s">
        <v>12</v>
      </c>
    </row>
    <row r="378" spans="1:33" outlineLevel="2" x14ac:dyDescent="0.25">
      <c r="A378" t="s">
        <v>129</v>
      </c>
      <c r="B378" t="s">
        <v>1</v>
      </c>
      <c r="C378" t="s">
        <v>2</v>
      </c>
      <c r="D378" t="s">
        <v>3</v>
      </c>
      <c r="E378" t="s">
        <v>4</v>
      </c>
      <c r="F378" t="s">
        <v>243</v>
      </c>
      <c r="G378" s="2">
        <v>45720</v>
      </c>
      <c r="H378" t="s">
        <v>1076</v>
      </c>
      <c r="I378" t="s">
        <v>22</v>
      </c>
      <c r="J378" s="2">
        <v>45720</v>
      </c>
      <c r="K378" s="2">
        <v>45720</v>
      </c>
      <c r="L378" t="s">
        <v>8</v>
      </c>
      <c r="M378" t="s">
        <v>1077</v>
      </c>
      <c r="N378" t="s">
        <v>10</v>
      </c>
      <c r="O378" t="s">
        <v>11</v>
      </c>
      <c r="P378" t="s">
        <v>12</v>
      </c>
      <c r="Q378" t="s">
        <v>24</v>
      </c>
      <c r="R378" t="s">
        <v>14</v>
      </c>
      <c r="S378" s="3">
        <v>2.35</v>
      </c>
      <c r="T378" t="s">
        <v>15</v>
      </c>
      <c r="U378" s="3">
        <v>203.72</v>
      </c>
      <c r="V378" t="s">
        <v>16</v>
      </c>
      <c r="W378" t="s">
        <v>17</v>
      </c>
      <c r="X378" t="s">
        <v>12</v>
      </c>
      <c r="Y378" t="s">
        <v>8</v>
      </c>
      <c r="Z378" t="s">
        <v>18</v>
      </c>
      <c r="AA378" t="s">
        <v>1078</v>
      </c>
      <c r="AB378" t="s">
        <v>12</v>
      </c>
      <c r="AC378" t="s">
        <v>12</v>
      </c>
      <c r="AD378" t="s">
        <v>12</v>
      </c>
      <c r="AE378" s="2">
        <v>45720</v>
      </c>
      <c r="AF378" s="2"/>
      <c r="AG378" t="s">
        <v>12</v>
      </c>
    </row>
    <row r="379" spans="1:33" outlineLevel="2" x14ac:dyDescent="0.25">
      <c r="A379" t="s">
        <v>129</v>
      </c>
      <c r="B379" t="s">
        <v>1</v>
      </c>
      <c r="C379" t="s">
        <v>2</v>
      </c>
      <c r="D379" t="s">
        <v>3</v>
      </c>
      <c r="E379" t="s">
        <v>4</v>
      </c>
      <c r="F379" t="s">
        <v>243</v>
      </c>
      <c r="G379" s="2">
        <v>45720</v>
      </c>
      <c r="H379" t="s">
        <v>1079</v>
      </c>
      <c r="I379" t="s">
        <v>22</v>
      </c>
      <c r="J379" s="2">
        <v>45720</v>
      </c>
      <c r="K379" s="2">
        <v>45720</v>
      </c>
      <c r="L379" t="s">
        <v>8</v>
      </c>
      <c r="M379" t="s">
        <v>1080</v>
      </c>
      <c r="N379" t="s">
        <v>10</v>
      </c>
      <c r="O379" t="s">
        <v>11</v>
      </c>
      <c r="P379" t="s">
        <v>12</v>
      </c>
      <c r="Q379" t="s">
        <v>24</v>
      </c>
      <c r="R379" t="s">
        <v>14</v>
      </c>
      <c r="S379" s="3">
        <v>2.35</v>
      </c>
      <c r="T379" t="s">
        <v>15</v>
      </c>
      <c r="U379" s="3">
        <v>203.72</v>
      </c>
      <c r="V379" t="s">
        <v>16</v>
      </c>
      <c r="W379" t="s">
        <v>17</v>
      </c>
      <c r="X379" t="s">
        <v>12</v>
      </c>
      <c r="Y379" t="s">
        <v>8</v>
      </c>
      <c r="Z379" t="s">
        <v>18</v>
      </c>
      <c r="AA379" t="s">
        <v>1078</v>
      </c>
      <c r="AB379" t="s">
        <v>12</v>
      </c>
      <c r="AC379" t="s">
        <v>12</v>
      </c>
      <c r="AD379" t="s">
        <v>12</v>
      </c>
      <c r="AE379" s="2">
        <v>45720</v>
      </c>
      <c r="AF379" s="2"/>
      <c r="AG379" t="s">
        <v>12</v>
      </c>
    </row>
    <row r="380" spans="1:33" outlineLevel="2" x14ac:dyDescent="0.25">
      <c r="A380" t="s">
        <v>129</v>
      </c>
      <c r="B380" t="s">
        <v>1</v>
      </c>
      <c r="C380" t="s">
        <v>2</v>
      </c>
      <c r="D380" t="s">
        <v>3</v>
      </c>
      <c r="E380" t="s">
        <v>4</v>
      </c>
      <c r="F380" t="s">
        <v>243</v>
      </c>
      <c r="G380" s="2">
        <v>45720</v>
      </c>
      <c r="H380" t="s">
        <v>1081</v>
      </c>
      <c r="I380" t="s">
        <v>22</v>
      </c>
      <c r="J380" s="2">
        <v>45720</v>
      </c>
      <c r="K380" s="2">
        <v>45720</v>
      </c>
      <c r="L380" t="s">
        <v>8</v>
      </c>
      <c r="M380" t="s">
        <v>1082</v>
      </c>
      <c r="N380" t="s">
        <v>10</v>
      </c>
      <c r="O380" t="s">
        <v>11</v>
      </c>
      <c r="P380" t="s">
        <v>12</v>
      </c>
      <c r="Q380" t="s">
        <v>24</v>
      </c>
      <c r="R380" t="s">
        <v>14</v>
      </c>
      <c r="S380" s="3">
        <v>14.1</v>
      </c>
      <c r="T380" t="s">
        <v>15</v>
      </c>
      <c r="U380" s="3">
        <v>1222.3499999999999</v>
      </c>
      <c r="V380" t="s">
        <v>16</v>
      </c>
      <c r="W380" t="s">
        <v>17</v>
      </c>
      <c r="X380" t="s">
        <v>12</v>
      </c>
      <c r="Y380" t="s">
        <v>8</v>
      </c>
      <c r="Z380" t="s">
        <v>18</v>
      </c>
      <c r="AA380" t="s">
        <v>1078</v>
      </c>
      <c r="AB380" t="s">
        <v>12</v>
      </c>
      <c r="AC380" t="s">
        <v>12</v>
      </c>
      <c r="AD380" t="s">
        <v>12</v>
      </c>
      <c r="AE380" s="2">
        <v>45720</v>
      </c>
      <c r="AF380" s="2"/>
      <c r="AG380" t="s">
        <v>12</v>
      </c>
    </row>
    <row r="381" spans="1:33" outlineLevel="2" x14ac:dyDescent="0.25">
      <c r="A381" t="s">
        <v>129</v>
      </c>
      <c r="B381" t="s">
        <v>1</v>
      </c>
      <c r="C381" t="s">
        <v>2</v>
      </c>
      <c r="D381" t="s">
        <v>3</v>
      </c>
      <c r="E381" t="s">
        <v>4</v>
      </c>
      <c r="F381" t="s">
        <v>243</v>
      </c>
      <c r="G381" s="2">
        <v>45720</v>
      </c>
      <c r="H381" t="s">
        <v>1083</v>
      </c>
      <c r="I381" t="s">
        <v>22</v>
      </c>
      <c r="J381" s="2">
        <v>45720</v>
      </c>
      <c r="K381" s="2">
        <v>45720</v>
      </c>
      <c r="L381" t="s">
        <v>8</v>
      </c>
      <c r="M381" t="s">
        <v>1084</v>
      </c>
      <c r="N381" t="s">
        <v>10</v>
      </c>
      <c r="O381" t="s">
        <v>11</v>
      </c>
      <c r="P381" t="s">
        <v>12</v>
      </c>
      <c r="Q381" t="s">
        <v>24</v>
      </c>
      <c r="R381" t="s">
        <v>14</v>
      </c>
      <c r="S381" s="3">
        <v>2.35</v>
      </c>
      <c r="T381" t="s">
        <v>15</v>
      </c>
      <c r="U381" s="3">
        <v>203.72</v>
      </c>
      <c r="V381" t="s">
        <v>16</v>
      </c>
      <c r="W381" t="s">
        <v>17</v>
      </c>
      <c r="X381" t="s">
        <v>12</v>
      </c>
      <c r="Y381" t="s">
        <v>8</v>
      </c>
      <c r="Z381" t="s">
        <v>18</v>
      </c>
      <c r="AA381" t="s">
        <v>1078</v>
      </c>
      <c r="AB381" t="s">
        <v>12</v>
      </c>
      <c r="AC381" t="s">
        <v>12</v>
      </c>
      <c r="AD381" t="s">
        <v>12</v>
      </c>
      <c r="AE381" s="2">
        <v>45720</v>
      </c>
      <c r="AF381" s="2"/>
      <c r="AG381" t="s">
        <v>12</v>
      </c>
    </row>
    <row r="382" spans="1:33" outlineLevel="2" x14ac:dyDescent="0.25">
      <c r="A382" t="s">
        <v>129</v>
      </c>
      <c r="B382" t="s">
        <v>1</v>
      </c>
      <c r="C382" t="s">
        <v>2</v>
      </c>
      <c r="D382" t="s">
        <v>3</v>
      </c>
      <c r="E382" t="s">
        <v>4</v>
      </c>
      <c r="F382" t="s">
        <v>243</v>
      </c>
      <c r="G382" s="2">
        <v>45720</v>
      </c>
      <c r="H382" t="s">
        <v>1085</v>
      </c>
      <c r="I382" t="s">
        <v>22</v>
      </c>
      <c r="J382" s="2">
        <v>45720</v>
      </c>
      <c r="K382" s="2">
        <v>45720</v>
      </c>
      <c r="L382" t="s">
        <v>8</v>
      </c>
      <c r="M382" t="s">
        <v>1086</v>
      </c>
      <c r="N382" t="s">
        <v>10</v>
      </c>
      <c r="O382" t="s">
        <v>11</v>
      </c>
      <c r="P382" t="s">
        <v>12</v>
      </c>
      <c r="Q382" t="s">
        <v>24</v>
      </c>
      <c r="R382" t="s">
        <v>14</v>
      </c>
      <c r="S382" s="3">
        <v>4.7</v>
      </c>
      <c r="T382" t="s">
        <v>15</v>
      </c>
      <c r="U382" s="3">
        <v>407.45</v>
      </c>
      <c r="V382" t="s">
        <v>16</v>
      </c>
      <c r="W382" t="s">
        <v>17</v>
      </c>
      <c r="X382" t="s">
        <v>12</v>
      </c>
      <c r="Y382" t="s">
        <v>8</v>
      </c>
      <c r="Z382" t="s">
        <v>18</v>
      </c>
      <c r="AA382" t="s">
        <v>1078</v>
      </c>
      <c r="AB382" t="s">
        <v>12</v>
      </c>
      <c r="AC382" t="s">
        <v>12</v>
      </c>
      <c r="AD382" t="s">
        <v>12</v>
      </c>
      <c r="AE382" s="2">
        <v>45720</v>
      </c>
      <c r="AF382" s="2"/>
      <c r="AG382" t="s">
        <v>12</v>
      </c>
    </row>
    <row r="383" spans="1:33" outlineLevel="2" x14ac:dyDescent="0.25">
      <c r="A383" t="s">
        <v>129</v>
      </c>
      <c r="B383" t="s">
        <v>1</v>
      </c>
      <c r="C383" t="s">
        <v>2</v>
      </c>
      <c r="D383" t="s">
        <v>3</v>
      </c>
      <c r="E383" t="s">
        <v>4</v>
      </c>
      <c r="F383" t="s">
        <v>243</v>
      </c>
      <c r="G383" s="2">
        <v>45720</v>
      </c>
      <c r="H383" t="s">
        <v>1087</v>
      </c>
      <c r="I383" t="s">
        <v>22</v>
      </c>
      <c r="J383" s="2">
        <v>45720</v>
      </c>
      <c r="K383" s="2">
        <v>45720</v>
      </c>
      <c r="L383" t="s">
        <v>8</v>
      </c>
      <c r="M383" t="s">
        <v>1088</v>
      </c>
      <c r="N383" t="s">
        <v>10</v>
      </c>
      <c r="O383" t="s">
        <v>11</v>
      </c>
      <c r="P383" t="s">
        <v>12</v>
      </c>
      <c r="Q383" t="s">
        <v>24</v>
      </c>
      <c r="R383" t="s">
        <v>14</v>
      </c>
      <c r="S383" s="3">
        <v>2.35</v>
      </c>
      <c r="T383" t="s">
        <v>15</v>
      </c>
      <c r="U383" s="3">
        <v>203.72</v>
      </c>
      <c r="V383" t="s">
        <v>16</v>
      </c>
      <c r="W383" t="s">
        <v>17</v>
      </c>
      <c r="X383" t="s">
        <v>12</v>
      </c>
      <c r="Y383" t="s">
        <v>8</v>
      </c>
      <c r="Z383" t="s">
        <v>18</v>
      </c>
      <c r="AA383" t="s">
        <v>1078</v>
      </c>
      <c r="AB383" t="s">
        <v>12</v>
      </c>
      <c r="AC383" t="s">
        <v>12</v>
      </c>
      <c r="AD383" t="s">
        <v>12</v>
      </c>
      <c r="AE383" s="2">
        <v>45720</v>
      </c>
      <c r="AF383" s="2"/>
      <c r="AG383" t="s">
        <v>12</v>
      </c>
    </row>
    <row r="384" spans="1:33" outlineLevel="2" x14ac:dyDescent="0.25">
      <c r="A384" t="s">
        <v>129</v>
      </c>
      <c r="B384" t="s">
        <v>1</v>
      </c>
      <c r="C384" t="s">
        <v>2</v>
      </c>
      <c r="D384" t="s">
        <v>3</v>
      </c>
      <c r="E384" t="s">
        <v>4</v>
      </c>
      <c r="F384" t="s">
        <v>243</v>
      </c>
      <c r="G384" s="2">
        <v>45720</v>
      </c>
      <c r="H384" t="s">
        <v>1089</v>
      </c>
      <c r="I384" t="s">
        <v>22</v>
      </c>
      <c r="J384" s="2">
        <v>45720</v>
      </c>
      <c r="K384" s="2">
        <v>45720</v>
      </c>
      <c r="L384" t="s">
        <v>8</v>
      </c>
      <c r="M384" t="s">
        <v>1090</v>
      </c>
      <c r="N384" t="s">
        <v>10</v>
      </c>
      <c r="O384" t="s">
        <v>11</v>
      </c>
      <c r="P384" t="s">
        <v>12</v>
      </c>
      <c r="Q384" t="s">
        <v>24</v>
      </c>
      <c r="R384" t="s">
        <v>14</v>
      </c>
      <c r="S384" s="3">
        <v>7.05</v>
      </c>
      <c r="T384" t="s">
        <v>15</v>
      </c>
      <c r="U384" s="3">
        <v>611.16999999999996</v>
      </c>
      <c r="V384" t="s">
        <v>16</v>
      </c>
      <c r="W384" t="s">
        <v>17</v>
      </c>
      <c r="X384" t="s">
        <v>12</v>
      </c>
      <c r="Y384" t="s">
        <v>8</v>
      </c>
      <c r="Z384" t="s">
        <v>18</v>
      </c>
      <c r="AA384" t="s">
        <v>1078</v>
      </c>
      <c r="AB384" t="s">
        <v>12</v>
      </c>
      <c r="AC384" t="s">
        <v>12</v>
      </c>
      <c r="AD384" t="s">
        <v>12</v>
      </c>
      <c r="AE384" s="2">
        <v>45720</v>
      </c>
      <c r="AF384" s="2"/>
      <c r="AG384" t="s">
        <v>12</v>
      </c>
    </row>
    <row r="385" spans="1:33" outlineLevel="2" x14ac:dyDescent="0.25">
      <c r="A385" t="s">
        <v>129</v>
      </c>
      <c r="B385" t="s">
        <v>1</v>
      </c>
      <c r="C385" t="s">
        <v>2</v>
      </c>
      <c r="D385" t="s">
        <v>3</v>
      </c>
      <c r="E385" t="s">
        <v>4</v>
      </c>
      <c r="F385" t="s">
        <v>243</v>
      </c>
      <c r="G385" s="2">
        <v>45720</v>
      </c>
      <c r="H385" t="s">
        <v>1091</v>
      </c>
      <c r="I385" t="s">
        <v>22</v>
      </c>
      <c r="J385" s="2">
        <v>45720</v>
      </c>
      <c r="K385" s="2">
        <v>45720</v>
      </c>
      <c r="L385" t="s">
        <v>8</v>
      </c>
      <c r="M385" t="s">
        <v>1092</v>
      </c>
      <c r="N385" t="s">
        <v>10</v>
      </c>
      <c r="O385" t="s">
        <v>11</v>
      </c>
      <c r="P385" t="s">
        <v>12</v>
      </c>
      <c r="Q385" t="s">
        <v>24</v>
      </c>
      <c r="R385" t="s">
        <v>14</v>
      </c>
      <c r="S385" s="3">
        <v>2.35</v>
      </c>
      <c r="T385" t="s">
        <v>15</v>
      </c>
      <c r="U385" s="3">
        <v>203.72</v>
      </c>
      <c r="V385" t="s">
        <v>16</v>
      </c>
      <c r="W385" t="s">
        <v>17</v>
      </c>
      <c r="X385" t="s">
        <v>12</v>
      </c>
      <c r="Y385" t="s">
        <v>8</v>
      </c>
      <c r="Z385" t="s">
        <v>18</v>
      </c>
      <c r="AA385" t="s">
        <v>1078</v>
      </c>
      <c r="AB385" t="s">
        <v>12</v>
      </c>
      <c r="AC385" t="s">
        <v>12</v>
      </c>
      <c r="AD385" t="s">
        <v>12</v>
      </c>
      <c r="AE385" s="2">
        <v>45720</v>
      </c>
      <c r="AF385" s="2"/>
      <c r="AG385" t="s">
        <v>12</v>
      </c>
    </row>
    <row r="386" spans="1:33" outlineLevel="2" x14ac:dyDescent="0.25">
      <c r="A386" t="s">
        <v>129</v>
      </c>
      <c r="B386" t="s">
        <v>1</v>
      </c>
      <c r="C386" t="s">
        <v>2</v>
      </c>
      <c r="D386" t="s">
        <v>3</v>
      </c>
      <c r="E386" t="s">
        <v>4</v>
      </c>
      <c r="F386" t="s">
        <v>243</v>
      </c>
      <c r="G386" s="2">
        <v>45720</v>
      </c>
      <c r="H386" t="s">
        <v>1093</v>
      </c>
      <c r="I386" t="s">
        <v>22</v>
      </c>
      <c r="J386" s="2">
        <v>45720</v>
      </c>
      <c r="K386" s="2">
        <v>45720</v>
      </c>
      <c r="L386" t="s">
        <v>8</v>
      </c>
      <c r="M386" t="s">
        <v>1094</v>
      </c>
      <c r="N386" t="s">
        <v>10</v>
      </c>
      <c r="O386" t="s">
        <v>11</v>
      </c>
      <c r="P386" t="s">
        <v>12</v>
      </c>
      <c r="Q386" t="s">
        <v>24</v>
      </c>
      <c r="R386" t="s">
        <v>14</v>
      </c>
      <c r="S386" s="3">
        <v>9.4</v>
      </c>
      <c r="T386" t="s">
        <v>15</v>
      </c>
      <c r="U386" s="3">
        <v>814.9</v>
      </c>
      <c r="V386" t="s">
        <v>16</v>
      </c>
      <c r="W386" t="s">
        <v>17</v>
      </c>
      <c r="X386" t="s">
        <v>12</v>
      </c>
      <c r="Y386" t="s">
        <v>8</v>
      </c>
      <c r="Z386" t="s">
        <v>18</v>
      </c>
      <c r="AA386" t="s">
        <v>1078</v>
      </c>
      <c r="AB386" t="s">
        <v>12</v>
      </c>
      <c r="AC386" t="s">
        <v>12</v>
      </c>
      <c r="AD386" t="s">
        <v>12</v>
      </c>
      <c r="AE386" s="2">
        <v>45720</v>
      </c>
      <c r="AF386" s="2"/>
      <c r="AG386" t="s">
        <v>12</v>
      </c>
    </row>
    <row r="387" spans="1:33" outlineLevel="2" x14ac:dyDescent="0.25">
      <c r="A387" t="s">
        <v>129</v>
      </c>
      <c r="B387" t="s">
        <v>1</v>
      </c>
      <c r="C387" t="s">
        <v>2</v>
      </c>
      <c r="D387" t="s">
        <v>3</v>
      </c>
      <c r="E387" t="s">
        <v>4</v>
      </c>
      <c r="F387" t="s">
        <v>243</v>
      </c>
      <c r="G387" s="2">
        <v>45720</v>
      </c>
      <c r="H387" t="s">
        <v>1095</v>
      </c>
      <c r="I387" t="s">
        <v>22</v>
      </c>
      <c r="J387" s="2">
        <v>45720</v>
      </c>
      <c r="K387" s="2">
        <v>45720</v>
      </c>
      <c r="L387" t="s">
        <v>8</v>
      </c>
      <c r="M387" t="s">
        <v>1096</v>
      </c>
      <c r="N387" t="s">
        <v>10</v>
      </c>
      <c r="O387" t="s">
        <v>11</v>
      </c>
      <c r="P387" t="s">
        <v>12</v>
      </c>
      <c r="Q387" t="s">
        <v>24</v>
      </c>
      <c r="R387" t="s">
        <v>14</v>
      </c>
      <c r="S387" s="3">
        <v>21.15</v>
      </c>
      <c r="T387" t="s">
        <v>15</v>
      </c>
      <c r="U387" s="3">
        <v>1833.52</v>
      </c>
      <c r="V387" t="s">
        <v>16</v>
      </c>
      <c r="W387" t="s">
        <v>17</v>
      </c>
      <c r="X387" t="s">
        <v>12</v>
      </c>
      <c r="Y387" t="s">
        <v>8</v>
      </c>
      <c r="Z387" t="s">
        <v>18</v>
      </c>
      <c r="AA387" t="s">
        <v>1078</v>
      </c>
      <c r="AB387" t="s">
        <v>12</v>
      </c>
      <c r="AC387" t="s">
        <v>12</v>
      </c>
      <c r="AD387" t="s">
        <v>12</v>
      </c>
      <c r="AE387" s="2">
        <v>45720</v>
      </c>
      <c r="AF387" s="2"/>
      <c r="AG387" t="s">
        <v>12</v>
      </c>
    </row>
    <row r="388" spans="1:33" outlineLevel="2" x14ac:dyDescent="0.25">
      <c r="A388" t="s">
        <v>129</v>
      </c>
      <c r="B388" t="s">
        <v>1</v>
      </c>
      <c r="C388" t="s">
        <v>2</v>
      </c>
      <c r="D388" t="s">
        <v>3</v>
      </c>
      <c r="E388" t="s">
        <v>4</v>
      </c>
      <c r="F388" t="s">
        <v>243</v>
      </c>
      <c r="G388" s="2">
        <v>45720</v>
      </c>
      <c r="H388" t="s">
        <v>1097</v>
      </c>
      <c r="I388" t="s">
        <v>22</v>
      </c>
      <c r="J388" s="2">
        <v>45720</v>
      </c>
      <c r="K388" s="2">
        <v>45720</v>
      </c>
      <c r="L388" t="s">
        <v>8</v>
      </c>
      <c r="M388" t="s">
        <v>1098</v>
      </c>
      <c r="N388" t="s">
        <v>10</v>
      </c>
      <c r="O388" t="s">
        <v>11</v>
      </c>
      <c r="P388" t="s">
        <v>12</v>
      </c>
      <c r="Q388" t="s">
        <v>24</v>
      </c>
      <c r="R388" t="s">
        <v>14</v>
      </c>
      <c r="S388" s="3">
        <v>9.4</v>
      </c>
      <c r="T388" t="s">
        <v>15</v>
      </c>
      <c r="U388" s="3">
        <v>814.9</v>
      </c>
      <c r="V388" t="s">
        <v>16</v>
      </c>
      <c r="W388" t="s">
        <v>17</v>
      </c>
      <c r="X388" t="s">
        <v>12</v>
      </c>
      <c r="Y388" t="s">
        <v>8</v>
      </c>
      <c r="Z388" t="s">
        <v>18</v>
      </c>
      <c r="AA388" t="s">
        <v>1078</v>
      </c>
      <c r="AB388" t="s">
        <v>12</v>
      </c>
      <c r="AC388" t="s">
        <v>12</v>
      </c>
      <c r="AD388" t="s">
        <v>12</v>
      </c>
      <c r="AE388" s="2">
        <v>45720</v>
      </c>
      <c r="AF388" s="2"/>
      <c r="AG388" t="s">
        <v>12</v>
      </c>
    </row>
    <row r="389" spans="1:33" outlineLevel="2" x14ac:dyDescent="0.25">
      <c r="A389" t="s">
        <v>129</v>
      </c>
      <c r="B389" t="s">
        <v>1</v>
      </c>
      <c r="C389" t="s">
        <v>2</v>
      </c>
      <c r="D389" t="s">
        <v>3</v>
      </c>
      <c r="E389" t="s">
        <v>4</v>
      </c>
      <c r="F389" t="s">
        <v>243</v>
      </c>
      <c r="G389" s="2">
        <v>45720</v>
      </c>
      <c r="H389" t="s">
        <v>1099</v>
      </c>
      <c r="I389" t="s">
        <v>22</v>
      </c>
      <c r="J389" s="2">
        <v>45720</v>
      </c>
      <c r="K389" s="2">
        <v>45720</v>
      </c>
      <c r="L389" t="s">
        <v>8</v>
      </c>
      <c r="M389" t="s">
        <v>1100</v>
      </c>
      <c r="N389" t="s">
        <v>10</v>
      </c>
      <c r="O389" t="s">
        <v>11</v>
      </c>
      <c r="P389" t="s">
        <v>12</v>
      </c>
      <c r="Q389" t="s">
        <v>24</v>
      </c>
      <c r="R389" t="s">
        <v>14</v>
      </c>
      <c r="S389" s="3">
        <v>4.7</v>
      </c>
      <c r="T389" t="s">
        <v>15</v>
      </c>
      <c r="U389" s="3">
        <v>407.45</v>
      </c>
      <c r="V389" t="s">
        <v>16</v>
      </c>
      <c r="W389" t="s">
        <v>17</v>
      </c>
      <c r="X389" t="s">
        <v>12</v>
      </c>
      <c r="Y389" t="s">
        <v>8</v>
      </c>
      <c r="Z389" t="s">
        <v>18</v>
      </c>
      <c r="AA389" t="s">
        <v>1078</v>
      </c>
      <c r="AB389" t="s">
        <v>12</v>
      </c>
      <c r="AC389" t="s">
        <v>12</v>
      </c>
      <c r="AD389" t="s">
        <v>12</v>
      </c>
      <c r="AE389" s="2">
        <v>45720</v>
      </c>
      <c r="AF389" s="2"/>
      <c r="AG389" t="s">
        <v>12</v>
      </c>
    </row>
    <row r="390" spans="1:33" outlineLevel="2" x14ac:dyDescent="0.25">
      <c r="A390" t="s">
        <v>129</v>
      </c>
      <c r="B390" t="s">
        <v>1</v>
      </c>
      <c r="C390" t="s">
        <v>2</v>
      </c>
      <c r="D390" t="s">
        <v>3</v>
      </c>
      <c r="E390" t="s">
        <v>4</v>
      </c>
      <c r="F390" t="s">
        <v>243</v>
      </c>
      <c r="G390" s="2">
        <v>45720</v>
      </c>
      <c r="H390" t="s">
        <v>1101</v>
      </c>
      <c r="I390" t="s">
        <v>22</v>
      </c>
      <c r="J390" s="2">
        <v>45720</v>
      </c>
      <c r="K390" s="2">
        <v>45720</v>
      </c>
      <c r="L390" t="s">
        <v>8</v>
      </c>
      <c r="M390" t="s">
        <v>1102</v>
      </c>
      <c r="N390" t="s">
        <v>10</v>
      </c>
      <c r="O390" t="s">
        <v>11</v>
      </c>
      <c r="P390" t="s">
        <v>12</v>
      </c>
      <c r="Q390" t="s">
        <v>24</v>
      </c>
      <c r="R390" t="s">
        <v>14</v>
      </c>
      <c r="S390" s="3">
        <v>42.3</v>
      </c>
      <c r="T390" t="s">
        <v>15</v>
      </c>
      <c r="U390" s="3">
        <v>3667.04</v>
      </c>
      <c r="V390" t="s">
        <v>16</v>
      </c>
      <c r="W390" t="s">
        <v>17</v>
      </c>
      <c r="X390" t="s">
        <v>12</v>
      </c>
      <c r="Y390" t="s">
        <v>8</v>
      </c>
      <c r="Z390" t="s">
        <v>18</v>
      </c>
      <c r="AA390" t="s">
        <v>1078</v>
      </c>
      <c r="AB390" t="s">
        <v>12</v>
      </c>
      <c r="AC390" t="s">
        <v>12</v>
      </c>
      <c r="AD390" t="s">
        <v>12</v>
      </c>
      <c r="AE390" s="2">
        <v>45720</v>
      </c>
      <c r="AF390" s="2"/>
      <c r="AG390" t="s">
        <v>12</v>
      </c>
    </row>
    <row r="391" spans="1:33" outlineLevel="2" x14ac:dyDescent="0.25">
      <c r="A391" t="s">
        <v>129</v>
      </c>
      <c r="B391" t="s">
        <v>1</v>
      </c>
      <c r="C391" t="s">
        <v>2</v>
      </c>
      <c r="D391" t="s">
        <v>3</v>
      </c>
      <c r="E391" t="s">
        <v>4</v>
      </c>
      <c r="F391" t="s">
        <v>243</v>
      </c>
      <c r="G391" s="2">
        <v>45720</v>
      </c>
      <c r="H391" t="s">
        <v>1103</v>
      </c>
      <c r="I391" t="s">
        <v>22</v>
      </c>
      <c r="J391" s="2">
        <v>45720</v>
      </c>
      <c r="K391" s="2">
        <v>45720</v>
      </c>
      <c r="L391" t="s">
        <v>8</v>
      </c>
      <c r="M391" t="s">
        <v>1104</v>
      </c>
      <c r="N391" t="s">
        <v>10</v>
      </c>
      <c r="O391" t="s">
        <v>11</v>
      </c>
      <c r="P391" t="s">
        <v>12</v>
      </c>
      <c r="Q391" t="s">
        <v>24</v>
      </c>
      <c r="R391" t="s">
        <v>14</v>
      </c>
      <c r="S391" s="3">
        <v>7.05</v>
      </c>
      <c r="T391" t="s">
        <v>15</v>
      </c>
      <c r="U391" s="3">
        <v>611.16999999999996</v>
      </c>
      <c r="V391" t="s">
        <v>16</v>
      </c>
      <c r="W391" t="s">
        <v>17</v>
      </c>
      <c r="X391" t="s">
        <v>12</v>
      </c>
      <c r="Y391" t="s">
        <v>8</v>
      </c>
      <c r="Z391" t="s">
        <v>18</v>
      </c>
      <c r="AA391" t="s">
        <v>1078</v>
      </c>
      <c r="AB391" t="s">
        <v>12</v>
      </c>
      <c r="AC391" t="s">
        <v>12</v>
      </c>
      <c r="AD391" t="s">
        <v>12</v>
      </c>
      <c r="AE391" s="2">
        <v>45720</v>
      </c>
      <c r="AF391" s="2"/>
      <c r="AG391" t="s">
        <v>12</v>
      </c>
    </row>
    <row r="392" spans="1:33" outlineLevel="2" x14ac:dyDescent="0.25">
      <c r="A392" t="s">
        <v>129</v>
      </c>
      <c r="B392" t="s">
        <v>1</v>
      </c>
      <c r="C392" t="s">
        <v>2</v>
      </c>
      <c r="D392" t="s">
        <v>3</v>
      </c>
      <c r="E392" t="s">
        <v>4</v>
      </c>
      <c r="F392" t="s">
        <v>243</v>
      </c>
      <c r="G392" s="2">
        <v>45720</v>
      </c>
      <c r="H392" t="s">
        <v>1105</v>
      </c>
      <c r="I392" t="s">
        <v>22</v>
      </c>
      <c r="J392" s="2">
        <v>45720</v>
      </c>
      <c r="K392" s="2">
        <v>45720</v>
      </c>
      <c r="L392" t="s">
        <v>8</v>
      </c>
      <c r="M392" t="s">
        <v>1106</v>
      </c>
      <c r="N392" t="s">
        <v>10</v>
      </c>
      <c r="O392" t="s">
        <v>11</v>
      </c>
      <c r="P392" t="s">
        <v>12</v>
      </c>
      <c r="Q392" t="s">
        <v>24</v>
      </c>
      <c r="R392" t="s">
        <v>14</v>
      </c>
      <c r="S392" s="3">
        <v>9.4</v>
      </c>
      <c r="T392" t="s">
        <v>15</v>
      </c>
      <c r="U392" s="3">
        <v>814.9</v>
      </c>
      <c r="V392" t="s">
        <v>16</v>
      </c>
      <c r="W392" t="s">
        <v>17</v>
      </c>
      <c r="X392" t="s">
        <v>12</v>
      </c>
      <c r="Y392" t="s">
        <v>8</v>
      </c>
      <c r="Z392" t="s">
        <v>18</v>
      </c>
      <c r="AA392" t="s">
        <v>1078</v>
      </c>
      <c r="AB392" t="s">
        <v>12</v>
      </c>
      <c r="AC392" t="s">
        <v>12</v>
      </c>
      <c r="AD392" t="s">
        <v>12</v>
      </c>
      <c r="AE392" s="2">
        <v>45720</v>
      </c>
      <c r="AF392" s="2"/>
      <c r="AG392" t="s">
        <v>12</v>
      </c>
    </row>
    <row r="393" spans="1:33" outlineLevel="2" x14ac:dyDescent="0.25">
      <c r="A393" t="s">
        <v>129</v>
      </c>
      <c r="B393" t="s">
        <v>1</v>
      </c>
      <c r="C393" t="s">
        <v>2</v>
      </c>
      <c r="D393" t="s">
        <v>3</v>
      </c>
      <c r="E393" t="s">
        <v>4</v>
      </c>
      <c r="F393" t="s">
        <v>243</v>
      </c>
      <c r="G393" s="2">
        <v>45720</v>
      </c>
      <c r="H393" t="s">
        <v>1107</v>
      </c>
      <c r="I393" t="s">
        <v>22</v>
      </c>
      <c r="J393" s="2">
        <v>45720</v>
      </c>
      <c r="K393" s="2">
        <v>45720</v>
      </c>
      <c r="L393" t="s">
        <v>8</v>
      </c>
      <c r="M393" t="s">
        <v>1108</v>
      </c>
      <c r="N393" t="s">
        <v>10</v>
      </c>
      <c r="O393" t="s">
        <v>11</v>
      </c>
      <c r="P393" t="s">
        <v>12</v>
      </c>
      <c r="Q393" t="s">
        <v>24</v>
      </c>
      <c r="R393" t="s">
        <v>14</v>
      </c>
      <c r="S393" s="3">
        <v>9.4</v>
      </c>
      <c r="T393" t="s">
        <v>15</v>
      </c>
      <c r="U393" s="3">
        <v>814.9</v>
      </c>
      <c r="V393" t="s">
        <v>16</v>
      </c>
      <c r="W393" t="s">
        <v>17</v>
      </c>
      <c r="X393" t="s">
        <v>12</v>
      </c>
      <c r="Y393" t="s">
        <v>8</v>
      </c>
      <c r="Z393" t="s">
        <v>18</v>
      </c>
      <c r="AA393" t="s">
        <v>1078</v>
      </c>
      <c r="AB393" t="s">
        <v>12</v>
      </c>
      <c r="AC393" t="s">
        <v>12</v>
      </c>
      <c r="AD393" t="s">
        <v>12</v>
      </c>
      <c r="AE393" s="2">
        <v>45720</v>
      </c>
      <c r="AF393" s="2"/>
      <c r="AG393" t="s">
        <v>12</v>
      </c>
    </row>
    <row r="394" spans="1:33" outlineLevel="2" x14ac:dyDescent="0.25">
      <c r="A394" t="s">
        <v>129</v>
      </c>
      <c r="B394" t="s">
        <v>1</v>
      </c>
      <c r="C394" t="s">
        <v>2</v>
      </c>
      <c r="D394" t="s">
        <v>3</v>
      </c>
      <c r="E394" t="s">
        <v>4</v>
      </c>
      <c r="F394" t="s">
        <v>243</v>
      </c>
      <c r="G394" s="2">
        <v>45720</v>
      </c>
      <c r="H394" t="s">
        <v>1109</v>
      </c>
      <c r="I394" t="s">
        <v>22</v>
      </c>
      <c r="J394" s="2">
        <v>45720</v>
      </c>
      <c r="K394" s="2">
        <v>45721</v>
      </c>
      <c r="L394" t="s">
        <v>8</v>
      </c>
      <c r="M394" t="s">
        <v>1110</v>
      </c>
      <c r="N394" t="s">
        <v>10</v>
      </c>
      <c r="O394" t="s">
        <v>11</v>
      </c>
      <c r="P394" t="s">
        <v>12</v>
      </c>
      <c r="Q394" t="s">
        <v>24</v>
      </c>
      <c r="R394" t="s">
        <v>14</v>
      </c>
      <c r="S394" s="3">
        <v>42.3</v>
      </c>
      <c r="T394" t="s">
        <v>15</v>
      </c>
      <c r="U394" s="3">
        <v>3667.04</v>
      </c>
      <c r="V394" t="s">
        <v>16</v>
      </c>
      <c r="W394" t="s">
        <v>17</v>
      </c>
      <c r="X394" t="s">
        <v>12</v>
      </c>
      <c r="Y394" t="s">
        <v>8</v>
      </c>
      <c r="Z394" t="s">
        <v>18</v>
      </c>
      <c r="AA394" t="s">
        <v>1059</v>
      </c>
      <c r="AB394" t="s">
        <v>12</v>
      </c>
      <c r="AC394" t="s">
        <v>12</v>
      </c>
      <c r="AD394" t="s">
        <v>12</v>
      </c>
      <c r="AE394" s="2">
        <v>45720</v>
      </c>
      <c r="AF394" s="2"/>
      <c r="AG394" t="s">
        <v>12</v>
      </c>
    </row>
    <row r="395" spans="1:33" outlineLevel="2" x14ac:dyDescent="0.25">
      <c r="A395" t="s">
        <v>129</v>
      </c>
      <c r="B395" t="s">
        <v>1</v>
      </c>
      <c r="C395" t="s">
        <v>2</v>
      </c>
      <c r="D395" t="s">
        <v>3</v>
      </c>
      <c r="E395" t="s">
        <v>4</v>
      </c>
      <c r="F395" t="s">
        <v>243</v>
      </c>
      <c r="G395" s="2">
        <v>45720</v>
      </c>
      <c r="H395" t="s">
        <v>1111</v>
      </c>
      <c r="I395" t="s">
        <v>22</v>
      </c>
      <c r="J395" s="2">
        <v>45720</v>
      </c>
      <c r="K395" s="2">
        <v>45721</v>
      </c>
      <c r="L395" t="s">
        <v>8</v>
      </c>
      <c r="M395" t="s">
        <v>1112</v>
      </c>
      <c r="N395" t="s">
        <v>10</v>
      </c>
      <c r="O395" t="s">
        <v>11</v>
      </c>
      <c r="P395" t="s">
        <v>12</v>
      </c>
      <c r="Q395" t="s">
        <v>24</v>
      </c>
      <c r="R395" t="s">
        <v>14</v>
      </c>
      <c r="S395" s="3">
        <v>4.7</v>
      </c>
      <c r="T395" t="s">
        <v>15</v>
      </c>
      <c r="U395" s="3">
        <v>407.45</v>
      </c>
      <c r="V395" t="s">
        <v>16</v>
      </c>
      <c r="W395" t="s">
        <v>17</v>
      </c>
      <c r="X395" t="s">
        <v>12</v>
      </c>
      <c r="Y395" t="s">
        <v>8</v>
      </c>
      <c r="Z395" t="s">
        <v>18</v>
      </c>
      <c r="AA395" t="s">
        <v>1059</v>
      </c>
      <c r="AB395" t="s">
        <v>12</v>
      </c>
      <c r="AC395" t="s">
        <v>12</v>
      </c>
      <c r="AD395" t="s">
        <v>12</v>
      </c>
      <c r="AE395" s="2">
        <v>45720</v>
      </c>
      <c r="AF395" s="2"/>
      <c r="AG395" t="s">
        <v>12</v>
      </c>
    </row>
    <row r="396" spans="1:33" outlineLevel="2" x14ac:dyDescent="0.25">
      <c r="A396" t="s">
        <v>129</v>
      </c>
      <c r="B396" t="s">
        <v>1</v>
      </c>
      <c r="C396" t="s">
        <v>2</v>
      </c>
      <c r="D396" t="s">
        <v>3</v>
      </c>
      <c r="E396" t="s">
        <v>4</v>
      </c>
      <c r="F396" t="s">
        <v>243</v>
      </c>
      <c r="G396" s="2">
        <v>45720</v>
      </c>
      <c r="H396" t="s">
        <v>1113</v>
      </c>
      <c r="I396" t="s">
        <v>22</v>
      </c>
      <c r="J396" s="2">
        <v>45720</v>
      </c>
      <c r="K396" s="2">
        <v>45721</v>
      </c>
      <c r="L396" t="s">
        <v>8</v>
      </c>
      <c r="M396" t="s">
        <v>1114</v>
      </c>
      <c r="N396" t="s">
        <v>10</v>
      </c>
      <c r="O396" t="s">
        <v>11</v>
      </c>
      <c r="P396" t="s">
        <v>12</v>
      </c>
      <c r="Q396" t="s">
        <v>24</v>
      </c>
      <c r="R396" t="s">
        <v>14</v>
      </c>
      <c r="S396" s="3">
        <v>4.7</v>
      </c>
      <c r="T396" t="s">
        <v>15</v>
      </c>
      <c r="U396" s="3">
        <v>407.45</v>
      </c>
      <c r="V396" t="s">
        <v>16</v>
      </c>
      <c r="W396" t="s">
        <v>17</v>
      </c>
      <c r="X396" t="s">
        <v>12</v>
      </c>
      <c r="Y396" t="s">
        <v>8</v>
      </c>
      <c r="Z396" t="s">
        <v>18</v>
      </c>
      <c r="AA396" t="s">
        <v>1059</v>
      </c>
      <c r="AB396" t="s">
        <v>12</v>
      </c>
      <c r="AC396" t="s">
        <v>12</v>
      </c>
      <c r="AD396" t="s">
        <v>12</v>
      </c>
      <c r="AE396" s="2">
        <v>45720</v>
      </c>
      <c r="AF396" s="2"/>
      <c r="AG396" t="s">
        <v>12</v>
      </c>
    </row>
    <row r="397" spans="1:33" outlineLevel="2" x14ac:dyDescent="0.25">
      <c r="A397" t="s">
        <v>129</v>
      </c>
      <c r="B397" t="s">
        <v>1</v>
      </c>
      <c r="C397" t="s">
        <v>2</v>
      </c>
      <c r="D397" t="s">
        <v>3</v>
      </c>
      <c r="E397" t="s">
        <v>4</v>
      </c>
      <c r="F397" t="s">
        <v>243</v>
      </c>
      <c r="G397" s="2">
        <v>45720</v>
      </c>
      <c r="H397" t="s">
        <v>1115</v>
      </c>
      <c r="I397" t="s">
        <v>22</v>
      </c>
      <c r="J397" s="2">
        <v>45720</v>
      </c>
      <c r="K397" s="2">
        <v>45721</v>
      </c>
      <c r="L397" t="s">
        <v>8</v>
      </c>
      <c r="M397" t="s">
        <v>1116</v>
      </c>
      <c r="N397" t="s">
        <v>10</v>
      </c>
      <c r="O397" t="s">
        <v>11</v>
      </c>
      <c r="P397" t="s">
        <v>12</v>
      </c>
      <c r="Q397" t="s">
        <v>24</v>
      </c>
      <c r="R397" t="s">
        <v>14</v>
      </c>
      <c r="S397" s="3">
        <v>37.6</v>
      </c>
      <c r="T397" t="s">
        <v>15</v>
      </c>
      <c r="U397" s="3">
        <v>3259.59</v>
      </c>
      <c r="V397" t="s">
        <v>16</v>
      </c>
      <c r="W397" t="s">
        <v>17</v>
      </c>
      <c r="X397" t="s">
        <v>12</v>
      </c>
      <c r="Y397" t="s">
        <v>8</v>
      </c>
      <c r="Z397" t="s">
        <v>18</v>
      </c>
      <c r="AA397" t="s">
        <v>1059</v>
      </c>
      <c r="AB397" t="s">
        <v>12</v>
      </c>
      <c r="AC397" t="s">
        <v>12</v>
      </c>
      <c r="AD397" t="s">
        <v>12</v>
      </c>
      <c r="AE397" s="2">
        <v>45720</v>
      </c>
      <c r="AF397" s="2"/>
      <c r="AG397" t="s">
        <v>12</v>
      </c>
    </row>
    <row r="398" spans="1:33" outlineLevel="2" x14ac:dyDescent="0.25">
      <c r="A398" t="s">
        <v>129</v>
      </c>
      <c r="B398" t="s">
        <v>1</v>
      </c>
      <c r="C398" t="s">
        <v>2</v>
      </c>
      <c r="D398" t="s">
        <v>3</v>
      </c>
      <c r="E398" t="s">
        <v>4</v>
      </c>
      <c r="F398" t="s">
        <v>243</v>
      </c>
      <c r="G398" s="2">
        <v>45720</v>
      </c>
      <c r="H398" t="s">
        <v>1117</v>
      </c>
      <c r="I398" t="s">
        <v>22</v>
      </c>
      <c r="J398" s="2">
        <v>45720</v>
      </c>
      <c r="K398" s="2">
        <v>45721</v>
      </c>
      <c r="L398" t="s">
        <v>8</v>
      </c>
      <c r="M398" t="s">
        <v>1118</v>
      </c>
      <c r="N398" t="s">
        <v>10</v>
      </c>
      <c r="O398" t="s">
        <v>11</v>
      </c>
      <c r="P398" t="s">
        <v>12</v>
      </c>
      <c r="Q398" t="s">
        <v>24</v>
      </c>
      <c r="R398" t="s">
        <v>14</v>
      </c>
      <c r="S398" s="3">
        <v>7.05</v>
      </c>
      <c r="T398" t="s">
        <v>15</v>
      </c>
      <c r="U398" s="3">
        <v>611.16999999999996</v>
      </c>
      <c r="V398" t="s">
        <v>16</v>
      </c>
      <c r="W398" t="s">
        <v>17</v>
      </c>
      <c r="X398" t="s">
        <v>12</v>
      </c>
      <c r="Y398" t="s">
        <v>8</v>
      </c>
      <c r="Z398" t="s">
        <v>18</v>
      </c>
      <c r="AA398" t="s">
        <v>1059</v>
      </c>
      <c r="AB398" t="s">
        <v>12</v>
      </c>
      <c r="AC398" t="s">
        <v>12</v>
      </c>
      <c r="AD398" t="s">
        <v>12</v>
      </c>
      <c r="AE398" s="2">
        <v>45720</v>
      </c>
      <c r="AF398" s="2"/>
      <c r="AG398" t="s">
        <v>12</v>
      </c>
    </row>
    <row r="399" spans="1:33" outlineLevel="2" x14ac:dyDescent="0.25">
      <c r="A399" t="s">
        <v>129</v>
      </c>
      <c r="B399" t="s">
        <v>1</v>
      </c>
      <c r="C399" t="s">
        <v>2</v>
      </c>
      <c r="D399" t="s">
        <v>3</v>
      </c>
      <c r="E399" t="s">
        <v>4</v>
      </c>
      <c r="F399" t="s">
        <v>243</v>
      </c>
      <c r="G399" s="2">
        <v>45720</v>
      </c>
      <c r="H399" t="s">
        <v>1119</v>
      </c>
      <c r="I399" t="s">
        <v>22</v>
      </c>
      <c r="J399" s="2">
        <v>45720</v>
      </c>
      <c r="K399" s="2">
        <v>45721</v>
      </c>
      <c r="L399" t="s">
        <v>8</v>
      </c>
      <c r="M399" t="s">
        <v>1120</v>
      </c>
      <c r="N399" t="s">
        <v>10</v>
      </c>
      <c r="O399" t="s">
        <v>11</v>
      </c>
      <c r="P399" t="s">
        <v>12</v>
      </c>
      <c r="Q399" t="s">
        <v>24</v>
      </c>
      <c r="R399" t="s">
        <v>14</v>
      </c>
      <c r="S399" s="3">
        <v>14.1</v>
      </c>
      <c r="T399" t="s">
        <v>15</v>
      </c>
      <c r="U399" s="3">
        <v>1222.3499999999999</v>
      </c>
      <c r="V399" t="s">
        <v>16</v>
      </c>
      <c r="W399" t="s">
        <v>17</v>
      </c>
      <c r="X399" t="s">
        <v>12</v>
      </c>
      <c r="Y399" t="s">
        <v>8</v>
      </c>
      <c r="Z399" t="s">
        <v>18</v>
      </c>
      <c r="AA399" t="s">
        <v>1059</v>
      </c>
      <c r="AB399" t="s">
        <v>12</v>
      </c>
      <c r="AC399" t="s">
        <v>12</v>
      </c>
      <c r="AD399" t="s">
        <v>12</v>
      </c>
      <c r="AE399" s="2">
        <v>45720</v>
      </c>
      <c r="AF399" s="2"/>
      <c r="AG399" t="s">
        <v>12</v>
      </c>
    </row>
    <row r="400" spans="1:33" outlineLevel="2" x14ac:dyDescent="0.25">
      <c r="A400" t="s">
        <v>129</v>
      </c>
      <c r="B400" t="s">
        <v>1</v>
      </c>
      <c r="C400" t="s">
        <v>2</v>
      </c>
      <c r="D400" t="s">
        <v>3</v>
      </c>
      <c r="E400" t="s">
        <v>4</v>
      </c>
      <c r="F400" t="s">
        <v>243</v>
      </c>
      <c r="G400" s="2">
        <v>45720</v>
      </c>
      <c r="H400" t="s">
        <v>1121</v>
      </c>
      <c r="I400" t="s">
        <v>22</v>
      </c>
      <c r="J400" s="2">
        <v>45720</v>
      </c>
      <c r="K400" s="2">
        <v>45721</v>
      </c>
      <c r="L400" t="s">
        <v>8</v>
      </c>
      <c r="M400" t="s">
        <v>1122</v>
      </c>
      <c r="N400" t="s">
        <v>10</v>
      </c>
      <c r="O400" t="s">
        <v>11</v>
      </c>
      <c r="P400" t="s">
        <v>12</v>
      </c>
      <c r="Q400" t="s">
        <v>24</v>
      </c>
      <c r="R400" t="s">
        <v>14</v>
      </c>
      <c r="S400" s="3">
        <v>4.7</v>
      </c>
      <c r="T400" t="s">
        <v>15</v>
      </c>
      <c r="U400" s="3">
        <v>407.45</v>
      </c>
      <c r="V400" t="s">
        <v>16</v>
      </c>
      <c r="W400" t="s">
        <v>17</v>
      </c>
      <c r="X400" t="s">
        <v>12</v>
      </c>
      <c r="Y400" t="s">
        <v>8</v>
      </c>
      <c r="Z400" t="s">
        <v>18</v>
      </c>
      <c r="AA400" t="s">
        <v>1059</v>
      </c>
      <c r="AB400" t="s">
        <v>12</v>
      </c>
      <c r="AC400" t="s">
        <v>12</v>
      </c>
      <c r="AD400" t="s">
        <v>12</v>
      </c>
      <c r="AE400" s="2">
        <v>45720</v>
      </c>
      <c r="AF400" s="2"/>
      <c r="AG400" t="s">
        <v>12</v>
      </c>
    </row>
    <row r="401" spans="1:33" outlineLevel="2" x14ac:dyDescent="0.25">
      <c r="A401" t="s">
        <v>129</v>
      </c>
      <c r="B401" t="s">
        <v>1</v>
      </c>
      <c r="C401" t="s">
        <v>2</v>
      </c>
      <c r="D401" t="s">
        <v>3</v>
      </c>
      <c r="E401" t="s">
        <v>4</v>
      </c>
      <c r="F401" t="s">
        <v>243</v>
      </c>
      <c r="G401" s="2">
        <v>45720</v>
      </c>
      <c r="H401" t="s">
        <v>1123</v>
      </c>
      <c r="I401" t="s">
        <v>22</v>
      </c>
      <c r="J401" s="2">
        <v>45720</v>
      </c>
      <c r="K401" s="2">
        <v>45721</v>
      </c>
      <c r="L401" t="s">
        <v>8</v>
      </c>
      <c r="M401" t="s">
        <v>1124</v>
      </c>
      <c r="N401" t="s">
        <v>10</v>
      </c>
      <c r="O401" t="s">
        <v>11</v>
      </c>
      <c r="P401" t="s">
        <v>12</v>
      </c>
      <c r="Q401" t="s">
        <v>24</v>
      </c>
      <c r="R401" t="s">
        <v>14</v>
      </c>
      <c r="S401" s="3">
        <v>2.35</v>
      </c>
      <c r="T401" t="s">
        <v>15</v>
      </c>
      <c r="U401" s="3">
        <v>203.72</v>
      </c>
      <c r="V401" t="s">
        <v>16</v>
      </c>
      <c r="W401" t="s">
        <v>17</v>
      </c>
      <c r="X401" t="s">
        <v>12</v>
      </c>
      <c r="Y401" t="s">
        <v>8</v>
      </c>
      <c r="Z401" t="s">
        <v>18</v>
      </c>
      <c r="AA401" t="s">
        <v>1059</v>
      </c>
      <c r="AB401" t="s">
        <v>12</v>
      </c>
      <c r="AC401" t="s">
        <v>12</v>
      </c>
      <c r="AD401" t="s">
        <v>12</v>
      </c>
      <c r="AE401" s="2">
        <v>45720</v>
      </c>
      <c r="AF401" s="2"/>
      <c r="AG401" t="s">
        <v>12</v>
      </c>
    </row>
    <row r="402" spans="1:33" outlineLevel="2" x14ac:dyDescent="0.25">
      <c r="A402" t="s">
        <v>129</v>
      </c>
      <c r="B402" t="s">
        <v>1</v>
      </c>
      <c r="C402" t="s">
        <v>2</v>
      </c>
      <c r="D402" t="s">
        <v>3</v>
      </c>
      <c r="E402" t="s">
        <v>4</v>
      </c>
      <c r="F402" t="s">
        <v>243</v>
      </c>
      <c r="G402" s="2">
        <v>45720</v>
      </c>
      <c r="H402" t="s">
        <v>1125</v>
      </c>
      <c r="I402" t="s">
        <v>22</v>
      </c>
      <c r="J402" s="2">
        <v>45720</v>
      </c>
      <c r="K402" s="2">
        <v>45721</v>
      </c>
      <c r="L402" t="s">
        <v>8</v>
      </c>
      <c r="M402" t="s">
        <v>1126</v>
      </c>
      <c r="N402" t="s">
        <v>10</v>
      </c>
      <c r="O402" t="s">
        <v>11</v>
      </c>
      <c r="P402" t="s">
        <v>12</v>
      </c>
      <c r="Q402" t="s">
        <v>24</v>
      </c>
      <c r="R402" t="s">
        <v>14</v>
      </c>
      <c r="S402" s="3">
        <v>2.35</v>
      </c>
      <c r="T402" t="s">
        <v>15</v>
      </c>
      <c r="U402" s="3">
        <v>203.72</v>
      </c>
      <c r="V402" t="s">
        <v>16</v>
      </c>
      <c r="W402" t="s">
        <v>17</v>
      </c>
      <c r="X402" t="s">
        <v>12</v>
      </c>
      <c r="Y402" t="s">
        <v>8</v>
      </c>
      <c r="Z402" t="s">
        <v>18</v>
      </c>
      <c r="AA402" t="s">
        <v>1059</v>
      </c>
      <c r="AB402" t="s">
        <v>12</v>
      </c>
      <c r="AC402" t="s">
        <v>12</v>
      </c>
      <c r="AD402" t="s">
        <v>12</v>
      </c>
      <c r="AE402" s="2">
        <v>45720</v>
      </c>
      <c r="AF402" s="2"/>
      <c r="AG402" t="s">
        <v>12</v>
      </c>
    </row>
    <row r="403" spans="1:33" outlineLevel="2" x14ac:dyDescent="0.25">
      <c r="A403" t="s">
        <v>129</v>
      </c>
      <c r="B403" t="s">
        <v>1</v>
      </c>
      <c r="C403" t="s">
        <v>2</v>
      </c>
      <c r="D403" t="s">
        <v>3</v>
      </c>
      <c r="E403" t="s">
        <v>4</v>
      </c>
      <c r="F403" t="s">
        <v>243</v>
      </c>
      <c r="G403" s="2">
        <v>45720</v>
      </c>
      <c r="H403" t="s">
        <v>1127</v>
      </c>
      <c r="I403" t="s">
        <v>22</v>
      </c>
      <c r="J403" s="2">
        <v>45720</v>
      </c>
      <c r="K403" s="2">
        <v>45721</v>
      </c>
      <c r="L403" t="s">
        <v>8</v>
      </c>
      <c r="M403" t="s">
        <v>1128</v>
      </c>
      <c r="N403" t="s">
        <v>10</v>
      </c>
      <c r="O403" t="s">
        <v>11</v>
      </c>
      <c r="P403" t="s">
        <v>12</v>
      </c>
      <c r="Q403" t="s">
        <v>24</v>
      </c>
      <c r="R403" t="s">
        <v>14</v>
      </c>
      <c r="S403" s="3">
        <v>2.35</v>
      </c>
      <c r="T403" t="s">
        <v>15</v>
      </c>
      <c r="U403" s="3">
        <v>203.72</v>
      </c>
      <c r="V403" t="s">
        <v>16</v>
      </c>
      <c r="W403" t="s">
        <v>17</v>
      </c>
      <c r="X403" t="s">
        <v>12</v>
      </c>
      <c r="Y403" t="s">
        <v>8</v>
      </c>
      <c r="Z403" t="s">
        <v>18</v>
      </c>
      <c r="AA403" t="s">
        <v>1059</v>
      </c>
      <c r="AB403" t="s">
        <v>12</v>
      </c>
      <c r="AC403" t="s">
        <v>12</v>
      </c>
      <c r="AD403" t="s">
        <v>12</v>
      </c>
      <c r="AE403" s="2">
        <v>45720</v>
      </c>
      <c r="AF403" s="2"/>
      <c r="AG403" t="s">
        <v>12</v>
      </c>
    </row>
    <row r="404" spans="1:33" outlineLevel="2" x14ac:dyDescent="0.25">
      <c r="A404" t="s">
        <v>129</v>
      </c>
      <c r="B404" t="s">
        <v>1</v>
      </c>
      <c r="C404" t="s">
        <v>2</v>
      </c>
      <c r="D404" t="s">
        <v>3</v>
      </c>
      <c r="E404" t="s">
        <v>4</v>
      </c>
      <c r="F404" t="s">
        <v>243</v>
      </c>
      <c r="G404" s="2">
        <v>45720</v>
      </c>
      <c r="H404" t="s">
        <v>1129</v>
      </c>
      <c r="I404" t="s">
        <v>22</v>
      </c>
      <c r="J404" s="2">
        <v>45720</v>
      </c>
      <c r="K404" s="2">
        <v>45721</v>
      </c>
      <c r="L404" t="s">
        <v>8</v>
      </c>
      <c r="M404" t="s">
        <v>1130</v>
      </c>
      <c r="N404" t="s">
        <v>10</v>
      </c>
      <c r="O404" t="s">
        <v>11</v>
      </c>
      <c r="P404" t="s">
        <v>12</v>
      </c>
      <c r="Q404" t="s">
        <v>24</v>
      </c>
      <c r="R404" t="s">
        <v>14</v>
      </c>
      <c r="S404" s="3">
        <v>4.7</v>
      </c>
      <c r="T404" t="s">
        <v>15</v>
      </c>
      <c r="U404" s="3">
        <v>407.45</v>
      </c>
      <c r="V404" t="s">
        <v>16</v>
      </c>
      <c r="W404" t="s">
        <v>17</v>
      </c>
      <c r="X404" t="s">
        <v>12</v>
      </c>
      <c r="Y404" t="s">
        <v>8</v>
      </c>
      <c r="Z404" t="s">
        <v>18</v>
      </c>
      <c r="AA404" t="s">
        <v>1059</v>
      </c>
      <c r="AB404" t="s">
        <v>12</v>
      </c>
      <c r="AC404" t="s">
        <v>12</v>
      </c>
      <c r="AD404" t="s">
        <v>12</v>
      </c>
      <c r="AE404" s="2">
        <v>45720</v>
      </c>
      <c r="AF404" s="2"/>
      <c r="AG404" t="s">
        <v>12</v>
      </c>
    </row>
    <row r="405" spans="1:33" outlineLevel="2" x14ac:dyDescent="0.25">
      <c r="A405" t="s">
        <v>129</v>
      </c>
      <c r="B405" t="s">
        <v>1</v>
      </c>
      <c r="C405" t="s">
        <v>2</v>
      </c>
      <c r="D405" t="s">
        <v>3</v>
      </c>
      <c r="E405" t="s">
        <v>4</v>
      </c>
      <c r="F405" t="s">
        <v>243</v>
      </c>
      <c r="G405" s="2">
        <v>45720</v>
      </c>
      <c r="H405" t="s">
        <v>1131</v>
      </c>
      <c r="I405" t="s">
        <v>22</v>
      </c>
      <c r="J405" s="2">
        <v>45720</v>
      </c>
      <c r="K405" s="2">
        <v>45721</v>
      </c>
      <c r="L405" t="s">
        <v>8</v>
      </c>
      <c r="M405" t="s">
        <v>1132</v>
      </c>
      <c r="N405" t="s">
        <v>10</v>
      </c>
      <c r="O405" t="s">
        <v>11</v>
      </c>
      <c r="P405" t="s">
        <v>12</v>
      </c>
      <c r="Q405" t="s">
        <v>24</v>
      </c>
      <c r="R405" t="s">
        <v>14</v>
      </c>
      <c r="S405" s="3">
        <v>7.05</v>
      </c>
      <c r="T405" t="s">
        <v>15</v>
      </c>
      <c r="U405" s="3">
        <v>611.16999999999996</v>
      </c>
      <c r="V405" t="s">
        <v>16</v>
      </c>
      <c r="W405" t="s">
        <v>17</v>
      </c>
      <c r="X405" t="s">
        <v>12</v>
      </c>
      <c r="Y405" t="s">
        <v>8</v>
      </c>
      <c r="Z405" t="s">
        <v>18</v>
      </c>
      <c r="AA405" t="s">
        <v>1133</v>
      </c>
      <c r="AB405" t="s">
        <v>12</v>
      </c>
      <c r="AC405" t="s">
        <v>12</v>
      </c>
      <c r="AD405" t="s">
        <v>12</v>
      </c>
      <c r="AE405" s="2">
        <v>45720</v>
      </c>
      <c r="AF405" s="2"/>
      <c r="AG405" t="s">
        <v>12</v>
      </c>
    </row>
    <row r="406" spans="1:33" outlineLevel="2" x14ac:dyDescent="0.25">
      <c r="A406" t="s">
        <v>129</v>
      </c>
      <c r="B406" t="s">
        <v>1</v>
      </c>
      <c r="C406" t="s">
        <v>2</v>
      </c>
      <c r="D406" t="s">
        <v>3</v>
      </c>
      <c r="E406" t="s">
        <v>4</v>
      </c>
      <c r="F406" t="s">
        <v>243</v>
      </c>
      <c r="G406" s="2">
        <v>45720</v>
      </c>
      <c r="H406" t="s">
        <v>1134</v>
      </c>
      <c r="I406" t="s">
        <v>22</v>
      </c>
      <c r="J406" s="2">
        <v>45720</v>
      </c>
      <c r="K406" s="2">
        <v>45721</v>
      </c>
      <c r="L406" t="s">
        <v>8</v>
      </c>
      <c r="M406" t="s">
        <v>1135</v>
      </c>
      <c r="N406" t="s">
        <v>10</v>
      </c>
      <c r="O406" t="s">
        <v>11</v>
      </c>
      <c r="P406" t="s">
        <v>12</v>
      </c>
      <c r="Q406" t="s">
        <v>24</v>
      </c>
      <c r="R406" t="s">
        <v>14</v>
      </c>
      <c r="S406" s="3">
        <v>4.7</v>
      </c>
      <c r="T406" t="s">
        <v>15</v>
      </c>
      <c r="U406" s="3">
        <v>407.45</v>
      </c>
      <c r="V406" t="s">
        <v>16</v>
      </c>
      <c r="W406" t="s">
        <v>17</v>
      </c>
      <c r="X406" t="s">
        <v>12</v>
      </c>
      <c r="Y406" t="s">
        <v>8</v>
      </c>
      <c r="Z406" t="s">
        <v>18</v>
      </c>
      <c r="AA406" t="s">
        <v>1133</v>
      </c>
      <c r="AB406" t="s">
        <v>12</v>
      </c>
      <c r="AC406" t="s">
        <v>12</v>
      </c>
      <c r="AD406" t="s">
        <v>12</v>
      </c>
      <c r="AE406" s="2">
        <v>45720</v>
      </c>
      <c r="AF406" s="2"/>
      <c r="AG406" t="s">
        <v>12</v>
      </c>
    </row>
    <row r="407" spans="1:33" outlineLevel="2" x14ac:dyDescent="0.25">
      <c r="A407" t="s">
        <v>129</v>
      </c>
      <c r="B407" t="s">
        <v>1</v>
      </c>
      <c r="C407" t="s">
        <v>2</v>
      </c>
      <c r="D407" t="s">
        <v>3</v>
      </c>
      <c r="E407" t="s">
        <v>4</v>
      </c>
      <c r="F407" t="s">
        <v>243</v>
      </c>
      <c r="G407" s="2">
        <v>45720</v>
      </c>
      <c r="H407" t="s">
        <v>1136</v>
      </c>
      <c r="I407" t="s">
        <v>22</v>
      </c>
      <c r="J407" s="2">
        <v>45720</v>
      </c>
      <c r="K407" s="2">
        <v>45721</v>
      </c>
      <c r="L407" t="s">
        <v>8</v>
      </c>
      <c r="M407" t="s">
        <v>1137</v>
      </c>
      <c r="N407" t="s">
        <v>10</v>
      </c>
      <c r="O407" t="s">
        <v>11</v>
      </c>
      <c r="P407" t="s">
        <v>12</v>
      </c>
      <c r="Q407" t="s">
        <v>24</v>
      </c>
      <c r="R407" t="s">
        <v>14</v>
      </c>
      <c r="S407" s="3">
        <v>4.7</v>
      </c>
      <c r="T407" t="s">
        <v>15</v>
      </c>
      <c r="U407" s="3">
        <v>407.45</v>
      </c>
      <c r="V407" t="s">
        <v>16</v>
      </c>
      <c r="W407" t="s">
        <v>17</v>
      </c>
      <c r="X407" t="s">
        <v>12</v>
      </c>
      <c r="Y407" t="s">
        <v>8</v>
      </c>
      <c r="Z407" t="s">
        <v>18</v>
      </c>
      <c r="AA407" t="s">
        <v>1133</v>
      </c>
      <c r="AB407" t="s">
        <v>12</v>
      </c>
      <c r="AC407" t="s">
        <v>12</v>
      </c>
      <c r="AD407" t="s">
        <v>12</v>
      </c>
      <c r="AE407" s="2">
        <v>45720</v>
      </c>
      <c r="AF407" s="2"/>
      <c r="AG407" t="s">
        <v>12</v>
      </c>
    </row>
    <row r="408" spans="1:33" outlineLevel="2" x14ac:dyDescent="0.25">
      <c r="A408" t="s">
        <v>129</v>
      </c>
      <c r="B408" t="s">
        <v>1</v>
      </c>
      <c r="C408" t="s">
        <v>2</v>
      </c>
      <c r="D408" t="s">
        <v>3</v>
      </c>
      <c r="E408" t="s">
        <v>4</v>
      </c>
      <c r="F408" t="s">
        <v>243</v>
      </c>
      <c r="G408" s="2">
        <v>45720</v>
      </c>
      <c r="H408" t="s">
        <v>1138</v>
      </c>
      <c r="I408" t="s">
        <v>22</v>
      </c>
      <c r="J408" s="2">
        <v>45720</v>
      </c>
      <c r="K408" s="2">
        <v>45721</v>
      </c>
      <c r="L408" t="s">
        <v>8</v>
      </c>
      <c r="M408" t="s">
        <v>1139</v>
      </c>
      <c r="N408" t="s">
        <v>10</v>
      </c>
      <c r="O408" t="s">
        <v>11</v>
      </c>
      <c r="P408" t="s">
        <v>12</v>
      </c>
      <c r="Q408" t="s">
        <v>24</v>
      </c>
      <c r="R408" t="s">
        <v>14</v>
      </c>
      <c r="S408" s="3">
        <v>4.7</v>
      </c>
      <c r="T408" t="s">
        <v>15</v>
      </c>
      <c r="U408" s="3">
        <v>407.45</v>
      </c>
      <c r="V408" t="s">
        <v>16</v>
      </c>
      <c r="W408" t="s">
        <v>17</v>
      </c>
      <c r="X408" t="s">
        <v>12</v>
      </c>
      <c r="Y408" t="s">
        <v>8</v>
      </c>
      <c r="Z408" t="s">
        <v>18</v>
      </c>
      <c r="AA408" t="s">
        <v>1133</v>
      </c>
      <c r="AB408" t="s">
        <v>12</v>
      </c>
      <c r="AC408" t="s">
        <v>12</v>
      </c>
      <c r="AD408" t="s">
        <v>12</v>
      </c>
      <c r="AE408" s="2">
        <v>45720</v>
      </c>
      <c r="AF408" s="2"/>
      <c r="AG408" t="s">
        <v>12</v>
      </c>
    </row>
    <row r="409" spans="1:33" outlineLevel="2" x14ac:dyDescent="0.25">
      <c r="A409" t="s">
        <v>129</v>
      </c>
      <c r="B409" t="s">
        <v>1</v>
      </c>
      <c r="C409" t="s">
        <v>2</v>
      </c>
      <c r="D409" t="s">
        <v>3</v>
      </c>
      <c r="E409" t="s">
        <v>4</v>
      </c>
      <c r="F409" t="s">
        <v>243</v>
      </c>
      <c r="G409" s="2">
        <v>45720</v>
      </c>
      <c r="H409" t="s">
        <v>1140</v>
      </c>
      <c r="I409" t="s">
        <v>22</v>
      </c>
      <c r="J409" s="2">
        <v>45720</v>
      </c>
      <c r="K409" s="2">
        <v>45721</v>
      </c>
      <c r="L409" t="s">
        <v>8</v>
      </c>
      <c r="M409" t="s">
        <v>1141</v>
      </c>
      <c r="N409" t="s">
        <v>10</v>
      </c>
      <c r="O409" t="s">
        <v>11</v>
      </c>
      <c r="P409" t="s">
        <v>12</v>
      </c>
      <c r="Q409" t="s">
        <v>24</v>
      </c>
      <c r="R409" t="s">
        <v>14</v>
      </c>
      <c r="S409" s="3">
        <v>9.4</v>
      </c>
      <c r="T409" t="s">
        <v>15</v>
      </c>
      <c r="U409" s="3">
        <v>814.9</v>
      </c>
      <c r="V409" t="s">
        <v>16</v>
      </c>
      <c r="W409" t="s">
        <v>17</v>
      </c>
      <c r="X409" t="s">
        <v>12</v>
      </c>
      <c r="Y409" t="s">
        <v>8</v>
      </c>
      <c r="Z409" t="s">
        <v>18</v>
      </c>
      <c r="AA409" t="s">
        <v>1133</v>
      </c>
      <c r="AB409" t="s">
        <v>12</v>
      </c>
      <c r="AC409" t="s">
        <v>12</v>
      </c>
      <c r="AD409" t="s">
        <v>12</v>
      </c>
      <c r="AE409" s="2">
        <v>45720</v>
      </c>
      <c r="AF409" s="2"/>
      <c r="AG409" t="s">
        <v>12</v>
      </c>
    </row>
    <row r="410" spans="1:33" outlineLevel="2" x14ac:dyDescent="0.25">
      <c r="A410" t="s">
        <v>129</v>
      </c>
      <c r="B410" t="s">
        <v>1</v>
      </c>
      <c r="C410" t="s">
        <v>2</v>
      </c>
      <c r="D410" t="s">
        <v>3</v>
      </c>
      <c r="E410" t="s">
        <v>4</v>
      </c>
      <c r="F410" t="s">
        <v>243</v>
      </c>
      <c r="G410" s="2">
        <v>45720</v>
      </c>
      <c r="H410" t="s">
        <v>1142</v>
      </c>
      <c r="I410" t="s">
        <v>22</v>
      </c>
      <c r="J410" s="2">
        <v>45720</v>
      </c>
      <c r="K410" s="2">
        <v>45721</v>
      </c>
      <c r="L410" t="s">
        <v>8</v>
      </c>
      <c r="M410" t="s">
        <v>1143</v>
      </c>
      <c r="N410" t="s">
        <v>10</v>
      </c>
      <c r="O410" t="s">
        <v>11</v>
      </c>
      <c r="P410" t="s">
        <v>12</v>
      </c>
      <c r="Q410" t="s">
        <v>24</v>
      </c>
      <c r="R410" t="s">
        <v>14</v>
      </c>
      <c r="S410" s="3">
        <v>4.7</v>
      </c>
      <c r="T410" t="s">
        <v>15</v>
      </c>
      <c r="U410" s="3">
        <v>407.45</v>
      </c>
      <c r="V410" t="s">
        <v>16</v>
      </c>
      <c r="W410" t="s">
        <v>17</v>
      </c>
      <c r="X410" t="s">
        <v>12</v>
      </c>
      <c r="Y410" t="s">
        <v>8</v>
      </c>
      <c r="Z410" t="s">
        <v>18</v>
      </c>
      <c r="AA410" t="s">
        <v>1133</v>
      </c>
      <c r="AB410" t="s">
        <v>12</v>
      </c>
      <c r="AC410" t="s">
        <v>12</v>
      </c>
      <c r="AD410" t="s">
        <v>12</v>
      </c>
      <c r="AE410" s="2">
        <v>45720</v>
      </c>
      <c r="AF410" s="2"/>
      <c r="AG410" t="s">
        <v>12</v>
      </c>
    </row>
    <row r="411" spans="1:33" outlineLevel="2" x14ac:dyDescent="0.25">
      <c r="A411" t="s">
        <v>129</v>
      </c>
      <c r="B411" t="s">
        <v>1</v>
      </c>
      <c r="C411" t="s">
        <v>2</v>
      </c>
      <c r="D411" t="s">
        <v>3</v>
      </c>
      <c r="E411" t="s">
        <v>4</v>
      </c>
      <c r="F411" t="s">
        <v>243</v>
      </c>
      <c r="G411" s="2">
        <v>45720</v>
      </c>
      <c r="H411" t="s">
        <v>1144</v>
      </c>
      <c r="I411" t="s">
        <v>22</v>
      </c>
      <c r="J411" s="2">
        <v>45720</v>
      </c>
      <c r="K411" s="2">
        <v>45721</v>
      </c>
      <c r="L411" t="s">
        <v>8</v>
      </c>
      <c r="M411" t="s">
        <v>1145</v>
      </c>
      <c r="N411" t="s">
        <v>10</v>
      </c>
      <c r="O411" t="s">
        <v>11</v>
      </c>
      <c r="P411" t="s">
        <v>12</v>
      </c>
      <c r="Q411" t="s">
        <v>24</v>
      </c>
      <c r="R411" t="s">
        <v>14</v>
      </c>
      <c r="S411" s="3">
        <v>18.8</v>
      </c>
      <c r="T411" t="s">
        <v>15</v>
      </c>
      <c r="U411" s="3">
        <v>1629.8</v>
      </c>
      <c r="V411" t="s">
        <v>16</v>
      </c>
      <c r="W411" t="s">
        <v>17</v>
      </c>
      <c r="X411" t="s">
        <v>12</v>
      </c>
      <c r="Y411" t="s">
        <v>8</v>
      </c>
      <c r="Z411" t="s">
        <v>18</v>
      </c>
      <c r="AA411" t="s">
        <v>1133</v>
      </c>
      <c r="AB411" t="s">
        <v>12</v>
      </c>
      <c r="AC411" t="s">
        <v>12</v>
      </c>
      <c r="AD411" t="s">
        <v>12</v>
      </c>
      <c r="AE411" s="2">
        <v>45720</v>
      </c>
      <c r="AF411" s="2"/>
      <c r="AG411" t="s">
        <v>12</v>
      </c>
    </row>
    <row r="412" spans="1:33" outlineLevel="2" x14ac:dyDescent="0.25">
      <c r="A412" t="s">
        <v>129</v>
      </c>
      <c r="B412" t="s">
        <v>1</v>
      </c>
      <c r="C412" t="s">
        <v>2</v>
      </c>
      <c r="D412" t="s">
        <v>3</v>
      </c>
      <c r="E412" t="s">
        <v>4</v>
      </c>
      <c r="F412" t="s">
        <v>243</v>
      </c>
      <c r="G412" s="2">
        <v>45720</v>
      </c>
      <c r="H412" t="s">
        <v>1146</v>
      </c>
      <c r="I412" t="s">
        <v>22</v>
      </c>
      <c r="J412" s="2">
        <v>45720</v>
      </c>
      <c r="K412" s="2">
        <v>45721</v>
      </c>
      <c r="L412" t="s">
        <v>8</v>
      </c>
      <c r="M412" t="s">
        <v>1147</v>
      </c>
      <c r="N412" t="s">
        <v>10</v>
      </c>
      <c r="O412" t="s">
        <v>11</v>
      </c>
      <c r="P412" t="s">
        <v>12</v>
      </c>
      <c r="Q412" t="s">
        <v>24</v>
      </c>
      <c r="R412" t="s">
        <v>14</v>
      </c>
      <c r="S412" s="3">
        <v>2.35</v>
      </c>
      <c r="T412" t="s">
        <v>15</v>
      </c>
      <c r="U412" s="3">
        <v>203.72</v>
      </c>
      <c r="V412" t="s">
        <v>16</v>
      </c>
      <c r="W412" t="s">
        <v>17</v>
      </c>
      <c r="X412" t="s">
        <v>12</v>
      </c>
      <c r="Y412" t="s">
        <v>8</v>
      </c>
      <c r="Z412" t="s">
        <v>18</v>
      </c>
      <c r="AA412" t="s">
        <v>1133</v>
      </c>
      <c r="AB412" t="s">
        <v>12</v>
      </c>
      <c r="AC412" t="s">
        <v>12</v>
      </c>
      <c r="AD412" t="s">
        <v>12</v>
      </c>
      <c r="AE412" s="2">
        <v>45720</v>
      </c>
      <c r="AF412" s="2"/>
      <c r="AG412" t="s">
        <v>12</v>
      </c>
    </row>
    <row r="413" spans="1:33" outlineLevel="2" x14ac:dyDescent="0.25">
      <c r="A413" t="s">
        <v>129</v>
      </c>
      <c r="B413" t="s">
        <v>1</v>
      </c>
      <c r="C413" t="s">
        <v>2</v>
      </c>
      <c r="D413" t="s">
        <v>3</v>
      </c>
      <c r="E413" t="s">
        <v>4</v>
      </c>
      <c r="F413" t="s">
        <v>243</v>
      </c>
      <c r="G413" s="2">
        <v>45720</v>
      </c>
      <c r="H413" t="s">
        <v>1148</v>
      </c>
      <c r="I413" t="s">
        <v>22</v>
      </c>
      <c r="J413" s="2">
        <v>45720</v>
      </c>
      <c r="K413" s="2">
        <v>45721</v>
      </c>
      <c r="L413" t="s">
        <v>8</v>
      </c>
      <c r="M413" t="s">
        <v>1149</v>
      </c>
      <c r="N413" t="s">
        <v>10</v>
      </c>
      <c r="O413" t="s">
        <v>11</v>
      </c>
      <c r="P413" t="s">
        <v>12</v>
      </c>
      <c r="Q413" t="s">
        <v>24</v>
      </c>
      <c r="R413" t="s">
        <v>14</v>
      </c>
      <c r="S413" s="3">
        <v>42.3</v>
      </c>
      <c r="T413" t="s">
        <v>15</v>
      </c>
      <c r="U413" s="3">
        <v>3667.04</v>
      </c>
      <c r="V413" t="s">
        <v>16</v>
      </c>
      <c r="W413" t="s">
        <v>17</v>
      </c>
      <c r="X413" t="s">
        <v>12</v>
      </c>
      <c r="Y413" t="s">
        <v>8</v>
      </c>
      <c r="Z413" t="s">
        <v>18</v>
      </c>
      <c r="AA413" t="s">
        <v>1133</v>
      </c>
      <c r="AB413" t="s">
        <v>12</v>
      </c>
      <c r="AC413" t="s">
        <v>12</v>
      </c>
      <c r="AD413" t="s">
        <v>12</v>
      </c>
      <c r="AE413" s="2">
        <v>45720</v>
      </c>
      <c r="AF413" s="2"/>
      <c r="AG413" t="s">
        <v>12</v>
      </c>
    </row>
    <row r="414" spans="1:33" outlineLevel="2" x14ac:dyDescent="0.25">
      <c r="A414" t="s">
        <v>129</v>
      </c>
      <c r="B414" t="s">
        <v>1</v>
      </c>
      <c r="C414" t="s">
        <v>2</v>
      </c>
      <c r="D414" t="s">
        <v>3</v>
      </c>
      <c r="E414" t="s">
        <v>4</v>
      </c>
      <c r="F414" t="s">
        <v>243</v>
      </c>
      <c r="G414" s="2">
        <v>45720</v>
      </c>
      <c r="H414" t="s">
        <v>1150</v>
      </c>
      <c r="I414" t="s">
        <v>22</v>
      </c>
      <c r="J414" s="2">
        <v>45720</v>
      </c>
      <c r="K414" s="2">
        <v>45721</v>
      </c>
      <c r="L414" t="s">
        <v>8</v>
      </c>
      <c r="M414" t="s">
        <v>1151</v>
      </c>
      <c r="N414" t="s">
        <v>10</v>
      </c>
      <c r="O414" t="s">
        <v>11</v>
      </c>
      <c r="P414" t="s">
        <v>12</v>
      </c>
      <c r="Q414" t="s">
        <v>24</v>
      </c>
      <c r="R414" t="s">
        <v>14</v>
      </c>
      <c r="S414" s="3">
        <v>9.4</v>
      </c>
      <c r="T414" t="s">
        <v>15</v>
      </c>
      <c r="U414" s="3">
        <v>814.9</v>
      </c>
      <c r="V414" t="s">
        <v>16</v>
      </c>
      <c r="W414" t="s">
        <v>17</v>
      </c>
      <c r="X414" t="s">
        <v>12</v>
      </c>
      <c r="Y414" t="s">
        <v>8</v>
      </c>
      <c r="Z414" t="s">
        <v>18</v>
      </c>
      <c r="AA414" t="s">
        <v>1133</v>
      </c>
      <c r="AB414" t="s">
        <v>12</v>
      </c>
      <c r="AC414" t="s">
        <v>12</v>
      </c>
      <c r="AD414" t="s">
        <v>12</v>
      </c>
      <c r="AE414" s="2">
        <v>45720</v>
      </c>
      <c r="AF414" s="2"/>
      <c r="AG414" t="s">
        <v>12</v>
      </c>
    </row>
    <row r="415" spans="1:33" outlineLevel="2" x14ac:dyDescent="0.25">
      <c r="A415" t="s">
        <v>129</v>
      </c>
      <c r="B415" t="s">
        <v>1</v>
      </c>
      <c r="C415" t="s">
        <v>2</v>
      </c>
      <c r="D415" t="s">
        <v>3</v>
      </c>
      <c r="E415" t="s">
        <v>4</v>
      </c>
      <c r="F415" t="s">
        <v>243</v>
      </c>
      <c r="G415" s="2">
        <v>45720</v>
      </c>
      <c r="H415" t="s">
        <v>1152</v>
      </c>
      <c r="I415" t="s">
        <v>22</v>
      </c>
      <c r="J415" s="2">
        <v>45720</v>
      </c>
      <c r="K415" s="2">
        <v>45721</v>
      </c>
      <c r="L415" t="s">
        <v>8</v>
      </c>
      <c r="M415" t="s">
        <v>1153</v>
      </c>
      <c r="N415" t="s">
        <v>10</v>
      </c>
      <c r="O415" t="s">
        <v>11</v>
      </c>
      <c r="P415" t="s">
        <v>12</v>
      </c>
      <c r="Q415" t="s">
        <v>24</v>
      </c>
      <c r="R415" t="s">
        <v>14</v>
      </c>
      <c r="S415" s="3">
        <v>4.7</v>
      </c>
      <c r="T415" t="s">
        <v>15</v>
      </c>
      <c r="U415" s="3">
        <v>407.45</v>
      </c>
      <c r="V415" t="s">
        <v>16</v>
      </c>
      <c r="W415" t="s">
        <v>17</v>
      </c>
      <c r="X415" t="s">
        <v>12</v>
      </c>
      <c r="Y415" t="s">
        <v>8</v>
      </c>
      <c r="Z415" t="s">
        <v>18</v>
      </c>
      <c r="AA415" t="s">
        <v>1133</v>
      </c>
      <c r="AB415" t="s">
        <v>12</v>
      </c>
      <c r="AC415" t="s">
        <v>12</v>
      </c>
      <c r="AD415" t="s">
        <v>12</v>
      </c>
      <c r="AE415" s="2">
        <v>45720</v>
      </c>
      <c r="AF415" s="2"/>
      <c r="AG415" t="s">
        <v>12</v>
      </c>
    </row>
    <row r="416" spans="1:33" outlineLevel="2" x14ac:dyDescent="0.25">
      <c r="A416" t="s">
        <v>129</v>
      </c>
      <c r="B416" t="s">
        <v>1</v>
      </c>
      <c r="C416" t="s">
        <v>2</v>
      </c>
      <c r="D416" t="s">
        <v>3</v>
      </c>
      <c r="E416" t="s">
        <v>4</v>
      </c>
      <c r="F416" t="s">
        <v>243</v>
      </c>
      <c r="G416" s="2">
        <v>45720</v>
      </c>
      <c r="H416" t="s">
        <v>1154</v>
      </c>
      <c r="I416" t="s">
        <v>22</v>
      </c>
      <c r="J416" s="2">
        <v>45720</v>
      </c>
      <c r="K416" s="2">
        <v>45721</v>
      </c>
      <c r="L416" t="s">
        <v>8</v>
      </c>
      <c r="M416" t="s">
        <v>1155</v>
      </c>
      <c r="N416" t="s">
        <v>10</v>
      </c>
      <c r="O416" t="s">
        <v>11</v>
      </c>
      <c r="P416" t="s">
        <v>12</v>
      </c>
      <c r="Q416" t="s">
        <v>24</v>
      </c>
      <c r="R416" t="s">
        <v>14</v>
      </c>
      <c r="S416" s="3">
        <v>4.7</v>
      </c>
      <c r="T416" t="s">
        <v>15</v>
      </c>
      <c r="U416" s="3">
        <v>407.45</v>
      </c>
      <c r="V416" t="s">
        <v>16</v>
      </c>
      <c r="W416" t="s">
        <v>17</v>
      </c>
      <c r="X416" t="s">
        <v>12</v>
      </c>
      <c r="Y416" t="s">
        <v>8</v>
      </c>
      <c r="Z416" t="s">
        <v>18</v>
      </c>
      <c r="AA416" t="s">
        <v>1133</v>
      </c>
      <c r="AB416" t="s">
        <v>12</v>
      </c>
      <c r="AC416" t="s">
        <v>12</v>
      </c>
      <c r="AD416" t="s">
        <v>12</v>
      </c>
      <c r="AE416" s="2">
        <v>45720</v>
      </c>
      <c r="AF416" s="2"/>
      <c r="AG416" t="s">
        <v>12</v>
      </c>
    </row>
    <row r="417" spans="1:33" outlineLevel="2" x14ac:dyDescent="0.25">
      <c r="A417" t="s">
        <v>129</v>
      </c>
      <c r="B417" t="s">
        <v>1</v>
      </c>
      <c r="C417" t="s">
        <v>2</v>
      </c>
      <c r="D417" t="s">
        <v>3</v>
      </c>
      <c r="E417" t="s">
        <v>4</v>
      </c>
      <c r="F417" t="s">
        <v>243</v>
      </c>
      <c r="G417" s="2">
        <v>45720</v>
      </c>
      <c r="H417" t="s">
        <v>1156</v>
      </c>
      <c r="I417" t="s">
        <v>22</v>
      </c>
      <c r="J417" s="2">
        <v>45720</v>
      </c>
      <c r="K417" s="2">
        <v>45721</v>
      </c>
      <c r="L417" t="s">
        <v>8</v>
      </c>
      <c r="M417" t="s">
        <v>1157</v>
      </c>
      <c r="N417" t="s">
        <v>10</v>
      </c>
      <c r="O417" t="s">
        <v>11</v>
      </c>
      <c r="P417" t="s">
        <v>12</v>
      </c>
      <c r="Q417" t="s">
        <v>24</v>
      </c>
      <c r="R417" t="s">
        <v>14</v>
      </c>
      <c r="S417" s="3">
        <v>2.35</v>
      </c>
      <c r="T417" t="s">
        <v>15</v>
      </c>
      <c r="U417" s="3">
        <v>203.72</v>
      </c>
      <c r="V417" t="s">
        <v>16</v>
      </c>
      <c r="W417" t="s">
        <v>17</v>
      </c>
      <c r="X417" t="s">
        <v>12</v>
      </c>
      <c r="Y417" t="s">
        <v>8</v>
      </c>
      <c r="Z417" t="s">
        <v>18</v>
      </c>
      <c r="AA417" t="s">
        <v>1133</v>
      </c>
      <c r="AB417" t="s">
        <v>12</v>
      </c>
      <c r="AC417" t="s">
        <v>12</v>
      </c>
      <c r="AD417" t="s">
        <v>12</v>
      </c>
      <c r="AE417" s="2">
        <v>45720</v>
      </c>
      <c r="AF417" s="2"/>
      <c r="AG417" t="s">
        <v>12</v>
      </c>
    </row>
    <row r="418" spans="1:33" outlineLevel="2" x14ac:dyDescent="0.25">
      <c r="A418" t="s">
        <v>129</v>
      </c>
      <c r="B418" t="s">
        <v>1</v>
      </c>
      <c r="C418" t="s">
        <v>2</v>
      </c>
      <c r="D418" t="s">
        <v>3</v>
      </c>
      <c r="E418" t="s">
        <v>4</v>
      </c>
      <c r="F418" t="s">
        <v>243</v>
      </c>
      <c r="G418" s="2">
        <v>45720</v>
      </c>
      <c r="H418" t="s">
        <v>1158</v>
      </c>
      <c r="I418" t="s">
        <v>22</v>
      </c>
      <c r="J418" s="2">
        <v>45720</v>
      </c>
      <c r="K418" s="2">
        <v>45721</v>
      </c>
      <c r="L418" t="s">
        <v>8</v>
      </c>
      <c r="M418" t="s">
        <v>1159</v>
      </c>
      <c r="N418" t="s">
        <v>10</v>
      </c>
      <c r="O418" t="s">
        <v>11</v>
      </c>
      <c r="P418" t="s">
        <v>12</v>
      </c>
      <c r="Q418" t="s">
        <v>24</v>
      </c>
      <c r="R418" t="s">
        <v>14</v>
      </c>
      <c r="S418" s="3">
        <v>14.1</v>
      </c>
      <c r="T418" t="s">
        <v>15</v>
      </c>
      <c r="U418" s="3">
        <v>1222.3499999999999</v>
      </c>
      <c r="V418" t="s">
        <v>16</v>
      </c>
      <c r="W418" t="s">
        <v>17</v>
      </c>
      <c r="X418" t="s">
        <v>12</v>
      </c>
      <c r="Y418" t="s">
        <v>8</v>
      </c>
      <c r="Z418" t="s">
        <v>18</v>
      </c>
      <c r="AA418" t="s">
        <v>1133</v>
      </c>
      <c r="AB418" t="s">
        <v>12</v>
      </c>
      <c r="AC418" t="s">
        <v>12</v>
      </c>
      <c r="AD418" t="s">
        <v>12</v>
      </c>
      <c r="AE418" s="2">
        <v>45720</v>
      </c>
      <c r="AF418" s="2"/>
      <c r="AG418" t="s">
        <v>12</v>
      </c>
    </row>
    <row r="419" spans="1:33" outlineLevel="2" x14ac:dyDescent="0.25">
      <c r="A419" t="s">
        <v>129</v>
      </c>
      <c r="B419" t="s">
        <v>1</v>
      </c>
      <c r="C419" t="s">
        <v>2</v>
      </c>
      <c r="D419" t="s">
        <v>3</v>
      </c>
      <c r="E419" t="s">
        <v>4</v>
      </c>
      <c r="F419" t="s">
        <v>243</v>
      </c>
      <c r="G419" s="2">
        <v>45720</v>
      </c>
      <c r="H419" t="s">
        <v>1160</v>
      </c>
      <c r="I419" t="s">
        <v>22</v>
      </c>
      <c r="J419" s="2">
        <v>45720</v>
      </c>
      <c r="K419" s="2">
        <v>45721</v>
      </c>
      <c r="L419" t="s">
        <v>8</v>
      </c>
      <c r="M419" t="s">
        <v>1161</v>
      </c>
      <c r="N419" t="s">
        <v>10</v>
      </c>
      <c r="O419" t="s">
        <v>11</v>
      </c>
      <c r="P419" t="s">
        <v>12</v>
      </c>
      <c r="Q419" t="s">
        <v>24</v>
      </c>
      <c r="R419" t="s">
        <v>14</v>
      </c>
      <c r="S419" s="3">
        <v>18.8</v>
      </c>
      <c r="T419" t="s">
        <v>15</v>
      </c>
      <c r="U419" s="3">
        <v>1629.8</v>
      </c>
      <c r="V419" t="s">
        <v>16</v>
      </c>
      <c r="W419" t="s">
        <v>17</v>
      </c>
      <c r="X419" t="s">
        <v>12</v>
      </c>
      <c r="Y419" t="s">
        <v>8</v>
      </c>
      <c r="Z419" t="s">
        <v>18</v>
      </c>
      <c r="AA419" t="s">
        <v>1133</v>
      </c>
      <c r="AB419" t="s">
        <v>12</v>
      </c>
      <c r="AC419" t="s">
        <v>12</v>
      </c>
      <c r="AD419" t="s">
        <v>12</v>
      </c>
      <c r="AE419" s="2">
        <v>45720</v>
      </c>
      <c r="AF419" s="2"/>
      <c r="AG419" t="s">
        <v>12</v>
      </c>
    </row>
    <row r="420" spans="1:33" outlineLevel="2" x14ac:dyDescent="0.25">
      <c r="A420" t="s">
        <v>129</v>
      </c>
      <c r="B420" t="s">
        <v>1</v>
      </c>
      <c r="C420" t="s">
        <v>2</v>
      </c>
      <c r="D420" t="s">
        <v>3</v>
      </c>
      <c r="E420" t="s">
        <v>4</v>
      </c>
      <c r="F420" t="s">
        <v>140</v>
      </c>
      <c r="G420" s="2">
        <v>45751</v>
      </c>
      <c r="H420" t="s">
        <v>1162</v>
      </c>
      <c r="I420" t="s">
        <v>22</v>
      </c>
      <c r="J420" s="2">
        <v>45751</v>
      </c>
      <c r="K420" s="2">
        <v>45752</v>
      </c>
      <c r="L420" t="s">
        <v>8</v>
      </c>
      <c r="M420" t="s">
        <v>1163</v>
      </c>
      <c r="N420" t="s">
        <v>10</v>
      </c>
      <c r="O420" t="s">
        <v>11</v>
      </c>
      <c r="P420" t="s">
        <v>12</v>
      </c>
      <c r="Q420" t="s">
        <v>24</v>
      </c>
      <c r="R420" t="s">
        <v>14</v>
      </c>
      <c r="S420" s="3">
        <v>5005.59</v>
      </c>
      <c r="T420" t="s">
        <v>15</v>
      </c>
      <c r="U420" s="3">
        <v>435094.99</v>
      </c>
      <c r="V420" t="s">
        <v>16</v>
      </c>
      <c r="W420" t="s">
        <v>12</v>
      </c>
      <c r="X420" t="s">
        <v>12</v>
      </c>
      <c r="Y420" t="s">
        <v>8</v>
      </c>
      <c r="Z420" t="s">
        <v>18</v>
      </c>
      <c r="AA420" t="s">
        <v>1164</v>
      </c>
      <c r="AB420" t="s">
        <v>12</v>
      </c>
      <c r="AC420" t="s">
        <v>12</v>
      </c>
      <c r="AD420" t="s">
        <v>12</v>
      </c>
      <c r="AE420" s="2">
        <v>45751</v>
      </c>
      <c r="AF420" s="2"/>
      <c r="AG420" t="s">
        <v>12</v>
      </c>
    </row>
    <row r="421" spans="1:33" outlineLevel="2" x14ac:dyDescent="0.25">
      <c r="A421" t="s">
        <v>129</v>
      </c>
      <c r="B421" t="s">
        <v>1</v>
      </c>
      <c r="C421" t="s">
        <v>2</v>
      </c>
      <c r="D421" t="s">
        <v>3</v>
      </c>
      <c r="E421" t="s">
        <v>4</v>
      </c>
      <c r="F421" t="s">
        <v>140</v>
      </c>
      <c r="G421" s="2">
        <v>45751</v>
      </c>
      <c r="H421" t="s">
        <v>1165</v>
      </c>
      <c r="I421" t="s">
        <v>22</v>
      </c>
      <c r="J421" s="2">
        <v>45751</v>
      </c>
      <c r="K421" s="2">
        <v>45752</v>
      </c>
      <c r="L421" t="s">
        <v>8</v>
      </c>
      <c r="M421" t="s">
        <v>1166</v>
      </c>
      <c r="N421" t="s">
        <v>10</v>
      </c>
      <c r="O421" t="s">
        <v>11</v>
      </c>
      <c r="P421" t="s">
        <v>12</v>
      </c>
      <c r="Q421" t="s">
        <v>24</v>
      </c>
      <c r="R421" t="s">
        <v>14</v>
      </c>
      <c r="S421" s="3">
        <v>4311.37</v>
      </c>
      <c r="T421" t="s">
        <v>15</v>
      </c>
      <c r="U421" s="3">
        <v>374752.13</v>
      </c>
      <c r="V421" t="s">
        <v>16</v>
      </c>
      <c r="W421" t="s">
        <v>12</v>
      </c>
      <c r="X421" t="s">
        <v>12</v>
      </c>
      <c r="Y421" t="s">
        <v>8</v>
      </c>
      <c r="Z421" t="s">
        <v>18</v>
      </c>
      <c r="AA421" t="s">
        <v>1167</v>
      </c>
      <c r="AB421" t="s">
        <v>12</v>
      </c>
      <c r="AC421" t="s">
        <v>12</v>
      </c>
      <c r="AD421" t="s">
        <v>12</v>
      </c>
      <c r="AE421" s="2">
        <v>45751</v>
      </c>
      <c r="AF421" s="2"/>
      <c r="AG421" t="s">
        <v>12</v>
      </c>
    </row>
    <row r="422" spans="1:33" outlineLevel="2" x14ac:dyDescent="0.25">
      <c r="A422" t="s">
        <v>129</v>
      </c>
      <c r="B422" t="s">
        <v>1</v>
      </c>
      <c r="C422" t="s">
        <v>2</v>
      </c>
      <c r="D422" t="s">
        <v>3</v>
      </c>
      <c r="E422" t="s">
        <v>4</v>
      </c>
      <c r="F422" t="s">
        <v>358</v>
      </c>
      <c r="G422" s="2">
        <v>45716</v>
      </c>
      <c r="H422" t="s">
        <v>1168</v>
      </c>
      <c r="I422" t="s">
        <v>22</v>
      </c>
      <c r="J422" s="2">
        <v>45716</v>
      </c>
      <c r="K422" s="2">
        <v>45716</v>
      </c>
      <c r="L422" t="s">
        <v>8</v>
      </c>
      <c r="M422" t="s">
        <v>1169</v>
      </c>
      <c r="N422" t="s">
        <v>10</v>
      </c>
      <c r="O422" t="s">
        <v>11</v>
      </c>
      <c r="P422" t="s">
        <v>12</v>
      </c>
      <c r="Q422" t="s">
        <v>24</v>
      </c>
      <c r="R422" t="s">
        <v>14</v>
      </c>
      <c r="S422" s="3">
        <v>386.34</v>
      </c>
      <c r="T422" t="s">
        <v>15</v>
      </c>
      <c r="U422" s="3">
        <v>33342.559999999998</v>
      </c>
      <c r="V422" t="s">
        <v>16</v>
      </c>
      <c r="W422" t="s">
        <v>17</v>
      </c>
      <c r="X422" t="s">
        <v>12</v>
      </c>
      <c r="Y422" t="s">
        <v>8</v>
      </c>
      <c r="Z422" t="s">
        <v>18</v>
      </c>
      <c r="AA422" t="s">
        <v>1170</v>
      </c>
      <c r="AB422" t="s">
        <v>12</v>
      </c>
      <c r="AC422" t="s">
        <v>12</v>
      </c>
      <c r="AD422" t="s">
        <v>12</v>
      </c>
      <c r="AE422" s="2">
        <v>45716</v>
      </c>
      <c r="AF422" s="2"/>
      <c r="AG422" t="s">
        <v>12</v>
      </c>
    </row>
    <row r="423" spans="1:33" outlineLevel="2" x14ac:dyDescent="0.25">
      <c r="A423" t="s">
        <v>129</v>
      </c>
      <c r="B423" t="s">
        <v>1</v>
      </c>
      <c r="C423" t="s">
        <v>2</v>
      </c>
      <c r="D423" t="s">
        <v>3</v>
      </c>
      <c r="E423" t="s">
        <v>4</v>
      </c>
      <c r="F423" t="s">
        <v>358</v>
      </c>
      <c r="G423" s="2">
        <v>45716</v>
      </c>
      <c r="H423" t="s">
        <v>1171</v>
      </c>
      <c r="I423" t="s">
        <v>22</v>
      </c>
      <c r="J423" s="2">
        <v>45716</v>
      </c>
      <c r="K423" s="2">
        <v>45716</v>
      </c>
      <c r="L423" t="s">
        <v>8</v>
      </c>
      <c r="M423" t="s">
        <v>1172</v>
      </c>
      <c r="N423" t="s">
        <v>10</v>
      </c>
      <c r="O423" t="s">
        <v>11</v>
      </c>
      <c r="P423" t="s">
        <v>12</v>
      </c>
      <c r="Q423" t="s">
        <v>24</v>
      </c>
      <c r="R423" t="s">
        <v>14</v>
      </c>
      <c r="S423" s="3">
        <v>178.6</v>
      </c>
      <c r="T423" t="s">
        <v>15</v>
      </c>
      <c r="U423" s="3">
        <v>15413.83</v>
      </c>
      <c r="V423" t="s">
        <v>16</v>
      </c>
      <c r="W423" t="s">
        <v>17</v>
      </c>
      <c r="X423" t="s">
        <v>12</v>
      </c>
      <c r="Y423" t="s">
        <v>8</v>
      </c>
      <c r="Z423" t="s">
        <v>18</v>
      </c>
      <c r="AA423" t="s">
        <v>1173</v>
      </c>
      <c r="AB423" t="s">
        <v>12</v>
      </c>
      <c r="AC423" t="s">
        <v>12</v>
      </c>
      <c r="AD423" t="s">
        <v>12</v>
      </c>
      <c r="AE423" s="2">
        <v>45716</v>
      </c>
      <c r="AF423" s="2"/>
      <c r="AG423" t="s">
        <v>12</v>
      </c>
    </row>
    <row r="424" spans="1:33" outlineLevel="2" x14ac:dyDescent="0.25">
      <c r="A424" t="s">
        <v>129</v>
      </c>
      <c r="B424" t="s">
        <v>1</v>
      </c>
      <c r="C424" t="s">
        <v>2</v>
      </c>
      <c r="D424" t="s">
        <v>3</v>
      </c>
      <c r="E424" t="s">
        <v>4</v>
      </c>
      <c r="F424" t="s">
        <v>358</v>
      </c>
      <c r="G424" s="2">
        <v>45716</v>
      </c>
      <c r="H424" t="s">
        <v>1174</v>
      </c>
      <c r="I424" t="s">
        <v>22</v>
      </c>
      <c r="J424" s="2">
        <v>45716</v>
      </c>
      <c r="K424" s="2">
        <v>45716</v>
      </c>
      <c r="L424" t="s">
        <v>8</v>
      </c>
      <c r="M424" t="s">
        <v>1175</v>
      </c>
      <c r="N424" t="s">
        <v>10</v>
      </c>
      <c r="O424" t="s">
        <v>11</v>
      </c>
      <c r="P424" t="s">
        <v>12</v>
      </c>
      <c r="Q424" t="s">
        <v>24</v>
      </c>
      <c r="R424" t="s">
        <v>14</v>
      </c>
      <c r="S424" s="3">
        <v>575.75</v>
      </c>
      <c r="T424" t="s">
        <v>15</v>
      </c>
      <c r="U424" s="3">
        <v>49689.33</v>
      </c>
      <c r="V424" t="s">
        <v>16</v>
      </c>
      <c r="W424" t="s">
        <v>17</v>
      </c>
      <c r="X424" t="s">
        <v>12</v>
      </c>
      <c r="Y424" t="s">
        <v>8</v>
      </c>
      <c r="Z424" t="s">
        <v>18</v>
      </c>
      <c r="AA424" t="s">
        <v>1176</v>
      </c>
      <c r="AB424" t="s">
        <v>12</v>
      </c>
      <c r="AC424" t="s">
        <v>12</v>
      </c>
      <c r="AD424" t="s">
        <v>12</v>
      </c>
      <c r="AE424" s="2">
        <v>45716</v>
      </c>
      <c r="AF424" s="2"/>
      <c r="AG424" t="s">
        <v>12</v>
      </c>
    </row>
    <row r="425" spans="1:33" outlineLevel="2" x14ac:dyDescent="0.25">
      <c r="A425" t="s">
        <v>129</v>
      </c>
      <c r="B425" t="s">
        <v>1</v>
      </c>
      <c r="C425" t="s">
        <v>2</v>
      </c>
      <c r="D425" t="s">
        <v>3</v>
      </c>
      <c r="E425" t="s">
        <v>4</v>
      </c>
      <c r="F425" t="s">
        <v>358</v>
      </c>
      <c r="G425" s="2">
        <v>45716</v>
      </c>
      <c r="H425" t="s">
        <v>1177</v>
      </c>
      <c r="I425" t="s">
        <v>22</v>
      </c>
      <c r="J425" s="2">
        <v>45716</v>
      </c>
      <c r="K425" s="2">
        <v>45716</v>
      </c>
      <c r="L425" t="s">
        <v>8</v>
      </c>
      <c r="M425" t="s">
        <v>1178</v>
      </c>
      <c r="N425" t="s">
        <v>10</v>
      </c>
      <c r="O425" t="s">
        <v>11</v>
      </c>
      <c r="P425" t="s">
        <v>12</v>
      </c>
      <c r="Q425" t="s">
        <v>24</v>
      </c>
      <c r="R425" t="s">
        <v>14</v>
      </c>
      <c r="S425" s="3">
        <v>1863.55</v>
      </c>
      <c r="T425" t="s">
        <v>15</v>
      </c>
      <c r="U425" s="3">
        <v>160831.19</v>
      </c>
      <c r="V425" t="s">
        <v>16</v>
      </c>
      <c r="W425" t="s">
        <v>17</v>
      </c>
      <c r="X425" t="s">
        <v>12</v>
      </c>
      <c r="Y425" t="s">
        <v>8</v>
      </c>
      <c r="Z425" t="s">
        <v>18</v>
      </c>
      <c r="AA425" t="s">
        <v>1179</v>
      </c>
      <c r="AB425" t="s">
        <v>12</v>
      </c>
      <c r="AC425" t="s">
        <v>12</v>
      </c>
      <c r="AD425" t="s">
        <v>12</v>
      </c>
      <c r="AE425" s="2">
        <v>45716</v>
      </c>
      <c r="AF425" s="2"/>
      <c r="AG425" t="s">
        <v>12</v>
      </c>
    </row>
    <row r="426" spans="1:33" outlineLevel="2" x14ac:dyDescent="0.25">
      <c r="A426" t="s">
        <v>129</v>
      </c>
      <c r="B426" t="s">
        <v>1</v>
      </c>
      <c r="C426" t="s">
        <v>2</v>
      </c>
      <c r="D426" t="s">
        <v>3</v>
      </c>
      <c r="E426" t="s">
        <v>4</v>
      </c>
      <c r="F426" t="s">
        <v>358</v>
      </c>
      <c r="G426" s="2">
        <v>45716</v>
      </c>
      <c r="H426" t="s">
        <v>1180</v>
      </c>
      <c r="I426" t="s">
        <v>22</v>
      </c>
      <c r="J426" s="2">
        <v>45716</v>
      </c>
      <c r="K426" s="2">
        <v>45716</v>
      </c>
      <c r="L426" t="s">
        <v>8</v>
      </c>
      <c r="M426" t="s">
        <v>1181</v>
      </c>
      <c r="N426" t="s">
        <v>10</v>
      </c>
      <c r="O426" t="s">
        <v>11</v>
      </c>
      <c r="P426" t="s">
        <v>12</v>
      </c>
      <c r="Q426" t="s">
        <v>24</v>
      </c>
      <c r="R426" t="s">
        <v>14</v>
      </c>
      <c r="S426" s="3">
        <v>1793.99</v>
      </c>
      <c r="T426" t="s">
        <v>15</v>
      </c>
      <c r="U426" s="3">
        <v>154827.9</v>
      </c>
      <c r="V426" t="s">
        <v>16</v>
      </c>
      <c r="W426" t="s">
        <v>17</v>
      </c>
      <c r="X426" t="s">
        <v>12</v>
      </c>
      <c r="Y426" t="s">
        <v>8</v>
      </c>
      <c r="Z426" t="s">
        <v>18</v>
      </c>
      <c r="AA426" t="s">
        <v>171</v>
      </c>
      <c r="AB426" t="s">
        <v>12</v>
      </c>
      <c r="AC426" t="s">
        <v>12</v>
      </c>
      <c r="AD426" t="s">
        <v>12</v>
      </c>
      <c r="AE426" s="2">
        <v>45716</v>
      </c>
      <c r="AF426" s="2"/>
      <c r="AG426" t="s">
        <v>12</v>
      </c>
    </row>
    <row r="427" spans="1:33" outlineLevel="2" x14ac:dyDescent="0.25">
      <c r="A427" t="s">
        <v>129</v>
      </c>
      <c r="B427" t="s">
        <v>1</v>
      </c>
      <c r="C427" t="s">
        <v>2</v>
      </c>
      <c r="D427" t="s">
        <v>3</v>
      </c>
      <c r="E427" t="s">
        <v>4</v>
      </c>
      <c r="F427" t="s">
        <v>358</v>
      </c>
      <c r="G427" s="2">
        <v>45716</v>
      </c>
      <c r="H427" t="s">
        <v>1182</v>
      </c>
      <c r="I427" t="s">
        <v>22</v>
      </c>
      <c r="J427" s="2">
        <v>45716</v>
      </c>
      <c r="K427" s="2">
        <v>45716</v>
      </c>
      <c r="L427" t="s">
        <v>8</v>
      </c>
      <c r="M427" t="s">
        <v>1183</v>
      </c>
      <c r="N427" t="s">
        <v>10</v>
      </c>
      <c r="O427" t="s">
        <v>11</v>
      </c>
      <c r="P427" t="s">
        <v>12</v>
      </c>
      <c r="Q427" t="s">
        <v>24</v>
      </c>
      <c r="R427" t="s">
        <v>14</v>
      </c>
      <c r="S427" s="3">
        <v>1314.12</v>
      </c>
      <c r="T427" t="s">
        <v>15</v>
      </c>
      <c r="U427" s="3">
        <v>113413.37</v>
      </c>
      <c r="V427" t="s">
        <v>16</v>
      </c>
      <c r="W427" t="s">
        <v>17</v>
      </c>
      <c r="X427" t="s">
        <v>12</v>
      </c>
      <c r="Y427" t="s">
        <v>8</v>
      </c>
      <c r="Z427" t="s">
        <v>18</v>
      </c>
      <c r="AA427" t="s">
        <v>171</v>
      </c>
      <c r="AB427" t="s">
        <v>12</v>
      </c>
      <c r="AC427" t="s">
        <v>12</v>
      </c>
      <c r="AD427" t="s">
        <v>12</v>
      </c>
      <c r="AE427" s="2">
        <v>45716</v>
      </c>
      <c r="AF427" s="2"/>
      <c r="AG427" t="s">
        <v>12</v>
      </c>
    </row>
    <row r="428" spans="1:33" outlineLevel="2" x14ac:dyDescent="0.25">
      <c r="A428" t="s">
        <v>129</v>
      </c>
      <c r="B428" t="s">
        <v>1</v>
      </c>
      <c r="C428" t="s">
        <v>2</v>
      </c>
      <c r="D428" t="s">
        <v>3</v>
      </c>
      <c r="E428" t="s">
        <v>4</v>
      </c>
      <c r="F428" t="s">
        <v>358</v>
      </c>
      <c r="G428" s="2">
        <v>45716</v>
      </c>
      <c r="H428" t="s">
        <v>1184</v>
      </c>
      <c r="I428" t="s">
        <v>22</v>
      </c>
      <c r="J428" s="2">
        <v>45716</v>
      </c>
      <c r="K428" s="2">
        <v>45716</v>
      </c>
      <c r="L428" t="s">
        <v>8</v>
      </c>
      <c r="M428" t="s">
        <v>1185</v>
      </c>
      <c r="N428" t="s">
        <v>10</v>
      </c>
      <c r="O428" t="s">
        <v>11</v>
      </c>
      <c r="P428" t="s">
        <v>12</v>
      </c>
      <c r="Q428" t="s">
        <v>24</v>
      </c>
      <c r="R428" t="s">
        <v>14</v>
      </c>
      <c r="S428" s="3">
        <v>705</v>
      </c>
      <c r="T428" t="s">
        <v>15</v>
      </c>
      <c r="U428" s="3">
        <v>60844.08</v>
      </c>
      <c r="V428" t="s">
        <v>16</v>
      </c>
      <c r="W428" t="s">
        <v>17</v>
      </c>
      <c r="X428" t="s">
        <v>12</v>
      </c>
      <c r="Y428" t="s">
        <v>8</v>
      </c>
      <c r="Z428" t="s">
        <v>18</v>
      </c>
      <c r="AA428" t="s">
        <v>171</v>
      </c>
      <c r="AB428" t="s">
        <v>12</v>
      </c>
      <c r="AC428" t="s">
        <v>12</v>
      </c>
      <c r="AD428" t="s">
        <v>12</v>
      </c>
      <c r="AE428" s="2">
        <v>45716</v>
      </c>
      <c r="AF428" s="2"/>
      <c r="AG428" t="s">
        <v>12</v>
      </c>
    </row>
    <row r="429" spans="1:33" outlineLevel="2" x14ac:dyDescent="0.25">
      <c r="A429" t="s">
        <v>129</v>
      </c>
      <c r="B429" t="s">
        <v>1</v>
      </c>
      <c r="C429" t="s">
        <v>2</v>
      </c>
      <c r="D429" t="s">
        <v>3</v>
      </c>
      <c r="E429" t="s">
        <v>4</v>
      </c>
      <c r="F429" t="s">
        <v>243</v>
      </c>
      <c r="G429" s="2">
        <v>45722</v>
      </c>
      <c r="H429" t="s">
        <v>1186</v>
      </c>
      <c r="I429" t="s">
        <v>22</v>
      </c>
      <c r="J429" s="2">
        <v>45722</v>
      </c>
      <c r="K429" s="2">
        <v>45723</v>
      </c>
      <c r="L429" t="s">
        <v>8</v>
      </c>
      <c r="M429" t="s">
        <v>1187</v>
      </c>
      <c r="N429" t="s">
        <v>10</v>
      </c>
      <c r="O429" t="s">
        <v>11</v>
      </c>
      <c r="P429" t="s">
        <v>12</v>
      </c>
      <c r="Q429" t="s">
        <v>24</v>
      </c>
      <c r="R429" t="s">
        <v>14</v>
      </c>
      <c r="S429" s="3">
        <v>28.2</v>
      </c>
      <c r="T429" t="s">
        <v>15</v>
      </c>
      <c r="U429" s="3">
        <v>2444.69</v>
      </c>
      <c r="V429" t="s">
        <v>16</v>
      </c>
      <c r="W429" t="s">
        <v>17</v>
      </c>
      <c r="X429" t="s">
        <v>12</v>
      </c>
      <c r="Y429" t="s">
        <v>8</v>
      </c>
      <c r="Z429" t="s">
        <v>18</v>
      </c>
      <c r="AA429" t="s">
        <v>364</v>
      </c>
      <c r="AB429" t="s">
        <v>12</v>
      </c>
      <c r="AC429" t="s">
        <v>12</v>
      </c>
      <c r="AD429" t="s">
        <v>12</v>
      </c>
      <c r="AE429" s="2">
        <v>45722</v>
      </c>
      <c r="AF429" s="2"/>
      <c r="AG429" t="s">
        <v>12</v>
      </c>
    </row>
    <row r="430" spans="1:33" outlineLevel="2" x14ac:dyDescent="0.25">
      <c r="A430" t="s">
        <v>129</v>
      </c>
      <c r="B430" t="s">
        <v>1</v>
      </c>
      <c r="C430" t="s">
        <v>2</v>
      </c>
      <c r="D430" t="s">
        <v>3</v>
      </c>
      <c r="E430" t="s">
        <v>4</v>
      </c>
      <c r="F430" t="s">
        <v>243</v>
      </c>
      <c r="G430" s="2">
        <v>45722</v>
      </c>
      <c r="H430" t="s">
        <v>1188</v>
      </c>
      <c r="I430" t="s">
        <v>22</v>
      </c>
      <c r="J430" s="2">
        <v>45722</v>
      </c>
      <c r="K430" s="2">
        <v>45723</v>
      </c>
      <c r="L430" t="s">
        <v>8</v>
      </c>
      <c r="M430" t="s">
        <v>1189</v>
      </c>
      <c r="N430" t="s">
        <v>10</v>
      </c>
      <c r="O430" t="s">
        <v>11</v>
      </c>
      <c r="P430" t="s">
        <v>12</v>
      </c>
      <c r="Q430" t="s">
        <v>24</v>
      </c>
      <c r="R430" t="s">
        <v>14</v>
      </c>
      <c r="S430" s="3">
        <v>126.9</v>
      </c>
      <c r="T430" t="s">
        <v>15</v>
      </c>
      <c r="U430" s="3">
        <v>11001.12</v>
      </c>
      <c r="V430" t="s">
        <v>16</v>
      </c>
      <c r="W430" t="s">
        <v>17</v>
      </c>
      <c r="X430" t="s">
        <v>12</v>
      </c>
      <c r="Y430" t="s">
        <v>8</v>
      </c>
      <c r="Z430" t="s">
        <v>18</v>
      </c>
      <c r="AA430" t="s">
        <v>624</v>
      </c>
      <c r="AB430" t="s">
        <v>12</v>
      </c>
      <c r="AC430" t="s">
        <v>12</v>
      </c>
      <c r="AD430" t="s">
        <v>12</v>
      </c>
      <c r="AE430" s="2">
        <v>45722</v>
      </c>
      <c r="AF430" s="2"/>
      <c r="AG430" t="s">
        <v>12</v>
      </c>
    </row>
    <row r="431" spans="1:33" outlineLevel="2" x14ac:dyDescent="0.25">
      <c r="A431" t="s">
        <v>129</v>
      </c>
      <c r="B431" t="s">
        <v>1</v>
      </c>
      <c r="C431" t="s">
        <v>2</v>
      </c>
      <c r="D431" t="s">
        <v>3</v>
      </c>
      <c r="E431" t="s">
        <v>4</v>
      </c>
      <c r="F431" t="s">
        <v>243</v>
      </c>
      <c r="G431" s="2">
        <v>45722</v>
      </c>
      <c r="H431" t="s">
        <v>1190</v>
      </c>
      <c r="I431" t="s">
        <v>22</v>
      </c>
      <c r="J431" s="2">
        <v>45722</v>
      </c>
      <c r="K431" s="2">
        <v>45723</v>
      </c>
      <c r="L431" t="s">
        <v>8</v>
      </c>
      <c r="M431" t="s">
        <v>1191</v>
      </c>
      <c r="N431" t="s">
        <v>10</v>
      </c>
      <c r="O431" t="s">
        <v>11</v>
      </c>
      <c r="P431" t="s">
        <v>12</v>
      </c>
      <c r="Q431" t="s">
        <v>24</v>
      </c>
      <c r="R431" t="s">
        <v>14</v>
      </c>
      <c r="S431" s="3">
        <v>23.5</v>
      </c>
      <c r="T431" t="s">
        <v>15</v>
      </c>
      <c r="U431" s="3">
        <v>2037.24</v>
      </c>
      <c r="V431" t="s">
        <v>16</v>
      </c>
      <c r="W431" t="s">
        <v>17</v>
      </c>
      <c r="X431" t="s">
        <v>12</v>
      </c>
      <c r="Y431" t="s">
        <v>8</v>
      </c>
      <c r="Z431" t="s">
        <v>18</v>
      </c>
      <c r="AA431" t="s">
        <v>624</v>
      </c>
      <c r="AB431" t="s">
        <v>12</v>
      </c>
      <c r="AC431" t="s">
        <v>12</v>
      </c>
      <c r="AD431" t="s">
        <v>12</v>
      </c>
      <c r="AE431" s="2">
        <v>45722</v>
      </c>
      <c r="AF431" s="2"/>
      <c r="AG431" t="s">
        <v>12</v>
      </c>
    </row>
    <row r="432" spans="1:33" outlineLevel="2" x14ac:dyDescent="0.25">
      <c r="A432" t="s">
        <v>129</v>
      </c>
      <c r="B432" t="s">
        <v>1</v>
      </c>
      <c r="C432" t="s">
        <v>2</v>
      </c>
      <c r="D432" t="s">
        <v>3</v>
      </c>
      <c r="E432" t="s">
        <v>4</v>
      </c>
      <c r="F432" t="s">
        <v>243</v>
      </c>
      <c r="G432" s="2">
        <v>45722</v>
      </c>
      <c r="H432" t="s">
        <v>1192</v>
      </c>
      <c r="I432" t="s">
        <v>22</v>
      </c>
      <c r="J432" s="2">
        <v>45722</v>
      </c>
      <c r="K432" s="2">
        <v>45722</v>
      </c>
      <c r="L432" t="s">
        <v>8</v>
      </c>
      <c r="M432" t="s">
        <v>1193</v>
      </c>
      <c r="N432" t="s">
        <v>10</v>
      </c>
      <c r="O432" t="s">
        <v>11</v>
      </c>
      <c r="P432" t="s">
        <v>12</v>
      </c>
      <c r="Q432" t="s">
        <v>24</v>
      </c>
      <c r="R432" t="s">
        <v>14</v>
      </c>
      <c r="S432" s="3">
        <v>3080</v>
      </c>
      <c r="T432" t="s">
        <v>15</v>
      </c>
      <c r="U432" s="3">
        <v>267009.08</v>
      </c>
      <c r="V432" t="s">
        <v>16</v>
      </c>
      <c r="W432" t="s">
        <v>17</v>
      </c>
      <c r="X432" t="s">
        <v>12</v>
      </c>
      <c r="Y432" t="s">
        <v>8</v>
      </c>
      <c r="Z432" t="s">
        <v>18</v>
      </c>
      <c r="AA432" t="s">
        <v>1194</v>
      </c>
      <c r="AB432" t="s">
        <v>12</v>
      </c>
      <c r="AC432" t="s">
        <v>12</v>
      </c>
      <c r="AD432" t="s">
        <v>12</v>
      </c>
      <c r="AE432" s="2">
        <v>45722</v>
      </c>
      <c r="AF432" s="2"/>
      <c r="AG432" t="s">
        <v>12</v>
      </c>
    </row>
    <row r="433" spans="1:33" outlineLevel="2" x14ac:dyDescent="0.25">
      <c r="A433" t="s">
        <v>129</v>
      </c>
      <c r="B433" t="s">
        <v>1</v>
      </c>
      <c r="C433" t="s">
        <v>2</v>
      </c>
      <c r="D433" t="s">
        <v>3</v>
      </c>
      <c r="E433" t="s">
        <v>4</v>
      </c>
      <c r="F433" t="s">
        <v>243</v>
      </c>
      <c r="G433" s="2">
        <v>45722</v>
      </c>
      <c r="H433" t="s">
        <v>1195</v>
      </c>
      <c r="I433" t="s">
        <v>22</v>
      </c>
      <c r="J433" s="2">
        <v>45722</v>
      </c>
      <c r="K433" s="2">
        <v>45722</v>
      </c>
      <c r="L433" t="s">
        <v>8</v>
      </c>
      <c r="M433" t="s">
        <v>1196</v>
      </c>
      <c r="N433" t="s">
        <v>10</v>
      </c>
      <c r="O433" t="s">
        <v>11</v>
      </c>
      <c r="P433" t="s">
        <v>12</v>
      </c>
      <c r="Q433" t="s">
        <v>24</v>
      </c>
      <c r="R433" t="s">
        <v>14</v>
      </c>
      <c r="S433" s="3">
        <v>4556.3999999999996</v>
      </c>
      <c r="T433" t="s">
        <v>15</v>
      </c>
      <c r="U433" s="3">
        <v>395000.06</v>
      </c>
      <c r="V433" t="s">
        <v>16</v>
      </c>
      <c r="W433" t="s">
        <v>17</v>
      </c>
      <c r="X433" t="s">
        <v>12</v>
      </c>
      <c r="Y433" t="s">
        <v>8</v>
      </c>
      <c r="Z433" t="s">
        <v>18</v>
      </c>
      <c r="AA433" t="s">
        <v>1197</v>
      </c>
      <c r="AB433" t="s">
        <v>12</v>
      </c>
      <c r="AC433" t="s">
        <v>12</v>
      </c>
      <c r="AD433" t="s">
        <v>12</v>
      </c>
      <c r="AE433" s="2">
        <v>45722</v>
      </c>
      <c r="AF433" s="2"/>
      <c r="AG433" t="s">
        <v>12</v>
      </c>
    </row>
    <row r="434" spans="1:33" outlineLevel="2" x14ac:dyDescent="0.25">
      <c r="A434" t="s">
        <v>129</v>
      </c>
      <c r="B434" t="s">
        <v>1</v>
      </c>
      <c r="C434" t="s">
        <v>2</v>
      </c>
      <c r="D434" t="s">
        <v>3</v>
      </c>
      <c r="E434" t="s">
        <v>4</v>
      </c>
      <c r="F434" t="s">
        <v>243</v>
      </c>
      <c r="G434" s="2">
        <v>45722</v>
      </c>
      <c r="H434" t="s">
        <v>1198</v>
      </c>
      <c r="I434" t="s">
        <v>22</v>
      </c>
      <c r="J434" s="2">
        <v>45722</v>
      </c>
      <c r="K434" s="2">
        <v>45722</v>
      </c>
      <c r="L434" t="s">
        <v>8</v>
      </c>
      <c r="M434" t="s">
        <v>1199</v>
      </c>
      <c r="N434" t="s">
        <v>10</v>
      </c>
      <c r="O434" t="s">
        <v>11</v>
      </c>
      <c r="P434" t="s">
        <v>12</v>
      </c>
      <c r="Q434" t="s">
        <v>24</v>
      </c>
      <c r="R434" t="s">
        <v>14</v>
      </c>
      <c r="S434" s="3">
        <v>22.05</v>
      </c>
      <c r="T434" t="s">
        <v>15</v>
      </c>
      <c r="U434" s="3">
        <v>1911.54</v>
      </c>
      <c r="V434" t="s">
        <v>16</v>
      </c>
      <c r="W434" t="s">
        <v>17</v>
      </c>
      <c r="X434" t="s">
        <v>12</v>
      </c>
      <c r="Y434" t="s">
        <v>8</v>
      </c>
      <c r="Z434" t="s">
        <v>18</v>
      </c>
      <c r="AA434" t="s">
        <v>1200</v>
      </c>
      <c r="AB434" t="s">
        <v>12</v>
      </c>
      <c r="AC434" t="s">
        <v>12</v>
      </c>
      <c r="AD434" t="s">
        <v>12</v>
      </c>
      <c r="AE434" s="2">
        <v>45722</v>
      </c>
      <c r="AF434" s="2"/>
      <c r="AG434" t="s">
        <v>12</v>
      </c>
    </row>
    <row r="435" spans="1:33" outlineLevel="2" x14ac:dyDescent="0.25">
      <c r="A435" t="s">
        <v>129</v>
      </c>
      <c r="B435" t="s">
        <v>1</v>
      </c>
      <c r="C435" t="s">
        <v>2</v>
      </c>
      <c r="D435" t="s">
        <v>3</v>
      </c>
      <c r="E435" t="s">
        <v>4</v>
      </c>
      <c r="F435" t="s">
        <v>243</v>
      </c>
      <c r="G435" s="2">
        <v>45722</v>
      </c>
      <c r="H435" t="s">
        <v>1201</v>
      </c>
      <c r="I435" t="s">
        <v>22</v>
      </c>
      <c r="J435" s="2">
        <v>45722</v>
      </c>
      <c r="K435" s="2">
        <v>45722</v>
      </c>
      <c r="L435" t="s">
        <v>8</v>
      </c>
      <c r="M435" t="s">
        <v>1202</v>
      </c>
      <c r="N435" t="s">
        <v>10</v>
      </c>
      <c r="O435" t="s">
        <v>11</v>
      </c>
      <c r="P435" t="s">
        <v>12</v>
      </c>
      <c r="Q435" t="s">
        <v>24</v>
      </c>
      <c r="R435" t="s">
        <v>14</v>
      </c>
      <c r="S435" s="3">
        <v>1205.2</v>
      </c>
      <c r="T435" t="s">
        <v>15</v>
      </c>
      <c r="U435" s="3">
        <v>104480.31</v>
      </c>
      <c r="V435" t="s">
        <v>16</v>
      </c>
      <c r="W435" t="s">
        <v>17</v>
      </c>
      <c r="X435" t="s">
        <v>12</v>
      </c>
      <c r="Y435" t="s">
        <v>8</v>
      </c>
      <c r="Z435" t="s">
        <v>18</v>
      </c>
      <c r="AA435" t="s">
        <v>1200</v>
      </c>
      <c r="AB435" t="s">
        <v>12</v>
      </c>
      <c r="AC435" t="s">
        <v>12</v>
      </c>
      <c r="AD435" t="s">
        <v>12</v>
      </c>
      <c r="AE435" s="2">
        <v>45722</v>
      </c>
      <c r="AF435" s="2"/>
      <c r="AG435" t="s">
        <v>12</v>
      </c>
    </row>
    <row r="436" spans="1:33" outlineLevel="2" x14ac:dyDescent="0.25">
      <c r="A436" t="s">
        <v>129</v>
      </c>
      <c r="B436" t="s">
        <v>1</v>
      </c>
      <c r="C436" t="s">
        <v>2</v>
      </c>
      <c r="D436" t="s">
        <v>3</v>
      </c>
      <c r="E436" t="s">
        <v>4</v>
      </c>
      <c r="F436" t="s">
        <v>243</v>
      </c>
      <c r="G436" s="2">
        <v>45722</v>
      </c>
      <c r="H436" t="s">
        <v>1203</v>
      </c>
      <c r="I436" t="s">
        <v>22</v>
      </c>
      <c r="J436" s="2">
        <v>45722</v>
      </c>
      <c r="K436" s="2">
        <v>45722</v>
      </c>
      <c r="L436" t="s">
        <v>8</v>
      </c>
      <c r="M436" t="s">
        <v>1204</v>
      </c>
      <c r="N436" t="s">
        <v>10</v>
      </c>
      <c r="O436" t="s">
        <v>11</v>
      </c>
      <c r="P436" t="s">
        <v>12</v>
      </c>
      <c r="Q436" t="s">
        <v>24</v>
      </c>
      <c r="R436" t="s">
        <v>14</v>
      </c>
      <c r="S436" s="3">
        <v>17.350000000000001</v>
      </c>
      <c r="T436" t="s">
        <v>15</v>
      </c>
      <c r="U436" s="3">
        <v>1504.09</v>
      </c>
      <c r="V436" t="s">
        <v>16</v>
      </c>
      <c r="W436" t="s">
        <v>17</v>
      </c>
      <c r="X436" t="s">
        <v>12</v>
      </c>
      <c r="Y436" t="s">
        <v>8</v>
      </c>
      <c r="Z436" t="s">
        <v>18</v>
      </c>
      <c r="AA436" t="s">
        <v>1200</v>
      </c>
      <c r="AB436" t="s">
        <v>12</v>
      </c>
      <c r="AC436" t="s">
        <v>12</v>
      </c>
      <c r="AD436" t="s">
        <v>12</v>
      </c>
      <c r="AE436" s="2">
        <v>45722</v>
      </c>
      <c r="AF436" s="2"/>
      <c r="AG436" t="s">
        <v>12</v>
      </c>
    </row>
    <row r="437" spans="1:33" outlineLevel="2" x14ac:dyDescent="0.25">
      <c r="A437" t="s">
        <v>129</v>
      </c>
      <c r="B437" t="s">
        <v>1</v>
      </c>
      <c r="C437" t="s">
        <v>2</v>
      </c>
      <c r="D437" t="s">
        <v>3</v>
      </c>
      <c r="E437" t="s">
        <v>4</v>
      </c>
      <c r="F437" t="s">
        <v>243</v>
      </c>
      <c r="G437" s="2">
        <v>45722</v>
      </c>
      <c r="H437" t="s">
        <v>1205</v>
      </c>
      <c r="I437" t="s">
        <v>22</v>
      </c>
      <c r="J437" s="2">
        <v>45722</v>
      </c>
      <c r="K437" s="2">
        <v>45722</v>
      </c>
      <c r="L437" t="s">
        <v>8</v>
      </c>
      <c r="M437" t="s">
        <v>1206</v>
      </c>
      <c r="N437" t="s">
        <v>10</v>
      </c>
      <c r="O437" t="s">
        <v>11</v>
      </c>
      <c r="P437" t="s">
        <v>12</v>
      </c>
      <c r="Q437" t="s">
        <v>24</v>
      </c>
      <c r="R437" t="s">
        <v>14</v>
      </c>
      <c r="S437" s="3">
        <v>33.799999999999997</v>
      </c>
      <c r="T437" t="s">
        <v>15</v>
      </c>
      <c r="U437" s="3">
        <v>2930.16</v>
      </c>
      <c r="V437" t="s">
        <v>16</v>
      </c>
      <c r="W437" t="s">
        <v>17</v>
      </c>
      <c r="X437" t="s">
        <v>12</v>
      </c>
      <c r="Y437" t="s">
        <v>8</v>
      </c>
      <c r="Z437" t="s">
        <v>18</v>
      </c>
      <c r="AA437" t="s">
        <v>1200</v>
      </c>
      <c r="AB437" t="s">
        <v>12</v>
      </c>
      <c r="AC437" t="s">
        <v>12</v>
      </c>
      <c r="AD437" t="s">
        <v>12</v>
      </c>
      <c r="AE437" s="2">
        <v>45722</v>
      </c>
      <c r="AF437" s="2"/>
      <c r="AG437" t="s">
        <v>12</v>
      </c>
    </row>
    <row r="438" spans="1:33" outlineLevel="2" x14ac:dyDescent="0.25">
      <c r="A438" t="s">
        <v>129</v>
      </c>
      <c r="B438" t="s">
        <v>1</v>
      </c>
      <c r="C438" t="s">
        <v>2</v>
      </c>
      <c r="D438" t="s">
        <v>3</v>
      </c>
      <c r="E438" t="s">
        <v>4</v>
      </c>
      <c r="F438" t="s">
        <v>243</v>
      </c>
      <c r="G438" s="2">
        <v>45722</v>
      </c>
      <c r="H438" t="s">
        <v>1207</v>
      </c>
      <c r="I438" t="s">
        <v>22</v>
      </c>
      <c r="J438" s="2">
        <v>45722</v>
      </c>
      <c r="K438" s="2">
        <v>45722</v>
      </c>
      <c r="L438" t="s">
        <v>8</v>
      </c>
      <c r="M438" t="s">
        <v>1208</v>
      </c>
      <c r="N438" t="s">
        <v>10</v>
      </c>
      <c r="O438" t="s">
        <v>11</v>
      </c>
      <c r="P438" t="s">
        <v>12</v>
      </c>
      <c r="Q438" t="s">
        <v>24</v>
      </c>
      <c r="R438" t="s">
        <v>14</v>
      </c>
      <c r="S438" s="3">
        <v>4.7</v>
      </c>
      <c r="T438" t="s">
        <v>15</v>
      </c>
      <c r="U438" s="3">
        <v>407.45</v>
      </c>
      <c r="V438" t="s">
        <v>16</v>
      </c>
      <c r="W438" t="s">
        <v>17</v>
      </c>
      <c r="X438" t="s">
        <v>12</v>
      </c>
      <c r="Y438" t="s">
        <v>8</v>
      </c>
      <c r="Z438" t="s">
        <v>18</v>
      </c>
      <c r="AA438" t="s">
        <v>1200</v>
      </c>
      <c r="AB438" t="s">
        <v>12</v>
      </c>
      <c r="AC438" t="s">
        <v>12</v>
      </c>
      <c r="AD438" t="s">
        <v>12</v>
      </c>
      <c r="AE438" s="2">
        <v>45722</v>
      </c>
      <c r="AF438" s="2"/>
      <c r="AG438" t="s">
        <v>12</v>
      </c>
    </row>
    <row r="439" spans="1:33" outlineLevel="2" x14ac:dyDescent="0.25">
      <c r="A439" t="s">
        <v>129</v>
      </c>
      <c r="B439" t="s">
        <v>1</v>
      </c>
      <c r="C439" t="s">
        <v>2</v>
      </c>
      <c r="D439" t="s">
        <v>3</v>
      </c>
      <c r="E439" t="s">
        <v>4</v>
      </c>
      <c r="F439" t="s">
        <v>243</v>
      </c>
      <c r="G439" s="2">
        <v>45722</v>
      </c>
      <c r="H439" t="s">
        <v>1209</v>
      </c>
      <c r="I439" t="s">
        <v>22</v>
      </c>
      <c r="J439" s="2">
        <v>45722</v>
      </c>
      <c r="K439" s="2">
        <v>45723</v>
      </c>
      <c r="L439" t="s">
        <v>8</v>
      </c>
      <c r="M439" t="s">
        <v>1210</v>
      </c>
      <c r="N439" t="s">
        <v>10</v>
      </c>
      <c r="O439" t="s">
        <v>11</v>
      </c>
      <c r="P439" t="s">
        <v>12</v>
      </c>
      <c r="Q439" t="s">
        <v>24</v>
      </c>
      <c r="R439" t="s">
        <v>14</v>
      </c>
      <c r="S439" s="3">
        <v>23.5</v>
      </c>
      <c r="T439" t="s">
        <v>15</v>
      </c>
      <c r="U439" s="3">
        <v>2037.24</v>
      </c>
      <c r="V439" t="s">
        <v>16</v>
      </c>
      <c r="W439" t="s">
        <v>17</v>
      </c>
      <c r="X439" t="s">
        <v>12</v>
      </c>
      <c r="Y439" t="s">
        <v>8</v>
      </c>
      <c r="Z439" t="s">
        <v>18</v>
      </c>
      <c r="AA439" t="s">
        <v>1211</v>
      </c>
      <c r="AB439" t="s">
        <v>12</v>
      </c>
      <c r="AC439" t="s">
        <v>12</v>
      </c>
      <c r="AD439" t="s">
        <v>12</v>
      </c>
      <c r="AE439" s="2">
        <v>45722</v>
      </c>
      <c r="AF439" s="2"/>
      <c r="AG439" t="s">
        <v>12</v>
      </c>
    </row>
    <row r="440" spans="1:33" outlineLevel="2" x14ac:dyDescent="0.25">
      <c r="A440" t="s">
        <v>129</v>
      </c>
      <c r="B440" t="s">
        <v>1</v>
      </c>
      <c r="C440" t="s">
        <v>2</v>
      </c>
      <c r="D440" t="s">
        <v>3</v>
      </c>
      <c r="E440" t="s">
        <v>4</v>
      </c>
      <c r="F440" t="s">
        <v>243</v>
      </c>
      <c r="G440" s="2">
        <v>45722</v>
      </c>
      <c r="H440" t="s">
        <v>1212</v>
      </c>
      <c r="I440" t="s">
        <v>22</v>
      </c>
      <c r="J440" s="2">
        <v>45722</v>
      </c>
      <c r="K440" s="2">
        <v>45723</v>
      </c>
      <c r="L440" t="s">
        <v>8</v>
      </c>
      <c r="M440" t="s">
        <v>1213</v>
      </c>
      <c r="N440" t="s">
        <v>10</v>
      </c>
      <c r="O440" t="s">
        <v>11</v>
      </c>
      <c r="P440" t="s">
        <v>12</v>
      </c>
      <c r="Q440" t="s">
        <v>24</v>
      </c>
      <c r="R440" t="s">
        <v>14</v>
      </c>
      <c r="S440" s="3">
        <v>17.350000000000001</v>
      </c>
      <c r="T440" t="s">
        <v>15</v>
      </c>
      <c r="U440" s="3">
        <v>1504.09</v>
      </c>
      <c r="V440" t="s">
        <v>16</v>
      </c>
      <c r="W440" t="s">
        <v>17</v>
      </c>
      <c r="X440" t="s">
        <v>12</v>
      </c>
      <c r="Y440" t="s">
        <v>8</v>
      </c>
      <c r="Z440" t="s">
        <v>18</v>
      </c>
      <c r="AA440" t="s">
        <v>1211</v>
      </c>
      <c r="AB440" t="s">
        <v>12</v>
      </c>
      <c r="AC440" t="s">
        <v>12</v>
      </c>
      <c r="AD440" t="s">
        <v>12</v>
      </c>
      <c r="AE440" s="2">
        <v>45722</v>
      </c>
      <c r="AF440" s="2"/>
      <c r="AG440" t="s">
        <v>12</v>
      </c>
    </row>
    <row r="441" spans="1:33" outlineLevel="2" x14ac:dyDescent="0.25">
      <c r="A441" t="s">
        <v>129</v>
      </c>
      <c r="B441" t="s">
        <v>1</v>
      </c>
      <c r="C441" t="s">
        <v>2</v>
      </c>
      <c r="D441" t="s">
        <v>3</v>
      </c>
      <c r="E441" t="s">
        <v>4</v>
      </c>
      <c r="F441" t="s">
        <v>243</v>
      </c>
      <c r="G441" s="2">
        <v>45722</v>
      </c>
      <c r="H441" t="s">
        <v>1214</v>
      </c>
      <c r="I441" t="s">
        <v>22</v>
      </c>
      <c r="J441" s="2">
        <v>45722</v>
      </c>
      <c r="K441" s="2">
        <v>45723</v>
      </c>
      <c r="L441" t="s">
        <v>8</v>
      </c>
      <c r="M441" t="s">
        <v>1215</v>
      </c>
      <c r="N441" t="s">
        <v>10</v>
      </c>
      <c r="O441" t="s">
        <v>11</v>
      </c>
      <c r="P441" t="s">
        <v>12</v>
      </c>
      <c r="Q441" t="s">
        <v>24</v>
      </c>
      <c r="R441" t="s">
        <v>14</v>
      </c>
      <c r="S441" s="3">
        <v>4.7</v>
      </c>
      <c r="T441" t="s">
        <v>15</v>
      </c>
      <c r="U441" s="3">
        <v>407.45</v>
      </c>
      <c r="V441" t="s">
        <v>16</v>
      </c>
      <c r="W441" t="s">
        <v>17</v>
      </c>
      <c r="X441" t="s">
        <v>12</v>
      </c>
      <c r="Y441" t="s">
        <v>8</v>
      </c>
      <c r="Z441" t="s">
        <v>18</v>
      </c>
      <c r="AA441" t="s">
        <v>1211</v>
      </c>
      <c r="AB441" t="s">
        <v>12</v>
      </c>
      <c r="AC441" t="s">
        <v>12</v>
      </c>
      <c r="AD441" t="s">
        <v>12</v>
      </c>
      <c r="AE441" s="2">
        <v>45722</v>
      </c>
      <c r="AF441" s="2"/>
      <c r="AG441" t="s">
        <v>12</v>
      </c>
    </row>
    <row r="442" spans="1:33" outlineLevel="2" x14ac:dyDescent="0.25">
      <c r="A442" t="s">
        <v>129</v>
      </c>
      <c r="B442" t="s">
        <v>1</v>
      </c>
      <c r="C442" t="s">
        <v>2</v>
      </c>
      <c r="D442" t="s">
        <v>3</v>
      </c>
      <c r="E442" t="s">
        <v>4</v>
      </c>
      <c r="F442" t="s">
        <v>243</v>
      </c>
      <c r="G442" s="2">
        <v>45722</v>
      </c>
      <c r="H442" t="s">
        <v>1216</v>
      </c>
      <c r="I442" t="s">
        <v>22</v>
      </c>
      <c r="J442" s="2">
        <v>45722</v>
      </c>
      <c r="K442" s="2">
        <v>45723</v>
      </c>
      <c r="L442" t="s">
        <v>8</v>
      </c>
      <c r="M442" t="s">
        <v>1217</v>
      </c>
      <c r="N442" t="s">
        <v>10</v>
      </c>
      <c r="O442" t="s">
        <v>11</v>
      </c>
      <c r="P442" t="s">
        <v>12</v>
      </c>
      <c r="Q442" t="s">
        <v>24</v>
      </c>
      <c r="R442" t="s">
        <v>14</v>
      </c>
      <c r="S442" s="3">
        <v>24.4</v>
      </c>
      <c r="T442" t="s">
        <v>15</v>
      </c>
      <c r="U442" s="3">
        <v>2115.27</v>
      </c>
      <c r="V442" t="s">
        <v>16</v>
      </c>
      <c r="W442" t="s">
        <v>17</v>
      </c>
      <c r="X442" t="s">
        <v>12</v>
      </c>
      <c r="Y442" t="s">
        <v>8</v>
      </c>
      <c r="Z442" t="s">
        <v>18</v>
      </c>
      <c r="AA442" t="s">
        <v>1211</v>
      </c>
      <c r="AB442" t="s">
        <v>12</v>
      </c>
      <c r="AC442" t="s">
        <v>12</v>
      </c>
      <c r="AD442" t="s">
        <v>12</v>
      </c>
      <c r="AE442" s="2">
        <v>45722</v>
      </c>
      <c r="AF442" s="2"/>
      <c r="AG442" t="s">
        <v>12</v>
      </c>
    </row>
    <row r="443" spans="1:33" outlineLevel="2" x14ac:dyDescent="0.25">
      <c r="A443" t="s">
        <v>129</v>
      </c>
      <c r="B443" t="s">
        <v>1</v>
      </c>
      <c r="C443" t="s">
        <v>2</v>
      </c>
      <c r="D443" t="s">
        <v>3</v>
      </c>
      <c r="E443" t="s">
        <v>4</v>
      </c>
      <c r="F443" t="s">
        <v>243</v>
      </c>
      <c r="G443" s="2">
        <v>45722</v>
      </c>
      <c r="H443" t="s">
        <v>1218</v>
      </c>
      <c r="I443" t="s">
        <v>22</v>
      </c>
      <c r="J443" s="2">
        <v>45722</v>
      </c>
      <c r="K443" s="2">
        <v>45723</v>
      </c>
      <c r="L443" t="s">
        <v>8</v>
      </c>
      <c r="M443" t="s">
        <v>1219</v>
      </c>
      <c r="N443" t="s">
        <v>10</v>
      </c>
      <c r="O443" t="s">
        <v>11</v>
      </c>
      <c r="P443" t="s">
        <v>12</v>
      </c>
      <c r="Q443" t="s">
        <v>24</v>
      </c>
      <c r="R443" t="s">
        <v>14</v>
      </c>
      <c r="S443" s="3">
        <v>54.05</v>
      </c>
      <c r="T443" t="s">
        <v>15</v>
      </c>
      <c r="U443" s="3">
        <v>4685.66</v>
      </c>
      <c r="V443" t="s">
        <v>16</v>
      </c>
      <c r="W443" t="s">
        <v>17</v>
      </c>
      <c r="X443" t="s">
        <v>12</v>
      </c>
      <c r="Y443" t="s">
        <v>8</v>
      </c>
      <c r="Z443" t="s">
        <v>18</v>
      </c>
      <c r="AA443" t="s">
        <v>1211</v>
      </c>
      <c r="AB443" t="s">
        <v>12</v>
      </c>
      <c r="AC443" t="s">
        <v>12</v>
      </c>
      <c r="AD443" t="s">
        <v>12</v>
      </c>
      <c r="AE443" s="2">
        <v>45722</v>
      </c>
      <c r="AF443" s="2"/>
      <c r="AG443" t="s">
        <v>12</v>
      </c>
    </row>
    <row r="444" spans="1:33" outlineLevel="2" x14ac:dyDescent="0.25">
      <c r="A444" t="s">
        <v>129</v>
      </c>
      <c r="B444" t="s">
        <v>1</v>
      </c>
      <c r="C444" t="s">
        <v>2</v>
      </c>
      <c r="D444" t="s">
        <v>3</v>
      </c>
      <c r="E444" t="s">
        <v>4</v>
      </c>
      <c r="F444" t="s">
        <v>243</v>
      </c>
      <c r="G444" s="2">
        <v>45722</v>
      </c>
      <c r="H444" t="s">
        <v>1220</v>
      </c>
      <c r="I444" t="s">
        <v>22</v>
      </c>
      <c r="J444" s="2">
        <v>45722</v>
      </c>
      <c r="K444" s="2">
        <v>45723</v>
      </c>
      <c r="L444" t="s">
        <v>8</v>
      </c>
      <c r="M444" t="s">
        <v>1221</v>
      </c>
      <c r="N444" t="s">
        <v>10</v>
      </c>
      <c r="O444" t="s">
        <v>11</v>
      </c>
      <c r="P444" t="s">
        <v>12</v>
      </c>
      <c r="Q444" t="s">
        <v>24</v>
      </c>
      <c r="R444" t="s">
        <v>14</v>
      </c>
      <c r="S444" s="3">
        <v>17.350000000000001</v>
      </c>
      <c r="T444" t="s">
        <v>15</v>
      </c>
      <c r="U444" s="3">
        <v>1504.09</v>
      </c>
      <c r="V444" t="s">
        <v>16</v>
      </c>
      <c r="W444" t="s">
        <v>17</v>
      </c>
      <c r="X444" t="s">
        <v>12</v>
      </c>
      <c r="Y444" t="s">
        <v>8</v>
      </c>
      <c r="Z444" t="s">
        <v>18</v>
      </c>
      <c r="AA444" t="s">
        <v>1211</v>
      </c>
      <c r="AB444" t="s">
        <v>12</v>
      </c>
      <c r="AC444" t="s">
        <v>12</v>
      </c>
      <c r="AD444" t="s">
        <v>12</v>
      </c>
      <c r="AE444" s="2">
        <v>45722</v>
      </c>
      <c r="AF444" s="2"/>
      <c r="AG444" t="s">
        <v>12</v>
      </c>
    </row>
    <row r="445" spans="1:33" outlineLevel="2" x14ac:dyDescent="0.25">
      <c r="A445" t="s">
        <v>129</v>
      </c>
      <c r="B445" t="s">
        <v>1</v>
      </c>
      <c r="C445" t="s">
        <v>2</v>
      </c>
      <c r="D445" t="s">
        <v>3</v>
      </c>
      <c r="E445" t="s">
        <v>4</v>
      </c>
      <c r="F445" t="s">
        <v>243</v>
      </c>
      <c r="G445" s="2">
        <v>45722</v>
      </c>
      <c r="H445" t="s">
        <v>1222</v>
      </c>
      <c r="I445" t="s">
        <v>22</v>
      </c>
      <c r="J445" s="2">
        <v>45722</v>
      </c>
      <c r="K445" s="2">
        <v>45723</v>
      </c>
      <c r="L445" t="s">
        <v>8</v>
      </c>
      <c r="M445" t="s">
        <v>1223</v>
      </c>
      <c r="N445" t="s">
        <v>10</v>
      </c>
      <c r="O445" t="s">
        <v>11</v>
      </c>
      <c r="P445" t="s">
        <v>12</v>
      </c>
      <c r="Q445" t="s">
        <v>24</v>
      </c>
      <c r="R445" t="s">
        <v>14</v>
      </c>
      <c r="S445" s="3">
        <v>23.5</v>
      </c>
      <c r="T445" t="s">
        <v>15</v>
      </c>
      <c r="U445" s="3">
        <v>2037.24</v>
      </c>
      <c r="V445" t="s">
        <v>16</v>
      </c>
      <c r="W445" t="s">
        <v>17</v>
      </c>
      <c r="X445" t="s">
        <v>12</v>
      </c>
      <c r="Y445" t="s">
        <v>8</v>
      </c>
      <c r="Z445" t="s">
        <v>18</v>
      </c>
      <c r="AA445" t="s">
        <v>1224</v>
      </c>
      <c r="AB445" t="s">
        <v>12</v>
      </c>
      <c r="AC445" t="s">
        <v>12</v>
      </c>
      <c r="AD445" t="s">
        <v>12</v>
      </c>
      <c r="AE445" s="2">
        <v>45722</v>
      </c>
      <c r="AF445" s="2"/>
      <c r="AG445" t="s">
        <v>12</v>
      </c>
    </row>
    <row r="446" spans="1:33" outlineLevel="2" x14ac:dyDescent="0.25">
      <c r="A446" t="s">
        <v>129</v>
      </c>
      <c r="B446" t="s">
        <v>1</v>
      </c>
      <c r="C446" t="s">
        <v>2</v>
      </c>
      <c r="D446" t="s">
        <v>3</v>
      </c>
      <c r="E446" t="s">
        <v>4</v>
      </c>
      <c r="F446" t="s">
        <v>243</v>
      </c>
      <c r="G446" s="2">
        <v>45722</v>
      </c>
      <c r="H446" t="s">
        <v>1225</v>
      </c>
      <c r="I446" t="s">
        <v>22</v>
      </c>
      <c r="J446" s="2">
        <v>45722</v>
      </c>
      <c r="K446" s="2">
        <v>45723</v>
      </c>
      <c r="L446" t="s">
        <v>8</v>
      </c>
      <c r="M446" t="s">
        <v>1226</v>
      </c>
      <c r="N446" t="s">
        <v>10</v>
      </c>
      <c r="O446" t="s">
        <v>11</v>
      </c>
      <c r="P446" t="s">
        <v>12</v>
      </c>
      <c r="Q446" t="s">
        <v>24</v>
      </c>
      <c r="R446" t="s">
        <v>14</v>
      </c>
      <c r="S446" s="3">
        <v>23.5</v>
      </c>
      <c r="T446" t="s">
        <v>15</v>
      </c>
      <c r="U446" s="3">
        <v>2037.24</v>
      </c>
      <c r="V446" t="s">
        <v>16</v>
      </c>
      <c r="W446" t="s">
        <v>17</v>
      </c>
      <c r="X446" t="s">
        <v>12</v>
      </c>
      <c r="Y446" t="s">
        <v>8</v>
      </c>
      <c r="Z446" t="s">
        <v>18</v>
      </c>
      <c r="AA446" t="s">
        <v>1224</v>
      </c>
      <c r="AB446" t="s">
        <v>12</v>
      </c>
      <c r="AC446" t="s">
        <v>12</v>
      </c>
      <c r="AD446" t="s">
        <v>12</v>
      </c>
      <c r="AE446" s="2">
        <v>45722</v>
      </c>
      <c r="AF446" s="2"/>
      <c r="AG446" t="s">
        <v>12</v>
      </c>
    </row>
    <row r="447" spans="1:33" outlineLevel="2" x14ac:dyDescent="0.25">
      <c r="A447" t="s">
        <v>129</v>
      </c>
      <c r="B447" t="s">
        <v>1</v>
      </c>
      <c r="C447" t="s">
        <v>2</v>
      </c>
      <c r="D447" t="s">
        <v>3</v>
      </c>
      <c r="E447" t="s">
        <v>4</v>
      </c>
      <c r="F447" t="s">
        <v>243</v>
      </c>
      <c r="G447" s="2">
        <v>45722</v>
      </c>
      <c r="H447" t="s">
        <v>1227</v>
      </c>
      <c r="I447" t="s">
        <v>22</v>
      </c>
      <c r="J447" s="2">
        <v>45722</v>
      </c>
      <c r="K447" s="2">
        <v>45723</v>
      </c>
      <c r="L447" t="s">
        <v>8</v>
      </c>
      <c r="M447" t="s">
        <v>1228</v>
      </c>
      <c r="N447" t="s">
        <v>10</v>
      </c>
      <c r="O447" t="s">
        <v>11</v>
      </c>
      <c r="P447" t="s">
        <v>12</v>
      </c>
      <c r="Q447" t="s">
        <v>24</v>
      </c>
      <c r="R447" t="s">
        <v>14</v>
      </c>
      <c r="S447" s="3">
        <v>23.5</v>
      </c>
      <c r="T447" t="s">
        <v>15</v>
      </c>
      <c r="U447" s="3">
        <v>2037.24</v>
      </c>
      <c r="V447" t="s">
        <v>16</v>
      </c>
      <c r="W447" t="s">
        <v>17</v>
      </c>
      <c r="X447" t="s">
        <v>12</v>
      </c>
      <c r="Y447" t="s">
        <v>8</v>
      </c>
      <c r="Z447" t="s">
        <v>18</v>
      </c>
      <c r="AA447" t="s">
        <v>1224</v>
      </c>
      <c r="AB447" t="s">
        <v>12</v>
      </c>
      <c r="AC447" t="s">
        <v>12</v>
      </c>
      <c r="AD447" t="s">
        <v>12</v>
      </c>
      <c r="AE447" s="2">
        <v>45722</v>
      </c>
      <c r="AF447" s="2"/>
      <c r="AG447" t="s">
        <v>12</v>
      </c>
    </row>
    <row r="448" spans="1:33" outlineLevel="2" x14ac:dyDescent="0.25">
      <c r="A448" t="s">
        <v>129</v>
      </c>
      <c r="B448" t="s">
        <v>1</v>
      </c>
      <c r="C448" t="s">
        <v>2</v>
      </c>
      <c r="D448" t="s">
        <v>3</v>
      </c>
      <c r="E448" t="s">
        <v>4</v>
      </c>
      <c r="F448" t="s">
        <v>243</v>
      </c>
      <c r="G448" s="2">
        <v>45722</v>
      </c>
      <c r="H448" t="s">
        <v>1229</v>
      </c>
      <c r="I448" t="s">
        <v>22</v>
      </c>
      <c r="J448" s="2">
        <v>45722</v>
      </c>
      <c r="K448" s="2">
        <v>45723</v>
      </c>
      <c r="L448" t="s">
        <v>8</v>
      </c>
      <c r="M448" t="s">
        <v>1230</v>
      </c>
      <c r="N448" t="s">
        <v>10</v>
      </c>
      <c r="O448" t="s">
        <v>11</v>
      </c>
      <c r="P448" t="s">
        <v>12</v>
      </c>
      <c r="Q448" t="s">
        <v>24</v>
      </c>
      <c r="R448" t="s">
        <v>14</v>
      </c>
      <c r="S448" s="3">
        <v>23.5</v>
      </c>
      <c r="T448" t="s">
        <v>15</v>
      </c>
      <c r="U448" s="3">
        <v>2037.24</v>
      </c>
      <c r="V448" t="s">
        <v>16</v>
      </c>
      <c r="W448" t="s">
        <v>17</v>
      </c>
      <c r="X448" t="s">
        <v>12</v>
      </c>
      <c r="Y448" t="s">
        <v>8</v>
      </c>
      <c r="Z448" t="s">
        <v>18</v>
      </c>
      <c r="AA448" t="s">
        <v>1224</v>
      </c>
      <c r="AB448" t="s">
        <v>12</v>
      </c>
      <c r="AC448" t="s">
        <v>12</v>
      </c>
      <c r="AD448" t="s">
        <v>12</v>
      </c>
      <c r="AE448" s="2">
        <v>45722</v>
      </c>
      <c r="AF448" s="2"/>
      <c r="AG448" t="s">
        <v>12</v>
      </c>
    </row>
    <row r="449" spans="1:33" outlineLevel="2" x14ac:dyDescent="0.25">
      <c r="A449" t="s">
        <v>129</v>
      </c>
      <c r="B449" t="s">
        <v>1</v>
      </c>
      <c r="C449" t="s">
        <v>2</v>
      </c>
      <c r="D449" t="s">
        <v>3</v>
      </c>
      <c r="E449" t="s">
        <v>4</v>
      </c>
      <c r="F449" t="s">
        <v>243</v>
      </c>
      <c r="G449" s="2">
        <v>45722</v>
      </c>
      <c r="H449" t="s">
        <v>1231</v>
      </c>
      <c r="I449" t="s">
        <v>22</v>
      </c>
      <c r="J449" s="2">
        <v>45722</v>
      </c>
      <c r="K449" s="2">
        <v>45723</v>
      </c>
      <c r="L449" t="s">
        <v>8</v>
      </c>
      <c r="M449" t="s">
        <v>1232</v>
      </c>
      <c r="N449" t="s">
        <v>10</v>
      </c>
      <c r="O449" t="s">
        <v>11</v>
      </c>
      <c r="P449" t="s">
        <v>12</v>
      </c>
      <c r="Q449" t="s">
        <v>24</v>
      </c>
      <c r="R449" t="s">
        <v>14</v>
      </c>
      <c r="S449" s="3">
        <v>23.5</v>
      </c>
      <c r="T449" t="s">
        <v>15</v>
      </c>
      <c r="U449" s="3">
        <v>2037.24</v>
      </c>
      <c r="V449" t="s">
        <v>16</v>
      </c>
      <c r="W449" t="s">
        <v>17</v>
      </c>
      <c r="X449" t="s">
        <v>12</v>
      </c>
      <c r="Y449" t="s">
        <v>8</v>
      </c>
      <c r="Z449" t="s">
        <v>18</v>
      </c>
      <c r="AA449" t="s">
        <v>1224</v>
      </c>
      <c r="AB449" t="s">
        <v>12</v>
      </c>
      <c r="AC449" t="s">
        <v>12</v>
      </c>
      <c r="AD449" t="s">
        <v>12</v>
      </c>
      <c r="AE449" s="2">
        <v>45722</v>
      </c>
      <c r="AF449" s="2"/>
      <c r="AG449" t="s">
        <v>12</v>
      </c>
    </row>
    <row r="450" spans="1:33" outlineLevel="2" x14ac:dyDescent="0.25">
      <c r="A450" t="s">
        <v>129</v>
      </c>
      <c r="B450" t="s">
        <v>1</v>
      </c>
      <c r="C450" t="s">
        <v>2</v>
      </c>
      <c r="D450" t="s">
        <v>3</v>
      </c>
      <c r="E450" t="s">
        <v>4</v>
      </c>
      <c r="F450" t="s">
        <v>243</v>
      </c>
      <c r="G450" s="2">
        <v>45722</v>
      </c>
      <c r="H450" t="s">
        <v>1233</v>
      </c>
      <c r="I450" t="s">
        <v>22</v>
      </c>
      <c r="J450" s="2">
        <v>45722</v>
      </c>
      <c r="K450" s="2">
        <v>45723</v>
      </c>
      <c r="L450" t="s">
        <v>8</v>
      </c>
      <c r="M450" t="s">
        <v>1234</v>
      </c>
      <c r="N450" t="s">
        <v>10</v>
      </c>
      <c r="O450" t="s">
        <v>11</v>
      </c>
      <c r="P450" t="s">
        <v>12</v>
      </c>
      <c r="Q450" t="s">
        <v>24</v>
      </c>
      <c r="R450" t="s">
        <v>14</v>
      </c>
      <c r="S450" s="3">
        <v>42.3</v>
      </c>
      <c r="T450" t="s">
        <v>15</v>
      </c>
      <c r="U450" s="3">
        <v>3667.04</v>
      </c>
      <c r="V450" t="s">
        <v>16</v>
      </c>
      <c r="W450" t="s">
        <v>17</v>
      </c>
      <c r="X450" t="s">
        <v>12</v>
      </c>
      <c r="Y450" t="s">
        <v>8</v>
      </c>
      <c r="Z450" t="s">
        <v>18</v>
      </c>
      <c r="AA450" t="s">
        <v>624</v>
      </c>
      <c r="AB450" t="s">
        <v>12</v>
      </c>
      <c r="AC450" t="s">
        <v>12</v>
      </c>
      <c r="AD450" t="s">
        <v>12</v>
      </c>
      <c r="AE450" s="2">
        <v>45722</v>
      </c>
      <c r="AF450" s="2"/>
      <c r="AG450" t="s">
        <v>12</v>
      </c>
    </row>
    <row r="451" spans="1:33" outlineLevel="2" x14ac:dyDescent="0.25">
      <c r="A451" t="s">
        <v>129</v>
      </c>
      <c r="B451" t="s">
        <v>1</v>
      </c>
      <c r="C451" t="s">
        <v>2</v>
      </c>
      <c r="D451" t="s">
        <v>3</v>
      </c>
      <c r="E451" t="s">
        <v>4</v>
      </c>
      <c r="F451" t="s">
        <v>243</v>
      </c>
      <c r="G451" s="2">
        <v>45722</v>
      </c>
      <c r="H451" t="s">
        <v>1235</v>
      </c>
      <c r="I451" t="s">
        <v>22</v>
      </c>
      <c r="J451" s="2">
        <v>45722</v>
      </c>
      <c r="K451" s="2">
        <v>45723</v>
      </c>
      <c r="L451" t="s">
        <v>8</v>
      </c>
      <c r="M451" t="s">
        <v>1236</v>
      </c>
      <c r="N451" t="s">
        <v>10</v>
      </c>
      <c r="O451" t="s">
        <v>11</v>
      </c>
      <c r="P451" t="s">
        <v>12</v>
      </c>
      <c r="Q451" t="s">
        <v>24</v>
      </c>
      <c r="R451" t="s">
        <v>14</v>
      </c>
      <c r="S451" s="3">
        <v>169.2</v>
      </c>
      <c r="T451" t="s">
        <v>15</v>
      </c>
      <c r="U451" s="3">
        <v>14668.16</v>
      </c>
      <c r="V451" t="s">
        <v>16</v>
      </c>
      <c r="W451" t="s">
        <v>17</v>
      </c>
      <c r="X451" t="s">
        <v>12</v>
      </c>
      <c r="Y451" t="s">
        <v>8</v>
      </c>
      <c r="Z451" t="s">
        <v>18</v>
      </c>
      <c r="AA451" t="s">
        <v>624</v>
      </c>
      <c r="AB451" t="s">
        <v>12</v>
      </c>
      <c r="AC451" t="s">
        <v>12</v>
      </c>
      <c r="AD451" t="s">
        <v>12</v>
      </c>
      <c r="AE451" s="2">
        <v>45722</v>
      </c>
      <c r="AF451" s="2"/>
      <c r="AG451" t="s">
        <v>12</v>
      </c>
    </row>
    <row r="452" spans="1:33" outlineLevel="2" x14ac:dyDescent="0.25">
      <c r="A452" t="s">
        <v>129</v>
      </c>
      <c r="B452" t="s">
        <v>1</v>
      </c>
      <c r="C452" t="s">
        <v>2</v>
      </c>
      <c r="D452" t="s">
        <v>3</v>
      </c>
      <c r="E452" t="s">
        <v>4</v>
      </c>
      <c r="F452" t="s">
        <v>243</v>
      </c>
      <c r="G452" s="2">
        <v>45722</v>
      </c>
      <c r="H452" t="s">
        <v>1237</v>
      </c>
      <c r="I452" t="s">
        <v>22</v>
      </c>
      <c r="J452" s="2">
        <v>45722</v>
      </c>
      <c r="K452" s="2">
        <v>45723</v>
      </c>
      <c r="L452" t="s">
        <v>8</v>
      </c>
      <c r="M452" t="s">
        <v>1238</v>
      </c>
      <c r="N452" t="s">
        <v>10</v>
      </c>
      <c r="O452" t="s">
        <v>11</v>
      </c>
      <c r="P452" t="s">
        <v>12</v>
      </c>
      <c r="Q452" t="s">
        <v>24</v>
      </c>
      <c r="R452" t="s">
        <v>14</v>
      </c>
      <c r="S452" s="3">
        <v>19.7</v>
      </c>
      <c r="T452" t="s">
        <v>15</v>
      </c>
      <c r="U452" s="3">
        <v>1707.82</v>
      </c>
      <c r="V452" t="s">
        <v>16</v>
      </c>
      <c r="W452" t="s">
        <v>17</v>
      </c>
      <c r="X452" t="s">
        <v>12</v>
      </c>
      <c r="Y452" t="s">
        <v>8</v>
      </c>
      <c r="Z452" t="s">
        <v>18</v>
      </c>
      <c r="AA452" t="s">
        <v>624</v>
      </c>
      <c r="AB452" t="s">
        <v>12</v>
      </c>
      <c r="AC452" t="s">
        <v>12</v>
      </c>
      <c r="AD452" t="s">
        <v>12</v>
      </c>
      <c r="AE452" s="2">
        <v>45722</v>
      </c>
      <c r="AF452" s="2"/>
      <c r="AG452" t="s">
        <v>12</v>
      </c>
    </row>
    <row r="453" spans="1:33" outlineLevel="2" x14ac:dyDescent="0.25">
      <c r="A453" t="s">
        <v>129</v>
      </c>
      <c r="B453" t="s">
        <v>1</v>
      </c>
      <c r="C453" t="s">
        <v>2</v>
      </c>
      <c r="D453" t="s">
        <v>3</v>
      </c>
      <c r="E453" t="s">
        <v>4</v>
      </c>
      <c r="F453" t="s">
        <v>243</v>
      </c>
      <c r="G453" s="2">
        <v>45719</v>
      </c>
      <c r="H453" t="s">
        <v>1239</v>
      </c>
      <c r="I453" t="s">
        <v>22</v>
      </c>
      <c r="J453" s="2">
        <v>45719</v>
      </c>
      <c r="K453" s="2">
        <v>45719</v>
      </c>
      <c r="L453" t="s">
        <v>8</v>
      </c>
      <c r="M453" t="s">
        <v>1240</v>
      </c>
      <c r="N453" t="s">
        <v>10</v>
      </c>
      <c r="O453" t="s">
        <v>11</v>
      </c>
      <c r="P453" t="s">
        <v>12</v>
      </c>
      <c r="Q453" t="s">
        <v>24</v>
      </c>
      <c r="R453" t="s">
        <v>14</v>
      </c>
      <c r="S453" s="3">
        <v>5862.04</v>
      </c>
      <c r="T453" t="s">
        <v>15</v>
      </c>
      <c r="U453" s="3">
        <v>508187.63</v>
      </c>
      <c r="V453" t="s">
        <v>16</v>
      </c>
      <c r="W453" t="s">
        <v>17</v>
      </c>
      <c r="X453" t="s">
        <v>12</v>
      </c>
      <c r="Y453" t="s">
        <v>8</v>
      </c>
      <c r="Z453" t="s">
        <v>18</v>
      </c>
      <c r="AA453" t="s">
        <v>1241</v>
      </c>
      <c r="AB453" t="s">
        <v>12</v>
      </c>
      <c r="AC453" t="s">
        <v>12</v>
      </c>
      <c r="AD453" t="s">
        <v>12</v>
      </c>
      <c r="AE453" s="2">
        <v>45719</v>
      </c>
      <c r="AF453" s="2"/>
      <c r="AG453" t="s">
        <v>12</v>
      </c>
    </row>
    <row r="454" spans="1:33" outlineLevel="2" x14ac:dyDescent="0.25">
      <c r="A454" t="s">
        <v>129</v>
      </c>
      <c r="B454" t="s">
        <v>1</v>
      </c>
      <c r="C454" t="s">
        <v>2</v>
      </c>
      <c r="D454" t="s">
        <v>3</v>
      </c>
      <c r="E454" t="s">
        <v>4</v>
      </c>
      <c r="F454" t="s">
        <v>243</v>
      </c>
      <c r="G454" s="2">
        <v>45719</v>
      </c>
      <c r="H454" t="s">
        <v>1242</v>
      </c>
      <c r="I454" t="s">
        <v>22</v>
      </c>
      <c r="J454" s="2">
        <v>45719</v>
      </c>
      <c r="K454" s="2">
        <v>45719</v>
      </c>
      <c r="L454" t="s">
        <v>8</v>
      </c>
      <c r="M454" t="s">
        <v>1243</v>
      </c>
      <c r="N454" t="s">
        <v>10</v>
      </c>
      <c r="O454" t="s">
        <v>11</v>
      </c>
      <c r="P454" t="s">
        <v>12</v>
      </c>
      <c r="Q454" t="s">
        <v>24</v>
      </c>
      <c r="R454" t="s">
        <v>14</v>
      </c>
      <c r="S454" s="3">
        <v>2.35</v>
      </c>
      <c r="T454" t="s">
        <v>15</v>
      </c>
      <c r="U454" s="3">
        <v>203.72</v>
      </c>
      <c r="V454" t="s">
        <v>16</v>
      </c>
      <c r="W454" t="s">
        <v>17</v>
      </c>
      <c r="X454" t="s">
        <v>12</v>
      </c>
      <c r="Y454" t="s">
        <v>8</v>
      </c>
      <c r="Z454" t="s">
        <v>18</v>
      </c>
      <c r="AA454" t="s">
        <v>1244</v>
      </c>
      <c r="AB454" t="s">
        <v>12</v>
      </c>
      <c r="AC454" t="s">
        <v>12</v>
      </c>
      <c r="AD454" t="s">
        <v>12</v>
      </c>
      <c r="AE454" s="2">
        <v>45719</v>
      </c>
      <c r="AF454" s="2"/>
      <c r="AG454" t="s">
        <v>12</v>
      </c>
    </row>
    <row r="455" spans="1:33" outlineLevel="2" x14ac:dyDescent="0.25">
      <c r="A455" t="s">
        <v>129</v>
      </c>
      <c r="B455" t="s">
        <v>1</v>
      </c>
      <c r="C455" t="s">
        <v>2</v>
      </c>
      <c r="D455" t="s">
        <v>3</v>
      </c>
      <c r="E455" t="s">
        <v>4</v>
      </c>
      <c r="F455" t="s">
        <v>243</v>
      </c>
      <c r="G455" s="2">
        <v>45719</v>
      </c>
      <c r="H455" t="s">
        <v>1245</v>
      </c>
      <c r="I455" t="s">
        <v>22</v>
      </c>
      <c r="J455" s="2">
        <v>45719</v>
      </c>
      <c r="K455" s="2">
        <v>45719</v>
      </c>
      <c r="L455" t="s">
        <v>8</v>
      </c>
      <c r="M455" t="s">
        <v>1246</v>
      </c>
      <c r="N455" t="s">
        <v>10</v>
      </c>
      <c r="O455" t="s">
        <v>11</v>
      </c>
      <c r="P455" t="s">
        <v>12</v>
      </c>
      <c r="Q455" t="s">
        <v>24</v>
      </c>
      <c r="R455" t="s">
        <v>14</v>
      </c>
      <c r="S455" s="3">
        <v>7394.09</v>
      </c>
      <c r="T455" t="s">
        <v>15</v>
      </c>
      <c r="U455" s="3">
        <v>641002.98</v>
      </c>
      <c r="V455" t="s">
        <v>16</v>
      </c>
      <c r="W455" t="s">
        <v>17</v>
      </c>
      <c r="X455" t="s">
        <v>12</v>
      </c>
      <c r="Y455" t="s">
        <v>8</v>
      </c>
      <c r="Z455" t="s">
        <v>18</v>
      </c>
      <c r="AA455" t="s">
        <v>1247</v>
      </c>
      <c r="AB455" t="s">
        <v>12</v>
      </c>
      <c r="AC455" t="s">
        <v>12</v>
      </c>
      <c r="AD455" t="s">
        <v>12</v>
      </c>
      <c r="AE455" s="2">
        <v>45719</v>
      </c>
      <c r="AF455" s="2"/>
      <c r="AG455" t="s">
        <v>12</v>
      </c>
    </row>
    <row r="456" spans="1:33" outlineLevel="2" x14ac:dyDescent="0.25">
      <c r="A456" t="s">
        <v>129</v>
      </c>
      <c r="B456" t="s">
        <v>1</v>
      </c>
      <c r="C456" t="s">
        <v>2</v>
      </c>
      <c r="D456" t="s">
        <v>3</v>
      </c>
      <c r="E456" t="s">
        <v>4</v>
      </c>
      <c r="F456" t="s">
        <v>243</v>
      </c>
      <c r="G456" s="2">
        <v>45719</v>
      </c>
      <c r="H456" t="s">
        <v>1248</v>
      </c>
      <c r="I456" t="s">
        <v>22</v>
      </c>
      <c r="J456" s="2">
        <v>45719</v>
      </c>
      <c r="K456" s="2">
        <v>45719</v>
      </c>
      <c r="L456" t="s">
        <v>8</v>
      </c>
      <c r="M456" t="s">
        <v>1249</v>
      </c>
      <c r="N456" t="s">
        <v>10</v>
      </c>
      <c r="O456" t="s">
        <v>11</v>
      </c>
      <c r="P456" t="s">
        <v>12</v>
      </c>
      <c r="Q456" t="s">
        <v>24</v>
      </c>
      <c r="R456" t="s">
        <v>14</v>
      </c>
      <c r="S456" s="3">
        <v>4332.22</v>
      </c>
      <c r="T456" t="s">
        <v>15</v>
      </c>
      <c r="U456" s="3">
        <v>375565.61</v>
      </c>
      <c r="V456" t="s">
        <v>16</v>
      </c>
      <c r="W456" t="s">
        <v>17</v>
      </c>
      <c r="X456" t="s">
        <v>12</v>
      </c>
      <c r="Y456" t="s">
        <v>8</v>
      </c>
      <c r="Z456" t="s">
        <v>18</v>
      </c>
      <c r="AA456" t="s">
        <v>1250</v>
      </c>
      <c r="AB456" t="s">
        <v>12</v>
      </c>
      <c r="AC456" t="s">
        <v>12</v>
      </c>
      <c r="AD456" t="s">
        <v>12</v>
      </c>
      <c r="AE456" s="2">
        <v>45719</v>
      </c>
      <c r="AF456" s="2"/>
      <c r="AG456" t="s">
        <v>12</v>
      </c>
    </row>
    <row r="457" spans="1:33" outlineLevel="2" x14ac:dyDescent="0.25">
      <c r="A457" t="s">
        <v>129</v>
      </c>
      <c r="B457" t="s">
        <v>1</v>
      </c>
      <c r="C457" t="s">
        <v>2</v>
      </c>
      <c r="D457" t="s">
        <v>3</v>
      </c>
      <c r="E457" t="s">
        <v>4</v>
      </c>
      <c r="F457" t="s">
        <v>243</v>
      </c>
      <c r="G457" s="2">
        <v>45719</v>
      </c>
      <c r="H457" t="s">
        <v>1251</v>
      </c>
      <c r="I457" t="s">
        <v>22</v>
      </c>
      <c r="J457" s="2">
        <v>45719</v>
      </c>
      <c r="K457" s="2">
        <v>45719</v>
      </c>
      <c r="L457" t="s">
        <v>8</v>
      </c>
      <c r="M457" t="s">
        <v>1252</v>
      </c>
      <c r="N457" t="s">
        <v>10</v>
      </c>
      <c r="O457" t="s">
        <v>11</v>
      </c>
      <c r="P457" t="s">
        <v>12</v>
      </c>
      <c r="Q457" t="s">
        <v>24</v>
      </c>
      <c r="R457" t="s">
        <v>14</v>
      </c>
      <c r="S457" s="3">
        <v>2.35</v>
      </c>
      <c r="T457" t="s">
        <v>15</v>
      </c>
      <c r="U457" s="3">
        <v>203.72</v>
      </c>
      <c r="V457" t="s">
        <v>16</v>
      </c>
      <c r="W457" t="s">
        <v>17</v>
      </c>
      <c r="X457" t="s">
        <v>12</v>
      </c>
      <c r="Y457" t="s">
        <v>8</v>
      </c>
      <c r="Z457" t="s">
        <v>18</v>
      </c>
      <c r="AA457" t="s">
        <v>1244</v>
      </c>
      <c r="AB457" t="s">
        <v>12</v>
      </c>
      <c r="AC457" t="s">
        <v>12</v>
      </c>
      <c r="AD457" t="s">
        <v>12</v>
      </c>
      <c r="AE457" s="2">
        <v>45719</v>
      </c>
      <c r="AF457" s="2"/>
      <c r="AG457" t="s">
        <v>12</v>
      </c>
    </row>
    <row r="458" spans="1:33" outlineLevel="2" x14ac:dyDescent="0.25">
      <c r="A458" t="s">
        <v>129</v>
      </c>
      <c r="B458" t="s">
        <v>1</v>
      </c>
      <c r="C458" t="s">
        <v>2</v>
      </c>
      <c r="D458" t="s">
        <v>3</v>
      </c>
      <c r="E458" t="s">
        <v>4</v>
      </c>
      <c r="F458" t="s">
        <v>243</v>
      </c>
      <c r="G458" s="2">
        <v>45719</v>
      </c>
      <c r="H458" t="s">
        <v>1253</v>
      </c>
      <c r="I458" t="s">
        <v>22</v>
      </c>
      <c r="J458" s="2">
        <v>45719</v>
      </c>
      <c r="K458" s="2">
        <v>45719</v>
      </c>
      <c r="L458" t="s">
        <v>8</v>
      </c>
      <c r="M458" t="s">
        <v>1254</v>
      </c>
      <c r="N458" t="s">
        <v>10</v>
      </c>
      <c r="O458" t="s">
        <v>11</v>
      </c>
      <c r="P458" t="s">
        <v>12</v>
      </c>
      <c r="Q458" t="s">
        <v>24</v>
      </c>
      <c r="R458" t="s">
        <v>14</v>
      </c>
      <c r="S458" s="3">
        <v>23.5</v>
      </c>
      <c r="T458" t="s">
        <v>15</v>
      </c>
      <c r="U458" s="3">
        <v>2037.24</v>
      </c>
      <c r="V458" t="s">
        <v>16</v>
      </c>
      <c r="W458" t="s">
        <v>17</v>
      </c>
      <c r="X458" t="s">
        <v>12</v>
      </c>
      <c r="Y458" t="s">
        <v>8</v>
      </c>
      <c r="Z458" t="s">
        <v>18</v>
      </c>
      <c r="AA458" t="s">
        <v>1244</v>
      </c>
      <c r="AB458" t="s">
        <v>12</v>
      </c>
      <c r="AC458" t="s">
        <v>12</v>
      </c>
      <c r="AD458" t="s">
        <v>12</v>
      </c>
      <c r="AE458" s="2">
        <v>45719</v>
      </c>
      <c r="AF458" s="2"/>
      <c r="AG458" t="s">
        <v>12</v>
      </c>
    </row>
    <row r="459" spans="1:33" outlineLevel="2" x14ac:dyDescent="0.25">
      <c r="A459" t="s">
        <v>129</v>
      </c>
      <c r="B459" t="s">
        <v>1</v>
      </c>
      <c r="C459" t="s">
        <v>2</v>
      </c>
      <c r="D459" t="s">
        <v>3</v>
      </c>
      <c r="E459" t="s">
        <v>4</v>
      </c>
      <c r="F459" t="s">
        <v>243</v>
      </c>
      <c r="G459" s="2">
        <v>45719</v>
      </c>
      <c r="H459" t="s">
        <v>1255</v>
      </c>
      <c r="I459" t="s">
        <v>22</v>
      </c>
      <c r="J459" s="2">
        <v>45719</v>
      </c>
      <c r="K459" s="2">
        <v>45719</v>
      </c>
      <c r="L459" t="s">
        <v>8</v>
      </c>
      <c r="M459" t="s">
        <v>1256</v>
      </c>
      <c r="N459" t="s">
        <v>10</v>
      </c>
      <c r="O459" t="s">
        <v>11</v>
      </c>
      <c r="P459" t="s">
        <v>12</v>
      </c>
      <c r="Q459" t="s">
        <v>24</v>
      </c>
      <c r="R459" t="s">
        <v>14</v>
      </c>
      <c r="S459" s="3">
        <v>2.35</v>
      </c>
      <c r="T459" t="s">
        <v>15</v>
      </c>
      <c r="U459" s="3">
        <v>203.72</v>
      </c>
      <c r="V459" t="s">
        <v>16</v>
      </c>
      <c r="W459" t="s">
        <v>17</v>
      </c>
      <c r="X459" t="s">
        <v>12</v>
      </c>
      <c r="Y459" t="s">
        <v>8</v>
      </c>
      <c r="Z459" t="s">
        <v>18</v>
      </c>
      <c r="AA459" t="s">
        <v>1244</v>
      </c>
      <c r="AB459" t="s">
        <v>12</v>
      </c>
      <c r="AC459" t="s">
        <v>12</v>
      </c>
      <c r="AD459" t="s">
        <v>12</v>
      </c>
      <c r="AE459" s="2">
        <v>45719</v>
      </c>
      <c r="AF459" s="2"/>
      <c r="AG459" t="s">
        <v>12</v>
      </c>
    </row>
    <row r="460" spans="1:33" outlineLevel="2" x14ac:dyDescent="0.25">
      <c r="A460" t="s">
        <v>129</v>
      </c>
      <c r="B460" t="s">
        <v>1</v>
      </c>
      <c r="C460" t="s">
        <v>2</v>
      </c>
      <c r="D460" t="s">
        <v>3</v>
      </c>
      <c r="E460" t="s">
        <v>4</v>
      </c>
      <c r="F460" t="s">
        <v>243</v>
      </c>
      <c r="G460" s="2">
        <v>45719</v>
      </c>
      <c r="H460" t="s">
        <v>1257</v>
      </c>
      <c r="I460" t="s">
        <v>22</v>
      </c>
      <c r="J460" s="2">
        <v>45719</v>
      </c>
      <c r="K460" s="2">
        <v>45719</v>
      </c>
      <c r="L460" t="s">
        <v>8</v>
      </c>
      <c r="M460" t="s">
        <v>1258</v>
      </c>
      <c r="N460" t="s">
        <v>10</v>
      </c>
      <c r="O460" t="s">
        <v>11</v>
      </c>
      <c r="P460" t="s">
        <v>12</v>
      </c>
      <c r="Q460" t="s">
        <v>24</v>
      </c>
      <c r="R460" t="s">
        <v>14</v>
      </c>
      <c r="S460" s="3">
        <v>2.35</v>
      </c>
      <c r="T460" t="s">
        <v>15</v>
      </c>
      <c r="U460" s="3">
        <v>203.72</v>
      </c>
      <c r="V460" t="s">
        <v>16</v>
      </c>
      <c r="W460" t="s">
        <v>17</v>
      </c>
      <c r="X460" t="s">
        <v>12</v>
      </c>
      <c r="Y460" t="s">
        <v>8</v>
      </c>
      <c r="Z460" t="s">
        <v>18</v>
      </c>
      <c r="AA460" t="s">
        <v>1244</v>
      </c>
      <c r="AB460" t="s">
        <v>12</v>
      </c>
      <c r="AC460" t="s">
        <v>12</v>
      </c>
      <c r="AD460" t="s">
        <v>12</v>
      </c>
      <c r="AE460" s="2">
        <v>45719</v>
      </c>
      <c r="AF460" s="2"/>
      <c r="AG460" t="s">
        <v>12</v>
      </c>
    </row>
    <row r="461" spans="1:33" outlineLevel="2" x14ac:dyDescent="0.25">
      <c r="A461" t="s">
        <v>129</v>
      </c>
      <c r="B461" t="s">
        <v>1</v>
      </c>
      <c r="C461" t="s">
        <v>2</v>
      </c>
      <c r="D461" t="s">
        <v>3</v>
      </c>
      <c r="E461" t="s">
        <v>4</v>
      </c>
      <c r="F461" t="s">
        <v>243</v>
      </c>
      <c r="G461" s="2">
        <v>45719</v>
      </c>
      <c r="H461" t="s">
        <v>1259</v>
      </c>
      <c r="I461" t="s">
        <v>22</v>
      </c>
      <c r="J461" s="2">
        <v>45719</v>
      </c>
      <c r="K461" s="2">
        <v>45719</v>
      </c>
      <c r="L461" t="s">
        <v>8</v>
      </c>
      <c r="M461" t="s">
        <v>1260</v>
      </c>
      <c r="N461" t="s">
        <v>10</v>
      </c>
      <c r="O461" t="s">
        <v>11</v>
      </c>
      <c r="P461" t="s">
        <v>12</v>
      </c>
      <c r="Q461" t="s">
        <v>24</v>
      </c>
      <c r="R461" t="s">
        <v>14</v>
      </c>
      <c r="S461" s="3">
        <v>2.35</v>
      </c>
      <c r="T461" t="s">
        <v>15</v>
      </c>
      <c r="U461" s="3">
        <v>203.72</v>
      </c>
      <c r="V461" t="s">
        <v>16</v>
      </c>
      <c r="W461" t="s">
        <v>17</v>
      </c>
      <c r="X461" t="s">
        <v>12</v>
      </c>
      <c r="Y461" t="s">
        <v>8</v>
      </c>
      <c r="Z461" t="s">
        <v>18</v>
      </c>
      <c r="AA461" t="s">
        <v>1244</v>
      </c>
      <c r="AB461" t="s">
        <v>12</v>
      </c>
      <c r="AC461" t="s">
        <v>12</v>
      </c>
      <c r="AD461" t="s">
        <v>12</v>
      </c>
      <c r="AE461" s="2">
        <v>45719</v>
      </c>
      <c r="AF461" s="2"/>
      <c r="AG461" t="s">
        <v>12</v>
      </c>
    </row>
    <row r="462" spans="1:33" outlineLevel="2" x14ac:dyDescent="0.25">
      <c r="A462" t="s">
        <v>129</v>
      </c>
      <c r="B462" t="s">
        <v>1</v>
      </c>
      <c r="C462" t="s">
        <v>2</v>
      </c>
      <c r="D462" t="s">
        <v>3</v>
      </c>
      <c r="E462" t="s">
        <v>4</v>
      </c>
      <c r="F462" t="s">
        <v>243</v>
      </c>
      <c r="G462" s="2">
        <v>45719</v>
      </c>
      <c r="H462" t="s">
        <v>1261</v>
      </c>
      <c r="I462" t="s">
        <v>22</v>
      </c>
      <c r="J462" s="2">
        <v>45719</v>
      </c>
      <c r="K462" s="2">
        <v>45719</v>
      </c>
      <c r="L462" t="s">
        <v>8</v>
      </c>
      <c r="M462" t="s">
        <v>1262</v>
      </c>
      <c r="N462" t="s">
        <v>10</v>
      </c>
      <c r="O462" t="s">
        <v>11</v>
      </c>
      <c r="P462" t="s">
        <v>12</v>
      </c>
      <c r="Q462" t="s">
        <v>24</v>
      </c>
      <c r="R462" t="s">
        <v>14</v>
      </c>
      <c r="S462" s="3">
        <v>9.4</v>
      </c>
      <c r="T462" t="s">
        <v>15</v>
      </c>
      <c r="U462" s="3">
        <v>814.9</v>
      </c>
      <c r="V462" t="s">
        <v>16</v>
      </c>
      <c r="W462" t="s">
        <v>17</v>
      </c>
      <c r="X462" t="s">
        <v>12</v>
      </c>
      <c r="Y462" t="s">
        <v>8</v>
      </c>
      <c r="Z462" t="s">
        <v>18</v>
      </c>
      <c r="AA462" t="s">
        <v>1244</v>
      </c>
      <c r="AB462" t="s">
        <v>12</v>
      </c>
      <c r="AC462" t="s">
        <v>12</v>
      </c>
      <c r="AD462" t="s">
        <v>12</v>
      </c>
      <c r="AE462" s="2">
        <v>45719</v>
      </c>
      <c r="AF462" s="2"/>
      <c r="AG462" t="s">
        <v>12</v>
      </c>
    </row>
    <row r="463" spans="1:33" outlineLevel="2" x14ac:dyDescent="0.25">
      <c r="A463" t="s">
        <v>129</v>
      </c>
      <c r="B463" t="s">
        <v>1</v>
      </c>
      <c r="C463" t="s">
        <v>2</v>
      </c>
      <c r="D463" t="s">
        <v>3</v>
      </c>
      <c r="E463" t="s">
        <v>4</v>
      </c>
      <c r="F463" t="s">
        <v>243</v>
      </c>
      <c r="G463" s="2">
        <v>45719</v>
      </c>
      <c r="H463" t="s">
        <v>1263</v>
      </c>
      <c r="I463" t="s">
        <v>22</v>
      </c>
      <c r="J463" s="2">
        <v>45719</v>
      </c>
      <c r="K463" s="2">
        <v>45719</v>
      </c>
      <c r="L463" t="s">
        <v>8</v>
      </c>
      <c r="M463" t="s">
        <v>1264</v>
      </c>
      <c r="N463" t="s">
        <v>10</v>
      </c>
      <c r="O463" t="s">
        <v>11</v>
      </c>
      <c r="P463" t="s">
        <v>12</v>
      </c>
      <c r="Q463" t="s">
        <v>24</v>
      </c>
      <c r="R463" t="s">
        <v>14</v>
      </c>
      <c r="S463" s="3">
        <v>2.35</v>
      </c>
      <c r="T463" t="s">
        <v>15</v>
      </c>
      <c r="U463" s="3">
        <v>203.72</v>
      </c>
      <c r="V463" t="s">
        <v>16</v>
      </c>
      <c r="W463" t="s">
        <v>17</v>
      </c>
      <c r="X463" t="s">
        <v>12</v>
      </c>
      <c r="Y463" t="s">
        <v>8</v>
      </c>
      <c r="Z463" t="s">
        <v>18</v>
      </c>
      <c r="AA463" t="s">
        <v>1244</v>
      </c>
      <c r="AB463" t="s">
        <v>12</v>
      </c>
      <c r="AC463" t="s">
        <v>12</v>
      </c>
      <c r="AD463" t="s">
        <v>12</v>
      </c>
      <c r="AE463" s="2">
        <v>45719</v>
      </c>
      <c r="AF463" s="2"/>
      <c r="AG463" t="s">
        <v>12</v>
      </c>
    </row>
    <row r="464" spans="1:33" outlineLevel="2" x14ac:dyDescent="0.25">
      <c r="A464" t="s">
        <v>129</v>
      </c>
      <c r="B464" t="s">
        <v>1</v>
      </c>
      <c r="C464" t="s">
        <v>2</v>
      </c>
      <c r="D464" t="s">
        <v>3</v>
      </c>
      <c r="E464" t="s">
        <v>4</v>
      </c>
      <c r="F464" t="s">
        <v>243</v>
      </c>
      <c r="G464" s="2">
        <v>45719</v>
      </c>
      <c r="H464" t="s">
        <v>1265</v>
      </c>
      <c r="I464" t="s">
        <v>22</v>
      </c>
      <c r="J464" s="2">
        <v>45719</v>
      </c>
      <c r="K464" s="2">
        <v>45719</v>
      </c>
      <c r="L464" t="s">
        <v>8</v>
      </c>
      <c r="M464" t="s">
        <v>1266</v>
      </c>
      <c r="N464" t="s">
        <v>10</v>
      </c>
      <c r="O464" t="s">
        <v>11</v>
      </c>
      <c r="P464" t="s">
        <v>12</v>
      </c>
      <c r="Q464" t="s">
        <v>24</v>
      </c>
      <c r="R464" t="s">
        <v>14</v>
      </c>
      <c r="S464" s="3">
        <v>18.8</v>
      </c>
      <c r="T464" t="s">
        <v>15</v>
      </c>
      <c r="U464" s="3">
        <v>1629.8</v>
      </c>
      <c r="V464" t="s">
        <v>16</v>
      </c>
      <c r="W464" t="s">
        <v>17</v>
      </c>
      <c r="X464" t="s">
        <v>12</v>
      </c>
      <c r="Y464" t="s">
        <v>8</v>
      </c>
      <c r="Z464" t="s">
        <v>18</v>
      </c>
      <c r="AA464" t="s">
        <v>1244</v>
      </c>
      <c r="AB464" t="s">
        <v>12</v>
      </c>
      <c r="AC464" t="s">
        <v>12</v>
      </c>
      <c r="AD464" t="s">
        <v>12</v>
      </c>
      <c r="AE464" s="2">
        <v>45719</v>
      </c>
      <c r="AF464" s="2"/>
      <c r="AG464" t="s">
        <v>12</v>
      </c>
    </row>
    <row r="465" spans="1:33" outlineLevel="2" x14ac:dyDescent="0.25">
      <c r="A465" t="s">
        <v>129</v>
      </c>
      <c r="B465" t="s">
        <v>1</v>
      </c>
      <c r="C465" t="s">
        <v>2</v>
      </c>
      <c r="D465" t="s">
        <v>3</v>
      </c>
      <c r="E465" t="s">
        <v>4</v>
      </c>
      <c r="F465" t="s">
        <v>243</v>
      </c>
      <c r="G465" s="2">
        <v>45719</v>
      </c>
      <c r="H465" t="s">
        <v>1267</v>
      </c>
      <c r="I465" t="s">
        <v>22</v>
      </c>
      <c r="J465" s="2">
        <v>45719</v>
      </c>
      <c r="K465" s="2">
        <v>45719</v>
      </c>
      <c r="L465" t="s">
        <v>8</v>
      </c>
      <c r="M465" t="s">
        <v>1268</v>
      </c>
      <c r="N465" t="s">
        <v>10</v>
      </c>
      <c r="O465" t="s">
        <v>11</v>
      </c>
      <c r="P465" t="s">
        <v>12</v>
      </c>
      <c r="Q465" t="s">
        <v>24</v>
      </c>
      <c r="R465" t="s">
        <v>14</v>
      </c>
      <c r="S465" s="3">
        <v>23.5</v>
      </c>
      <c r="T465" t="s">
        <v>15</v>
      </c>
      <c r="U465" s="3">
        <v>2037.24</v>
      </c>
      <c r="V465" t="s">
        <v>16</v>
      </c>
      <c r="W465" t="s">
        <v>17</v>
      </c>
      <c r="X465" t="s">
        <v>12</v>
      </c>
      <c r="Y465" t="s">
        <v>8</v>
      </c>
      <c r="Z465" t="s">
        <v>18</v>
      </c>
      <c r="AA465" t="s">
        <v>1244</v>
      </c>
      <c r="AB465" t="s">
        <v>12</v>
      </c>
      <c r="AC465" t="s">
        <v>12</v>
      </c>
      <c r="AD465" t="s">
        <v>12</v>
      </c>
      <c r="AE465" s="2">
        <v>45719</v>
      </c>
      <c r="AF465" s="2"/>
      <c r="AG465" t="s">
        <v>12</v>
      </c>
    </row>
    <row r="466" spans="1:33" outlineLevel="2" x14ac:dyDescent="0.25">
      <c r="A466" t="s">
        <v>129</v>
      </c>
      <c r="B466" t="s">
        <v>1</v>
      </c>
      <c r="C466" t="s">
        <v>2</v>
      </c>
      <c r="D466" t="s">
        <v>3</v>
      </c>
      <c r="E466" t="s">
        <v>4</v>
      </c>
      <c r="F466" t="s">
        <v>243</v>
      </c>
      <c r="G466" s="2">
        <v>45719</v>
      </c>
      <c r="H466" t="s">
        <v>1269</v>
      </c>
      <c r="I466" t="s">
        <v>22</v>
      </c>
      <c r="J466" s="2">
        <v>45719</v>
      </c>
      <c r="K466" s="2">
        <v>45719</v>
      </c>
      <c r="L466" t="s">
        <v>8</v>
      </c>
      <c r="M466" t="s">
        <v>1270</v>
      </c>
      <c r="N466" t="s">
        <v>10</v>
      </c>
      <c r="O466" t="s">
        <v>11</v>
      </c>
      <c r="P466" t="s">
        <v>12</v>
      </c>
      <c r="Q466" t="s">
        <v>24</v>
      </c>
      <c r="R466" t="s">
        <v>14</v>
      </c>
      <c r="S466" s="3">
        <v>9.4</v>
      </c>
      <c r="T466" t="s">
        <v>15</v>
      </c>
      <c r="U466" s="3">
        <v>814.9</v>
      </c>
      <c r="V466" t="s">
        <v>16</v>
      </c>
      <c r="W466" t="s">
        <v>17</v>
      </c>
      <c r="X466" t="s">
        <v>12</v>
      </c>
      <c r="Y466" t="s">
        <v>8</v>
      </c>
      <c r="Z466" t="s">
        <v>18</v>
      </c>
      <c r="AA466" t="s">
        <v>1244</v>
      </c>
      <c r="AB466" t="s">
        <v>12</v>
      </c>
      <c r="AC466" t="s">
        <v>12</v>
      </c>
      <c r="AD466" t="s">
        <v>12</v>
      </c>
      <c r="AE466" s="2">
        <v>45719</v>
      </c>
      <c r="AF466" s="2"/>
      <c r="AG466" t="s">
        <v>12</v>
      </c>
    </row>
    <row r="467" spans="1:33" outlineLevel="2" x14ac:dyDescent="0.25">
      <c r="A467" t="s">
        <v>129</v>
      </c>
      <c r="B467" t="s">
        <v>1</v>
      </c>
      <c r="C467" t="s">
        <v>2</v>
      </c>
      <c r="D467" t="s">
        <v>3</v>
      </c>
      <c r="E467" t="s">
        <v>4</v>
      </c>
      <c r="F467" t="s">
        <v>243</v>
      </c>
      <c r="G467" s="2">
        <v>45719</v>
      </c>
      <c r="H467" t="s">
        <v>1271</v>
      </c>
      <c r="I467" t="s">
        <v>22</v>
      </c>
      <c r="J467" s="2">
        <v>45719</v>
      </c>
      <c r="K467" s="2">
        <v>45719</v>
      </c>
      <c r="L467" t="s">
        <v>8</v>
      </c>
      <c r="M467" t="s">
        <v>1272</v>
      </c>
      <c r="N467" t="s">
        <v>10</v>
      </c>
      <c r="O467" t="s">
        <v>11</v>
      </c>
      <c r="P467" t="s">
        <v>12</v>
      </c>
      <c r="Q467" t="s">
        <v>24</v>
      </c>
      <c r="R467" t="s">
        <v>14</v>
      </c>
      <c r="S467" s="3">
        <v>7.05</v>
      </c>
      <c r="T467" t="s">
        <v>15</v>
      </c>
      <c r="U467" s="3">
        <v>611.16999999999996</v>
      </c>
      <c r="V467" t="s">
        <v>16</v>
      </c>
      <c r="W467" t="s">
        <v>17</v>
      </c>
      <c r="X467" t="s">
        <v>12</v>
      </c>
      <c r="Y467" t="s">
        <v>8</v>
      </c>
      <c r="Z467" t="s">
        <v>18</v>
      </c>
      <c r="AA467" t="s">
        <v>1244</v>
      </c>
      <c r="AB467" t="s">
        <v>12</v>
      </c>
      <c r="AC467" t="s">
        <v>12</v>
      </c>
      <c r="AD467" t="s">
        <v>12</v>
      </c>
      <c r="AE467" s="2">
        <v>45719</v>
      </c>
      <c r="AF467" s="2"/>
      <c r="AG467" t="s">
        <v>12</v>
      </c>
    </row>
    <row r="468" spans="1:33" outlineLevel="2" x14ac:dyDescent="0.25">
      <c r="A468" t="s">
        <v>129</v>
      </c>
      <c r="B468" t="s">
        <v>1</v>
      </c>
      <c r="C468" t="s">
        <v>2</v>
      </c>
      <c r="D468" t="s">
        <v>3</v>
      </c>
      <c r="E468" t="s">
        <v>4</v>
      </c>
      <c r="F468" t="s">
        <v>243</v>
      </c>
      <c r="G468" s="2">
        <v>45719</v>
      </c>
      <c r="H468" t="s">
        <v>1273</v>
      </c>
      <c r="I468" t="s">
        <v>22</v>
      </c>
      <c r="J468" s="2">
        <v>45719</v>
      </c>
      <c r="K468" s="2">
        <v>45719</v>
      </c>
      <c r="L468" t="s">
        <v>8</v>
      </c>
      <c r="M468" t="s">
        <v>1274</v>
      </c>
      <c r="N468" t="s">
        <v>10</v>
      </c>
      <c r="O468" t="s">
        <v>11</v>
      </c>
      <c r="P468" t="s">
        <v>12</v>
      </c>
      <c r="Q468" t="s">
        <v>24</v>
      </c>
      <c r="R468" t="s">
        <v>14</v>
      </c>
      <c r="S468" s="3">
        <v>4.7</v>
      </c>
      <c r="T468" t="s">
        <v>15</v>
      </c>
      <c r="U468" s="3">
        <v>407.45</v>
      </c>
      <c r="V468" t="s">
        <v>16</v>
      </c>
      <c r="W468" t="s">
        <v>17</v>
      </c>
      <c r="X468" t="s">
        <v>12</v>
      </c>
      <c r="Y468" t="s">
        <v>8</v>
      </c>
      <c r="Z468" t="s">
        <v>18</v>
      </c>
      <c r="AA468" t="s">
        <v>1244</v>
      </c>
      <c r="AB468" t="s">
        <v>12</v>
      </c>
      <c r="AC468" t="s">
        <v>12</v>
      </c>
      <c r="AD468" t="s">
        <v>12</v>
      </c>
      <c r="AE468" s="2">
        <v>45719</v>
      </c>
      <c r="AF468" s="2"/>
      <c r="AG468" t="s">
        <v>12</v>
      </c>
    </row>
    <row r="469" spans="1:33" outlineLevel="2" x14ac:dyDescent="0.25">
      <c r="A469" t="s">
        <v>129</v>
      </c>
      <c r="B469" t="s">
        <v>1</v>
      </c>
      <c r="C469" t="s">
        <v>2</v>
      </c>
      <c r="D469" t="s">
        <v>3</v>
      </c>
      <c r="E469" t="s">
        <v>4</v>
      </c>
      <c r="F469" t="s">
        <v>243</v>
      </c>
      <c r="G469" s="2">
        <v>45719</v>
      </c>
      <c r="H469" t="s">
        <v>1275</v>
      </c>
      <c r="I469" t="s">
        <v>22</v>
      </c>
      <c r="J469" s="2">
        <v>45719</v>
      </c>
      <c r="K469" s="2">
        <v>45719</v>
      </c>
      <c r="L469" t="s">
        <v>8</v>
      </c>
      <c r="M469" t="s">
        <v>1276</v>
      </c>
      <c r="N469" t="s">
        <v>10</v>
      </c>
      <c r="O469" t="s">
        <v>11</v>
      </c>
      <c r="P469" t="s">
        <v>12</v>
      </c>
      <c r="Q469" t="s">
        <v>24</v>
      </c>
      <c r="R469" t="s">
        <v>14</v>
      </c>
      <c r="S469" s="3">
        <v>2.35</v>
      </c>
      <c r="T469" t="s">
        <v>15</v>
      </c>
      <c r="U469" s="3">
        <v>203.72</v>
      </c>
      <c r="V469" t="s">
        <v>16</v>
      </c>
      <c r="W469" t="s">
        <v>17</v>
      </c>
      <c r="X469" t="s">
        <v>12</v>
      </c>
      <c r="Y469" t="s">
        <v>8</v>
      </c>
      <c r="Z469" t="s">
        <v>18</v>
      </c>
      <c r="AA469" t="s">
        <v>1244</v>
      </c>
      <c r="AB469" t="s">
        <v>12</v>
      </c>
      <c r="AC469" t="s">
        <v>12</v>
      </c>
      <c r="AD469" t="s">
        <v>12</v>
      </c>
      <c r="AE469" s="2">
        <v>45719</v>
      </c>
      <c r="AF469" s="2"/>
      <c r="AG469" t="s">
        <v>12</v>
      </c>
    </row>
    <row r="470" spans="1:33" outlineLevel="2" x14ac:dyDescent="0.25">
      <c r="A470" t="s">
        <v>129</v>
      </c>
      <c r="B470" t="s">
        <v>1</v>
      </c>
      <c r="C470" t="s">
        <v>2</v>
      </c>
      <c r="D470" t="s">
        <v>3</v>
      </c>
      <c r="E470" t="s">
        <v>4</v>
      </c>
      <c r="F470" t="s">
        <v>243</v>
      </c>
      <c r="G470" s="2">
        <v>45719</v>
      </c>
      <c r="H470" t="s">
        <v>1277</v>
      </c>
      <c r="I470" t="s">
        <v>22</v>
      </c>
      <c r="J470" s="2">
        <v>45719</v>
      </c>
      <c r="K470" s="2">
        <v>45719</v>
      </c>
      <c r="L470" t="s">
        <v>8</v>
      </c>
      <c r="M470" t="s">
        <v>1278</v>
      </c>
      <c r="N470" t="s">
        <v>10</v>
      </c>
      <c r="O470" t="s">
        <v>11</v>
      </c>
      <c r="P470" t="s">
        <v>12</v>
      </c>
      <c r="Q470" t="s">
        <v>24</v>
      </c>
      <c r="R470" t="s">
        <v>14</v>
      </c>
      <c r="S470" s="3">
        <v>2.35</v>
      </c>
      <c r="T470" t="s">
        <v>15</v>
      </c>
      <c r="U470" s="3">
        <v>203.72</v>
      </c>
      <c r="V470" t="s">
        <v>16</v>
      </c>
      <c r="W470" t="s">
        <v>17</v>
      </c>
      <c r="X470" t="s">
        <v>12</v>
      </c>
      <c r="Y470" t="s">
        <v>8</v>
      </c>
      <c r="Z470" t="s">
        <v>18</v>
      </c>
      <c r="AA470" t="s">
        <v>1244</v>
      </c>
      <c r="AB470" t="s">
        <v>12</v>
      </c>
      <c r="AC470" t="s">
        <v>12</v>
      </c>
      <c r="AD470" t="s">
        <v>12</v>
      </c>
      <c r="AE470" s="2">
        <v>45719</v>
      </c>
      <c r="AF470" s="2"/>
      <c r="AG470" t="s">
        <v>12</v>
      </c>
    </row>
    <row r="471" spans="1:33" outlineLevel="2" x14ac:dyDescent="0.25">
      <c r="A471" t="s">
        <v>129</v>
      </c>
      <c r="B471" t="s">
        <v>1</v>
      </c>
      <c r="C471" t="s">
        <v>2</v>
      </c>
      <c r="D471" t="s">
        <v>3</v>
      </c>
      <c r="E471" t="s">
        <v>4</v>
      </c>
      <c r="F471" t="s">
        <v>243</v>
      </c>
      <c r="G471" s="2">
        <v>45719</v>
      </c>
      <c r="H471" t="s">
        <v>1279</v>
      </c>
      <c r="I471" t="s">
        <v>22</v>
      </c>
      <c r="J471" s="2">
        <v>45719</v>
      </c>
      <c r="K471" s="2">
        <v>45720</v>
      </c>
      <c r="L471" t="s">
        <v>8</v>
      </c>
      <c r="M471" t="s">
        <v>1280</v>
      </c>
      <c r="N471" t="s">
        <v>10</v>
      </c>
      <c r="O471" t="s">
        <v>11</v>
      </c>
      <c r="P471" t="s">
        <v>12</v>
      </c>
      <c r="Q471" t="s">
        <v>24</v>
      </c>
      <c r="R471" t="s">
        <v>14</v>
      </c>
      <c r="S471" s="3">
        <v>23.5</v>
      </c>
      <c r="T471" t="s">
        <v>15</v>
      </c>
      <c r="U471" s="3">
        <v>2037.24</v>
      </c>
      <c r="V471" t="s">
        <v>16</v>
      </c>
      <c r="W471" t="s">
        <v>17</v>
      </c>
      <c r="X471" t="s">
        <v>12</v>
      </c>
      <c r="Y471" t="s">
        <v>8</v>
      </c>
      <c r="Z471" t="s">
        <v>18</v>
      </c>
      <c r="AA471" t="s">
        <v>1056</v>
      </c>
      <c r="AB471" t="s">
        <v>12</v>
      </c>
      <c r="AC471" t="s">
        <v>12</v>
      </c>
      <c r="AD471" t="s">
        <v>12</v>
      </c>
      <c r="AE471" s="2">
        <v>45719</v>
      </c>
      <c r="AF471" s="2"/>
      <c r="AG471" t="s">
        <v>12</v>
      </c>
    </row>
    <row r="472" spans="1:33" outlineLevel="2" x14ac:dyDescent="0.25">
      <c r="A472" t="s">
        <v>129</v>
      </c>
      <c r="B472" t="s">
        <v>1</v>
      </c>
      <c r="C472" t="s">
        <v>2</v>
      </c>
      <c r="D472" t="s">
        <v>3</v>
      </c>
      <c r="E472" t="s">
        <v>4</v>
      </c>
      <c r="F472" t="s">
        <v>243</v>
      </c>
      <c r="G472" s="2">
        <v>45719</v>
      </c>
      <c r="H472" t="s">
        <v>1281</v>
      </c>
      <c r="I472" t="s">
        <v>22</v>
      </c>
      <c r="J472" s="2">
        <v>45719</v>
      </c>
      <c r="K472" s="2">
        <v>45720</v>
      </c>
      <c r="L472" t="s">
        <v>8</v>
      </c>
      <c r="M472" t="s">
        <v>1282</v>
      </c>
      <c r="N472" t="s">
        <v>10</v>
      </c>
      <c r="O472" t="s">
        <v>11</v>
      </c>
      <c r="P472" t="s">
        <v>12</v>
      </c>
      <c r="Q472" t="s">
        <v>24</v>
      </c>
      <c r="R472" t="s">
        <v>14</v>
      </c>
      <c r="S472" s="3">
        <v>4.7</v>
      </c>
      <c r="T472" t="s">
        <v>15</v>
      </c>
      <c r="U472" s="3">
        <v>407.45</v>
      </c>
      <c r="V472" t="s">
        <v>16</v>
      </c>
      <c r="W472" t="s">
        <v>17</v>
      </c>
      <c r="X472" t="s">
        <v>12</v>
      </c>
      <c r="Y472" t="s">
        <v>8</v>
      </c>
      <c r="Z472" t="s">
        <v>18</v>
      </c>
      <c r="AA472" t="s">
        <v>1056</v>
      </c>
      <c r="AB472" t="s">
        <v>12</v>
      </c>
      <c r="AC472" t="s">
        <v>12</v>
      </c>
      <c r="AD472" t="s">
        <v>12</v>
      </c>
      <c r="AE472" s="2">
        <v>45719</v>
      </c>
      <c r="AF472" s="2"/>
      <c r="AG472" t="s">
        <v>12</v>
      </c>
    </row>
    <row r="473" spans="1:33" outlineLevel="2" x14ac:dyDescent="0.25">
      <c r="A473" t="s">
        <v>129</v>
      </c>
      <c r="B473" t="s">
        <v>1</v>
      </c>
      <c r="C473" t="s">
        <v>2</v>
      </c>
      <c r="D473" t="s">
        <v>3</v>
      </c>
      <c r="E473" t="s">
        <v>4</v>
      </c>
      <c r="F473" t="s">
        <v>243</v>
      </c>
      <c r="G473" s="2">
        <v>45719</v>
      </c>
      <c r="H473" t="s">
        <v>1283</v>
      </c>
      <c r="I473" t="s">
        <v>22</v>
      </c>
      <c r="J473" s="2">
        <v>45719</v>
      </c>
      <c r="K473" s="2">
        <v>45720</v>
      </c>
      <c r="L473" t="s">
        <v>8</v>
      </c>
      <c r="M473" t="s">
        <v>1284</v>
      </c>
      <c r="N473" t="s">
        <v>10</v>
      </c>
      <c r="O473" t="s">
        <v>11</v>
      </c>
      <c r="P473" t="s">
        <v>12</v>
      </c>
      <c r="Q473" t="s">
        <v>24</v>
      </c>
      <c r="R473" t="s">
        <v>14</v>
      </c>
      <c r="S473" s="3">
        <v>4.7</v>
      </c>
      <c r="T473" t="s">
        <v>15</v>
      </c>
      <c r="U473" s="3">
        <v>407.45</v>
      </c>
      <c r="V473" t="s">
        <v>16</v>
      </c>
      <c r="W473" t="s">
        <v>17</v>
      </c>
      <c r="X473" t="s">
        <v>12</v>
      </c>
      <c r="Y473" t="s">
        <v>8</v>
      </c>
      <c r="Z473" t="s">
        <v>18</v>
      </c>
      <c r="AA473" t="s">
        <v>1056</v>
      </c>
      <c r="AB473" t="s">
        <v>12</v>
      </c>
      <c r="AC473" t="s">
        <v>12</v>
      </c>
      <c r="AD473" t="s">
        <v>12</v>
      </c>
      <c r="AE473" s="2">
        <v>45719</v>
      </c>
      <c r="AF473" s="2"/>
      <c r="AG473" t="s">
        <v>12</v>
      </c>
    </row>
    <row r="474" spans="1:33" outlineLevel="2" x14ac:dyDescent="0.25">
      <c r="A474" t="s">
        <v>129</v>
      </c>
      <c r="B474" t="s">
        <v>1</v>
      </c>
      <c r="C474" t="s">
        <v>2</v>
      </c>
      <c r="D474" t="s">
        <v>3</v>
      </c>
      <c r="E474" t="s">
        <v>4</v>
      </c>
      <c r="F474" t="s">
        <v>243</v>
      </c>
      <c r="G474" s="2">
        <v>45719</v>
      </c>
      <c r="H474" t="s">
        <v>1285</v>
      </c>
      <c r="I474" t="s">
        <v>22</v>
      </c>
      <c r="J474" s="2">
        <v>45719</v>
      </c>
      <c r="K474" s="2">
        <v>45720</v>
      </c>
      <c r="L474" t="s">
        <v>8</v>
      </c>
      <c r="M474" t="s">
        <v>1286</v>
      </c>
      <c r="N474" t="s">
        <v>10</v>
      </c>
      <c r="O474" t="s">
        <v>11</v>
      </c>
      <c r="P474" t="s">
        <v>12</v>
      </c>
      <c r="Q474" t="s">
        <v>24</v>
      </c>
      <c r="R474" t="s">
        <v>14</v>
      </c>
      <c r="S474" s="3">
        <v>9.4</v>
      </c>
      <c r="T474" t="s">
        <v>15</v>
      </c>
      <c r="U474" s="3">
        <v>814.9</v>
      </c>
      <c r="V474" t="s">
        <v>16</v>
      </c>
      <c r="W474" t="s">
        <v>17</v>
      </c>
      <c r="X474" t="s">
        <v>12</v>
      </c>
      <c r="Y474" t="s">
        <v>8</v>
      </c>
      <c r="Z474" t="s">
        <v>18</v>
      </c>
      <c r="AA474" t="s">
        <v>1056</v>
      </c>
      <c r="AB474" t="s">
        <v>12</v>
      </c>
      <c r="AC474" t="s">
        <v>12</v>
      </c>
      <c r="AD474" t="s">
        <v>12</v>
      </c>
      <c r="AE474" s="2">
        <v>45719</v>
      </c>
      <c r="AF474" s="2"/>
      <c r="AG474" t="s">
        <v>12</v>
      </c>
    </row>
    <row r="475" spans="1:33" outlineLevel="2" x14ac:dyDescent="0.25">
      <c r="A475" t="s">
        <v>129</v>
      </c>
      <c r="B475" t="s">
        <v>1</v>
      </c>
      <c r="C475" t="s">
        <v>2</v>
      </c>
      <c r="D475" t="s">
        <v>3</v>
      </c>
      <c r="E475" t="s">
        <v>4</v>
      </c>
      <c r="F475" t="s">
        <v>243</v>
      </c>
      <c r="G475" s="2">
        <v>45719</v>
      </c>
      <c r="H475" t="s">
        <v>1287</v>
      </c>
      <c r="I475" t="s">
        <v>22</v>
      </c>
      <c r="J475" s="2">
        <v>45719</v>
      </c>
      <c r="K475" s="2">
        <v>45720</v>
      </c>
      <c r="L475" t="s">
        <v>8</v>
      </c>
      <c r="M475" t="s">
        <v>1288</v>
      </c>
      <c r="N475" t="s">
        <v>10</v>
      </c>
      <c r="O475" t="s">
        <v>11</v>
      </c>
      <c r="P475" t="s">
        <v>12</v>
      </c>
      <c r="Q475" t="s">
        <v>24</v>
      </c>
      <c r="R475" t="s">
        <v>14</v>
      </c>
      <c r="S475" s="3">
        <v>37.6</v>
      </c>
      <c r="T475" t="s">
        <v>15</v>
      </c>
      <c r="U475" s="3">
        <v>3259.59</v>
      </c>
      <c r="V475" t="s">
        <v>16</v>
      </c>
      <c r="W475" t="s">
        <v>17</v>
      </c>
      <c r="X475" t="s">
        <v>12</v>
      </c>
      <c r="Y475" t="s">
        <v>8</v>
      </c>
      <c r="Z475" t="s">
        <v>18</v>
      </c>
      <c r="AA475" t="s">
        <v>1056</v>
      </c>
      <c r="AB475" t="s">
        <v>12</v>
      </c>
      <c r="AC475" t="s">
        <v>12</v>
      </c>
      <c r="AD475" t="s">
        <v>12</v>
      </c>
      <c r="AE475" s="2">
        <v>45719</v>
      </c>
      <c r="AF475" s="2"/>
      <c r="AG475" t="s">
        <v>12</v>
      </c>
    </row>
    <row r="476" spans="1:33" outlineLevel="2" x14ac:dyDescent="0.25">
      <c r="A476" t="s">
        <v>129</v>
      </c>
      <c r="B476" t="s">
        <v>1</v>
      </c>
      <c r="C476" t="s">
        <v>2</v>
      </c>
      <c r="D476" t="s">
        <v>3</v>
      </c>
      <c r="E476" t="s">
        <v>4</v>
      </c>
      <c r="F476" t="s">
        <v>243</v>
      </c>
      <c r="G476" s="2">
        <v>45719</v>
      </c>
      <c r="H476" t="s">
        <v>1289</v>
      </c>
      <c r="I476" t="s">
        <v>22</v>
      </c>
      <c r="J476" s="2">
        <v>45719</v>
      </c>
      <c r="K476" s="2">
        <v>45720</v>
      </c>
      <c r="L476" t="s">
        <v>8</v>
      </c>
      <c r="M476" t="s">
        <v>1290</v>
      </c>
      <c r="N476" t="s">
        <v>10</v>
      </c>
      <c r="O476" t="s">
        <v>11</v>
      </c>
      <c r="P476" t="s">
        <v>12</v>
      </c>
      <c r="Q476" t="s">
        <v>24</v>
      </c>
      <c r="R476" t="s">
        <v>14</v>
      </c>
      <c r="S476" s="3">
        <v>2.35</v>
      </c>
      <c r="T476" t="s">
        <v>15</v>
      </c>
      <c r="U476" s="3">
        <v>203.72</v>
      </c>
      <c r="V476" t="s">
        <v>16</v>
      </c>
      <c r="W476" t="s">
        <v>17</v>
      </c>
      <c r="X476" t="s">
        <v>12</v>
      </c>
      <c r="Y476" t="s">
        <v>8</v>
      </c>
      <c r="Z476" t="s">
        <v>18</v>
      </c>
      <c r="AA476" t="s">
        <v>1056</v>
      </c>
      <c r="AB476" t="s">
        <v>12</v>
      </c>
      <c r="AC476" t="s">
        <v>12</v>
      </c>
      <c r="AD476" t="s">
        <v>12</v>
      </c>
      <c r="AE476" s="2">
        <v>45719</v>
      </c>
      <c r="AF476" s="2"/>
      <c r="AG476" t="s">
        <v>12</v>
      </c>
    </row>
    <row r="477" spans="1:33" outlineLevel="2" x14ac:dyDescent="0.25">
      <c r="A477" t="s">
        <v>129</v>
      </c>
      <c r="B477" t="s">
        <v>1</v>
      </c>
      <c r="C477" t="s">
        <v>2</v>
      </c>
      <c r="D477" t="s">
        <v>3</v>
      </c>
      <c r="E477" t="s">
        <v>4</v>
      </c>
      <c r="F477" t="s">
        <v>243</v>
      </c>
      <c r="G477" s="2">
        <v>45719</v>
      </c>
      <c r="H477" t="s">
        <v>1291</v>
      </c>
      <c r="I477" t="s">
        <v>22</v>
      </c>
      <c r="J477" s="2">
        <v>45719</v>
      </c>
      <c r="K477" s="2">
        <v>45720</v>
      </c>
      <c r="L477" t="s">
        <v>8</v>
      </c>
      <c r="M477" t="s">
        <v>1292</v>
      </c>
      <c r="N477" t="s">
        <v>10</v>
      </c>
      <c r="O477" t="s">
        <v>11</v>
      </c>
      <c r="P477" t="s">
        <v>12</v>
      </c>
      <c r="Q477" t="s">
        <v>24</v>
      </c>
      <c r="R477" t="s">
        <v>14</v>
      </c>
      <c r="S477" s="3">
        <v>4.7</v>
      </c>
      <c r="T477" t="s">
        <v>15</v>
      </c>
      <c r="U477" s="3">
        <v>407.45</v>
      </c>
      <c r="V477" t="s">
        <v>16</v>
      </c>
      <c r="W477" t="s">
        <v>17</v>
      </c>
      <c r="X477" t="s">
        <v>12</v>
      </c>
      <c r="Y477" t="s">
        <v>8</v>
      </c>
      <c r="Z477" t="s">
        <v>18</v>
      </c>
      <c r="AA477" t="s">
        <v>1056</v>
      </c>
      <c r="AB477" t="s">
        <v>12</v>
      </c>
      <c r="AC477" t="s">
        <v>12</v>
      </c>
      <c r="AD477" t="s">
        <v>12</v>
      </c>
      <c r="AE477" s="2">
        <v>45719</v>
      </c>
      <c r="AF477" s="2"/>
      <c r="AG477" t="s">
        <v>12</v>
      </c>
    </row>
    <row r="478" spans="1:33" outlineLevel="2" x14ac:dyDescent="0.25">
      <c r="A478" t="s">
        <v>129</v>
      </c>
      <c r="B478" t="s">
        <v>1</v>
      </c>
      <c r="C478" t="s">
        <v>2</v>
      </c>
      <c r="D478" t="s">
        <v>3</v>
      </c>
      <c r="E478" t="s">
        <v>4</v>
      </c>
      <c r="F478" t="s">
        <v>243</v>
      </c>
      <c r="G478" s="2">
        <v>45719</v>
      </c>
      <c r="H478" t="s">
        <v>1293</v>
      </c>
      <c r="I478" t="s">
        <v>22</v>
      </c>
      <c r="J478" s="2">
        <v>45719</v>
      </c>
      <c r="K478" s="2">
        <v>45720</v>
      </c>
      <c r="L478" t="s">
        <v>8</v>
      </c>
      <c r="M478" t="s">
        <v>1294</v>
      </c>
      <c r="N478" t="s">
        <v>10</v>
      </c>
      <c r="O478" t="s">
        <v>11</v>
      </c>
      <c r="P478" t="s">
        <v>12</v>
      </c>
      <c r="Q478" t="s">
        <v>24</v>
      </c>
      <c r="R478" t="s">
        <v>14</v>
      </c>
      <c r="S478" s="3">
        <v>9.4</v>
      </c>
      <c r="T478" t="s">
        <v>15</v>
      </c>
      <c r="U478" s="3">
        <v>814.9</v>
      </c>
      <c r="V478" t="s">
        <v>16</v>
      </c>
      <c r="W478" t="s">
        <v>17</v>
      </c>
      <c r="X478" t="s">
        <v>12</v>
      </c>
      <c r="Y478" t="s">
        <v>8</v>
      </c>
      <c r="Z478" t="s">
        <v>18</v>
      </c>
      <c r="AA478" t="s">
        <v>1056</v>
      </c>
      <c r="AB478" t="s">
        <v>12</v>
      </c>
      <c r="AC478" t="s">
        <v>12</v>
      </c>
      <c r="AD478" t="s">
        <v>12</v>
      </c>
      <c r="AE478" s="2">
        <v>45719</v>
      </c>
      <c r="AF478" s="2"/>
      <c r="AG478" t="s">
        <v>12</v>
      </c>
    </row>
    <row r="479" spans="1:33" outlineLevel="2" x14ac:dyDescent="0.25">
      <c r="A479" t="s">
        <v>129</v>
      </c>
      <c r="B479" t="s">
        <v>1</v>
      </c>
      <c r="C479" t="s">
        <v>2</v>
      </c>
      <c r="D479" t="s">
        <v>3</v>
      </c>
      <c r="E479" t="s">
        <v>4</v>
      </c>
      <c r="F479" t="s">
        <v>609</v>
      </c>
      <c r="G479" s="2">
        <v>45870</v>
      </c>
      <c r="H479" t="s">
        <v>1295</v>
      </c>
      <c r="I479" t="s">
        <v>22</v>
      </c>
      <c r="J479" s="2">
        <v>45870</v>
      </c>
      <c r="K479" s="2">
        <v>45873</v>
      </c>
      <c r="L479" t="s">
        <v>8</v>
      </c>
      <c r="M479" t="s">
        <v>1296</v>
      </c>
      <c r="N479" t="s">
        <v>10</v>
      </c>
      <c r="O479" t="s">
        <v>11</v>
      </c>
      <c r="P479" t="s">
        <v>12</v>
      </c>
      <c r="Q479" t="s">
        <v>24</v>
      </c>
      <c r="R479" t="s">
        <v>14</v>
      </c>
      <c r="S479" s="3">
        <v>456.75</v>
      </c>
      <c r="T479" t="s">
        <v>15</v>
      </c>
      <c r="U479" s="3">
        <v>39294.26</v>
      </c>
      <c r="V479" t="s">
        <v>16</v>
      </c>
      <c r="W479" t="s">
        <v>17</v>
      </c>
      <c r="X479" t="s">
        <v>12</v>
      </c>
      <c r="Y479" t="s">
        <v>8</v>
      </c>
      <c r="Z479" t="s">
        <v>18</v>
      </c>
      <c r="AA479" t="s">
        <v>1297</v>
      </c>
      <c r="AB479" t="s">
        <v>12</v>
      </c>
      <c r="AC479" t="s">
        <v>12</v>
      </c>
      <c r="AD479" t="s">
        <v>12</v>
      </c>
      <c r="AE479" s="2">
        <v>45870</v>
      </c>
      <c r="AF479" s="2"/>
      <c r="AG479" t="s">
        <v>12</v>
      </c>
    </row>
    <row r="480" spans="1:33" outlineLevel="1" x14ac:dyDescent="0.25">
      <c r="A480" s="4" t="s">
        <v>1364</v>
      </c>
      <c r="B480" s="4" t="s">
        <v>12</v>
      </c>
      <c r="C480" s="4" t="s">
        <v>12</v>
      </c>
      <c r="D480" s="4" t="s">
        <v>12</v>
      </c>
      <c r="E480" s="4" t="s">
        <v>12</v>
      </c>
      <c r="F480" s="4" t="s">
        <v>12</v>
      </c>
      <c r="G480" s="5"/>
      <c r="H480" s="4" t="s">
        <v>12</v>
      </c>
      <c r="I480" s="4" t="s">
        <v>12</v>
      </c>
      <c r="J480" s="5"/>
      <c r="K480" s="5"/>
      <c r="L480" s="4" t="s">
        <v>12</v>
      </c>
      <c r="M480" s="4" t="s">
        <v>12</v>
      </c>
      <c r="N480" s="4" t="s">
        <v>10</v>
      </c>
      <c r="O480" s="4" t="s">
        <v>12</v>
      </c>
      <c r="P480" s="4" t="s">
        <v>12</v>
      </c>
      <c r="Q480" s="4" t="s">
        <v>12</v>
      </c>
      <c r="R480" s="4" t="s">
        <v>15</v>
      </c>
      <c r="S480" s="6">
        <v>-8812707</v>
      </c>
      <c r="T480" s="4" t="s">
        <v>15</v>
      </c>
      <c r="U480" s="6">
        <v>4683369.57</v>
      </c>
      <c r="V480" s="4" t="s">
        <v>12</v>
      </c>
      <c r="W480" s="4" t="s">
        <v>12</v>
      </c>
      <c r="X480" s="4" t="s">
        <v>12</v>
      </c>
      <c r="Y480" s="4" t="s">
        <v>12</v>
      </c>
      <c r="Z480" s="4" t="s">
        <v>12</v>
      </c>
      <c r="AA480" s="4" t="s">
        <v>12</v>
      </c>
      <c r="AB480" s="4" t="s">
        <v>12</v>
      </c>
      <c r="AC480" s="4" t="s">
        <v>12</v>
      </c>
      <c r="AD480" s="4" t="s">
        <v>12</v>
      </c>
      <c r="AE480" s="5"/>
      <c r="AF480" s="5"/>
      <c r="AG480" s="4" t="s">
        <v>12</v>
      </c>
    </row>
    <row r="481" spans="1:33" outlineLevel="1" x14ac:dyDescent="0.25">
      <c r="A481" s="4" t="s">
        <v>12</v>
      </c>
      <c r="B481" s="4" t="s">
        <v>12</v>
      </c>
      <c r="C481" s="4" t="s">
        <v>12</v>
      </c>
      <c r="D481" s="4" t="s">
        <v>12</v>
      </c>
      <c r="E481" s="4" t="s">
        <v>12</v>
      </c>
      <c r="F481" s="4" t="s">
        <v>12</v>
      </c>
      <c r="G481" s="5"/>
      <c r="H481" s="4" t="s">
        <v>12</v>
      </c>
      <c r="I481" s="4" t="s">
        <v>12</v>
      </c>
      <c r="J481" s="5"/>
      <c r="K481" s="5"/>
      <c r="L481" s="4" t="s">
        <v>12</v>
      </c>
      <c r="M481" s="4" t="s">
        <v>12</v>
      </c>
      <c r="N481" s="4" t="s">
        <v>12</v>
      </c>
      <c r="O481" s="4" t="s">
        <v>12</v>
      </c>
      <c r="P481" s="4" t="s">
        <v>12</v>
      </c>
      <c r="Q481" s="4" t="s">
        <v>12</v>
      </c>
      <c r="R481" s="4" t="s">
        <v>14</v>
      </c>
      <c r="S481" s="6">
        <v>154544.14000000001</v>
      </c>
      <c r="T481" s="4" t="s">
        <v>12</v>
      </c>
      <c r="U481" s="7"/>
      <c r="V481" s="4" t="s">
        <v>12</v>
      </c>
      <c r="W481" s="4" t="s">
        <v>12</v>
      </c>
      <c r="X481" s="4" t="s">
        <v>12</v>
      </c>
      <c r="Y481" s="4" t="s">
        <v>12</v>
      </c>
      <c r="Z481" s="4" t="s">
        <v>12</v>
      </c>
      <c r="AA481" s="4" t="s">
        <v>12</v>
      </c>
      <c r="AB481" s="4" t="s">
        <v>12</v>
      </c>
      <c r="AC481" s="4" t="s">
        <v>12</v>
      </c>
      <c r="AD481" s="4" t="s">
        <v>12</v>
      </c>
      <c r="AE481" s="5"/>
      <c r="AF481" s="5"/>
      <c r="AG481" s="4" t="s">
        <v>12</v>
      </c>
    </row>
    <row r="482" spans="1:33" x14ac:dyDescent="0.25">
      <c r="A482" s="8" t="s">
        <v>12</v>
      </c>
      <c r="B482" s="8" t="s">
        <v>12</v>
      </c>
      <c r="C482" s="8" t="s">
        <v>12</v>
      </c>
      <c r="D482" s="8" t="s">
        <v>12</v>
      </c>
      <c r="E482" s="8" t="s">
        <v>12</v>
      </c>
      <c r="F482" s="8" t="s">
        <v>12</v>
      </c>
      <c r="G482" s="9"/>
      <c r="H482" s="8" t="s">
        <v>12</v>
      </c>
      <c r="I482" s="8" t="s">
        <v>12</v>
      </c>
      <c r="J482" s="9"/>
      <c r="K482" s="9"/>
      <c r="L482" s="8" t="s">
        <v>12</v>
      </c>
      <c r="M482" s="8" t="s">
        <v>12</v>
      </c>
      <c r="N482" s="8" t="s">
        <v>12</v>
      </c>
      <c r="O482" s="8" t="s">
        <v>12</v>
      </c>
      <c r="P482" s="8" t="s">
        <v>12</v>
      </c>
      <c r="Q482" s="8" t="s">
        <v>12</v>
      </c>
      <c r="R482" s="8" t="s">
        <v>15</v>
      </c>
      <c r="S482" s="10">
        <v>-8812707</v>
      </c>
      <c r="T482" s="8" t="s">
        <v>15</v>
      </c>
      <c r="U482" s="10">
        <v>4683369.57</v>
      </c>
      <c r="V482" s="8" t="s">
        <v>12</v>
      </c>
      <c r="W482" s="8" t="s">
        <v>12</v>
      </c>
      <c r="X482" s="8" t="s">
        <v>12</v>
      </c>
      <c r="Y482" s="8" t="s">
        <v>12</v>
      </c>
      <c r="Z482" s="8" t="s">
        <v>12</v>
      </c>
      <c r="AA482" s="8" t="s">
        <v>12</v>
      </c>
      <c r="AB482" s="8" t="s">
        <v>12</v>
      </c>
      <c r="AC482" s="8" t="s">
        <v>12</v>
      </c>
      <c r="AD482" s="8" t="s">
        <v>12</v>
      </c>
      <c r="AE482" s="9"/>
      <c r="AF482" s="9"/>
      <c r="AG482" s="8" t="s">
        <v>12</v>
      </c>
    </row>
    <row r="483" spans="1:33" x14ac:dyDescent="0.25">
      <c r="A483" s="8" t="s">
        <v>12</v>
      </c>
      <c r="B483" s="8" t="s">
        <v>12</v>
      </c>
      <c r="C483" s="8" t="s">
        <v>12</v>
      </c>
      <c r="D483" s="8" t="s">
        <v>12</v>
      </c>
      <c r="E483" s="8" t="s">
        <v>12</v>
      </c>
      <c r="F483" s="8" t="s">
        <v>12</v>
      </c>
      <c r="G483" s="9"/>
      <c r="H483" s="8" t="s">
        <v>12</v>
      </c>
      <c r="I483" s="8" t="s">
        <v>12</v>
      </c>
      <c r="J483" s="9"/>
      <c r="K483" s="9"/>
      <c r="L483" s="8" t="s">
        <v>12</v>
      </c>
      <c r="M483" s="8" t="s">
        <v>12</v>
      </c>
      <c r="N483" s="8" t="s">
        <v>12</v>
      </c>
      <c r="O483" s="8" t="s">
        <v>12</v>
      </c>
      <c r="P483" s="8" t="s">
        <v>12</v>
      </c>
      <c r="Q483" s="8" t="s">
        <v>12</v>
      </c>
      <c r="R483" s="8" t="s">
        <v>14</v>
      </c>
      <c r="S483" s="10">
        <v>154544.14000000001</v>
      </c>
      <c r="T483" s="8" t="s">
        <v>12</v>
      </c>
      <c r="U483" s="11"/>
      <c r="V483" s="8" t="s">
        <v>12</v>
      </c>
      <c r="W483" s="8" t="s">
        <v>12</v>
      </c>
      <c r="X483" s="8" t="s">
        <v>12</v>
      </c>
      <c r="Y483" s="8" t="s">
        <v>12</v>
      </c>
      <c r="Z483" s="8" t="s">
        <v>12</v>
      </c>
      <c r="AA483" s="8" t="s">
        <v>12</v>
      </c>
      <c r="AB483" s="8" t="s">
        <v>12</v>
      </c>
      <c r="AC483" s="8" t="s">
        <v>12</v>
      </c>
      <c r="AD483" s="8" t="s">
        <v>12</v>
      </c>
      <c r="AE483" s="9"/>
      <c r="AF483" s="9"/>
      <c r="AG483" s="8" t="s">
        <v>12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3B43-FEFC-4F2E-B18D-7D323E5BA649}">
  <dimension ref="A1:AG19"/>
  <sheetViews>
    <sheetView topLeftCell="M1" workbookViewId="0">
      <selection activeCell="M1" sqref="M1"/>
    </sheetView>
  </sheetViews>
  <sheetFormatPr defaultRowHeight="12.5" x14ac:dyDescent="0.25"/>
  <cols>
    <col min="1" max="1" width="35.6328125" bestFit="1" customWidth="1"/>
    <col min="2" max="2" width="16.1796875" bestFit="1" customWidth="1"/>
    <col min="3" max="3" width="16.81640625" bestFit="1" customWidth="1"/>
    <col min="4" max="9" width="17" bestFit="1" customWidth="1"/>
    <col min="10" max="10" width="11.6328125" bestFit="1" customWidth="1"/>
    <col min="16" max="16" width="4.81640625" bestFit="1" customWidth="1"/>
    <col min="17" max="17" width="13.54296875" bestFit="1" customWidth="1"/>
    <col min="18" max="18" width="14.453125" bestFit="1" customWidth="1"/>
    <col min="19" max="19" width="9.90625" bestFit="1" customWidth="1"/>
    <col min="20" max="20" width="13.54296875" style="16" bestFit="1" customWidth="1"/>
    <col min="21" max="21" width="4.81640625" bestFit="1" customWidth="1"/>
    <col min="22" max="22" width="13.54296875" bestFit="1" customWidth="1"/>
    <col min="27" max="29" width="11.81640625" bestFit="1" customWidth="1"/>
    <col min="30" max="30" width="12.81640625" bestFit="1" customWidth="1"/>
    <col min="31" max="31" width="10.1796875" bestFit="1" customWidth="1"/>
    <col min="32" max="32" width="14.453125" bestFit="1" customWidth="1"/>
    <col min="33" max="33" width="13.54296875" bestFit="1" customWidth="1"/>
  </cols>
  <sheetData>
    <row r="1" spans="1:33" x14ac:dyDescent="0.25">
      <c r="T1"/>
    </row>
    <row r="2" spans="1:33" x14ac:dyDescent="0.25">
      <c r="T2"/>
      <c r="X2" s="18"/>
      <c r="Y2" s="18"/>
      <c r="Z2" s="18"/>
      <c r="AA2" s="18"/>
      <c r="AB2" s="18"/>
      <c r="AC2" s="18"/>
      <c r="AD2" s="18"/>
      <c r="AE2" s="18"/>
      <c r="AF2" s="18"/>
    </row>
    <row r="3" spans="1:33" ht="14.5" x14ac:dyDescent="0.35">
      <c r="A3" s="13" t="s">
        <v>1348</v>
      </c>
      <c r="D3" s="13" t="s">
        <v>1306</v>
      </c>
      <c r="T3"/>
      <c r="V3" s="16"/>
      <c r="X3" s="18"/>
      <c r="Y3" s="18"/>
      <c r="Z3" s="18"/>
      <c r="AA3" s="19" t="s">
        <v>1352</v>
      </c>
      <c r="AB3" s="19" t="s">
        <v>1353</v>
      </c>
      <c r="AC3" s="18"/>
      <c r="AD3" s="19" t="s">
        <v>1354</v>
      </c>
      <c r="AE3" s="19" t="s">
        <v>1355</v>
      </c>
      <c r="AF3" s="18"/>
      <c r="AG3" s="16"/>
    </row>
    <row r="4" spans="1:33" ht="13" x14ac:dyDescent="0.25">
      <c r="A4" s="13" t="s">
        <v>1349</v>
      </c>
      <c r="B4" s="13" t="s">
        <v>1350</v>
      </c>
      <c r="C4" s="13" t="s">
        <v>1307</v>
      </c>
      <c r="D4" t="s">
        <v>1005</v>
      </c>
      <c r="E4" t="s">
        <v>7</v>
      </c>
      <c r="F4" t="s">
        <v>22</v>
      </c>
      <c r="G4" t="s">
        <v>1009</v>
      </c>
      <c r="H4" t="s">
        <v>482</v>
      </c>
      <c r="I4" t="s">
        <v>1045</v>
      </c>
      <c r="J4" t="s">
        <v>1331</v>
      </c>
      <c r="M4" t="s">
        <v>1349</v>
      </c>
      <c r="N4" t="s">
        <v>1350</v>
      </c>
      <c r="O4" t="s">
        <v>1307</v>
      </c>
      <c r="P4" t="s">
        <v>1005</v>
      </c>
      <c r="Q4" t="s">
        <v>7</v>
      </c>
      <c r="R4" t="s">
        <v>22</v>
      </c>
      <c r="S4" t="s">
        <v>1009</v>
      </c>
      <c r="T4" t="s">
        <v>482</v>
      </c>
      <c r="U4" t="s">
        <v>1045</v>
      </c>
      <c r="V4" s="17" t="s">
        <v>1351</v>
      </c>
      <c r="X4" s="18" t="s">
        <v>1349</v>
      </c>
      <c r="Y4" s="18" t="s">
        <v>1350</v>
      </c>
      <c r="Z4" s="18" t="s">
        <v>1304</v>
      </c>
      <c r="AA4" s="18" t="s">
        <v>1356</v>
      </c>
      <c r="AB4" s="18" t="s">
        <v>1356</v>
      </c>
      <c r="AC4" s="18" t="s">
        <v>1357</v>
      </c>
      <c r="AD4" s="18" t="s">
        <v>1356</v>
      </c>
      <c r="AE4" s="18" t="s">
        <v>1356</v>
      </c>
      <c r="AF4" s="18" t="s">
        <v>1357</v>
      </c>
      <c r="AG4" s="17" t="s">
        <v>1351</v>
      </c>
    </row>
    <row r="5" spans="1:33" x14ac:dyDescent="0.25">
      <c r="A5" t="s">
        <v>4</v>
      </c>
      <c r="B5" t="s">
        <v>1332</v>
      </c>
      <c r="C5" s="15" t="s">
        <v>1333</v>
      </c>
      <c r="D5" s="14"/>
      <c r="E5" s="14"/>
      <c r="F5" s="14">
        <v>882590.45000000007</v>
      </c>
      <c r="G5" s="14"/>
      <c r="H5" s="14"/>
      <c r="I5" s="14">
        <v>-1</v>
      </c>
      <c r="J5" s="14">
        <v>882589.45000000007</v>
      </c>
      <c r="M5" t="s">
        <v>4</v>
      </c>
      <c r="N5" t="s">
        <v>1332</v>
      </c>
      <c r="O5" t="s">
        <v>1333</v>
      </c>
      <c r="P5" s="16"/>
      <c r="Q5" s="16"/>
      <c r="R5" s="16">
        <v>882590.45000000007</v>
      </c>
      <c r="S5" s="16"/>
      <c r="U5">
        <v>-1</v>
      </c>
      <c r="V5" s="16">
        <f>SUM(P5:U5)</f>
        <v>882589.45000000007</v>
      </c>
      <c r="X5" s="18" t="s">
        <v>4</v>
      </c>
      <c r="Y5" s="18" t="s">
        <v>1332</v>
      </c>
      <c r="Z5" s="18" t="s">
        <v>1333</v>
      </c>
      <c r="AA5" s="20"/>
      <c r="AB5" s="20"/>
      <c r="AC5" s="20"/>
      <c r="AD5" s="20"/>
      <c r="AE5" s="20">
        <v>0</v>
      </c>
      <c r="AF5" s="20">
        <v>213327.11999999997</v>
      </c>
      <c r="AG5" s="21">
        <f>AA5+AB5-AC5+AD5+AE5-AF5</f>
        <v>-213327.11999999997</v>
      </c>
    </row>
    <row r="6" spans="1:33" x14ac:dyDescent="0.25">
      <c r="C6" s="15" t="s">
        <v>1334</v>
      </c>
      <c r="D6" s="14"/>
      <c r="E6" s="14"/>
      <c r="F6" s="14">
        <v>3312491.9400000018</v>
      </c>
      <c r="G6" s="14"/>
      <c r="H6" s="14"/>
      <c r="I6" s="14">
        <v>1</v>
      </c>
      <c r="J6" s="14">
        <v>3312492.9400000018</v>
      </c>
      <c r="M6" t="s">
        <v>4</v>
      </c>
      <c r="N6" t="s">
        <v>1332</v>
      </c>
      <c r="O6" t="s">
        <v>1334</v>
      </c>
      <c r="P6" s="16"/>
      <c r="Q6" s="16"/>
      <c r="R6" s="16">
        <v>3312491.9400000018</v>
      </c>
      <c r="S6" s="16"/>
      <c r="U6">
        <v>1</v>
      </c>
      <c r="V6" s="16">
        <f t="shared" ref="V6:V17" si="0">SUM(P6:U6)</f>
        <v>3312492.9400000018</v>
      </c>
      <c r="X6" s="18" t="s">
        <v>4</v>
      </c>
      <c r="Y6" s="18" t="s">
        <v>1332</v>
      </c>
      <c r="Z6" s="18" t="s">
        <v>1334</v>
      </c>
      <c r="AA6" s="20"/>
      <c r="AB6" s="20"/>
      <c r="AC6" s="20"/>
      <c r="AD6" s="20"/>
      <c r="AE6" s="20">
        <v>0</v>
      </c>
      <c r="AF6" s="20">
        <v>2596245</v>
      </c>
      <c r="AG6" s="21">
        <f t="shared" ref="AG6:AG16" si="1">AA6+AB6-AC6+AD6+AE6-AF6</f>
        <v>-2596245</v>
      </c>
    </row>
    <row r="7" spans="1:33" x14ac:dyDescent="0.25">
      <c r="B7" t="s">
        <v>1335</v>
      </c>
      <c r="C7" s="15" t="s">
        <v>1336</v>
      </c>
      <c r="D7" s="14">
        <v>0</v>
      </c>
      <c r="E7" s="14"/>
      <c r="F7" s="14">
        <v>2004959.35</v>
      </c>
      <c r="G7" s="14"/>
      <c r="H7" s="14"/>
      <c r="I7" s="14"/>
      <c r="J7" s="14">
        <v>2004959.35</v>
      </c>
      <c r="M7" t="s">
        <v>4</v>
      </c>
      <c r="N7" t="s">
        <v>1335</v>
      </c>
      <c r="O7" t="s">
        <v>1336</v>
      </c>
      <c r="P7" s="16">
        <v>0</v>
      </c>
      <c r="Q7" s="16"/>
      <c r="R7" s="16">
        <v>2004959.35</v>
      </c>
      <c r="S7" s="16"/>
      <c r="V7" s="16">
        <f t="shared" si="0"/>
        <v>2004959.35</v>
      </c>
      <c r="X7" s="18" t="s">
        <v>4</v>
      </c>
      <c r="Y7" s="18" t="s">
        <v>1335</v>
      </c>
      <c r="Z7" s="18" t="s">
        <v>1336</v>
      </c>
      <c r="AA7" s="20"/>
      <c r="AB7" s="20"/>
      <c r="AC7" s="20"/>
      <c r="AD7" s="20"/>
      <c r="AE7" s="20">
        <v>0</v>
      </c>
      <c r="AF7" s="20">
        <v>1942901</v>
      </c>
      <c r="AG7" s="21">
        <f t="shared" si="1"/>
        <v>-1942901</v>
      </c>
    </row>
    <row r="8" spans="1:33" x14ac:dyDescent="0.25">
      <c r="C8" s="15" t="s">
        <v>1337</v>
      </c>
      <c r="D8" s="14"/>
      <c r="E8" s="14">
        <v>-124043.88</v>
      </c>
      <c r="F8" s="14">
        <v>518581.46000000008</v>
      </c>
      <c r="G8" s="14"/>
      <c r="H8" s="14"/>
      <c r="I8" s="14"/>
      <c r="J8" s="14">
        <v>394537.58000000007</v>
      </c>
      <c r="M8" t="s">
        <v>4</v>
      </c>
      <c r="N8" t="s">
        <v>1335</v>
      </c>
      <c r="O8" t="s">
        <v>1337</v>
      </c>
      <c r="P8" s="16"/>
      <c r="Q8" s="16">
        <v>-124043.88</v>
      </c>
      <c r="R8" s="16">
        <v>518581.46000000008</v>
      </c>
      <c r="S8" s="16"/>
      <c r="V8" s="16">
        <f t="shared" si="0"/>
        <v>394537.58000000007</v>
      </c>
      <c r="X8" s="18" t="s">
        <v>4</v>
      </c>
      <c r="Y8" s="18" t="s">
        <v>1335</v>
      </c>
      <c r="Z8" s="18" t="s">
        <v>1337</v>
      </c>
      <c r="AA8" s="20"/>
      <c r="AB8" s="20"/>
      <c r="AC8" s="20"/>
      <c r="AD8" s="20">
        <v>177773</v>
      </c>
      <c r="AE8" s="20">
        <v>0</v>
      </c>
      <c r="AF8" s="20">
        <v>441316</v>
      </c>
      <c r="AG8" s="21">
        <f t="shared" si="1"/>
        <v>-263543</v>
      </c>
    </row>
    <row r="9" spans="1:33" x14ac:dyDescent="0.25">
      <c r="C9" s="15" t="s">
        <v>1338</v>
      </c>
      <c r="D9" s="14"/>
      <c r="E9" s="14"/>
      <c r="F9" s="14">
        <v>750378.2100000002</v>
      </c>
      <c r="G9" s="14"/>
      <c r="H9" s="14">
        <v>-1378720</v>
      </c>
      <c r="I9" s="14"/>
      <c r="J9" s="14">
        <v>-628341.7899999998</v>
      </c>
      <c r="M9" t="s">
        <v>4</v>
      </c>
      <c r="N9" t="s">
        <v>1335</v>
      </c>
      <c r="O9" t="s">
        <v>1338</v>
      </c>
      <c r="P9" s="16"/>
      <c r="Q9" s="16"/>
      <c r="R9" s="16">
        <v>750378.2100000002</v>
      </c>
      <c r="S9" s="16"/>
      <c r="T9" s="16">
        <v>-1378720</v>
      </c>
      <c r="V9" s="16">
        <f t="shared" si="0"/>
        <v>-628341.7899999998</v>
      </c>
      <c r="X9" s="18" t="s">
        <v>4</v>
      </c>
      <c r="Y9" s="18" t="s">
        <v>1335</v>
      </c>
      <c r="Z9" s="18" t="s">
        <v>1338</v>
      </c>
      <c r="AA9" s="20"/>
      <c r="AB9" s="20"/>
      <c r="AC9" s="20"/>
      <c r="AD9" s="20">
        <v>2600946.52</v>
      </c>
      <c r="AE9" s="20">
        <v>0</v>
      </c>
      <c r="AF9" s="20">
        <v>465556</v>
      </c>
      <c r="AG9" s="21">
        <f t="shared" si="1"/>
        <v>2135390.52</v>
      </c>
    </row>
    <row r="10" spans="1:33" x14ac:dyDescent="0.25">
      <c r="B10" t="s">
        <v>1339</v>
      </c>
      <c r="C10" s="15" t="s">
        <v>1340</v>
      </c>
      <c r="D10" s="14"/>
      <c r="E10" s="14">
        <v>-1266506.26</v>
      </c>
      <c r="F10" s="14">
        <v>1226043.8999999999</v>
      </c>
      <c r="G10" s="14">
        <v>0</v>
      </c>
      <c r="H10" s="14"/>
      <c r="I10" s="14"/>
      <c r="J10" s="14">
        <v>-40462.360000000102</v>
      </c>
      <c r="M10" t="s">
        <v>4</v>
      </c>
      <c r="N10" t="s">
        <v>1339</v>
      </c>
      <c r="O10" t="s">
        <v>1340</v>
      </c>
      <c r="P10" s="16"/>
      <c r="Q10" s="16">
        <v>-1266506.26</v>
      </c>
      <c r="R10" s="16">
        <v>1226043.8999999999</v>
      </c>
      <c r="S10" s="16">
        <v>0</v>
      </c>
      <c r="V10" s="16">
        <f t="shared" si="0"/>
        <v>-40462.360000000102</v>
      </c>
      <c r="X10" s="18" t="s">
        <v>4</v>
      </c>
      <c r="Y10" s="18" t="s">
        <v>1339</v>
      </c>
      <c r="Z10" s="18" t="s">
        <v>1340</v>
      </c>
      <c r="AA10" s="20">
        <v>610440</v>
      </c>
      <c r="AB10" s="20">
        <v>26009</v>
      </c>
      <c r="AC10" s="20">
        <v>503</v>
      </c>
      <c r="AD10" s="20">
        <v>2450672</v>
      </c>
      <c r="AE10" s="20">
        <v>0</v>
      </c>
      <c r="AF10" s="20">
        <v>460821</v>
      </c>
      <c r="AG10" s="21">
        <f t="shared" si="1"/>
        <v>2625797</v>
      </c>
    </row>
    <row r="11" spans="1:33" x14ac:dyDescent="0.25">
      <c r="C11" s="15" t="s">
        <v>1341</v>
      </c>
      <c r="D11" s="14"/>
      <c r="E11" s="14"/>
      <c r="F11" s="14">
        <v>906747.15</v>
      </c>
      <c r="G11" s="14"/>
      <c r="H11" s="14">
        <v>-3850672</v>
      </c>
      <c r="I11" s="14"/>
      <c r="J11" s="14">
        <v>-2943924.85</v>
      </c>
      <c r="M11" t="s">
        <v>4</v>
      </c>
      <c r="N11" t="s">
        <v>1339</v>
      </c>
      <c r="O11" t="s">
        <v>1341</v>
      </c>
      <c r="P11" s="16"/>
      <c r="Q11" s="16"/>
      <c r="R11" s="16">
        <v>906747.15</v>
      </c>
      <c r="S11" s="16"/>
      <c r="T11" s="16">
        <v>-3850672</v>
      </c>
      <c r="V11" s="16">
        <f t="shared" si="0"/>
        <v>-2943924.85</v>
      </c>
      <c r="X11" s="18" t="s">
        <v>4</v>
      </c>
      <c r="Y11" s="18" t="s">
        <v>1339</v>
      </c>
      <c r="Z11" s="18" t="s">
        <v>1341</v>
      </c>
      <c r="AA11" s="20"/>
      <c r="AB11" s="20"/>
      <c r="AC11" s="20"/>
      <c r="AD11" s="20"/>
      <c r="AE11" s="20">
        <v>0</v>
      </c>
      <c r="AF11" s="20">
        <v>502834</v>
      </c>
      <c r="AG11" s="21">
        <f t="shared" si="1"/>
        <v>-502834</v>
      </c>
    </row>
    <row r="12" spans="1:33" x14ac:dyDescent="0.25">
      <c r="C12" s="15" t="s">
        <v>1342</v>
      </c>
      <c r="D12" s="14"/>
      <c r="E12" s="14"/>
      <c r="F12" s="14">
        <v>1230601.99</v>
      </c>
      <c r="G12" s="14">
        <v>465.79999999998836</v>
      </c>
      <c r="H12" s="14"/>
      <c r="I12" s="14"/>
      <c r="J12" s="14">
        <v>1231067.79</v>
      </c>
      <c r="M12" t="s">
        <v>4</v>
      </c>
      <c r="N12" t="s">
        <v>1339</v>
      </c>
      <c r="O12" t="s">
        <v>1342</v>
      </c>
      <c r="P12" s="16"/>
      <c r="Q12" s="16"/>
      <c r="R12" s="16">
        <v>1230601.99</v>
      </c>
      <c r="S12" s="16">
        <v>465.79999999998836</v>
      </c>
      <c r="V12" s="16">
        <f t="shared" si="0"/>
        <v>1231067.79</v>
      </c>
      <c r="X12" s="18" t="s">
        <v>4</v>
      </c>
      <c r="Y12" s="18" t="s">
        <v>1343</v>
      </c>
      <c r="Z12" s="18" t="s">
        <v>1344</v>
      </c>
      <c r="AA12" s="20"/>
      <c r="AB12" s="20">
        <v>248895</v>
      </c>
      <c r="AC12" s="20">
        <v>248895</v>
      </c>
      <c r="AD12" s="20">
        <v>1408564</v>
      </c>
      <c r="AE12" s="20"/>
      <c r="AF12" s="20"/>
      <c r="AG12" s="21">
        <f t="shared" si="1"/>
        <v>1408564</v>
      </c>
    </row>
    <row r="13" spans="1:33" x14ac:dyDescent="0.25">
      <c r="B13" t="s">
        <v>1343</v>
      </c>
      <c r="C13" s="15" t="s">
        <v>1344</v>
      </c>
      <c r="D13" s="14"/>
      <c r="E13" s="14">
        <v>-51397.58</v>
      </c>
      <c r="F13" s="14">
        <v>1336858.3000000003</v>
      </c>
      <c r="G13" s="14"/>
      <c r="H13" s="14">
        <v>-1108564</v>
      </c>
      <c r="I13" s="14"/>
      <c r="J13" s="14">
        <v>176896.7200000002</v>
      </c>
      <c r="M13" t="s">
        <v>4</v>
      </c>
      <c r="N13" t="s">
        <v>1343</v>
      </c>
      <c r="O13" t="s">
        <v>1344</v>
      </c>
      <c r="P13" s="16"/>
      <c r="Q13" s="16">
        <v>-51397.58</v>
      </c>
      <c r="R13" s="16">
        <v>1336858.3000000003</v>
      </c>
      <c r="S13" s="16"/>
      <c r="T13" s="16">
        <v>-1108564</v>
      </c>
      <c r="V13" s="16">
        <f t="shared" si="0"/>
        <v>176896.7200000002</v>
      </c>
      <c r="X13" s="18" t="s">
        <v>4</v>
      </c>
      <c r="Y13" s="18" t="s">
        <v>1343</v>
      </c>
      <c r="Z13" s="18" t="s">
        <v>1345</v>
      </c>
      <c r="AA13" s="20"/>
      <c r="AB13" s="20"/>
      <c r="AC13" s="20"/>
      <c r="AD13" s="20">
        <v>500000</v>
      </c>
      <c r="AE13" s="20"/>
      <c r="AF13" s="20"/>
      <c r="AG13" s="21">
        <f t="shared" si="1"/>
        <v>500000</v>
      </c>
    </row>
    <row r="14" spans="1:33" x14ac:dyDescent="0.25">
      <c r="C14" s="15" t="s">
        <v>1345</v>
      </c>
      <c r="D14" s="14"/>
      <c r="E14" s="14"/>
      <c r="F14" s="14">
        <v>925665.41000000015</v>
      </c>
      <c r="G14" s="14">
        <v>-1558.8799999999956</v>
      </c>
      <c r="H14" s="14">
        <v>-800000</v>
      </c>
      <c r="I14" s="14"/>
      <c r="J14" s="14">
        <v>124106.53000000014</v>
      </c>
      <c r="M14" t="s">
        <v>4</v>
      </c>
      <c r="N14" t="s">
        <v>1343</v>
      </c>
      <c r="O14" t="s">
        <v>1345</v>
      </c>
      <c r="P14" s="16"/>
      <c r="Q14" s="16"/>
      <c r="R14" s="16">
        <v>925665.41000000015</v>
      </c>
      <c r="S14" s="16">
        <v>-1558.8799999999956</v>
      </c>
      <c r="T14" s="16">
        <v>-800000</v>
      </c>
      <c r="V14" s="16">
        <f t="shared" si="0"/>
        <v>124106.53000000014</v>
      </c>
      <c r="X14" s="18" t="s">
        <v>4</v>
      </c>
      <c r="Y14" s="18" t="s">
        <v>1343</v>
      </c>
      <c r="Z14" s="18" t="s">
        <v>1346</v>
      </c>
      <c r="AA14" s="20"/>
      <c r="AB14" s="20">
        <v>25505</v>
      </c>
      <c r="AC14" s="20">
        <v>25505</v>
      </c>
      <c r="AD14" s="20">
        <v>1000000</v>
      </c>
      <c r="AE14" s="20">
        <v>21906</v>
      </c>
      <c r="AF14" s="20">
        <v>4225516.0117000015</v>
      </c>
      <c r="AG14" s="21">
        <f t="shared" si="1"/>
        <v>-3203610.0117000015</v>
      </c>
    </row>
    <row r="15" spans="1:33" x14ac:dyDescent="0.25">
      <c r="C15" s="15" t="s">
        <v>1346</v>
      </c>
      <c r="D15" s="14"/>
      <c r="E15" s="14"/>
      <c r="F15" s="14">
        <v>155144.53</v>
      </c>
      <c r="G15" s="14"/>
      <c r="H15" s="14">
        <v>-500000</v>
      </c>
      <c r="I15" s="14"/>
      <c r="J15" s="14">
        <v>-344855.47</v>
      </c>
      <c r="M15" t="s">
        <v>4</v>
      </c>
      <c r="N15" t="s">
        <v>1343</v>
      </c>
      <c r="O15" t="s">
        <v>1346</v>
      </c>
      <c r="P15" s="16"/>
      <c r="Q15" s="16"/>
      <c r="R15" s="16">
        <v>155144.53</v>
      </c>
      <c r="S15" s="16"/>
      <c r="T15" s="16">
        <v>-500000</v>
      </c>
      <c r="V15" s="16">
        <f t="shared" si="0"/>
        <v>-344855.47</v>
      </c>
      <c r="X15" s="18" t="s">
        <v>448</v>
      </c>
      <c r="Y15" s="18" t="s">
        <v>1332</v>
      </c>
      <c r="Z15" s="18" t="s">
        <v>1347</v>
      </c>
      <c r="AA15" s="20"/>
      <c r="AB15" s="20"/>
      <c r="AC15" s="20"/>
      <c r="AD15" s="20">
        <v>674751</v>
      </c>
      <c r="AE15" s="20">
        <v>4355</v>
      </c>
      <c r="AF15" s="20">
        <v>51496.061000000002</v>
      </c>
      <c r="AG15" s="21">
        <f t="shared" si="1"/>
        <v>627609.93900000001</v>
      </c>
    </row>
    <row r="16" spans="1:33" x14ac:dyDescent="0.25">
      <c r="A16" t="s">
        <v>448</v>
      </c>
      <c r="B16" t="s">
        <v>1332</v>
      </c>
      <c r="C16" s="15" t="s">
        <v>1347</v>
      </c>
      <c r="D16" s="14"/>
      <c r="E16" s="14">
        <v>-308.52999999999997</v>
      </c>
      <c r="F16" s="14">
        <v>1689363.21</v>
      </c>
      <c r="G16" s="14"/>
      <c r="H16" s="14">
        <v>-500000</v>
      </c>
      <c r="I16" s="14"/>
      <c r="J16" s="14">
        <v>1189054.68</v>
      </c>
      <c r="M16" t="s">
        <v>448</v>
      </c>
      <c r="N16" t="s">
        <v>1332</v>
      </c>
      <c r="O16" t="s">
        <v>1347</v>
      </c>
      <c r="P16" s="16"/>
      <c r="Q16" s="16">
        <v>-308.52999999999997</v>
      </c>
      <c r="R16" s="16">
        <v>1689363.21</v>
      </c>
      <c r="S16" s="16"/>
      <c r="T16" s="16">
        <v>-500000</v>
      </c>
      <c r="V16" s="16">
        <f t="shared" si="0"/>
        <v>1189054.68</v>
      </c>
      <c r="X16" s="18" t="s">
        <v>448</v>
      </c>
      <c r="Y16" s="18" t="s">
        <v>1332</v>
      </c>
      <c r="Z16" s="18" t="s">
        <v>1333</v>
      </c>
      <c r="AA16" s="20"/>
      <c r="AB16" s="20"/>
      <c r="AC16" s="20"/>
      <c r="AD16" s="20"/>
      <c r="AE16" s="20">
        <v>3628</v>
      </c>
      <c r="AF16" s="20">
        <v>67803.8174</v>
      </c>
      <c r="AG16" s="21">
        <f t="shared" si="1"/>
        <v>-64175.8174</v>
      </c>
    </row>
    <row r="17" spans="1:33" x14ac:dyDescent="0.25">
      <c r="C17" s="15" t="s">
        <v>1333</v>
      </c>
      <c r="D17" s="14"/>
      <c r="E17" s="14"/>
      <c r="F17" s="14"/>
      <c r="G17" s="14"/>
      <c r="H17" s="14">
        <v>-674751</v>
      </c>
      <c r="I17" s="14"/>
      <c r="J17" s="14">
        <v>-674751</v>
      </c>
      <c r="M17" t="s">
        <v>448</v>
      </c>
      <c r="N17" t="s">
        <v>1332</v>
      </c>
      <c r="O17" t="s">
        <v>1333</v>
      </c>
      <c r="P17" s="16"/>
      <c r="Q17" s="16"/>
      <c r="R17" s="16"/>
      <c r="S17" s="16"/>
      <c r="T17" s="16">
        <v>-674751</v>
      </c>
      <c r="V17" s="16">
        <f t="shared" si="0"/>
        <v>-674751</v>
      </c>
    </row>
    <row r="18" spans="1:33" x14ac:dyDescent="0.25">
      <c r="A18" t="s">
        <v>1331</v>
      </c>
      <c r="D18" s="14">
        <v>0</v>
      </c>
      <c r="E18" s="14">
        <v>-1442256.2500000002</v>
      </c>
      <c r="F18" s="14">
        <v>14939425.900000002</v>
      </c>
      <c r="G18" s="14">
        <v>-1093.0800000000072</v>
      </c>
      <c r="H18" s="14">
        <v>-8812707</v>
      </c>
      <c r="I18" s="14">
        <v>0</v>
      </c>
      <c r="J18" s="14">
        <v>4683369.5700000022</v>
      </c>
    </row>
    <row r="19" spans="1:33" ht="13" x14ac:dyDescent="0.25">
      <c r="P19" s="22">
        <f t="shared" ref="P19:U19" si="2">SUM(P5:P17)</f>
        <v>0</v>
      </c>
      <c r="Q19" s="22">
        <f t="shared" si="2"/>
        <v>-1442256.2500000002</v>
      </c>
      <c r="R19" s="22">
        <f t="shared" si="2"/>
        <v>14939425.900000002</v>
      </c>
      <c r="S19" s="22">
        <f t="shared" si="2"/>
        <v>-1093.0800000000072</v>
      </c>
      <c r="T19" s="23">
        <f t="shared" si="2"/>
        <v>-8812707</v>
      </c>
      <c r="U19" s="22">
        <f t="shared" si="2"/>
        <v>0</v>
      </c>
      <c r="V19" s="22">
        <f>SUM(V5:V17)</f>
        <v>4683369.5700000022</v>
      </c>
      <c r="AA19" s="22">
        <f t="shared" ref="AA19:AF19" si="3">SUM(AA5:AA17)</f>
        <v>610440</v>
      </c>
      <c r="AB19" s="22">
        <f t="shared" si="3"/>
        <v>300409</v>
      </c>
      <c r="AC19" s="22">
        <f t="shared" si="3"/>
        <v>274903</v>
      </c>
      <c r="AD19" s="23">
        <f t="shared" si="3"/>
        <v>8812706.5199999996</v>
      </c>
      <c r="AE19" s="22">
        <f t="shared" si="3"/>
        <v>29889</v>
      </c>
      <c r="AF19" s="22">
        <f t="shared" si="3"/>
        <v>10967816.010100001</v>
      </c>
      <c r="AG19" s="22">
        <f>SUM(AG5:AG17)</f>
        <v>-1489274.4901000017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55FF-5DBF-4699-BAA2-A4AD9C0CB111}">
  <dimension ref="A1:AK480"/>
  <sheetViews>
    <sheetView topLeftCell="I1" zoomScale="90" zoomScaleNormal="90" workbookViewId="0">
      <selection activeCell="I2" sqref="I2"/>
    </sheetView>
  </sheetViews>
  <sheetFormatPr defaultRowHeight="12.5" outlineLevelRow="2" x14ac:dyDescent="0.25"/>
  <cols>
    <col min="1" max="2" width="14" bestFit="1" customWidth="1"/>
    <col min="3" max="3" width="11" bestFit="1" customWidth="1"/>
    <col min="4" max="4" width="37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4.453125" bestFit="1" customWidth="1"/>
    <col min="22" max="25" width="12.81640625" customWidth="1"/>
    <col min="26" max="26" width="10" bestFit="1" customWidth="1"/>
    <col min="27" max="27" width="15" bestFit="1" customWidth="1"/>
    <col min="28" max="28" width="21" bestFit="1" customWidth="1"/>
    <col min="29" max="29" width="16" bestFit="1" customWidth="1"/>
    <col min="30" max="30" width="6" bestFit="1" customWidth="1"/>
    <col min="31" max="31" width="52" bestFit="1" customWidth="1"/>
    <col min="32" max="34" width="17" bestFit="1" customWidth="1"/>
    <col min="35" max="35" width="22" bestFit="1" customWidth="1"/>
    <col min="36" max="36" width="15" bestFit="1" customWidth="1"/>
    <col min="37" max="37" width="19" bestFit="1" customWidth="1"/>
  </cols>
  <sheetData>
    <row r="1" spans="1:37" x14ac:dyDescent="0.25">
      <c r="I1" s="27" t="s">
        <v>1358</v>
      </c>
      <c r="M1" s="27" t="s">
        <v>1358</v>
      </c>
      <c r="U1" s="16">
        <f>SUBTOTAL(9,U3:U480)</f>
        <v>4683369.570000004</v>
      </c>
      <c r="V1" s="16"/>
      <c r="W1" s="16"/>
      <c r="X1" s="16"/>
      <c r="Y1" s="16"/>
    </row>
    <row r="2" spans="1:37" ht="37.5" x14ac:dyDescent="0.35">
      <c r="A2" s="1" t="s">
        <v>1298</v>
      </c>
      <c r="B2" s="1" t="s">
        <v>1299</v>
      </c>
      <c r="C2" s="1" t="s">
        <v>1300</v>
      </c>
      <c r="D2" s="1" t="s">
        <v>1301</v>
      </c>
      <c r="E2" s="1" t="s">
        <v>1302</v>
      </c>
      <c r="F2" s="12" t="s">
        <v>1303</v>
      </c>
      <c r="G2" s="1" t="s">
        <v>1304</v>
      </c>
      <c r="H2" s="1" t="s">
        <v>1305</v>
      </c>
      <c r="I2" s="24" t="s">
        <v>1306</v>
      </c>
      <c r="J2" s="1" t="s">
        <v>1307</v>
      </c>
      <c r="K2" s="1" t="s">
        <v>1308</v>
      </c>
      <c r="L2" s="1" t="s">
        <v>1309</v>
      </c>
      <c r="M2" s="25" t="s">
        <v>1310</v>
      </c>
      <c r="N2" s="1" t="s">
        <v>1311</v>
      </c>
      <c r="O2" s="1" t="s">
        <v>1312</v>
      </c>
      <c r="P2" s="1" t="s">
        <v>1313</v>
      </c>
      <c r="Q2" s="1" t="s">
        <v>1314</v>
      </c>
      <c r="R2" s="12" t="s">
        <v>1315</v>
      </c>
      <c r="S2" s="12" t="s">
        <v>1316</v>
      </c>
      <c r="T2" s="12" t="s">
        <v>1317</v>
      </c>
      <c r="U2" s="24" t="s">
        <v>1318</v>
      </c>
      <c r="V2" s="28" t="s">
        <v>1359</v>
      </c>
      <c r="W2" s="28" t="s">
        <v>1360</v>
      </c>
      <c r="X2" s="28" t="s">
        <v>1361</v>
      </c>
      <c r="Y2" s="28"/>
      <c r="Z2" s="1" t="s">
        <v>1319</v>
      </c>
      <c r="AA2" s="1" t="s">
        <v>1320</v>
      </c>
      <c r="AB2" s="1" t="s">
        <v>1321</v>
      </c>
      <c r="AC2" s="1" t="s">
        <v>1322</v>
      </c>
      <c r="AD2" s="1" t="s">
        <v>1323</v>
      </c>
      <c r="AE2" s="1" t="s">
        <v>1324</v>
      </c>
      <c r="AF2" s="1" t="s">
        <v>1325</v>
      </c>
      <c r="AG2" s="1" t="s">
        <v>1326</v>
      </c>
      <c r="AH2" s="1" t="s">
        <v>1327</v>
      </c>
      <c r="AI2" s="1" t="s">
        <v>1328</v>
      </c>
      <c r="AJ2" s="1" t="s">
        <v>1329</v>
      </c>
      <c r="AK2" s="1" t="s">
        <v>1330</v>
      </c>
    </row>
    <row r="3" spans="1:37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45854</v>
      </c>
      <c r="H3" t="s">
        <v>6</v>
      </c>
      <c r="I3" t="s">
        <v>7</v>
      </c>
      <c r="J3" s="2">
        <v>45854</v>
      </c>
      <c r="K3" s="2">
        <v>45854</v>
      </c>
      <c r="L3" t="s">
        <v>8</v>
      </c>
      <c r="M3" s="26">
        <v>256779421358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s="3">
        <v>-1793.99</v>
      </c>
      <c r="T3" t="s">
        <v>15</v>
      </c>
      <c r="U3" s="3">
        <v>-154827.9</v>
      </c>
      <c r="V3" s="3" t="e">
        <f>VLOOKUP(M3,'[1]Query Report'!$A:$E,5,0)</f>
        <v>#N/A</v>
      </c>
      <c r="W3" s="3" t="e">
        <f>U3-V3</f>
        <v>#N/A</v>
      </c>
      <c r="X3" s="3"/>
      <c r="Y3" s="3"/>
      <c r="Z3" t="s">
        <v>16</v>
      </c>
      <c r="AA3" t="s">
        <v>17</v>
      </c>
      <c r="AB3" t="s">
        <v>12</v>
      </c>
      <c r="AC3" t="s">
        <v>8</v>
      </c>
      <c r="AD3" t="s">
        <v>18</v>
      </c>
      <c r="AE3" t="s">
        <v>19</v>
      </c>
      <c r="AF3" t="s">
        <v>12</v>
      </c>
      <c r="AG3" t="s">
        <v>12</v>
      </c>
      <c r="AH3" t="s">
        <v>12</v>
      </c>
      <c r="AI3" s="2">
        <v>45854</v>
      </c>
      <c r="AJ3" s="2">
        <v>45854</v>
      </c>
      <c r="AK3" t="s">
        <v>20</v>
      </c>
    </row>
    <row r="4" spans="1:37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45854</v>
      </c>
      <c r="H4" t="s">
        <v>21</v>
      </c>
      <c r="I4" t="s">
        <v>22</v>
      </c>
      <c r="J4" s="2">
        <v>45854</v>
      </c>
      <c r="K4" s="2">
        <v>45855</v>
      </c>
      <c r="L4" t="s">
        <v>8</v>
      </c>
      <c r="M4" s="26">
        <v>256779415406</v>
      </c>
      <c r="N4" t="s">
        <v>10</v>
      </c>
      <c r="O4" t="s">
        <v>11</v>
      </c>
      <c r="P4" t="s">
        <v>12</v>
      </c>
      <c r="Q4" t="s">
        <v>24</v>
      </c>
      <c r="R4" t="s">
        <v>14</v>
      </c>
      <c r="S4" s="3">
        <v>1793.99</v>
      </c>
      <c r="T4" t="s">
        <v>15</v>
      </c>
      <c r="U4" s="3">
        <v>154827.9</v>
      </c>
      <c r="V4" s="3" t="e">
        <f>VLOOKUP(M4,'[1]Query Report'!$A:$E,5,0)</f>
        <v>#N/A</v>
      </c>
      <c r="W4" s="3" t="e">
        <f t="shared" ref="W4:W67" si="0">U4-V4</f>
        <v>#N/A</v>
      </c>
      <c r="X4" s="3"/>
      <c r="Y4" s="3"/>
      <c r="Z4" t="s">
        <v>16</v>
      </c>
      <c r="AA4" t="s">
        <v>17</v>
      </c>
      <c r="AB4" t="s">
        <v>12</v>
      </c>
      <c r="AC4" t="s">
        <v>8</v>
      </c>
      <c r="AD4" t="s">
        <v>18</v>
      </c>
      <c r="AE4" t="s">
        <v>25</v>
      </c>
      <c r="AF4" t="s">
        <v>12</v>
      </c>
      <c r="AG4" t="s">
        <v>12</v>
      </c>
      <c r="AH4" t="s">
        <v>12</v>
      </c>
      <c r="AI4" s="2">
        <v>45854</v>
      </c>
      <c r="AJ4" s="2">
        <v>45854</v>
      </c>
      <c r="AK4" t="s">
        <v>20</v>
      </c>
    </row>
    <row r="5" spans="1:37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45854</v>
      </c>
      <c r="H5" t="s">
        <v>26</v>
      </c>
      <c r="I5" t="s">
        <v>7</v>
      </c>
      <c r="J5" s="2">
        <v>45854</v>
      </c>
      <c r="K5" s="2">
        <v>45854</v>
      </c>
      <c r="L5" t="s">
        <v>8</v>
      </c>
      <c r="M5" s="26">
        <v>256779421359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s="3">
        <v>-705</v>
      </c>
      <c r="T5" t="s">
        <v>15</v>
      </c>
      <c r="U5" s="3">
        <v>-60844.08</v>
      </c>
      <c r="V5" s="3" t="e">
        <f>VLOOKUP(M5,'[1]Query Report'!$A:$E,5,0)</f>
        <v>#N/A</v>
      </c>
      <c r="W5" s="3" t="e">
        <f t="shared" si="0"/>
        <v>#N/A</v>
      </c>
      <c r="X5" s="3"/>
      <c r="Y5" s="3"/>
      <c r="Z5" t="s">
        <v>16</v>
      </c>
      <c r="AA5" t="s">
        <v>17</v>
      </c>
      <c r="AB5" t="s">
        <v>12</v>
      </c>
      <c r="AC5" t="s">
        <v>8</v>
      </c>
      <c r="AD5" t="s">
        <v>18</v>
      </c>
      <c r="AE5" t="s">
        <v>28</v>
      </c>
      <c r="AF5" t="s">
        <v>12</v>
      </c>
      <c r="AG5" t="s">
        <v>12</v>
      </c>
      <c r="AH5" t="s">
        <v>12</v>
      </c>
      <c r="AI5" s="2">
        <v>45854</v>
      </c>
      <c r="AJ5" s="2">
        <v>45854</v>
      </c>
      <c r="AK5" t="s">
        <v>29</v>
      </c>
    </row>
    <row r="6" spans="1:37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45854</v>
      </c>
      <c r="H6" t="s">
        <v>30</v>
      </c>
      <c r="I6" t="s">
        <v>22</v>
      </c>
      <c r="J6" s="2">
        <v>45854</v>
      </c>
      <c r="K6" s="2">
        <v>45855</v>
      </c>
      <c r="L6" t="s">
        <v>8</v>
      </c>
      <c r="M6" s="26">
        <v>256779415407</v>
      </c>
      <c r="N6" t="s">
        <v>10</v>
      </c>
      <c r="O6" t="s">
        <v>11</v>
      </c>
      <c r="P6" t="s">
        <v>12</v>
      </c>
      <c r="Q6" t="s">
        <v>24</v>
      </c>
      <c r="R6" t="s">
        <v>14</v>
      </c>
      <c r="S6" s="3">
        <v>705</v>
      </c>
      <c r="T6" t="s">
        <v>15</v>
      </c>
      <c r="U6" s="3">
        <v>60844.08</v>
      </c>
      <c r="V6" s="3" t="e">
        <f>VLOOKUP(M6,'[1]Query Report'!$A:$E,5,0)</f>
        <v>#N/A</v>
      </c>
      <c r="W6" s="3" t="e">
        <f t="shared" si="0"/>
        <v>#N/A</v>
      </c>
      <c r="X6" s="3"/>
      <c r="Y6" s="3"/>
      <c r="Z6" t="s">
        <v>16</v>
      </c>
      <c r="AA6" t="s">
        <v>17</v>
      </c>
      <c r="AB6" t="s">
        <v>12</v>
      </c>
      <c r="AC6" t="s">
        <v>8</v>
      </c>
      <c r="AD6" t="s">
        <v>18</v>
      </c>
      <c r="AE6" t="s">
        <v>32</v>
      </c>
      <c r="AF6" t="s">
        <v>12</v>
      </c>
      <c r="AG6" t="s">
        <v>12</v>
      </c>
      <c r="AH6" t="s">
        <v>12</v>
      </c>
      <c r="AI6" s="2">
        <v>45854</v>
      </c>
      <c r="AJ6" s="2">
        <v>45854</v>
      </c>
      <c r="AK6" t="s">
        <v>29</v>
      </c>
    </row>
    <row r="7" spans="1:37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45854</v>
      </c>
      <c r="H7" t="s">
        <v>33</v>
      </c>
      <c r="I7" t="s">
        <v>7</v>
      </c>
      <c r="J7" s="2">
        <v>45854</v>
      </c>
      <c r="K7" s="2">
        <v>45854</v>
      </c>
      <c r="L7" t="s">
        <v>8</v>
      </c>
      <c r="M7" s="26">
        <v>256779421360</v>
      </c>
      <c r="N7" t="s">
        <v>10</v>
      </c>
      <c r="O7" t="s">
        <v>11</v>
      </c>
      <c r="P7" t="s">
        <v>12</v>
      </c>
      <c r="Q7" t="s">
        <v>13</v>
      </c>
      <c r="R7" t="s">
        <v>14</v>
      </c>
      <c r="S7" s="3">
        <v>-216.2</v>
      </c>
      <c r="T7" t="s">
        <v>15</v>
      </c>
      <c r="U7" s="3">
        <v>-18742.650000000001</v>
      </c>
      <c r="V7" s="3" t="e">
        <f>VLOOKUP(M7,'[1]Query Report'!$A:$E,5,0)</f>
        <v>#N/A</v>
      </c>
      <c r="W7" s="3" t="e">
        <f t="shared" si="0"/>
        <v>#N/A</v>
      </c>
      <c r="X7" s="3"/>
      <c r="Y7" s="3"/>
      <c r="Z7" t="s">
        <v>16</v>
      </c>
      <c r="AA7" t="s">
        <v>17</v>
      </c>
      <c r="AB7" t="s">
        <v>12</v>
      </c>
      <c r="AC7" t="s">
        <v>8</v>
      </c>
      <c r="AD7" t="s">
        <v>18</v>
      </c>
      <c r="AE7" t="s">
        <v>35</v>
      </c>
      <c r="AF7" t="s">
        <v>12</v>
      </c>
      <c r="AG7" t="s">
        <v>12</v>
      </c>
      <c r="AH7" t="s">
        <v>12</v>
      </c>
      <c r="AI7" s="2">
        <v>45854</v>
      </c>
      <c r="AJ7" s="2">
        <v>45854</v>
      </c>
      <c r="AK7" t="s">
        <v>36</v>
      </c>
    </row>
    <row r="8" spans="1:37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45854</v>
      </c>
      <c r="H8" t="s">
        <v>37</v>
      </c>
      <c r="I8" t="s">
        <v>22</v>
      </c>
      <c r="J8" s="2">
        <v>45854</v>
      </c>
      <c r="K8" s="2">
        <v>45855</v>
      </c>
      <c r="L8" t="s">
        <v>8</v>
      </c>
      <c r="M8" s="26">
        <v>256779415408</v>
      </c>
      <c r="N8" t="s">
        <v>10</v>
      </c>
      <c r="O8" t="s">
        <v>11</v>
      </c>
      <c r="P8" t="s">
        <v>12</v>
      </c>
      <c r="Q8" t="s">
        <v>24</v>
      </c>
      <c r="R8" t="s">
        <v>14</v>
      </c>
      <c r="S8" s="3">
        <v>216.2</v>
      </c>
      <c r="T8" t="s">
        <v>15</v>
      </c>
      <c r="U8" s="3">
        <v>18742.650000000001</v>
      </c>
      <c r="V8" s="3" t="e">
        <f>VLOOKUP(M8,'[1]Query Report'!$A:$E,5,0)</f>
        <v>#N/A</v>
      </c>
      <c r="W8" s="3" t="e">
        <f t="shared" si="0"/>
        <v>#N/A</v>
      </c>
      <c r="X8" s="3"/>
      <c r="Y8" s="3"/>
      <c r="Z8" t="s">
        <v>16</v>
      </c>
      <c r="AA8" t="s">
        <v>17</v>
      </c>
      <c r="AB8" t="s">
        <v>12</v>
      </c>
      <c r="AC8" t="s">
        <v>8</v>
      </c>
      <c r="AD8" t="s">
        <v>18</v>
      </c>
      <c r="AE8" t="s">
        <v>39</v>
      </c>
      <c r="AF8" t="s">
        <v>12</v>
      </c>
      <c r="AG8" t="s">
        <v>12</v>
      </c>
      <c r="AH8" t="s">
        <v>12</v>
      </c>
      <c r="AI8" s="2">
        <v>45854</v>
      </c>
      <c r="AJ8" s="2">
        <v>45854</v>
      </c>
      <c r="AK8" t="s">
        <v>36</v>
      </c>
    </row>
    <row r="9" spans="1:37" outlineLevel="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45854</v>
      </c>
      <c r="H9" t="s">
        <v>40</v>
      </c>
      <c r="I9" t="s">
        <v>7</v>
      </c>
      <c r="J9" s="2">
        <v>45854</v>
      </c>
      <c r="K9" s="2">
        <v>45854</v>
      </c>
      <c r="L9" t="s">
        <v>8</v>
      </c>
      <c r="M9" s="26">
        <v>256779421363</v>
      </c>
      <c r="N9" t="s">
        <v>10</v>
      </c>
      <c r="O9" t="s">
        <v>11</v>
      </c>
      <c r="P9" t="s">
        <v>12</v>
      </c>
      <c r="Q9" t="s">
        <v>13</v>
      </c>
      <c r="R9" t="s">
        <v>14</v>
      </c>
      <c r="S9" s="3">
        <v>-1926.06</v>
      </c>
      <c r="T9" t="s">
        <v>15</v>
      </c>
      <c r="U9" s="3">
        <v>-166972.57</v>
      </c>
      <c r="V9" s="3" t="e">
        <f>VLOOKUP(M9,'[1]Query Report'!$A:$E,5,0)</f>
        <v>#N/A</v>
      </c>
      <c r="W9" s="3" t="e">
        <f t="shared" si="0"/>
        <v>#N/A</v>
      </c>
      <c r="X9" s="3"/>
      <c r="Y9" s="3"/>
      <c r="Z9" t="s">
        <v>16</v>
      </c>
      <c r="AA9" t="s">
        <v>17</v>
      </c>
      <c r="AB9" t="s">
        <v>12</v>
      </c>
      <c r="AC9" t="s">
        <v>8</v>
      </c>
      <c r="AD9" t="s">
        <v>18</v>
      </c>
      <c r="AE9" t="s">
        <v>42</v>
      </c>
      <c r="AF9" t="s">
        <v>12</v>
      </c>
      <c r="AG9" t="s">
        <v>12</v>
      </c>
      <c r="AH9" t="s">
        <v>12</v>
      </c>
      <c r="AI9" s="2">
        <v>45854</v>
      </c>
      <c r="AJ9" s="2">
        <v>45854</v>
      </c>
      <c r="AK9" t="s">
        <v>43</v>
      </c>
    </row>
    <row r="10" spans="1:37" outlineLevel="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45854</v>
      </c>
      <c r="H10" t="s">
        <v>44</v>
      </c>
      <c r="I10" t="s">
        <v>22</v>
      </c>
      <c r="J10" s="2">
        <v>45854</v>
      </c>
      <c r="K10" s="2">
        <v>45855</v>
      </c>
      <c r="L10" t="s">
        <v>8</v>
      </c>
      <c r="M10" s="26">
        <v>256779415409</v>
      </c>
      <c r="N10" t="s">
        <v>10</v>
      </c>
      <c r="O10" t="s">
        <v>11</v>
      </c>
      <c r="P10" t="s">
        <v>12</v>
      </c>
      <c r="Q10" t="s">
        <v>24</v>
      </c>
      <c r="R10" t="s">
        <v>14</v>
      </c>
      <c r="S10" s="3">
        <v>1926.06</v>
      </c>
      <c r="T10" t="s">
        <v>15</v>
      </c>
      <c r="U10" s="3">
        <v>166972.57</v>
      </c>
      <c r="V10" s="3" t="e">
        <f>VLOOKUP(M10,'[1]Query Report'!$A:$E,5,0)</f>
        <v>#N/A</v>
      </c>
      <c r="W10" s="3" t="e">
        <f t="shared" si="0"/>
        <v>#N/A</v>
      </c>
      <c r="X10" s="3"/>
      <c r="Y10" s="3"/>
      <c r="Z10" t="s">
        <v>16</v>
      </c>
      <c r="AA10" t="s">
        <v>17</v>
      </c>
      <c r="AB10" t="s">
        <v>12</v>
      </c>
      <c r="AC10" t="s">
        <v>8</v>
      </c>
      <c r="AD10" t="s">
        <v>18</v>
      </c>
      <c r="AE10" t="s">
        <v>46</v>
      </c>
      <c r="AF10" t="s">
        <v>12</v>
      </c>
      <c r="AG10" t="s">
        <v>12</v>
      </c>
      <c r="AH10" t="s">
        <v>12</v>
      </c>
      <c r="AI10" s="2">
        <v>45854</v>
      </c>
      <c r="AJ10" s="2">
        <v>45854</v>
      </c>
      <c r="AK10" t="s">
        <v>43</v>
      </c>
    </row>
    <row r="11" spans="1:37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45854</v>
      </c>
      <c r="H11" t="s">
        <v>47</v>
      </c>
      <c r="I11" t="s">
        <v>7</v>
      </c>
      <c r="J11" s="2">
        <v>45854</v>
      </c>
      <c r="K11" s="2">
        <v>45854</v>
      </c>
      <c r="L11" t="s">
        <v>8</v>
      </c>
      <c r="M11" s="26">
        <v>256779421366</v>
      </c>
      <c r="N11" t="s">
        <v>10</v>
      </c>
      <c r="O11" t="s">
        <v>11</v>
      </c>
      <c r="P11" t="s">
        <v>12</v>
      </c>
      <c r="Q11" t="s">
        <v>13</v>
      </c>
      <c r="R11" t="s">
        <v>14</v>
      </c>
      <c r="S11" s="3">
        <v>-531.9</v>
      </c>
      <c r="T11" t="s">
        <v>15</v>
      </c>
      <c r="U11" s="3">
        <v>-46111.08</v>
      </c>
      <c r="V11" s="3" t="e">
        <f>VLOOKUP(M11,'[1]Query Report'!$A:$E,5,0)</f>
        <v>#N/A</v>
      </c>
      <c r="W11" s="3" t="e">
        <f t="shared" si="0"/>
        <v>#N/A</v>
      </c>
      <c r="X11" s="3"/>
      <c r="Y11" s="3"/>
      <c r="Z11" t="s">
        <v>16</v>
      </c>
      <c r="AA11" t="s">
        <v>17</v>
      </c>
      <c r="AB11" t="s">
        <v>12</v>
      </c>
      <c r="AC11" t="s">
        <v>8</v>
      </c>
      <c r="AD11" t="s">
        <v>18</v>
      </c>
      <c r="AE11" t="s">
        <v>49</v>
      </c>
      <c r="AF11" t="s">
        <v>12</v>
      </c>
      <c r="AG11" t="s">
        <v>12</v>
      </c>
      <c r="AH11" t="s">
        <v>12</v>
      </c>
      <c r="AI11" s="2">
        <v>45854</v>
      </c>
      <c r="AJ11" s="2">
        <v>45854</v>
      </c>
      <c r="AK11" t="s">
        <v>50</v>
      </c>
    </row>
    <row r="12" spans="1:37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45854</v>
      </c>
      <c r="H12" t="s">
        <v>51</v>
      </c>
      <c r="I12" t="s">
        <v>22</v>
      </c>
      <c r="J12" s="2">
        <v>45854</v>
      </c>
      <c r="K12" s="2">
        <v>45855</v>
      </c>
      <c r="L12" t="s">
        <v>8</v>
      </c>
      <c r="M12" s="26">
        <v>256779415410</v>
      </c>
      <c r="N12" t="s">
        <v>10</v>
      </c>
      <c r="O12" t="s">
        <v>11</v>
      </c>
      <c r="P12" t="s">
        <v>12</v>
      </c>
      <c r="Q12" t="s">
        <v>24</v>
      </c>
      <c r="R12" t="s">
        <v>14</v>
      </c>
      <c r="S12" s="3">
        <v>531.9</v>
      </c>
      <c r="T12" t="s">
        <v>15</v>
      </c>
      <c r="U12" s="3">
        <v>46111.08</v>
      </c>
      <c r="V12" s="3" t="e">
        <f>VLOOKUP(M12,'[1]Query Report'!$A:$E,5,0)</f>
        <v>#N/A</v>
      </c>
      <c r="W12" s="3" t="e">
        <f t="shared" si="0"/>
        <v>#N/A</v>
      </c>
      <c r="X12" s="3"/>
      <c r="Y12" s="3"/>
      <c r="Z12" t="s">
        <v>16</v>
      </c>
      <c r="AA12" t="s">
        <v>17</v>
      </c>
      <c r="AB12" t="s">
        <v>12</v>
      </c>
      <c r="AC12" t="s">
        <v>8</v>
      </c>
      <c r="AD12" t="s">
        <v>18</v>
      </c>
      <c r="AE12" t="s">
        <v>53</v>
      </c>
      <c r="AF12" t="s">
        <v>12</v>
      </c>
      <c r="AG12" t="s">
        <v>12</v>
      </c>
      <c r="AH12" t="s">
        <v>12</v>
      </c>
      <c r="AI12" s="2">
        <v>45854</v>
      </c>
      <c r="AJ12" s="2">
        <v>45854</v>
      </c>
      <c r="AK12" t="s">
        <v>50</v>
      </c>
    </row>
    <row r="13" spans="1:37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45854</v>
      </c>
      <c r="H13" t="s">
        <v>54</v>
      </c>
      <c r="I13" t="s">
        <v>7</v>
      </c>
      <c r="J13" s="2">
        <v>45854</v>
      </c>
      <c r="K13" s="2">
        <v>45854</v>
      </c>
      <c r="L13" t="s">
        <v>8</v>
      </c>
      <c r="M13" s="26">
        <v>256779421371</v>
      </c>
      <c r="N13" t="s">
        <v>10</v>
      </c>
      <c r="O13" t="s">
        <v>11</v>
      </c>
      <c r="P13" t="s">
        <v>12</v>
      </c>
      <c r="Q13" t="s">
        <v>13</v>
      </c>
      <c r="R13" t="s">
        <v>14</v>
      </c>
      <c r="S13" s="3">
        <v>-525</v>
      </c>
      <c r="T13" t="s">
        <v>15</v>
      </c>
      <c r="U13" s="3">
        <v>-45512.91</v>
      </c>
      <c r="V13" s="3" t="e">
        <f>VLOOKUP(M13,'[1]Query Report'!$A:$E,5,0)</f>
        <v>#N/A</v>
      </c>
      <c r="W13" s="3" t="e">
        <f t="shared" si="0"/>
        <v>#N/A</v>
      </c>
      <c r="X13" s="3"/>
      <c r="Y13" s="3"/>
      <c r="Z13" t="s">
        <v>16</v>
      </c>
      <c r="AA13" t="s">
        <v>17</v>
      </c>
      <c r="AB13" t="s">
        <v>12</v>
      </c>
      <c r="AC13" t="s">
        <v>8</v>
      </c>
      <c r="AD13" t="s">
        <v>18</v>
      </c>
      <c r="AE13" t="s">
        <v>56</v>
      </c>
      <c r="AF13" t="s">
        <v>12</v>
      </c>
      <c r="AG13" t="s">
        <v>12</v>
      </c>
      <c r="AH13" t="s">
        <v>12</v>
      </c>
      <c r="AI13" s="2">
        <v>45854</v>
      </c>
      <c r="AJ13" s="2">
        <v>45854</v>
      </c>
      <c r="AK13" t="s">
        <v>57</v>
      </c>
    </row>
    <row r="14" spans="1:37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45854</v>
      </c>
      <c r="H14" t="s">
        <v>58</v>
      </c>
      <c r="I14" t="s">
        <v>22</v>
      </c>
      <c r="J14" s="2">
        <v>45854</v>
      </c>
      <c r="K14" s="2">
        <v>45855</v>
      </c>
      <c r="L14" t="s">
        <v>8</v>
      </c>
      <c r="M14" s="26">
        <v>256779415411</v>
      </c>
      <c r="N14" t="s">
        <v>10</v>
      </c>
      <c r="O14" t="s">
        <v>11</v>
      </c>
      <c r="P14" t="s">
        <v>12</v>
      </c>
      <c r="Q14" t="s">
        <v>24</v>
      </c>
      <c r="R14" t="s">
        <v>14</v>
      </c>
      <c r="S14" s="3">
        <v>525</v>
      </c>
      <c r="T14" t="s">
        <v>15</v>
      </c>
      <c r="U14" s="3">
        <v>45512.91</v>
      </c>
      <c r="V14" s="3" t="e">
        <f>VLOOKUP(M14,'[1]Query Report'!$A:$E,5,0)</f>
        <v>#N/A</v>
      </c>
      <c r="W14" s="3" t="e">
        <f t="shared" si="0"/>
        <v>#N/A</v>
      </c>
      <c r="X14" s="3"/>
      <c r="Y14" s="3"/>
      <c r="Z14" t="s">
        <v>16</v>
      </c>
      <c r="AA14" t="s">
        <v>17</v>
      </c>
      <c r="AB14" t="s">
        <v>12</v>
      </c>
      <c r="AC14" t="s">
        <v>8</v>
      </c>
      <c r="AD14" t="s">
        <v>18</v>
      </c>
      <c r="AE14" t="s">
        <v>60</v>
      </c>
      <c r="AF14" t="s">
        <v>12</v>
      </c>
      <c r="AG14" t="s">
        <v>12</v>
      </c>
      <c r="AH14" t="s">
        <v>12</v>
      </c>
      <c r="AI14" s="2">
        <v>45854</v>
      </c>
      <c r="AJ14" s="2">
        <v>45854</v>
      </c>
      <c r="AK14" t="s">
        <v>57</v>
      </c>
    </row>
    <row r="15" spans="1:37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45854</v>
      </c>
      <c r="H15" t="s">
        <v>61</v>
      </c>
      <c r="I15" t="s">
        <v>7</v>
      </c>
      <c r="J15" s="2">
        <v>45854</v>
      </c>
      <c r="K15" s="2">
        <v>45854</v>
      </c>
      <c r="L15" t="s">
        <v>8</v>
      </c>
      <c r="M15" s="26">
        <v>256779421361</v>
      </c>
      <c r="N15" t="s">
        <v>10</v>
      </c>
      <c r="O15" t="s">
        <v>11</v>
      </c>
      <c r="P15" t="s">
        <v>12</v>
      </c>
      <c r="Q15" t="s">
        <v>13</v>
      </c>
      <c r="R15" t="s">
        <v>14</v>
      </c>
      <c r="S15" s="3">
        <v>-364.25</v>
      </c>
      <c r="T15" t="s">
        <v>15</v>
      </c>
      <c r="U15" s="3">
        <v>-31577.29</v>
      </c>
      <c r="V15" s="3" t="e">
        <f>VLOOKUP(M15,'[1]Query Report'!$A:$E,4,0)</f>
        <v>#N/A</v>
      </c>
      <c r="W15" s="3" t="e">
        <f t="shared" si="0"/>
        <v>#N/A</v>
      </c>
      <c r="X15" s="3" t="e">
        <f>W15/U15</f>
        <v>#N/A</v>
      </c>
      <c r="Y15" s="3" t="s">
        <v>1363</v>
      </c>
      <c r="Z15" t="s">
        <v>16</v>
      </c>
      <c r="AA15" t="s">
        <v>17</v>
      </c>
      <c r="AB15" t="s">
        <v>12</v>
      </c>
      <c r="AC15" t="s">
        <v>8</v>
      </c>
      <c r="AD15" t="s">
        <v>18</v>
      </c>
      <c r="AE15" t="s">
        <v>63</v>
      </c>
      <c r="AF15" t="s">
        <v>12</v>
      </c>
      <c r="AG15" t="s">
        <v>12</v>
      </c>
      <c r="AH15" t="s">
        <v>12</v>
      </c>
      <c r="AI15" s="2">
        <v>45854</v>
      </c>
      <c r="AJ15" s="2">
        <v>45976</v>
      </c>
      <c r="AK15" t="s">
        <v>64</v>
      </c>
    </row>
    <row r="16" spans="1:37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45854</v>
      </c>
      <c r="H16" t="s">
        <v>65</v>
      </c>
      <c r="I16" t="s">
        <v>7</v>
      </c>
      <c r="J16" s="2">
        <v>45854</v>
      </c>
      <c r="K16" s="2">
        <v>45854</v>
      </c>
      <c r="L16" t="s">
        <v>8</v>
      </c>
      <c r="M16" s="26">
        <v>256779421362</v>
      </c>
      <c r="N16" t="s">
        <v>10</v>
      </c>
      <c r="O16" t="s">
        <v>11</v>
      </c>
      <c r="P16" t="s">
        <v>12</v>
      </c>
      <c r="Q16" t="s">
        <v>13</v>
      </c>
      <c r="R16" t="s">
        <v>14</v>
      </c>
      <c r="S16" s="3">
        <v>-237.35</v>
      </c>
      <c r="T16" t="s">
        <v>15</v>
      </c>
      <c r="U16" s="3">
        <v>-20576.169999999998</v>
      </c>
      <c r="V16" s="3" t="e">
        <f>VLOOKUP(M16,'[1]Query Report'!$A:$E,5,0)</f>
        <v>#N/A</v>
      </c>
      <c r="W16" s="3" t="e">
        <f t="shared" si="0"/>
        <v>#N/A</v>
      </c>
      <c r="X16" s="3"/>
      <c r="Y16" s="3"/>
      <c r="Z16" t="s">
        <v>16</v>
      </c>
      <c r="AA16" t="s">
        <v>17</v>
      </c>
      <c r="AB16" t="s">
        <v>12</v>
      </c>
      <c r="AC16" t="s">
        <v>8</v>
      </c>
      <c r="AD16" t="s">
        <v>18</v>
      </c>
      <c r="AE16" t="s">
        <v>67</v>
      </c>
      <c r="AF16" t="s">
        <v>12</v>
      </c>
      <c r="AG16" t="s">
        <v>12</v>
      </c>
      <c r="AH16" t="s">
        <v>12</v>
      </c>
      <c r="AI16" s="2">
        <v>45854</v>
      </c>
      <c r="AJ16" s="2">
        <v>45976</v>
      </c>
      <c r="AK16" t="s">
        <v>64</v>
      </c>
    </row>
    <row r="17" spans="1:37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45854</v>
      </c>
      <c r="H17" t="s">
        <v>68</v>
      </c>
      <c r="I17" t="s">
        <v>7</v>
      </c>
      <c r="J17" s="2">
        <v>45854</v>
      </c>
      <c r="K17" s="2">
        <v>45854</v>
      </c>
      <c r="L17" t="s">
        <v>8</v>
      </c>
      <c r="M17" s="26">
        <v>256779421364</v>
      </c>
      <c r="N17" t="s">
        <v>10</v>
      </c>
      <c r="O17" t="s">
        <v>11</v>
      </c>
      <c r="P17" t="s">
        <v>12</v>
      </c>
      <c r="Q17" t="s">
        <v>13</v>
      </c>
      <c r="R17" t="s">
        <v>14</v>
      </c>
      <c r="S17" s="3">
        <v>-220</v>
      </c>
      <c r="T17" t="s">
        <v>15</v>
      </c>
      <c r="U17" s="3">
        <v>-19072.080000000002</v>
      </c>
      <c r="V17" s="3" t="e">
        <f>VLOOKUP(M17,'[1]Query Report'!$A:$E,5,0)</f>
        <v>#N/A</v>
      </c>
      <c r="W17" s="3" t="e">
        <f t="shared" si="0"/>
        <v>#N/A</v>
      </c>
      <c r="X17" s="3"/>
      <c r="Y17" s="3"/>
      <c r="Z17" t="s">
        <v>16</v>
      </c>
      <c r="AA17" t="s">
        <v>17</v>
      </c>
      <c r="AB17" t="s">
        <v>12</v>
      </c>
      <c r="AC17" t="s">
        <v>8</v>
      </c>
      <c r="AD17" t="s">
        <v>18</v>
      </c>
      <c r="AE17" t="s">
        <v>70</v>
      </c>
      <c r="AF17" t="s">
        <v>12</v>
      </c>
      <c r="AG17" t="s">
        <v>12</v>
      </c>
      <c r="AH17" t="s">
        <v>12</v>
      </c>
      <c r="AI17" s="2">
        <v>45854</v>
      </c>
      <c r="AJ17" s="2">
        <v>45976</v>
      </c>
      <c r="AK17" t="s">
        <v>64</v>
      </c>
    </row>
    <row r="18" spans="1:37" outlineLevel="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45854</v>
      </c>
      <c r="H18" t="s">
        <v>71</v>
      </c>
      <c r="I18" t="s">
        <v>7</v>
      </c>
      <c r="J18" s="2">
        <v>45854</v>
      </c>
      <c r="K18" s="2">
        <v>45854</v>
      </c>
      <c r="L18" t="s">
        <v>8</v>
      </c>
      <c r="M18" s="26">
        <v>256779421365</v>
      </c>
      <c r="N18" t="s">
        <v>10</v>
      </c>
      <c r="O18" t="s">
        <v>11</v>
      </c>
      <c r="P18" t="s">
        <v>12</v>
      </c>
      <c r="Q18" t="s">
        <v>13</v>
      </c>
      <c r="R18" t="s">
        <v>14</v>
      </c>
      <c r="S18" s="3">
        <v>-375</v>
      </c>
      <c r="T18" t="s">
        <v>15</v>
      </c>
      <c r="U18" s="3">
        <v>-32509.22</v>
      </c>
      <c r="V18" s="3" t="e">
        <f>VLOOKUP(M18,'[1]Query Report'!$A:$E,5,0)</f>
        <v>#N/A</v>
      </c>
      <c r="W18" s="3" t="e">
        <f t="shared" si="0"/>
        <v>#N/A</v>
      </c>
      <c r="X18" s="3"/>
      <c r="Y18" s="3"/>
      <c r="Z18" t="s">
        <v>16</v>
      </c>
      <c r="AA18" t="s">
        <v>17</v>
      </c>
      <c r="AB18" t="s">
        <v>12</v>
      </c>
      <c r="AC18" t="s">
        <v>8</v>
      </c>
      <c r="AD18" t="s">
        <v>18</v>
      </c>
      <c r="AE18" t="s">
        <v>73</v>
      </c>
      <c r="AF18" t="s">
        <v>12</v>
      </c>
      <c r="AG18" t="s">
        <v>12</v>
      </c>
      <c r="AH18" t="s">
        <v>12</v>
      </c>
      <c r="AI18" s="2">
        <v>45854</v>
      </c>
      <c r="AJ18" s="2">
        <v>45976</v>
      </c>
      <c r="AK18" t="s">
        <v>64</v>
      </c>
    </row>
    <row r="19" spans="1:37" outlineLevel="2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45854</v>
      </c>
      <c r="H19" t="s">
        <v>74</v>
      </c>
      <c r="I19" t="s">
        <v>7</v>
      </c>
      <c r="J19" s="2">
        <v>45854</v>
      </c>
      <c r="K19" s="2">
        <v>45854</v>
      </c>
      <c r="L19" t="s">
        <v>8</v>
      </c>
      <c r="M19" s="26">
        <v>256779421367</v>
      </c>
      <c r="N19" t="s">
        <v>10</v>
      </c>
      <c r="O19" t="s">
        <v>11</v>
      </c>
      <c r="P19" t="s">
        <v>12</v>
      </c>
      <c r="Q19" t="s">
        <v>13</v>
      </c>
      <c r="R19" t="s">
        <v>14</v>
      </c>
      <c r="S19" s="3">
        <v>-1314.12</v>
      </c>
      <c r="T19" t="s">
        <v>15</v>
      </c>
      <c r="U19" s="3">
        <v>-114225.7</v>
      </c>
      <c r="V19" s="3" t="e">
        <f>VLOOKUP(M19,'[1]Query Report'!$A:$E,4,0)</f>
        <v>#N/A</v>
      </c>
      <c r="W19" s="3" t="e">
        <f t="shared" si="0"/>
        <v>#N/A</v>
      </c>
      <c r="X19" s="3" t="e">
        <f>W19/U19</f>
        <v>#N/A</v>
      </c>
      <c r="Y19" s="3" t="s">
        <v>1363</v>
      </c>
      <c r="Z19" t="s">
        <v>16</v>
      </c>
      <c r="AA19" t="s">
        <v>17</v>
      </c>
      <c r="AB19" t="s">
        <v>12</v>
      </c>
      <c r="AC19" t="s">
        <v>8</v>
      </c>
      <c r="AD19" t="s">
        <v>18</v>
      </c>
      <c r="AE19" t="s">
        <v>76</v>
      </c>
      <c r="AF19" t="s">
        <v>12</v>
      </c>
      <c r="AG19" t="s">
        <v>12</v>
      </c>
      <c r="AH19" t="s">
        <v>12</v>
      </c>
      <c r="AI19" s="2">
        <v>45854</v>
      </c>
      <c r="AJ19" s="2">
        <v>45976</v>
      </c>
      <c r="AK19" t="s">
        <v>64</v>
      </c>
    </row>
    <row r="20" spans="1:37" outlineLevel="2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45854</v>
      </c>
      <c r="H20" t="s">
        <v>77</v>
      </c>
      <c r="I20" t="s">
        <v>7</v>
      </c>
      <c r="J20" s="2">
        <v>45854</v>
      </c>
      <c r="K20" s="2">
        <v>45854</v>
      </c>
      <c r="L20" t="s">
        <v>8</v>
      </c>
      <c r="M20" s="26">
        <v>256779421368</v>
      </c>
      <c r="N20" t="s">
        <v>10</v>
      </c>
      <c r="O20" t="s">
        <v>11</v>
      </c>
      <c r="P20" t="s">
        <v>12</v>
      </c>
      <c r="Q20" t="s">
        <v>13</v>
      </c>
      <c r="R20" t="s">
        <v>14</v>
      </c>
      <c r="S20" s="3">
        <v>-705</v>
      </c>
      <c r="T20" t="s">
        <v>15</v>
      </c>
      <c r="U20" s="3">
        <v>-61279.88</v>
      </c>
      <c r="V20" s="3" t="e">
        <f>VLOOKUP(M20,'[1]Query Report'!$A:$E,5,0)</f>
        <v>#N/A</v>
      </c>
      <c r="W20" s="3" t="e">
        <f t="shared" si="0"/>
        <v>#N/A</v>
      </c>
      <c r="X20" s="3"/>
      <c r="Y20" s="3"/>
      <c r="Z20" t="s">
        <v>16</v>
      </c>
      <c r="AA20" t="s">
        <v>17</v>
      </c>
      <c r="AB20" t="s">
        <v>12</v>
      </c>
      <c r="AC20" t="s">
        <v>8</v>
      </c>
      <c r="AD20" t="s">
        <v>18</v>
      </c>
      <c r="AE20" t="s">
        <v>79</v>
      </c>
      <c r="AF20" t="s">
        <v>12</v>
      </c>
      <c r="AG20" t="s">
        <v>12</v>
      </c>
      <c r="AH20" t="s">
        <v>12</v>
      </c>
      <c r="AI20" s="2">
        <v>45854</v>
      </c>
      <c r="AJ20" s="2">
        <v>45976</v>
      </c>
      <c r="AK20" t="s">
        <v>64</v>
      </c>
    </row>
    <row r="21" spans="1:37" outlineLevel="2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45854</v>
      </c>
      <c r="H21" t="s">
        <v>80</v>
      </c>
      <c r="I21" t="s">
        <v>7</v>
      </c>
      <c r="J21" s="2">
        <v>45854</v>
      </c>
      <c r="K21" s="2">
        <v>45854</v>
      </c>
      <c r="L21" t="s">
        <v>8</v>
      </c>
      <c r="M21" s="26">
        <v>256779421369</v>
      </c>
      <c r="N21" t="s">
        <v>10</v>
      </c>
      <c r="O21" t="s">
        <v>11</v>
      </c>
      <c r="P21" t="s">
        <v>12</v>
      </c>
      <c r="Q21" t="s">
        <v>13</v>
      </c>
      <c r="R21" t="s">
        <v>14</v>
      </c>
      <c r="S21" s="3">
        <v>-1793.99</v>
      </c>
      <c r="T21" t="s">
        <v>15</v>
      </c>
      <c r="U21" s="3">
        <v>-155936.88</v>
      </c>
      <c r="V21" s="3" t="e">
        <f>VLOOKUP(M21,'[1]Query Report'!$A:$E,5,0)</f>
        <v>#N/A</v>
      </c>
      <c r="W21" s="3" t="e">
        <f t="shared" si="0"/>
        <v>#N/A</v>
      </c>
      <c r="X21" s="3"/>
      <c r="Y21" s="3"/>
      <c r="Z21" t="s">
        <v>16</v>
      </c>
      <c r="AA21" t="s">
        <v>17</v>
      </c>
      <c r="AB21" t="s">
        <v>12</v>
      </c>
      <c r="AC21" t="s">
        <v>8</v>
      </c>
      <c r="AD21" t="s">
        <v>18</v>
      </c>
      <c r="AE21" t="s">
        <v>82</v>
      </c>
      <c r="AF21" t="s">
        <v>12</v>
      </c>
      <c r="AG21" t="s">
        <v>12</v>
      </c>
      <c r="AH21" t="s">
        <v>12</v>
      </c>
      <c r="AI21" s="2">
        <v>45854</v>
      </c>
      <c r="AJ21" s="2">
        <v>45976</v>
      </c>
      <c r="AK21" t="s">
        <v>64</v>
      </c>
    </row>
    <row r="22" spans="1:37" outlineLevel="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45854</v>
      </c>
      <c r="H22" t="s">
        <v>83</v>
      </c>
      <c r="I22" t="s">
        <v>7</v>
      </c>
      <c r="J22" s="2">
        <v>45854</v>
      </c>
      <c r="K22" s="2">
        <v>45854</v>
      </c>
      <c r="L22" t="s">
        <v>8</v>
      </c>
      <c r="M22" s="26">
        <v>256779421370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s="3">
        <v>-140</v>
      </c>
      <c r="T22" t="s">
        <v>15</v>
      </c>
      <c r="U22" s="3">
        <v>-12169.05</v>
      </c>
      <c r="V22" s="3" t="e">
        <f>VLOOKUP(M22,'[1]Query Report'!$A:$E,4,0)</f>
        <v>#N/A</v>
      </c>
      <c r="W22" s="3" t="e">
        <f t="shared" si="0"/>
        <v>#N/A</v>
      </c>
      <c r="X22" s="3" t="e">
        <f>W22/U22</f>
        <v>#N/A</v>
      </c>
      <c r="Y22" s="3" t="s">
        <v>1363</v>
      </c>
      <c r="Z22" t="s">
        <v>16</v>
      </c>
      <c r="AA22" t="s">
        <v>17</v>
      </c>
      <c r="AB22" t="s">
        <v>12</v>
      </c>
      <c r="AC22" t="s">
        <v>8</v>
      </c>
      <c r="AD22" t="s">
        <v>18</v>
      </c>
      <c r="AE22" t="s">
        <v>85</v>
      </c>
      <c r="AF22" t="s">
        <v>12</v>
      </c>
      <c r="AG22" t="s">
        <v>12</v>
      </c>
      <c r="AH22" t="s">
        <v>12</v>
      </c>
      <c r="AI22" s="2">
        <v>45854</v>
      </c>
      <c r="AJ22" s="2">
        <v>45976</v>
      </c>
      <c r="AK22" t="s">
        <v>64</v>
      </c>
    </row>
    <row r="23" spans="1:37" outlineLevel="2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45854</v>
      </c>
      <c r="H23" t="s">
        <v>86</v>
      </c>
      <c r="I23" t="s">
        <v>7</v>
      </c>
      <c r="J23" s="2">
        <v>45854</v>
      </c>
      <c r="K23" s="2">
        <v>45854</v>
      </c>
      <c r="L23" t="s">
        <v>8</v>
      </c>
      <c r="M23" s="26">
        <v>256779421372</v>
      </c>
      <c r="N23" t="s">
        <v>10</v>
      </c>
      <c r="O23" t="s">
        <v>11</v>
      </c>
      <c r="P23" t="s">
        <v>12</v>
      </c>
      <c r="Q23" t="s">
        <v>13</v>
      </c>
      <c r="R23" t="s">
        <v>14</v>
      </c>
      <c r="S23" s="3">
        <v>-385</v>
      </c>
      <c r="T23" t="s">
        <v>15</v>
      </c>
      <c r="U23" s="3">
        <v>-33376.14</v>
      </c>
      <c r="V23" s="3" t="e">
        <f>VLOOKUP(M23,'[1]Query Report'!$A:$E,5,0)</f>
        <v>#N/A</v>
      </c>
      <c r="W23" s="3" t="e">
        <f t="shared" si="0"/>
        <v>#N/A</v>
      </c>
      <c r="X23" s="3"/>
      <c r="Y23" s="3"/>
      <c r="Z23" t="s">
        <v>16</v>
      </c>
      <c r="AA23" t="s">
        <v>17</v>
      </c>
      <c r="AB23" t="s">
        <v>12</v>
      </c>
      <c r="AC23" t="s">
        <v>8</v>
      </c>
      <c r="AD23" t="s">
        <v>18</v>
      </c>
      <c r="AE23" t="s">
        <v>88</v>
      </c>
      <c r="AF23" t="s">
        <v>12</v>
      </c>
      <c r="AG23" t="s">
        <v>12</v>
      </c>
      <c r="AH23" t="s">
        <v>12</v>
      </c>
      <c r="AI23" s="2">
        <v>45854</v>
      </c>
      <c r="AJ23" s="2">
        <v>45976</v>
      </c>
      <c r="AK23" t="s">
        <v>64</v>
      </c>
    </row>
    <row r="24" spans="1:37" outlineLevel="2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45854</v>
      </c>
      <c r="H24" t="s">
        <v>89</v>
      </c>
      <c r="I24" t="s">
        <v>7</v>
      </c>
      <c r="J24" s="2">
        <v>45854</v>
      </c>
      <c r="K24" s="2">
        <v>45854</v>
      </c>
      <c r="L24" t="s">
        <v>8</v>
      </c>
      <c r="M24" s="26">
        <v>256779421373</v>
      </c>
      <c r="N24" t="s">
        <v>10</v>
      </c>
      <c r="O24" t="s">
        <v>11</v>
      </c>
      <c r="P24" t="s">
        <v>12</v>
      </c>
      <c r="Q24" t="s">
        <v>13</v>
      </c>
      <c r="R24" t="s">
        <v>14</v>
      </c>
      <c r="S24" s="3">
        <v>-105</v>
      </c>
      <c r="T24" t="s">
        <v>15</v>
      </c>
      <c r="U24" s="3">
        <v>-9102.58</v>
      </c>
      <c r="V24" s="3" t="e">
        <f>VLOOKUP(M24,'[1]Query Report'!$A:$E,4,0)</f>
        <v>#N/A</v>
      </c>
      <c r="W24" s="3" t="e">
        <f t="shared" si="0"/>
        <v>#N/A</v>
      </c>
      <c r="X24" s="3" t="e">
        <f>W24/U24</f>
        <v>#N/A</v>
      </c>
      <c r="Y24" s="3" t="s">
        <v>1363</v>
      </c>
      <c r="Z24" t="s">
        <v>16</v>
      </c>
      <c r="AA24" t="s">
        <v>17</v>
      </c>
      <c r="AB24" t="s">
        <v>12</v>
      </c>
      <c r="AC24" t="s">
        <v>8</v>
      </c>
      <c r="AD24" t="s">
        <v>18</v>
      </c>
      <c r="AE24" t="s">
        <v>91</v>
      </c>
      <c r="AF24" t="s">
        <v>12</v>
      </c>
      <c r="AG24" t="s">
        <v>12</v>
      </c>
      <c r="AH24" t="s">
        <v>12</v>
      </c>
      <c r="AI24" s="2">
        <v>45854</v>
      </c>
      <c r="AJ24" s="2">
        <v>45976</v>
      </c>
      <c r="AK24" t="s">
        <v>64</v>
      </c>
    </row>
    <row r="25" spans="1:37" outlineLevel="2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45854</v>
      </c>
      <c r="H25" t="s">
        <v>92</v>
      </c>
      <c r="I25" t="s">
        <v>7</v>
      </c>
      <c r="J25" s="2">
        <v>45854</v>
      </c>
      <c r="K25" s="2">
        <v>45854</v>
      </c>
      <c r="L25" t="s">
        <v>8</v>
      </c>
      <c r="M25" s="26">
        <v>256779421374</v>
      </c>
      <c r="N25" t="s">
        <v>10</v>
      </c>
      <c r="O25" t="s">
        <v>11</v>
      </c>
      <c r="P25" t="s">
        <v>12</v>
      </c>
      <c r="Q25" t="s">
        <v>13</v>
      </c>
      <c r="R25" t="s">
        <v>14</v>
      </c>
      <c r="S25" s="3">
        <v>-245</v>
      </c>
      <c r="T25" t="s">
        <v>15</v>
      </c>
      <c r="U25" s="3">
        <v>-21239.360000000001</v>
      </c>
      <c r="V25" s="3" t="e">
        <f>VLOOKUP(M25,'[1]Query Report'!$A:$E,5,0)</f>
        <v>#N/A</v>
      </c>
      <c r="W25" s="3" t="e">
        <f t="shared" si="0"/>
        <v>#N/A</v>
      </c>
      <c r="X25" s="3"/>
      <c r="Y25" s="3"/>
      <c r="Z25" t="s">
        <v>16</v>
      </c>
      <c r="AA25" t="s">
        <v>17</v>
      </c>
      <c r="AB25" t="s">
        <v>12</v>
      </c>
      <c r="AC25" t="s">
        <v>8</v>
      </c>
      <c r="AD25" t="s">
        <v>18</v>
      </c>
      <c r="AE25" t="s">
        <v>94</v>
      </c>
      <c r="AF25" t="s">
        <v>12</v>
      </c>
      <c r="AG25" t="s">
        <v>12</v>
      </c>
      <c r="AH25" t="s">
        <v>12</v>
      </c>
      <c r="AI25" s="2">
        <v>45854</v>
      </c>
      <c r="AJ25" s="2">
        <v>45976</v>
      </c>
      <c r="AK25" t="s">
        <v>64</v>
      </c>
    </row>
    <row r="26" spans="1:37" outlineLevel="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45854</v>
      </c>
      <c r="H26" t="s">
        <v>95</v>
      </c>
      <c r="I26" t="s">
        <v>7</v>
      </c>
      <c r="J26" s="2">
        <v>45854</v>
      </c>
      <c r="K26" s="2">
        <v>45854</v>
      </c>
      <c r="L26" t="s">
        <v>8</v>
      </c>
      <c r="M26" s="26">
        <v>256779421375</v>
      </c>
      <c r="N26" t="s">
        <v>10</v>
      </c>
      <c r="O26" t="s">
        <v>11</v>
      </c>
      <c r="P26" t="s">
        <v>12</v>
      </c>
      <c r="Q26" t="s">
        <v>13</v>
      </c>
      <c r="R26" t="s">
        <v>14</v>
      </c>
      <c r="S26" s="3">
        <v>-220</v>
      </c>
      <c r="T26" t="s">
        <v>15</v>
      </c>
      <c r="U26" s="3">
        <v>-19072.080000000002</v>
      </c>
      <c r="V26" s="3" t="e">
        <f>VLOOKUP(M26,'[1]Query Report'!$A:$E,5,0)</f>
        <v>#N/A</v>
      </c>
      <c r="W26" s="3" t="e">
        <f t="shared" si="0"/>
        <v>#N/A</v>
      </c>
      <c r="X26" s="3"/>
      <c r="Y26" s="3"/>
      <c r="Z26" t="s">
        <v>16</v>
      </c>
      <c r="AA26" t="s">
        <v>17</v>
      </c>
      <c r="AB26" t="s">
        <v>12</v>
      </c>
      <c r="AC26" t="s">
        <v>8</v>
      </c>
      <c r="AD26" t="s">
        <v>18</v>
      </c>
      <c r="AE26" t="s">
        <v>97</v>
      </c>
      <c r="AF26" t="s">
        <v>12</v>
      </c>
      <c r="AG26" t="s">
        <v>12</v>
      </c>
      <c r="AH26" t="s">
        <v>12</v>
      </c>
      <c r="AI26" s="2">
        <v>45854</v>
      </c>
      <c r="AJ26" s="2">
        <v>45976</v>
      </c>
      <c r="AK26" t="s">
        <v>64</v>
      </c>
    </row>
    <row r="27" spans="1:37" outlineLevel="2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45854</v>
      </c>
      <c r="H27" t="s">
        <v>98</v>
      </c>
      <c r="I27" t="s">
        <v>7</v>
      </c>
      <c r="J27" s="2">
        <v>45854</v>
      </c>
      <c r="K27" s="2">
        <v>45854</v>
      </c>
      <c r="L27" t="s">
        <v>8</v>
      </c>
      <c r="M27" s="26">
        <v>256779421376</v>
      </c>
      <c r="N27" t="s">
        <v>10</v>
      </c>
      <c r="O27" t="s">
        <v>11</v>
      </c>
      <c r="P27" t="s">
        <v>12</v>
      </c>
      <c r="Q27" t="s">
        <v>13</v>
      </c>
      <c r="R27" t="s">
        <v>14</v>
      </c>
      <c r="S27" s="3">
        <v>-70</v>
      </c>
      <c r="T27" t="s">
        <v>15</v>
      </c>
      <c r="U27" s="3">
        <v>-6084.53</v>
      </c>
      <c r="V27" s="3" t="e">
        <f>VLOOKUP(M27,'[1]Query Report'!$A:$E,4,0)</f>
        <v>#N/A</v>
      </c>
      <c r="W27" s="3" t="e">
        <f t="shared" si="0"/>
        <v>#N/A</v>
      </c>
      <c r="X27" s="3" t="e">
        <f>W27/U27</f>
        <v>#N/A</v>
      </c>
      <c r="Y27" s="3" t="s">
        <v>1363</v>
      </c>
      <c r="Z27" t="s">
        <v>16</v>
      </c>
      <c r="AA27" t="s">
        <v>17</v>
      </c>
      <c r="AB27" t="s">
        <v>12</v>
      </c>
      <c r="AC27" t="s">
        <v>8</v>
      </c>
      <c r="AD27" t="s">
        <v>18</v>
      </c>
      <c r="AE27" t="s">
        <v>100</v>
      </c>
      <c r="AF27" t="s">
        <v>12</v>
      </c>
      <c r="AG27" t="s">
        <v>12</v>
      </c>
      <c r="AH27" t="s">
        <v>12</v>
      </c>
      <c r="AI27" s="2">
        <v>45854</v>
      </c>
      <c r="AJ27" s="2">
        <v>45976</v>
      </c>
      <c r="AK27" t="s">
        <v>64</v>
      </c>
    </row>
    <row r="28" spans="1:37" outlineLevel="2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45854</v>
      </c>
      <c r="H28" t="s">
        <v>101</v>
      </c>
      <c r="I28" t="s">
        <v>7</v>
      </c>
      <c r="J28" s="2">
        <v>45854</v>
      </c>
      <c r="K28" s="2">
        <v>45854</v>
      </c>
      <c r="L28" t="s">
        <v>8</v>
      </c>
      <c r="M28" s="26">
        <v>256779421377</v>
      </c>
      <c r="N28" t="s">
        <v>10</v>
      </c>
      <c r="O28" t="s">
        <v>11</v>
      </c>
      <c r="P28" t="s">
        <v>12</v>
      </c>
      <c r="Q28" t="s">
        <v>13</v>
      </c>
      <c r="R28" t="s">
        <v>14</v>
      </c>
      <c r="S28" s="3">
        <v>-140</v>
      </c>
      <c r="T28" t="s">
        <v>15</v>
      </c>
      <c r="U28" s="3">
        <v>-12037.72</v>
      </c>
      <c r="V28" s="3" t="e">
        <f>VLOOKUP(M28,'[1]Query Report'!$A:$E,5,0)</f>
        <v>#N/A</v>
      </c>
      <c r="W28" s="3" t="e">
        <f t="shared" si="0"/>
        <v>#N/A</v>
      </c>
      <c r="X28" s="3"/>
      <c r="Y28" s="3"/>
      <c r="Z28" t="s">
        <v>16</v>
      </c>
      <c r="AA28" t="s">
        <v>17</v>
      </c>
      <c r="AB28" t="s">
        <v>12</v>
      </c>
      <c r="AC28" t="s">
        <v>8</v>
      </c>
      <c r="AD28" t="s">
        <v>18</v>
      </c>
      <c r="AE28" t="s">
        <v>103</v>
      </c>
      <c r="AF28" t="s">
        <v>12</v>
      </c>
      <c r="AG28" t="s">
        <v>12</v>
      </c>
      <c r="AH28" t="s">
        <v>12</v>
      </c>
      <c r="AI28" s="2">
        <v>45854</v>
      </c>
      <c r="AJ28" s="2">
        <v>45976</v>
      </c>
      <c r="AK28" t="s">
        <v>64</v>
      </c>
    </row>
    <row r="29" spans="1:37" outlineLevel="2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45854</v>
      </c>
      <c r="H29" t="s">
        <v>104</v>
      </c>
      <c r="I29" t="s">
        <v>7</v>
      </c>
      <c r="J29" s="2">
        <v>45854</v>
      </c>
      <c r="K29" s="2">
        <v>45854</v>
      </c>
      <c r="L29" t="s">
        <v>8</v>
      </c>
      <c r="M29" s="26">
        <v>256779421378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 s="3">
        <v>-140</v>
      </c>
      <c r="T29" t="s">
        <v>15</v>
      </c>
      <c r="U29" s="3">
        <v>-12037.72</v>
      </c>
      <c r="V29" s="3" t="e">
        <f>VLOOKUP(M29,'[1]Query Report'!$A:$E,5,0)</f>
        <v>#N/A</v>
      </c>
      <c r="W29" s="3" t="e">
        <f t="shared" si="0"/>
        <v>#N/A</v>
      </c>
      <c r="X29" s="3"/>
      <c r="Y29" s="3"/>
      <c r="Z29" t="s">
        <v>16</v>
      </c>
      <c r="AA29" t="s">
        <v>17</v>
      </c>
      <c r="AB29" t="s">
        <v>12</v>
      </c>
      <c r="AC29" t="s">
        <v>8</v>
      </c>
      <c r="AD29" t="s">
        <v>18</v>
      </c>
      <c r="AE29" t="s">
        <v>106</v>
      </c>
      <c r="AF29" t="s">
        <v>12</v>
      </c>
      <c r="AG29" t="s">
        <v>12</v>
      </c>
      <c r="AH29" t="s">
        <v>12</v>
      </c>
      <c r="AI29" s="2">
        <v>45854</v>
      </c>
      <c r="AJ29" s="2">
        <v>45976</v>
      </c>
      <c r="AK29" t="s">
        <v>64</v>
      </c>
    </row>
    <row r="30" spans="1:37" outlineLevel="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45854</v>
      </c>
      <c r="H30" t="s">
        <v>107</v>
      </c>
      <c r="I30" t="s">
        <v>7</v>
      </c>
      <c r="J30" s="2">
        <v>45854</v>
      </c>
      <c r="K30" s="2">
        <v>45854</v>
      </c>
      <c r="L30" t="s">
        <v>8</v>
      </c>
      <c r="M30" s="26">
        <v>256779421379</v>
      </c>
      <c r="N30" t="s">
        <v>10</v>
      </c>
      <c r="O30" t="s">
        <v>11</v>
      </c>
      <c r="P30" t="s">
        <v>12</v>
      </c>
      <c r="Q30" t="s">
        <v>13</v>
      </c>
      <c r="R30" t="s">
        <v>14</v>
      </c>
      <c r="S30" s="3">
        <v>-190</v>
      </c>
      <c r="T30" t="s">
        <v>15</v>
      </c>
      <c r="U30" s="3">
        <v>-16243.25</v>
      </c>
      <c r="V30" s="3" t="e">
        <f>VLOOKUP(M30,'[1]Query Report'!$A:$E,4,0)</f>
        <v>#N/A</v>
      </c>
      <c r="W30" s="3" t="e">
        <f t="shared" si="0"/>
        <v>#N/A</v>
      </c>
      <c r="X30" s="3" t="e">
        <f>W30/U30</f>
        <v>#N/A</v>
      </c>
      <c r="Y30" s="3" t="s">
        <v>1363</v>
      </c>
      <c r="Z30" t="s">
        <v>16</v>
      </c>
      <c r="AA30" t="s">
        <v>17</v>
      </c>
      <c r="AB30" t="s">
        <v>12</v>
      </c>
      <c r="AC30" t="s">
        <v>8</v>
      </c>
      <c r="AD30" t="s">
        <v>18</v>
      </c>
      <c r="AE30" t="s">
        <v>109</v>
      </c>
      <c r="AF30" t="s">
        <v>12</v>
      </c>
      <c r="AG30" t="s">
        <v>12</v>
      </c>
      <c r="AH30" t="s">
        <v>12</v>
      </c>
      <c r="AI30" s="2">
        <v>45854</v>
      </c>
      <c r="AJ30" s="2">
        <v>45976</v>
      </c>
      <c r="AK30" t="s">
        <v>64</v>
      </c>
    </row>
    <row r="31" spans="1:37" outlineLevel="2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45854</v>
      </c>
      <c r="H31" t="s">
        <v>110</v>
      </c>
      <c r="I31" t="s">
        <v>7</v>
      </c>
      <c r="J31" s="2">
        <v>45854</v>
      </c>
      <c r="K31" s="2">
        <v>45855</v>
      </c>
      <c r="L31" t="s">
        <v>8</v>
      </c>
      <c r="M31" s="26">
        <v>256779421380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 s="3">
        <v>-182.83</v>
      </c>
      <c r="T31" t="s">
        <v>15</v>
      </c>
      <c r="U31" s="3">
        <v>-15778.9</v>
      </c>
      <c r="V31" s="3" t="e">
        <f>VLOOKUP(M31,'[1]Query Report'!$A:$E,5,0)</f>
        <v>#N/A</v>
      </c>
      <c r="W31" s="3" t="e">
        <f t="shared" si="0"/>
        <v>#N/A</v>
      </c>
      <c r="X31" s="3"/>
      <c r="Y31" s="3"/>
      <c r="Z31" t="s">
        <v>16</v>
      </c>
      <c r="AA31" t="s">
        <v>17</v>
      </c>
      <c r="AB31" t="s">
        <v>12</v>
      </c>
      <c r="AC31" t="s">
        <v>8</v>
      </c>
      <c r="AD31" t="s">
        <v>18</v>
      </c>
      <c r="AE31" t="s">
        <v>112</v>
      </c>
      <c r="AF31" t="s">
        <v>12</v>
      </c>
      <c r="AG31" t="s">
        <v>12</v>
      </c>
      <c r="AH31" t="s">
        <v>12</v>
      </c>
      <c r="AI31" s="2">
        <v>45854</v>
      </c>
      <c r="AJ31" s="2">
        <v>45976</v>
      </c>
      <c r="AK31" t="s">
        <v>113</v>
      </c>
    </row>
    <row r="32" spans="1:37" outlineLevel="2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45854</v>
      </c>
      <c r="H32" t="s">
        <v>114</v>
      </c>
      <c r="I32" t="s">
        <v>7</v>
      </c>
      <c r="J32" s="2">
        <v>45854</v>
      </c>
      <c r="K32" s="2">
        <v>45855</v>
      </c>
      <c r="L32" t="s">
        <v>8</v>
      </c>
      <c r="M32" s="26">
        <v>256779421381</v>
      </c>
      <c r="N32" t="s">
        <v>10</v>
      </c>
      <c r="O32" t="s">
        <v>11</v>
      </c>
      <c r="P32" t="s">
        <v>12</v>
      </c>
      <c r="Q32" t="s">
        <v>13</v>
      </c>
      <c r="R32" t="s">
        <v>14</v>
      </c>
      <c r="S32" s="3">
        <v>-55.46</v>
      </c>
      <c r="T32" t="s">
        <v>15</v>
      </c>
      <c r="U32" s="3">
        <v>-4786.3999999999996</v>
      </c>
      <c r="V32" s="3" t="e">
        <f>VLOOKUP(M32,'[1]Query Report'!$A:$E,4,0)</f>
        <v>#N/A</v>
      </c>
      <c r="W32" s="3" t="e">
        <f t="shared" si="0"/>
        <v>#N/A</v>
      </c>
      <c r="X32" s="3" t="e">
        <f>W32/U32</f>
        <v>#N/A</v>
      </c>
      <c r="Y32" s="3" t="s">
        <v>1363</v>
      </c>
      <c r="Z32" t="s">
        <v>16</v>
      </c>
      <c r="AA32" t="s">
        <v>17</v>
      </c>
      <c r="AB32" t="s">
        <v>12</v>
      </c>
      <c r="AC32" t="s">
        <v>8</v>
      </c>
      <c r="AD32" t="s">
        <v>18</v>
      </c>
      <c r="AE32" t="s">
        <v>116</v>
      </c>
      <c r="AF32" t="s">
        <v>12</v>
      </c>
      <c r="AG32" t="s">
        <v>12</v>
      </c>
      <c r="AH32" t="s">
        <v>12</v>
      </c>
      <c r="AI32" s="2">
        <v>45854</v>
      </c>
      <c r="AJ32" s="2">
        <v>45976</v>
      </c>
      <c r="AK32" t="s">
        <v>113</v>
      </c>
    </row>
    <row r="33" spans="1:37" outlineLevel="2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45854</v>
      </c>
      <c r="H33" t="s">
        <v>117</v>
      </c>
      <c r="I33" t="s">
        <v>7</v>
      </c>
      <c r="J33" s="2">
        <v>45854</v>
      </c>
      <c r="K33" s="2">
        <v>45855</v>
      </c>
      <c r="L33" t="s">
        <v>8</v>
      </c>
      <c r="M33" s="26">
        <v>256779421382</v>
      </c>
      <c r="N33" t="s">
        <v>10</v>
      </c>
      <c r="O33" t="s">
        <v>11</v>
      </c>
      <c r="P33" t="s">
        <v>12</v>
      </c>
      <c r="Q33" t="s">
        <v>13</v>
      </c>
      <c r="R33" t="s">
        <v>14</v>
      </c>
      <c r="S33" s="3">
        <v>-177.66</v>
      </c>
      <c r="T33" t="s">
        <v>15</v>
      </c>
      <c r="U33" s="3">
        <v>-15401.57</v>
      </c>
      <c r="V33" s="3" t="e">
        <f>VLOOKUP(M33,'[1]Query Report'!$A:$E,5,0)</f>
        <v>#N/A</v>
      </c>
      <c r="W33" s="3" t="e">
        <f t="shared" si="0"/>
        <v>#N/A</v>
      </c>
      <c r="X33" s="3"/>
      <c r="Y33" s="3"/>
      <c r="Z33" t="s">
        <v>16</v>
      </c>
      <c r="AA33" t="s">
        <v>17</v>
      </c>
      <c r="AB33" t="s">
        <v>12</v>
      </c>
      <c r="AC33" t="s">
        <v>8</v>
      </c>
      <c r="AD33" t="s">
        <v>18</v>
      </c>
      <c r="AE33" t="s">
        <v>119</v>
      </c>
      <c r="AF33" t="s">
        <v>12</v>
      </c>
      <c r="AG33" t="s">
        <v>12</v>
      </c>
      <c r="AH33" t="s">
        <v>12</v>
      </c>
      <c r="AI33" s="2">
        <v>45854</v>
      </c>
      <c r="AJ33" s="2">
        <v>45976</v>
      </c>
      <c r="AK33" t="s">
        <v>113</v>
      </c>
    </row>
    <row r="34" spans="1:37" outlineLevel="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45854</v>
      </c>
      <c r="H34" t="s">
        <v>120</v>
      </c>
      <c r="I34" t="s">
        <v>7</v>
      </c>
      <c r="J34" s="2">
        <v>45854</v>
      </c>
      <c r="K34" s="2">
        <v>45855</v>
      </c>
      <c r="L34" t="s">
        <v>8</v>
      </c>
      <c r="M34" s="26">
        <v>256779421383</v>
      </c>
      <c r="N34" t="s">
        <v>10</v>
      </c>
      <c r="O34" t="s">
        <v>11</v>
      </c>
      <c r="P34" t="s">
        <v>12</v>
      </c>
      <c r="Q34" t="s">
        <v>13</v>
      </c>
      <c r="R34" t="s">
        <v>14</v>
      </c>
      <c r="S34" s="3">
        <v>-143.81</v>
      </c>
      <c r="T34" t="s">
        <v>15</v>
      </c>
      <c r="U34" s="3">
        <v>-12467.07</v>
      </c>
      <c r="V34" s="3" t="e">
        <f>VLOOKUP(M34,'[1]Query Report'!$A:$E,4,0)</f>
        <v>#N/A</v>
      </c>
      <c r="W34" s="3" t="e">
        <f t="shared" si="0"/>
        <v>#N/A</v>
      </c>
      <c r="X34" s="3" t="e">
        <f>W34/U34</f>
        <v>#N/A</v>
      </c>
      <c r="Y34" s="3" t="s">
        <v>1363</v>
      </c>
      <c r="Z34" t="s">
        <v>16</v>
      </c>
      <c r="AA34" t="s">
        <v>17</v>
      </c>
      <c r="AB34" t="s">
        <v>12</v>
      </c>
      <c r="AC34" t="s">
        <v>8</v>
      </c>
      <c r="AD34" t="s">
        <v>18</v>
      </c>
      <c r="AE34" t="s">
        <v>122</v>
      </c>
      <c r="AF34" t="s">
        <v>12</v>
      </c>
      <c r="AG34" t="s">
        <v>12</v>
      </c>
      <c r="AH34" t="s">
        <v>12</v>
      </c>
      <c r="AI34" s="2">
        <v>45854</v>
      </c>
      <c r="AJ34" s="2">
        <v>45976</v>
      </c>
      <c r="AK34" t="s">
        <v>113</v>
      </c>
    </row>
    <row r="35" spans="1:37" outlineLevel="2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45854</v>
      </c>
      <c r="H35" t="s">
        <v>123</v>
      </c>
      <c r="I35" t="s">
        <v>7</v>
      </c>
      <c r="J35" s="2">
        <v>45854</v>
      </c>
      <c r="K35" s="2">
        <v>45855</v>
      </c>
      <c r="L35" t="s">
        <v>8</v>
      </c>
      <c r="M35" s="26">
        <v>256779421384</v>
      </c>
      <c r="N35" t="s">
        <v>10</v>
      </c>
      <c r="O35" t="s">
        <v>11</v>
      </c>
      <c r="P35" t="s">
        <v>12</v>
      </c>
      <c r="Q35" t="s">
        <v>13</v>
      </c>
      <c r="R35" t="s">
        <v>14</v>
      </c>
      <c r="S35" s="3">
        <v>-137.9</v>
      </c>
      <c r="T35" t="s">
        <v>15</v>
      </c>
      <c r="U35" s="3">
        <v>-11954.72</v>
      </c>
      <c r="V35" s="3" t="e">
        <f>VLOOKUP(M35,'[1]Query Report'!$A:$E,5,0)</f>
        <v>#N/A</v>
      </c>
      <c r="W35" s="3" t="e">
        <f t="shared" si="0"/>
        <v>#N/A</v>
      </c>
      <c r="X35" s="3"/>
      <c r="Y35" s="3"/>
      <c r="Z35" t="s">
        <v>16</v>
      </c>
      <c r="AA35" t="s">
        <v>17</v>
      </c>
      <c r="AB35" t="s">
        <v>12</v>
      </c>
      <c r="AC35" t="s">
        <v>8</v>
      </c>
      <c r="AD35" t="s">
        <v>18</v>
      </c>
      <c r="AE35" t="s">
        <v>125</v>
      </c>
      <c r="AF35" t="s">
        <v>12</v>
      </c>
      <c r="AG35" t="s">
        <v>12</v>
      </c>
      <c r="AH35" t="s">
        <v>12</v>
      </c>
      <c r="AI35" s="2">
        <v>45854</v>
      </c>
      <c r="AJ35" s="2">
        <v>45976</v>
      </c>
      <c r="AK35" t="s">
        <v>113</v>
      </c>
    </row>
    <row r="36" spans="1:37" outlineLevel="2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2">
        <v>45854</v>
      </c>
      <c r="H36" t="s">
        <v>126</v>
      </c>
      <c r="I36" t="s">
        <v>7</v>
      </c>
      <c r="J36" s="2">
        <v>45854</v>
      </c>
      <c r="K36" s="2">
        <v>45855</v>
      </c>
      <c r="L36" t="s">
        <v>8</v>
      </c>
      <c r="M36" s="26">
        <v>256779421385</v>
      </c>
      <c r="N36" t="s">
        <v>10</v>
      </c>
      <c r="O36" t="s">
        <v>11</v>
      </c>
      <c r="P36" t="s">
        <v>12</v>
      </c>
      <c r="Q36" t="s">
        <v>13</v>
      </c>
      <c r="R36" t="s">
        <v>14</v>
      </c>
      <c r="S36" s="3">
        <v>-420</v>
      </c>
      <c r="T36" t="s">
        <v>15</v>
      </c>
      <c r="U36" s="3">
        <v>-36410.33</v>
      </c>
      <c r="V36" s="3" t="e">
        <f>VLOOKUP(M36,'[1]Query Report'!$A:$E,5,0)</f>
        <v>#N/A</v>
      </c>
      <c r="W36" s="3" t="e">
        <f t="shared" si="0"/>
        <v>#N/A</v>
      </c>
      <c r="X36" s="3"/>
      <c r="Y36" s="3"/>
      <c r="Z36" t="s">
        <v>16</v>
      </c>
      <c r="AA36" t="s">
        <v>17</v>
      </c>
      <c r="AB36" t="s">
        <v>12</v>
      </c>
      <c r="AC36" t="s">
        <v>8</v>
      </c>
      <c r="AD36" t="s">
        <v>18</v>
      </c>
      <c r="AE36" t="s">
        <v>128</v>
      </c>
      <c r="AF36" t="s">
        <v>12</v>
      </c>
      <c r="AG36" t="s">
        <v>12</v>
      </c>
      <c r="AH36" t="s">
        <v>12</v>
      </c>
      <c r="AI36" s="2">
        <v>45854</v>
      </c>
      <c r="AJ36" s="2">
        <v>45976</v>
      </c>
      <c r="AK36" t="s">
        <v>113</v>
      </c>
    </row>
    <row r="37" spans="1:37" outlineLevel="2" x14ac:dyDescent="0.25">
      <c r="A37" t="s">
        <v>129</v>
      </c>
      <c r="B37" t="s">
        <v>1</v>
      </c>
      <c r="C37" t="s">
        <v>2</v>
      </c>
      <c r="D37" t="s">
        <v>3</v>
      </c>
      <c r="E37" t="s">
        <v>4</v>
      </c>
      <c r="F37" t="s">
        <v>130</v>
      </c>
      <c r="G37" s="2">
        <v>45797</v>
      </c>
      <c r="H37" t="s">
        <v>131</v>
      </c>
      <c r="I37" t="s">
        <v>22</v>
      </c>
      <c r="J37" s="2">
        <v>45797</v>
      </c>
      <c r="K37" s="2">
        <v>45805</v>
      </c>
      <c r="L37" t="s">
        <v>8</v>
      </c>
      <c r="M37" s="26">
        <v>256779413486</v>
      </c>
      <c r="N37" t="s">
        <v>10</v>
      </c>
      <c r="O37" t="s">
        <v>11</v>
      </c>
      <c r="P37" t="s">
        <v>12</v>
      </c>
      <c r="Q37" t="s">
        <v>24</v>
      </c>
      <c r="R37" t="s">
        <v>14</v>
      </c>
      <c r="S37" s="3">
        <v>12.5</v>
      </c>
      <c r="T37" t="s">
        <v>15</v>
      </c>
      <c r="U37" s="3">
        <v>1074.8</v>
      </c>
      <c r="V37" s="3" t="e">
        <f>VLOOKUP(M37,'[1]Query Report'!$A:$E,5,0)</f>
        <v>#N/A</v>
      </c>
      <c r="W37" s="3" t="e">
        <f t="shared" si="0"/>
        <v>#N/A</v>
      </c>
      <c r="X37" s="29" t="e">
        <f>W37/U37</f>
        <v>#N/A</v>
      </c>
      <c r="Y37" s="29" t="s">
        <v>1363</v>
      </c>
      <c r="Z37" t="s">
        <v>16</v>
      </c>
      <c r="AA37" t="s">
        <v>17</v>
      </c>
      <c r="AB37" t="s">
        <v>12</v>
      </c>
      <c r="AC37" t="s">
        <v>8</v>
      </c>
      <c r="AD37" t="s">
        <v>18</v>
      </c>
      <c r="AE37" t="s">
        <v>133</v>
      </c>
      <c r="AF37" t="s">
        <v>12</v>
      </c>
      <c r="AG37" t="s">
        <v>12</v>
      </c>
      <c r="AH37" t="s">
        <v>12</v>
      </c>
      <c r="AI37" s="2">
        <v>45797</v>
      </c>
      <c r="AJ37" s="2"/>
      <c r="AK37" t="s">
        <v>12</v>
      </c>
    </row>
    <row r="38" spans="1:37" outlineLevel="2" x14ac:dyDescent="0.25">
      <c r="A38" t="s">
        <v>129</v>
      </c>
      <c r="B38" t="s">
        <v>1</v>
      </c>
      <c r="C38" t="s">
        <v>2</v>
      </c>
      <c r="D38" t="s">
        <v>3</v>
      </c>
      <c r="E38" t="s">
        <v>4</v>
      </c>
      <c r="F38" t="s">
        <v>130</v>
      </c>
      <c r="G38" s="2">
        <v>45797</v>
      </c>
      <c r="H38" t="s">
        <v>134</v>
      </c>
      <c r="I38" t="s">
        <v>22</v>
      </c>
      <c r="J38" s="2">
        <v>45797</v>
      </c>
      <c r="K38" s="2">
        <v>45805</v>
      </c>
      <c r="L38" t="s">
        <v>8</v>
      </c>
      <c r="M38" s="26">
        <v>256779413837</v>
      </c>
      <c r="N38" t="s">
        <v>10</v>
      </c>
      <c r="O38" t="s">
        <v>11</v>
      </c>
      <c r="P38" t="s">
        <v>12</v>
      </c>
      <c r="Q38" t="s">
        <v>24</v>
      </c>
      <c r="R38" t="s">
        <v>14</v>
      </c>
      <c r="S38" s="3">
        <v>144.52000000000001</v>
      </c>
      <c r="T38" t="s">
        <v>15</v>
      </c>
      <c r="U38" s="3">
        <v>12426.36</v>
      </c>
      <c r="V38" s="3" t="e">
        <f>VLOOKUP(M38,'[1]Query Report'!$A:$E,5,0)</f>
        <v>#N/A</v>
      </c>
      <c r="W38" s="3" t="e">
        <f t="shared" si="0"/>
        <v>#N/A</v>
      </c>
      <c r="X38" s="29" t="e">
        <f t="shared" ref="X38" si="1">W38/U38</f>
        <v>#N/A</v>
      </c>
      <c r="Y38" s="29" t="s">
        <v>1363</v>
      </c>
      <c r="Z38" t="s">
        <v>16</v>
      </c>
      <c r="AA38" t="s">
        <v>17</v>
      </c>
      <c r="AB38" t="s">
        <v>12</v>
      </c>
      <c r="AC38" t="s">
        <v>12</v>
      </c>
      <c r="AD38" t="s">
        <v>18</v>
      </c>
      <c r="AE38" t="s">
        <v>136</v>
      </c>
      <c r="AF38" t="s">
        <v>12</v>
      </c>
      <c r="AG38" t="s">
        <v>12</v>
      </c>
      <c r="AH38" t="s">
        <v>12</v>
      </c>
      <c r="AI38" s="2">
        <v>45797</v>
      </c>
      <c r="AJ38" s="2"/>
      <c r="AK38" t="s">
        <v>12</v>
      </c>
    </row>
    <row r="39" spans="1:37" outlineLevel="2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130</v>
      </c>
      <c r="G39" s="2">
        <v>45797</v>
      </c>
      <c r="H39" t="s">
        <v>137</v>
      </c>
      <c r="I39" t="s">
        <v>22</v>
      </c>
      <c r="J39" s="2">
        <v>45797</v>
      </c>
      <c r="K39" s="2">
        <v>45805</v>
      </c>
      <c r="L39" t="s">
        <v>8</v>
      </c>
      <c r="M39" s="26">
        <v>256779413885</v>
      </c>
      <c r="N39" t="s">
        <v>10</v>
      </c>
      <c r="O39" t="s">
        <v>11</v>
      </c>
      <c r="P39" t="s">
        <v>12</v>
      </c>
      <c r="Q39" t="s">
        <v>24</v>
      </c>
      <c r="R39" t="s">
        <v>14</v>
      </c>
      <c r="S39" s="3">
        <v>111.15</v>
      </c>
      <c r="T39" t="s">
        <v>15</v>
      </c>
      <c r="U39" s="3">
        <v>9557.09</v>
      </c>
      <c r="V39" s="3" t="e">
        <f>VLOOKUP(M39,'[1]Query Report'!$A:$E,5,0)</f>
        <v>#N/A</v>
      </c>
      <c r="W39" s="3" t="e">
        <f t="shared" si="0"/>
        <v>#N/A</v>
      </c>
      <c r="X39" s="3"/>
      <c r="Y39" s="3"/>
      <c r="Z39" t="s">
        <v>16</v>
      </c>
      <c r="AA39" t="s">
        <v>17</v>
      </c>
      <c r="AB39" t="s">
        <v>12</v>
      </c>
      <c r="AC39" t="s">
        <v>8</v>
      </c>
      <c r="AD39" t="s">
        <v>18</v>
      </c>
      <c r="AE39" t="s">
        <v>139</v>
      </c>
      <c r="AF39" t="s">
        <v>12</v>
      </c>
      <c r="AG39" t="s">
        <v>12</v>
      </c>
      <c r="AH39" t="s">
        <v>12</v>
      </c>
      <c r="AI39" s="2">
        <v>45797</v>
      </c>
      <c r="AJ39" s="2">
        <v>45976</v>
      </c>
      <c r="AK39" t="s">
        <v>64</v>
      </c>
    </row>
    <row r="40" spans="1:37" outlineLevel="2" x14ac:dyDescent="0.25">
      <c r="A40" t="s">
        <v>129</v>
      </c>
      <c r="B40" t="s">
        <v>1</v>
      </c>
      <c r="C40" t="s">
        <v>2</v>
      </c>
      <c r="D40" t="s">
        <v>3</v>
      </c>
      <c r="E40" t="s">
        <v>4</v>
      </c>
      <c r="F40" t="s">
        <v>140</v>
      </c>
      <c r="G40" s="2">
        <v>45750</v>
      </c>
      <c r="H40" t="s">
        <v>141</v>
      </c>
      <c r="I40" t="s">
        <v>22</v>
      </c>
      <c r="J40" s="2">
        <v>45750</v>
      </c>
      <c r="K40" s="2">
        <v>45752</v>
      </c>
      <c r="L40" t="s">
        <v>8</v>
      </c>
      <c r="M40" s="26">
        <v>256779410134</v>
      </c>
      <c r="N40" t="s">
        <v>10</v>
      </c>
      <c r="O40" t="s">
        <v>11</v>
      </c>
      <c r="P40" t="s">
        <v>12</v>
      </c>
      <c r="Q40" t="s">
        <v>24</v>
      </c>
      <c r="R40" t="s">
        <v>14</v>
      </c>
      <c r="S40" s="3">
        <v>7.5</v>
      </c>
      <c r="T40" t="s">
        <v>15</v>
      </c>
      <c r="U40" s="3">
        <v>651.91</v>
      </c>
      <c r="V40" s="3" t="e">
        <f>VLOOKUP(M40,'[1]Query Report'!$A:$E,5,0)</f>
        <v>#N/A</v>
      </c>
      <c r="W40" s="3" t="e">
        <f t="shared" si="0"/>
        <v>#N/A</v>
      </c>
      <c r="X40" s="29" t="e">
        <f t="shared" ref="X40:X46" si="2">W40/U40</f>
        <v>#N/A</v>
      </c>
      <c r="Y40" s="29" t="s">
        <v>1363</v>
      </c>
      <c r="Z40" t="s">
        <v>16</v>
      </c>
      <c r="AA40" t="s">
        <v>12</v>
      </c>
      <c r="AB40" t="s">
        <v>12</v>
      </c>
      <c r="AC40" t="s">
        <v>8</v>
      </c>
      <c r="AD40" t="s">
        <v>18</v>
      </c>
      <c r="AE40" t="s">
        <v>143</v>
      </c>
      <c r="AF40" t="s">
        <v>12</v>
      </c>
      <c r="AG40" t="s">
        <v>12</v>
      </c>
      <c r="AH40" t="s">
        <v>12</v>
      </c>
      <c r="AI40" s="2">
        <v>45750</v>
      </c>
      <c r="AJ40" s="2"/>
      <c r="AK40" t="s">
        <v>12</v>
      </c>
    </row>
    <row r="41" spans="1:37" outlineLevel="2" x14ac:dyDescent="0.25">
      <c r="A41" t="s">
        <v>129</v>
      </c>
      <c r="B41" t="s">
        <v>1</v>
      </c>
      <c r="C41" t="s">
        <v>2</v>
      </c>
      <c r="D41" t="s">
        <v>3</v>
      </c>
      <c r="E41" t="s">
        <v>4</v>
      </c>
      <c r="F41" t="s">
        <v>140</v>
      </c>
      <c r="G41" s="2">
        <v>45750</v>
      </c>
      <c r="H41" t="s">
        <v>144</v>
      </c>
      <c r="I41" t="s">
        <v>22</v>
      </c>
      <c r="J41" s="2">
        <v>45750</v>
      </c>
      <c r="K41" s="2">
        <v>45752</v>
      </c>
      <c r="L41" t="s">
        <v>8</v>
      </c>
      <c r="M41" s="26">
        <v>256779410135</v>
      </c>
      <c r="N41" t="s">
        <v>10</v>
      </c>
      <c r="O41" t="s">
        <v>11</v>
      </c>
      <c r="P41" t="s">
        <v>12</v>
      </c>
      <c r="Q41" t="s">
        <v>24</v>
      </c>
      <c r="R41" t="s">
        <v>14</v>
      </c>
      <c r="S41" s="3">
        <v>3.75</v>
      </c>
      <c r="T41" t="s">
        <v>15</v>
      </c>
      <c r="U41" s="3">
        <v>325.95999999999998</v>
      </c>
      <c r="V41" s="3" t="e">
        <f>VLOOKUP(M41,'[1]Query Report'!$A:$E,5,0)</f>
        <v>#N/A</v>
      </c>
      <c r="W41" s="3" t="e">
        <f t="shared" si="0"/>
        <v>#N/A</v>
      </c>
      <c r="X41" s="29" t="e">
        <f t="shared" si="2"/>
        <v>#N/A</v>
      </c>
      <c r="Y41" s="29" t="s">
        <v>1363</v>
      </c>
      <c r="Z41" t="s">
        <v>16</v>
      </c>
      <c r="AA41" t="s">
        <v>12</v>
      </c>
      <c r="AB41" t="s">
        <v>12</v>
      </c>
      <c r="AC41" t="s">
        <v>8</v>
      </c>
      <c r="AD41" t="s">
        <v>18</v>
      </c>
      <c r="AE41" t="s">
        <v>146</v>
      </c>
      <c r="AF41" t="s">
        <v>12</v>
      </c>
      <c r="AG41" t="s">
        <v>12</v>
      </c>
      <c r="AH41" t="s">
        <v>12</v>
      </c>
      <c r="AI41" s="2">
        <v>45750</v>
      </c>
      <c r="AJ41" s="2"/>
      <c r="AK41" t="s">
        <v>12</v>
      </c>
    </row>
    <row r="42" spans="1:37" outlineLevel="2" x14ac:dyDescent="0.25">
      <c r="A42" t="s">
        <v>129</v>
      </c>
      <c r="B42" t="s">
        <v>1</v>
      </c>
      <c r="C42" t="s">
        <v>2</v>
      </c>
      <c r="D42" t="s">
        <v>3</v>
      </c>
      <c r="E42" t="s">
        <v>4</v>
      </c>
      <c r="F42" t="s">
        <v>140</v>
      </c>
      <c r="G42" s="2">
        <v>45750</v>
      </c>
      <c r="H42" t="s">
        <v>147</v>
      </c>
      <c r="I42" t="s">
        <v>22</v>
      </c>
      <c r="J42" s="2">
        <v>45750</v>
      </c>
      <c r="K42" s="2">
        <v>45752</v>
      </c>
      <c r="L42" t="s">
        <v>8</v>
      </c>
      <c r="M42" s="26">
        <v>256779410156</v>
      </c>
      <c r="N42" t="s">
        <v>10</v>
      </c>
      <c r="O42" t="s">
        <v>11</v>
      </c>
      <c r="P42" t="s">
        <v>12</v>
      </c>
      <c r="Q42" t="s">
        <v>24</v>
      </c>
      <c r="R42" t="s">
        <v>14</v>
      </c>
      <c r="S42" s="3">
        <v>58.75</v>
      </c>
      <c r="T42" t="s">
        <v>15</v>
      </c>
      <c r="U42" s="3">
        <v>5106.66</v>
      </c>
      <c r="V42" s="3" t="e">
        <f>VLOOKUP(M42,'[1]Query Report'!$A:$E,5,0)</f>
        <v>#N/A</v>
      </c>
      <c r="W42" s="3" t="e">
        <f t="shared" si="0"/>
        <v>#N/A</v>
      </c>
      <c r="X42" s="29" t="e">
        <f t="shared" si="2"/>
        <v>#N/A</v>
      </c>
      <c r="Y42" s="29" t="s">
        <v>1362</v>
      </c>
      <c r="Z42" t="s">
        <v>16</v>
      </c>
      <c r="AA42" t="s">
        <v>12</v>
      </c>
      <c r="AB42" t="s">
        <v>12</v>
      </c>
      <c r="AC42" t="s">
        <v>8</v>
      </c>
      <c r="AD42" t="s">
        <v>18</v>
      </c>
      <c r="AE42" t="s">
        <v>149</v>
      </c>
      <c r="AF42" t="s">
        <v>12</v>
      </c>
      <c r="AG42" t="s">
        <v>12</v>
      </c>
      <c r="AH42" t="s">
        <v>12</v>
      </c>
      <c r="AI42" s="2">
        <v>45750</v>
      </c>
      <c r="AJ42" s="2"/>
      <c r="AK42" t="s">
        <v>12</v>
      </c>
    </row>
    <row r="43" spans="1:37" outlineLevel="2" x14ac:dyDescent="0.25">
      <c r="A43" t="s">
        <v>129</v>
      </c>
      <c r="B43" t="s">
        <v>1</v>
      </c>
      <c r="C43" t="s">
        <v>2</v>
      </c>
      <c r="D43" t="s">
        <v>3</v>
      </c>
      <c r="E43" t="s">
        <v>4</v>
      </c>
      <c r="F43" t="s">
        <v>140</v>
      </c>
      <c r="G43" s="2">
        <v>45750</v>
      </c>
      <c r="H43" t="s">
        <v>150</v>
      </c>
      <c r="I43" t="s">
        <v>22</v>
      </c>
      <c r="J43" s="2">
        <v>45750</v>
      </c>
      <c r="K43" s="2">
        <v>45752</v>
      </c>
      <c r="L43" t="s">
        <v>8</v>
      </c>
      <c r="M43" s="26">
        <v>256779410157</v>
      </c>
      <c r="N43" t="s">
        <v>10</v>
      </c>
      <c r="O43" t="s">
        <v>11</v>
      </c>
      <c r="P43" t="s">
        <v>12</v>
      </c>
      <c r="Q43" t="s">
        <v>24</v>
      </c>
      <c r="R43" t="s">
        <v>14</v>
      </c>
      <c r="S43" s="3">
        <v>34.479999999999997</v>
      </c>
      <c r="T43" t="s">
        <v>15</v>
      </c>
      <c r="U43" s="3">
        <v>2997.06</v>
      </c>
      <c r="V43" s="3" t="e">
        <f>VLOOKUP(M43,'[1]Query Report'!$A:$E,5,0)</f>
        <v>#N/A</v>
      </c>
      <c r="W43" s="3" t="e">
        <f t="shared" si="0"/>
        <v>#N/A</v>
      </c>
      <c r="X43" s="29" t="e">
        <f t="shared" si="2"/>
        <v>#N/A</v>
      </c>
      <c r="Y43" s="29" t="s">
        <v>1362</v>
      </c>
      <c r="Z43" t="s">
        <v>16</v>
      </c>
      <c r="AA43" t="s">
        <v>12</v>
      </c>
      <c r="AB43" t="s">
        <v>12</v>
      </c>
      <c r="AC43" t="s">
        <v>8</v>
      </c>
      <c r="AD43" t="s">
        <v>18</v>
      </c>
      <c r="AE43" t="s">
        <v>152</v>
      </c>
      <c r="AF43" t="s">
        <v>12</v>
      </c>
      <c r="AG43" t="s">
        <v>12</v>
      </c>
      <c r="AH43" t="s">
        <v>12</v>
      </c>
      <c r="AI43" s="2">
        <v>45750</v>
      </c>
      <c r="AJ43" s="2"/>
      <c r="AK43" t="s">
        <v>12</v>
      </c>
    </row>
    <row r="44" spans="1:37" outlineLevel="2" x14ac:dyDescent="0.25">
      <c r="A44" t="s">
        <v>129</v>
      </c>
      <c r="B44" t="s">
        <v>1</v>
      </c>
      <c r="C44" t="s">
        <v>2</v>
      </c>
      <c r="D44" t="s">
        <v>3</v>
      </c>
      <c r="E44" t="s">
        <v>4</v>
      </c>
      <c r="F44" t="s">
        <v>140</v>
      </c>
      <c r="G44" s="2">
        <v>45750</v>
      </c>
      <c r="H44" t="s">
        <v>153</v>
      </c>
      <c r="I44" t="s">
        <v>22</v>
      </c>
      <c r="J44" s="2">
        <v>45750</v>
      </c>
      <c r="K44" s="2">
        <v>45752</v>
      </c>
      <c r="L44" t="s">
        <v>8</v>
      </c>
      <c r="M44" s="26">
        <v>256779410166</v>
      </c>
      <c r="N44" t="s">
        <v>10</v>
      </c>
      <c r="O44" t="s">
        <v>11</v>
      </c>
      <c r="P44" t="s">
        <v>12</v>
      </c>
      <c r="Q44" t="s">
        <v>24</v>
      </c>
      <c r="R44" t="s">
        <v>14</v>
      </c>
      <c r="S44" s="3">
        <v>152.75</v>
      </c>
      <c r="T44" t="s">
        <v>15</v>
      </c>
      <c r="U44" s="3">
        <v>13277.31</v>
      </c>
      <c r="V44" s="3" t="e">
        <f>VLOOKUP(M44,'[1]Query Report'!$A:$E,5,0)</f>
        <v>#N/A</v>
      </c>
      <c r="W44" s="3" t="e">
        <f t="shared" si="0"/>
        <v>#N/A</v>
      </c>
      <c r="X44" s="29" t="e">
        <f t="shared" si="2"/>
        <v>#N/A</v>
      </c>
      <c r="Y44" s="29" t="s">
        <v>1363</v>
      </c>
      <c r="Z44" t="s">
        <v>16</v>
      </c>
      <c r="AA44" t="s">
        <v>12</v>
      </c>
      <c r="AB44" t="s">
        <v>12</v>
      </c>
      <c r="AC44" t="s">
        <v>8</v>
      </c>
      <c r="AD44" t="s">
        <v>18</v>
      </c>
      <c r="AE44" t="s">
        <v>143</v>
      </c>
      <c r="AF44" t="s">
        <v>12</v>
      </c>
      <c r="AG44" t="s">
        <v>12</v>
      </c>
      <c r="AH44" t="s">
        <v>12</v>
      </c>
      <c r="AI44" s="2">
        <v>45750</v>
      </c>
      <c r="AJ44" s="2"/>
      <c r="AK44" t="s">
        <v>12</v>
      </c>
    </row>
    <row r="45" spans="1:37" outlineLevel="2" x14ac:dyDescent="0.25">
      <c r="A45" t="s">
        <v>129</v>
      </c>
      <c r="B45" t="s">
        <v>1</v>
      </c>
      <c r="C45" t="s">
        <v>2</v>
      </c>
      <c r="D45" t="s">
        <v>3</v>
      </c>
      <c r="E45" t="s">
        <v>4</v>
      </c>
      <c r="F45" t="s">
        <v>140</v>
      </c>
      <c r="G45" s="2">
        <v>45750</v>
      </c>
      <c r="H45" t="s">
        <v>155</v>
      </c>
      <c r="I45" t="s">
        <v>22</v>
      </c>
      <c r="J45" s="2">
        <v>45750</v>
      </c>
      <c r="K45" s="2">
        <v>45752</v>
      </c>
      <c r="L45" t="s">
        <v>8</v>
      </c>
      <c r="M45" s="26">
        <v>256779410174</v>
      </c>
      <c r="N45" t="s">
        <v>10</v>
      </c>
      <c r="O45" t="s">
        <v>11</v>
      </c>
      <c r="P45" t="s">
        <v>12</v>
      </c>
      <c r="Q45" t="s">
        <v>24</v>
      </c>
      <c r="R45" t="s">
        <v>14</v>
      </c>
      <c r="S45" s="3">
        <v>72.849999999999994</v>
      </c>
      <c r="T45" t="s">
        <v>15</v>
      </c>
      <c r="U45" s="3">
        <v>6332.25</v>
      </c>
      <c r="V45" s="3" t="e">
        <f>VLOOKUP(M45,'[1]Query Report'!$A:$E,5,0)</f>
        <v>#N/A</v>
      </c>
      <c r="W45" s="3" t="e">
        <f t="shared" si="0"/>
        <v>#N/A</v>
      </c>
      <c r="X45" s="29" t="e">
        <f t="shared" si="2"/>
        <v>#N/A</v>
      </c>
      <c r="Y45" s="29" t="s">
        <v>1363</v>
      </c>
      <c r="Z45" t="s">
        <v>16</v>
      </c>
      <c r="AA45" t="s">
        <v>12</v>
      </c>
      <c r="AB45" t="s">
        <v>12</v>
      </c>
      <c r="AC45" t="s">
        <v>8</v>
      </c>
      <c r="AD45" t="s">
        <v>18</v>
      </c>
      <c r="AE45" t="s">
        <v>157</v>
      </c>
      <c r="AF45" t="s">
        <v>12</v>
      </c>
      <c r="AG45" t="s">
        <v>12</v>
      </c>
      <c r="AH45" t="s">
        <v>12</v>
      </c>
      <c r="AI45" s="2">
        <v>45750</v>
      </c>
      <c r="AJ45" s="2"/>
      <c r="AK45" t="s">
        <v>12</v>
      </c>
    </row>
    <row r="46" spans="1:37" outlineLevel="2" x14ac:dyDescent="0.25">
      <c r="A46" t="s">
        <v>129</v>
      </c>
      <c r="B46" t="s">
        <v>1</v>
      </c>
      <c r="C46" t="s">
        <v>2</v>
      </c>
      <c r="D46" t="s">
        <v>3</v>
      </c>
      <c r="E46" t="s">
        <v>4</v>
      </c>
      <c r="F46" t="s">
        <v>140</v>
      </c>
      <c r="G46" s="2">
        <v>45750</v>
      </c>
      <c r="H46" t="s">
        <v>158</v>
      </c>
      <c r="I46" t="s">
        <v>22</v>
      </c>
      <c r="J46" s="2">
        <v>45750</v>
      </c>
      <c r="K46" s="2">
        <v>45752</v>
      </c>
      <c r="L46" t="s">
        <v>8</v>
      </c>
      <c r="M46" s="26">
        <v>256779410201</v>
      </c>
      <c r="N46" t="s">
        <v>10</v>
      </c>
      <c r="O46" t="s">
        <v>11</v>
      </c>
      <c r="P46" t="s">
        <v>12</v>
      </c>
      <c r="Q46" t="s">
        <v>24</v>
      </c>
      <c r="R46" t="s">
        <v>14</v>
      </c>
      <c r="S46" s="3">
        <v>34.479999999999997</v>
      </c>
      <c r="T46" t="s">
        <v>15</v>
      </c>
      <c r="U46" s="3">
        <v>2997.06</v>
      </c>
      <c r="V46" s="3" t="e">
        <f>VLOOKUP(M46,'[1]Query Report'!$A:$E,5,0)</f>
        <v>#N/A</v>
      </c>
      <c r="W46" s="3" t="e">
        <f t="shared" si="0"/>
        <v>#N/A</v>
      </c>
      <c r="X46" s="29" t="e">
        <f t="shared" si="2"/>
        <v>#N/A</v>
      </c>
      <c r="Y46" s="29" t="s">
        <v>1363</v>
      </c>
      <c r="Z46" t="s">
        <v>16</v>
      </c>
      <c r="AA46" t="s">
        <v>12</v>
      </c>
      <c r="AB46" t="s">
        <v>12</v>
      </c>
      <c r="AC46" t="s">
        <v>8</v>
      </c>
      <c r="AD46" t="s">
        <v>18</v>
      </c>
      <c r="AE46" t="s">
        <v>160</v>
      </c>
      <c r="AF46" t="s">
        <v>12</v>
      </c>
      <c r="AG46" t="s">
        <v>12</v>
      </c>
      <c r="AH46" t="s">
        <v>12</v>
      </c>
      <c r="AI46" s="2">
        <v>45750</v>
      </c>
      <c r="AJ46" s="2"/>
      <c r="AK46" t="s">
        <v>12</v>
      </c>
    </row>
    <row r="47" spans="1:37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140</v>
      </c>
      <c r="G47" s="2">
        <v>45750</v>
      </c>
      <c r="H47" t="s">
        <v>161</v>
      </c>
      <c r="I47" t="s">
        <v>22</v>
      </c>
      <c r="J47" s="2">
        <v>45750</v>
      </c>
      <c r="K47" s="2">
        <v>45752</v>
      </c>
      <c r="L47" t="s">
        <v>8</v>
      </c>
      <c r="M47" s="26">
        <v>256779410291</v>
      </c>
      <c r="N47" t="s">
        <v>10</v>
      </c>
      <c r="O47" t="s">
        <v>11</v>
      </c>
      <c r="P47" t="s">
        <v>12</v>
      </c>
      <c r="Q47" t="s">
        <v>24</v>
      </c>
      <c r="R47" t="s">
        <v>14</v>
      </c>
      <c r="S47" s="3">
        <v>456.75</v>
      </c>
      <c r="T47" t="s">
        <v>15</v>
      </c>
      <c r="U47" s="3">
        <v>39701.54</v>
      </c>
      <c r="V47" s="3" t="e">
        <f>VLOOKUP(M47,'[1]Query Report'!$A:$E,5,0)</f>
        <v>#N/A</v>
      </c>
      <c r="W47" s="3" t="e">
        <f t="shared" si="0"/>
        <v>#N/A</v>
      </c>
      <c r="X47" s="3"/>
      <c r="Y47" s="3"/>
      <c r="Z47" t="s">
        <v>16</v>
      </c>
      <c r="AA47" t="s">
        <v>12</v>
      </c>
      <c r="AB47" t="s">
        <v>12</v>
      </c>
      <c r="AC47" t="s">
        <v>8</v>
      </c>
      <c r="AD47" t="s">
        <v>18</v>
      </c>
      <c r="AE47" t="s">
        <v>163</v>
      </c>
      <c r="AF47" t="s">
        <v>12</v>
      </c>
      <c r="AG47" t="s">
        <v>12</v>
      </c>
      <c r="AH47" t="s">
        <v>12</v>
      </c>
      <c r="AI47" s="2">
        <v>45750</v>
      </c>
      <c r="AJ47" s="2">
        <v>45842</v>
      </c>
      <c r="AK47" t="s">
        <v>164</v>
      </c>
    </row>
    <row r="48" spans="1:37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140</v>
      </c>
      <c r="G48" s="2">
        <v>45750</v>
      </c>
      <c r="H48" t="s">
        <v>165</v>
      </c>
      <c r="I48" t="s">
        <v>22</v>
      </c>
      <c r="J48" s="2">
        <v>45750</v>
      </c>
      <c r="K48" s="2">
        <v>45752</v>
      </c>
      <c r="L48" t="s">
        <v>8</v>
      </c>
      <c r="M48" s="26">
        <v>256779410250</v>
      </c>
      <c r="N48" t="s">
        <v>10</v>
      </c>
      <c r="O48" t="s">
        <v>11</v>
      </c>
      <c r="P48" t="s">
        <v>12</v>
      </c>
      <c r="Q48" t="s">
        <v>24</v>
      </c>
      <c r="R48" t="s">
        <v>14</v>
      </c>
      <c r="S48" s="3">
        <v>456.75</v>
      </c>
      <c r="T48" t="s">
        <v>15</v>
      </c>
      <c r="U48" s="3">
        <v>39701.54</v>
      </c>
      <c r="V48" s="3" t="e">
        <f>VLOOKUP(M48,'[1]Query Report'!$A:$E,5,0)</f>
        <v>#N/A</v>
      </c>
      <c r="W48" s="3" t="e">
        <f t="shared" si="0"/>
        <v>#N/A</v>
      </c>
      <c r="X48" s="3"/>
      <c r="Y48" s="3"/>
      <c r="Z48" t="s">
        <v>16</v>
      </c>
      <c r="AA48" t="s">
        <v>12</v>
      </c>
      <c r="AB48" t="s">
        <v>12</v>
      </c>
      <c r="AC48" t="s">
        <v>8</v>
      </c>
      <c r="AD48" t="s">
        <v>18</v>
      </c>
      <c r="AE48" t="s">
        <v>167</v>
      </c>
      <c r="AF48" t="s">
        <v>12</v>
      </c>
      <c r="AG48" t="s">
        <v>12</v>
      </c>
      <c r="AH48" t="s">
        <v>12</v>
      </c>
      <c r="AI48" s="2">
        <v>45750</v>
      </c>
      <c r="AJ48" s="2">
        <v>45842</v>
      </c>
      <c r="AK48" t="s">
        <v>168</v>
      </c>
    </row>
    <row r="49" spans="1:37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140</v>
      </c>
      <c r="G49" s="2">
        <v>45750</v>
      </c>
      <c r="H49" t="s">
        <v>169</v>
      </c>
      <c r="I49" t="s">
        <v>22</v>
      </c>
      <c r="J49" s="2">
        <v>45750</v>
      </c>
      <c r="K49" s="2">
        <v>45752</v>
      </c>
      <c r="L49" t="s">
        <v>8</v>
      </c>
      <c r="M49" s="26">
        <v>256779410004</v>
      </c>
      <c r="N49" t="s">
        <v>10</v>
      </c>
      <c r="O49" t="s">
        <v>11</v>
      </c>
      <c r="P49" t="s">
        <v>12</v>
      </c>
      <c r="Q49" t="s">
        <v>24</v>
      </c>
      <c r="R49" t="s">
        <v>14</v>
      </c>
      <c r="S49" s="3">
        <v>705</v>
      </c>
      <c r="T49" t="s">
        <v>15</v>
      </c>
      <c r="U49" s="3">
        <v>61279.88</v>
      </c>
      <c r="V49" s="3" t="e">
        <f>VLOOKUP(M49,'[1]Query Report'!$A:$E,5,0)</f>
        <v>#N/A</v>
      </c>
      <c r="W49" s="3" t="e">
        <f t="shared" si="0"/>
        <v>#N/A</v>
      </c>
      <c r="X49" s="29" t="e">
        <f t="shared" ref="X49:X51" si="3">W49/U49</f>
        <v>#N/A</v>
      </c>
      <c r="Y49" s="29" t="s">
        <v>1363</v>
      </c>
      <c r="Z49" t="s">
        <v>16</v>
      </c>
      <c r="AA49" t="s">
        <v>12</v>
      </c>
      <c r="AB49" t="s">
        <v>12</v>
      </c>
      <c r="AC49" t="s">
        <v>8</v>
      </c>
      <c r="AD49" t="s">
        <v>18</v>
      </c>
      <c r="AE49" t="s">
        <v>171</v>
      </c>
      <c r="AF49" t="s">
        <v>12</v>
      </c>
      <c r="AG49" t="s">
        <v>12</v>
      </c>
      <c r="AH49" t="s">
        <v>12</v>
      </c>
      <c r="AI49" s="2">
        <v>45750</v>
      </c>
      <c r="AJ49" s="2">
        <v>45976</v>
      </c>
      <c r="AK49" t="s">
        <v>64</v>
      </c>
    </row>
    <row r="50" spans="1:37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140</v>
      </c>
      <c r="G50" s="2">
        <v>45750</v>
      </c>
      <c r="H50" t="s">
        <v>172</v>
      </c>
      <c r="I50" t="s">
        <v>22</v>
      </c>
      <c r="J50" s="2">
        <v>45750</v>
      </c>
      <c r="K50" s="2">
        <v>45752</v>
      </c>
      <c r="L50" t="s">
        <v>8</v>
      </c>
      <c r="M50" s="26">
        <v>256779410010</v>
      </c>
      <c r="N50" t="s">
        <v>10</v>
      </c>
      <c r="O50" t="s">
        <v>11</v>
      </c>
      <c r="P50" t="s">
        <v>12</v>
      </c>
      <c r="Q50" t="s">
        <v>24</v>
      </c>
      <c r="R50" t="s">
        <v>14</v>
      </c>
      <c r="S50" s="3">
        <v>1793.99</v>
      </c>
      <c r="T50" t="s">
        <v>15</v>
      </c>
      <c r="U50" s="3">
        <v>155936.88</v>
      </c>
      <c r="V50" s="3" t="e">
        <f>VLOOKUP(M50,'[1]Query Report'!$A:$E,5,0)</f>
        <v>#N/A</v>
      </c>
      <c r="W50" s="3" t="e">
        <f t="shared" si="0"/>
        <v>#N/A</v>
      </c>
      <c r="X50" s="29" t="e">
        <f t="shared" si="3"/>
        <v>#N/A</v>
      </c>
      <c r="Y50" s="29" t="s">
        <v>1363</v>
      </c>
      <c r="Z50" t="s">
        <v>16</v>
      </c>
      <c r="AA50" t="s">
        <v>12</v>
      </c>
      <c r="AB50" t="s">
        <v>12</v>
      </c>
      <c r="AC50" t="s">
        <v>8</v>
      </c>
      <c r="AD50" t="s">
        <v>18</v>
      </c>
      <c r="AE50" t="s">
        <v>171</v>
      </c>
      <c r="AF50" t="s">
        <v>12</v>
      </c>
      <c r="AG50" t="s">
        <v>12</v>
      </c>
      <c r="AH50" t="s">
        <v>12</v>
      </c>
      <c r="AI50" s="2">
        <v>45750</v>
      </c>
      <c r="AJ50" s="2">
        <v>45976</v>
      </c>
      <c r="AK50" t="s">
        <v>64</v>
      </c>
    </row>
    <row r="51" spans="1:37" outlineLevel="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140</v>
      </c>
      <c r="G51" s="2">
        <v>45750</v>
      </c>
      <c r="H51" t="s">
        <v>174</v>
      </c>
      <c r="I51" t="s">
        <v>22</v>
      </c>
      <c r="J51" s="2">
        <v>45750</v>
      </c>
      <c r="K51" s="2">
        <v>45752</v>
      </c>
      <c r="L51" t="s">
        <v>8</v>
      </c>
      <c r="M51" s="26">
        <v>256779410220</v>
      </c>
      <c r="N51" t="s">
        <v>10</v>
      </c>
      <c r="O51" t="s">
        <v>11</v>
      </c>
      <c r="P51" t="s">
        <v>12</v>
      </c>
      <c r="Q51" t="s">
        <v>24</v>
      </c>
      <c r="R51" t="s">
        <v>14</v>
      </c>
      <c r="S51" s="3">
        <v>1314.12</v>
      </c>
      <c r="T51" t="s">
        <v>15</v>
      </c>
      <c r="U51" s="3">
        <v>114225.7</v>
      </c>
      <c r="V51" s="3" t="e">
        <f>VLOOKUP(M51,'[1]Query Report'!$A:$E,5,0)</f>
        <v>#N/A</v>
      </c>
      <c r="W51" s="3" t="e">
        <f t="shared" si="0"/>
        <v>#N/A</v>
      </c>
      <c r="X51" s="29" t="e">
        <f t="shared" si="3"/>
        <v>#N/A</v>
      </c>
      <c r="Y51" s="29"/>
      <c r="Z51" t="s">
        <v>16</v>
      </c>
      <c r="AA51" t="s">
        <v>12</v>
      </c>
      <c r="AB51" t="s">
        <v>12</v>
      </c>
      <c r="AC51" t="s">
        <v>8</v>
      </c>
      <c r="AD51" t="s">
        <v>18</v>
      </c>
      <c r="AE51" t="s">
        <v>171</v>
      </c>
      <c r="AF51" t="s">
        <v>12</v>
      </c>
      <c r="AG51" t="s">
        <v>12</v>
      </c>
      <c r="AH51" t="s">
        <v>12</v>
      </c>
      <c r="AI51" s="2">
        <v>45750</v>
      </c>
      <c r="AJ51" s="2">
        <v>45976</v>
      </c>
      <c r="AK51" t="s">
        <v>64</v>
      </c>
    </row>
    <row r="52" spans="1:37" outlineLevel="2" x14ac:dyDescent="0.25">
      <c r="A52" t="s">
        <v>129</v>
      </c>
      <c r="B52" t="s">
        <v>1</v>
      </c>
      <c r="C52" t="s">
        <v>2</v>
      </c>
      <c r="D52" t="s">
        <v>3</v>
      </c>
      <c r="E52" t="s">
        <v>4</v>
      </c>
      <c r="F52" t="s">
        <v>176</v>
      </c>
      <c r="G52" s="2">
        <v>45950</v>
      </c>
      <c r="H52" t="s">
        <v>177</v>
      </c>
      <c r="I52" t="s">
        <v>22</v>
      </c>
      <c r="J52" s="2">
        <v>45950</v>
      </c>
      <c r="K52" s="2">
        <v>45951</v>
      </c>
      <c r="L52" t="s">
        <v>8</v>
      </c>
      <c r="M52" s="26">
        <v>256779418614</v>
      </c>
      <c r="N52" t="s">
        <v>10</v>
      </c>
      <c r="O52" t="s">
        <v>11</v>
      </c>
      <c r="P52" t="s">
        <v>12</v>
      </c>
      <c r="Q52" t="s">
        <v>24</v>
      </c>
      <c r="R52" t="s">
        <v>14</v>
      </c>
      <c r="S52" s="3">
        <v>338.06</v>
      </c>
      <c r="T52" t="s">
        <v>15</v>
      </c>
      <c r="U52" s="3">
        <v>29813.77</v>
      </c>
      <c r="V52" s="3" t="e">
        <f>VLOOKUP(M52,'[1]Query Report'!$A:$E,5,0)</f>
        <v>#N/A</v>
      </c>
      <c r="W52" s="3" t="e">
        <f t="shared" si="0"/>
        <v>#N/A</v>
      </c>
      <c r="X52" s="3"/>
      <c r="Y52" s="3"/>
      <c r="Z52" t="s">
        <v>16</v>
      </c>
      <c r="AA52" t="s">
        <v>17</v>
      </c>
      <c r="AB52" t="s">
        <v>12</v>
      </c>
      <c r="AC52" t="s">
        <v>179</v>
      </c>
      <c r="AD52" t="s">
        <v>18</v>
      </c>
      <c r="AE52" t="s">
        <v>180</v>
      </c>
      <c r="AF52" t="s">
        <v>12</v>
      </c>
      <c r="AG52" t="s">
        <v>12</v>
      </c>
      <c r="AH52" t="s">
        <v>12</v>
      </c>
      <c r="AI52" s="2">
        <v>45950</v>
      </c>
      <c r="AJ52" s="2"/>
      <c r="AK52" t="s">
        <v>12</v>
      </c>
    </row>
    <row r="53" spans="1:37" outlineLevel="2" x14ac:dyDescent="0.25">
      <c r="A53" t="s">
        <v>129</v>
      </c>
      <c r="B53" t="s">
        <v>1</v>
      </c>
      <c r="C53" t="s">
        <v>2</v>
      </c>
      <c r="D53" t="s">
        <v>3</v>
      </c>
      <c r="E53" t="s">
        <v>4</v>
      </c>
      <c r="F53" t="s">
        <v>176</v>
      </c>
      <c r="G53" s="2">
        <v>45950</v>
      </c>
      <c r="H53" t="s">
        <v>181</v>
      </c>
      <c r="I53" t="s">
        <v>22</v>
      </c>
      <c r="J53" s="2">
        <v>45950</v>
      </c>
      <c r="K53" s="2">
        <v>45951</v>
      </c>
      <c r="L53" t="s">
        <v>8</v>
      </c>
      <c r="M53" s="26">
        <v>256779418620</v>
      </c>
      <c r="N53" t="s">
        <v>10</v>
      </c>
      <c r="O53" t="s">
        <v>11</v>
      </c>
      <c r="P53" t="s">
        <v>12</v>
      </c>
      <c r="Q53" t="s">
        <v>24</v>
      </c>
      <c r="R53" t="s">
        <v>14</v>
      </c>
      <c r="S53" s="3">
        <v>830.96</v>
      </c>
      <c r="T53" t="s">
        <v>15</v>
      </c>
      <c r="U53" s="3">
        <v>73283</v>
      </c>
      <c r="V53" s="3" t="e">
        <f>VLOOKUP(M53,'[1]Query Report'!$A:$E,5,0)</f>
        <v>#N/A</v>
      </c>
      <c r="W53" s="3" t="e">
        <f t="shared" si="0"/>
        <v>#N/A</v>
      </c>
      <c r="X53" s="3"/>
      <c r="Y53" s="3"/>
      <c r="Z53" t="s">
        <v>16</v>
      </c>
      <c r="AA53" t="s">
        <v>17</v>
      </c>
      <c r="AB53" t="s">
        <v>12</v>
      </c>
      <c r="AC53" t="s">
        <v>183</v>
      </c>
      <c r="AD53" t="s">
        <v>18</v>
      </c>
      <c r="AE53" t="s">
        <v>184</v>
      </c>
      <c r="AF53" t="s">
        <v>12</v>
      </c>
      <c r="AG53" t="s">
        <v>12</v>
      </c>
      <c r="AH53" t="s">
        <v>12</v>
      </c>
      <c r="AI53" s="2">
        <v>45950</v>
      </c>
      <c r="AJ53" s="2"/>
      <c r="AK53" t="s">
        <v>12</v>
      </c>
    </row>
    <row r="54" spans="1:37" outlineLevel="2" x14ac:dyDescent="0.25">
      <c r="A54" t="s">
        <v>129</v>
      </c>
      <c r="B54" t="s">
        <v>1</v>
      </c>
      <c r="C54" t="s">
        <v>2</v>
      </c>
      <c r="D54" t="s">
        <v>3</v>
      </c>
      <c r="E54" t="s">
        <v>4</v>
      </c>
      <c r="F54" t="s">
        <v>176</v>
      </c>
      <c r="G54" s="2">
        <v>45950</v>
      </c>
      <c r="H54" t="s">
        <v>185</v>
      </c>
      <c r="I54" t="s">
        <v>22</v>
      </c>
      <c r="J54" s="2">
        <v>45950</v>
      </c>
      <c r="K54" s="2">
        <v>45951</v>
      </c>
      <c r="L54" t="s">
        <v>8</v>
      </c>
      <c r="M54" s="26">
        <v>256779418661</v>
      </c>
      <c r="N54" t="s">
        <v>10</v>
      </c>
      <c r="O54" t="s">
        <v>11</v>
      </c>
      <c r="P54" t="s">
        <v>12</v>
      </c>
      <c r="Q54" t="s">
        <v>24</v>
      </c>
      <c r="R54" t="s">
        <v>14</v>
      </c>
      <c r="S54" s="3">
        <v>226.3</v>
      </c>
      <c r="T54" t="s">
        <v>15</v>
      </c>
      <c r="U54" s="3">
        <v>19957.57</v>
      </c>
      <c r="V54" s="3" t="e">
        <f>VLOOKUP(M54,'[1]Query Report'!$A:$E,5,0)</f>
        <v>#N/A</v>
      </c>
      <c r="W54" s="3" t="e">
        <f t="shared" si="0"/>
        <v>#N/A</v>
      </c>
      <c r="X54" s="3"/>
      <c r="Y54" s="3"/>
      <c r="Z54" t="s">
        <v>16</v>
      </c>
      <c r="AA54" t="s">
        <v>17</v>
      </c>
      <c r="AB54" t="s">
        <v>12</v>
      </c>
      <c r="AC54" t="s">
        <v>187</v>
      </c>
      <c r="AD54" t="s">
        <v>18</v>
      </c>
      <c r="AE54" t="s">
        <v>188</v>
      </c>
      <c r="AF54" t="s">
        <v>12</v>
      </c>
      <c r="AG54" t="s">
        <v>12</v>
      </c>
      <c r="AH54" t="s">
        <v>12</v>
      </c>
      <c r="AI54" s="2">
        <v>45950</v>
      </c>
      <c r="AJ54" s="2"/>
      <c r="AK54" t="s">
        <v>12</v>
      </c>
    </row>
    <row r="55" spans="1:37" outlineLevel="2" x14ac:dyDescent="0.25">
      <c r="A55" t="s">
        <v>129</v>
      </c>
      <c r="B55" t="s">
        <v>1</v>
      </c>
      <c r="C55" t="s">
        <v>2</v>
      </c>
      <c r="D55" t="s">
        <v>3</v>
      </c>
      <c r="E55" t="s">
        <v>4</v>
      </c>
      <c r="F55" t="s">
        <v>176</v>
      </c>
      <c r="G55" s="2">
        <v>45950</v>
      </c>
      <c r="H55" t="s">
        <v>189</v>
      </c>
      <c r="I55" t="s">
        <v>22</v>
      </c>
      <c r="J55" s="2">
        <v>45950</v>
      </c>
      <c r="K55" s="2">
        <v>45951</v>
      </c>
      <c r="L55" t="s">
        <v>8</v>
      </c>
      <c r="M55" s="26">
        <v>256779418702</v>
      </c>
      <c r="N55" t="s">
        <v>10</v>
      </c>
      <c r="O55" t="s">
        <v>11</v>
      </c>
      <c r="P55" t="s">
        <v>12</v>
      </c>
      <c r="Q55" t="s">
        <v>24</v>
      </c>
      <c r="R55" t="s">
        <v>14</v>
      </c>
      <c r="S55" s="3">
        <v>182.87</v>
      </c>
      <c r="T55" t="s">
        <v>15</v>
      </c>
      <c r="U55" s="3">
        <v>16127.45</v>
      </c>
      <c r="V55" s="3" t="e">
        <f>VLOOKUP(M55,'[1]Query Report'!$A:$E,5,0)</f>
        <v>#N/A</v>
      </c>
      <c r="W55" s="3" t="e">
        <f t="shared" si="0"/>
        <v>#N/A</v>
      </c>
      <c r="X55" s="3"/>
      <c r="Y55" s="3"/>
      <c r="Z55" t="s">
        <v>16</v>
      </c>
      <c r="AA55" t="s">
        <v>17</v>
      </c>
      <c r="AB55" t="s">
        <v>12</v>
      </c>
      <c r="AC55" t="s">
        <v>191</v>
      </c>
      <c r="AD55" t="s">
        <v>18</v>
      </c>
      <c r="AE55" t="s">
        <v>192</v>
      </c>
      <c r="AF55" t="s">
        <v>12</v>
      </c>
      <c r="AG55" t="s">
        <v>12</v>
      </c>
      <c r="AH55" t="s">
        <v>12</v>
      </c>
      <c r="AI55" s="2">
        <v>45950</v>
      </c>
      <c r="AJ55" s="2"/>
      <c r="AK55" t="s">
        <v>12</v>
      </c>
    </row>
    <row r="56" spans="1:37" outlineLevel="2" x14ac:dyDescent="0.25">
      <c r="A56" t="s">
        <v>129</v>
      </c>
      <c r="B56" t="s">
        <v>1</v>
      </c>
      <c r="C56" t="s">
        <v>2</v>
      </c>
      <c r="D56" t="s">
        <v>3</v>
      </c>
      <c r="E56" t="s">
        <v>4</v>
      </c>
      <c r="F56" t="s">
        <v>140</v>
      </c>
      <c r="G56" s="2">
        <v>45768</v>
      </c>
      <c r="H56" t="s">
        <v>193</v>
      </c>
      <c r="I56" t="s">
        <v>22</v>
      </c>
      <c r="J56" s="2">
        <v>45768</v>
      </c>
      <c r="K56" s="2">
        <v>45769</v>
      </c>
      <c r="L56" t="s">
        <v>8</v>
      </c>
      <c r="M56" s="26">
        <v>256779412161</v>
      </c>
      <c r="N56" t="s">
        <v>10</v>
      </c>
      <c r="O56" t="s">
        <v>11</v>
      </c>
      <c r="P56" t="s">
        <v>12</v>
      </c>
      <c r="Q56" t="s">
        <v>24</v>
      </c>
      <c r="R56" t="s">
        <v>14</v>
      </c>
      <c r="S56" s="3">
        <v>456.75</v>
      </c>
      <c r="T56" t="s">
        <v>15</v>
      </c>
      <c r="U56" s="3">
        <v>39193.72</v>
      </c>
      <c r="V56" s="3" t="e">
        <f>VLOOKUP(M56,'[1]Query Report'!$A:$E,5,0)</f>
        <v>#N/A</v>
      </c>
      <c r="W56" s="3" t="e">
        <f t="shared" si="0"/>
        <v>#N/A</v>
      </c>
      <c r="X56" s="29" t="e">
        <f>W56/U56</f>
        <v>#N/A</v>
      </c>
      <c r="Y56" s="29" t="s">
        <v>1363</v>
      </c>
      <c r="Z56" t="s">
        <v>16</v>
      </c>
      <c r="AA56" t="s">
        <v>17</v>
      </c>
      <c r="AB56" t="s">
        <v>12</v>
      </c>
      <c r="AC56" t="s">
        <v>8</v>
      </c>
      <c r="AD56" t="s">
        <v>18</v>
      </c>
      <c r="AE56" t="s">
        <v>195</v>
      </c>
      <c r="AF56" t="s">
        <v>12</v>
      </c>
      <c r="AG56" t="s">
        <v>12</v>
      </c>
      <c r="AH56" t="s">
        <v>12</v>
      </c>
      <c r="AI56" s="2">
        <v>45768</v>
      </c>
      <c r="AJ56" s="2"/>
      <c r="AK56" t="s">
        <v>12</v>
      </c>
    </row>
    <row r="57" spans="1:37" outlineLevel="2" x14ac:dyDescent="0.25">
      <c r="A57" t="s">
        <v>129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45862</v>
      </c>
      <c r="H57" t="s">
        <v>196</v>
      </c>
      <c r="I57" t="s">
        <v>7</v>
      </c>
      <c r="J57" s="2">
        <v>45862</v>
      </c>
      <c r="K57" s="2">
        <v>45862</v>
      </c>
      <c r="L57" t="s">
        <v>8</v>
      </c>
      <c r="M57" s="26">
        <v>256779421436</v>
      </c>
      <c r="N57" t="s">
        <v>10</v>
      </c>
      <c r="O57" t="s">
        <v>11</v>
      </c>
      <c r="P57" t="s">
        <v>12</v>
      </c>
      <c r="Q57" t="s">
        <v>13</v>
      </c>
      <c r="R57" t="s">
        <v>14</v>
      </c>
      <c r="S57" s="3">
        <v>-140</v>
      </c>
      <c r="T57" t="s">
        <v>15</v>
      </c>
      <c r="U57" s="3">
        <v>-12037.72</v>
      </c>
      <c r="V57" s="3" t="e">
        <f>VLOOKUP(M57,'[1]Query Report'!$A:$E,5,0)</f>
        <v>#N/A</v>
      </c>
      <c r="W57" s="3" t="e">
        <f t="shared" si="0"/>
        <v>#N/A</v>
      </c>
      <c r="X57" s="3"/>
      <c r="Y57" s="3"/>
      <c r="Z57" t="s">
        <v>16</v>
      </c>
      <c r="AA57" t="s">
        <v>17</v>
      </c>
      <c r="AB57" t="s">
        <v>12</v>
      </c>
      <c r="AC57" t="s">
        <v>8</v>
      </c>
      <c r="AD57" t="s">
        <v>18</v>
      </c>
      <c r="AE57" t="s">
        <v>198</v>
      </c>
      <c r="AF57" t="s">
        <v>12</v>
      </c>
      <c r="AG57" t="s">
        <v>12</v>
      </c>
      <c r="AH57" t="s">
        <v>12</v>
      </c>
      <c r="AI57" s="2">
        <v>45862</v>
      </c>
      <c r="AJ57" s="2"/>
      <c r="AK57" t="s">
        <v>12</v>
      </c>
    </row>
    <row r="58" spans="1:37" outlineLevel="2" x14ac:dyDescent="0.25">
      <c r="A58" t="s">
        <v>129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45862</v>
      </c>
      <c r="H58" t="s">
        <v>199</v>
      </c>
      <c r="I58" t="s">
        <v>22</v>
      </c>
      <c r="J58" s="2">
        <v>45862</v>
      </c>
      <c r="K58" s="2">
        <v>45862</v>
      </c>
      <c r="L58" t="s">
        <v>8</v>
      </c>
      <c r="M58" s="26">
        <v>256779415939</v>
      </c>
      <c r="N58" t="s">
        <v>10</v>
      </c>
      <c r="O58" t="s">
        <v>11</v>
      </c>
      <c r="P58" t="s">
        <v>12</v>
      </c>
      <c r="Q58" t="s">
        <v>24</v>
      </c>
      <c r="R58" t="s">
        <v>14</v>
      </c>
      <c r="S58" s="3">
        <v>140</v>
      </c>
      <c r="T58" t="s">
        <v>15</v>
      </c>
      <c r="U58" s="3">
        <v>12040.09</v>
      </c>
      <c r="V58" s="3" t="e">
        <f>VLOOKUP(M58,'[1]Query Report'!$A:$E,5,0)</f>
        <v>#N/A</v>
      </c>
      <c r="W58" s="3" t="e">
        <f t="shared" si="0"/>
        <v>#N/A</v>
      </c>
      <c r="X58" s="29" t="e">
        <f t="shared" ref="X58:X59" si="4">W58/U58</f>
        <v>#N/A</v>
      </c>
      <c r="Y58" s="29" t="s">
        <v>1363</v>
      </c>
      <c r="Z58" t="s">
        <v>16</v>
      </c>
      <c r="AA58" t="s">
        <v>17</v>
      </c>
      <c r="AB58" t="s">
        <v>12</v>
      </c>
      <c r="AC58" t="s">
        <v>8</v>
      </c>
      <c r="AD58" t="s">
        <v>18</v>
      </c>
      <c r="AE58" t="s">
        <v>201</v>
      </c>
      <c r="AF58" t="s">
        <v>12</v>
      </c>
      <c r="AG58" t="s">
        <v>12</v>
      </c>
      <c r="AH58" t="s">
        <v>12</v>
      </c>
      <c r="AI58" s="2">
        <v>45862</v>
      </c>
      <c r="AJ58" s="2"/>
      <c r="AK58" t="s">
        <v>12</v>
      </c>
    </row>
    <row r="59" spans="1:37" outlineLevel="2" x14ac:dyDescent="0.25">
      <c r="A59" t="s">
        <v>129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45862</v>
      </c>
      <c r="H59" t="s">
        <v>202</v>
      </c>
      <c r="I59" t="s">
        <v>22</v>
      </c>
      <c r="J59" s="2">
        <v>45862</v>
      </c>
      <c r="K59" s="2">
        <v>45862</v>
      </c>
      <c r="L59" t="s">
        <v>8</v>
      </c>
      <c r="M59" s="26">
        <v>256779415945</v>
      </c>
      <c r="N59" t="s">
        <v>10</v>
      </c>
      <c r="O59" t="s">
        <v>11</v>
      </c>
      <c r="P59" t="s">
        <v>12</v>
      </c>
      <c r="Q59" t="s">
        <v>24</v>
      </c>
      <c r="R59" t="s">
        <v>14</v>
      </c>
      <c r="S59" s="3">
        <v>111.15</v>
      </c>
      <c r="T59" t="s">
        <v>15</v>
      </c>
      <c r="U59" s="3">
        <v>9558.9699999999993</v>
      </c>
      <c r="V59" s="3" t="e">
        <f>VLOOKUP(M59,'[1]Query Report'!$A:$E,5,0)</f>
        <v>#N/A</v>
      </c>
      <c r="W59" s="3" t="e">
        <f t="shared" si="0"/>
        <v>#N/A</v>
      </c>
      <c r="X59" s="29" t="e">
        <f t="shared" si="4"/>
        <v>#N/A</v>
      </c>
      <c r="Y59" s="29" t="s">
        <v>1363</v>
      </c>
      <c r="Z59" t="s">
        <v>16</v>
      </c>
      <c r="AA59" t="s">
        <v>17</v>
      </c>
      <c r="AB59" t="s">
        <v>12</v>
      </c>
      <c r="AC59" t="s">
        <v>8</v>
      </c>
      <c r="AD59" t="s">
        <v>18</v>
      </c>
      <c r="AE59" t="s">
        <v>139</v>
      </c>
      <c r="AF59" t="s">
        <v>12</v>
      </c>
      <c r="AG59" t="s">
        <v>12</v>
      </c>
      <c r="AH59" t="s">
        <v>12</v>
      </c>
      <c r="AI59" s="2">
        <v>45862</v>
      </c>
      <c r="AJ59" s="2"/>
      <c r="AK59" t="s">
        <v>12</v>
      </c>
    </row>
    <row r="60" spans="1:37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45862</v>
      </c>
      <c r="H60" t="s">
        <v>204</v>
      </c>
      <c r="I60" t="s">
        <v>7</v>
      </c>
      <c r="J60" s="2">
        <v>45862</v>
      </c>
      <c r="K60" s="2">
        <v>45862</v>
      </c>
      <c r="L60" t="s">
        <v>8</v>
      </c>
      <c r="M60" s="26">
        <v>256779421526</v>
      </c>
      <c r="N60" t="s">
        <v>10</v>
      </c>
      <c r="O60" t="s">
        <v>11</v>
      </c>
      <c r="P60" t="s">
        <v>12</v>
      </c>
      <c r="Q60" t="s">
        <v>13</v>
      </c>
      <c r="R60" t="s">
        <v>14</v>
      </c>
      <c r="S60" s="3">
        <v>-456.75</v>
      </c>
      <c r="T60" t="s">
        <v>15</v>
      </c>
      <c r="U60" s="3">
        <v>-39280.81</v>
      </c>
      <c r="V60" s="3" t="e">
        <f>VLOOKUP(M60,'[1]Query Report'!$A:$E,5,0)</f>
        <v>#N/A</v>
      </c>
      <c r="W60" s="3" t="e">
        <f t="shared" si="0"/>
        <v>#N/A</v>
      </c>
      <c r="X60" s="3"/>
      <c r="Y60" s="3"/>
      <c r="Z60" t="s">
        <v>16</v>
      </c>
      <c r="AA60" t="s">
        <v>17</v>
      </c>
      <c r="AB60" t="s">
        <v>12</v>
      </c>
      <c r="AC60" t="s">
        <v>8</v>
      </c>
      <c r="AD60" t="s">
        <v>18</v>
      </c>
      <c r="AE60" t="s">
        <v>206</v>
      </c>
      <c r="AF60" t="s">
        <v>12</v>
      </c>
      <c r="AG60" t="s">
        <v>12</v>
      </c>
      <c r="AH60" t="s">
        <v>12</v>
      </c>
      <c r="AI60" s="2">
        <v>45862</v>
      </c>
      <c r="AJ60" s="2">
        <v>45902</v>
      </c>
      <c r="AK60" t="s">
        <v>207</v>
      </c>
    </row>
    <row r="61" spans="1:37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45862</v>
      </c>
      <c r="H61" t="s">
        <v>208</v>
      </c>
      <c r="I61" t="s">
        <v>7</v>
      </c>
      <c r="J61" s="2">
        <v>45862</v>
      </c>
      <c r="K61" s="2">
        <v>45862</v>
      </c>
      <c r="L61" t="s">
        <v>8</v>
      </c>
      <c r="M61" s="26">
        <v>256779421543</v>
      </c>
      <c r="N61" t="s">
        <v>10</v>
      </c>
      <c r="O61" t="s">
        <v>11</v>
      </c>
      <c r="P61" t="s">
        <v>12</v>
      </c>
      <c r="Q61" t="s">
        <v>13</v>
      </c>
      <c r="R61" t="s">
        <v>14</v>
      </c>
      <c r="S61" s="3">
        <v>-456.75</v>
      </c>
      <c r="T61" t="s">
        <v>15</v>
      </c>
      <c r="U61" s="3">
        <v>-39280.81</v>
      </c>
      <c r="V61" s="3" t="e">
        <f>VLOOKUP(M61,'[1]Query Report'!$A:$E,5,0)</f>
        <v>#N/A</v>
      </c>
      <c r="W61" s="3" t="e">
        <f t="shared" si="0"/>
        <v>#N/A</v>
      </c>
      <c r="X61" s="3"/>
      <c r="Y61" s="3"/>
      <c r="Z61" t="s">
        <v>16</v>
      </c>
      <c r="AA61" t="s">
        <v>17</v>
      </c>
      <c r="AB61" t="s">
        <v>12</v>
      </c>
      <c r="AC61" t="s">
        <v>8</v>
      </c>
      <c r="AD61" t="s">
        <v>18</v>
      </c>
      <c r="AE61" t="s">
        <v>210</v>
      </c>
      <c r="AF61" t="s">
        <v>12</v>
      </c>
      <c r="AG61" t="s">
        <v>12</v>
      </c>
      <c r="AH61" t="s">
        <v>12</v>
      </c>
      <c r="AI61" s="2">
        <v>45862</v>
      </c>
      <c r="AJ61" s="2">
        <v>45902</v>
      </c>
      <c r="AK61" t="s">
        <v>207</v>
      </c>
    </row>
    <row r="62" spans="1:37" outlineLevel="2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45862</v>
      </c>
      <c r="H62" t="s">
        <v>211</v>
      </c>
      <c r="I62" t="s">
        <v>7</v>
      </c>
      <c r="J62" s="2">
        <v>45862</v>
      </c>
      <c r="K62" s="2">
        <v>45862</v>
      </c>
      <c r="L62" t="s">
        <v>8</v>
      </c>
      <c r="M62" s="26">
        <v>256779421442</v>
      </c>
      <c r="N62" t="s">
        <v>10</v>
      </c>
      <c r="O62" t="s">
        <v>11</v>
      </c>
      <c r="P62" t="s">
        <v>12</v>
      </c>
      <c r="Q62" t="s">
        <v>13</v>
      </c>
      <c r="R62" t="s">
        <v>14</v>
      </c>
      <c r="S62" s="3">
        <v>-111.15</v>
      </c>
      <c r="T62" t="s">
        <v>15</v>
      </c>
      <c r="U62" s="3">
        <v>-9557.09</v>
      </c>
      <c r="V62" s="3" t="e">
        <f>VLOOKUP(M62,'[1]Query Report'!$A:$E,5,0)</f>
        <v>#N/A</v>
      </c>
      <c r="W62" s="3" t="e">
        <f t="shared" si="0"/>
        <v>#N/A</v>
      </c>
      <c r="X62" s="3"/>
      <c r="Y62" s="3"/>
      <c r="Z62" t="s">
        <v>16</v>
      </c>
      <c r="AA62" t="s">
        <v>17</v>
      </c>
      <c r="AB62" t="s">
        <v>12</v>
      </c>
      <c r="AC62" t="s">
        <v>8</v>
      </c>
      <c r="AD62" t="s">
        <v>18</v>
      </c>
      <c r="AE62" t="s">
        <v>213</v>
      </c>
      <c r="AF62" t="s">
        <v>12</v>
      </c>
      <c r="AG62" t="s">
        <v>12</v>
      </c>
      <c r="AH62" t="s">
        <v>12</v>
      </c>
      <c r="AI62" s="2">
        <v>45862</v>
      </c>
      <c r="AJ62" s="2">
        <v>45976</v>
      </c>
      <c r="AK62" t="s">
        <v>64</v>
      </c>
    </row>
    <row r="63" spans="1:37" outlineLevel="2" x14ac:dyDescent="0.25">
      <c r="A63" t="s">
        <v>129</v>
      </c>
      <c r="B63" t="s">
        <v>1</v>
      </c>
      <c r="C63" t="s">
        <v>2</v>
      </c>
      <c r="D63" t="s">
        <v>3</v>
      </c>
      <c r="E63" t="s">
        <v>4</v>
      </c>
      <c r="F63" t="s">
        <v>130</v>
      </c>
      <c r="G63" s="2">
        <v>45798</v>
      </c>
      <c r="H63" t="s">
        <v>214</v>
      </c>
      <c r="I63" t="s">
        <v>22</v>
      </c>
      <c r="J63" s="2">
        <v>45798</v>
      </c>
      <c r="K63" s="2">
        <v>45800</v>
      </c>
      <c r="L63" t="s">
        <v>8</v>
      </c>
      <c r="M63" s="26">
        <v>256779413404</v>
      </c>
      <c r="N63" t="s">
        <v>10</v>
      </c>
      <c r="O63" t="s">
        <v>11</v>
      </c>
      <c r="P63" t="s">
        <v>12</v>
      </c>
      <c r="Q63" t="s">
        <v>24</v>
      </c>
      <c r="R63" t="s">
        <v>14</v>
      </c>
      <c r="S63" s="3">
        <v>84.6</v>
      </c>
      <c r="T63" t="s">
        <v>15</v>
      </c>
      <c r="U63" s="3">
        <v>7274.22</v>
      </c>
      <c r="V63" s="3" t="e">
        <f>VLOOKUP(M63,'[1]Query Report'!$A:$E,5,0)</f>
        <v>#N/A</v>
      </c>
      <c r="W63" s="3" t="e">
        <f t="shared" si="0"/>
        <v>#N/A</v>
      </c>
      <c r="X63" s="29" t="e">
        <f t="shared" ref="X63:X68" si="5">W63/U63</f>
        <v>#N/A</v>
      </c>
      <c r="Y63" s="29" t="s">
        <v>1363</v>
      </c>
      <c r="Z63" t="s">
        <v>16</v>
      </c>
      <c r="AA63" t="s">
        <v>17</v>
      </c>
      <c r="AB63" t="s">
        <v>12</v>
      </c>
      <c r="AC63" t="s">
        <v>8</v>
      </c>
      <c r="AD63" t="s">
        <v>18</v>
      </c>
      <c r="AE63" t="s">
        <v>216</v>
      </c>
      <c r="AF63" t="s">
        <v>12</v>
      </c>
      <c r="AG63" t="s">
        <v>12</v>
      </c>
      <c r="AH63" t="s">
        <v>12</v>
      </c>
      <c r="AI63" s="2">
        <v>45798</v>
      </c>
      <c r="AJ63" s="2"/>
      <c r="AK63" t="s">
        <v>12</v>
      </c>
    </row>
    <row r="64" spans="1:37" outlineLevel="2" x14ac:dyDescent="0.25">
      <c r="A64" t="s">
        <v>129</v>
      </c>
      <c r="B64" t="s">
        <v>1</v>
      </c>
      <c r="C64" t="s">
        <v>2</v>
      </c>
      <c r="D64" t="s">
        <v>3</v>
      </c>
      <c r="E64" t="s">
        <v>4</v>
      </c>
      <c r="F64" t="s">
        <v>130</v>
      </c>
      <c r="G64" s="2">
        <v>45798</v>
      </c>
      <c r="H64" t="s">
        <v>217</v>
      </c>
      <c r="I64" t="s">
        <v>22</v>
      </c>
      <c r="J64" s="2">
        <v>45798</v>
      </c>
      <c r="K64" s="2">
        <v>45800</v>
      </c>
      <c r="L64" t="s">
        <v>8</v>
      </c>
      <c r="M64" s="26">
        <v>256779413405</v>
      </c>
      <c r="N64" t="s">
        <v>10</v>
      </c>
      <c r="O64" t="s">
        <v>11</v>
      </c>
      <c r="P64" t="s">
        <v>12</v>
      </c>
      <c r="Q64" t="s">
        <v>24</v>
      </c>
      <c r="R64" t="s">
        <v>14</v>
      </c>
      <c r="S64" s="3">
        <v>47</v>
      </c>
      <c r="T64" t="s">
        <v>15</v>
      </c>
      <c r="U64" s="3">
        <v>4041.23</v>
      </c>
      <c r="V64" s="3" t="e">
        <f>VLOOKUP(M64,'[1]Query Report'!$A:$E,5,0)</f>
        <v>#N/A</v>
      </c>
      <c r="W64" s="3" t="e">
        <f t="shared" si="0"/>
        <v>#N/A</v>
      </c>
      <c r="X64" s="29" t="e">
        <f t="shared" si="5"/>
        <v>#N/A</v>
      </c>
      <c r="Y64" s="29" t="s">
        <v>1363</v>
      </c>
      <c r="Z64" t="s">
        <v>16</v>
      </c>
      <c r="AA64" t="s">
        <v>17</v>
      </c>
      <c r="AB64" t="s">
        <v>12</v>
      </c>
      <c r="AC64" t="s">
        <v>8</v>
      </c>
      <c r="AD64" t="s">
        <v>18</v>
      </c>
      <c r="AE64" t="s">
        <v>219</v>
      </c>
      <c r="AF64" t="s">
        <v>12</v>
      </c>
      <c r="AG64" t="s">
        <v>12</v>
      </c>
      <c r="AH64" t="s">
        <v>12</v>
      </c>
      <c r="AI64" s="2">
        <v>45798</v>
      </c>
      <c r="AJ64" s="2"/>
      <c r="AK64" t="s">
        <v>12</v>
      </c>
    </row>
    <row r="65" spans="1:37" outlineLevel="2" x14ac:dyDescent="0.25">
      <c r="A65" t="s">
        <v>129</v>
      </c>
      <c r="B65" t="s">
        <v>1</v>
      </c>
      <c r="C65" t="s">
        <v>2</v>
      </c>
      <c r="D65" t="s">
        <v>3</v>
      </c>
      <c r="E65" t="s">
        <v>4</v>
      </c>
      <c r="F65" t="s">
        <v>130</v>
      </c>
      <c r="G65" s="2">
        <v>45798</v>
      </c>
      <c r="H65" t="s">
        <v>220</v>
      </c>
      <c r="I65" t="s">
        <v>22</v>
      </c>
      <c r="J65" s="2">
        <v>45798</v>
      </c>
      <c r="K65" s="2">
        <v>45800</v>
      </c>
      <c r="L65" t="s">
        <v>8</v>
      </c>
      <c r="M65" s="26">
        <v>256779413429</v>
      </c>
      <c r="N65" t="s">
        <v>10</v>
      </c>
      <c r="O65" t="s">
        <v>11</v>
      </c>
      <c r="P65" t="s">
        <v>12</v>
      </c>
      <c r="Q65" t="s">
        <v>24</v>
      </c>
      <c r="R65" t="s">
        <v>14</v>
      </c>
      <c r="S65" s="3">
        <v>7.05</v>
      </c>
      <c r="T65" t="s">
        <v>15</v>
      </c>
      <c r="U65" s="3">
        <v>606.19000000000005</v>
      </c>
      <c r="V65" s="3" t="e">
        <f>VLOOKUP(M65,'[1]Query Report'!$A:$E,5,0)</f>
        <v>#N/A</v>
      </c>
      <c r="W65" s="3" t="e">
        <f t="shared" si="0"/>
        <v>#N/A</v>
      </c>
      <c r="X65" s="29" t="e">
        <f t="shared" si="5"/>
        <v>#N/A</v>
      </c>
      <c r="Y65" s="29" t="s">
        <v>1363</v>
      </c>
      <c r="Z65" t="s">
        <v>16</v>
      </c>
      <c r="AA65" t="s">
        <v>17</v>
      </c>
      <c r="AB65" t="s">
        <v>12</v>
      </c>
      <c r="AC65" t="s">
        <v>8</v>
      </c>
      <c r="AD65" t="s">
        <v>18</v>
      </c>
      <c r="AE65" t="s">
        <v>222</v>
      </c>
      <c r="AF65" t="s">
        <v>12</v>
      </c>
      <c r="AG65" t="s">
        <v>12</v>
      </c>
      <c r="AH65" t="s">
        <v>12</v>
      </c>
      <c r="AI65" s="2">
        <v>45798</v>
      </c>
      <c r="AJ65" s="2"/>
      <c r="AK65" t="s">
        <v>12</v>
      </c>
    </row>
    <row r="66" spans="1:37" outlineLevel="2" x14ac:dyDescent="0.25">
      <c r="A66" t="s">
        <v>129</v>
      </c>
      <c r="B66" t="s">
        <v>1</v>
      </c>
      <c r="C66" t="s">
        <v>2</v>
      </c>
      <c r="D66" t="s">
        <v>3</v>
      </c>
      <c r="E66" t="s">
        <v>4</v>
      </c>
      <c r="F66" t="s">
        <v>130</v>
      </c>
      <c r="G66" s="2">
        <v>45798</v>
      </c>
      <c r="H66" t="s">
        <v>223</v>
      </c>
      <c r="I66" t="s">
        <v>22</v>
      </c>
      <c r="J66" s="2">
        <v>45798</v>
      </c>
      <c r="K66" s="2">
        <v>45800</v>
      </c>
      <c r="L66" t="s">
        <v>8</v>
      </c>
      <c r="M66" s="26">
        <v>256779413430</v>
      </c>
      <c r="N66" t="s">
        <v>10</v>
      </c>
      <c r="O66" t="s">
        <v>11</v>
      </c>
      <c r="P66" t="s">
        <v>12</v>
      </c>
      <c r="Q66" t="s">
        <v>24</v>
      </c>
      <c r="R66" t="s">
        <v>14</v>
      </c>
      <c r="S66" s="3">
        <v>14.1</v>
      </c>
      <c r="T66" t="s">
        <v>15</v>
      </c>
      <c r="U66" s="3">
        <v>1212.3699999999999</v>
      </c>
      <c r="V66" s="3" t="e">
        <f>VLOOKUP(M66,'[1]Query Report'!$A:$E,5,0)</f>
        <v>#N/A</v>
      </c>
      <c r="W66" s="3" t="e">
        <f t="shared" si="0"/>
        <v>#N/A</v>
      </c>
      <c r="X66" s="29" t="e">
        <f t="shared" si="5"/>
        <v>#N/A</v>
      </c>
      <c r="Y66" s="29" t="s">
        <v>1363</v>
      </c>
      <c r="Z66" t="s">
        <v>16</v>
      </c>
      <c r="AA66" t="s">
        <v>17</v>
      </c>
      <c r="AB66" t="s">
        <v>12</v>
      </c>
      <c r="AC66" t="s">
        <v>8</v>
      </c>
      <c r="AD66" t="s">
        <v>18</v>
      </c>
      <c r="AE66" t="s">
        <v>225</v>
      </c>
      <c r="AF66" t="s">
        <v>12</v>
      </c>
      <c r="AG66" t="s">
        <v>12</v>
      </c>
      <c r="AH66" t="s">
        <v>12</v>
      </c>
      <c r="AI66" s="2">
        <v>45798</v>
      </c>
      <c r="AJ66" s="2"/>
      <c r="AK66" t="s">
        <v>12</v>
      </c>
    </row>
    <row r="67" spans="1:37" outlineLevel="2" x14ac:dyDescent="0.25">
      <c r="A67" t="s">
        <v>129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45771</v>
      </c>
      <c r="H67" t="s">
        <v>226</v>
      </c>
      <c r="I67" t="s">
        <v>22</v>
      </c>
      <c r="J67" s="2">
        <v>45771</v>
      </c>
      <c r="K67" s="2">
        <v>45773</v>
      </c>
      <c r="L67" t="s">
        <v>8</v>
      </c>
      <c r="M67" s="26">
        <v>256779412777</v>
      </c>
      <c r="N67" t="s">
        <v>10</v>
      </c>
      <c r="O67" t="s">
        <v>11</v>
      </c>
      <c r="P67" t="s">
        <v>12</v>
      </c>
      <c r="Q67" t="s">
        <v>24</v>
      </c>
      <c r="R67" t="s">
        <v>14</v>
      </c>
      <c r="S67" s="3">
        <v>95.39</v>
      </c>
      <c r="T67" t="s">
        <v>15</v>
      </c>
      <c r="U67" s="3">
        <v>8291.4699999999993</v>
      </c>
      <c r="V67" s="3" t="e">
        <f>VLOOKUP(M67,'[1]Query Report'!$A:$E,5,0)</f>
        <v>#N/A</v>
      </c>
      <c r="W67" s="3" t="e">
        <f t="shared" si="0"/>
        <v>#N/A</v>
      </c>
      <c r="X67" s="29" t="e">
        <f t="shared" si="5"/>
        <v>#N/A</v>
      </c>
      <c r="Y67" s="29" t="s">
        <v>1362</v>
      </c>
      <c r="Z67" t="s">
        <v>16</v>
      </c>
      <c r="AA67" t="s">
        <v>17</v>
      </c>
      <c r="AB67" t="s">
        <v>12</v>
      </c>
      <c r="AC67" t="s">
        <v>8</v>
      </c>
      <c r="AD67" t="s">
        <v>18</v>
      </c>
      <c r="AE67" t="s">
        <v>228</v>
      </c>
      <c r="AF67" t="s">
        <v>12</v>
      </c>
      <c r="AG67" t="s">
        <v>12</v>
      </c>
      <c r="AH67" t="s">
        <v>12</v>
      </c>
      <c r="AI67" s="2">
        <v>45771</v>
      </c>
      <c r="AJ67" s="2"/>
      <c r="AK67" t="s">
        <v>12</v>
      </c>
    </row>
    <row r="68" spans="1:37" outlineLevel="2" x14ac:dyDescent="0.25">
      <c r="A68" t="s">
        <v>129</v>
      </c>
      <c r="B68" t="s">
        <v>1</v>
      </c>
      <c r="C68" t="s">
        <v>2</v>
      </c>
      <c r="D68" t="s">
        <v>3</v>
      </c>
      <c r="E68" t="s">
        <v>4</v>
      </c>
      <c r="F68" t="s">
        <v>229</v>
      </c>
      <c r="G68" s="2">
        <v>45826</v>
      </c>
      <c r="H68" t="s">
        <v>230</v>
      </c>
      <c r="I68" t="s">
        <v>22</v>
      </c>
      <c r="J68" s="2">
        <v>45826</v>
      </c>
      <c r="K68" s="2">
        <v>45829</v>
      </c>
      <c r="L68" t="s">
        <v>8</v>
      </c>
      <c r="M68" s="26">
        <v>256779414758</v>
      </c>
      <c r="N68" t="s">
        <v>10</v>
      </c>
      <c r="O68" t="s">
        <v>11</v>
      </c>
      <c r="P68" t="s">
        <v>12</v>
      </c>
      <c r="Q68" t="s">
        <v>24</v>
      </c>
      <c r="R68" t="s">
        <v>14</v>
      </c>
      <c r="S68" s="3">
        <v>173.9</v>
      </c>
      <c r="T68" t="s">
        <v>15</v>
      </c>
      <c r="U68" s="3">
        <v>14866.85</v>
      </c>
      <c r="V68" s="3" t="e">
        <f>VLOOKUP(M68,'[1]Query Report'!$A:$E,5,0)</f>
        <v>#N/A</v>
      </c>
      <c r="W68" s="3" t="e">
        <f t="shared" ref="W68:W131" si="6">U68-V68</f>
        <v>#N/A</v>
      </c>
      <c r="X68" s="29" t="e">
        <f t="shared" si="5"/>
        <v>#N/A</v>
      </c>
      <c r="Y68" s="29" t="s">
        <v>1363</v>
      </c>
      <c r="Z68" t="s">
        <v>16</v>
      </c>
      <c r="AA68" t="s">
        <v>17</v>
      </c>
      <c r="AB68" t="s">
        <v>12</v>
      </c>
      <c r="AC68" t="s">
        <v>8</v>
      </c>
      <c r="AD68" t="s">
        <v>18</v>
      </c>
      <c r="AE68" t="s">
        <v>232</v>
      </c>
      <c r="AF68" t="s">
        <v>12</v>
      </c>
      <c r="AG68" t="s">
        <v>12</v>
      </c>
      <c r="AH68" t="s">
        <v>12</v>
      </c>
      <c r="AI68" s="2">
        <v>45826</v>
      </c>
      <c r="AJ68" s="2"/>
      <c r="AK68" t="s">
        <v>12</v>
      </c>
    </row>
    <row r="69" spans="1:37" outlineLevel="2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229</v>
      </c>
      <c r="G69" s="2">
        <v>45826</v>
      </c>
      <c r="H69" t="s">
        <v>233</v>
      </c>
      <c r="I69" t="s">
        <v>22</v>
      </c>
      <c r="J69" s="2">
        <v>45826</v>
      </c>
      <c r="K69" s="2">
        <v>45827</v>
      </c>
      <c r="L69" t="s">
        <v>8</v>
      </c>
      <c r="M69" s="26">
        <v>256779414459</v>
      </c>
      <c r="N69" t="s">
        <v>10</v>
      </c>
      <c r="O69" t="s">
        <v>11</v>
      </c>
      <c r="P69" t="s">
        <v>12</v>
      </c>
      <c r="Q69" t="s">
        <v>24</v>
      </c>
      <c r="R69" t="s">
        <v>14</v>
      </c>
      <c r="S69" s="3">
        <v>456.75</v>
      </c>
      <c r="T69" t="s">
        <v>15</v>
      </c>
      <c r="U69" s="3">
        <v>39047.910000000003</v>
      </c>
      <c r="V69" s="3" t="e">
        <f>VLOOKUP(M69,'[1]Query Report'!$A:$E,5,0)</f>
        <v>#N/A</v>
      </c>
      <c r="W69" s="3" t="e">
        <f t="shared" si="6"/>
        <v>#N/A</v>
      </c>
      <c r="X69" s="3"/>
      <c r="Y69" s="3"/>
      <c r="Z69" t="s">
        <v>16</v>
      </c>
      <c r="AA69" t="s">
        <v>17</v>
      </c>
      <c r="AB69" t="s">
        <v>12</v>
      </c>
      <c r="AC69" t="s">
        <v>8</v>
      </c>
      <c r="AD69" t="s">
        <v>18</v>
      </c>
      <c r="AE69" t="s">
        <v>167</v>
      </c>
      <c r="AF69" t="s">
        <v>12</v>
      </c>
      <c r="AG69" t="s">
        <v>12</v>
      </c>
      <c r="AH69" t="s">
        <v>12</v>
      </c>
      <c r="AI69" s="2">
        <v>45826</v>
      </c>
      <c r="AJ69" s="2">
        <v>45902</v>
      </c>
      <c r="AK69" t="s">
        <v>207</v>
      </c>
    </row>
    <row r="70" spans="1:37" outlineLevel="2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229</v>
      </c>
      <c r="G70" s="2">
        <v>45826</v>
      </c>
      <c r="H70" t="s">
        <v>235</v>
      </c>
      <c r="I70" t="s">
        <v>22</v>
      </c>
      <c r="J70" s="2">
        <v>45826</v>
      </c>
      <c r="K70" s="2">
        <v>45827</v>
      </c>
      <c r="L70" t="s">
        <v>8</v>
      </c>
      <c r="M70" s="26">
        <v>256779414476</v>
      </c>
      <c r="N70" t="s">
        <v>10</v>
      </c>
      <c r="O70" t="s">
        <v>11</v>
      </c>
      <c r="P70" t="s">
        <v>12</v>
      </c>
      <c r="Q70" t="s">
        <v>24</v>
      </c>
      <c r="R70" t="s">
        <v>14</v>
      </c>
      <c r="S70" s="3">
        <v>456.75</v>
      </c>
      <c r="T70" t="s">
        <v>15</v>
      </c>
      <c r="U70" s="3">
        <v>39047.910000000003</v>
      </c>
      <c r="V70" s="3" t="e">
        <f>VLOOKUP(M70,'[1]Query Report'!$A:$E,5,0)</f>
        <v>#N/A</v>
      </c>
      <c r="W70" s="3" t="e">
        <f t="shared" si="6"/>
        <v>#N/A</v>
      </c>
      <c r="X70" s="3"/>
      <c r="Y70" s="3"/>
      <c r="Z70" t="s">
        <v>16</v>
      </c>
      <c r="AA70" t="s">
        <v>17</v>
      </c>
      <c r="AB70" t="s">
        <v>12</v>
      </c>
      <c r="AC70" t="s">
        <v>8</v>
      </c>
      <c r="AD70" t="s">
        <v>18</v>
      </c>
      <c r="AE70" t="s">
        <v>163</v>
      </c>
      <c r="AF70" t="s">
        <v>12</v>
      </c>
      <c r="AG70" t="s">
        <v>12</v>
      </c>
      <c r="AH70" t="s">
        <v>12</v>
      </c>
      <c r="AI70" s="2">
        <v>45826</v>
      </c>
      <c r="AJ70" s="2">
        <v>45902</v>
      </c>
      <c r="AK70" t="s">
        <v>207</v>
      </c>
    </row>
    <row r="71" spans="1:37" outlineLevel="2" x14ac:dyDescent="0.25">
      <c r="A71" t="s">
        <v>129</v>
      </c>
      <c r="B71" t="s">
        <v>1</v>
      </c>
      <c r="C71" t="s">
        <v>2</v>
      </c>
      <c r="D71" t="s">
        <v>3</v>
      </c>
      <c r="E71" t="s">
        <v>4</v>
      </c>
      <c r="F71" t="s">
        <v>176</v>
      </c>
      <c r="G71" s="2">
        <v>45951</v>
      </c>
      <c r="H71" t="s">
        <v>237</v>
      </c>
      <c r="I71" t="s">
        <v>22</v>
      </c>
      <c r="J71" s="2">
        <v>45951</v>
      </c>
      <c r="K71" s="2">
        <v>45951</v>
      </c>
      <c r="L71" t="s">
        <v>8</v>
      </c>
      <c r="M71" s="26">
        <v>256779418477</v>
      </c>
      <c r="N71" t="s">
        <v>10</v>
      </c>
      <c r="O71" t="s">
        <v>11</v>
      </c>
      <c r="P71" t="s">
        <v>12</v>
      </c>
      <c r="Q71" t="s">
        <v>24</v>
      </c>
      <c r="R71" t="s">
        <v>14</v>
      </c>
      <c r="S71" s="3">
        <v>3.4</v>
      </c>
      <c r="T71" t="s">
        <v>15</v>
      </c>
      <c r="U71" s="3">
        <v>299.85000000000002</v>
      </c>
      <c r="V71" s="3" t="e">
        <f>VLOOKUP(M71,'[1]Query Report'!$A:$E,5,0)</f>
        <v>#N/A</v>
      </c>
      <c r="W71" s="3" t="e">
        <f t="shared" si="6"/>
        <v>#N/A</v>
      </c>
      <c r="X71" s="29" t="e">
        <f t="shared" ref="X71:X73" si="7">W71/U71</f>
        <v>#N/A</v>
      </c>
      <c r="Y71" s="29"/>
      <c r="Z71" t="s">
        <v>16</v>
      </c>
      <c r="AA71" t="s">
        <v>17</v>
      </c>
      <c r="AB71" t="s">
        <v>12</v>
      </c>
      <c r="AC71" t="s">
        <v>239</v>
      </c>
      <c r="AD71" t="s">
        <v>18</v>
      </c>
      <c r="AE71" t="s">
        <v>240</v>
      </c>
      <c r="AF71" t="s">
        <v>12</v>
      </c>
      <c r="AG71" t="s">
        <v>12</v>
      </c>
      <c r="AH71" t="s">
        <v>12</v>
      </c>
      <c r="AI71" s="2">
        <v>45951</v>
      </c>
      <c r="AJ71" s="2"/>
      <c r="AK71" t="s">
        <v>12</v>
      </c>
    </row>
    <row r="72" spans="1:37" outlineLevel="2" x14ac:dyDescent="0.25">
      <c r="A72" t="s">
        <v>129</v>
      </c>
      <c r="B72" t="s">
        <v>1</v>
      </c>
      <c r="C72" t="s">
        <v>2</v>
      </c>
      <c r="D72" t="s">
        <v>3</v>
      </c>
      <c r="E72" t="s">
        <v>4</v>
      </c>
      <c r="F72" t="s">
        <v>176</v>
      </c>
      <c r="G72" s="2">
        <v>45951</v>
      </c>
      <c r="H72" t="s">
        <v>241</v>
      </c>
      <c r="I72" t="s">
        <v>22</v>
      </c>
      <c r="J72" s="2">
        <v>45951</v>
      </c>
      <c r="K72" s="2">
        <v>45951</v>
      </c>
      <c r="L72" t="s">
        <v>8</v>
      </c>
      <c r="M72" s="26">
        <v>256779418492</v>
      </c>
      <c r="N72" t="s">
        <v>10</v>
      </c>
      <c r="O72" t="s">
        <v>11</v>
      </c>
      <c r="P72" t="s">
        <v>12</v>
      </c>
      <c r="Q72" t="s">
        <v>24</v>
      </c>
      <c r="R72" t="s">
        <v>14</v>
      </c>
      <c r="S72" s="3">
        <v>3.4</v>
      </c>
      <c r="T72" t="s">
        <v>15</v>
      </c>
      <c r="U72" s="3">
        <v>299.85000000000002</v>
      </c>
      <c r="V72" s="3" t="e">
        <f>VLOOKUP(M72,'[1]Query Report'!$A:$E,5,0)</f>
        <v>#N/A</v>
      </c>
      <c r="W72" s="3" t="e">
        <f t="shared" si="6"/>
        <v>#N/A</v>
      </c>
      <c r="X72" s="29" t="e">
        <f t="shared" si="7"/>
        <v>#N/A</v>
      </c>
      <c r="Y72" s="29" t="s">
        <v>1362</v>
      </c>
      <c r="Z72" t="s">
        <v>16</v>
      </c>
      <c r="AA72" t="s">
        <v>17</v>
      </c>
      <c r="AB72" t="s">
        <v>12</v>
      </c>
      <c r="AC72" t="s">
        <v>239</v>
      </c>
      <c r="AD72" t="s">
        <v>18</v>
      </c>
      <c r="AE72" t="s">
        <v>240</v>
      </c>
      <c r="AF72" t="s">
        <v>12</v>
      </c>
      <c r="AG72" t="s">
        <v>12</v>
      </c>
      <c r="AH72" t="s">
        <v>12</v>
      </c>
      <c r="AI72" s="2">
        <v>45951</v>
      </c>
      <c r="AJ72" s="2"/>
      <c r="AK72" t="s">
        <v>12</v>
      </c>
    </row>
    <row r="73" spans="1:37" outlineLevel="2" x14ac:dyDescent="0.25">
      <c r="A73" t="s">
        <v>129</v>
      </c>
      <c r="B73" t="s">
        <v>1</v>
      </c>
      <c r="C73" t="s">
        <v>2</v>
      </c>
      <c r="D73" t="s">
        <v>3</v>
      </c>
      <c r="E73" t="s">
        <v>4</v>
      </c>
      <c r="F73" t="s">
        <v>243</v>
      </c>
      <c r="G73" s="2">
        <v>45735</v>
      </c>
      <c r="H73" t="s">
        <v>244</v>
      </c>
      <c r="I73" t="s">
        <v>22</v>
      </c>
      <c r="J73" s="2">
        <v>45735</v>
      </c>
      <c r="K73" s="2">
        <v>45736</v>
      </c>
      <c r="L73" t="s">
        <v>8</v>
      </c>
      <c r="M73" s="26">
        <v>246779413000</v>
      </c>
      <c r="N73" t="s">
        <v>10</v>
      </c>
      <c r="O73" t="s">
        <v>11</v>
      </c>
      <c r="P73" t="s">
        <v>12</v>
      </c>
      <c r="Q73" t="s">
        <v>24</v>
      </c>
      <c r="R73" t="s">
        <v>14</v>
      </c>
      <c r="S73" s="3">
        <v>456.75</v>
      </c>
      <c r="T73" t="s">
        <v>15</v>
      </c>
      <c r="U73" s="3">
        <v>39596.230000000003</v>
      </c>
      <c r="V73" s="3" t="e">
        <f>VLOOKUP(M73,'[1]Query Report'!$A:$E,5,0)</f>
        <v>#N/A</v>
      </c>
      <c r="W73" s="3" t="e">
        <f t="shared" si="6"/>
        <v>#N/A</v>
      </c>
      <c r="X73" s="29" t="e">
        <f t="shared" si="7"/>
        <v>#N/A</v>
      </c>
      <c r="Y73" s="29" t="s">
        <v>1363</v>
      </c>
      <c r="Z73" t="s">
        <v>16</v>
      </c>
      <c r="AA73" t="s">
        <v>17</v>
      </c>
      <c r="AB73" t="s">
        <v>12</v>
      </c>
      <c r="AC73" t="s">
        <v>8</v>
      </c>
      <c r="AD73" t="s">
        <v>18</v>
      </c>
      <c r="AE73" t="s">
        <v>246</v>
      </c>
      <c r="AF73" t="s">
        <v>12</v>
      </c>
      <c r="AG73" t="s">
        <v>12</v>
      </c>
      <c r="AH73" t="s">
        <v>12</v>
      </c>
      <c r="AI73" s="2">
        <v>45735</v>
      </c>
      <c r="AJ73" s="2"/>
      <c r="AK73" t="s">
        <v>12</v>
      </c>
    </row>
    <row r="74" spans="1:37" outlineLevel="2" x14ac:dyDescent="0.25">
      <c r="A74" t="s">
        <v>129</v>
      </c>
      <c r="B74" t="s">
        <v>1</v>
      </c>
      <c r="C74" t="s">
        <v>2</v>
      </c>
      <c r="D74" t="s">
        <v>3</v>
      </c>
      <c r="E74" t="s">
        <v>4</v>
      </c>
      <c r="F74" t="s">
        <v>243</v>
      </c>
      <c r="G74" s="2">
        <v>45735</v>
      </c>
      <c r="H74" t="s">
        <v>247</v>
      </c>
      <c r="I74" t="s">
        <v>22</v>
      </c>
      <c r="J74" s="2">
        <v>45735</v>
      </c>
      <c r="K74" s="2">
        <v>45736</v>
      </c>
      <c r="L74" t="s">
        <v>8</v>
      </c>
      <c r="M74" s="26">
        <v>246779413209</v>
      </c>
      <c r="N74" t="s">
        <v>10</v>
      </c>
      <c r="O74" t="s">
        <v>11</v>
      </c>
      <c r="P74" t="s">
        <v>12</v>
      </c>
      <c r="Q74" t="s">
        <v>24</v>
      </c>
      <c r="R74" t="s">
        <v>14</v>
      </c>
      <c r="S74" s="3">
        <v>39.06</v>
      </c>
      <c r="T74" t="s">
        <v>15</v>
      </c>
      <c r="U74" s="3">
        <v>3386.16</v>
      </c>
      <c r="V74" s="3" t="e">
        <f>VLOOKUP(M74,'[1]Query Report'!$A:$E,5,0)</f>
        <v>#N/A</v>
      </c>
      <c r="W74" s="3" t="e">
        <f t="shared" si="6"/>
        <v>#N/A</v>
      </c>
      <c r="X74" s="3"/>
      <c r="Y74" s="3"/>
      <c r="Z74" t="s">
        <v>16</v>
      </c>
      <c r="AA74" t="s">
        <v>17</v>
      </c>
      <c r="AB74" t="s">
        <v>12</v>
      </c>
      <c r="AC74" t="s">
        <v>8</v>
      </c>
      <c r="AD74" t="s">
        <v>18</v>
      </c>
      <c r="AE74" t="s">
        <v>249</v>
      </c>
      <c r="AF74" t="s">
        <v>12</v>
      </c>
      <c r="AG74" t="s">
        <v>12</v>
      </c>
      <c r="AH74" t="s">
        <v>12</v>
      </c>
      <c r="AI74" s="2">
        <v>45735</v>
      </c>
      <c r="AJ74" s="2"/>
      <c r="AK74" t="s">
        <v>12</v>
      </c>
    </row>
    <row r="75" spans="1:37" outlineLevel="2" x14ac:dyDescent="0.25">
      <c r="A75" t="s">
        <v>129</v>
      </c>
      <c r="B75" t="s">
        <v>1</v>
      </c>
      <c r="C75" t="s">
        <v>2</v>
      </c>
      <c r="D75" t="s">
        <v>3</v>
      </c>
      <c r="E75" t="s">
        <v>4</v>
      </c>
      <c r="F75" t="s">
        <v>243</v>
      </c>
      <c r="G75" s="2">
        <v>45735</v>
      </c>
      <c r="H75" t="s">
        <v>250</v>
      </c>
      <c r="I75" t="s">
        <v>22</v>
      </c>
      <c r="J75" s="2">
        <v>45735</v>
      </c>
      <c r="K75" s="2">
        <v>45736</v>
      </c>
      <c r="L75" t="s">
        <v>8</v>
      </c>
      <c r="M75" s="26">
        <v>246779413210</v>
      </c>
      <c r="N75" t="s">
        <v>10</v>
      </c>
      <c r="O75" t="s">
        <v>11</v>
      </c>
      <c r="P75" t="s">
        <v>12</v>
      </c>
      <c r="Q75" t="s">
        <v>24</v>
      </c>
      <c r="R75" t="s">
        <v>14</v>
      </c>
      <c r="S75" s="3">
        <v>39.06</v>
      </c>
      <c r="T75" t="s">
        <v>15</v>
      </c>
      <c r="U75" s="3">
        <v>3386.16</v>
      </c>
      <c r="V75" s="3" t="e">
        <f>VLOOKUP(M75,'[1]Query Report'!$A:$E,5,0)</f>
        <v>#N/A</v>
      </c>
      <c r="W75" s="3" t="e">
        <f t="shared" si="6"/>
        <v>#N/A</v>
      </c>
      <c r="X75" s="3"/>
      <c r="Y75" s="3"/>
      <c r="Z75" t="s">
        <v>16</v>
      </c>
      <c r="AA75" t="s">
        <v>17</v>
      </c>
      <c r="AB75" t="s">
        <v>12</v>
      </c>
      <c r="AC75" t="s">
        <v>8</v>
      </c>
      <c r="AD75" t="s">
        <v>18</v>
      </c>
      <c r="AE75" t="s">
        <v>252</v>
      </c>
      <c r="AF75" t="s">
        <v>12</v>
      </c>
      <c r="AG75" t="s">
        <v>12</v>
      </c>
      <c r="AH75" t="s">
        <v>12</v>
      </c>
      <c r="AI75" s="2">
        <v>45735</v>
      </c>
      <c r="AJ75" s="2"/>
      <c r="AK75" t="s">
        <v>12</v>
      </c>
    </row>
    <row r="76" spans="1:37" outlineLevel="2" x14ac:dyDescent="0.25">
      <c r="A76" t="s">
        <v>129</v>
      </c>
      <c r="B76" t="s">
        <v>1</v>
      </c>
      <c r="C76" t="s">
        <v>2</v>
      </c>
      <c r="D76" t="s">
        <v>3</v>
      </c>
      <c r="E76" t="s">
        <v>4</v>
      </c>
      <c r="F76" t="s">
        <v>243</v>
      </c>
      <c r="G76" s="2">
        <v>45735</v>
      </c>
      <c r="H76" t="s">
        <v>253</v>
      </c>
      <c r="I76" t="s">
        <v>22</v>
      </c>
      <c r="J76" s="2">
        <v>45735</v>
      </c>
      <c r="K76" s="2">
        <v>45736</v>
      </c>
      <c r="L76" t="s">
        <v>8</v>
      </c>
      <c r="M76" s="26">
        <v>246779413211</v>
      </c>
      <c r="N76" t="s">
        <v>10</v>
      </c>
      <c r="O76" t="s">
        <v>11</v>
      </c>
      <c r="P76" t="s">
        <v>12</v>
      </c>
      <c r="Q76" t="s">
        <v>24</v>
      </c>
      <c r="R76" t="s">
        <v>14</v>
      </c>
      <c r="S76" s="3">
        <v>78.12</v>
      </c>
      <c r="T76" t="s">
        <v>15</v>
      </c>
      <c r="U76" s="3">
        <v>6772.32</v>
      </c>
      <c r="V76" s="3" t="e">
        <f>VLOOKUP(M76,'[1]Query Report'!$A:$E,5,0)</f>
        <v>#N/A</v>
      </c>
      <c r="W76" s="3" t="e">
        <f t="shared" si="6"/>
        <v>#N/A</v>
      </c>
      <c r="X76" s="3"/>
      <c r="Y76" s="3"/>
      <c r="Z76" t="s">
        <v>16</v>
      </c>
      <c r="AA76" t="s">
        <v>17</v>
      </c>
      <c r="AB76" t="s">
        <v>12</v>
      </c>
      <c r="AC76" t="s">
        <v>8</v>
      </c>
      <c r="AD76" t="s">
        <v>18</v>
      </c>
      <c r="AE76" t="s">
        <v>255</v>
      </c>
      <c r="AF76" t="s">
        <v>12</v>
      </c>
      <c r="AG76" t="s">
        <v>12</v>
      </c>
      <c r="AH76" t="s">
        <v>12</v>
      </c>
      <c r="AI76" s="2">
        <v>45735</v>
      </c>
      <c r="AJ76" s="2"/>
      <c r="AK76" t="s">
        <v>12</v>
      </c>
    </row>
    <row r="77" spans="1:37" outlineLevel="2" x14ac:dyDescent="0.25">
      <c r="A77" t="s">
        <v>129</v>
      </c>
      <c r="B77" t="s">
        <v>1</v>
      </c>
      <c r="C77" t="s">
        <v>2</v>
      </c>
      <c r="D77" t="s">
        <v>3</v>
      </c>
      <c r="E77" t="s">
        <v>4</v>
      </c>
      <c r="F77" t="s">
        <v>243</v>
      </c>
      <c r="G77" s="2">
        <v>45735</v>
      </c>
      <c r="H77" t="s">
        <v>256</v>
      </c>
      <c r="I77" t="s">
        <v>22</v>
      </c>
      <c r="J77" s="2">
        <v>45735</v>
      </c>
      <c r="K77" s="2">
        <v>45736</v>
      </c>
      <c r="L77" t="s">
        <v>8</v>
      </c>
      <c r="M77" s="26">
        <v>246779413212</v>
      </c>
      <c r="N77" t="s">
        <v>10</v>
      </c>
      <c r="O77" t="s">
        <v>11</v>
      </c>
      <c r="P77" t="s">
        <v>12</v>
      </c>
      <c r="Q77" t="s">
        <v>24</v>
      </c>
      <c r="R77" t="s">
        <v>14</v>
      </c>
      <c r="S77" s="3">
        <v>39.06</v>
      </c>
      <c r="T77" t="s">
        <v>15</v>
      </c>
      <c r="U77" s="3">
        <v>3386.16</v>
      </c>
      <c r="V77" s="3" t="e">
        <f>VLOOKUP(M77,'[1]Query Report'!$A:$E,5,0)</f>
        <v>#N/A</v>
      </c>
      <c r="W77" s="3" t="e">
        <f t="shared" si="6"/>
        <v>#N/A</v>
      </c>
      <c r="X77" s="3"/>
      <c r="Y77" s="3"/>
      <c r="Z77" t="s">
        <v>16</v>
      </c>
      <c r="AA77" t="s">
        <v>17</v>
      </c>
      <c r="AB77" t="s">
        <v>12</v>
      </c>
      <c r="AC77" t="s">
        <v>8</v>
      </c>
      <c r="AD77" t="s">
        <v>18</v>
      </c>
      <c r="AE77" t="s">
        <v>258</v>
      </c>
      <c r="AF77" t="s">
        <v>12</v>
      </c>
      <c r="AG77" t="s">
        <v>12</v>
      </c>
      <c r="AH77" t="s">
        <v>12</v>
      </c>
      <c r="AI77" s="2">
        <v>45735</v>
      </c>
      <c r="AJ77" s="2"/>
      <c r="AK77" t="s">
        <v>12</v>
      </c>
    </row>
    <row r="78" spans="1:37" outlineLevel="2" x14ac:dyDescent="0.25">
      <c r="A78" t="s">
        <v>129</v>
      </c>
      <c r="B78" t="s">
        <v>1</v>
      </c>
      <c r="C78" t="s">
        <v>2</v>
      </c>
      <c r="D78" t="s">
        <v>3</v>
      </c>
      <c r="E78" t="s">
        <v>4</v>
      </c>
      <c r="F78" t="s">
        <v>243</v>
      </c>
      <c r="G78" s="2">
        <v>45735</v>
      </c>
      <c r="H78" t="s">
        <v>259</v>
      </c>
      <c r="I78" t="s">
        <v>22</v>
      </c>
      <c r="J78" s="2">
        <v>45735</v>
      </c>
      <c r="K78" s="2">
        <v>45736</v>
      </c>
      <c r="L78" t="s">
        <v>8</v>
      </c>
      <c r="M78" s="26">
        <v>246779413213</v>
      </c>
      <c r="N78" t="s">
        <v>10</v>
      </c>
      <c r="O78" t="s">
        <v>11</v>
      </c>
      <c r="P78" t="s">
        <v>12</v>
      </c>
      <c r="Q78" t="s">
        <v>24</v>
      </c>
      <c r="R78" t="s">
        <v>14</v>
      </c>
      <c r="S78" s="3">
        <v>52.08</v>
      </c>
      <c r="T78" t="s">
        <v>15</v>
      </c>
      <c r="U78" s="3">
        <v>4514.88</v>
      </c>
      <c r="V78" s="3" t="e">
        <f>VLOOKUP(M78,'[1]Query Report'!$A:$E,5,0)</f>
        <v>#N/A</v>
      </c>
      <c r="W78" s="3" t="e">
        <f t="shared" si="6"/>
        <v>#N/A</v>
      </c>
      <c r="X78" s="3"/>
      <c r="Y78" s="3"/>
      <c r="Z78" t="s">
        <v>16</v>
      </c>
      <c r="AA78" t="s">
        <v>17</v>
      </c>
      <c r="AB78" t="s">
        <v>12</v>
      </c>
      <c r="AC78" t="s">
        <v>8</v>
      </c>
      <c r="AD78" t="s">
        <v>18</v>
      </c>
      <c r="AE78" t="s">
        <v>261</v>
      </c>
      <c r="AF78" t="s">
        <v>12</v>
      </c>
      <c r="AG78" t="s">
        <v>12</v>
      </c>
      <c r="AH78" t="s">
        <v>12</v>
      </c>
      <c r="AI78" s="2">
        <v>45735</v>
      </c>
      <c r="AJ78" s="2"/>
      <c r="AK78" t="s">
        <v>12</v>
      </c>
    </row>
    <row r="79" spans="1:37" outlineLevel="2" x14ac:dyDescent="0.25">
      <c r="A79" t="s">
        <v>129</v>
      </c>
      <c r="B79" t="s">
        <v>1</v>
      </c>
      <c r="C79" t="s">
        <v>2</v>
      </c>
      <c r="D79" t="s">
        <v>3</v>
      </c>
      <c r="E79" t="s">
        <v>4</v>
      </c>
      <c r="F79" t="s">
        <v>243</v>
      </c>
      <c r="G79" s="2">
        <v>45735</v>
      </c>
      <c r="H79" t="s">
        <v>262</v>
      </c>
      <c r="I79" t="s">
        <v>22</v>
      </c>
      <c r="J79" s="2">
        <v>45735</v>
      </c>
      <c r="K79" s="2">
        <v>45736</v>
      </c>
      <c r="L79" t="s">
        <v>8</v>
      </c>
      <c r="M79" s="26">
        <v>246779413324</v>
      </c>
      <c r="N79" t="s">
        <v>10</v>
      </c>
      <c r="O79" t="s">
        <v>11</v>
      </c>
      <c r="P79" t="s">
        <v>12</v>
      </c>
      <c r="Q79" t="s">
        <v>24</v>
      </c>
      <c r="R79" t="s">
        <v>14</v>
      </c>
      <c r="S79" s="3">
        <v>4.3</v>
      </c>
      <c r="T79" t="s">
        <v>15</v>
      </c>
      <c r="U79" s="3">
        <v>372.77</v>
      </c>
      <c r="V79" s="3" t="e">
        <f>VLOOKUP(M79,'[1]Query Report'!$A:$E,5,0)</f>
        <v>#N/A</v>
      </c>
      <c r="W79" s="3" t="e">
        <f t="shared" si="6"/>
        <v>#N/A</v>
      </c>
      <c r="X79" s="3"/>
      <c r="Y79" s="3"/>
      <c r="Z79" t="s">
        <v>16</v>
      </c>
      <c r="AA79" t="s">
        <v>17</v>
      </c>
      <c r="AB79" t="s">
        <v>12</v>
      </c>
      <c r="AC79" t="s">
        <v>8</v>
      </c>
      <c r="AD79" t="s">
        <v>18</v>
      </c>
      <c r="AE79" t="s">
        <v>264</v>
      </c>
      <c r="AF79" t="s">
        <v>12</v>
      </c>
      <c r="AG79" t="s">
        <v>12</v>
      </c>
      <c r="AH79" t="s">
        <v>12</v>
      </c>
      <c r="AI79" s="2">
        <v>45735</v>
      </c>
      <c r="AJ79" s="2"/>
      <c r="AK79" t="s">
        <v>12</v>
      </c>
    </row>
    <row r="80" spans="1:37" outlineLevel="2" x14ac:dyDescent="0.25">
      <c r="A80" t="s">
        <v>129</v>
      </c>
      <c r="B80" t="s">
        <v>1</v>
      </c>
      <c r="C80" t="s">
        <v>2</v>
      </c>
      <c r="D80" t="s">
        <v>3</v>
      </c>
      <c r="E80" t="s">
        <v>4</v>
      </c>
      <c r="F80" t="s">
        <v>229</v>
      </c>
      <c r="G80" s="2">
        <v>45827</v>
      </c>
      <c r="H80" t="s">
        <v>265</v>
      </c>
      <c r="I80" t="s">
        <v>22</v>
      </c>
      <c r="J80" s="2">
        <v>45827</v>
      </c>
      <c r="K80" s="2">
        <v>45829</v>
      </c>
      <c r="L80" t="s">
        <v>8</v>
      </c>
      <c r="M80" s="26">
        <v>256779414743</v>
      </c>
      <c r="N80" t="s">
        <v>10</v>
      </c>
      <c r="O80" t="s">
        <v>11</v>
      </c>
      <c r="P80" t="s">
        <v>12</v>
      </c>
      <c r="Q80" t="s">
        <v>24</v>
      </c>
      <c r="R80" t="s">
        <v>14</v>
      </c>
      <c r="S80" s="3">
        <v>71.430000000000007</v>
      </c>
      <c r="T80" t="s">
        <v>15</v>
      </c>
      <c r="U80" s="3">
        <v>6106.61</v>
      </c>
      <c r="V80" s="3" t="e">
        <f>VLOOKUP(M80,'[1]Query Report'!$A:$E,5,0)</f>
        <v>#N/A</v>
      </c>
      <c r="W80" s="3" t="e">
        <f t="shared" si="6"/>
        <v>#N/A</v>
      </c>
      <c r="X80" s="29" t="e">
        <f t="shared" ref="X80:X101" si="8">W80/U80</f>
        <v>#N/A</v>
      </c>
      <c r="Y80" s="29" t="s">
        <v>1363</v>
      </c>
      <c r="Z80" t="s">
        <v>16</v>
      </c>
      <c r="AA80" t="s">
        <v>17</v>
      </c>
      <c r="AB80" t="s">
        <v>12</v>
      </c>
      <c r="AC80" t="s">
        <v>12</v>
      </c>
      <c r="AD80" t="s">
        <v>18</v>
      </c>
      <c r="AE80" t="s">
        <v>267</v>
      </c>
      <c r="AF80" t="s">
        <v>12</v>
      </c>
      <c r="AG80" t="s">
        <v>12</v>
      </c>
      <c r="AH80" t="s">
        <v>12</v>
      </c>
      <c r="AI80" s="2">
        <v>45827</v>
      </c>
      <c r="AJ80" s="2"/>
      <c r="AK80" t="s">
        <v>12</v>
      </c>
    </row>
    <row r="81" spans="1:37" outlineLevel="2" x14ac:dyDescent="0.25">
      <c r="A81" t="s">
        <v>129</v>
      </c>
      <c r="B81" t="s">
        <v>1</v>
      </c>
      <c r="C81" t="s">
        <v>2</v>
      </c>
      <c r="D81" t="s">
        <v>3</v>
      </c>
      <c r="E81" t="s">
        <v>4</v>
      </c>
      <c r="F81" t="s">
        <v>229</v>
      </c>
      <c r="G81" s="2">
        <v>45827</v>
      </c>
      <c r="H81" t="s">
        <v>268</v>
      </c>
      <c r="I81" t="s">
        <v>22</v>
      </c>
      <c r="J81" s="2">
        <v>45827</v>
      </c>
      <c r="K81" s="2">
        <v>45829</v>
      </c>
      <c r="L81" t="s">
        <v>8</v>
      </c>
      <c r="M81" s="26">
        <v>256779414748</v>
      </c>
      <c r="N81" t="s">
        <v>10</v>
      </c>
      <c r="O81" t="s">
        <v>11</v>
      </c>
      <c r="P81" t="s">
        <v>12</v>
      </c>
      <c r="Q81" t="s">
        <v>24</v>
      </c>
      <c r="R81" t="s">
        <v>14</v>
      </c>
      <c r="S81" s="3">
        <v>20.91</v>
      </c>
      <c r="T81" t="s">
        <v>15</v>
      </c>
      <c r="U81" s="3">
        <v>1787.61</v>
      </c>
      <c r="V81" s="3" t="e">
        <f>VLOOKUP(M81,'[1]Query Report'!$A:$E,5,0)</f>
        <v>#N/A</v>
      </c>
      <c r="W81" s="3" t="e">
        <f t="shared" si="6"/>
        <v>#N/A</v>
      </c>
      <c r="X81" s="29" t="e">
        <f t="shared" si="8"/>
        <v>#N/A</v>
      </c>
      <c r="Y81" s="29" t="s">
        <v>1362</v>
      </c>
      <c r="Z81" t="s">
        <v>16</v>
      </c>
      <c r="AA81" t="s">
        <v>17</v>
      </c>
      <c r="AB81" t="s">
        <v>12</v>
      </c>
      <c r="AC81" t="s">
        <v>12</v>
      </c>
      <c r="AD81" t="s">
        <v>18</v>
      </c>
      <c r="AE81" t="s">
        <v>270</v>
      </c>
      <c r="AF81" t="s">
        <v>12</v>
      </c>
      <c r="AG81" t="s">
        <v>12</v>
      </c>
      <c r="AH81" t="s">
        <v>12</v>
      </c>
      <c r="AI81" s="2">
        <v>45827</v>
      </c>
      <c r="AJ81" s="2"/>
      <c r="AK81" t="s">
        <v>12</v>
      </c>
    </row>
    <row r="82" spans="1:37" outlineLevel="2" x14ac:dyDescent="0.25">
      <c r="A82" t="s">
        <v>129</v>
      </c>
      <c r="B82" t="s">
        <v>1</v>
      </c>
      <c r="C82" t="s">
        <v>2</v>
      </c>
      <c r="D82" t="s">
        <v>3</v>
      </c>
      <c r="E82" t="s">
        <v>4</v>
      </c>
      <c r="F82" t="s">
        <v>13</v>
      </c>
      <c r="G82" s="2">
        <v>45981</v>
      </c>
      <c r="H82" t="s">
        <v>271</v>
      </c>
      <c r="I82" t="s">
        <v>22</v>
      </c>
      <c r="J82" s="2">
        <v>45981</v>
      </c>
      <c r="K82" s="2">
        <v>45982</v>
      </c>
      <c r="L82" t="s">
        <v>8</v>
      </c>
      <c r="M82" s="26">
        <v>256779419465</v>
      </c>
      <c r="N82" t="s">
        <v>10</v>
      </c>
      <c r="O82" t="s">
        <v>11</v>
      </c>
      <c r="P82" t="s">
        <v>12</v>
      </c>
      <c r="Q82" t="s">
        <v>24</v>
      </c>
      <c r="R82" t="s">
        <v>14</v>
      </c>
      <c r="S82" s="3">
        <v>240.14</v>
      </c>
      <c r="T82" t="s">
        <v>15</v>
      </c>
      <c r="U82" s="3">
        <v>21133.13</v>
      </c>
      <c r="V82" s="3" t="e">
        <f>VLOOKUP(M82,'[1]Query Report'!$A:$E,5,0)</f>
        <v>#N/A</v>
      </c>
      <c r="W82" s="3" t="e">
        <f t="shared" si="6"/>
        <v>#N/A</v>
      </c>
      <c r="X82" s="29" t="e">
        <f t="shared" si="8"/>
        <v>#N/A</v>
      </c>
      <c r="Y82" s="29" t="s">
        <v>1363</v>
      </c>
      <c r="Z82" t="s">
        <v>16</v>
      </c>
      <c r="AA82" t="s">
        <v>17</v>
      </c>
      <c r="AB82" t="s">
        <v>12</v>
      </c>
      <c r="AC82" t="s">
        <v>273</v>
      </c>
      <c r="AD82" t="s">
        <v>18</v>
      </c>
      <c r="AE82" t="s">
        <v>274</v>
      </c>
      <c r="AF82" t="s">
        <v>12</v>
      </c>
      <c r="AG82" t="s">
        <v>12</v>
      </c>
      <c r="AH82" t="s">
        <v>12</v>
      </c>
      <c r="AI82" s="2">
        <v>45981</v>
      </c>
      <c r="AJ82" s="2"/>
      <c r="AK82" t="s">
        <v>12</v>
      </c>
    </row>
    <row r="83" spans="1:37" outlineLevel="2" x14ac:dyDescent="0.25">
      <c r="A83" t="s">
        <v>129</v>
      </c>
      <c r="B83" t="s">
        <v>1</v>
      </c>
      <c r="C83" t="s">
        <v>2</v>
      </c>
      <c r="D83" t="s">
        <v>3</v>
      </c>
      <c r="E83" t="s">
        <v>4</v>
      </c>
      <c r="F83" t="s">
        <v>13</v>
      </c>
      <c r="G83" s="2">
        <v>45981</v>
      </c>
      <c r="H83" t="s">
        <v>275</v>
      </c>
      <c r="I83" t="s">
        <v>22</v>
      </c>
      <c r="J83" s="2">
        <v>45981</v>
      </c>
      <c r="K83" s="2">
        <v>45982</v>
      </c>
      <c r="L83" t="s">
        <v>8</v>
      </c>
      <c r="M83" s="26">
        <v>256779419476</v>
      </c>
      <c r="N83" t="s">
        <v>10</v>
      </c>
      <c r="O83" t="s">
        <v>11</v>
      </c>
      <c r="P83" t="s">
        <v>12</v>
      </c>
      <c r="Q83" t="s">
        <v>24</v>
      </c>
      <c r="R83" t="s">
        <v>14</v>
      </c>
      <c r="S83" s="3">
        <v>162.27000000000001</v>
      </c>
      <c r="T83" t="s">
        <v>15</v>
      </c>
      <c r="U83" s="3">
        <v>14280.31</v>
      </c>
      <c r="V83" s="3" t="e">
        <f>VLOOKUP(M83,'[1]Query Report'!$A:$E,5,0)</f>
        <v>#N/A</v>
      </c>
      <c r="W83" s="3" t="e">
        <f t="shared" si="6"/>
        <v>#N/A</v>
      </c>
      <c r="X83" s="29" t="e">
        <f t="shared" si="8"/>
        <v>#N/A</v>
      </c>
      <c r="Y83" s="29" t="s">
        <v>1363</v>
      </c>
      <c r="Z83" t="s">
        <v>16</v>
      </c>
      <c r="AA83" t="s">
        <v>17</v>
      </c>
      <c r="AB83" t="s">
        <v>12</v>
      </c>
      <c r="AC83" t="s">
        <v>273</v>
      </c>
      <c r="AD83" t="s">
        <v>18</v>
      </c>
      <c r="AE83" t="s">
        <v>277</v>
      </c>
      <c r="AF83" t="s">
        <v>12</v>
      </c>
      <c r="AG83" t="s">
        <v>12</v>
      </c>
      <c r="AH83" t="s">
        <v>12</v>
      </c>
      <c r="AI83" s="2">
        <v>45981</v>
      </c>
      <c r="AJ83" s="2"/>
      <c r="AK83" t="s">
        <v>12</v>
      </c>
    </row>
    <row r="84" spans="1:37" outlineLevel="2" x14ac:dyDescent="0.25">
      <c r="A84" t="s">
        <v>129</v>
      </c>
      <c r="B84" t="s">
        <v>1</v>
      </c>
      <c r="C84" t="s">
        <v>2</v>
      </c>
      <c r="D84" t="s">
        <v>3</v>
      </c>
      <c r="E84" t="s">
        <v>4</v>
      </c>
      <c r="F84" t="s">
        <v>13</v>
      </c>
      <c r="G84" s="2">
        <v>45981</v>
      </c>
      <c r="H84" t="s">
        <v>278</v>
      </c>
      <c r="I84" t="s">
        <v>22</v>
      </c>
      <c r="J84" s="2">
        <v>45981</v>
      </c>
      <c r="K84" s="2">
        <v>45985</v>
      </c>
      <c r="L84" t="s">
        <v>8</v>
      </c>
      <c r="M84" s="26">
        <v>256779419534</v>
      </c>
      <c r="N84" t="s">
        <v>10</v>
      </c>
      <c r="O84" t="s">
        <v>11</v>
      </c>
      <c r="P84" t="s">
        <v>12</v>
      </c>
      <c r="Q84" t="s">
        <v>24</v>
      </c>
      <c r="R84" t="s">
        <v>14</v>
      </c>
      <c r="S84" s="3">
        <v>90.2</v>
      </c>
      <c r="T84" t="s">
        <v>15</v>
      </c>
      <c r="U84" s="3">
        <v>7937.91</v>
      </c>
      <c r="V84" s="3" t="e">
        <f>VLOOKUP(M84,'[1]Query Report'!$A:$E,5,0)</f>
        <v>#N/A</v>
      </c>
      <c r="W84" s="3" t="e">
        <f t="shared" si="6"/>
        <v>#N/A</v>
      </c>
      <c r="X84" s="29" t="e">
        <f t="shared" si="8"/>
        <v>#N/A</v>
      </c>
      <c r="Y84" s="29" t="s">
        <v>1363</v>
      </c>
      <c r="Z84" t="s">
        <v>16</v>
      </c>
      <c r="AA84" t="s">
        <v>17</v>
      </c>
      <c r="AB84" t="s">
        <v>12</v>
      </c>
      <c r="AC84" t="s">
        <v>8</v>
      </c>
      <c r="AD84" t="s">
        <v>18</v>
      </c>
      <c r="AE84" t="s">
        <v>280</v>
      </c>
      <c r="AF84" t="s">
        <v>12</v>
      </c>
      <c r="AG84" t="s">
        <v>12</v>
      </c>
      <c r="AH84" t="s">
        <v>12</v>
      </c>
      <c r="AI84" s="2">
        <v>45981</v>
      </c>
      <c r="AJ84" s="2"/>
      <c r="AK84" t="s">
        <v>12</v>
      </c>
    </row>
    <row r="85" spans="1:37" outlineLevel="2" x14ac:dyDescent="0.25">
      <c r="A85" t="s">
        <v>129</v>
      </c>
      <c r="B85" t="s">
        <v>1</v>
      </c>
      <c r="C85" t="s">
        <v>2</v>
      </c>
      <c r="D85" t="s">
        <v>3</v>
      </c>
      <c r="E85" t="s">
        <v>4</v>
      </c>
      <c r="F85" t="s">
        <v>13</v>
      </c>
      <c r="G85" s="2">
        <v>45981</v>
      </c>
      <c r="H85" t="s">
        <v>281</v>
      </c>
      <c r="I85" t="s">
        <v>22</v>
      </c>
      <c r="J85" s="2">
        <v>45981</v>
      </c>
      <c r="K85" s="2">
        <v>45985</v>
      </c>
      <c r="L85" t="s">
        <v>8</v>
      </c>
      <c r="M85" s="26">
        <v>256779419556</v>
      </c>
      <c r="N85" t="s">
        <v>10</v>
      </c>
      <c r="O85" t="s">
        <v>11</v>
      </c>
      <c r="P85" t="s">
        <v>12</v>
      </c>
      <c r="Q85" t="s">
        <v>24</v>
      </c>
      <c r="R85" t="s">
        <v>14</v>
      </c>
      <c r="S85" s="3">
        <v>502.5</v>
      </c>
      <c r="T85" t="s">
        <v>15</v>
      </c>
      <c r="U85" s="3">
        <v>44221.7</v>
      </c>
      <c r="V85" s="3" t="e">
        <f>VLOOKUP(M85,'[1]Query Report'!$A:$E,5,0)</f>
        <v>#N/A</v>
      </c>
      <c r="W85" s="3" t="e">
        <f t="shared" si="6"/>
        <v>#N/A</v>
      </c>
      <c r="X85" s="29" t="e">
        <f t="shared" si="8"/>
        <v>#N/A</v>
      </c>
      <c r="Y85" s="29" t="s">
        <v>1363</v>
      </c>
      <c r="Z85" t="s">
        <v>16</v>
      </c>
      <c r="AA85" t="s">
        <v>17</v>
      </c>
      <c r="AB85" t="s">
        <v>12</v>
      </c>
      <c r="AC85" t="s">
        <v>283</v>
      </c>
      <c r="AD85" t="s">
        <v>18</v>
      </c>
      <c r="AE85" t="s">
        <v>284</v>
      </c>
      <c r="AF85" t="s">
        <v>12</v>
      </c>
      <c r="AG85" t="s">
        <v>12</v>
      </c>
      <c r="AH85" t="s">
        <v>12</v>
      </c>
      <c r="AI85" s="2">
        <v>45981</v>
      </c>
      <c r="AJ85" s="2"/>
      <c r="AK85" t="s">
        <v>12</v>
      </c>
    </row>
    <row r="86" spans="1:37" outlineLevel="2" x14ac:dyDescent="0.25">
      <c r="A86" t="s">
        <v>129</v>
      </c>
      <c r="B86" t="s">
        <v>1</v>
      </c>
      <c r="C86" t="s">
        <v>2</v>
      </c>
      <c r="D86" t="s">
        <v>3</v>
      </c>
      <c r="E86" t="s">
        <v>4</v>
      </c>
      <c r="F86" t="s">
        <v>13</v>
      </c>
      <c r="G86" s="2">
        <v>45981</v>
      </c>
      <c r="H86" t="s">
        <v>285</v>
      </c>
      <c r="I86" t="s">
        <v>22</v>
      </c>
      <c r="J86" s="2">
        <v>45981</v>
      </c>
      <c r="K86" s="2">
        <v>45985</v>
      </c>
      <c r="L86" t="s">
        <v>8</v>
      </c>
      <c r="M86" s="26">
        <v>256779419547</v>
      </c>
      <c r="N86" t="s">
        <v>10</v>
      </c>
      <c r="O86" t="s">
        <v>11</v>
      </c>
      <c r="P86" t="s">
        <v>12</v>
      </c>
      <c r="Q86" t="s">
        <v>24</v>
      </c>
      <c r="R86" t="s">
        <v>14</v>
      </c>
      <c r="S86" s="3">
        <v>109.01</v>
      </c>
      <c r="T86" t="s">
        <v>15</v>
      </c>
      <c r="U86" s="3">
        <v>9593.25</v>
      </c>
      <c r="V86" s="3" t="e">
        <f>VLOOKUP(M86,'[1]Query Report'!$A:$E,5,0)</f>
        <v>#N/A</v>
      </c>
      <c r="W86" s="3" t="e">
        <f t="shared" si="6"/>
        <v>#N/A</v>
      </c>
      <c r="X86" s="29" t="e">
        <f t="shared" si="8"/>
        <v>#N/A</v>
      </c>
      <c r="Y86" s="29" t="s">
        <v>1363</v>
      </c>
      <c r="Z86" t="s">
        <v>16</v>
      </c>
      <c r="AA86" t="s">
        <v>17</v>
      </c>
      <c r="AB86" t="s">
        <v>12</v>
      </c>
      <c r="AC86" t="s">
        <v>287</v>
      </c>
      <c r="AD86" t="s">
        <v>18</v>
      </c>
      <c r="AE86" t="s">
        <v>288</v>
      </c>
      <c r="AF86" t="s">
        <v>12</v>
      </c>
      <c r="AG86" t="s">
        <v>12</v>
      </c>
      <c r="AH86" t="s">
        <v>12</v>
      </c>
      <c r="AI86" s="2">
        <v>45981</v>
      </c>
      <c r="AJ86" s="2"/>
      <c r="AK86" t="s">
        <v>12</v>
      </c>
    </row>
    <row r="87" spans="1:37" outlineLevel="2" x14ac:dyDescent="0.25">
      <c r="A87" t="s">
        <v>129</v>
      </c>
      <c r="B87" t="s">
        <v>1</v>
      </c>
      <c r="C87" t="s">
        <v>2</v>
      </c>
      <c r="D87" t="s">
        <v>3</v>
      </c>
      <c r="E87" t="s">
        <v>4</v>
      </c>
      <c r="F87" t="s">
        <v>13</v>
      </c>
      <c r="G87" s="2">
        <v>45981</v>
      </c>
      <c r="H87" t="s">
        <v>289</v>
      </c>
      <c r="I87" t="s">
        <v>22</v>
      </c>
      <c r="J87" s="2">
        <v>45981</v>
      </c>
      <c r="K87" s="2">
        <v>45985</v>
      </c>
      <c r="L87" t="s">
        <v>8</v>
      </c>
      <c r="M87" s="26">
        <v>256779419588</v>
      </c>
      <c r="N87" t="s">
        <v>10</v>
      </c>
      <c r="O87" t="s">
        <v>11</v>
      </c>
      <c r="P87" t="s">
        <v>12</v>
      </c>
      <c r="Q87" t="s">
        <v>24</v>
      </c>
      <c r="R87" t="s">
        <v>14</v>
      </c>
      <c r="S87" s="3">
        <v>339.2</v>
      </c>
      <c r="T87" t="s">
        <v>15</v>
      </c>
      <c r="U87" s="3">
        <v>29850.75</v>
      </c>
      <c r="V87" s="3" t="e">
        <f>VLOOKUP(M87,'[1]Query Report'!$A:$E,5,0)</f>
        <v>#N/A</v>
      </c>
      <c r="W87" s="3" t="e">
        <f t="shared" si="6"/>
        <v>#N/A</v>
      </c>
      <c r="X87" s="29" t="e">
        <f t="shared" si="8"/>
        <v>#N/A</v>
      </c>
      <c r="Y87" s="29" t="s">
        <v>1363</v>
      </c>
      <c r="Z87" t="s">
        <v>16</v>
      </c>
      <c r="AA87" t="s">
        <v>17</v>
      </c>
      <c r="AB87" t="s">
        <v>12</v>
      </c>
      <c r="AC87" t="s">
        <v>291</v>
      </c>
      <c r="AD87" t="s">
        <v>18</v>
      </c>
      <c r="AE87" t="s">
        <v>292</v>
      </c>
      <c r="AF87" t="s">
        <v>12</v>
      </c>
      <c r="AG87" t="s">
        <v>12</v>
      </c>
      <c r="AH87" t="s">
        <v>12</v>
      </c>
      <c r="AI87" s="2">
        <v>45981</v>
      </c>
      <c r="AJ87" s="2"/>
      <c r="AK87" t="s">
        <v>12</v>
      </c>
    </row>
    <row r="88" spans="1:37" outlineLevel="2" x14ac:dyDescent="0.25">
      <c r="A88" t="s">
        <v>129</v>
      </c>
      <c r="B88" t="s">
        <v>1</v>
      </c>
      <c r="C88" t="s">
        <v>2</v>
      </c>
      <c r="D88" t="s">
        <v>3</v>
      </c>
      <c r="E88" t="s">
        <v>4</v>
      </c>
      <c r="F88" t="s">
        <v>13</v>
      </c>
      <c r="G88" s="2">
        <v>45981</v>
      </c>
      <c r="H88" t="s">
        <v>293</v>
      </c>
      <c r="I88" t="s">
        <v>22</v>
      </c>
      <c r="J88" s="2">
        <v>45981</v>
      </c>
      <c r="K88" s="2">
        <v>45985</v>
      </c>
      <c r="L88" t="s">
        <v>8</v>
      </c>
      <c r="M88" s="26">
        <v>256779419628</v>
      </c>
      <c r="N88" t="s">
        <v>10</v>
      </c>
      <c r="O88" t="s">
        <v>11</v>
      </c>
      <c r="P88" t="s">
        <v>12</v>
      </c>
      <c r="Q88" t="s">
        <v>24</v>
      </c>
      <c r="R88" t="s">
        <v>14</v>
      </c>
      <c r="S88" s="3">
        <v>10.199999999999999</v>
      </c>
      <c r="T88" t="s">
        <v>15</v>
      </c>
      <c r="U88" s="3">
        <v>897.63</v>
      </c>
      <c r="V88" s="3" t="e">
        <f>VLOOKUP(M88,'[1]Query Report'!$A:$E,5,0)</f>
        <v>#N/A</v>
      </c>
      <c r="W88" s="3" t="e">
        <f t="shared" si="6"/>
        <v>#N/A</v>
      </c>
      <c r="X88" s="29" t="e">
        <f t="shared" si="8"/>
        <v>#N/A</v>
      </c>
      <c r="Y88" s="29"/>
      <c r="Z88" t="s">
        <v>16</v>
      </c>
      <c r="AA88" t="s">
        <v>17</v>
      </c>
      <c r="AB88" t="s">
        <v>12</v>
      </c>
      <c r="AC88" t="s">
        <v>295</v>
      </c>
      <c r="AD88" t="s">
        <v>18</v>
      </c>
      <c r="AE88" t="s">
        <v>296</v>
      </c>
      <c r="AF88" t="s">
        <v>12</v>
      </c>
      <c r="AG88" t="s">
        <v>12</v>
      </c>
      <c r="AH88" t="s">
        <v>12</v>
      </c>
      <c r="AI88" s="2">
        <v>45981</v>
      </c>
      <c r="AJ88" s="2"/>
      <c r="AK88" t="s">
        <v>12</v>
      </c>
    </row>
    <row r="89" spans="1:37" outlineLevel="2" x14ac:dyDescent="0.25">
      <c r="A89" t="s">
        <v>129</v>
      </c>
      <c r="B89" t="s">
        <v>1</v>
      </c>
      <c r="C89" t="s">
        <v>2</v>
      </c>
      <c r="D89" t="s">
        <v>3</v>
      </c>
      <c r="E89" t="s">
        <v>4</v>
      </c>
      <c r="F89" t="s">
        <v>140</v>
      </c>
      <c r="G89" s="2">
        <v>45769</v>
      </c>
      <c r="H89" t="s">
        <v>297</v>
      </c>
      <c r="I89" t="s">
        <v>22</v>
      </c>
      <c r="J89" s="2">
        <v>45769</v>
      </c>
      <c r="K89" s="2">
        <v>45770</v>
      </c>
      <c r="L89" t="s">
        <v>8</v>
      </c>
      <c r="M89" s="26">
        <v>256779412461</v>
      </c>
      <c r="N89" t="s">
        <v>10</v>
      </c>
      <c r="O89" t="s">
        <v>11</v>
      </c>
      <c r="P89" t="s">
        <v>12</v>
      </c>
      <c r="Q89" t="s">
        <v>24</v>
      </c>
      <c r="R89" t="s">
        <v>14</v>
      </c>
      <c r="S89" s="3">
        <v>126.9</v>
      </c>
      <c r="T89" t="s">
        <v>15</v>
      </c>
      <c r="U89" s="3">
        <v>11030.38</v>
      </c>
      <c r="V89" s="3" t="e">
        <f>VLOOKUP(M89,'[1]Query Report'!$A:$E,5,0)</f>
        <v>#N/A</v>
      </c>
      <c r="W89" s="3" t="e">
        <f t="shared" si="6"/>
        <v>#N/A</v>
      </c>
      <c r="X89" s="29" t="e">
        <f t="shared" si="8"/>
        <v>#N/A</v>
      </c>
      <c r="Y89" s="29" t="s">
        <v>1363</v>
      </c>
      <c r="Z89" t="s">
        <v>16</v>
      </c>
      <c r="AA89" t="s">
        <v>17</v>
      </c>
      <c r="AB89" t="s">
        <v>12</v>
      </c>
      <c r="AC89" t="s">
        <v>8</v>
      </c>
      <c r="AD89" t="s">
        <v>18</v>
      </c>
      <c r="AE89" t="s">
        <v>299</v>
      </c>
      <c r="AF89" t="s">
        <v>12</v>
      </c>
      <c r="AG89" t="s">
        <v>12</v>
      </c>
      <c r="AH89" t="s">
        <v>12</v>
      </c>
      <c r="AI89" s="2">
        <v>45769</v>
      </c>
      <c r="AJ89" s="2"/>
      <c r="AK89" t="s">
        <v>12</v>
      </c>
    </row>
    <row r="90" spans="1:37" outlineLevel="2" x14ac:dyDescent="0.25">
      <c r="A90" t="s">
        <v>129</v>
      </c>
      <c r="B90" t="s">
        <v>1</v>
      </c>
      <c r="C90" t="s">
        <v>2</v>
      </c>
      <c r="D90" t="s">
        <v>3</v>
      </c>
      <c r="E90" t="s">
        <v>4</v>
      </c>
      <c r="F90" t="s">
        <v>140</v>
      </c>
      <c r="G90" s="2">
        <v>45769</v>
      </c>
      <c r="H90" t="s">
        <v>300</v>
      </c>
      <c r="I90" t="s">
        <v>22</v>
      </c>
      <c r="J90" s="2">
        <v>45769</v>
      </c>
      <c r="K90" s="2">
        <v>45770</v>
      </c>
      <c r="L90" t="s">
        <v>8</v>
      </c>
      <c r="M90" s="26">
        <v>256779412468</v>
      </c>
      <c r="N90" t="s">
        <v>10</v>
      </c>
      <c r="O90" t="s">
        <v>11</v>
      </c>
      <c r="P90" t="s">
        <v>12</v>
      </c>
      <c r="Q90" t="s">
        <v>24</v>
      </c>
      <c r="R90" t="s">
        <v>14</v>
      </c>
      <c r="S90" s="3">
        <v>169.2</v>
      </c>
      <c r="T90" t="s">
        <v>15</v>
      </c>
      <c r="U90" s="3">
        <v>14707.17</v>
      </c>
      <c r="V90" s="3" t="e">
        <f>VLOOKUP(M90,'[1]Query Report'!$A:$E,5,0)</f>
        <v>#N/A</v>
      </c>
      <c r="W90" s="3" t="e">
        <f t="shared" si="6"/>
        <v>#N/A</v>
      </c>
      <c r="X90" s="29" t="e">
        <f t="shared" si="8"/>
        <v>#N/A</v>
      </c>
      <c r="Y90" s="29" t="s">
        <v>1362</v>
      </c>
      <c r="Z90" t="s">
        <v>16</v>
      </c>
      <c r="AA90" t="s">
        <v>17</v>
      </c>
      <c r="AB90" t="s">
        <v>12</v>
      </c>
      <c r="AC90" t="s">
        <v>8</v>
      </c>
      <c r="AD90" t="s">
        <v>18</v>
      </c>
      <c r="AE90" t="s">
        <v>299</v>
      </c>
      <c r="AF90" t="s">
        <v>12</v>
      </c>
      <c r="AG90" t="s">
        <v>12</v>
      </c>
      <c r="AH90" t="s">
        <v>12</v>
      </c>
      <c r="AI90" s="2">
        <v>45769</v>
      </c>
      <c r="AJ90" s="2"/>
      <c r="AK90" t="s">
        <v>12</v>
      </c>
    </row>
    <row r="91" spans="1:37" outlineLevel="2" x14ac:dyDescent="0.25">
      <c r="A91" t="s">
        <v>129</v>
      </c>
      <c r="B91" t="s">
        <v>1</v>
      </c>
      <c r="C91" t="s">
        <v>2</v>
      </c>
      <c r="D91" t="s">
        <v>3</v>
      </c>
      <c r="E91" t="s">
        <v>4</v>
      </c>
      <c r="F91" t="s">
        <v>140</v>
      </c>
      <c r="G91" s="2">
        <v>45769</v>
      </c>
      <c r="H91" t="s">
        <v>302</v>
      </c>
      <c r="I91" t="s">
        <v>22</v>
      </c>
      <c r="J91" s="2">
        <v>45769</v>
      </c>
      <c r="K91" s="2">
        <v>45770</v>
      </c>
      <c r="L91" t="s">
        <v>8</v>
      </c>
      <c r="M91" s="26">
        <v>256779412613</v>
      </c>
      <c r="N91" t="s">
        <v>10</v>
      </c>
      <c r="O91" t="s">
        <v>11</v>
      </c>
      <c r="P91" t="s">
        <v>12</v>
      </c>
      <c r="Q91" t="s">
        <v>24</v>
      </c>
      <c r="R91" t="s">
        <v>14</v>
      </c>
      <c r="S91" s="3">
        <v>47</v>
      </c>
      <c r="T91" t="s">
        <v>15</v>
      </c>
      <c r="U91" s="3">
        <v>4085.33</v>
      </c>
      <c r="V91" s="3" t="e">
        <f>VLOOKUP(M91,'[1]Query Report'!$A:$E,5,0)</f>
        <v>#N/A</v>
      </c>
      <c r="W91" s="3" t="e">
        <f t="shared" si="6"/>
        <v>#N/A</v>
      </c>
      <c r="X91" s="29" t="e">
        <f t="shared" si="8"/>
        <v>#N/A</v>
      </c>
      <c r="Y91" s="29" t="s">
        <v>1362</v>
      </c>
      <c r="Z91" t="s">
        <v>16</v>
      </c>
      <c r="AA91" t="s">
        <v>17</v>
      </c>
      <c r="AB91" t="s">
        <v>12</v>
      </c>
      <c r="AC91" t="s">
        <v>8</v>
      </c>
      <c r="AD91" t="s">
        <v>18</v>
      </c>
      <c r="AE91" t="s">
        <v>304</v>
      </c>
      <c r="AF91" t="s">
        <v>12</v>
      </c>
      <c r="AG91" t="s">
        <v>12</v>
      </c>
      <c r="AH91" t="s">
        <v>12</v>
      </c>
      <c r="AI91" s="2">
        <v>45769</v>
      </c>
      <c r="AJ91" s="2"/>
      <c r="AK91" t="s">
        <v>12</v>
      </c>
    </row>
    <row r="92" spans="1:37" outlineLevel="2" x14ac:dyDescent="0.25">
      <c r="A92" t="s">
        <v>129</v>
      </c>
      <c r="B92" t="s">
        <v>1</v>
      </c>
      <c r="C92" t="s">
        <v>2</v>
      </c>
      <c r="D92" t="s">
        <v>3</v>
      </c>
      <c r="E92" t="s">
        <v>4</v>
      </c>
      <c r="F92" t="s">
        <v>140</v>
      </c>
      <c r="G92" s="2">
        <v>45769</v>
      </c>
      <c r="H92" t="s">
        <v>305</v>
      </c>
      <c r="I92" t="s">
        <v>22</v>
      </c>
      <c r="J92" s="2">
        <v>45769</v>
      </c>
      <c r="K92" s="2">
        <v>45770</v>
      </c>
      <c r="L92" t="s">
        <v>8</v>
      </c>
      <c r="M92" s="26">
        <v>256779412655</v>
      </c>
      <c r="N92" t="s">
        <v>10</v>
      </c>
      <c r="O92" t="s">
        <v>11</v>
      </c>
      <c r="P92" t="s">
        <v>12</v>
      </c>
      <c r="Q92" t="s">
        <v>24</v>
      </c>
      <c r="R92" t="s">
        <v>14</v>
      </c>
      <c r="S92" s="3">
        <v>25</v>
      </c>
      <c r="T92" t="s">
        <v>15</v>
      </c>
      <c r="U92" s="3">
        <v>2173.0500000000002</v>
      </c>
      <c r="V92" s="3" t="e">
        <f>VLOOKUP(M92,'[1]Query Report'!$A:$E,5,0)</f>
        <v>#N/A</v>
      </c>
      <c r="W92" s="3" t="e">
        <f t="shared" si="6"/>
        <v>#N/A</v>
      </c>
      <c r="X92" s="29" t="e">
        <f t="shared" si="8"/>
        <v>#N/A</v>
      </c>
      <c r="Y92" s="29" t="s">
        <v>1362</v>
      </c>
      <c r="Z92" t="s">
        <v>16</v>
      </c>
      <c r="AA92" t="s">
        <v>17</v>
      </c>
      <c r="AB92" t="s">
        <v>12</v>
      </c>
      <c r="AC92" t="s">
        <v>8</v>
      </c>
      <c r="AD92" t="s">
        <v>18</v>
      </c>
      <c r="AE92" t="s">
        <v>307</v>
      </c>
      <c r="AF92" t="s">
        <v>12</v>
      </c>
      <c r="AG92" t="s">
        <v>12</v>
      </c>
      <c r="AH92" t="s">
        <v>12</v>
      </c>
      <c r="AI92" s="2">
        <v>45769</v>
      </c>
      <c r="AJ92" s="2"/>
      <c r="AK92" t="s">
        <v>12</v>
      </c>
    </row>
    <row r="93" spans="1:37" outlineLevel="2" x14ac:dyDescent="0.25">
      <c r="A93" t="s">
        <v>129</v>
      </c>
      <c r="B93" t="s">
        <v>1</v>
      </c>
      <c r="C93" t="s">
        <v>2</v>
      </c>
      <c r="D93" t="s">
        <v>3</v>
      </c>
      <c r="E93" t="s">
        <v>4</v>
      </c>
      <c r="F93" t="s">
        <v>140</v>
      </c>
      <c r="G93" s="2">
        <v>45769</v>
      </c>
      <c r="H93" t="s">
        <v>308</v>
      </c>
      <c r="I93" t="s">
        <v>22</v>
      </c>
      <c r="J93" s="2">
        <v>45769</v>
      </c>
      <c r="K93" s="2">
        <v>45770</v>
      </c>
      <c r="L93" t="s">
        <v>8</v>
      </c>
      <c r="M93" s="26">
        <v>256779412675</v>
      </c>
      <c r="N93" t="s">
        <v>10</v>
      </c>
      <c r="O93" t="s">
        <v>11</v>
      </c>
      <c r="P93" t="s">
        <v>12</v>
      </c>
      <c r="Q93" t="s">
        <v>24</v>
      </c>
      <c r="R93" t="s">
        <v>14</v>
      </c>
      <c r="S93" s="3">
        <v>17.350000000000001</v>
      </c>
      <c r="T93" t="s">
        <v>15</v>
      </c>
      <c r="U93" s="3">
        <v>1508.09</v>
      </c>
      <c r="V93" s="3" t="e">
        <f>VLOOKUP(M93,'[1]Query Report'!$A:$E,5,0)</f>
        <v>#N/A</v>
      </c>
      <c r="W93" s="3" t="e">
        <f t="shared" si="6"/>
        <v>#N/A</v>
      </c>
      <c r="X93" s="29" t="e">
        <f t="shared" si="8"/>
        <v>#N/A</v>
      </c>
      <c r="Y93" s="29" t="s">
        <v>1362</v>
      </c>
      <c r="Z93" t="s">
        <v>16</v>
      </c>
      <c r="AA93" t="s">
        <v>17</v>
      </c>
      <c r="AB93" t="s">
        <v>12</v>
      </c>
      <c r="AC93" t="s">
        <v>8</v>
      </c>
      <c r="AD93" t="s">
        <v>18</v>
      </c>
      <c r="AE93" t="s">
        <v>310</v>
      </c>
      <c r="AF93" t="s">
        <v>12</v>
      </c>
      <c r="AG93" t="s">
        <v>12</v>
      </c>
      <c r="AH93" t="s">
        <v>12</v>
      </c>
      <c r="AI93" s="2">
        <v>45769</v>
      </c>
      <c r="AJ93" s="2"/>
      <c r="AK93" t="s">
        <v>12</v>
      </c>
    </row>
    <row r="94" spans="1:37" outlineLevel="2" x14ac:dyDescent="0.25">
      <c r="A94" t="s">
        <v>129</v>
      </c>
      <c r="B94" t="s">
        <v>1</v>
      </c>
      <c r="C94" t="s">
        <v>2</v>
      </c>
      <c r="D94" t="s">
        <v>3</v>
      </c>
      <c r="E94" t="s">
        <v>4</v>
      </c>
      <c r="F94" t="s">
        <v>140</v>
      </c>
      <c r="G94" s="2">
        <v>45769</v>
      </c>
      <c r="H94" t="s">
        <v>311</v>
      </c>
      <c r="I94" t="s">
        <v>22</v>
      </c>
      <c r="J94" s="2">
        <v>45769</v>
      </c>
      <c r="K94" s="2">
        <v>45770</v>
      </c>
      <c r="L94" t="s">
        <v>8</v>
      </c>
      <c r="M94" s="26">
        <v>256779412683</v>
      </c>
      <c r="N94" t="s">
        <v>10</v>
      </c>
      <c r="O94" t="s">
        <v>11</v>
      </c>
      <c r="P94" t="s">
        <v>12</v>
      </c>
      <c r="Q94" t="s">
        <v>24</v>
      </c>
      <c r="R94" t="s">
        <v>14</v>
      </c>
      <c r="S94" s="3">
        <v>517.64</v>
      </c>
      <c r="T94" t="s">
        <v>15</v>
      </c>
      <c r="U94" s="3">
        <v>44994.21</v>
      </c>
      <c r="V94" s="3" t="e">
        <f>VLOOKUP(M94,'[1]Query Report'!$A:$E,5,0)</f>
        <v>#N/A</v>
      </c>
      <c r="W94" s="3" t="e">
        <f t="shared" si="6"/>
        <v>#N/A</v>
      </c>
      <c r="X94" s="29" t="e">
        <f t="shared" si="8"/>
        <v>#N/A</v>
      </c>
      <c r="Y94" s="29" t="s">
        <v>1362</v>
      </c>
      <c r="Z94" t="s">
        <v>16</v>
      </c>
      <c r="AA94" t="s">
        <v>17</v>
      </c>
      <c r="AB94" t="s">
        <v>12</v>
      </c>
      <c r="AC94" t="s">
        <v>8</v>
      </c>
      <c r="AD94" t="s">
        <v>18</v>
      </c>
      <c r="AE94" t="s">
        <v>307</v>
      </c>
      <c r="AF94" t="s">
        <v>12</v>
      </c>
      <c r="AG94" t="s">
        <v>12</v>
      </c>
      <c r="AH94" t="s">
        <v>12</v>
      </c>
      <c r="AI94" s="2">
        <v>45769</v>
      </c>
      <c r="AJ94" s="2"/>
      <c r="AK94" t="s">
        <v>12</v>
      </c>
    </row>
    <row r="95" spans="1:37" outlineLevel="2" x14ac:dyDescent="0.25">
      <c r="A95" t="s">
        <v>129</v>
      </c>
      <c r="B95" t="s">
        <v>1</v>
      </c>
      <c r="C95" t="s">
        <v>2</v>
      </c>
      <c r="D95" t="s">
        <v>3</v>
      </c>
      <c r="E95" t="s">
        <v>4</v>
      </c>
      <c r="F95" t="s">
        <v>313</v>
      </c>
      <c r="G95" s="2">
        <v>45918</v>
      </c>
      <c r="H95" t="s">
        <v>314</v>
      </c>
      <c r="I95" t="s">
        <v>22</v>
      </c>
      <c r="J95" s="2">
        <v>45918</v>
      </c>
      <c r="K95" s="2">
        <v>45922</v>
      </c>
      <c r="L95" t="s">
        <v>8</v>
      </c>
      <c r="M95" s="26">
        <v>256779417410</v>
      </c>
      <c r="N95" t="s">
        <v>10</v>
      </c>
      <c r="O95" t="s">
        <v>11</v>
      </c>
      <c r="P95" t="s">
        <v>12</v>
      </c>
      <c r="Q95" t="s">
        <v>24</v>
      </c>
      <c r="R95" t="s">
        <v>14</v>
      </c>
      <c r="S95" s="3">
        <v>371.84</v>
      </c>
      <c r="T95" t="s">
        <v>15</v>
      </c>
      <c r="U95" s="3">
        <v>32541.33</v>
      </c>
      <c r="V95" s="3" t="e">
        <f>VLOOKUP(M95,'[1]Query Report'!$A:$E,5,0)</f>
        <v>#N/A</v>
      </c>
      <c r="W95" s="3" t="e">
        <f t="shared" si="6"/>
        <v>#N/A</v>
      </c>
      <c r="X95" s="29" t="e">
        <f t="shared" si="8"/>
        <v>#N/A</v>
      </c>
      <c r="Y95" s="29" t="s">
        <v>1363</v>
      </c>
      <c r="Z95" t="s">
        <v>16</v>
      </c>
      <c r="AA95" t="s">
        <v>17</v>
      </c>
      <c r="AB95" t="s">
        <v>12</v>
      </c>
      <c r="AC95" t="s">
        <v>316</v>
      </c>
      <c r="AD95" t="s">
        <v>18</v>
      </c>
      <c r="AE95" t="s">
        <v>317</v>
      </c>
      <c r="AF95" t="s">
        <v>12</v>
      </c>
      <c r="AG95" t="s">
        <v>12</v>
      </c>
      <c r="AH95" t="s">
        <v>12</v>
      </c>
      <c r="AI95" s="2">
        <v>45918</v>
      </c>
      <c r="AJ95" s="2"/>
      <c r="AK95" t="s">
        <v>12</v>
      </c>
    </row>
    <row r="96" spans="1:37" outlineLevel="2" x14ac:dyDescent="0.25">
      <c r="A96" t="s">
        <v>129</v>
      </c>
      <c r="B96" t="s">
        <v>1</v>
      </c>
      <c r="C96" t="s">
        <v>2</v>
      </c>
      <c r="D96" t="s">
        <v>3</v>
      </c>
      <c r="E96" t="s">
        <v>4</v>
      </c>
      <c r="F96" t="s">
        <v>313</v>
      </c>
      <c r="G96" s="2">
        <v>45918</v>
      </c>
      <c r="H96" t="s">
        <v>318</v>
      </c>
      <c r="I96" t="s">
        <v>22</v>
      </c>
      <c r="J96" s="2">
        <v>45918</v>
      </c>
      <c r="K96" s="2">
        <v>45922</v>
      </c>
      <c r="L96" t="s">
        <v>8</v>
      </c>
      <c r="M96" s="26">
        <v>256779417489</v>
      </c>
      <c r="N96" t="s">
        <v>10</v>
      </c>
      <c r="O96" t="s">
        <v>11</v>
      </c>
      <c r="P96" t="s">
        <v>12</v>
      </c>
      <c r="Q96" t="s">
        <v>24</v>
      </c>
      <c r="R96" t="s">
        <v>14</v>
      </c>
      <c r="S96" s="3">
        <v>533.91999999999996</v>
      </c>
      <c r="T96" t="s">
        <v>15</v>
      </c>
      <c r="U96" s="3">
        <v>46725.65</v>
      </c>
      <c r="V96" s="3" t="e">
        <f>VLOOKUP(M96,'[1]Query Report'!$A:$E,5,0)</f>
        <v>#N/A</v>
      </c>
      <c r="W96" s="3" t="e">
        <f t="shared" si="6"/>
        <v>#N/A</v>
      </c>
      <c r="X96" s="29" t="e">
        <f t="shared" si="8"/>
        <v>#N/A</v>
      </c>
      <c r="Y96" s="29" t="s">
        <v>1363</v>
      </c>
      <c r="Z96" t="s">
        <v>16</v>
      </c>
      <c r="AA96" t="s">
        <v>17</v>
      </c>
      <c r="AB96" t="s">
        <v>12</v>
      </c>
      <c r="AC96" t="s">
        <v>320</v>
      </c>
      <c r="AD96" t="s">
        <v>18</v>
      </c>
      <c r="AE96" t="s">
        <v>321</v>
      </c>
      <c r="AF96" t="s">
        <v>12</v>
      </c>
      <c r="AG96" t="s">
        <v>12</v>
      </c>
      <c r="AH96" t="s">
        <v>12</v>
      </c>
      <c r="AI96" s="2">
        <v>45918</v>
      </c>
      <c r="AJ96" s="2"/>
      <c r="AK96" t="s">
        <v>12</v>
      </c>
    </row>
    <row r="97" spans="1:37" outlineLevel="2" x14ac:dyDescent="0.25">
      <c r="A97" t="s">
        <v>129</v>
      </c>
      <c r="B97" t="s">
        <v>1</v>
      </c>
      <c r="C97" t="s">
        <v>2</v>
      </c>
      <c r="D97" t="s">
        <v>3</v>
      </c>
      <c r="E97" t="s">
        <v>4</v>
      </c>
      <c r="F97" t="s">
        <v>313</v>
      </c>
      <c r="G97" s="2">
        <v>45918</v>
      </c>
      <c r="H97" t="s">
        <v>322</v>
      </c>
      <c r="I97" t="s">
        <v>22</v>
      </c>
      <c r="J97" s="2">
        <v>45918</v>
      </c>
      <c r="K97" s="2">
        <v>45922</v>
      </c>
      <c r="L97" t="s">
        <v>8</v>
      </c>
      <c r="M97" s="26">
        <v>256779417525</v>
      </c>
      <c r="N97" t="s">
        <v>10</v>
      </c>
      <c r="O97" t="s">
        <v>11</v>
      </c>
      <c r="P97" t="s">
        <v>12</v>
      </c>
      <c r="Q97" t="s">
        <v>24</v>
      </c>
      <c r="R97" t="s">
        <v>14</v>
      </c>
      <c r="S97" s="3">
        <v>311.37</v>
      </c>
      <c r="T97" t="s">
        <v>15</v>
      </c>
      <c r="U97" s="3">
        <v>27249.34</v>
      </c>
      <c r="V97" s="3" t="e">
        <f>VLOOKUP(M97,'[1]Query Report'!$A:$E,5,0)</f>
        <v>#N/A</v>
      </c>
      <c r="W97" s="3" t="e">
        <f t="shared" si="6"/>
        <v>#N/A</v>
      </c>
      <c r="X97" s="29" t="e">
        <f t="shared" si="8"/>
        <v>#N/A</v>
      </c>
      <c r="Y97" s="29" t="s">
        <v>1363</v>
      </c>
      <c r="Z97" t="s">
        <v>16</v>
      </c>
      <c r="AA97" t="s">
        <v>17</v>
      </c>
      <c r="AB97" t="s">
        <v>12</v>
      </c>
      <c r="AC97" t="s">
        <v>324</v>
      </c>
      <c r="AD97" t="s">
        <v>18</v>
      </c>
      <c r="AE97" t="s">
        <v>325</v>
      </c>
      <c r="AF97" t="s">
        <v>12</v>
      </c>
      <c r="AG97" t="s">
        <v>12</v>
      </c>
      <c r="AH97" t="s">
        <v>12</v>
      </c>
      <c r="AI97" s="2">
        <v>45918</v>
      </c>
      <c r="AJ97" s="2"/>
      <c r="AK97" t="s">
        <v>12</v>
      </c>
    </row>
    <row r="98" spans="1:37" outlineLevel="2" x14ac:dyDescent="0.25">
      <c r="A98" t="s">
        <v>129</v>
      </c>
      <c r="B98" t="s">
        <v>1</v>
      </c>
      <c r="C98" t="s">
        <v>2</v>
      </c>
      <c r="D98" t="s">
        <v>3</v>
      </c>
      <c r="E98" t="s">
        <v>4</v>
      </c>
      <c r="F98" t="s">
        <v>313</v>
      </c>
      <c r="G98" s="2">
        <v>45918</v>
      </c>
      <c r="H98" t="s">
        <v>326</v>
      </c>
      <c r="I98" t="s">
        <v>22</v>
      </c>
      <c r="J98" s="2">
        <v>45918</v>
      </c>
      <c r="K98" s="2">
        <v>45922</v>
      </c>
      <c r="L98" t="s">
        <v>8</v>
      </c>
      <c r="M98" s="26">
        <v>256779417566</v>
      </c>
      <c r="N98" t="s">
        <v>10</v>
      </c>
      <c r="O98" t="s">
        <v>11</v>
      </c>
      <c r="P98" t="s">
        <v>12</v>
      </c>
      <c r="Q98" t="s">
        <v>24</v>
      </c>
      <c r="R98" t="s">
        <v>14</v>
      </c>
      <c r="S98" s="3">
        <v>75.5</v>
      </c>
      <c r="T98" t="s">
        <v>15</v>
      </c>
      <c r="U98" s="3">
        <v>6607.33</v>
      </c>
      <c r="V98" s="3" t="e">
        <f>VLOOKUP(M98,'[1]Query Report'!$A:$E,5,0)</f>
        <v>#N/A</v>
      </c>
      <c r="W98" s="3" t="e">
        <f t="shared" si="6"/>
        <v>#N/A</v>
      </c>
      <c r="X98" s="29" t="e">
        <f t="shared" si="8"/>
        <v>#N/A</v>
      </c>
      <c r="Y98" s="29" t="s">
        <v>1363</v>
      </c>
      <c r="Z98" t="s">
        <v>16</v>
      </c>
      <c r="AA98" t="s">
        <v>17</v>
      </c>
      <c r="AB98" t="s">
        <v>12</v>
      </c>
      <c r="AC98" t="s">
        <v>328</v>
      </c>
      <c r="AD98" t="s">
        <v>18</v>
      </c>
      <c r="AE98" t="s">
        <v>329</v>
      </c>
      <c r="AF98" t="s">
        <v>12</v>
      </c>
      <c r="AG98" t="s">
        <v>12</v>
      </c>
      <c r="AH98" t="s">
        <v>12</v>
      </c>
      <c r="AI98" s="2">
        <v>45918</v>
      </c>
      <c r="AJ98" s="2"/>
      <c r="AK98" t="s">
        <v>12</v>
      </c>
    </row>
    <row r="99" spans="1:37" outlineLevel="2" x14ac:dyDescent="0.25">
      <c r="A99" t="s">
        <v>129</v>
      </c>
      <c r="B99" t="s">
        <v>1</v>
      </c>
      <c r="C99" t="s">
        <v>2</v>
      </c>
      <c r="D99" t="s">
        <v>3</v>
      </c>
      <c r="E99" t="s">
        <v>4</v>
      </c>
      <c r="F99" t="s">
        <v>313</v>
      </c>
      <c r="G99" s="2">
        <v>45918</v>
      </c>
      <c r="H99" t="s">
        <v>330</v>
      </c>
      <c r="I99" t="s">
        <v>22</v>
      </c>
      <c r="J99" s="2">
        <v>45918</v>
      </c>
      <c r="K99" s="2">
        <v>45922</v>
      </c>
      <c r="L99" t="s">
        <v>8</v>
      </c>
      <c r="M99" s="26">
        <v>256779417582</v>
      </c>
      <c r="N99" t="s">
        <v>10</v>
      </c>
      <c r="O99" t="s">
        <v>11</v>
      </c>
      <c r="P99" t="s">
        <v>12</v>
      </c>
      <c r="Q99" t="s">
        <v>24</v>
      </c>
      <c r="R99" t="s">
        <v>14</v>
      </c>
      <c r="S99" s="3">
        <v>80.8</v>
      </c>
      <c r="T99" t="s">
        <v>15</v>
      </c>
      <c r="U99" s="3">
        <v>7071.16</v>
      </c>
      <c r="V99" s="3" t="e">
        <f>VLOOKUP(M99,'[1]Query Report'!$A:$E,5,0)</f>
        <v>#N/A</v>
      </c>
      <c r="W99" s="3" t="e">
        <f t="shared" si="6"/>
        <v>#N/A</v>
      </c>
      <c r="X99" s="29" t="e">
        <f t="shared" si="8"/>
        <v>#N/A</v>
      </c>
      <c r="Y99" s="29" t="s">
        <v>1363</v>
      </c>
      <c r="Z99" t="s">
        <v>16</v>
      </c>
      <c r="AA99" t="s">
        <v>17</v>
      </c>
      <c r="AB99" t="s">
        <v>12</v>
      </c>
      <c r="AC99" t="s">
        <v>332</v>
      </c>
      <c r="AD99" t="s">
        <v>18</v>
      </c>
      <c r="AE99" t="s">
        <v>333</v>
      </c>
      <c r="AF99" t="s">
        <v>12</v>
      </c>
      <c r="AG99" t="s">
        <v>12</v>
      </c>
      <c r="AH99" t="s">
        <v>12</v>
      </c>
      <c r="AI99" s="2">
        <v>45918</v>
      </c>
      <c r="AJ99" s="2"/>
      <c r="AK99" t="s">
        <v>12</v>
      </c>
    </row>
    <row r="100" spans="1:37" outlineLevel="2" x14ac:dyDescent="0.25">
      <c r="A100" t="s">
        <v>129</v>
      </c>
      <c r="B100" t="s">
        <v>1</v>
      </c>
      <c r="C100" t="s">
        <v>2</v>
      </c>
      <c r="D100" t="s">
        <v>3</v>
      </c>
      <c r="E100" t="s">
        <v>4</v>
      </c>
      <c r="F100" t="s">
        <v>334</v>
      </c>
      <c r="G100" s="2">
        <v>45996</v>
      </c>
      <c r="H100" t="s">
        <v>335</v>
      </c>
      <c r="I100" t="s">
        <v>22</v>
      </c>
      <c r="J100" s="2">
        <v>45996</v>
      </c>
      <c r="K100" s="2">
        <v>46000</v>
      </c>
      <c r="L100" t="s">
        <v>8</v>
      </c>
      <c r="M100" s="26">
        <v>256779419795</v>
      </c>
      <c r="N100" t="s">
        <v>10</v>
      </c>
      <c r="O100" t="s">
        <v>11</v>
      </c>
      <c r="P100" t="s">
        <v>12</v>
      </c>
      <c r="Q100" t="s">
        <v>24</v>
      </c>
      <c r="R100" t="s">
        <v>14</v>
      </c>
      <c r="S100" s="3">
        <v>356.26</v>
      </c>
      <c r="T100" t="s">
        <v>15</v>
      </c>
      <c r="U100" s="3">
        <v>31600.31</v>
      </c>
      <c r="V100" s="3" t="e">
        <f>VLOOKUP(M100,'[1]Query Report'!$A:$E,5,0)</f>
        <v>#N/A</v>
      </c>
      <c r="W100" s="3" t="e">
        <f t="shared" si="6"/>
        <v>#N/A</v>
      </c>
      <c r="X100" s="29" t="e">
        <f t="shared" si="8"/>
        <v>#N/A</v>
      </c>
      <c r="Y100" s="29" t="s">
        <v>1363</v>
      </c>
      <c r="Z100" t="s">
        <v>16</v>
      </c>
      <c r="AA100" t="s">
        <v>17</v>
      </c>
      <c r="AB100" t="s">
        <v>12</v>
      </c>
      <c r="AC100" t="s">
        <v>337</v>
      </c>
      <c r="AD100" t="s">
        <v>18</v>
      </c>
      <c r="AE100" t="s">
        <v>338</v>
      </c>
      <c r="AF100" t="s">
        <v>12</v>
      </c>
      <c r="AG100" t="s">
        <v>12</v>
      </c>
      <c r="AH100" t="s">
        <v>12</v>
      </c>
      <c r="AI100" s="2">
        <v>45996</v>
      </c>
      <c r="AJ100" s="2"/>
      <c r="AK100" t="s">
        <v>12</v>
      </c>
    </row>
    <row r="101" spans="1:37" outlineLevel="2" x14ac:dyDescent="0.25">
      <c r="A101" t="s">
        <v>129</v>
      </c>
      <c r="B101" t="s">
        <v>1</v>
      </c>
      <c r="C101" t="s">
        <v>2</v>
      </c>
      <c r="D101" t="s">
        <v>3</v>
      </c>
      <c r="E101" t="s">
        <v>4</v>
      </c>
      <c r="F101" t="s">
        <v>334</v>
      </c>
      <c r="G101" s="2">
        <v>45996</v>
      </c>
      <c r="H101" t="s">
        <v>339</v>
      </c>
      <c r="I101" t="s">
        <v>22</v>
      </c>
      <c r="J101" s="2">
        <v>45996</v>
      </c>
      <c r="K101" s="2">
        <v>46000</v>
      </c>
      <c r="L101" t="s">
        <v>8</v>
      </c>
      <c r="M101" s="26">
        <v>256779419916</v>
      </c>
      <c r="N101" t="s">
        <v>10</v>
      </c>
      <c r="O101" t="s">
        <v>11</v>
      </c>
      <c r="P101" t="s">
        <v>12</v>
      </c>
      <c r="Q101" t="s">
        <v>24</v>
      </c>
      <c r="R101" t="s">
        <v>14</v>
      </c>
      <c r="S101" s="3">
        <v>128.31</v>
      </c>
      <c r="T101" t="s">
        <v>15</v>
      </c>
      <c r="U101" s="3">
        <v>11381.11</v>
      </c>
      <c r="V101" s="3" t="e">
        <f>VLOOKUP(M101,'[1]Query Report'!$A:$E,5,0)</f>
        <v>#N/A</v>
      </c>
      <c r="W101" s="3" t="e">
        <f t="shared" si="6"/>
        <v>#N/A</v>
      </c>
      <c r="X101" s="29" t="e">
        <f t="shared" si="8"/>
        <v>#N/A</v>
      </c>
      <c r="Y101" s="29" t="s">
        <v>1363</v>
      </c>
      <c r="Z101" t="s">
        <v>16</v>
      </c>
      <c r="AA101" t="s">
        <v>17</v>
      </c>
      <c r="AB101" t="s">
        <v>12</v>
      </c>
      <c r="AC101" t="s">
        <v>341</v>
      </c>
      <c r="AD101" t="s">
        <v>18</v>
      </c>
      <c r="AE101" t="s">
        <v>342</v>
      </c>
      <c r="AF101" t="s">
        <v>12</v>
      </c>
      <c r="AG101" t="s">
        <v>12</v>
      </c>
      <c r="AH101" t="s">
        <v>12</v>
      </c>
      <c r="AI101" s="2">
        <v>45996</v>
      </c>
      <c r="AJ101" s="2"/>
      <c r="AK101" t="s">
        <v>12</v>
      </c>
    </row>
    <row r="102" spans="1:37" outlineLevel="2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130</v>
      </c>
      <c r="G102" s="2">
        <v>45799</v>
      </c>
      <c r="H102" t="s">
        <v>343</v>
      </c>
      <c r="I102" t="s">
        <v>7</v>
      </c>
      <c r="J102" s="2">
        <v>45799</v>
      </c>
      <c r="K102" s="2">
        <v>45800</v>
      </c>
      <c r="L102" t="s">
        <v>8</v>
      </c>
      <c r="M102" s="26">
        <v>256779420756</v>
      </c>
      <c r="N102" t="s">
        <v>10</v>
      </c>
      <c r="O102" t="s">
        <v>11</v>
      </c>
      <c r="P102" t="s">
        <v>12</v>
      </c>
      <c r="Q102" t="s">
        <v>13</v>
      </c>
      <c r="R102" t="s">
        <v>14</v>
      </c>
      <c r="S102" s="3">
        <v>-500.63</v>
      </c>
      <c r="T102" t="s">
        <v>15</v>
      </c>
      <c r="U102" s="3">
        <v>-43400.25</v>
      </c>
      <c r="V102" s="3" t="e">
        <f>VLOOKUP(M102,'[1]Query Report'!$A:$E,5,0)</f>
        <v>#N/A</v>
      </c>
      <c r="W102" s="3" t="e">
        <f t="shared" si="6"/>
        <v>#N/A</v>
      </c>
      <c r="X102" s="3"/>
      <c r="Y102" s="3"/>
      <c r="Z102" t="s">
        <v>16</v>
      </c>
      <c r="AA102" t="s">
        <v>17</v>
      </c>
      <c r="AB102" t="s">
        <v>12</v>
      </c>
      <c r="AC102" t="s">
        <v>8</v>
      </c>
      <c r="AD102" t="s">
        <v>18</v>
      </c>
      <c r="AE102" t="s">
        <v>345</v>
      </c>
      <c r="AF102" t="s">
        <v>12</v>
      </c>
      <c r="AG102" t="s">
        <v>12</v>
      </c>
      <c r="AH102" t="s">
        <v>12</v>
      </c>
      <c r="AI102" s="2">
        <v>45799</v>
      </c>
      <c r="AJ102" s="2">
        <v>45842</v>
      </c>
      <c r="AK102" t="s">
        <v>346</v>
      </c>
    </row>
    <row r="103" spans="1:37" outlineLevel="2" x14ac:dyDescent="0.25">
      <c r="A103" t="s">
        <v>129</v>
      </c>
      <c r="B103" t="s">
        <v>1</v>
      </c>
      <c r="C103" t="s">
        <v>2</v>
      </c>
      <c r="D103" t="s">
        <v>3</v>
      </c>
      <c r="E103" t="s">
        <v>4</v>
      </c>
      <c r="F103" t="s">
        <v>140</v>
      </c>
      <c r="G103" s="2">
        <v>45770</v>
      </c>
      <c r="H103" t="s">
        <v>347</v>
      </c>
      <c r="I103" t="s">
        <v>22</v>
      </c>
      <c r="J103" s="2">
        <v>45770</v>
      </c>
      <c r="K103" s="2">
        <v>45776</v>
      </c>
      <c r="L103" t="s">
        <v>8</v>
      </c>
      <c r="M103" s="26">
        <v>256779412926</v>
      </c>
      <c r="N103" t="s">
        <v>10</v>
      </c>
      <c r="O103" t="s">
        <v>11</v>
      </c>
      <c r="P103" t="s">
        <v>12</v>
      </c>
      <c r="Q103" t="s">
        <v>24</v>
      </c>
      <c r="R103" t="s">
        <v>14</v>
      </c>
      <c r="S103" s="3">
        <v>22.5</v>
      </c>
      <c r="T103" t="s">
        <v>15</v>
      </c>
      <c r="U103" s="3">
        <v>1955.74</v>
      </c>
      <c r="V103" s="3" t="e">
        <f>VLOOKUP(M103,'[1]Query Report'!$A:$E,5,0)</f>
        <v>#N/A</v>
      </c>
      <c r="W103" s="3" t="e">
        <f t="shared" si="6"/>
        <v>#N/A</v>
      </c>
      <c r="X103" s="29" t="e">
        <f t="shared" ref="X103:X109" si="9">W103/U103</f>
        <v>#N/A</v>
      </c>
      <c r="Y103" s="29" t="s">
        <v>1362</v>
      </c>
      <c r="Z103" t="s">
        <v>16</v>
      </c>
      <c r="AA103" t="s">
        <v>17</v>
      </c>
      <c r="AB103" t="s">
        <v>12</v>
      </c>
      <c r="AC103" t="s">
        <v>8</v>
      </c>
      <c r="AD103" t="s">
        <v>18</v>
      </c>
      <c r="AE103" t="s">
        <v>349</v>
      </c>
      <c r="AF103" t="s">
        <v>12</v>
      </c>
      <c r="AG103" t="s">
        <v>12</v>
      </c>
      <c r="AH103" t="s">
        <v>12</v>
      </c>
      <c r="AI103" s="2">
        <v>45770</v>
      </c>
      <c r="AJ103" s="2"/>
      <c r="AK103" t="s">
        <v>12</v>
      </c>
    </row>
    <row r="104" spans="1:37" outlineLevel="2" x14ac:dyDescent="0.25">
      <c r="A104" t="s">
        <v>129</v>
      </c>
      <c r="B104" t="s">
        <v>1</v>
      </c>
      <c r="C104" t="s">
        <v>2</v>
      </c>
      <c r="D104" t="s">
        <v>3</v>
      </c>
      <c r="E104" t="s">
        <v>4</v>
      </c>
      <c r="F104" t="s">
        <v>140</v>
      </c>
      <c r="G104" s="2">
        <v>45770</v>
      </c>
      <c r="H104" t="s">
        <v>350</v>
      </c>
      <c r="I104" t="s">
        <v>22</v>
      </c>
      <c r="J104" s="2">
        <v>45770</v>
      </c>
      <c r="K104" s="2">
        <v>45776</v>
      </c>
      <c r="L104" t="s">
        <v>8</v>
      </c>
      <c r="M104" s="26">
        <v>256779412941</v>
      </c>
      <c r="N104" t="s">
        <v>10</v>
      </c>
      <c r="O104" t="s">
        <v>11</v>
      </c>
      <c r="P104" t="s">
        <v>12</v>
      </c>
      <c r="Q104" t="s">
        <v>24</v>
      </c>
      <c r="R104" t="s">
        <v>14</v>
      </c>
      <c r="S104" s="3">
        <v>321.75</v>
      </c>
      <c r="T104" t="s">
        <v>15</v>
      </c>
      <c r="U104" s="3">
        <v>27967.1</v>
      </c>
      <c r="V104" s="3" t="e">
        <f>VLOOKUP(M104,'[1]Query Report'!$A:$E,5,0)</f>
        <v>#N/A</v>
      </c>
      <c r="W104" s="3" t="e">
        <f t="shared" si="6"/>
        <v>#N/A</v>
      </c>
      <c r="X104" s="29" t="e">
        <f t="shared" si="9"/>
        <v>#N/A</v>
      </c>
      <c r="Y104" s="29" t="s">
        <v>1363</v>
      </c>
      <c r="Z104" t="s">
        <v>16</v>
      </c>
      <c r="AA104" t="s">
        <v>17</v>
      </c>
      <c r="AB104" t="s">
        <v>12</v>
      </c>
      <c r="AC104" t="s">
        <v>8</v>
      </c>
      <c r="AD104" t="s">
        <v>18</v>
      </c>
      <c r="AE104" t="s">
        <v>352</v>
      </c>
      <c r="AF104" t="s">
        <v>12</v>
      </c>
      <c r="AG104" t="s">
        <v>12</v>
      </c>
      <c r="AH104" t="s">
        <v>12</v>
      </c>
      <c r="AI104" s="2">
        <v>45770</v>
      </c>
      <c r="AJ104" s="2"/>
      <c r="AK104" t="s">
        <v>12</v>
      </c>
    </row>
    <row r="105" spans="1:37" outlineLevel="2" x14ac:dyDescent="0.25">
      <c r="A105" t="s">
        <v>129</v>
      </c>
      <c r="B105" t="s">
        <v>1</v>
      </c>
      <c r="C105" t="s">
        <v>2</v>
      </c>
      <c r="D105" t="s">
        <v>3</v>
      </c>
      <c r="E105" t="s">
        <v>4</v>
      </c>
      <c r="F105" t="s">
        <v>140</v>
      </c>
      <c r="G105" s="2">
        <v>45770</v>
      </c>
      <c r="H105" t="s">
        <v>353</v>
      </c>
      <c r="I105" t="s">
        <v>22</v>
      </c>
      <c r="J105" s="2">
        <v>45770</v>
      </c>
      <c r="K105" s="2">
        <v>45776</v>
      </c>
      <c r="L105" t="s">
        <v>8</v>
      </c>
      <c r="M105" s="26">
        <v>256779412950</v>
      </c>
      <c r="N105" t="s">
        <v>10</v>
      </c>
      <c r="O105" t="s">
        <v>11</v>
      </c>
      <c r="P105" t="s">
        <v>12</v>
      </c>
      <c r="Q105" t="s">
        <v>24</v>
      </c>
      <c r="R105" t="s">
        <v>14</v>
      </c>
      <c r="S105" s="3">
        <v>155.1</v>
      </c>
      <c r="T105" t="s">
        <v>15</v>
      </c>
      <c r="U105" s="3">
        <v>13481.57</v>
      </c>
      <c r="V105" s="3" t="e">
        <f>VLOOKUP(M105,'[1]Query Report'!$A:$E,5,0)</f>
        <v>#N/A</v>
      </c>
      <c r="W105" s="3" t="e">
        <f t="shared" si="6"/>
        <v>#N/A</v>
      </c>
      <c r="X105" s="29" t="e">
        <f t="shared" si="9"/>
        <v>#N/A</v>
      </c>
      <c r="Y105" s="29" t="s">
        <v>1363</v>
      </c>
      <c r="Z105" t="s">
        <v>16</v>
      </c>
      <c r="AA105" t="s">
        <v>17</v>
      </c>
      <c r="AB105" t="s">
        <v>12</v>
      </c>
      <c r="AC105" t="s">
        <v>8</v>
      </c>
      <c r="AD105" t="s">
        <v>18</v>
      </c>
      <c r="AE105" t="s">
        <v>349</v>
      </c>
      <c r="AF105" t="s">
        <v>12</v>
      </c>
      <c r="AG105" t="s">
        <v>12</v>
      </c>
      <c r="AH105" t="s">
        <v>12</v>
      </c>
      <c r="AI105" s="2">
        <v>45770</v>
      </c>
      <c r="AJ105" s="2"/>
      <c r="AK105" t="s">
        <v>12</v>
      </c>
    </row>
    <row r="106" spans="1:37" outlineLevel="2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140</v>
      </c>
      <c r="G106" s="2">
        <v>45770</v>
      </c>
      <c r="H106" t="s">
        <v>355</v>
      </c>
      <c r="I106" t="s">
        <v>22</v>
      </c>
      <c r="J106" s="2">
        <v>45770</v>
      </c>
      <c r="K106" s="2">
        <v>45773</v>
      </c>
      <c r="L106" t="s">
        <v>8</v>
      </c>
      <c r="M106" s="26">
        <v>256779412692</v>
      </c>
      <c r="N106" t="s">
        <v>10</v>
      </c>
      <c r="O106" t="s">
        <v>11</v>
      </c>
      <c r="P106" t="s">
        <v>12</v>
      </c>
      <c r="Q106" t="s">
        <v>24</v>
      </c>
      <c r="R106" t="s">
        <v>14</v>
      </c>
      <c r="S106" s="3">
        <v>70</v>
      </c>
      <c r="T106" t="s">
        <v>15</v>
      </c>
      <c r="U106" s="3">
        <v>6084.53</v>
      </c>
      <c r="V106" s="3" t="e">
        <f>VLOOKUP(M106,'[1]Query Report'!$A:$E,5,0)</f>
        <v>#N/A</v>
      </c>
      <c r="W106" s="3" t="e">
        <f t="shared" si="6"/>
        <v>#N/A</v>
      </c>
      <c r="X106" s="29" t="e">
        <f t="shared" si="9"/>
        <v>#N/A</v>
      </c>
      <c r="Y106" s="29"/>
      <c r="Z106" t="s">
        <v>16</v>
      </c>
      <c r="AA106" t="s">
        <v>17</v>
      </c>
      <c r="AB106" t="s">
        <v>12</v>
      </c>
      <c r="AC106" t="s">
        <v>8</v>
      </c>
      <c r="AD106" t="s">
        <v>18</v>
      </c>
      <c r="AE106" t="s">
        <v>357</v>
      </c>
      <c r="AF106" t="s">
        <v>12</v>
      </c>
      <c r="AG106" t="s">
        <v>12</v>
      </c>
      <c r="AH106" t="s">
        <v>12</v>
      </c>
      <c r="AI106" s="2">
        <v>45770</v>
      </c>
      <c r="AJ106" s="2">
        <v>45976</v>
      </c>
      <c r="AK106" t="s">
        <v>64</v>
      </c>
    </row>
    <row r="107" spans="1:37" outlineLevel="2" x14ac:dyDescent="0.25">
      <c r="A107" t="s">
        <v>129</v>
      </c>
      <c r="B107" t="s">
        <v>1</v>
      </c>
      <c r="C107" t="s">
        <v>2</v>
      </c>
      <c r="D107" t="s">
        <v>3</v>
      </c>
      <c r="E107" t="s">
        <v>4</v>
      </c>
      <c r="F107" t="s">
        <v>358</v>
      </c>
      <c r="G107" s="2">
        <v>45709</v>
      </c>
      <c r="H107" t="s">
        <v>359</v>
      </c>
      <c r="I107" t="s">
        <v>22</v>
      </c>
      <c r="J107" s="2">
        <v>45709</v>
      </c>
      <c r="K107" s="2">
        <v>45716</v>
      </c>
      <c r="L107" t="s">
        <v>8</v>
      </c>
      <c r="M107" s="26">
        <v>246779410327</v>
      </c>
      <c r="N107" t="s">
        <v>10</v>
      </c>
      <c r="O107" t="s">
        <v>11</v>
      </c>
      <c r="P107" t="s">
        <v>12</v>
      </c>
      <c r="Q107" t="s">
        <v>24</v>
      </c>
      <c r="R107" t="s">
        <v>14</v>
      </c>
      <c r="S107" s="3">
        <v>211.97</v>
      </c>
      <c r="T107" t="s">
        <v>15</v>
      </c>
      <c r="U107" s="3">
        <v>18293.79</v>
      </c>
      <c r="V107" s="3" t="e">
        <f>VLOOKUP(M107,'[1]Query Report'!$A:$E,5,0)</f>
        <v>#N/A</v>
      </c>
      <c r="W107" s="3" t="e">
        <f t="shared" si="6"/>
        <v>#N/A</v>
      </c>
      <c r="X107" s="29" t="e">
        <f t="shared" si="9"/>
        <v>#N/A</v>
      </c>
      <c r="Y107" s="29" t="s">
        <v>1363</v>
      </c>
      <c r="Z107" t="s">
        <v>16</v>
      </c>
      <c r="AA107" t="s">
        <v>17</v>
      </c>
      <c r="AB107" t="s">
        <v>12</v>
      </c>
      <c r="AC107" t="s">
        <v>8</v>
      </c>
      <c r="AD107" t="s">
        <v>18</v>
      </c>
      <c r="AE107" t="s">
        <v>361</v>
      </c>
      <c r="AF107" t="s">
        <v>12</v>
      </c>
      <c r="AG107" t="s">
        <v>12</v>
      </c>
      <c r="AH107" t="s">
        <v>12</v>
      </c>
      <c r="AI107" s="2">
        <v>45709</v>
      </c>
      <c r="AJ107" s="2"/>
      <c r="AK107" t="s">
        <v>12</v>
      </c>
    </row>
    <row r="108" spans="1:37" outlineLevel="2" x14ac:dyDescent="0.25">
      <c r="A108" t="s">
        <v>129</v>
      </c>
      <c r="B108" t="s">
        <v>1</v>
      </c>
      <c r="C108" t="s">
        <v>2</v>
      </c>
      <c r="D108" t="s">
        <v>3</v>
      </c>
      <c r="E108" t="s">
        <v>4</v>
      </c>
      <c r="F108" t="s">
        <v>243</v>
      </c>
      <c r="G108" s="2">
        <v>45737</v>
      </c>
      <c r="H108" t="s">
        <v>362</v>
      </c>
      <c r="I108" t="s">
        <v>22</v>
      </c>
      <c r="J108" s="2">
        <v>45737</v>
      </c>
      <c r="K108" s="2">
        <v>45737</v>
      </c>
      <c r="L108" t="s">
        <v>8</v>
      </c>
      <c r="M108" s="26">
        <v>246779414317</v>
      </c>
      <c r="N108" t="s">
        <v>10</v>
      </c>
      <c r="O108" t="s">
        <v>11</v>
      </c>
      <c r="P108" t="s">
        <v>12</v>
      </c>
      <c r="Q108" t="s">
        <v>24</v>
      </c>
      <c r="R108" t="s">
        <v>14</v>
      </c>
      <c r="S108" s="3">
        <v>25</v>
      </c>
      <c r="T108" t="s">
        <v>15</v>
      </c>
      <c r="U108" s="3">
        <v>2167.2800000000002</v>
      </c>
      <c r="V108" s="3" t="e">
        <f>VLOOKUP(M108,'[1]Query Report'!$A:$E,5,0)</f>
        <v>#N/A</v>
      </c>
      <c r="W108" s="3" t="e">
        <f t="shared" si="6"/>
        <v>#N/A</v>
      </c>
      <c r="X108" s="29" t="e">
        <f t="shared" si="9"/>
        <v>#N/A</v>
      </c>
      <c r="Y108" s="29" t="s">
        <v>1363</v>
      </c>
      <c r="Z108" t="s">
        <v>16</v>
      </c>
      <c r="AA108" t="s">
        <v>17</v>
      </c>
      <c r="AB108" t="s">
        <v>12</v>
      </c>
      <c r="AC108" t="s">
        <v>8</v>
      </c>
      <c r="AD108" t="s">
        <v>18</v>
      </c>
      <c r="AE108" t="s">
        <v>364</v>
      </c>
      <c r="AF108" t="s">
        <v>12</v>
      </c>
      <c r="AG108" t="s">
        <v>12</v>
      </c>
      <c r="AH108" t="s">
        <v>12</v>
      </c>
      <c r="AI108" s="2">
        <v>45737</v>
      </c>
      <c r="AJ108" s="2"/>
      <c r="AK108" t="s">
        <v>12</v>
      </c>
    </row>
    <row r="109" spans="1:37" outlineLevel="2" x14ac:dyDescent="0.25">
      <c r="A109" t="s">
        <v>129</v>
      </c>
      <c r="B109" t="s">
        <v>1</v>
      </c>
      <c r="C109" t="s">
        <v>2</v>
      </c>
      <c r="D109" t="s">
        <v>3</v>
      </c>
      <c r="E109" t="s">
        <v>4</v>
      </c>
      <c r="F109" t="s">
        <v>176</v>
      </c>
      <c r="G109" s="2">
        <v>45938</v>
      </c>
      <c r="H109" t="s">
        <v>365</v>
      </c>
      <c r="I109" t="s">
        <v>22</v>
      </c>
      <c r="J109" s="2">
        <v>45938</v>
      </c>
      <c r="K109" s="2">
        <v>45939</v>
      </c>
      <c r="L109" t="s">
        <v>8</v>
      </c>
      <c r="M109" s="26">
        <v>256779418103</v>
      </c>
      <c r="N109" t="s">
        <v>10</v>
      </c>
      <c r="O109" t="s">
        <v>11</v>
      </c>
      <c r="P109" t="s">
        <v>12</v>
      </c>
      <c r="Q109" t="s">
        <v>24</v>
      </c>
      <c r="R109" t="s">
        <v>14</v>
      </c>
      <c r="S109" s="3">
        <v>11.26</v>
      </c>
      <c r="T109" t="s">
        <v>15</v>
      </c>
      <c r="U109" s="3">
        <v>993.03</v>
      </c>
      <c r="V109" s="3" t="e">
        <f>VLOOKUP(M109,'[1]Query Report'!$A:$E,5,0)</f>
        <v>#N/A</v>
      </c>
      <c r="W109" s="3" t="e">
        <f t="shared" si="6"/>
        <v>#N/A</v>
      </c>
      <c r="X109" s="29" t="e">
        <f t="shared" si="9"/>
        <v>#N/A</v>
      </c>
      <c r="Y109" s="29" t="s">
        <v>1362</v>
      </c>
      <c r="Z109" t="s">
        <v>16</v>
      </c>
      <c r="AA109" t="s">
        <v>17</v>
      </c>
      <c r="AB109" t="s">
        <v>12</v>
      </c>
      <c r="AC109" t="s">
        <v>367</v>
      </c>
      <c r="AD109" t="s">
        <v>18</v>
      </c>
      <c r="AE109" t="s">
        <v>368</v>
      </c>
      <c r="AF109" t="s">
        <v>12</v>
      </c>
      <c r="AG109" t="s">
        <v>12</v>
      </c>
      <c r="AH109" t="s">
        <v>12</v>
      </c>
      <c r="AI109" s="2">
        <v>45938</v>
      </c>
      <c r="AJ109" s="2"/>
      <c r="AK109" t="s">
        <v>12</v>
      </c>
    </row>
    <row r="110" spans="1:37" outlineLevel="2" x14ac:dyDescent="0.25">
      <c r="A110" t="s">
        <v>129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45810</v>
      </c>
      <c r="H110" t="s">
        <v>369</v>
      </c>
      <c r="I110" t="s">
        <v>22</v>
      </c>
      <c r="J110" s="2">
        <v>45810</v>
      </c>
      <c r="K110" s="2">
        <v>45810</v>
      </c>
      <c r="L110" t="s">
        <v>8</v>
      </c>
      <c r="M110" s="26">
        <v>256779413935</v>
      </c>
      <c r="N110" t="s">
        <v>10</v>
      </c>
      <c r="O110" t="s">
        <v>11</v>
      </c>
      <c r="P110" t="s">
        <v>12</v>
      </c>
      <c r="Q110" t="s">
        <v>24</v>
      </c>
      <c r="R110" t="s">
        <v>14</v>
      </c>
      <c r="S110" s="3">
        <v>590.74</v>
      </c>
      <c r="T110" t="s">
        <v>15</v>
      </c>
      <c r="U110" s="3">
        <v>50502.82</v>
      </c>
      <c r="V110" s="3" t="e">
        <f>VLOOKUP(M110,'[1]Query Report'!$A:$E,5,0)</f>
        <v>#N/A</v>
      </c>
      <c r="W110" s="3" t="e">
        <f t="shared" si="6"/>
        <v>#N/A</v>
      </c>
      <c r="X110" s="3"/>
      <c r="Y110" s="3"/>
      <c r="Z110" t="s">
        <v>371</v>
      </c>
      <c r="AA110" t="s">
        <v>17</v>
      </c>
      <c r="AB110" t="s">
        <v>12</v>
      </c>
      <c r="AC110" t="s">
        <v>8</v>
      </c>
      <c r="AD110" t="s">
        <v>18</v>
      </c>
      <c r="AE110" t="s">
        <v>372</v>
      </c>
      <c r="AF110" t="s">
        <v>12</v>
      </c>
      <c r="AG110" t="s">
        <v>12</v>
      </c>
      <c r="AH110" t="s">
        <v>12</v>
      </c>
      <c r="AI110" s="2">
        <v>45810</v>
      </c>
      <c r="AJ110" s="2"/>
      <c r="AK110" t="s">
        <v>12</v>
      </c>
    </row>
    <row r="111" spans="1:37" outlineLevel="2" x14ac:dyDescent="0.25">
      <c r="A111" t="s">
        <v>129</v>
      </c>
      <c r="B111" t="s">
        <v>1</v>
      </c>
      <c r="C111" t="s">
        <v>2</v>
      </c>
      <c r="D111" t="s">
        <v>3</v>
      </c>
      <c r="E111" t="s">
        <v>4</v>
      </c>
      <c r="F111" t="s">
        <v>176</v>
      </c>
      <c r="G111" s="2">
        <v>45937</v>
      </c>
      <c r="H111" t="s">
        <v>373</v>
      </c>
      <c r="I111" t="s">
        <v>22</v>
      </c>
      <c r="J111" s="2">
        <v>45937</v>
      </c>
      <c r="K111" s="2">
        <v>45939</v>
      </c>
      <c r="L111" t="s">
        <v>8</v>
      </c>
      <c r="M111" s="26">
        <v>256779418168</v>
      </c>
      <c r="N111" t="s">
        <v>10</v>
      </c>
      <c r="O111" t="s">
        <v>11</v>
      </c>
      <c r="P111" t="s">
        <v>12</v>
      </c>
      <c r="Q111" t="s">
        <v>24</v>
      </c>
      <c r="R111" t="s">
        <v>14</v>
      </c>
      <c r="S111" s="3">
        <v>70</v>
      </c>
      <c r="T111" t="s">
        <v>15</v>
      </c>
      <c r="U111" s="3">
        <v>6173.35</v>
      </c>
      <c r="V111" s="3" t="e">
        <f>VLOOKUP(M111,'[1]Query Report'!$A:$E,5,0)</f>
        <v>#N/A</v>
      </c>
      <c r="W111" s="3" t="e">
        <f t="shared" si="6"/>
        <v>#N/A</v>
      </c>
      <c r="X111" s="29" t="e">
        <f>W111/U111</f>
        <v>#N/A</v>
      </c>
      <c r="Y111" s="29"/>
      <c r="Z111" t="s">
        <v>16</v>
      </c>
      <c r="AA111" t="s">
        <v>17</v>
      </c>
      <c r="AB111" t="s">
        <v>12</v>
      </c>
      <c r="AC111" t="s">
        <v>375</v>
      </c>
      <c r="AD111" t="s">
        <v>18</v>
      </c>
      <c r="AE111" t="s">
        <v>376</v>
      </c>
      <c r="AF111" t="s">
        <v>12</v>
      </c>
      <c r="AG111" t="s">
        <v>12</v>
      </c>
      <c r="AH111" t="s">
        <v>12</v>
      </c>
      <c r="AI111" s="2">
        <v>45937</v>
      </c>
      <c r="AJ111" s="2"/>
      <c r="AK111" t="s">
        <v>12</v>
      </c>
    </row>
    <row r="112" spans="1:37" outlineLevel="2" x14ac:dyDescent="0.25">
      <c r="A112" t="s">
        <v>129</v>
      </c>
      <c r="B112" t="s">
        <v>1</v>
      </c>
      <c r="C112" t="s">
        <v>2</v>
      </c>
      <c r="D112" t="s">
        <v>3</v>
      </c>
      <c r="E112" t="s">
        <v>4</v>
      </c>
      <c r="F112" t="s">
        <v>176</v>
      </c>
      <c r="G112" s="2">
        <v>45937</v>
      </c>
      <c r="H112" t="s">
        <v>377</v>
      </c>
      <c r="I112" t="s">
        <v>22</v>
      </c>
      <c r="J112" s="2">
        <v>45937</v>
      </c>
      <c r="K112" s="2">
        <v>45939</v>
      </c>
      <c r="L112" t="s">
        <v>8</v>
      </c>
      <c r="M112" s="26">
        <v>256779418179</v>
      </c>
      <c r="N112" t="s">
        <v>10</v>
      </c>
      <c r="O112" t="s">
        <v>11</v>
      </c>
      <c r="P112" t="s">
        <v>12</v>
      </c>
      <c r="Q112" t="s">
        <v>24</v>
      </c>
      <c r="R112" t="s">
        <v>14</v>
      </c>
      <c r="S112" s="3">
        <v>528.99</v>
      </c>
      <c r="T112" t="s">
        <v>15</v>
      </c>
      <c r="U112" s="3">
        <v>46652.04</v>
      </c>
      <c r="V112" s="3" t="e">
        <f>VLOOKUP(M112,'[1]Query Report'!$A:$E,5,0)</f>
        <v>#N/A</v>
      </c>
      <c r="W112" s="3" t="e">
        <f t="shared" si="6"/>
        <v>#N/A</v>
      </c>
      <c r="X112" s="3"/>
      <c r="Y112" s="3"/>
      <c r="Z112" t="s">
        <v>16</v>
      </c>
      <c r="AA112" t="s">
        <v>17</v>
      </c>
      <c r="AB112" t="s">
        <v>12</v>
      </c>
      <c r="AC112" t="s">
        <v>375</v>
      </c>
      <c r="AD112" t="s">
        <v>18</v>
      </c>
      <c r="AE112" t="s">
        <v>379</v>
      </c>
      <c r="AF112" t="s">
        <v>12</v>
      </c>
      <c r="AG112" t="s">
        <v>12</v>
      </c>
      <c r="AH112" t="s">
        <v>12</v>
      </c>
      <c r="AI112" s="2">
        <v>45937</v>
      </c>
      <c r="AJ112" s="2"/>
      <c r="AK112" t="s">
        <v>12</v>
      </c>
    </row>
    <row r="113" spans="1:37" outlineLevel="2" x14ac:dyDescent="0.25">
      <c r="A113" t="s">
        <v>129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s="2">
        <v>45857</v>
      </c>
      <c r="H113" t="s">
        <v>380</v>
      </c>
      <c r="I113" t="s">
        <v>22</v>
      </c>
      <c r="J113" s="2">
        <v>45857</v>
      </c>
      <c r="K113" s="2">
        <v>45859</v>
      </c>
      <c r="L113" t="s">
        <v>8</v>
      </c>
      <c r="M113" s="26">
        <v>256779415771</v>
      </c>
      <c r="N113" t="s">
        <v>10</v>
      </c>
      <c r="O113" t="s">
        <v>11</v>
      </c>
      <c r="P113" t="s">
        <v>12</v>
      </c>
      <c r="Q113" t="s">
        <v>24</v>
      </c>
      <c r="R113" t="s">
        <v>14</v>
      </c>
      <c r="S113" s="3">
        <v>30.76</v>
      </c>
      <c r="T113" t="s">
        <v>15</v>
      </c>
      <c r="U113" s="3">
        <v>2645.38</v>
      </c>
      <c r="V113" s="3" t="e">
        <f>VLOOKUP(M113,'[1]Query Report'!$A:$E,5,0)</f>
        <v>#N/A</v>
      </c>
      <c r="W113" s="3" t="e">
        <f t="shared" si="6"/>
        <v>#N/A</v>
      </c>
      <c r="X113" s="29" t="e">
        <f t="shared" ref="X113:X119" si="10">W113/U113</f>
        <v>#N/A</v>
      </c>
      <c r="Y113" s="29" t="s">
        <v>1363</v>
      </c>
      <c r="Z113" t="s">
        <v>16</v>
      </c>
      <c r="AA113" t="s">
        <v>17</v>
      </c>
      <c r="AB113" t="s">
        <v>12</v>
      </c>
      <c r="AC113" t="s">
        <v>8</v>
      </c>
      <c r="AD113" t="s">
        <v>18</v>
      </c>
      <c r="AE113" t="s">
        <v>382</v>
      </c>
      <c r="AF113" t="s">
        <v>12</v>
      </c>
      <c r="AG113" t="s">
        <v>12</v>
      </c>
      <c r="AH113" t="s">
        <v>12</v>
      </c>
      <c r="AI113" s="2">
        <v>45857</v>
      </c>
      <c r="AJ113" s="2"/>
      <c r="AK113" t="s">
        <v>12</v>
      </c>
    </row>
    <row r="114" spans="1:37" outlineLevel="2" x14ac:dyDescent="0.25">
      <c r="A114" t="s">
        <v>129</v>
      </c>
      <c r="B114" t="s">
        <v>1</v>
      </c>
      <c r="C114" t="s">
        <v>2</v>
      </c>
      <c r="D114" t="s">
        <v>3</v>
      </c>
      <c r="E114" t="s">
        <v>4</v>
      </c>
      <c r="F114" t="s">
        <v>130</v>
      </c>
      <c r="G114" s="2">
        <v>45787</v>
      </c>
      <c r="H114" t="s">
        <v>383</v>
      </c>
      <c r="I114" t="s">
        <v>22</v>
      </c>
      <c r="J114" s="2">
        <v>45787</v>
      </c>
      <c r="K114" s="2">
        <v>45791</v>
      </c>
      <c r="L114" t="s">
        <v>8</v>
      </c>
      <c r="M114" s="26">
        <v>256779413127</v>
      </c>
      <c r="N114" t="s">
        <v>10</v>
      </c>
      <c r="O114" t="s">
        <v>11</v>
      </c>
      <c r="P114" t="s">
        <v>12</v>
      </c>
      <c r="Q114" t="s">
        <v>24</v>
      </c>
      <c r="R114" t="s">
        <v>14</v>
      </c>
      <c r="S114" s="3">
        <v>456.75</v>
      </c>
      <c r="T114" t="s">
        <v>15</v>
      </c>
      <c r="U114" s="3">
        <v>39273.050000000003</v>
      </c>
      <c r="V114" s="3" t="e">
        <f>VLOOKUP(M114,'[1]Query Report'!$A:$E,5,0)</f>
        <v>#N/A</v>
      </c>
      <c r="W114" s="3" t="e">
        <f t="shared" si="6"/>
        <v>#N/A</v>
      </c>
      <c r="X114" s="29" t="e">
        <f t="shared" si="10"/>
        <v>#N/A</v>
      </c>
      <c r="Y114" s="29" t="s">
        <v>1363</v>
      </c>
      <c r="Z114" t="s">
        <v>16</v>
      </c>
      <c r="AA114" t="s">
        <v>17</v>
      </c>
      <c r="AB114" t="s">
        <v>12</v>
      </c>
      <c r="AC114" t="s">
        <v>8</v>
      </c>
      <c r="AD114" t="s">
        <v>18</v>
      </c>
      <c r="AE114" t="s">
        <v>385</v>
      </c>
      <c r="AF114" t="s">
        <v>12</v>
      </c>
      <c r="AG114" t="s">
        <v>12</v>
      </c>
      <c r="AH114" t="s">
        <v>12</v>
      </c>
      <c r="AI114" s="2">
        <v>45787</v>
      </c>
      <c r="AJ114" s="2"/>
      <c r="AK114" t="s">
        <v>12</v>
      </c>
    </row>
    <row r="115" spans="1:37" outlineLevel="2" x14ac:dyDescent="0.25">
      <c r="A115" t="s">
        <v>129</v>
      </c>
      <c r="B115" t="s">
        <v>1</v>
      </c>
      <c r="C115" t="s">
        <v>2</v>
      </c>
      <c r="D115" t="s">
        <v>3</v>
      </c>
      <c r="E115" t="s">
        <v>4</v>
      </c>
      <c r="F115" t="s">
        <v>130</v>
      </c>
      <c r="G115" s="2">
        <v>45787</v>
      </c>
      <c r="H115" t="s">
        <v>386</v>
      </c>
      <c r="I115" t="s">
        <v>22</v>
      </c>
      <c r="J115" s="2">
        <v>45787</v>
      </c>
      <c r="K115" s="2">
        <v>45792</v>
      </c>
      <c r="L115" t="s">
        <v>8</v>
      </c>
      <c r="M115" s="26">
        <v>256779413163</v>
      </c>
      <c r="N115" t="s">
        <v>10</v>
      </c>
      <c r="O115" t="s">
        <v>11</v>
      </c>
      <c r="P115" t="s">
        <v>12</v>
      </c>
      <c r="Q115" t="s">
        <v>24</v>
      </c>
      <c r="R115" t="s">
        <v>14</v>
      </c>
      <c r="S115" s="3">
        <v>190.35</v>
      </c>
      <c r="T115" t="s">
        <v>15</v>
      </c>
      <c r="U115" s="3">
        <v>16367</v>
      </c>
      <c r="V115" s="3" t="e">
        <f>VLOOKUP(M115,'[1]Query Report'!$A:$E,5,0)</f>
        <v>#N/A</v>
      </c>
      <c r="W115" s="3" t="e">
        <f t="shared" si="6"/>
        <v>#N/A</v>
      </c>
      <c r="X115" s="29" t="e">
        <f t="shared" si="10"/>
        <v>#N/A</v>
      </c>
      <c r="Y115" s="29" t="s">
        <v>1363</v>
      </c>
      <c r="Z115" t="s">
        <v>16</v>
      </c>
      <c r="AA115" t="s">
        <v>17</v>
      </c>
      <c r="AB115" t="s">
        <v>12</v>
      </c>
      <c r="AC115" t="s">
        <v>8</v>
      </c>
      <c r="AD115" t="s">
        <v>18</v>
      </c>
      <c r="AE115" t="s">
        <v>388</v>
      </c>
      <c r="AF115" t="s">
        <v>12</v>
      </c>
      <c r="AG115" t="s">
        <v>12</v>
      </c>
      <c r="AH115" t="s">
        <v>12</v>
      </c>
      <c r="AI115" s="2">
        <v>45787</v>
      </c>
      <c r="AJ115" s="2"/>
      <c r="AK115" t="s">
        <v>12</v>
      </c>
    </row>
    <row r="116" spans="1:37" outlineLevel="2" x14ac:dyDescent="0.25">
      <c r="A116" t="s">
        <v>129</v>
      </c>
      <c r="B116" t="s">
        <v>1</v>
      </c>
      <c r="C116" t="s">
        <v>2</v>
      </c>
      <c r="D116" t="s">
        <v>3</v>
      </c>
      <c r="E116" t="s">
        <v>4</v>
      </c>
      <c r="F116" t="s">
        <v>130</v>
      </c>
      <c r="G116" s="2">
        <v>45787</v>
      </c>
      <c r="H116" t="s">
        <v>389</v>
      </c>
      <c r="I116" t="s">
        <v>22</v>
      </c>
      <c r="J116" s="2">
        <v>45787</v>
      </c>
      <c r="K116" s="2">
        <v>45792</v>
      </c>
      <c r="L116" t="s">
        <v>8</v>
      </c>
      <c r="M116" s="26">
        <v>256779413172</v>
      </c>
      <c r="N116" t="s">
        <v>10</v>
      </c>
      <c r="O116" t="s">
        <v>11</v>
      </c>
      <c r="P116" t="s">
        <v>12</v>
      </c>
      <c r="Q116" t="s">
        <v>24</v>
      </c>
      <c r="R116" t="s">
        <v>14</v>
      </c>
      <c r="S116" s="3">
        <v>138.65</v>
      </c>
      <c r="T116" t="s">
        <v>15</v>
      </c>
      <c r="U116" s="3">
        <v>11921.64</v>
      </c>
      <c r="V116" s="3" t="e">
        <f>VLOOKUP(M116,'[1]Query Report'!$A:$E,5,0)</f>
        <v>#N/A</v>
      </c>
      <c r="W116" s="3" t="e">
        <f t="shared" si="6"/>
        <v>#N/A</v>
      </c>
      <c r="X116" s="29" t="e">
        <f t="shared" si="10"/>
        <v>#N/A</v>
      </c>
      <c r="Y116" s="29" t="s">
        <v>1363</v>
      </c>
      <c r="Z116" t="s">
        <v>16</v>
      </c>
      <c r="AA116" t="s">
        <v>17</v>
      </c>
      <c r="AB116" t="s">
        <v>12</v>
      </c>
      <c r="AC116" t="s">
        <v>8</v>
      </c>
      <c r="AD116" t="s">
        <v>18</v>
      </c>
      <c r="AE116" t="s">
        <v>391</v>
      </c>
      <c r="AF116" t="s">
        <v>12</v>
      </c>
      <c r="AG116" t="s">
        <v>12</v>
      </c>
      <c r="AH116" t="s">
        <v>12</v>
      </c>
      <c r="AI116" s="2">
        <v>45787</v>
      </c>
      <c r="AJ116" s="2"/>
      <c r="AK116" t="s">
        <v>12</v>
      </c>
    </row>
    <row r="117" spans="1:37" outlineLevel="2" x14ac:dyDescent="0.25">
      <c r="A117" t="s">
        <v>129</v>
      </c>
      <c r="B117" t="s">
        <v>1</v>
      </c>
      <c r="C117" t="s">
        <v>2</v>
      </c>
      <c r="D117" t="s">
        <v>3</v>
      </c>
      <c r="E117" t="s">
        <v>4</v>
      </c>
      <c r="F117" t="s">
        <v>130</v>
      </c>
      <c r="G117" s="2">
        <v>45787</v>
      </c>
      <c r="H117" t="s">
        <v>392</v>
      </c>
      <c r="I117" t="s">
        <v>22</v>
      </c>
      <c r="J117" s="2">
        <v>45787</v>
      </c>
      <c r="K117" s="2">
        <v>45792</v>
      </c>
      <c r="L117" t="s">
        <v>8</v>
      </c>
      <c r="M117" s="26">
        <v>256779413184</v>
      </c>
      <c r="N117" t="s">
        <v>10</v>
      </c>
      <c r="O117" t="s">
        <v>11</v>
      </c>
      <c r="P117" t="s">
        <v>12</v>
      </c>
      <c r="Q117" t="s">
        <v>24</v>
      </c>
      <c r="R117" t="s">
        <v>14</v>
      </c>
      <c r="S117" s="3">
        <v>151.34</v>
      </c>
      <c r="T117" t="s">
        <v>15</v>
      </c>
      <c r="U117" s="3">
        <v>13012.77</v>
      </c>
      <c r="V117" s="3" t="e">
        <f>VLOOKUP(M117,'[1]Query Report'!$A:$E,5,0)</f>
        <v>#N/A</v>
      </c>
      <c r="W117" s="3" t="e">
        <f t="shared" si="6"/>
        <v>#N/A</v>
      </c>
      <c r="X117" s="29" t="e">
        <f t="shared" si="10"/>
        <v>#N/A</v>
      </c>
      <c r="Y117" s="29" t="s">
        <v>1363</v>
      </c>
      <c r="Z117" t="s">
        <v>16</v>
      </c>
      <c r="AA117" t="s">
        <v>17</v>
      </c>
      <c r="AB117" t="s">
        <v>12</v>
      </c>
      <c r="AC117" t="s">
        <v>8</v>
      </c>
      <c r="AD117" t="s">
        <v>18</v>
      </c>
      <c r="AE117" t="s">
        <v>394</v>
      </c>
      <c r="AF117" t="s">
        <v>12</v>
      </c>
      <c r="AG117" t="s">
        <v>12</v>
      </c>
      <c r="AH117" t="s">
        <v>12</v>
      </c>
      <c r="AI117" s="2">
        <v>45787</v>
      </c>
      <c r="AJ117" s="2"/>
      <c r="AK117" t="s">
        <v>12</v>
      </c>
    </row>
    <row r="118" spans="1:37" outlineLevel="2" x14ac:dyDescent="0.25">
      <c r="A118" t="s">
        <v>129</v>
      </c>
      <c r="B118" t="s">
        <v>1</v>
      </c>
      <c r="C118" t="s">
        <v>2</v>
      </c>
      <c r="D118" t="s">
        <v>3</v>
      </c>
      <c r="E118" t="s">
        <v>4</v>
      </c>
      <c r="F118" t="s">
        <v>130</v>
      </c>
      <c r="G118" s="2">
        <v>45787</v>
      </c>
      <c r="H118" t="s">
        <v>395</v>
      </c>
      <c r="I118" t="s">
        <v>22</v>
      </c>
      <c r="J118" s="2">
        <v>45787</v>
      </c>
      <c r="K118" s="2">
        <v>45792</v>
      </c>
      <c r="L118" t="s">
        <v>8</v>
      </c>
      <c r="M118" s="26">
        <v>256779413243</v>
      </c>
      <c r="N118" t="s">
        <v>10</v>
      </c>
      <c r="O118" t="s">
        <v>11</v>
      </c>
      <c r="P118" t="s">
        <v>12</v>
      </c>
      <c r="Q118" t="s">
        <v>24</v>
      </c>
      <c r="R118" t="s">
        <v>14</v>
      </c>
      <c r="S118" s="3">
        <v>42.53</v>
      </c>
      <c r="T118" t="s">
        <v>15</v>
      </c>
      <c r="U118" s="3">
        <v>3656.89</v>
      </c>
      <c r="V118" s="3" t="e">
        <f>VLOOKUP(M118,'[1]Query Report'!$A:$E,5,0)</f>
        <v>#N/A</v>
      </c>
      <c r="W118" s="3" t="e">
        <f t="shared" si="6"/>
        <v>#N/A</v>
      </c>
      <c r="X118" s="29" t="e">
        <f t="shared" si="10"/>
        <v>#N/A</v>
      </c>
      <c r="Y118" s="29" t="s">
        <v>1363</v>
      </c>
      <c r="Z118" t="s">
        <v>16</v>
      </c>
      <c r="AA118" t="s">
        <v>17</v>
      </c>
      <c r="AB118" t="s">
        <v>12</v>
      </c>
      <c r="AC118" t="s">
        <v>8</v>
      </c>
      <c r="AD118" t="s">
        <v>18</v>
      </c>
      <c r="AE118" t="s">
        <v>397</v>
      </c>
      <c r="AF118" t="s">
        <v>12</v>
      </c>
      <c r="AG118" t="s">
        <v>12</v>
      </c>
      <c r="AH118" t="s">
        <v>12</v>
      </c>
      <c r="AI118" s="2">
        <v>45787</v>
      </c>
      <c r="AJ118" s="2"/>
      <c r="AK118" t="s">
        <v>12</v>
      </c>
    </row>
    <row r="119" spans="1:37" outlineLevel="2" x14ac:dyDescent="0.25">
      <c r="A119" t="s">
        <v>129</v>
      </c>
      <c r="B119" t="s">
        <v>1</v>
      </c>
      <c r="C119" t="s">
        <v>2</v>
      </c>
      <c r="D119" t="s">
        <v>3</v>
      </c>
      <c r="E119" t="s">
        <v>4</v>
      </c>
      <c r="F119" t="s">
        <v>334</v>
      </c>
      <c r="G119" s="2">
        <v>45997</v>
      </c>
      <c r="H119" t="s">
        <v>398</v>
      </c>
      <c r="I119" t="s">
        <v>22</v>
      </c>
      <c r="J119" s="2">
        <v>45997</v>
      </c>
      <c r="K119" s="2">
        <v>46000</v>
      </c>
      <c r="L119" t="s">
        <v>8</v>
      </c>
      <c r="M119" s="26">
        <v>256779419933</v>
      </c>
      <c r="N119" t="s">
        <v>10</v>
      </c>
      <c r="O119" t="s">
        <v>11</v>
      </c>
      <c r="P119" t="s">
        <v>12</v>
      </c>
      <c r="Q119" t="s">
        <v>24</v>
      </c>
      <c r="R119" t="s">
        <v>14</v>
      </c>
      <c r="S119" s="3">
        <v>131.26</v>
      </c>
      <c r="T119" t="s">
        <v>15</v>
      </c>
      <c r="U119" s="3">
        <v>11642.78</v>
      </c>
      <c r="V119" s="3" t="e">
        <f>VLOOKUP(M119,'[1]Query Report'!$A:$E,5,0)</f>
        <v>#N/A</v>
      </c>
      <c r="W119" s="3" t="e">
        <f t="shared" si="6"/>
        <v>#N/A</v>
      </c>
      <c r="X119" s="29" t="e">
        <f t="shared" si="10"/>
        <v>#N/A</v>
      </c>
      <c r="Y119" s="29" t="s">
        <v>1363</v>
      </c>
      <c r="Z119" t="s">
        <v>16</v>
      </c>
      <c r="AA119" t="s">
        <v>17</v>
      </c>
      <c r="AB119" t="s">
        <v>12</v>
      </c>
      <c r="AC119" t="s">
        <v>400</v>
      </c>
      <c r="AD119" t="s">
        <v>18</v>
      </c>
      <c r="AE119" t="s">
        <v>401</v>
      </c>
      <c r="AF119" t="s">
        <v>12</v>
      </c>
      <c r="AG119" t="s">
        <v>12</v>
      </c>
      <c r="AH119" t="s">
        <v>12</v>
      </c>
      <c r="AI119" s="2">
        <v>45997</v>
      </c>
      <c r="AJ119" s="2"/>
      <c r="AK119" t="s">
        <v>12</v>
      </c>
    </row>
    <row r="120" spans="1:37" outlineLevel="2" x14ac:dyDescent="0.25">
      <c r="A120" t="s">
        <v>129</v>
      </c>
      <c r="B120" t="s">
        <v>1</v>
      </c>
      <c r="C120" t="s">
        <v>2</v>
      </c>
      <c r="D120" t="s">
        <v>3</v>
      </c>
      <c r="E120" t="s">
        <v>4</v>
      </c>
      <c r="F120" t="s">
        <v>334</v>
      </c>
      <c r="G120" s="2">
        <v>45997</v>
      </c>
      <c r="H120" t="s">
        <v>402</v>
      </c>
      <c r="I120" t="s">
        <v>22</v>
      </c>
      <c r="J120" s="2">
        <v>45997</v>
      </c>
      <c r="K120" s="2">
        <v>46000</v>
      </c>
      <c r="L120" t="s">
        <v>8</v>
      </c>
      <c r="M120" s="26">
        <v>256779419990</v>
      </c>
      <c r="N120" t="s">
        <v>10</v>
      </c>
      <c r="O120" t="s">
        <v>11</v>
      </c>
      <c r="P120" t="s">
        <v>12</v>
      </c>
      <c r="Q120" t="s">
        <v>24</v>
      </c>
      <c r="R120" t="s">
        <v>14</v>
      </c>
      <c r="S120" s="3">
        <v>429.75</v>
      </c>
      <c r="T120" t="s">
        <v>15</v>
      </c>
      <c r="U120" s="3">
        <v>38118.89</v>
      </c>
      <c r="V120" s="3" t="e">
        <f>VLOOKUP(M120,'[1]Query Report'!$A:$E,5,0)</f>
        <v>#N/A</v>
      </c>
      <c r="W120" s="3" t="e">
        <f t="shared" si="6"/>
        <v>#N/A</v>
      </c>
      <c r="X120" s="3"/>
      <c r="Y120" s="3"/>
      <c r="Z120" t="s">
        <v>16</v>
      </c>
      <c r="AA120" t="s">
        <v>17</v>
      </c>
      <c r="AB120" t="s">
        <v>12</v>
      </c>
      <c r="AC120" t="s">
        <v>404</v>
      </c>
      <c r="AD120" t="s">
        <v>18</v>
      </c>
      <c r="AE120" t="s">
        <v>405</v>
      </c>
      <c r="AF120" t="s">
        <v>12</v>
      </c>
      <c r="AG120" t="s">
        <v>12</v>
      </c>
      <c r="AH120" t="s">
        <v>12</v>
      </c>
      <c r="AI120" s="2">
        <v>45997</v>
      </c>
      <c r="AJ120" s="2"/>
      <c r="AK120" t="s">
        <v>12</v>
      </c>
    </row>
    <row r="121" spans="1:37" outlineLevel="2" x14ac:dyDescent="0.25">
      <c r="A121" t="s">
        <v>129</v>
      </c>
      <c r="B121" t="s">
        <v>1</v>
      </c>
      <c r="C121" t="s">
        <v>2</v>
      </c>
      <c r="D121" t="s">
        <v>3</v>
      </c>
      <c r="E121" t="s">
        <v>4</v>
      </c>
      <c r="F121" t="s">
        <v>176</v>
      </c>
      <c r="G121" s="2">
        <v>45948</v>
      </c>
      <c r="H121" t="s">
        <v>406</v>
      </c>
      <c r="I121" t="s">
        <v>22</v>
      </c>
      <c r="J121" s="2">
        <v>45948</v>
      </c>
      <c r="K121" s="2">
        <v>45951</v>
      </c>
      <c r="L121" t="s">
        <v>8</v>
      </c>
      <c r="M121" s="26">
        <v>256779418428</v>
      </c>
      <c r="N121" t="s">
        <v>10</v>
      </c>
      <c r="O121" t="s">
        <v>11</v>
      </c>
      <c r="P121" t="s">
        <v>12</v>
      </c>
      <c r="Q121" t="s">
        <v>24</v>
      </c>
      <c r="R121" t="s">
        <v>14</v>
      </c>
      <c r="S121" s="3">
        <v>32.9</v>
      </c>
      <c r="T121" t="s">
        <v>15</v>
      </c>
      <c r="U121" s="3">
        <v>2901.48</v>
      </c>
      <c r="V121" s="3" t="e">
        <f>VLOOKUP(M121,'[1]Query Report'!$A:$E,5,0)</f>
        <v>#N/A</v>
      </c>
      <c r="W121" s="3" t="e">
        <f t="shared" si="6"/>
        <v>#N/A</v>
      </c>
      <c r="X121" s="29" t="e">
        <f t="shared" ref="X121:X128" si="11">W121/U121</f>
        <v>#N/A</v>
      </c>
      <c r="Y121" s="29"/>
      <c r="Z121" t="s">
        <v>16</v>
      </c>
      <c r="AA121" t="s">
        <v>17</v>
      </c>
      <c r="AB121" t="s">
        <v>12</v>
      </c>
      <c r="AC121" t="s">
        <v>408</v>
      </c>
      <c r="AD121" t="s">
        <v>18</v>
      </c>
      <c r="AE121" t="s">
        <v>409</v>
      </c>
      <c r="AF121" t="s">
        <v>12</v>
      </c>
      <c r="AG121" t="s">
        <v>12</v>
      </c>
      <c r="AH121" t="s">
        <v>12</v>
      </c>
      <c r="AI121" s="2">
        <v>45948</v>
      </c>
      <c r="AJ121" s="2"/>
      <c r="AK121" t="s">
        <v>12</v>
      </c>
    </row>
    <row r="122" spans="1:37" outlineLevel="2" x14ac:dyDescent="0.25">
      <c r="A122" t="s">
        <v>129</v>
      </c>
      <c r="B122" t="s">
        <v>1</v>
      </c>
      <c r="C122" t="s">
        <v>2</v>
      </c>
      <c r="D122" t="s">
        <v>3</v>
      </c>
      <c r="E122" t="s">
        <v>4</v>
      </c>
      <c r="F122" t="s">
        <v>176</v>
      </c>
      <c r="G122" s="2">
        <v>45948</v>
      </c>
      <c r="H122" t="s">
        <v>410</v>
      </c>
      <c r="I122" t="s">
        <v>22</v>
      </c>
      <c r="J122" s="2">
        <v>45948</v>
      </c>
      <c r="K122" s="2">
        <v>45951</v>
      </c>
      <c r="L122" t="s">
        <v>8</v>
      </c>
      <c r="M122" s="26">
        <v>256779418437</v>
      </c>
      <c r="N122" t="s">
        <v>10</v>
      </c>
      <c r="O122" t="s">
        <v>11</v>
      </c>
      <c r="P122" t="s">
        <v>12</v>
      </c>
      <c r="Q122" t="s">
        <v>24</v>
      </c>
      <c r="R122" t="s">
        <v>14</v>
      </c>
      <c r="S122" s="3">
        <v>79.900000000000006</v>
      </c>
      <c r="T122" t="s">
        <v>15</v>
      </c>
      <c r="U122" s="3">
        <v>7046.44</v>
      </c>
      <c r="V122" s="3" t="e">
        <f>VLOOKUP(M122,'[1]Query Report'!$A:$E,5,0)</f>
        <v>#N/A</v>
      </c>
      <c r="W122" s="3" t="e">
        <f t="shared" si="6"/>
        <v>#N/A</v>
      </c>
      <c r="X122" s="29" t="e">
        <f t="shared" si="11"/>
        <v>#N/A</v>
      </c>
      <c r="Y122" s="29"/>
      <c r="Z122" t="s">
        <v>16</v>
      </c>
      <c r="AA122" t="s">
        <v>17</v>
      </c>
      <c r="AB122" t="s">
        <v>12</v>
      </c>
      <c r="AC122" t="s">
        <v>412</v>
      </c>
      <c r="AD122" t="s">
        <v>18</v>
      </c>
      <c r="AE122" t="s">
        <v>413</v>
      </c>
      <c r="AF122" t="s">
        <v>12</v>
      </c>
      <c r="AG122" t="s">
        <v>12</v>
      </c>
      <c r="AH122" t="s">
        <v>12</v>
      </c>
      <c r="AI122" s="2">
        <v>45948</v>
      </c>
      <c r="AJ122" s="2"/>
      <c r="AK122" t="s">
        <v>12</v>
      </c>
    </row>
    <row r="123" spans="1:37" outlineLevel="2" x14ac:dyDescent="0.25">
      <c r="A123" t="s">
        <v>129</v>
      </c>
      <c r="B123" t="s">
        <v>1</v>
      </c>
      <c r="C123" t="s">
        <v>2</v>
      </c>
      <c r="D123" t="s">
        <v>3</v>
      </c>
      <c r="E123" t="s">
        <v>4</v>
      </c>
      <c r="F123" t="s">
        <v>229</v>
      </c>
      <c r="G123" s="2">
        <v>45815</v>
      </c>
      <c r="H123" t="s">
        <v>414</v>
      </c>
      <c r="I123" t="s">
        <v>22</v>
      </c>
      <c r="J123" s="2">
        <v>45815</v>
      </c>
      <c r="K123" s="2">
        <v>45817</v>
      </c>
      <c r="L123" t="s">
        <v>8</v>
      </c>
      <c r="M123" s="26">
        <v>256779414242</v>
      </c>
      <c r="N123" t="s">
        <v>10</v>
      </c>
      <c r="O123" t="s">
        <v>11</v>
      </c>
      <c r="P123" t="s">
        <v>12</v>
      </c>
      <c r="Q123" t="s">
        <v>24</v>
      </c>
      <c r="R123" t="s">
        <v>14</v>
      </c>
      <c r="S123" s="3">
        <v>4585.18</v>
      </c>
      <c r="T123" t="s">
        <v>15</v>
      </c>
      <c r="U123" s="3">
        <v>391990.61</v>
      </c>
      <c r="V123" s="3" t="e">
        <f>VLOOKUP(M123,'[1]Query Report'!$A:$E,5,0)</f>
        <v>#N/A</v>
      </c>
      <c r="W123" s="3" t="e">
        <f t="shared" si="6"/>
        <v>#N/A</v>
      </c>
      <c r="X123" s="29" t="e">
        <f t="shared" si="11"/>
        <v>#N/A</v>
      </c>
      <c r="Y123" s="29" t="s">
        <v>1363</v>
      </c>
      <c r="Z123" t="s">
        <v>16</v>
      </c>
      <c r="AA123" t="s">
        <v>17</v>
      </c>
      <c r="AB123" t="s">
        <v>12</v>
      </c>
      <c r="AC123" t="s">
        <v>8</v>
      </c>
      <c r="AD123" t="s">
        <v>18</v>
      </c>
      <c r="AE123" t="s">
        <v>416</v>
      </c>
      <c r="AF123" t="s">
        <v>12</v>
      </c>
      <c r="AG123" t="s">
        <v>12</v>
      </c>
      <c r="AH123" t="s">
        <v>12</v>
      </c>
      <c r="AI123" s="2">
        <v>45815</v>
      </c>
      <c r="AJ123" s="2"/>
      <c r="AK123" t="s">
        <v>12</v>
      </c>
    </row>
    <row r="124" spans="1:37" outlineLevel="2" x14ac:dyDescent="0.25">
      <c r="A124" t="s">
        <v>129</v>
      </c>
      <c r="B124" t="s">
        <v>1</v>
      </c>
      <c r="C124" t="s">
        <v>2</v>
      </c>
      <c r="D124" t="s">
        <v>3</v>
      </c>
      <c r="E124" t="s">
        <v>4</v>
      </c>
      <c r="F124" t="s">
        <v>176</v>
      </c>
      <c r="G124" s="2">
        <v>45936</v>
      </c>
      <c r="H124" t="s">
        <v>417</v>
      </c>
      <c r="I124" t="s">
        <v>22</v>
      </c>
      <c r="J124" s="2">
        <v>45936</v>
      </c>
      <c r="K124" s="2">
        <v>45937</v>
      </c>
      <c r="L124" t="s">
        <v>8</v>
      </c>
      <c r="M124" s="26">
        <v>256779418010</v>
      </c>
      <c r="N124" t="s">
        <v>10</v>
      </c>
      <c r="O124" t="s">
        <v>11</v>
      </c>
      <c r="P124" t="s">
        <v>12</v>
      </c>
      <c r="Q124" t="s">
        <v>24</v>
      </c>
      <c r="R124" t="s">
        <v>14</v>
      </c>
      <c r="S124" s="3">
        <v>8566.5</v>
      </c>
      <c r="T124" t="s">
        <v>15</v>
      </c>
      <c r="U124" s="3">
        <v>755486.23</v>
      </c>
      <c r="V124" s="3" t="e">
        <f>VLOOKUP(M124,'[1]Query Report'!$A:$E,5,0)</f>
        <v>#N/A</v>
      </c>
      <c r="W124" s="3" t="e">
        <f t="shared" si="6"/>
        <v>#N/A</v>
      </c>
      <c r="X124" s="29" t="e">
        <f t="shared" si="11"/>
        <v>#N/A</v>
      </c>
      <c r="Y124" s="29" t="s">
        <v>1363</v>
      </c>
      <c r="Z124" t="s">
        <v>16</v>
      </c>
      <c r="AA124" t="s">
        <v>17</v>
      </c>
      <c r="AB124" t="s">
        <v>12</v>
      </c>
      <c r="AC124" t="s">
        <v>419</v>
      </c>
      <c r="AD124" t="s">
        <v>18</v>
      </c>
      <c r="AE124" t="s">
        <v>420</v>
      </c>
      <c r="AF124" t="s">
        <v>12</v>
      </c>
      <c r="AG124" t="s">
        <v>12</v>
      </c>
      <c r="AH124" t="s">
        <v>12</v>
      </c>
      <c r="AI124" s="2">
        <v>45936</v>
      </c>
      <c r="AJ124" s="2"/>
      <c r="AK124" t="s">
        <v>12</v>
      </c>
    </row>
    <row r="125" spans="1:37" outlineLevel="2" x14ac:dyDescent="0.25">
      <c r="A125" t="s">
        <v>129</v>
      </c>
      <c r="B125" t="s">
        <v>1</v>
      </c>
      <c r="C125" t="s">
        <v>2</v>
      </c>
      <c r="D125" t="s">
        <v>3</v>
      </c>
      <c r="E125" t="s">
        <v>4</v>
      </c>
      <c r="F125" t="s">
        <v>176</v>
      </c>
      <c r="G125" s="2">
        <v>45935</v>
      </c>
      <c r="H125" t="s">
        <v>421</v>
      </c>
      <c r="I125" t="s">
        <v>22</v>
      </c>
      <c r="J125" s="2">
        <v>45935</v>
      </c>
      <c r="K125" s="2">
        <v>45937</v>
      </c>
      <c r="L125" t="s">
        <v>8</v>
      </c>
      <c r="M125" s="26">
        <v>256779417939</v>
      </c>
      <c r="N125" t="s">
        <v>10</v>
      </c>
      <c r="O125" t="s">
        <v>11</v>
      </c>
      <c r="P125" t="s">
        <v>12</v>
      </c>
      <c r="Q125" t="s">
        <v>24</v>
      </c>
      <c r="R125" t="s">
        <v>14</v>
      </c>
      <c r="S125" s="3">
        <v>445.35</v>
      </c>
      <c r="T125" t="s">
        <v>15</v>
      </c>
      <c r="U125" s="3">
        <v>39275.760000000002</v>
      </c>
      <c r="V125" s="3" t="e">
        <f>VLOOKUP(M125,'[1]Query Report'!$A:$E,5,0)</f>
        <v>#N/A</v>
      </c>
      <c r="W125" s="3" t="e">
        <f t="shared" si="6"/>
        <v>#N/A</v>
      </c>
      <c r="X125" s="29" t="e">
        <f t="shared" si="11"/>
        <v>#N/A</v>
      </c>
      <c r="Y125" s="29" t="s">
        <v>1363</v>
      </c>
      <c r="Z125" t="s">
        <v>16</v>
      </c>
      <c r="AA125" t="s">
        <v>17</v>
      </c>
      <c r="AB125" t="s">
        <v>12</v>
      </c>
      <c r="AC125" t="s">
        <v>8</v>
      </c>
      <c r="AD125" t="s">
        <v>18</v>
      </c>
      <c r="AE125" t="s">
        <v>423</v>
      </c>
      <c r="AF125" t="s">
        <v>12</v>
      </c>
      <c r="AG125" t="s">
        <v>12</v>
      </c>
      <c r="AH125" t="s">
        <v>12</v>
      </c>
      <c r="AI125" s="2">
        <v>45935</v>
      </c>
      <c r="AJ125" s="2"/>
      <c r="AK125" t="s">
        <v>12</v>
      </c>
    </row>
    <row r="126" spans="1:37" outlineLevel="2" x14ac:dyDescent="0.25">
      <c r="A126" t="s">
        <v>129</v>
      </c>
      <c r="B126" t="s">
        <v>1</v>
      </c>
      <c r="C126" t="s">
        <v>2</v>
      </c>
      <c r="D126" t="s">
        <v>3</v>
      </c>
      <c r="E126" t="s">
        <v>4</v>
      </c>
      <c r="F126" t="s">
        <v>176</v>
      </c>
      <c r="G126" s="2">
        <v>45935</v>
      </c>
      <c r="H126" t="s">
        <v>424</v>
      </c>
      <c r="I126" t="s">
        <v>22</v>
      </c>
      <c r="J126" s="2">
        <v>45935</v>
      </c>
      <c r="K126" s="2">
        <v>45937</v>
      </c>
      <c r="L126" t="s">
        <v>8</v>
      </c>
      <c r="M126" s="26">
        <v>256779417978</v>
      </c>
      <c r="N126" t="s">
        <v>10</v>
      </c>
      <c r="O126" t="s">
        <v>11</v>
      </c>
      <c r="P126" t="s">
        <v>12</v>
      </c>
      <c r="Q126" t="s">
        <v>24</v>
      </c>
      <c r="R126" t="s">
        <v>14</v>
      </c>
      <c r="S126" s="3">
        <v>582.79999999999995</v>
      </c>
      <c r="T126" t="s">
        <v>15</v>
      </c>
      <c r="U126" s="3">
        <v>51397.58</v>
      </c>
      <c r="V126" s="3" t="e">
        <f>VLOOKUP(M126,'[1]Query Report'!$A:$E,5,0)</f>
        <v>#N/A</v>
      </c>
      <c r="W126" s="3" t="e">
        <f t="shared" si="6"/>
        <v>#N/A</v>
      </c>
      <c r="X126" s="29" t="e">
        <f t="shared" si="11"/>
        <v>#N/A</v>
      </c>
      <c r="Y126" s="29"/>
      <c r="Z126" t="s">
        <v>16</v>
      </c>
      <c r="AA126" t="s">
        <v>17</v>
      </c>
      <c r="AB126" t="s">
        <v>12</v>
      </c>
      <c r="AC126" t="s">
        <v>426</v>
      </c>
      <c r="AD126" t="s">
        <v>18</v>
      </c>
      <c r="AE126" t="s">
        <v>427</v>
      </c>
      <c r="AF126" t="s">
        <v>12</v>
      </c>
      <c r="AG126" t="s">
        <v>12</v>
      </c>
      <c r="AH126" t="s">
        <v>12</v>
      </c>
      <c r="AI126" s="2">
        <v>45935</v>
      </c>
      <c r="AJ126" s="2"/>
      <c r="AK126" t="s">
        <v>12</v>
      </c>
    </row>
    <row r="127" spans="1:37" outlineLevel="2" x14ac:dyDescent="0.25">
      <c r="A127" t="s">
        <v>129</v>
      </c>
      <c r="B127" t="s">
        <v>1</v>
      </c>
      <c r="C127" t="s">
        <v>2</v>
      </c>
      <c r="D127" t="s">
        <v>3</v>
      </c>
      <c r="E127" t="s">
        <v>4</v>
      </c>
      <c r="F127" t="s">
        <v>176</v>
      </c>
      <c r="G127" s="2">
        <v>45935</v>
      </c>
      <c r="H127" t="s">
        <v>428</v>
      </c>
      <c r="I127" t="s">
        <v>22</v>
      </c>
      <c r="J127" s="2">
        <v>45935</v>
      </c>
      <c r="K127" s="2">
        <v>45937</v>
      </c>
      <c r="L127" t="s">
        <v>8</v>
      </c>
      <c r="M127" s="26">
        <v>256779418036</v>
      </c>
      <c r="N127" t="s">
        <v>10</v>
      </c>
      <c r="O127" t="s">
        <v>11</v>
      </c>
      <c r="P127" t="s">
        <v>12</v>
      </c>
      <c r="Q127" t="s">
        <v>24</v>
      </c>
      <c r="R127" t="s">
        <v>14</v>
      </c>
      <c r="S127" s="3">
        <v>456.75</v>
      </c>
      <c r="T127" t="s">
        <v>15</v>
      </c>
      <c r="U127" s="3">
        <v>40281.129999999997</v>
      </c>
      <c r="V127" s="3" t="e">
        <f>VLOOKUP(M127,'[1]Query Report'!$A:$E,5,0)</f>
        <v>#N/A</v>
      </c>
      <c r="W127" s="3" t="e">
        <f t="shared" si="6"/>
        <v>#N/A</v>
      </c>
      <c r="X127" s="29" t="e">
        <f t="shared" si="11"/>
        <v>#N/A</v>
      </c>
      <c r="Y127" s="29" t="s">
        <v>1363</v>
      </c>
      <c r="Z127" t="s">
        <v>16</v>
      </c>
      <c r="AA127" t="s">
        <v>17</v>
      </c>
      <c r="AB127" t="s">
        <v>12</v>
      </c>
      <c r="AC127" t="s">
        <v>430</v>
      </c>
      <c r="AD127" t="s">
        <v>18</v>
      </c>
      <c r="AE127" t="s">
        <v>431</v>
      </c>
      <c r="AF127" t="s">
        <v>12</v>
      </c>
      <c r="AG127" t="s">
        <v>12</v>
      </c>
      <c r="AH127" t="s">
        <v>12</v>
      </c>
      <c r="AI127" s="2">
        <v>45935</v>
      </c>
      <c r="AJ127" s="2"/>
      <c r="AK127" t="s">
        <v>12</v>
      </c>
    </row>
    <row r="128" spans="1:37" outlineLevel="2" x14ac:dyDescent="0.25">
      <c r="A128" t="s">
        <v>129</v>
      </c>
      <c r="B128" t="s">
        <v>1</v>
      </c>
      <c r="C128" t="s">
        <v>2</v>
      </c>
      <c r="D128" t="s">
        <v>3</v>
      </c>
      <c r="E128" t="s">
        <v>4</v>
      </c>
      <c r="F128" t="s">
        <v>176</v>
      </c>
      <c r="G128" s="2">
        <v>45935</v>
      </c>
      <c r="H128" t="s">
        <v>432</v>
      </c>
      <c r="I128" t="s">
        <v>22</v>
      </c>
      <c r="J128" s="2">
        <v>45935</v>
      </c>
      <c r="K128" s="2">
        <v>45937</v>
      </c>
      <c r="L128" t="s">
        <v>8</v>
      </c>
      <c r="M128" s="26">
        <v>256779418094</v>
      </c>
      <c r="N128" t="s">
        <v>10</v>
      </c>
      <c r="O128" t="s">
        <v>11</v>
      </c>
      <c r="P128" t="s">
        <v>12</v>
      </c>
      <c r="Q128" t="s">
        <v>24</v>
      </c>
      <c r="R128" t="s">
        <v>14</v>
      </c>
      <c r="S128" s="3">
        <v>771.74</v>
      </c>
      <c r="T128" t="s">
        <v>15</v>
      </c>
      <c r="U128" s="3">
        <v>68060.34</v>
      </c>
      <c r="V128" s="3" t="e">
        <f>VLOOKUP(M128,'[1]Query Report'!$A:$E,5,0)</f>
        <v>#N/A</v>
      </c>
      <c r="W128" s="3" t="e">
        <f t="shared" si="6"/>
        <v>#N/A</v>
      </c>
      <c r="X128" s="29" t="e">
        <f t="shared" si="11"/>
        <v>#N/A</v>
      </c>
      <c r="Y128" s="29"/>
      <c r="Z128" t="s">
        <v>16</v>
      </c>
      <c r="AA128" t="s">
        <v>17</v>
      </c>
      <c r="AB128" t="s">
        <v>12</v>
      </c>
      <c r="AC128" t="s">
        <v>434</v>
      </c>
      <c r="AD128" t="s">
        <v>18</v>
      </c>
      <c r="AE128" t="s">
        <v>435</v>
      </c>
      <c r="AF128" t="s">
        <v>12</v>
      </c>
      <c r="AG128" t="s">
        <v>12</v>
      </c>
      <c r="AH128" t="s">
        <v>12</v>
      </c>
      <c r="AI128" s="2">
        <v>45935</v>
      </c>
      <c r="AJ128" s="2"/>
      <c r="AK128" t="s">
        <v>12</v>
      </c>
    </row>
    <row r="129" spans="1:37" outlineLevel="2" x14ac:dyDescent="0.25">
      <c r="A129" t="s">
        <v>129</v>
      </c>
      <c r="B129" t="s">
        <v>1</v>
      </c>
      <c r="C129" t="s">
        <v>2</v>
      </c>
      <c r="D129" t="s">
        <v>3</v>
      </c>
      <c r="E129" t="s">
        <v>4</v>
      </c>
      <c r="F129" t="s">
        <v>176</v>
      </c>
      <c r="G129" s="2">
        <v>45935</v>
      </c>
      <c r="H129" t="s">
        <v>436</v>
      </c>
      <c r="I129" t="s">
        <v>22</v>
      </c>
      <c r="J129" s="2">
        <v>45935</v>
      </c>
      <c r="K129" s="2">
        <v>45940</v>
      </c>
      <c r="L129" t="s">
        <v>8</v>
      </c>
      <c r="M129" s="26">
        <v>256779418399</v>
      </c>
      <c r="N129" t="s">
        <v>10</v>
      </c>
      <c r="O129" t="s">
        <v>11</v>
      </c>
      <c r="P129" t="s">
        <v>12</v>
      </c>
      <c r="Q129" t="s">
        <v>24</v>
      </c>
      <c r="R129" t="s">
        <v>14</v>
      </c>
      <c r="S129" s="3">
        <v>1432.98</v>
      </c>
      <c r="T129" t="s">
        <v>15</v>
      </c>
      <c r="U129" s="3">
        <v>126375.61</v>
      </c>
      <c r="V129" s="3" t="e">
        <f>VLOOKUP(M129,'[1]Query Report'!$A:$E,5,0)</f>
        <v>#N/A</v>
      </c>
      <c r="W129" s="3" t="e">
        <f t="shared" si="6"/>
        <v>#N/A</v>
      </c>
      <c r="X129" s="3"/>
      <c r="Y129" s="3"/>
      <c r="Z129" t="s">
        <v>16</v>
      </c>
      <c r="AA129" t="s">
        <v>17</v>
      </c>
      <c r="AB129" t="s">
        <v>12</v>
      </c>
      <c r="AC129" t="s">
        <v>438</v>
      </c>
      <c r="AD129" t="s">
        <v>18</v>
      </c>
      <c r="AE129" t="s">
        <v>439</v>
      </c>
      <c r="AF129" t="s">
        <v>12</v>
      </c>
      <c r="AG129" t="s">
        <v>12</v>
      </c>
      <c r="AH129" t="s">
        <v>12</v>
      </c>
      <c r="AI129" s="2">
        <v>45935</v>
      </c>
      <c r="AJ129" s="2"/>
      <c r="AK129" t="s">
        <v>12</v>
      </c>
    </row>
    <row r="130" spans="1:37" outlineLevel="2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176</v>
      </c>
      <c r="G130" s="2">
        <v>45935</v>
      </c>
      <c r="H130" t="s">
        <v>440</v>
      </c>
      <c r="I130" t="s">
        <v>22</v>
      </c>
      <c r="J130" s="2">
        <v>45935</v>
      </c>
      <c r="K130" s="2">
        <v>45937</v>
      </c>
      <c r="L130" t="s">
        <v>8</v>
      </c>
      <c r="M130" s="26">
        <v>256779418075</v>
      </c>
      <c r="N130" t="s">
        <v>10</v>
      </c>
      <c r="O130" t="s">
        <v>11</v>
      </c>
      <c r="P130" t="s">
        <v>12</v>
      </c>
      <c r="Q130" t="s">
        <v>24</v>
      </c>
      <c r="R130" t="s">
        <v>14</v>
      </c>
      <c r="S130" s="3">
        <v>582.79999999999995</v>
      </c>
      <c r="T130" t="s">
        <v>15</v>
      </c>
      <c r="U130" s="3">
        <v>51397.58</v>
      </c>
      <c r="V130" s="3" t="e">
        <f>VLOOKUP(M130,'[1]Query Report'!$A:$E,5,0)</f>
        <v>#N/A</v>
      </c>
      <c r="W130" s="3" t="e">
        <f t="shared" si="6"/>
        <v>#N/A</v>
      </c>
      <c r="X130" s="3"/>
      <c r="Y130" s="3"/>
      <c r="Z130" t="s">
        <v>16</v>
      </c>
      <c r="AA130" t="s">
        <v>17</v>
      </c>
      <c r="AB130" t="s">
        <v>12</v>
      </c>
      <c r="AC130" t="s">
        <v>442</v>
      </c>
      <c r="AD130" t="s">
        <v>18</v>
      </c>
      <c r="AE130" t="s">
        <v>427</v>
      </c>
      <c r="AF130" t="s">
        <v>12</v>
      </c>
      <c r="AG130" t="s">
        <v>12</v>
      </c>
      <c r="AH130" t="s">
        <v>12</v>
      </c>
      <c r="AI130" s="2">
        <v>45935</v>
      </c>
      <c r="AJ130" s="2">
        <v>45976</v>
      </c>
      <c r="AK130" t="s">
        <v>64</v>
      </c>
    </row>
    <row r="131" spans="1:37" outlineLevel="2" x14ac:dyDescent="0.25">
      <c r="A131" t="s">
        <v>129</v>
      </c>
      <c r="B131" t="s">
        <v>1</v>
      </c>
      <c r="C131" t="s">
        <v>2</v>
      </c>
      <c r="D131" t="s">
        <v>3</v>
      </c>
      <c r="E131" t="s">
        <v>4</v>
      </c>
      <c r="F131" t="s">
        <v>313</v>
      </c>
      <c r="G131" s="2">
        <v>45906</v>
      </c>
      <c r="H131" t="s">
        <v>443</v>
      </c>
      <c r="I131" t="s">
        <v>22</v>
      </c>
      <c r="J131" s="2">
        <v>45906</v>
      </c>
      <c r="K131" s="2">
        <v>45909</v>
      </c>
      <c r="L131" t="s">
        <v>8</v>
      </c>
      <c r="M131" s="26">
        <v>256779417084</v>
      </c>
      <c r="N131" t="s">
        <v>10</v>
      </c>
      <c r="O131" t="s">
        <v>11</v>
      </c>
      <c r="P131" t="s">
        <v>12</v>
      </c>
      <c r="Q131" t="s">
        <v>24</v>
      </c>
      <c r="R131" t="s">
        <v>14</v>
      </c>
      <c r="S131" s="3">
        <v>8832.14</v>
      </c>
      <c r="T131" t="s">
        <v>15</v>
      </c>
      <c r="U131" s="3">
        <v>772938.81</v>
      </c>
      <c r="V131" s="3" t="e">
        <f>VLOOKUP(M131,'[1]Query Report'!$A:$E,5,0)</f>
        <v>#N/A</v>
      </c>
      <c r="W131" s="3" t="e">
        <f t="shared" si="6"/>
        <v>#N/A</v>
      </c>
      <c r="X131" s="29" t="e">
        <f>W131/U131</f>
        <v>#N/A</v>
      </c>
      <c r="Y131" s="29" t="s">
        <v>1363</v>
      </c>
      <c r="Z131" t="s">
        <v>16</v>
      </c>
      <c r="AA131" t="s">
        <v>17</v>
      </c>
      <c r="AB131" t="s">
        <v>12</v>
      </c>
      <c r="AC131" t="s">
        <v>8</v>
      </c>
      <c r="AD131" t="s">
        <v>18</v>
      </c>
      <c r="AE131" t="s">
        <v>445</v>
      </c>
      <c r="AF131" t="s">
        <v>12</v>
      </c>
      <c r="AG131" t="s">
        <v>12</v>
      </c>
      <c r="AH131" t="s">
        <v>12</v>
      </c>
      <c r="AI131" s="2">
        <v>45906</v>
      </c>
      <c r="AJ131" s="2"/>
      <c r="AK131" t="s">
        <v>12</v>
      </c>
    </row>
    <row r="132" spans="1:37" outlineLevel="2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130</v>
      </c>
      <c r="G132" s="2">
        <v>45795</v>
      </c>
      <c r="H132" t="s">
        <v>446</v>
      </c>
      <c r="I132" t="s">
        <v>22</v>
      </c>
      <c r="J132" s="2">
        <v>45795</v>
      </c>
      <c r="K132" s="2">
        <v>45805</v>
      </c>
      <c r="L132" t="s">
        <v>8</v>
      </c>
      <c r="M132" s="26">
        <v>256779413861</v>
      </c>
      <c r="N132" t="s">
        <v>10</v>
      </c>
      <c r="O132" t="s">
        <v>11</v>
      </c>
      <c r="P132" t="s">
        <v>12</v>
      </c>
      <c r="Q132" t="s">
        <v>24</v>
      </c>
      <c r="R132" t="s">
        <v>14</v>
      </c>
      <c r="S132" s="3">
        <v>140</v>
      </c>
      <c r="T132" t="s">
        <v>15</v>
      </c>
      <c r="U132" s="3">
        <v>12037.72</v>
      </c>
      <c r="V132" s="3" t="e">
        <f>VLOOKUP(M132,'[1]Query Report'!$A:$E,5,0)</f>
        <v>#N/A</v>
      </c>
      <c r="W132" s="3" t="e">
        <f t="shared" ref="W132:W195" si="12">U132-V132</f>
        <v>#N/A</v>
      </c>
      <c r="X132" s="3"/>
      <c r="Y132" s="3"/>
      <c r="Z132" t="s">
        <v>16</v>
      </c>
      <c r="AA132" t="s">
        <v>17</v>
      </c>
      <c r="AB132" t="s">
        <v>12</v>
      </c>
      <c r="AC132" t="s">
        <v>8</v>
      </c>
      <c r="AD132" t="s">
        <v>18</v>
      </c>
      <c r="AE132" t="s">
        <v>201</v>
      </c>
      <c r="AF132" t="s">
        <v>12</v>
      </c>
      <c r="AG132" t="s">
        <v>12</v>
      </c>
      <c r="AH132" t="s">
        <v>12</v>
      </c>
      <c r="AI132" s="2">
        <v>45795</v>
      </c>
      <c r="AJ132" s="2">
        <v>45976</v>
      </c>
      <c r="AK132" t="s">
        <v>64</v>
      </c>
    </row>
    <row r="133" spans="1:37" outlineLevel="2" x14ac:dyDescent="0.25">
      <c r="A133" t="s">
        <v>129</v>
      </c>
      <c r="B133" t="s">
        <v>1</v>
      </c>
      <c r="C133" t="s">
        <v>2</v>
      </c>
      <c r="D133" t="s">
        <v>3</v>
      </c>
      <c r="E133" t="s">
        <v>448</v>
      </c>
      <c r="F133" t="s">
        <v>18</v>
      </c>
      <c r="G133" s="2">
        <v>46024</v>
      </c>
      <c r="H133" t="s">
        <v>449</v>
      </c>
      <c r="I133" t="s">
        <v>22</v>
      </c>
      <c r="J133" s="2">
        <v>46024</v>
      </c>
      <c r="K133" s="2">
        <v>46024</v>
      </c>
      <c r="L133" t="s">
        <v>8</v>
      </c>
      <c r="M133" s="26">
        <v>256779440004</v>
      </c>
      <c r="N133" t="s">
        <v>10</v>
      </c>
      <c r="O133" t="s">
        <v>11</v>
      </c>
      <c r="P133" t="s">
        <v>12</v>
      </c>
      <c r="Q133" t="s">
        <v>24</v>
      </c>
      <c r="R133" t="s">
        <v>14</v>
      </c>
      <c r="S133" s="3">
        <v>7039.11</v>
      </c>
      <c r="T133" t="s">
        <v>15</v>
      </c>
      <c r="U133" s="3">
        <v>638750.93999999994</v>
      </c>
      <c r="V133" s="3" t="e">
        <f>VLOOKUP(M133,'[1]Query Report'!$A:$E,5,0)</f>
        <v>#N/A</v>
      </c>
      <c r="W133" s="3" t="e">
        <f t="shared" si="12"/>
        <v>#N/A</v>
      </c>
      <c r="X133" s="3"/>
      <c r="Y133" s="3"/>
      <c r="Z133" t="s">
        <v>16</v>
      </c>
      <c r="AA133" t="s">
        <v>17</v>
      </c>
      <c r="AB133" t="s">
        <v>12</v>
      </c>
      <c r="AC133" t="s">
        <v>451</v>
      </c>
      <c r="AD133" t="s">
        <v>18</v>
      </c>
      <c r="AE133" t="s">
        <v>452</v>
      </c>
      <c r="AF133" t="s">
        <v>12</v>
      </c>
      <c r="AG133" t="s">
        <v>12</v>
      </c>
      <c r="AH133" t="s">
        <v>12</v>
      </c>
      <c r="AI133" s="2">
        <v>46024</v>
      </c>
      <c r="AJ133" s="2"/>
      <c r="AK133" t="s">
        <v>12</v>
      </c>
    </row>
    <row r="134" spans="1:37" outlineLevel="2" x14ac:dyDescent="0.25">
      <c r="A134" t="s">
        <v>129</v>
      </c>
      <c r="B134" t="s">
        <v>1</v>
      </c>
      <c r="C134" t="s">
        <v>2</v>
      </c>
      <c r="D134" t="s">
        <v>3</v>
      </c>
      <c r="E134" t="s">
        <v>448</v>
      </c>
      <c r="F134" t="s">
        <v>18</v>
      </c>
      <c r="G134" s="2">
        <v>46024</v>
      </c>
      <c r="H134" t="s">
        <v>453</v>
      </c>
      <c r="I134" t="s">
        <v>22</v>
      </c>
      <c r="J134" s="2">
        <v>46024</v>
      </c>
      <c r="K134" s="2">
        <v>46024</v>
      </c>
      <c r="L134" t="s">
        <v>8</v>
      </c>
      <c r="M134" s="26">
        <v>256779440041</v>
      </c>
      <c r="N134" t="s">
        <v>10</v>
      </c>
      <c r="O134" t="s">
        <v>11</v>
      </c>
      <c r="P134" t="s">
        <v>12</v>
      </c>
      <c r="Q134" t="s">
        <v>24</v>
      </c>
      <c r="R134" t="s">
        <v>14</v>
      </c>
      <c r="S134" s="3">
        <v>456.75</v>
      </c>
      <c r="T134" t="s">
        <v>15</v>
      </c>
      <c r="U134" s="3">
        <v>41446.93</v>
      </c>
      <c r="V134" s="3" t="e">
        <f>VLOOKUP(M134,'[1]Query Report'!$A:$E,5,0)</f>
        <v>#N/A</v>
      </c>
      <c r="W134" s="3" t="e">
        <f t="shared" si="12"/>
        <v>#N/A</v>
      </c>
      <c r="X134" s="29" t="e">
        <f>W134/U134</f>
        <v>#N/A</v>
      </c>
      <c r="Y134" s="29"/>
      <c r="Z134" t="s">
        <v>16</v>
      </c>
      <c r="AA134" t="s">
        <v>17</v>
      </c>
      <c r="AB134" t="s">
        <v>12</v>
      </c>
      <c r="AC134" t="s">
        <v>455</v>
      </c>
      <c r="AD134" t="s">
        <v>18</v>
      </c>
      <c r="AE134" t="s">
        <v>456</v>
      </c>
      <c r="AF134" t="s">
        <v>12</v>
      </c>
      <c r="AG134" t="s">
        <v>12</v>
      </c>
      <c r="AH134" t="s">
        <v>12</v>
      </c>
      <c r="AI134" s="2">
        <v>46024</v>
      </c>
      <c r="AJ134" s="2"/>
      <c r="AK134" t="s">
        <v>12</v>
      </c>
    </row>
    <row r="135" spans="1:37" outlineLevel="2" x14ac:dyDescent="0.25">
      <c r="A135" t="s">
        <v>129</v>
      </c>
      <c r="B135" t="s">
        <v>1</v>
      </c>
      <c r="C135" t="s">
        <v>2</v>
      </c>
      <c r="D135" t="s">
        <v>3</v>
      </c>
      <c r="E135" t="s">
        <v>448</v>
      </c>
      <c r="F135" t="s">
        <v>18</v>
      </c>
      <c r="G135" s="2">
        <v>46027</v>
      </c>
      <c r="H135" t="s">
        <v>457</v>
      </c>
      <c r="I135" t="s">
        <v>22</v>
      </c>
      <c r="J135" s="2">
        <v>46027</v>
      </c>
      <c r="K135" s="2">
        <v>46027</v>
      </c>
      <c r="L135" t="s">
        <v>8</v>
      </c>
      <c r="M135" s="26">
        <v>256779440051</v>
      </c>
      <c r="N135" t="s">
        <v>10</v>
      </c>
      <c r="O135" t="s">
        <v>11</v>
      </c>
      <c r="P135" t="s">
        <v>12</v>
      </c>
      <c r="Q135" t="s">
        <v>24</v>
      </c>
      <c r="R135" t="s">
        <v>14</v>
      </c>
      <c r="S135" s="3">
        <v>358.14</v>
      </c>
      <c r="T135" t="s">
        <v>15</v>
      </c>
      <c r="U135" s="3">
        <v>32498.75</v>
      </c>
      <c r="V135" s="3" t="e">
        <f>VLOOKUP(M135,'[1]Query Report'!$A:$E,5,0)</f>
        <v>#N/A</v>
      </c>
      <c r="W135" s="3" t="e">
        <f t="shared" si="12"/>
        <v>#N/A</v>
      </c>
      <c r="X135" s="3"/>
      <c r="Y135" s="3"/>
      <c r="Z135" t="s">
        <v>16</v>
      </c>
      <c r="AA135" t="s">
        <v>17</v>
      </c>
      <c r="AB135" t="s">
        <v>12</v>
      </c>
      <c r="AC135" t="s">
        <v>459</v>
      </c>
      <c r="AD135" t="s">
        <v>18</v>
      </c>
      <c r="AE135" t="s">
        <v>460</v>
      </c>
      <c r="AF135" t="s">
        <v>12</v>
      </c>
      <c r="AG135" t="s">
        <v>12</v>
      </c>
      <c r="AH135" t="s">
        <v>12</v>
      </c>
      <c r="AI135" s="2">
        <v>46027</v>
      </c>
      <c r="AJ135" s="2"/>
      <c r="AK135" t="s">
        <v>12</v>
      </c>
    </row>
    <row r="136" spans="1:37" outlineLevel="2" x14ac:dyDescent="0.25">
      <c r="A136" t="s">
        <v>129</v>
      </c>
      <c r="B136" t="s">
        <v>1</v>
      </c>
      <c r="C136" t="s">
        <v>2</v>
      </c>
      <c r="D136" t="s">
        <v>3</v>
      </c>
      <c r="E136" t="s">
        <v>448</v>
      </c>
      <c r="F136" t="s">
        <v>18</v>
      </c>
      <c r="G136" s="2">
        <v>46027</v>
      </c>
      <c r="H136" t="s">
        <v>461</v>
      </c>
      <c r="I136" t="s">
        <v>7</v>
      </c>
      <c r="J136" s="2">
        <v>46027</v>
      </c>
      <c r="K136" s="2">
        <v>46027</v>
      </c>
      <c r="L136" t="s">
        <v>8</v>
      </c>
      <c r="M136" s="26">
        <v>256779422167</v>
      </c>
      <c r="N136" t="s">
        <v>10</v>
      </c>
      <c r="O136" t="s">
        <v>11</v>
      </c>
      <c r="P136" t="s">
        <v>12</v>
      </c>
      <c r="Q136" t="s">
        <v>13</v>
      </c>
      <c r="R136" t="s">
        <v>14</v>
      </c>
      <c r="S136" s="3">
        <v>-3.4</v>
      </c>
      <c r="T136" t="s">
        <v>15</v>
      </c>
      <c r="U136" s="3">
        <v>-308.52999999999997</v>
      </c>
      <c r="V136" s="3" t="e">
        <f>VLOOKUP(M136,'[1]Query Report'!$A:$E,5,0)</f>
        <v>#N/A</v>
      </c>
      <c r="W136" s="3" t="e">
        <f t="shared" si="12"/>
        <v>#N/A</v>
      </c>
      <c r="X136" s="3"/>
      <c r="Y136" s="3"/>
      <c r="Z136" t="s">
        <v>16</v>
      </c>
      <c r="AA136" t="s">
        <v>17</v>
      </c>
      <c r="AB136" t="s">
        <v>12</v>
      </c>
      <c r="AC136" t="s">
        <v>463</v>
      </c>
      <c r="AD136" t="s">
        <v>18</v>
      </c>
      <c r="AE136" t="s">
        <v>464</v>
      </c>
      <c r="AF136" t="s">
        <v>12</v>
      </c>
      <c r="AG136" t="s">
        <v>12</v>
      </c>
      <c r="AH136" t="s">
        <v>12</v>
      </c>
      <c r="AI136" s="2">
        <v>46027</v>
      </c>
      <c r="AJ136" s="2"/>
      <c r="AK136" t="s">
        <v>12</v>
      </c>
    </row>
    <row r="137" spans="1:37" outlineLevel="2" x14ac:dyDescent="0.25">
      <c r="A137" t="s">
        <v>129</v>
      </c>
      <c r="B137" t="s">
        <v>1</v>
      </c>
      <c r="C137" t="s">
        <v>2</v>
      </c>
      <c r="D137" t="s">
        <v>3</v>
      </c>
      <c r="E137" t="s">
        <v>448</v>
      </c>
      <c r="F137" t="s">
        <v>18</v>
      </c>
      <c r="G137" s="2">
        <v>46027</v>
      </c>
      <c r="H137" t="s">
        <v>465</v>
      </c>
      <c r="I137" t="s">
        <v>22</v>
      </c>
      <c r="J137" s="2">
        <v>46027</v>
      </c>
      <c r="K137" s="2">
        <v>46027</v>
      </c>
      <c r="L137" t="s">
        <v>8</v>
      </c>
      <c r="M137" s="26">
        <v>256779440069</v>
      </c>
      <c r="N137" t="s">
        <v>10</v>
      </c>
      <c r="O137" t="s">
        <v>11</v>
      </c>
      <c r="P137" t="s">
        <v>12</v>
      </c>
      <c r="Q137" t="s">
        <v>24</v>
      </c>
      <c r="R137" t="s">
        <v>14</v>
      </c>
      <c r="S137" s="3">
        <v>11.75</v>
      </c>
      <c r="T137" t="s">
        <v>15</v>
      </c>
      <c r="U137" s="3">
        <v>1066.23</v>
      </c>
      <c r="V137" s="3" t="e">
        <f>VLOOKUP(M137,'[1]Query Report'!$A:$E,5,0)</f>
        <v>#N/A</v>
      </c>
      <c r="W137" s="3" t="e">
        <f t="shared" si="12"/>
        <v>#N/A</v>
      </c>
      <c r="X137" s="29" t="e">
        <f>W137/U137</f>
        <v>#N/A</v>
      </c>
      <c r="Y137" s="29"/>
      <c r="Z137" t="s">
        <v>16</v>
      </c>
      <c r="AA137" t="s">
        <v>17</v>
      </c>
      <c r="AB137" t="s">
        <v>12</v>
      </c>
      <c r="AC137" t="s">
        <v>467</v>
      </c>
      <c r="AD137" t="s">
        <v>18</v>
      </c>
      <c r="AE137" t="s">
        <v>468</v>
      </c>
      <c r="AF137" t="s">
        <v>12</v>
      </c>
      <c r="AG137" t="s">
        <v>12</v>
      </c>
      <c r="AH137" t="s">
        <v>12</v>
      </c>
      <c r="AI137" s="2">
        <v>46027</v>
      </c>
      <c r="AJ137" s="2"/>
      <c r="AK137" t="s">
        <v>12</v>
      </c>
    </row>
    <row r="138" spans="1:37" outlineLevel="2" x14ac:dyDescent="0.25">
      <c r="A138" t="s">
        <v>129</v>
      </c>
      <c r="B138" t="s">
        <v>1</v>
      </c>
      <c r="C138" t="s">
        <v>2</v>
      </c>
      <c r="D138" t="s">
        <v>3</v>
      </c>
      <c r="E138" t="s">
        <v>448</v>
      </c>
      <c r="F138" t="s">
        <v>18</v>
      </c>
      <c r="G138" s="2">
        <v>46027</v>
      </c>
      <c r="H138" t="s">
        <v>469</v>
      </c>
      <c r="I138" t="s">
        <v>22</v>
      </c>
      <c r="J138" s="2">
        <v>46027</v>
      </c>
      <c r="K138" s="2">
        <v>46027</v>
      </c>
      <c r="L138" t="s">
        <v>470</v>
      </c>
      <c r="M138" s="26">
        <v>256779440080</v>
      </c>
      <c r="N138" t="s">
        <v>10</v>
      </c>
      <c r="O138" t="s">
        <v>11</v>
      </c>
      <c r="P138" t="s">
        <v>12</v>
      </c>
      <c r="Q138" t="s">
        <v>24</v>
      </c>
      <c r="R138" t="s">
        <v>14</v>
      </c>
      <c r="S138" s="3">
        <v>41.46</v>
      </c>
      <c r="T138" t="s">
        <v>15</v>
      </c>
      <c r="U138" s="3">
        <v>3762.21</v>
      </c>
      <c r="V138" s="3" t="e">
        <f>VLOOKUP(M138,'[1]Query Report'!$A:$E,5,0)</f>
        <v>#N/A</v>
      </c>
      <c r="W138" s="3" t="e">
        <f t="shared" si="12"/>
        <v>#N/A</v>
      </c>
      <c r="X138" s="3"/>
      <c r="Y138" s="3"/>
      <c r="Z138" t="s">
        <v>16</v>
      </c>
      <c r="AA138" t="s">
        <v>17</v>
      </c>
      <c r="AB138" t="s">
        <v>12</v>
      </c>
      <c r="AC138" t="s">
        <v>8</v>
      </c>
      <c r="AD138" t="s">
        <v>18</v>
      </c>
      <c r="AE138" t="s">
        <v>472</v>
      </c>
      <c r="AF138" t="s">
        <v>12</v>
      </c>
      <c r="AG138" t="s">
        <v>12</v>
      </c>
      <c r="AH138" t="s">
        <v>12</v>
      </c>
      <c r="AI138" s="2">
        <v>46027</v>
      </c>
      <c r="AJ138" s="2"/>
      <c r="AK138" t="s">
        <v>12</v>
      </c>
    </row>
    <row r="139" spans="1:37" outlineLevel="2" x14ac:dyDescent="0.25">
      <c r="A139" t="s">
        <v>129</v>
      </c>
      <c r="B139" t="s">
        <v>1</v>
      </c>
      <c r="C139" t="s">
        <v>2</v>
      </c>
      <c r="D139" t="s">
        <v>3</v>
      </c>
      <c r="E139" t="s">
        <v>448</v>
      </c>
      <c r="F139" t="s">
        <v>18</v>
      </c>
      <c r="G139" s="2">
        <v>46027</v>
      </c>
      <c r="H139" t="s">
        <v>473</v>
      </c>
      <c r="I139" t="s">
        <v>22</v>
      </c>
      <c r="J139" s="2">
        <v>46027</v>
      </c>
      <c r="K139" s="2">
        <v>46027</v>
      </c>
      <c r="L139" t="s">
        <v>474</v>
      </c>
      <c r="M139" s="26">
        <v>256779440118</v>
      </c>
      <c r="N139" t="s">
        <v>10</v>
      </c>
      <c r="O139" t="s">
        <v>11</v>
      </c>
      <c r="P139" t="s">
        <v>12</v>
      </c>
      <c r="Q139" t="s">
        <v>24</v>
      </c>
      <c r="R139" t="s">
        <v>14</v>
      </c>
      <c r="S139" s="3">
        <v>99</v>
      </c>
      <c r="T139" t="s">
        <v>15</v>
      </c>
      <c r="U139" s="3">
        <v>8983.57</v>
      </c>
      <c r="V139" s="3" t="e">
        <f>VLOOKUP(M139,'[1]Query Report'!$A:$E,5,0)</f>
        <v>#N/A</v>
      </c>
      <c r="W139" s="3" t="e">
        <f t="shared" si="12"/>
        <v>#N/A</v>
      </c>
      <c r="X139" s="29" t="e">
        <f t="shared" ref="X139:X140" si="13">W139/U139</f>
        <v>#N/A</v>
      </c>
      <c r="Y139" s="29"/>
      <c r="Z139" t="s">
        <v>16</v>
      </c>
      <c r="AA139" t="s">
        <v>17</v>
      </c>
      <c r="AB139" t="s">
        <v>12</v>
      </c>
      <c r="AC139" t="s">
        <v>8</v>
      </c>
      <c r="AD139" t="s">
        <v>18</v>
      </c>
      <c r="AE139" t="s">
        <v>476</v>
      </c>
      <c r="AF139" t="s">
        <v>12</v>
      </c>
      <c r="AG139" t="s">
        <v>12</v>
      </c>
      <c r="AH139" t="s">
        <v>12</v>
      </c>
      <c r="AI139" s="2">
        <v>46027</v>
      </c>
      <c r="AJ139" s="2"/>
      <c r="AK139" t="s">
        <v>12</v>
      </c>
    </row>
    <row r="140" spans="1:37" outlineLevel="2" x14ac:dyDescent="0.25">
      <c r="A140" t="s">
        <v>129</v>
      </c>
      <c r="B140" t="s">
        <v>1</v>
      </c>
      <c r="C140" t="s">
        <v>2</v>
      </c>
      <c r="D140" t="s">
        <v>3</v>
      </c>
      <c r="E140" t="s">
        <v>448</v>
      </c>
      <c r="F140" t="s">
        <v>18</v>
      </c>
      <c r="G140" s="2">
        <v>46027</v>
      </c>
      <c r="H140" t="s">
        <v>477</v>
      </c>
      <c r="I140" t="s">
        <v>22</v>
      </c>
      <c r="J140" s="2">
        <v>46027</v>
      </c>
      <c r="K140" s="2">
        <v>46027</v>
      </c>
      <c r="L140" t="s">
        <v>8</v>
      </c>
      <c r="M140" s="26">
        <v>256779440122</v>
      </c>
      <c r="N140" t="s">
        <v>10</v>
      </c>
      <c r="O140" t="s">
        <v>11</v>
      </c>
      <c r="P140" t="s">
        <v>12</v>
      </c>
      <c r="Q140" t="s">
        <v>24</v>
      </c>
      <c r="R140" t="s">
        <v>14</v>
      </c>
      <c r="S140" s="3">
        <v>123.27</v>
      </c>
      <c r="T140" t="s">
        <v>15</v>
      </c>
      <c r="U140" s="3">
        <v>11185.91</v>
      </c>
      <c r="V140" s="3" t="e">
        <f>VLOOKUP(M140,'[1]Query Report'!$A:$E,5,0)</f>
        <v>#N/A</v>
      </c>
      <c r="W140" s="3" t="e">
        <f t="shared" si="12"/>
        <v>#N/A</v>
      </c>
      <c r="X140" s="29" t="e">
        <f t="shared" si="13"/>
        <v>#N/A</v>
      </c>
      <c r="Y140" s="29"/>
      <c r="Z140" t="s">
        <v>16</v>
      </c>
      <c r="AA140" t="s">
        <v>17</v>
      </c>
      <c r="AB140" t="s">
        <v>12</v>
      </c>
      <c r="AC140" t="s">
        <v>479</v>
      </c>
      <c r="AD140" t="s">
        <v>18</v>
      </c>
      <c r="AE140" t="s">
        <v>480</v>
      </c>
      <c r="AF140" t="s">
        <v>12</v>
      </c>
      <c r="AG140" t="s">
        <v>12</v>
      </c>
      <c r="AH140" t="s">
        <v>12</v>
      </c>
      <c r="AI140" s="2">
        <v>46027</v>
      </c>
      <c r="AJ140" s="2"/>
      <c r="AK140" t="s">
        <v>12</v>
      </c>
    </row>
    <row r="141" spans="1:37" outlineLevel="2" x14ac:dyDescent="0.25">
      <c r="A141" t="s">
        <v>129</v>
      </c>
      <c r="B141" t="s">
        <v>1</v>
      </c>
      <c r="C141" t="s">
        <v>2</v>
      </c>
      <c r="D141" t="s">
        <v>3</v>
      </c>
      <c r="E141" t="s">
        <v>448</v>
      </c>
      <c r="F141" t="s">
        <v>18</v>
      </c>
      <c r="G141" s="2">
        <v>46030</v>
      </c>
      <c r="H141" t="s">
        <v>481</v>
      </c>
      <c r="I141" t="s">
        <v>482</v>
      </c>
      <c r="J141" s="2">
        <v>46030</v>
      </c>
      <c r="K141" s="2">
        <v>46030</v>
      </c>
      <c r="L141" t="s">
        <v>483</v>
      </c>
      <c r="M141" s="26" t="s">
        <v>12</v>
      </c>
      <c r="N141" t="s">
        <v>10</v>
      </c>
      <c r="O141" t="s">
        <v>11</v>
      </c>
      <c r="P141" t="s">
        <v>12</v>
      </c>
      <c r="Q141" t="s">
        <v>484</v>
      </c>
      <c r="R141" t="s">
        <v>15</v>
      </c>
      <c r="S141" s="3">
        <v>-500000</v>
      </c>
      <c r="T141" t="s">
        <v>15</v>
      </c>
      <c r="U141" s="3">
        <v>-500000</v>
      </c>
      <c r="V141" s="3" t="e">
        <f>VLOOKUP(M141,'[1]Query Report'!$A:$E,5,0)</f>
        <v>#N/A</v>
      </c>
      <c r="W141" s="3" t="e">
        <f t="shared" si="12"/>
        <v>#N/A</v>
      </c>
      <c r="X141" s="3"/>
      <c r="Y141" s="3"/>
      <c r="Z141" t="s">
        <v>12</v>
      </c>
      <c r="AA141" t="s">
        <v>485</v>
      </c>
      <c r="AB141" t="s">
        <v>12</v>
      </c>
      <c r="AC141" t="s">
        <v>12</v>
      </c>
      <c r="AD141" t="s">
        <v>358</v>
      </c>
      <c r="AE141" t="s">
        <v>12</v>
      </c>
      <c r="AF141" t="s">
        <v>12</v>
      </c>
      <c r="AG141" t="s">
        <v>12</v>
      </c>
      <c r="AH141" t="s">
        <v>12</v>
      </c>
      <c r="AI141" s="2">
        <v>46030</v>
      </c>
      <c r="AJ141" s="2"/>
      <c r="AK141" t="s">
        <v>12</v>
      </c>
    </row>
    <row r="142" spans="1:37" outlineLevel="2" x14ac:dyDescent="0.25">
      <c r="A142" t="s">
        <v>129</v>
      </c>
      <c r="B142" t="s">
        <v>1</v>
      </c>
      <c r="C142" t="s">
        <v>2</v>
      </c>
      <c r="D142" t="s">
        <v>3</v>
      </c>
      <c r="E142" t="s">
        <v>448</v>
      </c>
      <c r="F142" t="s">
        <v>18</v>
      </c>
      <c r="G142" s="2">
        <v>46031</v>
      </c>
      <c r="H142" t="s">
        <v>486</v>
      </c>
      <c r="I142" t="s">
        <v>22</v>
      </c>
      <c r="J142" s="2">
        <v>46031</v>
      </c>
      <c r="K142" s="2">
        <v>46031</v>
      </c>
      <c r="L142" t="s">
        <v>8</v>
      </c>
      <c r="M142" s="26">
        <v>256779440130</v>
      </c>
      <c r="N142" t="s">
        <v>10</v>
      </c>
      <c r="O142" t="s">
        <v>11</v>
      </c>
      <c r="P142" t="s">
        <v>12</v>
      </c>
      <c r="Q142" t="s">
        <v>24</v>
      </c>
      <c r="R142" t="s">
        <v>14</v>
      </c>
      <c r="S142" s="3">
        <v>16.45</v>
      </c>
      <c r="T142" t="s">
        <v>15</v>
      </c>
      <c r="U142" s="3">
        <v>1492.72</v>
      </c>
      <c r="V142" s="3" t="e">
        <f>VLOOKUP(M142,'[1]Query Report'!$A:$E,5,0)</f>
        <v>#N/A</v>
      </c>
      <c r="W142" s="3" t="e">
        <f t="shared" si="12"/>
        <v>#N/A</v>
      </c>
      <c r="X142" s="3"/>
      <c r="Y142" s="3"/>
      <c r="Z142" t="s">
        <v>16</v>
      </c>
      <c r="AA142" t="s">
        <v>17</v>
      </c>
      <c r="AB142" t="s">
        <v>12</v>
      </c>
      <c r="AC142" t="s">
        <v>8</v>
      </c>
      <c r="AD142" t="s">
        <v>18</v>
      </c>
      <c r="AE142" t="s">
        <v>288</v>
      </c>
      <c r="AF142" t="s">
        <v>12</v>
      </c>
      <c r="AG142" t="s">
        <v>12</v>
      </c>
      <c r="AH142" t="s">
        <v>12</v>
      </c>
      <c r="AI142" s="2">
        <v>46031</v>
      </c>
      <c r="AJ142" s="2"/>
      <c r="AK142" t="s">
        <v>12</v>
      </c>
    </row>
    <row r="143" spans="1:37" outlineLevel="2" x14ac:dyDescent="0.25">
      <c r="A143" t="s">
        <v>129</v>
      </c>
      <c r="B143" t="s">
        <v>1</v>
      </c>
      <c r="C143" t="s">
        <v>2</v>
      </c>
      <c r="D143" t="s">
        <v>3</v>
      </c>
      <c r="E143" t="s">
        <v>448</v>
      </c>
      <c r="F143" t="s">
        <v>18</v>
      </c>
      <c r="G143" s="2">
        <v>46028</v>
      </c>
      <c r="H143" t="s">
        <v>488</v>
      </c>
      <c r="I143" t="s">
        <v>22</v>
      </c>
      <c r="J143" s="2">
        <v>46028</v>
      </c>
      <c r="K143" s="2">
        <v>46031</v>
      </c>
      <c r="L143" t="s">
        <v>489</v>
      </c>
      <c r="M143" s="26">
        <v>256779440143</v>
      </c>
      <c r="N143" t="s">
        <v>10</v>
      </c>
      <c r="O143" t="s">
        <v>11</v>
      </c>
      <c r="P143" t="s">
        <v>12</v>
      </c>
      <c r="Q143" t="s">
        <v>24</v>
      </c>
      <c r="R143" t="s">
        <v>14</v>
      </c>
      <c r="S143" s="3">
        <v>360.75</v>
      </c>
      <c r="T143" t="s">
        <v>15</v>
      </c>
      <c r="U143" s="3">
        <v>32735.59</v>
      </c>
      <c r="V143" s="3" t="e">
        <f>VLOOKUP(M143,'[1]Query Report'!$A:$E,5,0)</f>
        <v>#N/A</v>
      </c>
      <c r="W143" s="3" t="e">
        <f t="shared" si="12"/>
        <v>#N/A</v>
      </c>
      <c r="X143" s="3"/>
      <c r="Y143" s="3"/>
      <c r="Z143" t="s">
        <v>16</v>
      </c>
      <c r="AA143" t="s">
        <v>17</v>
      </c>
      <c r="AB143" t="s">
        <v>12</v>
      </c>
      <c r="AC143" t="s">
        <v>8</v>
      </c>
      <c r="AD143" t="s">
        <v>18</v>
      </c>
      <c r="AE143" t="s">
        <v>491</v>
      </c>
      <c r="AF143" t="s">
        <v>12</v>
      </c>
      <c r="AG143" t="s">
        <v>12</v>
      </c>
      <c r="AH143" t="s">
        <v>12</v>
      </c>
      <c r="AI143" s="2">
        <v>46028</v>
      </c>
      <c r="AJ143" s="2"/>
      <c r="AK143" t="s">
        <v>12</v>
      </c>
    </row>
    <row r="144" spans="1:37" outlineLevel="2" x14ac:dyDescent="0.25">
      <c r="A144" t="s">
        <v>129</v>
      </c>
      <c r="B144" t="s">
        <v>1</v>
      </c>
      <c r="C144" t="s">
        <v>2</v>
      </c>
      <c r="D144" t="s">
        <v>3</v>
      </c>
      <c r="E144" t="s">
        <v>448</v>
      </c>
      <c r="F144" t="s">
        <v>18</v>
      </c>
      <c r="G144" s="2">
        <v>46028</v>
      </c>
      <c r="H144" t="s">
        <v>492</v>
      </c>
      <c r="I144" t="s">
        <v>22</v>
      </c>
      <c r="J144" s="2">
        <v>46028</v>
      </c>
      <c r="K144" s="2">
        <v>46031</v>
      </c>
      <c r="L144" t="s">
        <v>493</v>
      </c>
      <c r="M144" s="26">
        <v>256779440162</v>
      </c>
      <c r="N144" t="s">
        <v>10</v>
      </c>
      <c r="O144" t="s">
        <v>11</v>
      </c>
      <c r="P144" t="s">
        <v>12</v>
      </c>
      <c r="Q144" t="s">
        <v>24</v>
      </c>
      <c r="R144" t="s">
        <v>14</v>
      </c>
      <c r="S144" s="3">
        <v>505.46</v>
      </c>
      <c r="T144" t="s">
        <v>15</v>
      </c>
      <c r="U144" s="3">
        <v>45867.03</v>
      </c>
      <c r="V144" s="3" t="e">
        <f>VLOOKUP(M144,'[1]Query Report'!$A:$E,5,0)</f>
        <v>#N/A</v>
      </c>
      <c r="W144" s="3" t="e">
        <f t="shared" si="12"/>
        <v>#N/A</v>
      </c>
      <c r="X144" s="3"/>
      <c r="Y144" s="3"/>
      <c r="Z144" t="s">
        <v>16</v>
      </c>
      <c r="AA144" t="s">
        <v>17</v>
      </c>
      <c r="AB144" t="s">
        <v>12</v>
      </c>
      <c r="AC144" t="s">
        <v>8</v>
      </c>
      <c r="AD144" t="s">
        <v>18</v>
      </c>
      <c r="AE144" t="s">
        <v>495</v>
      </c>
      <c r="AF144" t="s">
        <v>12</v>
      </c>
      <c r="AG144" t="s">
        <v>12</v>
      </c>
      <c r="AH144" t="s">
        <v>12</v>
      </c>
      <c r="AI144" s="2">
        <v>46028</v>
      </c>
      <c r="AJ144" s="2"/>
      <c r="AK144" t="s">
        <v>12</v>
      </c>
    </row>
    <row r="145" spans="1:37" outlineLevel="2" x14ac:dyDescent="0.25">
      <c r="A145" t="s">
        <v>129</v>
      </c>
      <c r="B145" t="s">
        <v>1</v>
      </c>
      <c r="C145" t="s">
        <v>2</v>
      </c>
      <c r="D145" t="s">
        <v>3</v>
      </c>
      <c r="E145" t="s">
        <v>448</v>
      </c>
      <c r="F145" t="s">
        <v>18</v>
      </c>
      <c r="G145" s="2">
        <v>46034</v>
      </c>
      <c r="H145" t="s">
        <v>496</v>
      </c>
      <c r="I145" t="s">
        <v>22</v>
      </c>
      <c r="J145" s="2">
        <v>46034</v>
      </c>
      <c r="K145" s="2">
        <v>46034</v>
      </c>
      <c r="L145" t="s">
        <v>497</v>
      </c>
      <c r="M145" s="26">
        <v>256779440167</v>
      </c>
      <c r="N145" t="s">
        <v>10</v>
      </c>
      <c r="O145" t="s">
        <v>11</v>
      </c>
      <c r="P145" t="s">
        <v>12</v>
      </c>
      <c r="Q145" t="s">
        <v>24</v>
      </c>
      <c r="R145" t="s">
        <v>14</v>
      </c>
      <c r="S145" s="3">
        <v>188</v>
      </c>
      <c r="T145" t="s">
        <v>15</v>
      </c>
      <c r="U145" s="3">
        <v>17059.71</v>
      </c>
      <c r="V145" s="3" t="e">
        <f>VLOOKUP(M145,'[1]Query Report'!$A:$E,5,0)</f>
        <v>#N/A</v>
      </c>
      <c r="W145" s="3" t="e">
        <f t="shared" si="12"/>
        <v>#N/A</v>
      </c>
      <c r="X145" s="3"/>
      <c r="Y145" s="3"/>
      <c r="Z145" t="s">
        <v>16</v>
      </c>
      <c r="AA145" t="s">
        <v>17</v>
      </c>
      <c r="AB145" t="s">
        <v>12</v>
      </c>
      <c r="AC145" t="s">
        <v>8</v>
      </c>
      <c r="AD145" t="s">
        <v>18</v>
      </c>
      <c r="AE145" t="s">
        <v>499</v>
      </c>
      <c r="AF145" t="s">
        <v>12</v>
      </c>
      <c r="AG145" t="s">
        <v>12</v>
      </c>
      <c r="AH145" t="s">
        <v>12</v>
      </c>
      <c r="AI145" s="2">
        <v>46034</v>
      </c>
      <c r="AJ145" s="2"/>
      <c r="AK145" t="s">
        <v>12</v>
      </c>
    </row>
    <row r="146" spans="1:37" outlineLevel="2" x14ac:dyDescent="0.25">
      <c r="A146" t="s">
        <v>129</v>
      </c>
      <c r="B146" t="s">
        <v>1</v>
      </c>
      <c r="C146" t="s">
        <v>2</v>
      </c>
      <c r="D146" t="s">
        <v>3</v>
      </c>
      <c r="E146" t="s">
        <v>448</v>
      </c>
      <c r="F146" t="s">
        <v>18</v>
      </c>
      <c r="G146" s="2">
        <v>46034</v>
      </c>
      <c r="H146" t="s">
        <v>500</v>
      </c>
      <c r="I146" t="s">
        <v>22</v>
      </c>
      <c r="J146" s="2">
        <v>46034</v>
      </c>
      <c r="K146" s="2">
        <v>46034</v>
      </c>
      <c r="L146" t="s">
        <v>501</v>
      </c>
      <c r="M146" s="26">
        <v>256779440174</v>
      </c>
      <c r="N146" t="s">
        <v>10</v>
      </c>
      <c r="O146" t="s">
        <v>11</v>
      </c>
      <c r="P146" t="s">
        <v>12</v>
      </c>
      <c r="Q146" t="s">
        <v>24</v>
      </c>
      <c r="R146" t="s">
        <v>14</v>
      </c>
      <c r="S146" s="3">
        <v>48.8</v>
      </c>
      <c r="T146" t="s">
        <v>15</v>
      </c>
      <c r="U146" s="3">
        <v>4428.2700000000004</v>
      </c>
      <c r="V146" s="3" t="e">
        <f>VLOOKUP(M146,'[1]Query Report'!$A:$E,5,0)</f>
        <v>#N/A</v>
      </c>
      <c r="W146" s="3" t="e">
        <f t="shared" si="12"/>
        <v>#N/A</v>
      </c>
      <c r="X146" s="3"/>
      <c r="Y146" s="3"/>
      <c r="Z146" t="s">
        <v>16</v>
      </c>
      <c r="AA146" t="s">
        <v>17</v>
      </c>
      <c r="AB146" t="s">
        <v>12</v>
      </c>
      <c r="AC146" t="s">
        <v>8</v>
      </c>
      <c r="AD146" t="s">
        <v>18</v>
      </c>
      <c r="AE146" t="s">
        <v>503</v>
      </c>
      <c r="AF146" t="s">
        <v>12</v>
      </c>
      <c r="AG146" t="s">
        <v>12</v>
      </c>
      <c r="AH146" t="s">
        <v>12</v>
      </c>
      <c r="AI146" s="2">
        <v>46034</v>
      </c>
      <c r="AJ146" s="2"/>
      <c r="AK146" t="s">
        <v>12</v>
      </c>
    </row>
    <row r="147" spans="1:37" outlineLevel="2" x14ac:dyDescent="0.25">
      <c r="A147" t="s">
        <v>129</v>
      </c>
      <c r="B147" t="s">
        <v>1</v>
      </c>
      <c r="C147" t="s">
        <v>2</v>
      </c>
      <c r="D147" t="s">
        <v>3</v>
      </c>
      <c r="E147" t="s">
        <v>448</v>
      </c>
      <c r="F147" t="s">
        <v>18</v>
      </c>
      <c r="G147" s="2">
        <v>46028</v>
      </c>
      <c r="H147" t="s">
        <v>504</v>
      </c>
      <c r="I147" t="s">
        <v>22</v>
      </c>
      <c r="J147" s="2">
        <v>46028</v>
      </c>
      <c r="K147" s="2">
        <v>46034</v>
      </c>
      <c r="L147" t="s">
        <v>505</v>
      </c>
      <c r="M147" s="26">
        <v>256779440210</v>
      </c>
      <c r="N147" t="s">
        <v>10</v>
      </c>
      <c r="O147" t="s">
        <v>11</v>
      </c>
      <c r="P147" t="s">
        <v>12</v>
      </c>
      <c r="Q147" t="s">
        <v>24</v>
      </c>
      <c r="R147" t="s">
        <v>14</v>
      </c>
      <c r="S147" s="3">
        <v>77.849999999999994</v>
      </c>
      <c r="T147" t="s">
        <v>15</v>
      </c>
      <c r="U147" s="3">
        <v>7064.35</v>
      </c>
      <c r="V147" s="3" t="e">
        <f>VLOOKUP(M147,'[1]Query Report'!$A:$E,5,0)</f>
        <v>#N/A</v>
      </c>
      <c r="W147" s="3" t="e">
        <f t="shared" si="12"/>
        <v>#N/A</v>
      </c>
      <c r="X147" s="29" t="e">
        <f>W147/U147</f>
        <v>#N/A</v>
      </c>
      <c r="Y147" s="29"/>
      <c r="Z147" t="s">
        <v>16</v>
      </c>
      <c r="AA147" t="s">
        <v>17</v>
      </c>
      <c r="AB147" t="s">
        <v>12</v>
      </c>
      <c r="AC147" t="s">
        <v>8</v>
      </c>
      <c r="AD147" t="s">
        <v>18</v>
      </c>
      <c r="AE147" t="s">
        <v>476</v>
      </c>
      <c r="AF147" t="s">
        <v>12</v>
      </c>
      <c r="AG147" t="s">
        <v>12</v>
      </c>
      <c r="AH147" t="s">
        <v>12</v>
      </c>
      <c r="AI147" s="2">
        <v>46028</v>
      </c>
      <c r="AJ147" s="2"/>
      <c r="AK147" t="s">
        <v>12</v>
      </c>
    </row>
    <row r="148" spans="1:37" outlineLevel="2" x14ac:dyDescent="0.25">
      <c r="A148" t="s">
        <v>129</v>
      </c>
      <c r="B148" t="s">
        <v>1</v>
      </c>
      <c r="C148" t="s">
        <v>2</v>
      </c>
      <c r="D148" t="s">
        <v>3</v>
      </c>
      <c r="E148" t="s">
        <v>448</v>
      </c>
      <c r="F148" t="s">
        <v>18</v>
      </c>
      <c r="G148" s="2">
        <v>46034</v>
      </c>
      <c r="H148" t="s">
        <v>507</v>
      </c>
      <c r="I148" t="s">
        <v>22</v>
      </c>
      <c r="J148" s="2">
        <v>46034</v>
      </c>
      <c r="K148" s="2">
        <v>46034</v>
      </c>
      <c r="L148" t="s">
        <v>508</v>
      </c>
      <c r="M148" s="26">
        <v>256779440229</v>
      </c>
      <c r="N148" t="s">
        <v>10</v>
      </c>
      <c r="O148" t="s">
        <v>11</v>
      </c>
      <c r="P148" t="s">
        <v>12</v>
      </c>
      <c r="Q148" t="s">
        <v>24</v>
      </c>
      <c r="R148" t="s">
        <v>14</v>
      </c>
      <c r="S148" s="3">
        <v>308.79000000000002</v>
      </c>
      <c r="T148" t="s">
        <v>15</v>
      </c>
      <c r="U148" s="3">
        <v>28020.57</v>
      </c>
      <c r="V148" s="3" t="e">
        <f>VLOOKUP(M148,'[1]Query Report'!$A:$E,5,0)</f>
        <v>#N/A</v>
      </c>
      <c r="W148" s="3" t="e">
        <f t="shared" si="12"/>
        <v>#N/A</v>
      </c>
      <c r="X148" s="3"/>
      <c r="Y148" s="3"/>
      <c r="Z148" t="s">
        <v>16</v>
      </c>
      <c r="AA148" t="s">
        <v>17</v>
      </c>
      <c r="AB148" t="s">
        <v>12</v>
      </c>
      <c r="AC148" t="s">
        <v>8</v>
      </c>
      <c r="AD148" t="s">
        <v>18</v>
      </c>
      <c r="AE148" t="s">
        <v>510</v>
      </c>
      <c r="AF148" t="s">
        <v>12</v>
      </c>
      <c r="AG148" t="s">
        <v>12</v>
      </c>
      <c r="AH148" t="s">
        <v>12</v>
      </c>
      <c r="AI148" s="2">
        <v>46034</v>
      </c>
      <c r="AJ148" s="2"/>
      <c r="AK148" t="s">
        <v>12</v>
      </c>
    </row>
    <row r="149" spans="1:37" outlineLevel="2" x14ac:dyDescent="0.25">
      <c r="A149" t="s">
        <v>129</v>
      </c>
      <c r="B149" t="s">
        <v>1</v>
      </c>
      <c r="C149" t="s">
        <v>2</v>
      </c>
      <c r="D149" t="s">
        <v>3</v>
      </c>
      <c r="E149" t="s">
        <v>448</v>
      </c>
      <c r="F149" t="s">
        <v>18</v>
      </c>
      <c r="G149" s="2">
        <v>46028</v>
      </c>
      <c r="H149" t="s">
        <v>511</v>
      </c>
      <c r="I149" t="s">
        <v>22</v>
      </c>
      <c r="J149" s="2">
        <v>46028</v>
      </c>
      <c r="K149" s="2">
        <v>46034</v>
      </c>
      <c r="L149" t="s">
        <v>512</v>
      </c>
      <c r="M149" s="26">
        <v>256779440235</v>
      </c>
      <c r="N149" t="s">
        <v>10</v>
      </c>
      <c r="O149" t="s">
        <v>11</v>
      </c>
      <c r="P149" t="s">
        <v>12</v>
      </c>
      <c r="Q149" t="s">
        <v>24</v>
      </c>
      <c r="R149" t="s">
        <v>14</v>
      </c>
      <c r="S149" s="3">
        <v>7267.85</v>
      </c>
      <c r="T149" t="s">
        <v>15</v>
      </c>
      <c r="U149" s="3">
        <v>659507.53</v>
      </c>
      <c r="V149" s="3" t="e">
        <f>VLOOKUP(M149,'[1]Query Report'!$A:$E,5,0)</f>
        <v>#N/A</v>
      </c>
      <c r="W149" s="3" t="e">
        <f t="shared" si="12"/>
        <v>#N/A</v>
      </c>
      <c r="X149" s="3"/>
      <c r="Y149" s="3"/>
      <c r="Z149" t="s">
        <v>16</v>
      </c>
      <c r="AA149" t="s">
        <v>17</v>
      </c>
      <c r="AB149" t="s">
        <v>12</v>
      </c>
      <c r="AC149" t="s">
        <v>8</v>
      </c>
      <c r="AD149" t="s">
        <v>18</v>
      </c>
      <c r="AE149" t="s">
        <v>514</v>
      </c>
      <c r="AF149" t="s">
        <v>12</v>
      </c>
      <c r="AG149" t="s">
        <v>12</v>
      </c>
      <c r="AH149" t="s">
        <v>12</v>
      </c>
      <c r="AI149" s="2">
        <v>46028</v>
      </c>
      <c r="AJ149" s="2"/>
      <c r="AK149" t="s">
        <v>12</v>
      </c>
    </row>
    <row r="150" spans="1:37" outlineLevel="2" x14ac:dyDescent="0.25">
      <c r="A150" t="s">
        <v>129</v>
      </c>
      <c r="B150" t="s">
        <v>1</v>
      </c>
      <c r="C150" t="s">
        <v>2</v>
      </c>
      <c r="D150" t="s">
        <v>3</v>
      </c>
      <c r="E150" t="s">
        <v>448</v>
      </c>
      <c r="F150" t="s">
        <v>18</v>
      </c>
      <c r="G150" s="2">
        <v>46028</v>
      </c>
      <c r="H150" t="s">
        <v>515</v>
      </c>
      <c r="I150" t="s">
        <v>22</v>
      </c>
      <c r="J150" s="2">
        <v>46028</v>
      </c>
      <c r="K150" s="2">
        <v>46035</v>
      </c>
      <c r="L150" t="s">
        <v>516</v>
      </c>
      <c r="M150" s="26">
        <v>256779440257</v>
      </c>
      <c r="N150" t="s">
        <v>10</v>
      </c>
      <c r="O150" t="s">
        <v>11</v>
      </c>
      <c r="P150" t="s">
        <v>12</v>
      </c>
      <c r="Q150" t="s">
        <v>24</v>
      </c>
      <c r="R150" t="s">
        <v>14</v>
      </c>
      <c r="S150" s="3">
        <v>4.7</v>
      </c>
      <c r="T150" t="s">
        <v>15</v>
      </c>
      <c r="U150" s="3">
        <v>426.49</v>
      </c>
      <c r="V150" s="3" t="e">
        <f>VLOOKUP(M150,'[1]Query Report'!$A:$E,5,0)</f>
        <v>#N/A</v>
      </c>
      <c r="W150" s="3" t="e">
        <f t="shared" si="12"/>
        <v>#N/A</v>
      </c>
      <c r="X150" s="3"/>
      <c r="Y150" s="3"/>
      <c r="Z150" t="s">
        <v>16</v>
      </c>
      <c r="AA150" t="s">
        <v>17</v>
      </c>
      <c r="AB150" t="s">
        <v>12</v>
      </c>
      <c r="AC150" t="s">
        <v>8</v>
      </c>
      <c r="AD150" t="s">
        <v>18</v>
      </c>
      <c r="AE150" t="s">
        <v>518</v>
      </c>
      <c r="AF150" t="s">
        <v>12</v>
      </c>
      <c r="AG150" t="s">
        <v>12</v>
      </c>
      <c r="AH150" t="s">
        <v>12</v>
      </c>
      <c r="AI150" s="2">
        <v>46028</v>
      </c>
      <c r="AJ150" s="2"/>
      <c r="AK150" t="s">
        <v>12</v>
      </c>
    </row>
    <row r="151" spans="1:37" outlineLevel="2" x14ac:dyDescent="0.25">
      <c r="A151" t="s">
        <v>129</v>
      </c>
      <c r="B151" t="s">
        <v>1</v>
      </c>
      <c r="C151" t="s">
        <v>2</v>
      </c>
      <c r="D151" t="s">
        <v>3</v>
      </c>
      <c r="E151" t="s">
        <v>448</v>
      </c>
      <c r="F151" t="s">
        <v>18</v>
      </c>
      <c r="G151" s="2">
        <v>46034</v>
      </c>
      <c r="H151" t="s">
        <v>519</v>
      </c>
      <c r="I151" t="s">
        <v>22</v>
      </c>
      <c r="J151" s="2">
        <v>46034</v>
      </c>
      <c r="K151" s="2">
        <v>46035</v>
      </c>
      <c r="L151" t="s">
        <v>520</v>
      </c>
      <c r="M151" s="26">
        <v>256779440282</v>
      </c>
      <c r="N151" t="s">
        <v>10</v>
      </c>
      <c r="O151" t="s">
        <v>11</v>
      </c>
      <c r="P151" t="s">
        <v>12</v>
      </c>
      <c r="Q151" t="s">
        <v>24</v>
      </c>
      <c r="R151" t="s">
        <v>14</v>
      </c>
      <c r="S151" s="3">
        <v>498.5</v>
      </c>
      <c r="T151" t="s">
        <v>15</v>
      </c>
      <c r="U151" s="3">
        <v>45235.46</v>
      </c>
      <c r="V151" s="3" t="e">
        <f>VLOOKUP(M151,'[1]Query Report'!$A:$E,5,0)</f>
        <v>#N/A</v>
      </c>
      <c r="W151" s="3" t="e">
        <f t="shared" si="12"/>
        <v>#N/A</v>
      </c>
      <c r="X151" s="3"/>
      <c r="Y151" s="3"/>
      <c r="Z151" t="s">
        <v>16</v>
      </c>
      <c r="AA151" t="s">
        <v>17</v>
      </c>
      <c r="AB151" t="s">
        <v>12</v>
      </c>
      <c r="AC151" t="s">
        <v>8</v>
      </c>
      <c r="AD151" t="s">
        <v>18</v>
      </c>
      <c r="AE151" t="s">
        <v>522</v>
      </c>
      <c r="AF151" t="s">
        <v>12</v>
      </c>
      <c r="AG151" t="s">
        <v>12</v>
      </c>
      <c r="AH151" t="s">
        <v>12</v>
      </c>
      <c r="AI151" s="2">
        <v>46034</v>
      </c>
      <c r="AJ151" s="2"/>
      <c r="AK151" t="s">
        <v>12</v>
      </c>
    </row>
    <row r="152" spans="1:37" outlineLevel="2" x14ac:dyDescent="0.25">
      <c r="A152" t="s">
        <v>129</v>
      </c>
      <c r="B152" t="s">
        <v>1</v>
      </c>
      <c r="C152" t="s">
        <v>2</v>
      </c>
      <c r="D152" t="s">
        <v>3</v>
      </c>
      <c r="E152" t="s">
        <v>448</v>
      </c>
      <c r="F152" t="s">
        <v>18</v>
      </c>
      <c r="G152" s="2">
        <v>46028</v>
      </c>
      <c r="H152" t="s">
        <v>523</v>
      </c>
      <c r="I152" t="s">
        <v>22</v>
      </c>
      <c r="J152" s="2">
        <v>46028</v>
      </c>
      <c r="K152" s="2">
        <v>46035</v>
      </c>
      <c r="L152" t="s">
        <v>8</v>
      </c>
      <c r="M152" s="26">
        <v>256779440332</v>
      </c>
      <c r="N152" t="s">
        <v>10</v>
      </c>
      <c r="O152" t="s">
        <v>11</v>
      </c>
      <c r="P152" t="s">
        <v>12</v>
      </c>
      <c r="Q152" t="s">
        <v>24</v>
      </c>
      <c r="R152" t="s">
        <v>14</v>
      </c>
      <c r="S152" s="3">
        <v>456.75</v>
      </c>
      <c r="T152" t="s">
        <v>15</v>
      </c>
      <c r="U152" s="3">
        <v>41446.93</v>
      </c>
      <c r="V152" s="3" t="e">
        <f>VLOOKUP(M152,'[1]Query Report'!$A:$E,5,0)</f>
        <v>#N/A</v>
      </c>
      <c r="W152" s="3" t="e">
        <f t="shared" si="12"/>
        <v>#N/A</v>
      </c>
      <c r="X152" s="3"/>
      <c r="Y152" s="3"/>
      <c r="Z152" t="s">
        <v>16</v>
      </c>
      <c r="AA152" t="s">
        <v>17</v>
      </c>
      <c r="AB152" t="s">
        <v>12</v>
      </c>
      <c r="AC152" t="s">
        <v>525</v>
      </c>
      <c r="AD152" t="s">
        <v>18</v>
      </c>
      <c r="AE152" t="s">
        <v>526</v>
      </c>
      <c r="AF152" t="s">
        <v>12</v>
      </c>
      <c r="AG152" t="s">
        <v>12</v>
      </c>
      <c r="AH152" t="s">
        <v>12</v>
      </c>
      <c r="AI152" s="2">
        <v>46028</v>
      </c>
      <c r="AJ152" s="2"/>
      <c r="AK152" t="s">
        <v>12</v>
      </c>
    </row>
    <row r="153" spans="1:37" outlineLevel="2" x14ac:dyDescent="0.25">
      <c r="A153" t="s">
        <v>129</v>
      </c>
      <c r="B153" t="s">
        <v>1</v>
      </c>
      <c r="C153" t="s">
        <v>2</v>
      </c>
      <c r="D153" t="s">
        <v>3</v>
      </c>
      <c r="E153" t="s">
        <v>448</v>
      </c>
      <c r="F153" t="s">
        <v>18</v>
      </c>
      <c r="G153" s="2">
        <v>46035</v>
      </c>
      <c r="H153" t="s">
        <v>527</v>
      </c>
      <c r="I153" t="s">
        <v>22</v>
      </c>
      <c r="J153" s="2">
        <v>46035</v>
      </c>
      <c r="K153" s="2">
        <v>46035</v>
      </c>
      <c r="L153" t="s">
        <v>8</v>
      </c>
      <c r="M153" s="26">
        <v>256779440357</v>
      </c>
      <c r="N153" t="s">
        <v>10</v>
      </c>
      <c r="O153" t="s">
        <v>11</v>
      </c>
      <c r="P153" t="s">
        <v>12</v>
      </c>
      <c r="Q153" t="s">
        <v>24</v>
      </c>
      <c r="R153" t="s">
        <v>14</v>
      </c>
      <c r="S153" s="3">
        <v>70</v>
      </c>
      <c r="T153" t="s">
        <v>15</v>
      </c>
      <c r="U153" s="3">
        <v>6352.02</v>
      </c>
      <c r="V153" s="3" t="e">
        <f>VLOOKUP(M153,'[1]Query Report'!$A:$E,5,0)</f>
        <v>#N/A</v>
      </c>
      <c r="W153" s="3" t="e">
        <f t="shared" si="12"/>
        <v>#N/A</v>
      </c>
      <c r="X153" s="3"/>
      <c r="Y153" s="3"/>
      <c r="Z153" t="s">
        <v>16</v>
      </c>
      <c r="AA153" t="s">
        <v>17</v>
      </c>
      <c r="AB153" t="s">
        <v>12</v>
      </c>
      <c r="AC153" t="s">
        <v>529</v>
      </c>
      <c r="AD153" t="s">
        <v>18</v>
      </c>
      <c r="AE153" t="s">
        <v>530</v>
      </c>
      <c r="AF153" t="s">
        <v>12</v>
      </c>
      <c r="AG153" t="s">
        <v>12</v>
      </c>
      <c r="AH153" t="s">
        <v>12</v>
      </c>
      <c r="AI153" s="2">
        <v>46035</v>
      </c>
      <c r="AJ153" s="2"/>
      <c r="AK153" t="s">
        <v>12</v>
      </c>
    </row>
    <row r="154" spans="1:37" outlineLevel="2" x14ac:dyDescent="0.25">
      <c r="A154" t="s">
        <v>129</v>
      </c>
      <c r="B154" t="s">
        <v>1</v>
      </c>
      <c r="C154" t="s">
        <v>2</v>
      </c>
      <c r="D154" t="s">
        <v>3</v>
      </c>
      <c r="E154" t="s">
        <v>448</v>
      </c>
      <c r="F154" t="s">
        <v>18</v>
      </c>
      <c r="G154" s="2">
        <v>46043</v>
      </c>
      <c r="H154" t="s">
        <v>531</v>
      </c>
      <c r="I154" t="s">
        <v>22</v>
      </c>
      <c r="J154" s="2">
        <v>46043</v>
      </c>
      <c r="K154" s="2">
        <v>46045</v>
      </c>
      <c r="L154" t="s">
        <v>532</v>
      </c>
      <c r="M154" s="26">
        <v>256779440383</v>
      </c>
      <c r="N154" t="s">
        <v>10</v>
      </c>
      <c r="O154" t="s">
        <v>11</v>
      </c>
      <c r="P154" t="s">
        <v>12</v>
      </c>
      <c r="Q154" t="s">
        <v>24</v>
      </c>
      <c r="R154" t="s">
        <v>14</v>
      </c>
      <c r="S154" s="3">
        <v>54.41</v>
      </c>
      <c r="T154" t="s">
        <v>15</v>
      </c>
      <c r="U154" s="3">
        <v>4937.33</v>
      </c>
      <c r="V154" s="3" t="e">
        <f>VLOOKUP(M154,'[1]Query Report'!$A:$E,5,0)</f>
        <v>#N/A</v>
      </c>
      <c r="W154" s="3" t="e">
        <f t="shared" si="12"/>
        <v>#N/A</v>
      </c>
      <c r="X154" s="29" t="e">
        <f t="shared" ref="X154:X158" si="14">W154/U154</f>
        <v>#N/A</v>
      </c>
      <c r="Y154" s="29" t="s">
        <v>1363</v>
      </c>
      <c r="Z154" t="s">
        <v>16</v>
      </c>
      <c r="AA154" t="s">
        <v>17</v>
      </c>
      <c r="AB154" t="s">
        <v>12</v>
      </c>
      <c r="AC154" t="s">
        <v>8</v>
      </c>
      <c r="AD154" t="s">
        <v>18</v>
      </c>
      <c r="AE154" t="s">
        <v>534</v>
      </c>
      <c r="AF154" t="s">
        <v>12</v>
      </c>
      <c r="AG154" t="s">
        <v>12</v>
      </c>
      <c r="AH154" t="s">
        <v>12</v>
      </c>
      <c r="AI154" s="2">
        <v>46043</v>
      </c>
      <c r="AJ154" s="2"/>
      <c r="AK154" t="s">
        <v>12</v>
      </c>
    </row>
    <row r="155" spans="1:37" outlineLevel="2" x14ac:dyDescent="0.25">
      <c r="A155" t="s">
        <v>129</v>
      </c>
      <c r="B155" t="s">
        <v>1</v>
      </c>
      <c r="C155" t="s">
        <v>2</v>
      </c>
      <c r="D155" t="s">
        <v>3</v>
      </c>
      <c r="E155" t="s">
        <v>448</v>
      </c>
      <c r="F155" t="s">
        <v>18</v>
      </c>
      <c r="G155" s="2">
        <v>46044</v>
      </c>
      <c r="H155" t="s">
        <v>535</v>
      </c>
      <c r="I155" t="s">
        <v>22</v>
      </c>
      <c r="J155" s="2">
        <v>46044</v>
      </c>
      <c r="K155" s="2">
        <v>46045</v>
      </c>
      <c r="L155" t="s">
        <v>8</v>
      </c>
      <c r="M155" s="26">
        <v>256779440392</v>
      </c>
      <c r="N155" t="s">
        <v>10</v>
      </c>
      <c r="O155" t="s">
        <v>11</v>
      </c>
      <c r="P155" t="s">
        <v>12</v>
      </c>
      <c r="Q155" t="s">
        <v>24</v>
      </c>
      <c r="R155" t="s">
        <v>14</v>
      </c>
      <c r="S155" s="3">
        <v>124.68</v>
      </c>
      <c r="T155" t="s">
        <v>15</v>
      </c>
      <c r="U155" s="3">
        <v>11313.85</v>
      </c>
      <c r="V155" s="3" t="e">
        <f>VLOOKUP(M155,'[1]Query Report'!$A:$E,5,0)</f>
        <v>#N/A</v>
      </c>
      <c r="W155" s="3" t="e">
        <f t="shared" si="12"/>
        <v>#N/A</v>
      </c>
      <c r="X155" s="29" t="e">
        <f t="shared" si="14"/>
        <v>#N/A</v>
      </c>
      <c r="Y155" s="29"/>
      <c r="Z155" t="s">
        <v>16</v>
      </c>
      <c r="AA155" t="s">
        <v>17</v>
      </c>
      <c r="AB155" t="s">
        <v>12</v>
      </c>
      <c r="AC155" t="s">
        <v>537</v>
      </c>
      <c r="AD155" t="s">
        <v>18</v>
      </c>
      <c r="AE155" t="s">
        <v>538</v>
      </c>
      <c r="AF155" t="s">
        <v>12</v>
      </c>
      <c r="AG155" t="s">
        <v>12</v>
      </c>
      <c r="AH155" t="s">
        <v>12</v>
      </c>
      <c r="AI155" s="2">
        <v>46044</v>
      </c>
      <c r="AJ155" s="2"/>
      <c r="AK155" t="s">
        <v>12</v>
      </c>
    </row>
    <row r="156" spans="1:37" outlineLevel="2" x14ac:dyDescent="0.25">
      <c r="A156" t="s">
        <v>129</v>
      </c>
      <c r="B156" t="s">
        <v>1</v>
      </c>
      <c r="C156" t="s">
        <v>2</v>
      </c>
      <c r="D156" t="s">
        <v>3</v>
      </c>
      <c r="E156" t="s">
        <v>448</v>
      </c>
      <c r="F156" t="s">
        <v>18</v>
      </c>
      <c r="G156" s="2">
        <v>46044</v>
      </c>
      <c r="H156" t="s">
        <v>539</v>
      </c>
      <c r="I156" t="s">
        <v>22</v>
      </c>
      <c r="J156" s="2">
        <v>46044</v>
      </c>
      <c r="K156" s="2">
        <v>46049</v>
      </c>
      <c r="L156" t="s">
        <v>540</v>
      </c>
      <c r="M156" s="26">
        <v>256779440394</v>
      </c>
      <c r="N156" t="s">
        <v>10</v>
      </c>
      <c r="O156" t="s">
        <v>11</v>
      </c>
      <c r="P156" t="s">
        <v>12</v>
      </c>
      <c r="Q156" t="s">
        <v>24</v>
      </c>
      <c r="R156" t="s">
        <v>14</v>
      </c>
      <c r="S156" s="3">
        <v>200.69</v>
      </c>
      <c r="T156" t="s">
        <v>15</v>
      </c>
      <c r="U156" s="3">
        <v>18211.240000000002</v>
      </c>
      <c r="V156" s="3" t="e">
        <f>VLOOKUP(M156,'[1]Query Report'!$A:$E,5,0)</f>
        <v>#N/A</v>
      </c>
      <c r="W156" s="3" t="e">
        <f t="shared" si="12"/>
        <v>#N/A</v>
      </c>
      <c r="X156" s="29" t="e">
        <f t="shared" si="14"/>
        <v>#N/A</v>
      </c>
      <c r="Y156" s="29"/>
      <c r="Z156" t="s">
        <v>16</v>
      </c>
      <c r="AA156" t="s">
        <v>17</v>
      </c>
      <c r="AB156" t="s">
        <v>12</v>
      </c>
      <c r="AC156" t="s">
        <v>8</v>
      </c>
      <c r="AD156" t="s">
        <v>18</v>
      </c>
      <c r="AE156" t="s">
        <v>542</v>
      </c>
      <c r="AF156" t="s">
        <v>12</v>
      </c>
      <c r="AG156" t="s">
        <v>12</v>
      </c>
      <c r="AH156" t="s">
        <v>12</v>
      </c>
      <c r="AI156" s="2">
        <v>46044</v>
      </c>
      <c r="AJ156" s="2"/>
      <c r="AK156" t="s">
        <v>12</v>
      </c>
    </row>
    <row r="157" spans="1:37" outlineLevel="2" x14ac:dyDescent="0.25">
      <c r="A157" t="s">
        <v>129</v>
      </c>
      <c r="B157" t="s">
        <v>1</v>
      </c>
      <c r="C157" t="s">
        <v>2</v>
      </c>
      <c r="D157" t="s">
        <v>3</v>
      </c>
      <c r="E157" t="s">
        <v>448</v>
      </c>
      <c r="F157" t="s">
        <v>18</v>
      </c>
      <c r="G157" s="2">
        <v>46045</v>
      </c>
      <c r="H157" t="s">
        <v>543</v>
      </c>
      <c r="I157" t="s">
        <v>22</v>
      </c>
      <c r="J157" s="2">
        <v>46045</v>
      </c>
      <c r="K157" s="2">
        <v>46049</v>
      </c>
      <c r="L157" t="s">
        <v>544</v>
      </c>
      <c r="M157" s="26">
        <v>256779440413</v>
      </c>
      <c r="N157" t="s">
        <v>10</v>
      </c>
      <c r="O157" t="s">
        <v>11</v>
      </c>
      <c r="P157" t="s">
        <v>12</v>
      </c>
      <c r="Q157" t="s">
        <v>24</v>
      </c>
      <c r="R157" t="s">
        <v>14</v>
      </c>
      <c r="S157" s="3">
        <v>99</v>
      </c>
      <c r="T157" t="s">
        <v>15</v>
      </c>
      <c r="U157" s="3">
        <v>8983.57</v>
      </c>
      <c r="V157" s="3" t="e">
        <f>VLOOKUP(M157,'[1]Query Report'!$A:$E,5,0)</f>
        <v>#N/A</v>
      </c>
      <c r="W157" s="3" t="e">
        <f t="shared" si="12"/>
        <v>#N/A</v>
      </c>
      <c r="X157" s="29" t="e">
        <f t="shared" si="14"/>
        <v>#N/A</v>
      </c>
      <c r="Y157" s="29"/>
      <c r="Z157" t="s">
        <v>16</v>
      </c>
      <c r="AA157" t="s">
        <v>17</v>
      </c>
      <c r="AB157" t="s">
        <v>12</v>
      </c>
      <c r="AC157" t="s">
        <v>8</v>
      </c>
      <c r="AD157" t="s">
        <v>18</v>
      </c>
      <c r="AE157" t="s">
        <v>546</v>
      </c>
      <c r="AF157" t="s">
        <v>12</v>
      </c>
      <c r="AG157" t="s">
        <v>12</v>
      </c>
      <c r="AH157" t="s">
        <v>12</v>
      </c>
      <c r="AI157" s="2">
        <v>46045</v>
      </c>
      <c r="AJ157" s="2"/>
      <c r="AK157" t="s">
        <v>12</v>
      </c>
    </row>
    <row r="158" spans="1:37" outlineLevel="2" x14ac:dyDescent="0.25">
      <c r="A158" t="s">
        <v>129</v>
      </c>
      <c r="B158" t="s">
        <v>1</v>
      </c>
      <c r="C158" t="s">
        <v>2</v>
      </c>
      <c r="D158" t="s">
        <v>3</v>
      </c>
      <c r="E158" t="s">
        <v>448</v>
      </c>
      <c r="F158" t="s">
        <v>18</v>
      </c>
      <c r="G158" s="2">
        <v>46045</v>
      </c>
      <c r="H158" t="s">
        <v>547</v>
      </c>
      <c r="I158" t="s">
        <v>22</v>
      </c>
      <c r="J158" s="2">
        <v>46045</v>
      </c>
      <c r="K158" s="2">
        <v>46049</v>
      </c>
      <c r="L158" t="s">
        <v>548</v>
      </c>
      <c r="M158" s="26">
        <v>256779440429</v>
      </c>
      <c r="N158" t="s">
        <v>10</v>
      </c>
      <c r="O158" t="s">
        <v>11</v>
      </c>
      <c r="P158" t="s">
        <v>12</v>
      </c>
      <c r="Q158" t="s">
        <v>24</v>
      </c>
      <c r="R158" t="s">
        <v>14</v>
      </c>
      <c r="S158" s="3">
        <v>67.680000000000007</v>
      </c>
      <c r="T158" t="s">
        <v>15</v>
      </c>
      <c r="U158" s="3">
        <v>6141.5</v>
      </c>
      <c r="V158" s="3" t="e">
        <f>VLOOKUP(M158,'[1]Query Report'!$A:$E,5,0)</f>
        <v>#N/A</v>
      </c>
      <c r="W158" s="3" t="e">
        <f t="shared" si="12"/>
        <v>#N/A</v>
      </c>
      <c r="X158" s="29" t="e">
        <f t="shared" si="14"/>
        <v>#N/A</v>
      </c>
      <c r="Y158" s="29"/>
      <c r="Z158" t="s">
        <v>16</v>
      </c>
      <c r="AA158" t="s">
        <v>17</v>
      </c>
      <c r="AB158" t="s">
        <v>12</v>
      </c>
      <c r="AC158" t="s">
        <v>8</v>
      </c>
      <c r="AD158" t="s">
        <v>18</v>
      </c>
      <c r="AE158" t="s">
        <v>550</v>
      </c>
      <c r="AF158" t="s">
        <v>12</v>
      </c>
      <c r="AG158" t="s">
        <v>12</v>
      </c>
      <c r="AH158" t="s">
        <v>12</v>
      </c>
      <c r="AI158" s="2">
        <v>46045</v>
      </c>
      <c r="AJ158" s="2"/>
      <c r="AK158" t="s">
        <v>12</v>
      </c>
    </row>
    <row r="159" spans="1:37" outlineLevel="2" x14ac:dyDescent="0.25">
      <c r="A159" t="s">
        <v>129</v>
      </c>
      <c r="B159" t="s">
        <v>1</v>
      </c>
      <c r="C159" t="s">
        <v>2</v>
      </c>
      <c r="D159" t="s">
        <v>3</v>
      </c>
      <c r="E159" t="s">
        <v>448</v>
      </c>
      <c r="F159" t="s">
        <v>18</v>
      </c>
      <c r="G159" s="2">
        <v>46049</v>
      </c>
      <c r="H159" t="s">
        <v>551</v>
      </c>
      <c r="I159" t="s">
        <v>22</v>
      </c>
      <c r="J159" s="2">
        <v>46049</v>
      </c>
      <c r="K159" s="2">
        <v>46049</v>
      </c>
      <c r="L159" t="s">
        <v>552</v>
      </c>
      <c r="M159" s="26">
        <v>256779440445</v>
      </c>
      <c r="N159" t="s">
        <v>10</v>
      </c>
      <c r="O159" t="s">
        <v>11</v>
      </c>
      <c r="P159" t="s">
        <v>12</v>
      </c>
      <c r="Q159" t="s">
        <v>24</v>
      </c>
      <c r="R159" t="s">
        <v>14</v>
      </c>
      <c r="S159" s="3">
        <v>137.13999999999999</v>
      </c>
      <c r="T159" t="s">
        <v>15</v>
      </c>
      <c r="U159" s="3">
        <v>12444.51</v>
      </c>
      <c r="V159" s="3" t="e">
        <f>VLOOKUP(M159,'[1]Query Report'!$A:$E,5,0)</f>
        <v>#N/A</v>
      </c>
      <c r="W159" s="3" t="e">
        <f t="shared" si="12"/>
        <v>#N/A</v>
      </c>
      <c r="X159" s="3"/>
      <c r="Y159" s="3"/>
      <c r="Z159" t="s">
        <v>16</v>
      </c>
      <c r="AA159" t="s">
        <v>17</v>
      </c>
      <c r="AB159" t="s">
        <v>12</v>
      </c>
      <c r="AC159" t="s">
        <v>8</v>
      </c>
      <c r="AD159" t="s">
        <v>18</v>
      </c>
      <c r="AE159" t="s">
        <v>554</v>
      </c>
      <c r="AF159" t="s">
        <v>12</v>
      </c>
      <c r="AG159" t="s">
        <v>12</v>
      </c>
      <c r="AH159" t="s">
        <v>12</v>
      </c>
      <c r="AI159" s="2">
        <v>46049</v>
      </c>
      <c r="AJ159" s="2"/>
      <c r="AK159" t="s">
        <v>12</v>
      </c>
    </row>
    <row r="160" spans="1:37" outlineLevel="2" x14ac:dyDescent="0.25">
      <c r="A160" t="s">
        <v>129</v>
      </c>
      <c r="B160" t="s">
        <v>1</v>
      </c>
      <c r="C160" t="s">
        <v>2</v>
      </c>
      <c r="D160" t="s">
        <v>3</v>
      </c>
      <c r="E160" t="s">
        <v>448</v>
      </c>
      <c r="F160" t="s">
        <v>358</v>
      </c>
      <c r="G160" s="2">
        <v>46055</v>
      </c>
      <c r="H160" t="s">
        <v>555</v>
      </c>
      <c r="I160" t="s">
        <v>482</v>
      </c>
      <c r="J160" s="2">
        <v>46055</v>
      </c>
      <c r="K160" s="2">
        <v>46052</v>
      </c>
      <c r="L160" t="s">
        <v>556</v>
      </c>
      <c r="M160" s="26" t="s">
        <v>556</v>
      </c>
      <c r="N160" t="s">
        <v>10</v>
      </c>
      <c r="O160" t="s">
        <v>11</v>
      </c>
      <c r="P160" t="s">
        <v>12</v>
      </c>
      <c r="Q160" t="s">
        <v>484</v>
      </c>
      <c r="R160" t="s">
        <v>15</v>
      </c>
      <c r="S160" s="3">
        <v>-674751</v>
      </c>
      <c r="T160" t="s">
        <v>15</v>
      </c>
      <c r="U160" s="3">
        <v>-674751</v>
      </c>
      <c r="V160" s="3" t="e">
        <f>VLOOKUP(M160,'[1]Query Report'!$A:$E,5,0)</f>
        <v>#N/A</v>
      </c>
      <c r="W160" s="3" t="e">
        <f t="shared" si="12"/>
        <v>#N/A</v>
      </c>
      <c r="X160" s="3"/>
      <c r="Y160" s="3"/>
      <c r="Z160" t="s">
        <v>12</v>
      </c>
      <c r="AA160" t="s">
        <v>485</v>
      </c>
      <c r="AB160" t="s">
        <v>12</v>
      </c>
      <c r="AC160" t="s">
        <v>12</v>
      </c>
      <c r="AD160" t="s">
        <v>358</v>
      </c>
      <c r="AE160" t="s">
        <v>12</v>
      </c>
      <c r="AF160" t="s">
        <v>12</v>
      </c>
      <c r="AG160" t="s">
        <v>12</v>
      </c>
      <c r="AH160" t="s">
        <v>12</v>
      </c>
      <c r="AI160" s="2">
        <v>46055</v>
      </c>
      <c r="AJ160" s="2"/>
      <c r="AK160" t="s">
        <v>12</v>
      </c>
    </row>
    <row r="161" spans="1:37" outlineLevel="2" x14ac:dyDescent="0.25">
      <c r="A161" t="s">
        <v>129</v>
      </c>
      <c r="B161" t="s">
        <v>1</v>
      </c>
      <c r="C161" t="s">
        <v>2</v>
      </c>
      <c r="D161" t="s">
        <v>3</v>
      </c>
      <c r="E161" t="s">
        <v>4</v>
      </c>
      <c r="F161" t="s">
        <v>243</v>
      </c>
      <c r="G161" s="2">
        <v>45733</v>
      </c>
      <c r="H161" t="s">
        <v>557</v>
      </c>
      <c r="I161" t="s">
        <v>22</v>
      </c>
      <c r="J161" s="2">
        <v>45733</v>
      </c>
      <c r="K161" s="2">
        <v>45733</v>
      </c>
      <c r="L161" t="s">
        <v>8</v>
      </c>
      <c r="M161" s="26">
        <v>246779411619</v>
      </c>
      <c r="N161" t="s">
        <v>10</v>
      </c>
      <c r="O161" t="s">
        <v>11</v>
      </c>
      <c r="P161" t="s">
        <v>12</v>
      </c>
      <c r="Q161" t="s">
        <v>24</v>
      </c>
      <c r="R161" t="s">
        <v>14</v>
      </c>
      <c r="S161" s="3">
        <v>1765.65</v>
      </c>
      <c r="T161" t="s">
        <v>15</v>
      </c>
      <c r="U161" s="3">
        <v>153066.42000000001</v>
      </c>
      <c r="V161" s="3" t="e">
        <f>VLOOKUP(M161,'[1]Query Report'!$A:$E,5,0)</f>
        <v>#N/A</v>
      </c>
      <c r="W161" s="3" t="e">
        <f t="shared" si="12"/>
        <v>#N/A</v>
      </c>
      <c r="X161" s="29" t="e">
        <f t="shared" ref="X161:X183" si="15">W161/U161</f>
        <v>#N/A</v>
      </c>
      <c r="Y161" s="29" t="s">
        <v>1362</v>
      </c>
      <c r="Z161" t="s">
        <v>16</v>
      </c>
      <c r="AA161" t="s">
        <v>17</v>
      </c>
      <c r="AB161" t="s">
        <v>12</v>
      </c>
      <c r="AC161" t="s">
        <v>8</v>
      </c>
      <c r="AD161" t="s">
        <v>18</v>
      </c>
      <c r="AE161" t="s">
        <v>559</v>
      </c>
      <c r="AF161" t="s">
        <v>12</v>
      </c>
      <c r="AG161" t="s">
        <v>12</v>
      </c>
      <c r="AH161" t="s">
        <v>12</v>
      </c>
      <c r="AI161" s="2">
        <v>45733</v>
      </c>
      <c r="AJ161" s="2"/>
      <c r="AK161" t="s">
        <v>12</v>
      </c>
    </row>
    <row r="162" spans="1:37" outlineLevel="2" x14ac:dyDescent="0.25">
      <c r="A162" t="s">
        <v>129</v>
      </c>
      <c r="B162" t="s">
        <v>1</v>
      </c>
      <c r="C162" t="s">
        <v>2</v>
      </c>
      <c r="D162" t="s">
        <v>3</v>
      </c>
      <c r="E162" t="s">
        <v>4</v>
      </c>
      <c r="F162" t="s">
        <v>243</v>
      </c>
      <c r="G162" s="2">
        <v>45733</v>
      </c>
      <c r="H162" t="s">
        <v>560</v>
      </c>
      <c r="I162" t="s">
        <v>22</v>
      </c>
      <c r="J162" s="2">
        <v>45733</v>
      </c>
      <c r="K162" s="2">
        <v>45733</v>
      </c>
      <c r="L162" t="s">
        <v>8</v>
      </c>
      <c r="M162" s="26">
        <v>246779411620</v>
      </c>
      <c r="N162" t="s">
        <v>10</v>
      </c>
      <c r="O162" t="s">
        <v>11</v>
      </c>
      <c r="P162" t="s">
        <v>12</v>
      </c>
      <c r="Q162" t="s">
        <v>24</v>
      </c>
      <c r="R162" t="s">
        <v>14</v>
      </c>
      <c r="S162" s="3">
        <v>71.61</v>
      </c>
      <c r="T162" t="s">
        <v>15</v>
      </c>
      <c r="U162" s="3">
        <v>6207.96</v>
      </c>
      <c r="V162" s="3" t="e">
        <f>VLOOKUP(M162,'[1]Query Report'!$A:$E,5,0)</f>
        <v>#N/A</v>
      </c>
      <c r="W162" s="3" t="e">
        <f t="shared" si="12"/>
        <v>#N/A</v>
      </c>
      <c r="X162" s="29" t="e">
        <f t="shared" si="15"/>
        <v>#N/A</v>
      </c>
      <c r="Y162" s="29" t="s">
        <v>1362</v>
      </c>
      <c r="Z162" t="s">
        <v>16</v>
      </c>
      <c r="AA162" t="s">
        <v>17</v>
      </c>
      <c r="AB162" t="s">
        <v>12</v>
      </c>
      <c r="AC162" t="s">
        <v>8</v>
      </c>
      <c r="AD162" t="s">
        <v>18</v>
      </c>
      <c r="AE162" t="s">
        <v>559</v>
      </c>
      <c r="AF162" t="s">
        <v>12</v>
      </c>
      <c r="AG162" t="s">
        <v>12</v>
      </c>
      <c r="AH162" t="s">
        <v>12</v>
      </c>
      <c r="AI162" s="2">
        <v>45733</v>
      </c>
      <c r="AJ162" s="2"/>
      <c r="AK162" t="s">
        <v>12</v>
      </c>
    </row>
    <row r="163" spans="1:37" outlineLevel="2" x14ac:dyDescent="0.25">
      <c r="A163" t="s">
        <v>129</v>
      </c>
      <c r="B163" t="s">
        <v>1</v>
      </c>
      <c r="C163" t="s">
        <v>2</v>
      </c>
      <c r="D163" t="s">
        <v>3</v>
      </c>
      <c r="E163" t="s">
        <v>4</v>
      </c>
      <c r="F163" t="s">
        <v>243</v>
      </c>
      <c r="G163" s="2">
        <v>45733</v>
      </c>
      <c r="H163" t="s">
        <v>562</v>
      </c>
      <c r="I163" t="s">
        <v>22</v>
      </c>
      <c r="J163" s="2">
        <v>45733</v>
      </c>
      <c r="K163" s="2">
        <v>45734</v>
      </c>
      <c r="L163" t="s">
        <v>8</v>
      </c>
      <c r="M163" s="26">
        <v>246779411755</v>
      </c>
      <c r="N163" t="s">
        <v>10</v>
      </c>
      <c r="O163" t="s">
        <v>11</v>
      </c>
      <c r="P163" t="s">
        <v>12</v>
      </c>
      <c r="Q163" t="s">
        <v>24</v>
      </c>
      <c r="R163" t="s">
        <v>14</v>
      </c>
      <c r="S163" s="3">
        <v>3.57</v>
      </c>
      <c r="T163" t="s">
        <v>15</v>
      </c>
      <c r="U163" s="3">
        <v>309.49</v>
      </c>
      <c r="V163" s="3" t="e">
        <f>VLOOKUP(M163,'[1]Query Report'!$A:$E,5,0)</f>
        <v>#N/A</v>
      </c>
      <c r="W163" s="3" t="e">
        <f t="shared" si="12"/>
        <v>#N/A</v>
      </c>
      <c r="X163" s="29" t="e">
        <f t="shared" si="15"/>
        <v>#N/A</v>
      </c>
      <c r="Y163" s="29" t="s">
        <v>1362</v>
      </c>
      <c r="Z163" t="s">
        <v>16</v>
      </c>
      <c r="AA163" t="s">
        <v>17</v>
      </c>
      <c r="AB163" t="s">
        <v>12</v>
      </c>
      <c r="AC163" t="s">
        <v>8</v>
      </c>
      <c r="AD163" t="s">
        <v>18</v>
      </c>
      <c r="AE163" t="s">
        <v>564</v>
      </c>
      <c r="AF163" t="s">
        <v>12</v>
      </c>
      <c r="AG163" t="s">
        <v>12</v>
      </c>
      <c r="AH163" t="s">
        <v>12</v>
      </c>
      <c r="AI163" s="2">
        <v>45733</v>
      </c>
      <c r="AJ163" s="2"/>
      <c r="AK163" t="s">
        <v>12</v>
      </c>
    </row>
    <row r="164" spans="1:37" outlineLevel="2" x14ac:dyDescent="0.25">
      <c r="A164" t="s">
        <v>129</v>
      </c>
      <c r="B164" t="s">
        <v>1</v>
      </c>
      <c r="C164" t="s">
        <v>2</v>
      </c>
      <c r="D164" t="s">
        <v>3</v>
      </c>
      <c r="E164" t="s">
        <v>4</v>
      </c>
      <c r="F164" t="s">
        <v>243</v>
      </c>
      <c r="G164" s="2">
        <v>45733</v>
      </c>
      <c r="H164" t="s">
        <v>565</v>
      </c>
      <c r="I164" t="s">
        <v>22</v>
      </c>
      <c r="J164" s="2">
        <v>45733</v>
      </c>
      <c r="K164" s="2">
        <v>45734</v>
      </c>
      <c r="L164" t="s">
        <v>8</v>
      </c>
      <c r="M164" s="26">
        <v>246779411756</v>
      </c>
      <c r="N164" t="s">
        <v>10</v>
      </c>
      <c r="O164" t="s">
        <v>11</v>
      </c>
      <c r="P164" t="s">
        <v>12</v>
      </c>
      <c r="Q164" t="s">
        <v>24</v>
      </c>
      <c r="R164" t="s">
        <v>14</v>
      </c>
      <c r="S164" s="3">
        <v>59.46</v>
      </c>
      <c r="T164" t="s">
        <v>15</v>
      </c>
      <c r="U164" s="3">
        <v>5154.66</v>
      </c>
      <c r="V164" s="3" t="e">
        <f>VLOOKUP(M164,'[1]Query Report'!$A:$E,5,0)</f>
        <v>#N/A</v>
      </c>
      <c r="W164" s="3" t="e">
        <f t="shared" si="12"/>
        <v>#N/A</v>
      </c>
      <c r="X164" s="29" t="e">
        <f t="shared" si="15"/>
        <v>#N/A</v>
      </c>
      <c r="Y164" s="29" t="s">
        <v>1362</v>
      </c>
      <c r="Z164" t="s">
        <v>16</v>
      </c>
      <c r="AA164" t="s">
        <v>17</v>
      </c>
      <c r="AB164" t="s">
        <v>12</v>
      </c>
      <c r="AC164" t="s">
        <v>8</v>
      </c>
      <c r="AD164" t="s">
        <v>18</v>
      </c>
      <c r="AE164" t="s">
        <v>564</v>
      </c>
      <c r="AF164" t="s">
        <v>12</v>
      </c>
      <c r="AG164" t="s">
        <v>12</v>
      </c>
      <c r="AH164" t="s">
        <v>12</v>
      </c>
      <c r="AI164" s="2">
        <v>45733</v>
      </c>
      <c r="AJ164" s="2"/>
      <c r="AK164" t="s">
        <v>12</v>
      </c>
    </row>
    <row r="165" spans="1:37" outlineLevel="2" x14ac:dyDescent="0.25">
      <c r="A165" t="s">
        <v>129</v>
      </c>
      <c r="B165" t="s">
        <v>1</v>
      </c>
      <c r="C165" t="s">
        <v>2</v>
      </c>
      <c r="D165" t="s">
        <v>3</v>
      </c>
      <c r="E165" t="s">
        <v>4</v>
      </c>
      <c r="F165" t="s">
        <v>243</v>
      </c>
      <c r="G165" s="2">
        <v>45733</v>
      </c>
      <c r="H165" t="s">
        <v>567</v>
      </c>
      <c r="I165" t="s">
        <v>22</v>
      </c>
      <c r="J165" s="2">
        <v>45733</v>
      </c>
      <c r="K165" s="2">
        <v>45734</v>
      </c>
      <c r="L165" t="s">
        <v>8</v>
      </c>
      <c r="M165" s="26">
        <v>246779411757</v>
      </c>
      <c r="N165" t="s">
        <v>10</v>
      </c>
      <c r="O165" t="s">
        <v>11</v>
      </c>
      <c r="P165" t="s">
        <v>12</v>
      </c>
      <c r="Q165" t="s">
        <v>24</v>
      </c>
      <c r="R165" t="s">
        <v>14</v>
      </c>
      <c r="S165" s="3">
        <v>38.29</v>
      </c>
      <c r="T165" t="s">
        <v>15</v>
      </c>
      <c r="U165" s="3">
        <v>3319.41</v>
      </c>
      <c r="V165" s="3" t="e">
        <f>VLOOKUP(M165,'[1]Query Report'!$A:$E,5,0)</f>
        <v>#N/A</v>
      </c>
      <c r="W165" s="3" t="e">
        <f t="shared" si="12"/>
        <v>#N/A</v>
      </c>
      <c r="X165" s="29" t="e">
        <f t="shared" si="15"/>
        <v>#N/A</v>
      </c>
      <c r="Y165" s="29" t="s">
        <v>1362</v>
      </c>
      <c r="Z165" t="s">
        <v>16</v>
      </c>
      <c r="AA165" t="s">
        <v>17</v>
      </c>
      <c r="AB165" t="s">
        <v>12</v>
      </c>
      <c r="AC165" t="s">
        <v>8</v>
      </c>
      <c r="AD165" t="s">
        <v>18</v>
      </c>
      <c r="AE165" t="s">
        <v>564</v>
      </c>
      <c r="AF165" t="s">
        <v>12</v>
      </c>
      <c r="AG165" t="s">
        <v>12</v>
      </c>
      <c r="AH165" t="s">
        <v>12</v>
      </c>
      <c r="AI165" s="2">
        <v>45733</v>
      </c>
      <c r="AJ165" s="2"/>
      <c r="AK165" t="s">
        <v>12</v>
      </c>
    </row>
    <row r="166" spans="1:37" outlineLevel="2" x14ac:dyDescent="0.25">
      <c r="A166" t="s">
        <v>129</v>
      </c>
      <c r="B166" t="s">
        <v>1</v>
      </c>
      <c r="C166" t="s">
        <v>2</v>
      </c>
      <c r="D166" t="s">
        <v>3</v>
      </c>
      <c r="E166" t="s">
        <v>4</v>
      </c>
      <c r="F166" t="s">
        <v>243</v>
      </c>
      <c r="G166" s="2">
        <v>45733</v>
      </c>
      <c r="H166" t="s">
        <v>569</v>
      </c>
      <c r="I166" t="s">
        <v>22</v>
      </c>
      <c r="J166" s="2">
        <v>45733</v>
      </c>
      <c r="K166" s="2">
        <v>45734</v>
      </c>
      <c r="L166" t="s">
        <v>8</v>
      </c>
      <c r="M166" s="26">
        <v>246779411758</v>
      </c>
      <c r="N166" t="s">
        <v>10</v>
      </c>
      <c r="O166" t="s">
        <v>11</v>
      </c>
      <c r="P166" t="s">
        <v>12</v>
      </c>
      <c r="Q166" t="s">
        <v>24</v>
      </c>
      <c r="R166" t="s">
        <v>14</v>
      </c>
      <c r="S166" s="3">
        <v>22.69</v>
      </c>
      <c r="T166" t="s">
        <v>15</v>
      </c>
      <c r="U166" s="3">
        <v>1967.02</v>
      </c>
      <c r="V166" s="3" t="e">
        <f>VLOOKUP(M166,'[1]Query Report'!$A:$E,5,0)</f>
        <v>#N/A</v>
      </c>
      <c r="W166" s="3" t="e">
        <f t="shared" si="12"/>
        <v>#N/A</v>
      </c>
      <c r="X166" s="29" t="e">
        <f t="shared" si="15"/>
        <v>#N/A</v>
      </c>
      <c r="Y166" s="29" t="s">
        <v>1362</v>
      </c>
      <c r="Z166" t="s">
        <v>16</v>
      </c>
      <c r="AA166" t="s">
        <v>17</v>
      </c>
      <c r="AB166" t="s">
        <v>12</v>
      </c>
      <c r="AC166" t="s">
        <v>8</v>
      </c>
      <c r="AD166" t="s">
        <v>18</v>
      </c>
      <c r="AE166" t="s">
        <v>564</v>
      </c>
      <c r="AF166" t="s">
        <v>12</v>
      </c>
      <c r="AG166" t="s">
        <v>12</v>
      </c>
      <c r="AH166" t="s">
        <v>12</v>
      </c>
      <c r="AI166" s="2">
        <v>45733</v>
      </c>
      <c r="AJ166" s="2"/>
      <c r="AK166" t="s">
        <v>12</v>
      </c>
    </row>
    <row r="167" spans="1:37" outlineLevel="2" x14ac:dyDescent="0.25">
      <c r="A167" t="s">
        <v>129</v>
      </c>
      <c r="B167" t="s">
        <v>1</v>
      </c>
      <c r="C167" t="s">
        <v>2</v>
      </c>
      <c r="D167" t="s">
        <v>3</v>
      </c>
      <c r="E167" t="s">
        <v>4</v>
      </c>
      <c r="F167" t="s">
        <v>243</v>
      </c>
      <c r="G167" s="2">
        <v>45733</v>
      </c>
      <c r="H167" t="s">
        <v>571</v>
      </c>
      <c r="I167" t="s">
        <v>22</v>
      </c>
      <c r="J167" s="2">
        <v>45733</v>
      </c>
      <c r="K167" s="2">
        <v>45734</v>
      </c>
      <c r="L167" t="s">
        <v>8</v>
      </c>
      <c r="M167" s="26">
        <v>246779411759</v>
      </c>
      <c r="N167" t="s">
        <v>10</v>
      </c>
      <c r="O167" t="s">
        <v>11</v>
      </c>
      <c r="P167" t="s">
        <v>12</v>
      </c>
      <c r="Q167" t="s">
        <v>24</v>
      </c>
      <c r="R167" t="s">
        <v>14</v>
      </c>
      <c r="S167" s="3">
        <v>83.24</v>
      </c>
      <c r="T167" t="s">
        <v>15</v>
      </c>
      <c r="U167" s="3">
        <v>7216.18</v>
      </c>
      <c r="V167" s="3" t="e">
        <f>VLOOKUP(M167,'[1]Query Report'!$A:$E,5,0)</f>
        <v>#N/A</v>
      </c>
      <c r="W167" s="3" t="e">
        <f t="shared" si="12"/>
        <v>#N/A</v>
      </c>
      <c r="X167" s="29" t="e">
        <f t="shared" si="15"/>
        <v>#N/A</v>
      </c>
      <c r="Y167" s="29" t="s">
        <v>1362</v>
      </c>
      <c r="Z167" t="s">
        <v>16</v>
      </c>
      <c r="AA167" t="s">
        <v>17</v>
      </c>
      <c r="AB167" t="s">
        <v>12</v>
      </c>
      <c r="AC167" t="s">
        <v>8</v>
      </c>
      <c r="AD167" t="s">
        <v>18</v>
      </c>
      <c r="AE167" t="s">
        <v>564</v>
      </c>
      <c r="AF167" t="s">
        <v>12</v>
      </c>
      <c r="AG167" t="s">
        <v>12</v>
      </c>
      <c r="AH167" t="s">
        <v>12</v>
      </c>
      <c r="AI167" s="2">
        <v>45733</v>
      </c>
      <c r="AJ167" s="2"/>
      <c r="AK167" t="s">
        <v>12</v>
      </c>
    </row>
    <row r="168" spans="1:37" outlineLevel="2" x14ac:dyDescent="0.25">
      <c r="A168" t="s">
        <v>129</v>
      </c>
      <c r="B168" t="s">
        <v>1</v>
      </c>
      <c r="C168" t="s">
        <v>2</v>
      </c>
      <c r="D168" t="s">
        <v>3</v>
      </c>
      <c r="E168" t="s">
        <v>4</v>
      </c>
      <c r="F168" t="s">
        <v>243</v>
      </c>
      <c r="G168" s="2">
        <v>45733</v>
      </c>
      <c r="H168" t="s">
        <v>573</v>
      </c>
      <c r="I168" t="s">
        <v>22</v>
      </c>
      <c r="J168" s="2">
        <v>45733</v>
      </c>
      <c r="K168" s="2">
        <v>45734</v>
      </c>
      <c r="L168" t="s">
        <v>8</v>
      </c>
      <c r="M168" s="26">
        <v>246779411933</v>
      </c>
      <c r="N168" t="s">
        <v>10</v>
      </c>
      <c r="O168" t="s">
        <v>11</v>
      </c>
      <c r="P168" t="s">
        <v>12</v>
      </c>
      <c r="Q168" t="s">
        <v>24</v>
      </c>
      <c r="R168" t="s">
        <v>14</v>
      </c>
      <c r="S168" s="3">
        <v>7.1</v>
      </c>
      <c r="T168" t="s">
        <v>15</v>
      </c>
      <c r="U168" s="3">
        <v>615.51</v>
      </c>
      <c r="V168" s="3" t="e">
        <f>VLOOKUP(M168,'[1]Query Report'!$A:$E,5,0)</f>
        <v>#N/A</v>
      </c>
      <c r="W168" s="3" t="e">
        <f t="shared" si="12"/>
        <v>#N/A</v>
      </c>
      <c r="X168" s="29" t="e">
        <f t="shared" si="15"/>
        <v>#N/A</v>
      </c>
      <c r="Y168" s="29" t="s">
        <v>1362</v>
      </c>
      <c r="Z168" t="s">
        <v>16</v>
      </c>
      <c r="AA168" t="s">
        <v>17</v>
      </c>
      <c r="AB168" t="s">
        <v>12</v>
      </c>
      <c r="AC168" t="s">
        <v>8</v>
      </c>
      <c r="AD168" t="s">
        <v>18</v>
      </c>
      <c r="AE168" t="s">
        <v>575</v>
      </c>
      <c r="AF168" t="s">
        <v>12</v>
      </c>
      <c r="AG168" t="s">
        <v>12</v>
      </c>
      <c r="AH168" t="s">
        <v>12</v>
      </c>
      <c r="AI168" s="2">
        <v>45733</v>
      </c>
      <c r="AJ168" s="2"/>
      <c r="AK168" t="s">
        <v>12</v>
      </c>
    </row>
    <row r="169" spans="1:37" outlineLevel="2" x14ac:dyDescent="0.25">
      <c r="A169" t="s">
        <v>129</v>
      </c>
      <c r="B169" t="s">
        <v>1</v>
      </c>
      <c r="C169" t="s">
        <v>2</v>
      </c>
      <c r="D169" t="s">
        <v>3</v>
      </c>
      <c r="E169" t="s">
        <v>4</v>
      </c>
      <c r="F169" t="s">
        <v>243</v>
      </c>
      <c r="G169" s="2">
        <v>45733</v>
      </c>
      <c r="H169" t="s">
        <v>576</v>
      </c>
      <c r="I169" t="s">
        <v>22</v>
      </c>
      <c r="J169" s="2">
        <v>45733</v>
      </c>
      <c r="K169" s="2">
        <v>45734</v>
      </c>
      <c r="L169" t="s">
        <v>8</v>
      </c>
      <c r="M169" s="26">
        <v>246779411934</v>
      </c>
      <c r="N169" t="s">
        <v>10</v>
      </c>
      <c r="O169" t="s">
        <v>11</v>
      </c>
      <c r="P169" t="s">
        <v>12</v>
      </c>
      <c r="Q169" t="s">
        <v>24</v>
      </c>
      <c r="R169" t="s">
        <v>14</v>
      </c>
      <c r="S169" s="3">
        <v>4.1399999999999997</v>
      </c>
      <c r="T169" t="s">
        <v>15</v>
      </c>
      <c r="U169" s="3">
        <v>358.9</v>
      </c>
      <c r="V169" s="3" t="e">
        <f>VLOOKUP(M169,'[1]Query Report'!$A:$E,5,0)</f>
        <v>#N/A</v>
      </c>
      <c r="W169" s="3" t="e">
        <f t="shared" si="12"/>
        <v>#N/A</v>
      </c>
      <c r="X169" s="29" t="e">
        <f t="shared" si="15"/>
        <v>#N/A</v>
      </c>
      <c r="Y169" s="29" t="s">
        <v>1362</v>
      </c>
      <c r="Z169" t="s">
        <v>16</v>
      </c>
      <c r="AA169" t="s">
        <v>17</v>
      </c>
      <c r="AB169" t="s">
        <v>12</v>
      </c>
      <c r="AC169" t="s">
        <v>8</v>
      </c>
      <c r="AD169" t="s">
        <v>18</v>
      </c>
      <c r="AE169" t="s">
        <v>575</v>
      </c>
      <c r="AF169" t="s">
        <v>12</v>
      </c>
      <c r="AG169" t="s">
        <v>12</v>
      </c>
      <c r="AH169" t="s">
        <v>12</v>
      </c>
      <c r="AI169" s="2">
        <v>45733</v>
      </c>
      <c r="AJ169" s="2"/>
      <c r="AK169" t="s">
        <v>12</v>
      </c>
    </row>
    <row r="170" spans="1:37" outlineLevel="2" x14ac:dyDescent="0.25">
      <c r="A170" t="s">
        <v>129</v>
      </c>
      <c r="B170" t="s">
        <v>1</v>
      </c>
      <c r="C170" t="s">
        <v>2</v>
      </c>
      <c r="D170" t="s">
        <v>3</v>
      </c>
      <c r="E170" t="s">
        <v>4</v>
      </c>
      <c r="F170" t="s">
        <v>243</v>
      </c>
      <c r="G170" s="2">
        <v>45733</v>
      </c>
      <c r="H170" t="s">
        <v>578</v>
      </c>
      <c r="I170" t="s">
        <v>22</v>
      </c>
      <c r="J170" s="2">
        <v>45733</v>
      </c>
      <c r="K170" s="2">
        <v>45734</v>
      </c>
      <c r="L170" t="s">
        <v>8</v>
      </c>
      <c r="M170" s="26">
        <v>246779411935</v>
      </c>
      <c r="N170" t="s">
        <v>10</v>
      </c>
      <c r="O170" t="s">
        <v>11</v>
      </c>
      <c r="P170" t="s">
        <v>12</v>
      </c>
      <c r="Q170" t="s">
        <v>24</v>
      </c>
      <c r="R170" t="s">
        <v>14</v>
      </c>
      <c r="S170" s="3">
        <v>7.1</v>
      </c>
      <c r="T170" t="s">
        <v>15</v>
      </c>
      <c r="U170" s="3">
        <v>615.51</v>
      </c>
      <c r="V170" s="3" t="e">
        <f>VLOOKUP(M170,'[1]Query Report'!$A:$E,5,0)</f>
        <v>#N/A</v>
      </c>
      <c r="W170" s="3" t="e">
        <f t="shared" si="12"/>
        <v>#N/A</v>
      </c>
      <c r="X170" s="29" t="e">
        <f t="shared" si="15"/>
        <v>#N/A</v>
      </c>
      <c r="Y170" s="29" t="s">
        <v>1362</v>
      </c>
      <c r="Z170" t="s">
        <v>16</v>
      </c>
      <c r="AA170" t="s">
        <v>17</v>
      </c>
      <c r="AB170" t="s">
        <v>12</v>
      </c>
      <c r="AC170" t="s">
        <v>8</v>
      </c>
      <c r="AD170" t="s">
        <v>18</v>
      </c>
      <c r="AE170" t="s">
        <v>575</v>
      </c>
      <c r="AF170" t="s">
        <v>12</v>
      </c>
      <c r="AG170" t="s">
        <v>12</v>
      </c>
      <c r="AH170" t="s">
        <v>12</v>
      </c>
      <c r="AI170" s="2">
        <v>45733</v>
      </c>
      <c r="AJ170" s="2"/>
      <c r="AK170" t="s">
        <v>12</v>
      </c>
    </row>
    <row r="171" spans="1:37" outlineLevel="2" x14ac:dyDescent="0.25">
      <c r="A171" t="s">
        <v>129</v>
      </c>
      <c r="B171" t="s">
        <v>1</v>
      </c>
      <c r="C171" t="s">
        <v>2</v>
      </c>
      <c r="D171" t="s">
        <v>3</v>
      </c>
      <c r="E171" t="s">
        <v>4</v>
      </c>
      <c r="F171" t="s">
        <v>243</v>
      </c>
      <c r="G171" s="2">
        <v>45733</v>
      </c>
      <c r="H171" t="s">
        <v>580</v>
      </c>
      <c r="I171" t="s">
        <v>22</v>
      </c>
      <c r="J171" s="2">
        <v>45733</v>
      </c>
      <c r="K171" s="2">
        <v>45734</v>
      </c>
      <c r="L171" t="s">
        <v>8</v>
      </c>
      <c r="M171" s="26">
        <v>246779411936</v>
      </c>
      <c r="N171" t="s">
        <v>10</v>
      </c>
      <c r="O171" t="s">
        <v>11</v>
      </c>
      <c r="P171" t="s">
        <v>12</v>
      </c>
      <c r="Q171" t="s">
        <v>24</v>
      </c>
      <c r="R171" t="s">
        <v>14</v>
      </c>
      <c r="S171" s="3">
        <v>5.92</v>
      </c>
      <c r="T171" t="s">
        <v>15</v>
      </c>
      <c r="U171" s="3">
        <v>513.21</v>
      </c>
      <c r="V171" s="3" t="e">
        <f>VLOOKUP(M171,'[1]Query Report'!$A:$E,5,0)</f>
        <v>#N/A</v>
      </c>
      <c r="W171" s="3" t="e">
        <f t="shared" si="12"/>
        <v>#N/A</v>
      </c>
      <c r="X171" s="29" t="e">
        <f t="shared" si="15"/>
        <v>#N/A</v>
      </c>
      <c r="Y171" s="29" t="s">
        <v>1362</v>
      </c>
      <c r="Z171" t="s">
        <v>16</v>
      </c>
      <c r="AA171" t="s">
        <v>17</v>
      </c>
      <c r="AB171" t="s">
        <v>12</v>
      </c>
      <c r="AC171" t="s">
        <v>8</v>
      </c>
      <c r="AD171" t="s">
        <v>18</v>
      </c>
      <c r="AE171" t="s">
        <v>575</v>
      </c>
      <c r="AF171" t="s">
        <v>12</v>
      </c>
      <c r="AG171" t="s">
        <v>12</v>
      </c>
      <c r="AH171" t="s">
        <v>12</v>
      </c>
      <c r="AI171" s="2">
        <v>45733</v>
      </c>
      <c r="AJ171" s="2"/>
      <c r="AK171" t="s">
        <v>12</v>
      </c>
    </row>
    <row r="172" spans="1:37" outlineLevel="2" x14ac:dyDescent="0.25">
      <c r="A172" t="s">
        <v>129</v>
      </c>
      <c r="B172" t="s">
        <v>1</v>
      </c>
      <c r="C172" t="s">
        <v>2</v>
      </c>
      <c r="D172" t="s">
        <v>3</v>
      </c>
      <c r="E172" t="s">
        <v>4</v>
      </c>
      <c r="F172" t="s">
        <v>229</v>
      </c>
      <c r="G172" s="2">
        <v>45818</v>
      </c>
      <c r="H172" t="s">
        <v>582</v>
      </c>
      <c r="I172" t="s">
        <v>22</v>
      </c>
      <c r="J172" s="2">
        <v>45818</v>
      </c>
      <c r="K172" s="2">
        <v>45825</v>
      </c>
      <c r="L172" t="s">
        <v>8</v>
      </c>
      <c r="M172" s="26">
        <v>256779414386</v>
      </c>
      <c r="N172" t="s">
        <v>10</v>
      </c>
      <c r="O172" t="s">
        <v>11</v>
      </c>
      <c r="P172" t="s">
        <v>12</v>
      </c>
      <c r="Q172" t="s">
        <v>24</v>
      </c>
      <c r="R172" t="s">
        <v>14</v>
      </c>
      <c r="S172" s="3">
        <v>456.75</v>
      </c>
      <c r="T172" t="s">
        <v>15</v>
      </c>
      <c r="U172" s="3">
        <v>39047.910000000003</v>
      </c>
      <c r="V172" s="3" t="e">
        <f>VLOOKUP(M172,'[1]Query Report'!$A:$E,5,0)</f>
        <v>#N/A</v>
      </c>
      <c r="W172" s="3" t="e">
        <f t="shared" si="12"/>
        <v>#N/A</v>
      </c>
      <c r="X172" s="29" t="e">
        <f t="shared" si="15"/>
        <v>#N/A</v>
      </c>
      <c r="Y172" s="29" t="s">
        <v>1363</v>
      </c>
      <c r="Z172" t="s">
        <v>16</v>
      </c>
      <c r="AA172" t="s">
        <v>17</v>
      </c>
      <c r="AB172" t="s">
        <v>12</v>
      </c>
      <c r="AC172" t="s">
        <v>8</v>
      </c>
      <c r="AD172" t="s">
        <v>18</v>
      </c>
      <c r="AE172" t="s">
        <v>584</v>
      </c>
      <c r="AF172" t="s">
        <v>12</v>
      </c>
      <c r="AG172" t="s">
        <v>12</v>
      </c>
      <c r="AH172" t="s">
        <v>12</v>
      </c>
      <c r="AI172" s="2">
        <v>45818</v>
      </c>
      <c r="AJ172" s="2"/>
      <c r="AK172" t="s">
        <v>12</v>
      </c>
    </row>
    <row r="173" spans="1:37" outlineLevel="2" x14ac:dyDescent="0.25">
      <c r="A173" t="s">
        <v>129</v>
      </c>
      <c r="B173" t="s">
        <v>1</v>
      </c>
      <c r="C173" t="s">
        <v>2</v>
      </c>
      <c r="D173" t="s">
        <v>3</v>
      </c>
      <c r="E173" t="s">
        <v>4</v>
      </c>
      <c r="F173" t="s">
        <v>313</v>
      </c>
      <c r="G173" s="2">
        <v>45917</v>
      </c>
      <c r="H173" t="s">
        <v>585</v>
      </c>
      <c r="I173" t="s">
        <v>22</v>
      </c>
      <c r="J173" s="2">
        <v>45917</v>
      </c>
      <c r="K173" s="2">
        <v>45922</v>
      </c>
      <c r="L173" t="s">
        <v>8</v>
      </c>
      <c r="M173" s="26">
        <v>256779417442</v>
      </c>
      <c r="N173" t="s">
        <v>10</v>
      </c>
      <c r="O173" t="s">
        <v>11</v>
      </c>
      <c r="P173" t="s">
        <v>12</v>
      </c>
      <c r="Q173" t="s">
        <v>24</v>
      </c>
      <c r="R173" t="s">
        <v>14</v>
      </c>
      <c r="S173" s="3">
        <v>6.23</v>
      </c>
      <c r="T173" t="s">
        <v>15</v>
      </c>
      <c r="U173" s="3">
        <v>545.21</v>
      </c>
      <c r="V173" s="3" t="e">
        <f>VLOOKUP(M173,'[1]Query Report'!$A:$E,5,0)</f>
        <v>#N/A</v>
      </c>
      <c r="W173" s="3" t="e">
        <f t="shared" si="12"/>
        <v>#N/A</v>
      </c>
      <c r="X173" s="29" t="e">
        <f t="shared" si="15"/>
        <v>#N/A</v>
      </c>
      <c r="Y173" s="29"/>
      <c r="Z173" t="s">
        <v>16</v>
      </c>
      <c r="AA173" t="s">
        <v>17</v>
      </c>
      <c r="AB173" t="s">
        <v>12</v>
      </c>
      <c r="AC173" t="s">
        <v>587</v>
      </c>
      <c r="AD173" t="s">
        <v>18</v>
      </c>
      <c r="AE173" t="s">
        <v>588</v>
      </c>
      <c r="AF173" t="s">
        <v>12</v>
      </c>
      <c r="AG173" t="s">
        <v>12</v>
      </c>
      <c r="AH173" t="s">
        <v>12</v>
      </c>
      <c r="AI173" s="2">
        <v>45917</v>
      </c>
      <c r="AJ173" s="2"/>
      <c r="AK173" t="s">
        <v>12</v>
      </c>
    </row>
    <row r="174" spans="1:37" outlineLevel="2" x14ac:dyDescent="0.25">
      <c r="A174" t="s">
        <v>129</v>
      </c>
      <c r="B174" t="s">
        <v>1</v>
      </c>
      <c r="C174" t="s">
        <v>2</v>
      </c>
      <c r="D174" t="s">
        <v>3</v>
      </c>
      <c r="E174" t="s">
        <v>4</v>
      </c>
      <c r="F174" t="s">
        <v>13</v>
      </c>
      <c r="G174" s="2">
        <v>45980</v>
      </c>
      <c r="H174" t="s">
        <v>589</v>
      </c>
      <c r="I174" t="s">
        <v>22</v>
      </c>
      <c r="J174" s="2">
        <v>45980</v>
      </c>
      <c r="K174" s="2">
        <v>45981</v>
      </c>
      <c r="L174" t="s">
        <v>8</v>
      </c>
      <c r="M174" s="26">
        <v>256779419364</v>
      </c>
      <c r="N174" t="s">
        <v>10</v>
      </c>
      <c r="O174" t="s">
        <v>11</v>
      </c>
      <c r="P174" t="s">
        <v>12</v>
      </c>
      <c r="Q174" t="s">
        <v>24</v>
      </c>
      <c r="R174" t="s">
        <v>14</v>
      </c>
      <c r="S174" s="3">
        <v>350.75</v>
      </c>
      <c r="T174" t="s">
        <v>15</v>
      </c>
      <c r="U174" s="3">
        <v>30867.19</v>
      </c>
      <c r="V174" s="3" t="e">
        <f>VLOOKUP(M174,'[1]Query Report'!$A:$E,5,0)</f>
        <v>#N/A</v>
      </c>
      <c r="W174" s="3" t="e">
        <f t="shared" si="12"/>
        <v>#N/A</v>
      </c>
      <c r="X174" s="29" t="e">
        <f t="shared" si="15"/>
        <v>#N/A</v>
      </c>
      <c r="Y174" s="29" t="s">
        <v>1363</v>
      </c>
      <c r="Z174" t="s">
        <v>16</v>
      </c>
      <c r="AA174" t="s">
        <v>17</v>
      </c>
      <c r="AB174" t="s">
        <v>12</v>
      </c>
      <c r="AC174" t="s">
        <v>591</v>
      </c>
      <c r="AD174" t="s">
        <v>18</v>
      </c>
      <c r="AE174" t="s">
        <v>592</v>
      </c>
      <c r="AF174" t="s">
        <v>12</v>
      </c>
      <c r="AG174" t="s">
        <v>12</v>
      </c>
      <c r="AH174" t="s">
        <v>12</v>
      </c>
      <c r="AI174" s="2">
        <v>45980</v>
      </c>
      <c r="AJ174" s="2"/>
      <c r="AK174" t="s">
        <v>12</v>
      </c>
    </row>
    <row r="175" spans="1:37" outlineLevel="2" x14ac:dyDescent="0.25">
      <c r="A175" t="s">
        <v>129</v>
      </c>
      <c r="B175" t="s">
        <v>1</v>
      </c>
      <c r="C175" t="s">
        <v>2</v>
      </c>
      <c r="D175" t="s">
        <v>3</v>
      </c>
      <c r="E175" t="s">
        <v>4</v>
      </c>
      <c r="F175" t="s">
        <v>140</v>
      </c>
      <c r="G175" s="2">
        <v>45762</v>
      </c>
      <c r="H175" t="s">
        <v>593</v>
      </c>
      <c r="I175" t="s">
        <v>22</v>
      </c>
      <c r="J175" s="2">
        <v>45762</v>
      </c>
      <c r="K175" s="2">
        <v>45763</v>
      </c>
      <c r="L175" t="s">
        <v>8</v>
      </c>
      <c r="M175" s="26">
        <v>256779411148</v>
      </c>
      <c r="N175" t="s">
        <v>10</v>
      </c>
      <c r="O175" t="s">
        <v>11</v>
      </c>
      <c r="P175" t="s">
        <v>12</v>
      </c>
      <c r="Q175" t="s">
        <v>24</v>
      </c>
      <c r="R175" t="s">
        <v>14</v>
      </c>
      <c r="S175" s="3">
        <v>304.01</v>
      </c>
      <c r="T175" t="s">
        <v>15</v>
      </c>
      <c r="U175" s="3">
        <v>26425.1</v>
      </c>
      <c r="V175" s="3" t="e">
        <f>VLOOKUP(M175,'[1]Query Report'!$A:$E,5,0)</f>
        <v>#N/A</v>
      </c>
      <c r="W175" s="3" t="e">
        <f t="shared" si="12"/>
        <v>#N/A</v>
      </c>
      <c r="X175" s="29" t="e">
        <f t="shared" si="15"/>
        <v>#N/A</v>
      </c>
      <c r="Y175" s="29" t="s">
        <v>1363</v>
      </c>
      <c r="Z175" t="s">
        <v>16</v>
      </c>
      <c r="AA175" t="s">
        <v>12</v>
      </c>
      <c r="AB175" t="s">
        <v>12</v>
      </c>
      <c r="AC175" t="s">
        <v>8</v>
      </c>
      <c r="AD175" t="s">
        <v>18</v>
      </c>
      <c r="AE175" t="s">
        <v>595</v>
      </c>
      <c r="AF175" t="s">
        <v>12</v>
      </c>
      <c r="AG175" t="s">
        <v>12</v>
      </c>
      <c r="AH175" t="s">
        <v>12</v>
      </c>
      <c r="AI175" s="2">
        <v>45762</v>
      </c>
      <c r="AJ175" s="2"/>
      <c r="AK175" t="s">
        <v>12</v>
      </c>
    </row>
    <row r="176" spans="1:37" outlineLevel="2" x14ac:dyDescent="0.25">
      <c r="A176" t="s">
        <v>129</v>
      </c>
      <c r="B176" t="s">
        <v>1</v>
      </c>
      <c r="C176" t="s">
        <v>2</v>
      </c>
      <c r="D176" t="s">
        <v>3</v>
      </c>
      <c r="E176" t="s">
        <v>4</v>
      </c>
      <c r="F176" t="s">
        <v>140</v>
      </c>
      <c r="G176" s="2">
        <v>45762</v>
      </c>
      <c r="H176" t="s">
        <v>596</v>
      </c>
      <c r="I176" t="s">
        <v>22</v>
      </c>
      <c r="J176" s="2">
        <v>45762</v>
      </c>
      <c r="K176" s="2">
        <v>45763</v>
      </c>
      <c r="L176" t="s">
        <v>8</v>
      </c>
      <c r="M176" s="26">
        <v>256779411149</v>
      </c>
      <c r="N176" t="s">
        <v>10</v>
      </c>
      <c r="O176" t="s">
        <v>11</v>
      </c>
      <c r="P176" t="s">
        <v>12</v>
      </c>
      <c r="Q176" t="s">
        <v>24</v>
      </c>
      <c r="R176" t="s">
        <v>14</v>
      </c>
      <c r="S176" s="3">
        <v>31.72</v>
      </c>
      <c r="T176" t="s">
        <v>15</v>
      </c>
      <c r="U176" s="3">
        <v>2757.16</v>
      </c>
      <c r="V176" s="3" t="e">
        <f>VLOOKUP(M176,'[1]Query Report'!$A:$E,5,0)</f>
        <v>#N/A</v>
      </c>
      <c r="W176" s="3" t="e">
        <f t="shared" si="12"/>
        <v>#N/A</v>
      </c>
      <c r="X176" s="29" t="e">
        <f t="shared" si="15"/>
        <v>#N/A</v>
      </c>
      <c r="Y176" s="29" t="s">
        <v>1363</v>
      </c>
      <c r="Z176" t="s">
        <v>16</v>
      </c>
      <c r="AA176" t="s">
        <v>12</v>
      </c>
      <c r="AB176" t="s">
        <v>12</v>
      </c>
      <c r="AC176" t="s">
        <v>8</v>
      </c>
      <c r="AD176" t="s">
        <v>18</v>
      </c>
      <c r="AE176" t="s">
        <v>598</v>
      </c>
      <c r="AF176" t="s">
        <v>12</v>
      </c>
      <c r="AG176" t="s">
        <v>12</v>
      </c>
      <c r="AH176" t="s">
        <v>12</v>
      </c>
      <c r="AI176" s="2">
        <v>45762</v>
      </c>
      <c r="AJ176" s="2"/>
      <c r="AK176" t="s">
        <v>12</v>
      </c>
    </row>
    <row r="177" spans="1:37" outlineLevel="2" x14ac:dyDescent="0.25">
      <c r="A177" t="s">
        <v>129</v>
      </c>
      <c r="B177" t="s">
        <v>1</v>
      </c>
      <c r="C177" t="s">
        <v>2</v>
      </c>
      <c r="D177" t="s">
        <v>3</v>
      </c>
      <c r="E177" t="s">
        <v>4</v>
      </c>
      <c r="F177" t="s">
        <v>140</v>
      </c>
      <c r="G177" s="2">
        <v>45762</v>
      </c>
      <c r="H177" t="s">
        <v>599</v>
      </c>
      <c r="I177" t="s">
        <v>22</v>
      </c>
      <c r="J177" s="2">
        <v>45762</v>
      </c>
      <c r="K177" s="2">
        <v>45763</v>
      </c>
      <c r="L177" t="s">
        <v>8</v>
      </c>
      <c r="M177" s="26">
        <v>256779411150</v>
      </c>
      <c r="N177" t="s">
        <v>10</v>
      </c>
      <c r="O177" t="s">
        <v>11</v>
      </c>
      <c r="P177" t="s">
        <v>12</v>
      </c>
      <c r="Q177" t="s">
        <v>24</v>
      </c>
      <c r="R177" t="s">
        <v>14</v>
      </c>
      <c r="S177" s="3">
        <v>158.6</v>
      </c>
      <c r="T177" t="s">
        <v>15</v>
      </c>
      <c r="U177" s="3">
        <v>13785.8</v>
      </c>
      <c r="V177" s="3" t="e">
        <f>VLOOKUP(M177,'[1]Query Report'!$A:$E,5,0)</f>
        <v>#N/A</v>
      </c>
      <c r="W177" s="3" t="e">
        <f t="shared" si="12"/>
        <v>#N/A</v>
      </c>
      <c r="X177" s="29" t="e">
        <f t="shared" si="15"/>
        <v>#N/A</v>
      </c>
      <c r="Y177" s="29" t="s">
        <v>1363</v>
      </c>
      <c r="Z177" t="s">
        <v>16</v>
      </c>
      <c r="AA177" t="s">
        <v>12</v>
      </c>
      <c r="AB177" t="s">
        <v>12</v>
      </c>
      <c r="AC177" t="s">
        <v>8</v>
      </c>
      <c r="AD177" t="s">
        <v>18</v>
      </c>
      <c r="AE177" t="s">
        <v>598</v>
      </c>
      <c r="AF177" t="s">
        <v>12</v>
      </c>
      <c r="AG177" t="s">
        <v>12</v>
      </c>
      <c r="AH177" t="s">
        <v>12</v>
      </c>
      <c r="AI177" s="2">
        <v>45762</v>
      </c>
      <c r="AJ177" s="2"/>
      <c r="AK177" t="s">
        <v>12</v>
      </c>
    </row>
    <row r="178" spans="1:37" outlineLevel="2" x14ac:dyDescent="0.25">
      <c r="A178" t="s">
        <v>129</v>
      </c>
      <c r="B178" t="s">
        <v>1</v>
      </c>
      <c r="C178" t="s">
        <v>2</v>
      </c>
      <c r="D178" t="s">
        <v>3</v>
      </c>
      <c r="E178" t="s">
        <v>4</v>
      </c>
      <c r="F178" t="s">
        <v>140</v>
      </c>
      <c r="G178" s="2">
        <v>45762</v>
      </c>
      <c r="H178" t="s">
        <v>601</v>
      </c>
      <c r="I178" t="s">
        <v>22</v>
      </c>
      <c r="J178" s="2">
        <v>45762</v>
      </c>
      <c r="K178" s="2">
        <v>45763</v>
      </c>
      <c r="L178" t="s">
        <v>8</v>
      </c>
      <c r="M178" s="26">
        <v>256779411151</v>
      </c>
      <c r="N178" t="s">
        <v>10</v>
      </c>
      <c r="O178" t="s">
        <v>11</v>
      </c>
      <c r="P178" t="s">
        <v>12</v>
      </c>
      <c r="Q178" t="s">
        <v>24</v>
      </c>
      <c r="R178" t="s">
        <v>14</v>
      </c>
      <c r="S178" s="3">
        <v>160</v>
      </c>
      <c r="T178" t="s">
        <v>15</v>
      </c>
      <c r="U178" s="3">
        <v>13907.49</v>
      </c>
      <c r="V178" s="3" t="e">
        <f>VLOOKUP(M178,'[1]Query Report'!$A:$E,5,0)</f>
        <v>#N/A</v>
      </c>
      <c r="W178" s="3" t="e">
        <f t="shared" si="12"/>
        <v>#N/A</v>
      </c>
      <c r="X178" s="29" t="e">
        <f t="shared" si="15"/>
        <v>#N/A</v>
      </c>
      <c r="Y178" s="29" t="s">
        <v>1363</v>
      </c>
      <c r="Z178" t="s">
        <v>16</v>
      </c>
      <c r="AA178" t="s">
        <v>12</v>
      </c>
      <c r="AB178" t="s">
        <v>12</v>
      </c>
      <c r="AC178" t="s">
        <v>8</v>
      </c>
      <c r="AD178" t="s">
        <v>18</v>
      </c>
      <c r="AE178" t="s">
        <v>603</v>
      </c>
      <c r="AF178" t="s">
        <v>12</v>
      </c>
      <c r="AG178" t="s">
        <v>12</v>
      </c>
      <c r="AH178" t="s">
        <v>12</v>
      </c>
      <c r="AI178" s="2">
        <v>45762</v>
      </c>
      <c r="AJ178" s="2"/>
      <c r="AK178" t="s">
        <v>12</v>
      </c>
    </row>
    <row r="179" spans="1:37" outlineLevel="2" x14ac:dyDescent="0.25">
      <c r="A179" t="s">
        <v>129</v>
      </c>
      <c r="B179" t="s">
        <v>1</v>
      </c>
      <c r="C179" t="s">
        <v>2</v>
      </c>
      <c r="D179" t="s">
        <v>3</v>
      </c>
      <c r="E179" t="s">
        <v>4</v>
      </c>
      <c r="F179" t="s">
        <v>140</v>
      </c>
      <c r="G179" s="2">
        <v>45762</v>
      </c>
      <c r="H179" t="s">
        <v>604</v>
      </c>
      <c r="I179" t="s">
        <v>22</v>
      </c>
      <c r="J179" s="2">
        <v>45762</v>
      </c>
      <c r="K179" s="2">
        <v>45763</v>
      </c>
      <c r="L179" t="s">
        <v>8</v>
      </c>
      <c r="M179" s="26">
        <v>256779411563</v>
      </c>
      <c r="N179" t="s">
        <v>10</v>
      </c>
      <c r="O179" t="s">
        <v>11</v>
      </c>
      <c r="P179" t="s">
        <v>12</v>
      </c>
      <c r="Q179" t="s">
        <v>24</v>
      </c>
      <c r="R179" t="s">
        <v>14</v>
      </c>
      <c r="S179" s="3">
        <v>2.35</v>
      </c>
      <c r="T179" t="s">
        <v>15</v>
      </c>
      <c r="U179" s="3">
        <v>204.27</v>
      </c>
      <c r="V179" s="3" t="e">
        <f>VLOOKUP(M179,'[1]Query Report'!$A:$E,5,0)</f>
        <v>#N/A</v>
      </c>
      <c r="W179" s="3" t="e">
        <f t="shared" si="12"/>
        <v>#N/A</v>
      </c>
      <c r="X179" s="29" t="e">
        <f t="shared" si="15"/>
        <v>#N/A</v>
      </c>
      <c r="Y179" s="29" t="s">
        <v>1363</v>
      </c>
      <c r="Z179" t="s">
        <v>16</v>
      </c>
      <c r="AA179" t="s">
        <v>12</v>
      </c>
      <c r="AB179" t="s">
        <v>12</v>
      </c>
      <c r="AC179" t="s">
        <v>8</v>
      </c>
      <c r="AD179" t="s">
        <v>18</v>
      </c>
      <c r="AE179" t="s">
        <v>606</v>
      </c>
      <c r="AF179" t="s">
        <v>12</v>
      </c>
      <c r="AG179" t="s">
        <v>12</v>
      </c>
      <c r="AH179" t="s">
        <v>12</v>
      </c>
      <c r="AI179" s="2">
        <v>45762</v>
      </c>
      <c r="AJ179" s="2"/>
      <c r="AK179" t="s">
        <v>12</v>
      </c>
    </row>
    <row r="180" spans="1:37" outlineLevel="2" x14ac:dyDescent="0.25">
      <c r="A180" t="s">
        <v>129</v>
      </c>
      <c r="B180" t="s">
        <v>1</v>
      </c>
      <c r="C180" t="s">
        <v>2</v>
      </c>
      <c r="D180" t="s">
        <v>3</v>
      </c>
      <c r="E180" t="s">
        <v>4</v>
      </c>
      <c r="F180" t="s">
        <v>140</v>
      </c>
      <c r="G180" s="2">
        <v>45762</v>
      </c>
      <c r="H180" t="s">
        <v>607</v>
      </c>
      <c r="I180" t="s">
        <v>22</v>
      </c>
      <c r="J180" s="2">
        <v>45762</v>
      </c>
      <c r="K180" s="2">
        <v>45763</v>
      </c>
      <c r="L180" t="s">
        <v>8</v>
      </c>
      <c r="M180" s="26">
        <v>256779411564</v>
      </c>
      <c r="N180" t="s">
        <v>10</v>
      </c>
      <c r="O180" t="s">
        <v>11</v>
      </c>
      <c r="P180" t="s">
        <v>12</v>
      </c>
      <c r="Q180" t="s">
        <v>24</v>
      </c>
      <c r="R180" t="s">
        <v>14</v>
      </c>
      <c r="S180" s="3">
        <v>9.4</v>
      </c>
      <c r="T180" t="s">
        <v>15</v>
      </c>
      <c r="U180" s="3">
        <v>817.07</v>
      </c>
      <c r="V180" s="3" t="e">
        <f>VLOOKUP(M180,'[1]Query Report'!$A:$E,5,0)</f>
        <v>#N/A</v>
      </c>
      <c r="W180" s="3" t="e">
        <f t="shared" si="12"/>
        <v>#N/A</v>
      </c>
      <c r="X180" s="29" t="e">
        <f t="shared" si="15"/>
        <v>#N/A</v>
      </c>
      <c r="Y180" s="29" t="s">
        <v>1363</v>
      </c>
      <c r="Z180" t="s">
        <v>16</v>
      </c>
      <c r="AA180" t="s">
        <v>12</v>
      </c>
      <c r="AB180" t="s">
        <v>12</v>
      </c>
      <c r="AC180" t="s">
        <v>8</v>
      </c>
      <c r="AD180" t="s">
        <v>18</v>
      </c>
      <c r="AE180" t="s">
        <v>606</v>
      </c>
      <c r="AF180" t="s">
        <v>12</v>
      </c>
      <c r="AG180" t="s">
        <v>12</v>
      </c>
      <c r="AH180" t="s">
        <v>12</v>
      </c>
      <c r="AI180" s="2">
        <v>45762</v>
      </c>
      <c r="AJ180" s="2"/>
      <c r="AK180" t="s">
        <v>12</v>
      </c>
    </row>
    <row r="181" spans="1:37" outlineLevel="2" x14ac:dyDescent="0.25">
      <c r="A181" t="s">
        <v>129</v>
      </c>
      <c r="B181" t="s">
        <v>1</v>
      </c>
      <c r="C181" t="s">
        <v>2</v>
      </c>
      <c r="D181" t="s">
        <v>3</v>
      </c>
      <c r="E181" t="s">
        <v>4</v>
      </c>
      <c r="F181" t="s">
        <v>609</v>
      </c>
      <c r="G181" s="2">
        <v>45880</v>
      </c>
      <c r="H181" t="s">
        <v>610</v>
      </c>
      <c r="I181" t="s">
        <v>22</v>
      </c>
      <c r="J181" s="2">
        <v>45880</v>
      </c>
      <c r="K181" s="2">
        <v>45881</v>
      </c>
      <c r="L181" t="s">
        <v>8</v>
      </c>
      <c r="M181" s="26">
        <v>256779416544</v>
      </c>
      <c r="N181" t="s">
        <v>10</v>
      </c>
      <c r="O181" t="s">
        <v>11</v>
      </c>
      <c r="P181" t="s">
        <v>12</v>
      </c>
      <c r="Q181" t="s">
        <v>24</v>
      </c>
      <c r="R181" t="s">
        <v>14</v>
      </c>
      <c r="S181" s="3">
        <v>298.70999999999998</v>
      </c>
      <c r="T181" t="s">
        <v>15</v>
      </c>
      <c r="U181" s="3">
        <v>25698.06</v>
      </c>
      <c r="V181" s="3" t="e">
        <f>VLOOKUP(M181,'[1]Query Report'!$A:$E,5,0)</f>
        <v>#N/A</v>
      </c>
      <c r="W181" s="3" t="e">
        <f t="shared" si="12"/>
        <v>#N/A</v>
      </c>
      <c r="X181" s="29" t="e">
        <f t="shared" si="15"/>
        <v>#N/A</v>
      </c>
      <c r="Y181" s="29" t="s">
        <v>1363</v>
      </c>
      <c r="Z181" t="s">
        <v>16</v>
      </c>
      <c r="AA181" t="s">
        <v>17</v>
      </c>
      <c r="AB181" t="s">
        <v>12</v>
      </c>
      <c r="AC181" t="s">
        <v>8</v>
      </c>
      <c r="AD181" t="s">
        <v>18</v>
      </c>
      <c r="AE181" t="s">
        <v>612</v>
      </c>
      <c r="AF181" t="s">
        <v>12</v>
      </c>
      <c r="AG181" t="s">
        <v>12</v>
      </c>
      <c r="AH181" t="s">
        <v>12</v>
      </c>
      <c r="AI181" s="2">
        <v>45880</v>
      </c>
      <c r="AJ181" s="2"/>
      <c r="AK181" t="s">
        <v>12</v>
      </c>
    </row>
    <row r="182" spans="1:37" outlineLevel="2" x14ac:dyDescent="0.25">
      <c r="A182" t="s">
        <v>129</v>
      </c>
      <c r="B182" t="s">
        <v>1</v>
      </c>
      <c r="C182" t="s">
        <v>2</v>
      </c>
      <c r="D182" t="s">
        <v>3</v>
      </c>
      <c r="E182" t="s">
        <v>4</v>
      </c>
      <c r="F182" t="s">
        <v>609</v>
      </c>
      <c r="G182" s="2">
        <v>45880</v>
      </c>
      <c r="H182" t="s">
        <v>613</v>
      </c>
      <c r="I182" t="s">
        <v>22</v>
      </c>
      <c r="J182" s="2">
        <v>45880</v>
      </c>
      <c r="K182" s="2">
        <v>45881</v>
      </c>
      <c r="L182" t="s">
        <v>8</v>
      </c>
      <c r="M182" s="26">
        <v>256779416546</v>
      </c>
      <c r="N182" t="s">
        <v>10</v>
      </c>
      <c r="O182" t="s">
        <v>11</v>
      </c>
      <c r="P182" t="s">
        <v>12</v>
      </c>
      <c r="Q182" t="s">
        <v>24</v>
      </c>
      <c r="R182" t="s">
        <v>14</v>
      </c>
      <c r="S182" s="3">
        <v>282.89999999999998</v>
      </c>
      <c r="T182" t="s">
        <v>15</v>
      </c>
      <c r="U182" s="3">
        <v>24337.919999999998</v>
      </c>
      <c r="V182" s="3" t="e">
        <f>VLOOKUP(M182,'[1]Query Report'!$A:$E,5,0)</f>
        <v>#N/A</v>
      </c>
      <c r="W182" s="3" t="e">
        <f t="shared" si="12"/>
        <v>#N/A</v>
      </c>
      <c r="X182" s="29" t="e">
        <f t="shared" si="15"/>
        <v>#N/A</v>
      </c>
      <c r="Y182" s="29" t="s">
        <v>1363</v>
      </c>
      <c r="Z182" t="s">
        <v>16</v>
      </c>
      <c r="AA182" t="s">
        <v>17</v>
      </c>
      <c r="AB182" t="s">
        <v>12</v>
      </c>
      <c r="AC182" t="s">
        <v>8</v>
      </c>
      <c r="AD182" t="s">
        <v>18</v>
      </c>
      <c r="AE182" t="s">
        <v>615</v>
      </c>
      <c r="AF182" t="s">
        <v>12</v>
      </c>
      <c r="AG182" t="s">
        <v>12</v>
      </c>
      <c r="AH182" t="s">
        <v>12</v>
      </c>
      <c r="AI182" s="2">
        <v>45880</v>
      </c>
      <c r="AJ182" s="2"/>
      <c r="AK182" t="s">
        <v>12</v>
      </c>
    </row>
    <row r="183" spans="1:37" outlineLevel="2" x14ac:dyDescent="0.25">
      <c r="A183" t="s">
        <v>129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s="2">
        <v>45845</v>
      </c>
      <c r="H183" t="s">
        <v>616</v>
      </c>
      <c r="I183" t="s">
        <v>22</v>
      </c>
      <c r="J183" s="2">
        <v>45845</v>
      </c>
      <c r="K183" s="2">
        <v>45847</v>
      </c>
      <c r="L183" t="s">
        <v>8</v>
      </c>
      <c r="M183" s="26">
        <v>256779414968</v>
      </c>
      <c r="N183" t="s">
        <v>10</v>
      </c>
      <c r="O183" t="s">
        <v>11</v>
      </c>
      <c r="P183" t="s">
        <v>12</v>
      </c>
      <c r="Q183" t="s">
        <v>24</v>
      </c>
      <c r="R183" t="s">
        <v>14</v>
      </c>
      <c r="S183" s="3">
        <v>31.58</v>
      </c>
      <c r="T183" t="s">
        <v>15</v>
      </c>
      <c r="U183" s="3">
        <v>2715.9</v>
      </c>
      <c r="V183" s="3" t="e">
        <f>VLOOKUP(M183,'[1]Query Report'!$A:$E,5,0)</f>
        <v>#N/A</v>
      </c>
      <c r="W183" s="3" t="e">
        <f t="shared" si="12"/>
        <v>#N/A</v>
      </c>
      <c r="X183" s="29" t="e">
        <f t="shared" si="15"/>
        <v>#N/A</v>
      </c>
      <c r="Y183" s="29" t="s">
        <v>1363</v>
      </c>
      <c r="Z183" t="s">
        <v>16</v>
      </c>
      <c r="AA183" t="s">
        <v>17</v>
      </c>
      <c r="AB183" t="s">
        <v>12</v>
      </c>
      <c r="AC183" t="s">
        <v>8</v>
      </c>
      <c r="AD183" t="s">
        <v>18</v>
      </c>
      <c r="AE183" t="s">
        <v>12</v>
      </c>
      <c r="AF183" t="s">
        <v>12</v>
      </c>
      <c r="AG183" t="s">
        <v>12</v>
      </c>
      <c r="AH183" t="s">
        <v>12</v>
      </c>
      <c r="AI183" s="2">
        <v>45845</v>
      </c>
      <c r="AJ183" s="2"/>
      <c r="AK183" t="s">
        <v>12</v>
      </c>
    </row>
    <row r="184" spans="1:37" outlineLevel="2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176</v>
      </c>
      <c r="G184" s="2">
        <v>45947</v>
      </c>
      <c r="H184" t="s">
        <v>618</v>
      </c>
      <c r="I184" t="s">
        <v>7</v>
      </c>
      <c r="J184" s="2">
        <v>45947</v>
      </c>
      <c r="K184" s="2">
        <v>45953</v>
      </c>
      <c r="L184" t="s">
        <v>8</v>
      </c>
      <c r="M184" s="26">
        <v>256779422013</v>
      </c>
      <c r="N184" t="s">
        <v>10</v>
      </c>
      <c r="O184" t="s">
        <v>11</v>
      </c>
      <c r="P184" t="s">
        <v>12</v>
      </c>
      <c r="Q184" t="s">
        <v>13</v>
      </c>
      <c r="R184" t="s">
        <v>14</v>
      </c>
      <c r="S184" s="3">
        <v>-582.79999999999995</v>
      </c>
      <c r="T184" t="s">
        <v>15</v>
      </c>
      <c r="U184" s="3">
        <v>-51397.58</v>
      </c>
      <c r="V184" s="3" t="e">
        <f>VLOOKUP(M184,'[1]Query Report'!$A:$E,5,0)</f>
        <v>#N/A</v>
      </c>
      <c r="W184" s="3" t="e">
        <f t="shared" si="12"/>
        <v>#N/A</v>
      </c>
      <c r="X184" s="3"/>
      <c r="Y184" s="3"/>
      <c r="Z184" t="s">
        <v>16</v>
      </c>
      <c r="AA184" t="s">
        <v>17</v>
      </c>
      <c r="AB184" t="s">
        <v>12</v>
      </c>
      <c r="AC184" t="s">
        <v>620</v>
      </c>
      <c r="AD184" t="s">
        <v>18</v>
      </c>
      <c r="AE184" t="s">
        <v>621</v>
      </c>
      <c r="AF184" t="s">
        <v>12</v>
      </c>
      <c r="AG184" t="s">
        <v>12</v>
      </c>
      <c r="AH184" t="s">
        <v>12</v>
      </c>
      <c r="AI184" s="2">
        <v>45947</v>
      </c>
      <c r="AJ184" s="2">
        <v>45976</v>
      </c>
      <c r="AK184" t="s">
        <v>64</v>
      </c>
    </row>
    <row r="185" spans="1:37" outlineLevel="2" x14ac:dyDescent="0.25">
      <c r="A185" t="s">
        <v>129</v>
      </c>
      <c r="B185" t="s">
        <v>1</v>
      </c>
      <c r="C185" t="s">
        <v>2</v>
      </c>
      <c r="D185" t="s">
        <v>3</v>
      </c>
      <c r="E185" t="s">
        <v>4</v>
      </c>
      <c r="F185" t="s">
        <v>140</v>
      </c>
      <c r="G185" s="2">
        <v>45763</v>
      </c>
      <c r="H185" t="s">
        <v>622</v>
      </c>
      <c r="I185" t="s">
        <v>22</v>
      </c>
      <c r="J185" s="2">
        <v>45763</v>
      </c>
      <c r="K185" s="2">
        <v>45764</v>
      </c>
      <c r="L185" t="s">
        <v>8</v>
      </c>
      <c r="M185" s="26">
        <v>256779411807</v>
      </c>
      <c r="N185" t="s">
        <v>10</v>
      </c>
      <c r="O185" t="s">
        <v>11</v>
      </c>
      <c r="P185" t="s">
        <v>12</v>
      </c>
      <c r="Q185" t="s">
        <v>24</v>
      </c>
      <c r="R185" t="s">
        <v>14</v>
      </c>
      <c r="S185" s="3">
        <v>23.5</v>
      </c>
      <c r="T185" t="s">
        <v>15</v>
      </c>
      <c r="U185" s="3">
        <v>2042.66</v>
      </c>
      <c r="V185" s="3" t="e">
        <f>VLOOKUP(M185,'[1]Query Report'!$A:$E,5,0)</f>
        <v>#N/A</v>
      </c>
      <c r="W185" s="3" t="e">
        <f t="shared" si="12"/>
        <v>#N/A</v>
      </c>
      <c r="X185" s="29" t="e">
        <f t="shared" ref="X185:X187" si="16">W185/U185</f>
        <v>#N/A</v>
      </c>
      <c r="Y185" s="29" t="s">
        <v>1362</v>
      </c>
      <c r="Z185" t="s">
        <v>16</v>
      </c>
      <c r="AA185" t="s">
        <v>17</v>
      </c>
      <c r="AB185" t="s">
        <v>12</v>
      </c>
      <c r="AC185" t="s">
        <v>8</v>
      </c>
      <c r="AD185" t="s">
        <v>18</v>
      </c>
      <c r="AE185" t="s">
        <v>624</v>
      </c>
      <c r="AF185" t="s">
        <v>12</v>
      </c>
      <c r="AG185" t="s">
        <v>12</v>
      </c>
      <c r="AH185" t="s">
        <v>12</v>
      </c>
      <c r="AI185" s="2">
        <v>45763</v>
      </c>
      <c r="AJ185" s="2"/>
      <c r="AK185" t="s">
        <v>12</v>
      </c>
    </row>
    <row r="186" spans="1:37" outlineLevel="2" x14ac:dyDescent="0.25">
      <c r="A186" t="s">
        <v>129</v>
      </c>
      <c r="B186" t="s">
        <v>1</v>
      </c>
      <c r="C186" t="s">
        <v>2</v>
      </c>
      <c r="D186" t="s">
        <v>3</v>
      </c>
      <c r="E186" t="s">
        <v>4</v>
      </c>
      <c r="F186" t="s">
        <v>140</v>
      </c>
      <c r="G186" s="2">
        <v>45763</v>
      </c>
      <c r="H186" t="s">
        <v>625</v>
      </c>
      <c r="I186" t="s">
        <v>22</v>
      </c>
      <c r="J186" s="2">
        <v>45763</v>
      </c>
      <c r="K186" s="2">
        <v>45764</v>
      </c>
      <c r="L186" t="s">
        <v>8</v>
      </c>
      <c r="M186" s="26">
        <v>256779411885</v>
      </c>
      <c r="N186" t="s">
        <v>10</v>
      </c>
      <c r="O186" t="s">
        <v>11</v>
      </c>
      <c r="P186" t="s">
        <v>12</v>
      </c>
      <c r="Q186" t="s">
        <v>24</v>
      </c>
      <c r="R186" t="s">
        <v>14</v>
      </c>
      <c r="S186" s="3">
        <v>15</v>
      </c>
      <c r="T186" t="s">
        <v>15</v>
      </c>
      <c r="U186" s="3">
        <v>1303.83</v>
      </c>
      <c r="V186" s="3" t="e">
        <f>VLOOKUP(M186,'[1]Query Report'!$A:$E,5,0)</f>
        <v>#N/A</v>
      </c>
      <c r="W186" s="3" t="e">
        <f t="shared" si="12"/>
        <v>#N/A</v>
      </c>
      <c r="X186" s="29" t="e">
        <f t="shared" si="16"/>
        <v>#N/A</v>
      </c>
      <c r="Y186" s="29" t="s">
        <v>1362</v>
      </c>
      <c r="Z186" t="s">
        <v>16</v>
      </c>
      <c r="AA186" t="s">
        <v>17</v>
      </c>
      <c r="AB186" t="s">
        <v>12</v>
      </c>
      <c r="AC186" t="s">
        <v>8</v>
      </c>
      <c r="AD186" t="s">
        <v>18</v>
      </c>
      <c r="AE186" t="s">
        <v>627</v>
      </c>
      <c r="AF186" t="s">
        <v>12</v>
      </c>
      <c r="AG186" t="s">
        <v>12</v>
      </c>
      <c r="AH186" t="s">
        <v>12</v>
      </c>
      <c r="AI186" s="2">
        <v>45763</v>
      </c>
      <c r="AJ186" s="2"/>
      <c r="AK186" t="s">
        <v>12</v>
      </c>
    </row>
    <row r="187" spans="1:37" outlineLevel="2" x14ac:dyDescent="0.25">
      <c r="A187" t="s">
        <v>129</v>
      </c>
      <c r="B187" t="s">
        <v>1</v>
      </c>
      <c r="C187" t="s">
        <v>2</v>
      </c>
      <c r="D187" t="s">
        <v>3</v>
      </c>
      <c r="E187" t="s">
        <v>4</v>
      </c>
      <c r="F187" t="s">
        <v>140</v>
      </c>
      <c r="G187" s="2">
        <v>45763</v>
      </c>
      <c r="H187" t="s">
        <v>628</v>
      </c>
      <c r="I187" t="s">
        <v>22</v>
      </c>
      <c r="J187" s="2">
        <v>45763</v>
      </c>
      <c r="K187" s="2">
        <v>45764</v>
      </c>
      <c r="L187" t="s">
        <v>8</v>
      </c>
      <c r="M187" s="26">
        <v>256779411886</v>
      </c>
      <c r="N187" t="s">
        <v>10</v>
      </c>
      <c r="O187" t="s">
        <v>11</v>
      </c>
      <c r="P187" t="s">
        <v>12</v>
      </c>
      <c r="Q187" t="s">
        <v>24</v>
      </c>
      <c r="R187" t="s">
        <v>14</v>
      </c>
      <c r="S187" s="3">
        <v>5.25</v>
      </c>
      <c r="T187" t="s">
        <v>15</v>
      </c>
      <c r="U187" s="3">
        <v>456.34</v>
      </c>
      <c r="V187" s="3" t="e">
        <f>VLOOKUP(M187,'[1]Query Report'!$A:$E,5,0)</f>
        <v>#N/A</v>
      </c>
      <c r="W187" s="3" t="e">
        <f t="shared" si="12"/>
        <v>#N/A</v>
      </c>
      <c r="X187" s="29" t="e">
        <f t="shared" si="16"/>
        <v>#N/A</v>
      </c>
      <c r="Y187" s="29" t="s">
        <v>1363</v>
      </c>
      <c r="Z187" t="s">
        <v>16</v>
      </c>
      <c r="AA187" t="s">
        <v>17</v>
      </c>
      <c r="AB187" t="s">
        <v>12</v>
      </c>
      <c r="AC187" t="s">
        <v>8</v>
      </c>
      <c r="AD187" t="s">
        <v>18</v>
      </c>
      <c r="AE187" t="s">
        <v>630</v>
      </c>
      <c r="AF187" t="s">
        <v>12</v>
      </c>
      <c r="AG187" t="s">
        <v>12</v>
      </c>
      <c r="AH187" t="s">
        <v>12</v>
      </c>
      <c r="AI187" s="2">
        <v>45763</v>
      </c>
      <c r="AJ187" s="2"/>
      <c r="AK187" t="s">
        <v>12</v>
      </c>
    </row>
    <row r="188" spans="1:37" outlineLevel="2" x14ac:dyDescent="0.25">
      <c r="A188" t="s">
        <v>129</v>
      </c>
      <c r="B188" t="s">
        <v>1</v>
      </c>
      <c r="C188" t="s">
        <v>2</v>
      </c>
      <c r="D188" t="s">
        <v>3</v>
      </c>
      <c r="E188" t="s">
        <v>4</v>
      </c>
      <c r="F188" t="s">
        <v>140</v>
      </c>
      <c r="G188" s="2">
        <v>45763</v>
      </c>
      <c r="H188" t="s">
        <v>631</v>
      </c>
      <c r="I188" t="s">
        <v>22</v>
      </c>
      <c r="J188" s="2">
        <v>45763</v>
      </c>
      <c r="K188" s="2">
        <v>45764</v>
      </c>
      <c r="L188" t="s">
        <v>8</v>
      </c>
      <c r="M188" s="26">
        <v>256779411978</v>
      </c>
      <c r="N188" t="s">
        <v>10</v>
      </c>
      <c r="O188" t="s">
        <v>11</v>
      </c>
      <c r="P188" t="s">
        <v>12</v>
      </c>
      <c r="Q188" t="s">
        <v>24</v>
      </c>
      <c r="R188" t="s">
        <v>14</v>
      </c>
      <c r="S188" s="3">
        <v>46.85</v>
      </c>
      <c r="T188" t="s">
        <v>15</v>
      </c>
      <c r="U188" s="3">
        <v>4072.29</v>
      </c>
      <c r="V188" s="3" t="e">
        <f>VLOOKUP(M188,'[1]Query Report'!$A:$E,5,0)</f>
        <v>#N/A</v>
      </c>
      <c r="W188" s="3" t="e">
        <f t="shared" si="12"/>
        <v>#N/A</v>
      </c>
      <c r="X188" s="3"/>
      <c r="Y188" s="3"/>
      <c r="Z188" t="s">
        <v>16</v>
      </c>
      <c r="AA188" t="s">
        <v>17</v>
      </c>
      <c r="AB188" t="s">
        <v>12</v>
      </c>
      <c r="AC188" t="s">
        <v>8</v>
      </c>
      <c r="AD188" t="s">
        <v>18</v>
      </c>
      <c r="AE188" t="s">
        <v>633</v>
      </c>
      <c r="AF188" t="s">
        <v>12</v>
      </c>
      <c r="AG188" t="s">
        <v>12</v>
      </c>
      <c r="AH188" t="s">
        <v>12</v>
      </c>
      <c r="AI188" s="2">
        <v>45763</v>
      </c>
      <c r="AJ188" s="2"/>
      <c r="AK188" t="s">
        <v>12</v>
      </c>
    </row>
    <row r="189" spans="1:37" outlineLevel="2" x14ac:dyDescent="0.25">
      <c r="A189" t="s">
        <v>129</v>
      </c>
      <c r="B189" t="s">
        <v>1</v>
      </c>
      <c r="C189" t="s">
        <v>2</v>
      </c>
      <c r="D189" t="s">
        <v>3</v>
      </c>
      <c r="E189" t="s">
        <v>4</v>
      </c>
      <c r="F189" t="s">
        <v>140</v>
      </c>
      <c r="G189" s="2">
        <v>45763</v>
      </c>
      <c r="H189" t="s">
        <v>634</v>
      </c>
      <c r="I189" t="s">
        <v>22</v>
      </c>
      <c r="J189" s="2">
        <v>45763</v>
      </c>
      <c r="K189" s="2">
        <v>45764</v>
      </c>
      <c r="L189" t="s">
        <v>8</v>
      </c>
      <c r="M189" s="26">
        <v>256779411979</v>
      </c>
      <c r="N189" t="s">
        <v>10</v>
      </c>
      <c r="O189" t="s">
        <v>11</v>
      </c>
      <c r="P189" t="s">
        <v>12</v>
      </c>
      <c r="Q189" t="s">
        <v>24</v>
      </c>
      <c r="R189" t="s">
        <v>14</v>
      </c>
      <c r="S189" s="3">
        <v>37.56</v>
      </c>
      <c r="T189" t="s">
        <v>15</v>
      </c>
      <c r="U189" s="3">
        <v>3264.78</v>
      </c>
      <c r="V189" s="3" t="e">
        <f>VLOOKUP(M189,'[1]Query Report'!$A:$E,5,0)</f>
        <v>#N/A</v>
      </c>
      <c r="W189" s="3" t="e">
        <f t="shared" si="12"/>
        <v>#N/A</v>
      </c>
      <c r="X189" s="3"/>
      <c r="Y189" s="3"/>
      <c r="Z189" t="s">
        <v>16</v>
      </c>
      <c r="AA189" t="s">
        <v>17</v>
      </c>
      <c r="AB189" t="s">
        <v>12</v>
      </c>
      <c r="AC189" t="s">
        <v>8</v>
      </c>
      <c r="AD189" t="s">
        <v>18</v>
      </c>
      <c r="AE189" t="s">
        <v>636</v>
      </c>
      <c r="AF189" t="s">
        <v>12</v>
      </c>
      <c r="AG189" t="s">
        <v>12</v>
      </c>
      <c r="AH189" t="s">
        <v>12</v>
      </c>
      <c r="AI189" s="2">
        <v>45763</v>
      </c>
      <c r="AJ189" s="2"/>
      <c r="AK189" t="s">
        <v>12</v>
      </c>
    </row>
    <row r="190" spans="1:37" outlineLevel="2" x14ac:dyDescent="0.25">
      <c r="A190" t="s">
        <v>129</v>
      </c>
      <c r="B190" t="s">
        <v>1</v>
      </c>
      <c r="C190" t="s">
        <v>2</v>
      </c>
      <c r="D190" t="s">
        <v>3</v>
      </c>
      <c r="E190" t="s">
        <v>4</v>
      </c>
      <c r="F190" t="s">
        <v>140</v>
      </c>
      <c r="G190" s="2">
        <v>45763</v>
      </c>
      <c r="H190" t="s">
        <v>637</v>
      </c>
      <c r="I190" t="s">
        <v>22</v>
      </c>
      <c r="J190" s="2">
        <v>45763</v>
      </c>
      <c r="K190" s="2">
        <v>45764</v>
      </c>
      <c r="L190" t="s">
        <v>8</v>
      </c>
      <c r="M190" s="26">
        <v>256779411980</v>
      </c>
      <c r="N190" t="s">
        <v>10</v>
      </c>
      <c r="O190" t="s">
        <v>11</v>
      </c>
      <c r="P190" t="s">
        <v>12</v>
      </c>
      <c r="Q190" t="s">
        <v>24</v>
      </c>
      <c r="R190" t="s">
        <v>14</v>
      </c>
      <c r="S190" s="3">
        <v>17.420000000000002</v>
      </c>
      <c r="T190" t="s">
        <v>15</v>
      </c>
      <c r="U190" s="3">
        <v>1514.18</v>
      </c>
      <c r="V190" s="3" t="e">
        <f>VLOOKUP(M190,'[1]Query Report'!$A:$E,5,0)</f>
        <v>#N/A</v>
      </c>
      <c r="W190" s="3" t="e">
        <f t="shared" si="12"/>
        <v>#N/A</v>
      </c>
      <c r="X190" s="3"/>
      <c r="Y190" s="3"/>
      <c r="Z190" t="s">
        <v>16</v>
      </c>
      <c r="AA190" t="s">
        <v>17</v>
      </c>
      <c r="AB190" t="s">
        <v>12</v>
      </c>
      <c r="AC190" t="s">
        <v>8</v>
      </c>
      <c r="AD190" t="s">
        <v>18</v>
      </c>
      <c r="AE190" t="s">
        <v>639</v>
      </c>
      <c r="AF190" t="s">
        <v>12</v>
      </c>
      <c r="AG190" t="s">
        <v>12</v>
      </c>
      <c r="AH190" t="s">
        <v>12</v>
      </c>
      <c r="AI190" s="2">
        <v>45763</v>
      </c>
      <c r="AJ190" s="2"/>
      <c r="AK190" t="s">
        <v>12</v>
      </c>
    </row>
    <row r="191" spans="1:37" outlineLevel="2" x14ac:dyDescent="0.25">
      <c r="A191" t="s">
        <v>129</v>
      </c>
      <c r="B191" t="s">
        <v>1</v>
      </c>
      <c r="C191" t="s">
        <v>2</v>
      </c>
      <c r="D191" t="s">
        <v>3</v>
      </c>
      <c r="E191" t="s">
        <v>4</v>
      </c>
      <c r="F191" t="s">
        <v>140</v>
      </c>
      <c r="G191" s="2">
        <v>45763</v>
      </c>
      <c r="H191" t="s">
        <v>640</v>
      </c>
      <c r="I191" t="s">
        <v>22</v>
      </c>
      <c r="J191" s="2">
        <v>45763</v>
      </c>
      <c r="K191" s="2">
        <v>45764</v>
      </c>
      <c r="L191" t="s">
        <v>8</v>
      </c>
      <c r="M191" s="26">
        <v>256779412065</v>
      </c>
      <c r="N191" t="s">
        <v>10</v>
      </c>
      <c r="O191" t="s">
        <v>11</v>
      </c>
      <c r="P191" t="s">
        <v>12</v>
      </c>
      <c r="Q191" t="s">
        <v>24</v>
      </c>
      <c r="R191" t="s">
        <v>14</v>
      </c>
      <c r="S191" s="3">
        <v>18.88</v>
      </c>
      <c r="T191" t="s">
        <v>15</v>
      </c>
      <c r="U191" s="3">
        <v>1641.08</v>
      </c>
      <c r="V191" s="3" t="e">
        <f>VLOOKUP(M191,'[1]Query Report'!$A:$E,5,0)</f>
        <v>#N/A</v>
      </c>
      <c r="W191" s="3" t="e">
        <f t="shared" si="12"/>
        <v>#N/A</v>
      </c>
      <c r="X191" s="29" t="e">
        <f t="shared" ref="X191:X198" si="17">W191/U191</f>
        <v>#N/A</v>
      </c>
      <c r="Y191" s="29" t="s">
        <v>1363</v>
      </c>
      <c r="Z191" t="s">
        <v>16</v>
      </c>
      <c r="AA191" t="s">
        <v>17</v>
      </c>
      <c r="AB191" t="s">
        <v>12</v>
      </c>
      <c r="AC191" t="s">
        <v>8</v>
      </c>
      <c r="AD191" t="s">
        <v>18</v>
      </c>
      <c r="AE191" t="s">
        <v>642</v>
      </c>
      <c r="AF191" t="s">
        <v>12</v>
      </c>
      <c r="AG191" t="s">
        <v>12</v>
      </c>
      <c r="AH191" t="s">
        <v>12</v>
      </c>
      <c r="AI191" s="2">
        <v>45763</v>
      </c>
      <c r="AJ191" s="2"/>
      <c r="AK191" t="s">
        <v>12</v>
      </c>
    </row>
    <row r="192" spans="1:37" outlineLevel="2" x14ac:dyDescent="0.25">
      <c r="A192" t="s">
        <v>129</v>
      </c>
      <c r="B192" t="s">
        <v>1</v>
      </c>
      <c r="C192" t="s">
        <v>2</v>
      </c>
      <c r="D192" t="s">
        <v>3</v>
      </c>
      <c r="E192" t="s">
        <v>4</v>
      </c>
      <c r="F192" t="s">
        <v>140</v>
      </c>
      <c r="G192" s="2">
        <v>45763</v>
      </c>
      <c r="H192" t="s">
        <v>643</v>
      </c>
      <c r="I192" t="s">
        <v>22</v>
      </c>
      <c r="J192" s="2">
        <v>45763</v>
      </c>
      <c r="K192" s="2">
        <v>45764</v>
      </c>
      <c r="L192" t="s">
        <v>8</v>
      </c>
      <c r="M192" s="26">
        <v>256779412100</v>
      </c>
      <c r="N192" t="s">
        <v>10</v>
      </c>
      <c r="O192" t="s">
        <v>11</v>
      </c>
      <c r="P192" t="s">
        <v>12</v>
      </c>
      <c r="Q192" t="s">
        <v>24</v>
      </c>
      <c r="R192" t="s">
        <v>14</v>
      </c>
      <c r="S192" s="3">
        <v>252.98</v>
      </c>
      <c r="T192" t="s">
        <v>15</v>
      </c>
      <c r="U192" s="3">
        <v>21989.48</v>
      </c>
      <c r="V192" s="3" t="e">
        <f>VLOOKUP(M192,'[1]Query Report'!$A:$E,5,0)</f>
        <v>#N/A</v>
      </c>
      <c r="W192" s="3" t="e">
        <f t="shared" si="12"/>
        <v>#N/A</v>
      </c>
      <c r="X192" s="29" t="e">
        <f t="shared" si="17"/>
        <v>#N/A</v>
      </c>
      <c r="Y192" s="29" t="s">
        <v>1363</v>
      </c>
      <c r="Z192" t="s">
        <v>16</v>
      </c>
      <c r="AA192" t="s">
        <v>17</v>
      </c>
      <c r="AB192" t="s">
        <v>12</v>
      </c>
      <c r="AC192" t="s">
        <v>8</v>
      </c>
      <c r="AD192" t="s">
        <v>18</v>
      </c>
      <c r="AE192" t="s">
        <v>645</v>
      </c>
      <c r="AF192" t="s">
        <v>12</v>
      </c>
      <c r="AG192" t="s">
        <v>12</v>
      </c>
      <c r="AH192" t="s">
        <v>12</v>
      </c>
      <c r="AI192" s="2">
        <v>45763</v>
      </c>
      <c r="AJ192" s="2"/>
      <c r="AK192" t="s">
        <v>12</v>
      </c>
    </row>
    <row r="193" spans="1:37" outlineLevel="2" x14ac:dyDescent="0.25">
      <c r="A193" t="s">
        <v>129</v>
      </c>
      <c r="B193" t="s">
        <v>1</v>
      </c>
      <c r="C193" t="s">
        <v>2</v>
      </c>
      <c r="D193" t="s">
        <v>3</v>
      </c>
      <c r="E193" t="s">
        <v>4</v>
      </c>
      <c r="F193" t="s">
        <v>140</v>
      </c>
      <c r="G193" s="2">
        <v>45763</v>
      </c>
      <c r="H193" t="s">
        <v>646</v>
      </c>
      <c r="I193" t="s">
        <v>22</v>
      </c>
      <c r="J193" s="2">
        <v>45763</v>
      </c>
      <c r="K193" s="2">
        <v>45764</v>
      </c>
      <c r="L193" t="s">
        <v>8</v>
      </c>
      <c r="M193" s="26">
        <v>256779412117</v>
      </c>
      <c r="N193" t="s">
        <v>10</v>
      </c>
      <c r="O193" t="s">
        <v>11</v>
      </c>
      <c r="P193" t="s">
        <v>12</v>
      </c>
      <c r="Q193" t="s">
        <v>24</v>
      </c>
      <c r="R193" t="s">
        <v>14</v>
      </c>
      <c r="S193" s="3">
        <v>5415.85</v>
      </c>
      <c r="T193" t="s">
        <v>15</v>
      </c>
      <c r="U193" s="3">
        <v>470755.54</v>
      </c>
      <c r="V193" s="3" t="e">
        <f>VLOOKUP(M193,'[1]Query Report'!$A:$E,5,0)</f>
        <v>#N/A</v>
      </c>
      <c r="W193" s="3" t="e">
        <f t="shared" si="12"/>
        <v>#N/A</v>
      </c>
      <c r="X193" s="29" t="e">
        <f t="shared" si="17"/>
        <v>#N/A</v>
      </c>
      <c r="Y193" s="29" t="s">
        <v>1363</v>
      </c>
      <c r="Z193" t="s">
        <v>16</v>
      </c>
      <c r="AA193" t="s">
        <v>17</v>
      </c>
      <c r="AB193" t="s">
        <v>12</v>
      </c>
      <c r="AC193" t="s">
        <v>8</v>
      </c>
      <c r="AD193" t="s">
        <v>18</v>
      </c>
      <c r="AE193" t="s">
        <v>648</v>
      </c>
      <c r="AF193" t="s">
        <v>12</v>
      </c>
      <c r="AG193" t="s">
        <v>12</v>
      </c>
      <c r="AH193" t="s">
        <v>12</v>
      </c>
      <c r="AI193" s="2">
        <v>45763</v>
      </c>
      <c r="AJ193" s="2"/>
      <c r="AK193" t="s">
        <v>12</v>
      </c>
    </row>
    <row r="194" spans="1:37" outlineLevel="2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140</v>
      </c>
      <c r="G194" s="2">
        <v>45763</v>
      </c>
      <c r="H194" t="s">
        <v>649</v>
      </c>
      <c r="I194" t="s">
        <v>22</v>
      </c>
      <c r="J194" s="2">
        <v>45763</v>
      </c>
      <c r="K194" s="2">
        <v>45764</v>
      </c>
      <c r="L194" t="s">
        <v>8</v>
      </c>
      <c r="M194" s="26">
        <v>256779411917</v>
      </c>
      <c r="N194" t="s">
        <v>10</v>
      </c>
      <c r="O194" t="s">
        <v>11</v>
      </c>
      <c r="P194" t="s">
        <v>12</v>
      </c>
      <c r="Q194" t="s">
        <v>24</v>
      </c>
      <c r="R194" t="s">
        <v>14</v>
      </c>
      <c r="S194" s="3">
        <v>140</v>
      </c>
      <c r="T194" t="s">
        <v>15</v>
      </c>
      <c r="U194" s="3">
        <v>12169.05</v>
      </c>
      <c r="V194" s="3" t="e">
        <f>VLOOKUP(M194,'[1]Query Report'!$A:$E,5,0)</f>
        <v>#N/A</v>
      </c>
      <c r="W194" s="3" t="e">
        <f t="shared" si="12"/>
        <v>#N/A</v>
      </c>
      <c r="X194" s="29" t="e">
        <f t="shared" si="17"/>
        <v>#N/A</v>
      </c>
      <c r="Y194" s="29"/>
      <c r="Z194" t="s">
        <v>16</v>
      </c>
      <c r="AA194" t="s">
        <v>17</v>
      </c>
      <c r="AB194" t="s">
        <v>12</v>
      </c>
      <c r="AC194" t="s">
        <v>8</v>
      </c>
      <c r="AD194" t="s">
        <v>18</v>
      </c>
      <c r="AE194" t="s">
        <v>651</v>
      </c>
      <c r="AF194" t="s">
        <v>12</v>
      </c>
      <c r="AG194" t="s">
        <v>12</v>
      </c>
      <c r="AH194" t="s">
        <v>12</v>
      </c>
      <c r="AI194" s="2">
        <v>45763</v>
      </c>
      <c r="AJ194" s="2">
        <v>45976</v>
      </c>
      <c r="AK194" t="s">
        <v>64</v>
      </c>
    </row>
    <row r="195" spans="1:37" outlineLevel="2" x14ac:dyDescent="0.25">
      <c r="A195" t="s">
        <v>129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s="2">
        <v>45863</v>
      </c>
      <c r="H195" t="s">
        <v>652</v>
      </c>
      <c r="I195" t="s">
        <v>22</v>
      </c>
      <c r="J195" s="2">
        <v>45863</v>
      </c>
      <c r="K195" s="2">
        <v>45863</v>
      </c>
      <c r="L195" t="s">
        <v>8</v>
      </c>
      <c r="M195" s="26">
        <v>256779415967</v>
      </c>
      <c r="N195" t="s">
        <v>10</v>
      </c>
      <c r="O195" t="s">
        <v>11</v>
      </c>
      <c r="P195" t="s">
        <v>12</v>
      </c>
      <c r="Q195" t="s">
        <v>24</v>
      </c>
      <c r="R195" t="s">
        <v>14</v>
      </c>
      <c r="S195" s="3">
        <v>379.76</v>
      </c>
      <c r="T195" t="s">
        <v>15</v>
      </c>
      <c r="U195" s="3">
        <v>32659.61</v>
      </c>
      <c r="V195" s="3" t="e">
        <f>VLOOKUP(M195,'[1]Query Report'!$A:$E,5,0)</f>
        <v>#N/A</v>
      </c>
      <c r="W195" s="3" t="e">
        <f t="shared" si="12"/>
        <v>#N/A</v>
      </c>
      <c r="X195" s="29" t="e">
        <f t="shared" si="17"/>
        <v>#N/A</v>
      </c>
      <c r="Y195" s="29" t="s">
        <v>1363</v>
      </c>
      <c r="Z195" t="s">
        <v>16</v>
      </c>
      <c r="AA195" t="s">
        <v>17</v>
      </c>
      <c r="AB195" t="s">
        <v>12</v>
      </c>
      <c r="AC195" t="s">
        <v>8</v>
      </c>
      <c r="AD195" t="s">
        <v>18</v>
      </c>
      <c r="AE195" t="s">
        <v>654</v>
      </c>
      <c r="AF195" t="s">
        <v>12</v>
      </c>
      <c r="AG195" t="s">
        <v>12</v>
      </c>
      <c r="AH195" t="s">
        <v>12</v>
      </c>
      <c r="AI195" s="2">
        <v>45863</v>
      </c>
      <c r="AJ195" s="2"/>
      <c r="AK195" t="s">
        <v>12</v>
      </c>
    </row>
    <row r="196" spans="1:37" outlineLevel="2" x14ac:dyDescent="0.25">
      <c r="A196" t="s">
        <v>129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s="2">
        <v>45863</v>
      </c>
      <c r="H196" t="s">
        <v>655</v>
      </c>
      <c r="I196" t="s">
        <v>22</v>
      </c>
      <c r="J196" s="2">
        <v>45863</v>
      </c>
      <c r="K196" s="2">
        <v>45863</v>
      </c>
      <c r="L196" t="s">
        <v>8</v>
      </c>
      <c r="M196" s="26">
        <v>256779415970</v>
      </c>
      <c r="N196" t="s">
        <v>10</v>
      </c>
      <c r="O196" t="s">
        <v>11</v>
      </c>
      <c r="P196" t="s">
        <v>12</v>
      </c>
      <c r="Q196" t="s">
        <v>24</v>
      </c>
      <c r="R196" t="s">
        <v>14</v>
      </c>
      <c r="S196" s="3">
        <v>110.92</v>
      </c>
      <c r="T196" t="s">
        <v>15</v>
      </c>
      <c r="U196" s="3">
        <v>9539.19</v>
      </c>
      <c r="V196" s="3" t="e">
        <f>VLOOKUP(M196,'[1]Query Report'!$A:$E,5,0)</f>
        <v>#N/A</v>
      </c>
      <c r="W196" s="3" t="e">
        <f t="shared" ref="W196:W259" si="18">U196-V196</f>
        <v>#N/A</v>
      </c>
      <c r="X196" s="29" t="e">
        <f t="shared" si="17"/>
        <v>#N/A</v>
      </c>
      <c r="Y196" s="29" t="s">
        <v>1363</v>
      </c>
      <c r="Z196" t="s">
        <v>16</v>
      </c>
      <c r="AA196" t="s">
        <v>17</v>
      </c>
      <c r="AB196" t="s">
        <v>12</v>
      </c>
      <c r="AC196" t="s">
        <v>8</v>
      </c>
      <c r="AD196" t="s">
        <v>18</v>
      </c>
      <c r="AE196" t="s">
        <v>657</v>
      </c>
      <c r="AF196" t="s">
        <v>12</v>
      </c>
      <c r="AG196" t="s">
        <v>12</v>
      </c>
      <c r="AH196" t="s">
        <v>12</v>
      </c>
      <c r="AI196" s="2">
        <v>45863</v>
      </c>
      <c r="AJ196" s="2"/>
      <c r="AK196" t="s">
        <v>12</v>
      </c>
    </row>
    <row r="197" spans="1:37" outlineLevel="2" x14ac:dyDescent="0.25">
      <c r="A197" t="s">
        <v>129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s="2">
        <v>45863</v>
      </c>
      <c r="H197" t="s">
        <v>658</v>
      </c>
      <c r="I197" t="s">
        <v>22</v>
      </c>
      <c r="J197" s="2">
        <v>45863</v>
      </c>
      <c r="K197" s="2">
        <v>45863</v>
      </c>
      <c r="L197" t="s">
        <v>8</v>
      </c>
      <c r="M197" s="26">
        <v>256779415995</v>
      </c>
      <c r="N197" t="s">
        <v>10</v>
      </c>
      <c r="O197" t="s">
        <v>11</v>
      </c>
      <c r="P197" t="s">
        <v>12</v>
      </c>
      <c r="Q197" t="s">
        <v>24</v>
      </c>
      <c r="R197" t="s">
        <v>14</v>
      </c>
      <c r="S197" s="3">
        <v>2.34</v>
      </c>
      <c r="T197" t="s">
        <v>15</v>
      </c>
      <c r="U197" s="3">
        <v>201.24</v>
      </c>
      <c r="V197" s="3" t="e">
        <f>VLOOKUP(M197,'[1]Query Report'!$A:$E,5,0)</f>
        <v>#N/A</v>
      </c>
      <c r="W197" s="3" t="e">
        <f t="shared" si="18"/>
        <v>#N/A</v>
      </c>
      <c r="X197" s="29" t="e">
        <f t="shared" si="17"/>
        <v>#N/A</v>
      </c>
      <c r="Y197" s="29" t="s">
        <v>1363</v>
      </c>
      <c r="Z197" t="s">
        <v>16</v>
      </c>
      <c r="AA197" t="s">
        <v>17</v>
      </c>
      <c r="AB197" t="s">
        <v>12</v>
      </c>
      <c r="AC197" t="s">
        <v>8</v>
      </c>
      <c r="AD197" t="s">
        <v>18</v>
      </c>
      <c r="AE197" t="s">
        <v>660</v>
      </c>
      <c r="AF197" t="s">
        <v>12</v>
      </c>
      <c r="AG197" t="s">
        <v>12</v>
      </c>
      <c r="AH197" t="s">
        <v>12</v>
      </c>
      <c r="AI197" s="2">
        <v>45863</v>
      </c>
      <c r="AJ197" s="2"/>
      <c r="AK197" t="s">
        <v>12</v>
      </c>
    </row>
    <row r="198" spans="1:37" outlineLevel="2" x14ac:dyDescent="0.25">
      <c r="A198" t="s">
        <v>129</v>
      </c>
      <c r="B198" t="s">
        <v>1</v>
      </c>
      <c r="C198" t="s">
        <v>2</v>
      </c>
      <c r="D198" t="s">
        <v>3</v>
      </c>
      <c r="E198" t="s">
        <v>4</v>
      </c>
      <c r="F198" t="s">
        <v>243</v>
      </c>
      <c r="G198" s="2">
        <v>45730</v>
      </c>
      <c r="H198" t="s">
        <v>661</v>
      </c>
      <c r="I198" t="s">
        <v>22</v>
      </c>
      <c r="J198" s="2">
        <v>45730</v>
      </c>
      <c r="K198" s="2">
        <v>45733</v>
      </c>
      <c r="L198" t="s">
        <v>8</v>
      </c>
      <c r="M198" s="26">
        <v>246779411448</v>
      </c>
      <c r="N198" t="s">
        <v>10</v>
      </c>
      <c r="O198" t="s">
        <v>11</v>
      </c>
      <c r="P198" t="s">
        <v>12</v>
      </c>
      <c r="Q198" t="s">
        <v>24</v>
      </c>
      <c r="R198" t="s">
        <v>14</v>
      </c>
      <c r="S198" s="3">
        <v>14.31</v>
      </c>
      <c r="T198" t="s">
        <v>15</v>
      </c>
      <c r="U198" s="3">
        <v>1240.55</v>
      </c>
      <c r="V198" s="3" t="e">
        <f>VLOOKUP(M198,'[1]Query Report'!$A:$E,5,0)</f>
        <v>#N/A</v>
      </c>
      <c r="W198" s="3" t="e">
        <f t="shared" si="18"/>
        <v>#N/A</v>
      </c>
      <c r="X198" s="29" t="e">
        <f t="shared" si="17"/>
        <v>#N/A</v>
      </c>
      <c r="Y198" s="29" t="s">
        <v>1362</v>
      </c>
      <c r="Z198" t="s">
        <v>16</v>
      </c>
      <c r="AA198" t="s">
        <v>17</v>
      </c>
      <c r="AB198" t="s">
        <v>12</v>
      </c>
      <c r="AC198" t="s">
        <v>8</v>
      </c>
      <c r="AD198" t="s">
        <v>18</v>
      </c>
      <c r="AE198" t="s">
        <v>663</v>
      </c>
      <c r="AF198" t="s">
        <v>12</v>
      </c>
      <c r="AG198" t="s">
        <v>12</v>
      </c>
      <c r="AH198" t="s">
        <v>12</v>
      </c>
      <c r="AI198" s="2">
        <v>45730</v>
      </c>
      <c r="AJ198" s="2"/>
      <c r="AK198" t="s">
        <v>12</v>
      </c>
    </row>
    <row r="199" spans="1:37" outlineLevel="2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243</v>
      </c>
      <c r="G199" s="2">
        <v>45730</v>
      </c>
      <c r="H199" t="s">
        <v>664</v>
      </c>
      <c r="I199" t="s">
        <v>22</v>
      </c>
      <c r="J199" s="2">
        <v>45730</v>
      </c>
      <c r="K199" s="2">
        <v>45735</v>
      </c>
      <c r="L199" t="s">
        <v>8</v>
      </c>
      <c r="M199" s="26">
        <v>246779412237</v>
      </c>
      <c r="N199" t="s">
        <v>10</v>
      </c>
      <c r="O199" t="s">
        <v>11</v>
      </c>
      <c r="P199" t="s">
        <v>12</v>
      </c>
      <c r="Q199" t="s">
        <v>24</v>
      </c>
      <c r="R199" t="s">
        <v>14</v>
      </c>
      <c r="S199" s="3">
        <v>14.31</v>
      </c>
      <c r="T199" t="s">
        <v>15</v>
      </c>
      <c r="U199" s="3">
        <v>1240.55</v>
      </c>
      <c r="V199" s="3" t="e">
        <f>VLOOKUP(M199,'[1]Query Report'!$A:$E,5,0)</f>
        <v>#N/A</v>
      </c>
      <c r="W199" s="3" t="e">
        <f t="shared" si="18"/>
        <v>#N/A</v>
      </c>
      <c r="X199" s="3"/>
      <c r="Y199" s="3"/>
      <c r="Z199" t="s">
        <v>16</v>
      </c>
      <c r="AA199" t="s">
        <v>17</v>
      </c>
      <c r="AB199" t="s">
        <v>12</v>
      </c>
      <c r="AC199" t="s">
        <v>8</v>
      </c>
      <c r="AD199" t="s">
        <v>18</v>
      </c>
      <c r="AE199" t="s">
        <v>663</v>
      </c>
      <c r="AF199" t="s">
        <v>12</v>
      </c>
      <c r="AG199" t="s">
        <v>12</v>
      </c>
      <c r="AH199" t="s">
        <v>12</v>
      </c>
      <c r="AI199" s="2">
        <v>45730</v>
      </c>
      <c r="AJ199" s="2">
        <v>45842</v>
      </c>
      <c r="AK199" t="s">
        <v>666</v>
      </c>
    </row>
    <row r="200" spans="1:37" outlineLevel="2" x14ac:dyDescent="0.25">
      <c r="A200" t="s">
        <v>129</v>
      </c>
      <c r="B200" t="s">
        <v>1</v>
      </c>
      <c r="C200" t="s">
        <v>2</v>
      </c>
      <c r="D200" t="s">
        <v>3</v>
      </c>
      <c r="E200" t="s">
        <v>4</v>
      </c>
      <c r="F200" t="s">
        <v>313</v>
      </c>
      <c r="G200" s="2">
        <v>45904</v>
      </c>
      <c r="H200" t="s">
        <v>667</v>
      </c>
      <c r="I200" t="s">
        <v>22</v>
      </c>
      <c r="J200" s="2">
        <v>45904</v>
      </c>
      <c r="K200" s="2">
        <v>45908</v>
      </c>
      <c r="L200" t="s">
        <v>8</v>
      </c>
      <c r="M200" s="26">
        <v>256779416911</v>
      </c>
      <c r="N200" t="s">
        <v>10</v>
      </c>
      <c r="O200" t="s">
        <v>11</v>
      </c>
      <c r="P200" t="s">
        <v>12</v>
      </c>
      <c r="Q200" t="s">
        <v>24</v>
      </c>
      <c r="R200" t="s">
        <v>14</v>
      </c>
      <c r="S200" s="3">
        <v>40.85</v>
      </c>
      <c r="T200" t="s">
        <v>15</v>
      </c>
      <c r="U200" s="3">
        <v>3574.96</v>
      </c>
      <c r="V200" s="3" t="e">
        <f>VLOOKUP(M200,'[1]Query Report'!$A:$E,5,0)</f>
        <v>#N/A</v>
      </c>
      <c r="W200" s="3" t="e">
        <f t="shared" si="18"/>
        <v>#N/A</v>
      </c>
      <c r="X200" s="29" t="e">
        <f t="shared" ref="X200:X204" si="19">W200/U200</f>
        <v>#N/A</v>
      </c>
      <c r="Y200" s="29" t="s">
        <v>1363</v>
      </c>
      <c r="Z200" t="s">
        <v>16</v>
      </c>
      <c r="AA200" t="s">
        <v>17</v>
      </c>
      <c r="AB200" t="s">
        <v>12</v>
      </c>
      <c r="AC200" t="s">
        <v>8</v>
      </c>
      <c r="AD200" t="s">
        <v>18</v>
      </c>
      <c r="AE200" t="s">
        <v>669</v>
      </c>
      <c r="AF200" t="s">
        <v>12</v>
      </c>
      <c r="AG200" t="s">
        <v>12</v>
      </c>
      <c r="AH200" t="s">
        <v>12</v>
      </c>
      <c r="AI200" s="2">
        <v>45904</v>
      </c>
      <c r="AJ200" s="2"/>
      <c r="AK200" t="s">
        <v>12</v>
      </c>
    </row>
    <row r="201" spans="1:37" outlineLevel="2" x14ac:dyDescent="0.25">
      <c r="A201" t="s">
        <v>129</v>
      </c>
      <c r="B201" t="s">
        <v>1</v>
      </c>
      <c r="C201" t="s">
        <v>2</v>
      </c>
      <c r="D201" t="s">
        <v>3</v>
      </c>
      <c r="E201" t="s">
        <v>4</v>
      </c>
      <c r="F201" t="s">
        <v>313</v>
      </c>
      <c r="G201" s="2">
        <v>45904</v>
      </c>
      <c r="H201" t="s">
        <v>670</v>
      </c>
      <c r="I201" t="s">
        <v>22</v>
      </c>
      <c r="J201" s="2">
        <v>45904</v>
      </c>
      <c r="K201" s="2">
        <v>45908</v>
      </c>
      <c r="L201" t="s">
        <v>8</v>
      </c>
      <c r="M201" s="26">
        <v>256779416948</v>
      </c>
      <c r="N201" t="s">
        <v>10</v>
      </c>
      <c r="O201" t="s">
        <v>11</v>
      </c>
      <c r="P201" t="s">
        <v>12</v>
      </c>
      <c r="Q201" t="s">
        <v>24</v>
      </c>
      <c r="R201" t="s">
        <v>14</v>
      </c>
      <c r="S201" s="3">
        <v>14.1</v>
      </c>
      <c r="T201" t="s">
        <v>15</v>
      </c>
      <c r="U201" s="3">
        <v>1233.95</v>
      </c>
      <c r="V201" s="3" t="e">
        <f>VLOOKUP(M201,'[1]Query Report'!$A:$E,5,0)</f>
        <v>#N/A</v>
      </c>
      <c r="W201" s="3" t="e">
        <f t="shared" si="18"/>
        <v>#N/A</v>
      </c>
      <c r="X201" s="29" t="e">
        <f t="shared" si="19"/>
        <v>#N/A</v>
      </c>
      <c r="Y201" s="29"/>
      <c r="Z201" t="s">
        <v>16</v>
      </c>
      <c r="AA201" t="s">
        <v>17</v>
      </c>
      <c r="AB201" t="s">
        <v>12</v>
      </c>
      <c r="AC201" t="s">
        <v>8</v>
      </c>
      <c r="AD201" t="s">
        <v>18</v>
      </c>
      <c r="AE201" t="s">
        <v>672</v>
      </c>
      <c r="AF201" t="s">
        <v>12</v>
      </c>
      <c r="AG201" t="s">
        <v>12</v>
      </c>
      <c r="AH201" t="s">
        <v>12</v>
      </c>
      <c r="AI201" s="2">
        <v>45904</v>
      </c>
      <c r="AJ201" s="2"/>
      <c r="AK201" t="s">
        <v>12</v>
      </c>
    </row>
    <row r="202" spans="1:37" outlineLevel="2" x14ac:dyDescent="0.25">
      <c r="A202" t="s">
        <v>129</v>
      </c>
      <c r="B202" t="s">
        <v>1</v>
      </c>
      <c r="C202" t="s">
        <v>2</v>
      </c>
      <c r="D202" t="s">
        <v>3</v>
      </c>
      <c r="E202" t="s">
        <v>4</v>
      </c>
      <c r="F202" t="s">
        <v>313</v>
      </c>
      <c r="G202" s="2">
        <v>45904</v>
      </c>
      <c r="H202" t="s">
        <v>673</v>
      </c>
      <c r="I202" t="s">
        <v>22</v>
      </c>
      <c r="J202" s="2">
        <v>45904</v>
      </c>
      <c r="K202" s="2">
        <v>45909</v>
      </c>
      <c r="L202" t="s">
        <v>8</v>
      </c>
      <c r="M202" s="26">
        <v>256779417160</v>
      </c>
      <c r="N202" t="s">
        <v>10</v>
      </c>
      <c r="O202" t="s">
        <v>11</v>
      </c>
      <c r="P202" t="s">
        <v>12</v>
      </c>
      <c r="Q202" t="s">
        <v>24</v>
      </c>
      <c r="R202" t="s">
        <v>14</v>
      </c>
      <c r="S202" s="3">
        <v>14.25</v>
      </c>
      <c r="T202" t="s">
        <v>15</v>
      </c>
      <c r="U202" s="3">
        <v>1247.08</v>
      </c>
      <c r="V202" s="3" t="e">
        <f>VLOOKUP(M202,'[1]Query Report'!$A:$E,5,0)</f>
        <v>#N/A</v>
      </c>
      <c r="W202" s="3" t="e">
        <f t="shared" si="18"/>
        <v>#N/A</v>
      </c>
      <c r="X202" s="29" t="e">
        <f t="shared" si="19"/>
        <v>#N/A</v>
      </c>
      <c r="Y202" s="29"/>
      <c r="Z202" t="s">
        <v>16</v>
      </c>
      <c r="AA202" t="s">
        <v>17</v>
      </c>
      <c r="AB202" t="s">
        <v>12</v>
      </c>
      <c r="AC202" t="s">
        <v>8</v>
      </c>
      <c r="AD202" t="s">
        <v>18</v>
      </c>
      <c r="AE202" t="s">
        <v>675</v>
      </c>
      <c r="AF202" t="s">
        <v>12</v>
      </c>
      <c r="AG202" t="s">
        <v>12</v>
      </c>
      <c r="AH202" t="s">
        <v>12</v>
      </c>
      <c r="AI202" s="2">
        <v>45904</v>
      </c>
      <c r="AJ202" s="2"/>
      <c r="AK202" t="s">
        <v>12</v>
      </c>
    </row>
    <row r="203" spans="1:37" outlineLevel="2" x14ac:dyDescent="0.25">
      <c r="A203" t="s">
        <v>129</v>
      </c>
      <c r="B203" t="s">
        <v>1</v>
      </c>
      <c r="C203" t="s">
        <v>2</v>
      </c>
      <c r="D203" t="s">
        <v>3</v>
      </c>
      <c r="E203" t="s">
        <v>4</v>
      </c>
      <c r="F203" t="s">
        <v>313</v>
      </c>
      <c r="G203" s="2">
        <v>45904</v>
      </c>
      <c r="H203" t="s">
        <v>676</v>
      </c>
      <c r="I203" t="s">
        <v>22</v>
      </c>
      <c r="J203" s="2">
        <v>45904</v>
      </c>
      <c r="K203" s="2">
        <v>45909</v>
      </c>
      <c r="L203" t="s">
        <v>8</v>
      </c>
      <c r="M203" s="26">
        <v>256779417166</v>
      </c>
      <c r="N203" t="s">
        <v>10</v>
      </c>
      <c r="O203" t="s">
        <v>11</v>
      </c>
      <c r="P203" t="s">
        <v>12</v>
      </c>
      <c r="Q203" t="s">
        <v>24</v>
      </c>
      <c r="R203" t="s">
        <v>14</v>
      </c>
      <c r="S203" s="3">
        <v>760.25</v>
      </c>
      <c r="T203" t="s">
        <v>15</v>
      </c>
      <c r="U203" s="3">
        <v>66532.77</v>
      </c>
      <c r="V203" s="3" t="e">
        <f>VLOOKUP(M203,'[1]Query Report'!$A:$E,5,0)</f>
        <v>#N/A</v>
      </c>
      <c r="W203" s="3" t="e">
        <f t="shared" si="18"/>
        <v>#N/A</v>
      </c>
      <c r="X203" s="29" t="e">
        <f t="shared" si="19"/>
        <v>#N/A</v>
      </c>
      <c r="Y203" s="29" t="s">
        <v>1363</v>
      </c>
      <c r="Z203" t="s">
        <v>16</v>
      </c>
      <c r="AA203" t="s">
        <v>17</v>
      </c>
      <c r="AB203" t="s">
        <v>12</v>
      </c>
      <c r="AC203" t="s">
        <v>8</v>
      </c>
      <c r="AD203" t="s">
        <v>18</v>
      </c>
      <c r="AE203" t="s">
        <v>678</v>
      </c>
      <c r="AF203" t="s">
        <v>12</v>
      </c>
      <c r="AG203" t="s">
        <v>12</v>
      </c>
      <c r="AH203" t="s">
        <v>12</v>
      </c>
      <c r="AI203" s="2">
        <v>45904</v>
      </c>
      <c r="AJ203" s="2"/>
      <c r="AK203" t="s">
        <v>12</v>
      </c>
    </row>
    <row r="204" spans="1:37" outlineLevel="2" x14ac:dyDescent="0.25">
      <c r="A204" t="s">
        <v>129</v>
      </c>
      <c r="B204" t="s">
        <v>1</v>
      </c>
      <c r="C204" t="s">
        <v>2</v>
      </c>
      <c r="D204" t="s">
        <v>3</v>
      </c>
      <c r="E204" t="s">
        <v>4</v>
      </c>
      <c r="F204" t="s">
        <v>313</v>
      </c>
      <c r="G204" s="2">
        <v>45904</v>
      </c>
      <c r="H204" t="s">
        <v>679</v>
      </c>
      <c r="I204" t="s">
        <v>22</v>
      </c>
      <c r="J204" s="2">
        <v>45904</v>
      </c>
      <c r="K204" s="2">
        <v>45909</v>
      </c>
      <c r="L204" t="s">
        <v>8</v>
      </c>
      <c r="M204" s="26">
        <v>256779417173</v>
      </c>
      <c r="N204" t="s">
        <v>10</v>
      </c>
      <c r="O204" t="s">
        <v>11</v>
      </c>
      <c r="P204" t="s">
        <v>12</v>
      </c>
      <c r="Q204" t="s">
        <v>24</v>
      </c>
      <c r="R204" t="s">
        <v>14</v>
      </c>
      <c r="S204" s="3">
        <v>743.54</v>
      </c>
      <c r="T204" t="s">
        <v>15</v>
      </c>
      <c r="U204" s="3">
        <v>65070.400000000001</v>
      </c>
      <c r="V204" s="3" t="e">
        <f>VLOOKUP(M204,'[1]Query Report'!$A:$E,5,0)</f>
        <v>#N/A</v>
      </c>
      <c r="W204" s="3" t="e">
        <f t="shared" si="18"/>
        <v>#N/A</v>
      </c>
      <c r="X204" s="29" t="e">
        <f t="shared" si="19"/>
        <v>#N/A</v>
      </c>
      <c r="Y204" s="29" t="s">
        <v>1363</v>
      </c>
      <c r="Z204" t="s">
        <v>16</v>
      </c>
      <c r="AA204" t="s">
        <v>17</v>
      </c>
      <c r="AB204" t="s">
        <v>12</v>
      </c>
      <c r="AC204" t="s">
        <v>8</v>
      </c>
      <c r="AD204" t="s">
        <v>18</v>
      </c>
      <c r="AE204" t="s">
        <v>681</v>
      </c>
      <c r="AF204" t="s">
        <v>12</v>
      </c>
      <c r="AG204" t="s">
        <v>12</v>
      </c>
      <c r="AH204" t="s">
        <v>12</v>
      </c>
      <c r="AI204" s="2">
        <v>45904</v>
      </c>
      <c r="AJ204" s="2"/>
      <c r="AK204" t="s">
        <v>12</v>
      </c>
    </row>
    <row r="205" spans="1:37" outlineLevel="2" x14ac:dyDescent="0.25">
      <c r="A205" t="s">
        <v>129</v>
      </c>
      <c r="B205" t="s">
        <v>1</v>
      </c>
      <c r="C205" t="s">
        <v>2</v>
      </c>
      <c r="D205" t="s">
        <v>3</v>
      </c>
      <c r="E205" t="s">
        <v>4</v>
      </c>
      <c r="F205" t="s">
        <v>313</v>
      </c>
      <c r="G205" s="2">
        <v>45904</v>
      </c>
      <c r="H205" t="s">
        <v>682</v>
      </c>
      <c r="I205" t="s">
        <v>22</v>
      </c>
      <c r="J205" s="2">
        <v>45904</v>
      </c>
      <c r="K205" s="2">
        <v>45909</v>
      </c>
      <c r="L205" t="s">
        <v>8</v>
      </c>
      <c r="M205" s="26">
        <v>256779417244</v>
      </c>
      <c r="N205" t="s">
        <v>10</v>
      </c>
      <c r="O205" t="s">
        <v>11</v>
      </c>
      <c r="P205" t="s">
        <v>12</v>
      </c>
      <c r="Q205" t="s">
        <v>24</v>
      </c>
      <c r="R205" t="s">
        <v>14</v>
      </c>
      <c r="S205" s="3">
        <v>685.41</v>
      </c>
      <c r="T205" t="s">
        <v>15</v>
      </c>
      <c r="U205" s="3">
        <v>59983.199999999997</v>
      </c>
      <c r="V205" s="3" t="e">
        <f>VLOOKUP(M205,'[1]Query Report'!$A:$E,5,0)</f>
        <v>#N/A</v>
      </c>
      <c r="W205" s="3" t="e">
        <f t="shared" si="18"/>
        <v>#N/A</v>
      </c>
      <c r="X205" s="3"/>
      <c r="Y205" s="3"/>
      <c r="Z205" t="s">
        <v>16</v>
      </c>
      <c r="AA205" t="s">
        <v>17</v>
      </c>
      <c r="AB205" t="s">
        <v>12</v>
      </c>
      <c r="AC205" t="s">
        <v>8</v>
      </c>
      <c r="AD205" t="s">
        <v>18</v>
      </c>
      <c r="AE205" t="s">
        <v>684</v>
      </c>
      <c r="AF205" t="s">
        <v>12</v>
      </c>
      <c r="AG205" t="s">
        <v>12</v>
      </c>
      <c r="AH205" t="s">
        <v>12</v>
      </c>
      <c r="AI205" s="2">
        <v>45904</v>
      </c>
      <c r="AJ205" s="2"/>
      <c r="AK205" t="s">
        <v>12</v>
      </c>
    </row>
    <row r="206" spans="1:37" outlineLevel="2" x14ac:dyDescent="0.25">
      <c r="A206" t="s">
        <v>129</v>
      </c>
      <c r="B206" t="s">
        <v>1</v>
      </c>
      <c r="C206" t="s">
        <v>2</v>
      </c>
      <c r="D206" t="s">
        <v>3</v>
      </c>
      <c r="E206" t="s">
        <v>4</v>
      </c>
      <c r="F206" t="s">
        <v>313</v>
      </c>
      <c r="G206" s="2">
        <v>45904</v>
      </c>
      <c r="H206" t="s">
        <v>685</v>
      </c>
      <c r="I206" t="s">
        <v>22</v>
      </c>
      <c r="J206" s="2">
        <v>45904</v>
      </c>
      <c r="K206" s="2">
        <v>45909</v>
      </c>
      <c r="L206" t="s">
        <v>8</v>
      </c>
      <c r="M206" s="26">
        <v>256779417261</v>
      </c>
      <c r="N206" t="s">
        <v>10</v>
      </c>
      <c r="O206" t="s">
        <v>11</v>
      </c>
      <c r="P206" t="s">
        <v>12</v>
      </c>
      <c r="Q206" t="s">
        <v>24</v>
      </c>
      <c r="R206" t="s">
        <v>14</v>
      </c>
      <c r="S206" s="3">
        <v>22.77</v>
      </c>
      <c r="T206" t="s">
        <v>15</v>
      </c>
      <c r="U206" s="3">
        <v>1992.7</v>
      </c>
      <c r="V206" s="3" t="e">
        <f>VLOOKUP(M206,'[1]Query Report'!$A:$E,5,0)</f>
        <v>#N/A</v>
      </c>
      <c r="W206" s="3" t="e">
        <f t="shared" si="18"/>
        <v>#N/A</v>
      </c>
      <c r="X206" s="29" t="e">
        <f t="shared" ref="X206:X215" si="20">W206/U206</f>
        <v>#N/A</v>
      </c>
      <c r="Y206" s="29"/>
      <c r="Z206" t="s">
        <v>16</v>
      </c>
      <c r="AA206" t="s">
        <v>17</v>
      </c>
      <c r="AB206" t="s">
        <v>12</v>
      </c>
      <c r="AC206" t="s">
        <v>8</v>
      </c>
      <c r="AD206" t="s">
        <v>18</v>
      </c>
      <c r="AE206" t="s">
        <v>687</v>
      </c>
      <c r="AF206" t="s">
        <v>12</v>
      </c>
      <c r="AG206" t="s">
        <v>12</v>
      </c>
      <c r="AH206" t="s">
        <v>12</v>
      </c>
      <c r="AI206" s="2">
        <v>45904</v>
      </c>
      <c r="AJ206" s="2"/>
      <c r="AK206" t="s">
        <v>12</v>
      </c>
    </row>
    <row r="207" spans="1:37" outlineLevel="2" x14ac:dyDescent="0.25">
      <c r="A207" t="s">
        <v>129</v>
      </c>
      <c r="B207" t="s">
        <v>1</v>
      </c>
      <c r="C207" t="s">
        <v>2</v>
      </c>
      <c r="D207" t="s">
        <v>3</v>
      </c>
      <c r="E207" t="s">
        <v>4</v>
      </c>
      <c r="F207" t="s">
        <v>313</v>
      </c>
      <c r="G207" s="2">
        <v>45904</v>
      </c>
      <c r="H207" t="s">
        <v>688</v>
      </c>
      <c r="I207" t="s">
        <v>22</v>
      </c>
      <c r="J207" s="2">
        <v>45904</v>
      </c>
      <c r="K207" s="2">
        <v>45909</v>
      </c>
      <c r="L207" t="s">
        <v>8</v>
      </c>
      <c r="M207" s="26">
        <v>256779417286</v>
      </c>
      <c r="N207" t="s">
        <v>10</v>
      </c>
      <c r="O207" t="s">
        <v>11</v>
      </c>
      <c r="P207" t="s">
        <v>12</v>
      </c>
      <c r="Q207" t="s">
        <v>24</v>
      </c>
      <c r="R207" t="s">
        <v>14</v>
      </c>
      <c r="S207" s="3">
        <v>1050.9000000000001</v>
      </c>
      <c r="T207" t="s">
        <v>15</v>
      </c>
      <c r="U207" s="3">
        <v>91968.81</v>
      </c>
      <c r="V207" s="3" t="e">
        <f>VLOOKUP(M207,'[1]Query Report'!$A:$E,5,0)</f>
        <v>#N/A</v>
      </c>
      <c r="W207" s="3" t="e">
        <f t="shared" si="18"/>
        <v>#N/A</v>
      </c>
      <c r="X207" s="29" t="e">
        <f t="shared" si="20"/>
        <v>#N/A</v>
      </c>
      <c r="Y207" s="29" t="s">
        <v>1363</v>
      </c>
      <c r="Z207" t="s">
        <v>16</v>
      </c>
      <c r="AA207" t="s">
        <v>17</v>
      </c>
      <c r="AB207" t="s">
        <v>12</v>
      </c>
      <c r="AC207" t="s">
        <v>8</v>
      </c>
      <c r="AD207" t="s">
        <v>18</v>
      </c>
      <c r="AE207" t="s">
        <v>690</v>
      </c>
      <c r="AF207" t="s">
        <v>12</v>
      </c>
      <c r="AG207" t="s">
        <v>12</v>
      </c>
      <c r="AH207" t="s">
        <v>12</v>
      </c>
      <c r="AI207" s="2">
        <v>45904</v>
      </c>
      <c r="AJ207" s="2"/>
      <c r="AK207" t="s">
        <v>12</v>
      </c>
    </row>
    <row r="208" spans="1:37" outlineLevel="2" x14ac:dyDescent="0.25">
      <c r="A208" t="s">
        <v>129</v>
      </c>
      <c r="B208" t="s">
        <v>1</v>
      </c>
      <c r="C208" t="s">
        <v>2</v>
      </c>
      <c r="D208" t="s">
        <v>3</v>
      </c>
      <c r="E208" t="s">
        <v>4</v>
      </c>
      <c r="F208" t="s">
        <v>313</v>
      </c>
      <c r="G208" s="2">
        <v>45904</v>
      </c>
      <c r="H208" t="s">
        <v>691</v>
      </c>
      <c r="I208" t="s">
        <v>22</v>
      </c>
      <c r="J208" s="2">
        <v>45904</v>
      </c>
      <c r="K208" s="2">
        <v>45909</v>
      </c>
      <c r="L208" t="s">
        <v>8</v>
      </c>
      <c r="M208" s="26">
        <v>256779417324</v>
      </c>
      <c r="N208" t="s">
        <v>10</v>
      </c>
      <c r="O208" t="s">
        <v>11</v>
      </c>
      <c r="P208" t="s">
        <v>12</v>
      </c>
      <c r="Q208" t="s">
        <v>24</v>
      </c>
      <c r="R208" t="s">
        <v>14</v>
      </c>
      <c r="S208" s="3">
        <v>49.35</v>
      </c>
      <c r="T208" t="s">
        <v>15</v>
      </c>
      <c r="U208" s="3">
        <v>4318.83</v>
      </c>
      <c r="V208" s="3" t="e">
        <f>VLOOKUP(M208,'[1]Query Report'!$A:$E,5,0)</f>
        <v>#N/A</v>
      </c>
      <c r="W208" s="3" t="e">
        <f t="shared" si="18"/>
        <v>#N/A</v>
      </c>
      <c r="X208" s="29" t="e">
        <f t="shared" si="20"/>
        <v>#N/A</v>
      </c>
      <c r="Y208" s="29" t="s">
        <v>1363</v>
      </c>
      <c r="Z208" t="s">
        <v>16</v>
      </c>
      <c r="AA208" t="s">
        <v>17</v>
      </c>
      <c r="AB208" t="s">
        <v>12</v>
      </c>
      <c r="AC208" t="s">
        <v>693</v>
      </c>
      <c r="AD208" t="s">
        <v>18</v>
      </c>
      <c r="AE208" t="s">
        <v>694</v>
      </c>
      <c r="AF208" t="s">
        <v>12</v>
      </c>
      <c r="AG208" t="s">
        <v>12</v>
      </c>
      <c r="AH208" t="s">
        <v>12</v>
      </c>
      <c r="AI208" s="2">
        <v>45904</v>
      </c>
      <c r="AJ208" s="2"/>
      <c r="AK208" t="s">
        <v>12</v>
      </c>
    </row>
    <row r="209" spans="1:37" outlineLevel="2" x14ac:dyDescent="0.25">
      <c r="A209" t="s">
        <v>129</v>
      </c>
      <c r="B209" t="s">
        <v>1</v>
      </c>
      <c r="C209" t="s">
        <v>2</v>
      </c>
      <c r="D209" t="s">
        <v>3</v>
      </c>
      <c r="E209" t="s">
        <v>4</v>
      </c>
      <c r="F209" t="s">
        <v>313</v>
      </c>
      <c r="G209" s="2">
        <v>45904</v>
      </c>
      <c r="H209" t="s">
        <v>695</v>
      </c>
      <c r="I209" t="s">
        <v>22</v>
      </c>
      <c r="J209" s="2">
        <v>45904</v>
      </c>
      <c r="K209" s="2">
        <v>45909</v>
      </c>
      <c r="L209" t="s">
        <v>8</v>
      </c>
      <c r="M209" s="26">
        <v>256779417373</v>
      </c>
      <c r="N209" t="s">
        <v>10</v>
      </c>
      <c r="O209" t="s">
        <v>11</v>
      </c>
      <c r="P209" t="s">
        <v>12</v>
      </c>
      <c r="Q209" t="s">
        <v>24</v>
      </c>
      <c r="R209" t="s">
        <v>14</v>
      </c>
      <c r="S209" s="3">
        <v>456.75</v>
      </c>
      <c r="T209" t="s">
        <v>15</v>
      </c>
      <c r="U209" s="3">
        <v>39972.17</v>
      </c>
      <c r="V209" s="3" t="e">
        <f>VLOOKUP(M209,'[1]Query Report'!$A:$E,5,0)</f>
        <v>#N/A</v>
      </c>
      <c r="W209" s="3" t="e">
        <f t="shared" si="18"/>
        <v>#N/A</v>
      </c>
      <c r="X209" s="29" t="e">
        <f t="shared" si="20"/>
        <v>#N/A</v>
      </c>
      <c r="Y209" s="29" t="s">
        <v>1362</v>
      </c>
      <c r="Z209" t="s">
        <v>16</v>
      </c>
      <c r="AA209" t="s">
        <v>17</v>
      </c>
      <c r="AB209" t="s">
        <v>12</v>
      </c>
      <c r="AC209" t="s">
        <v>8</v>
      </c>
      <c r="AD209" t="s">
        <v>18</v>
      </c>
      <c r="AE209" t="s">
        <v>697</v>
      </c>
      <c r="AF209" t="s">
        <v>12</v>
      </c>
      <c r="AG209" t="s">
        <v>12</v>
      </c>
      <c r="AH209" t="s">
        <v>12</v>
      </c>
      <c r="AI209" s="2">
        <v>45904</v>
      </c>
      <c r="AJ209" s="2"/>
      <c r="AK209" t="s">
        <v>12</v>
      </c>
    </row>
    <row r="210" spans="1:37" outlineLevel="2" x14ac:dyDescent="0.25">
      <c r="A210" t="s">
        <v>129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45842</v>
      </c>
      <c r="H210" t="s">
        <v>698</v>
      </c>
      <c r="I210" t="s">
        <v>22</v>
      </c>
      <c r="J210" s="2">
        <v>45842</v>
      </c>
      <c r="K210" s="2">
        <v>45845</v>
      </c>
      <c r="L210" t="s">
        <v>8</v>
      </c>
      <c r="M210" s="26">
        <v>256779414768</v>
      </c>
      <c r="N210" t="s">
        <v>10</v>
      </c>
      <c r="O210" t="s">
        <v>11</v>
      </c>
      <c r="P210" t="s">
        <v>12</v>
      </c>
      <c r="Q210" t="s">
        <v>24</v>
      </c>
      <c r="R210" t="s">
        <v>14</v>
      </c>
      <c r="S210" s="3">
        <v>17.350000000000001</v>
      </c>
      <c r="T210" t="s">
        <v>15</v>
      </c>
      <c r="U210" s="3">
        <v>1492.11</v>
      </c>
      <c r="V210" s="3" t="e">
        <f>VLOOKUP(M210,'[1]Query Report'!$A:$E,5,0)</f>
        <v>#N/A</v>
      </c>
      <c r="W210" s="3" t="e">
        <f t="shared" si="18"/>
        <v>#N/A</v>
      </c>
      <c r="X210" s="29" t="e">
        <f t="shared" si="20"/>
        <v>#N/A</v>
      </c>
      <c r="Y210" s="29"/>
      <c r="Z210" t="s">
        <v>16</v>
      </c>
      <c r="AA210" t="s">
        <v>17</v>
      </c>
      <c r="AB210" t="s">
        <v>12</v>
      </c>
      <c r="AC210" t="s">
        <v>8</v>
      </c>
      <c r="AD210" t="s">
        <v>18</v>
      </c>
      <c r="AE210" t="s">
        <v>700</v>
      </c>
      <c r="AF210" t="s">
        <v>12</v>
      </c>
      <c r="AG210" t="s">
        <v>12</v>
      </c>
      <c r="AH210" t="s">
        <v>12</v>
      </c>
      <c r="AI210" s="2">
        <v>45842</v>
      </c>
      <c r="AJ210" s="2"/>
      <c r="AK210" t="s">
        <v>12</v>
      </c>
    </row>
    <row r="211" spans="1:37" outlineLevel="2" x14ac:dyDescent="0.25">
      <c r="A211" t="s">
        <v>129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s="2">
        <v>45842</v>
      </c>
      <c r="H211" t="s">
        <v>701</v>
      </c>
      <c r="I211" t="s">
        <v>22</v>
      </c>
      <c r="J211" s="2">
        <v>45842</v>
      </c>
      <c r="K211" s="2">
        <v>45845</v>
      </c>
      <c r="L211" t="s">
        <v>8</v>
      </c>
      <c r="M211" s="26">
        <v>256779414829</v>
      </c>
      <c r="N211" t="s">
        <v>10</v>
      </c>
      <c r="O211" t="s">
        <v>11</v>
      </c>
      <c r="P211" t="s">
        <v>12</v>
      </c>
      <c r="Q211" t="s">
        <v>24</v>
      </c>
      <c r="R211" t="s">
        <v>14</v>
      </c>
      <c r="S211" s="3">
        <v>101.95</v>
      </c>
      <c r="T211" t="s">
        <v>15</v>
      </c>
      <c r="U211" s="3">
        <v>8767.77</v>
      </c>
      <c r="V211" s="3" t="e">
        <f>VLOOKUP(M211,'[1]Query Report'!$A:$E,5,0)</f>
        <v>#N/A</v>
      </c>
      <c r="W211" s="3" t="e">
        <f t="shared" si="18"/>
        <v>#N/A</v>
      </c>
      <c r="X211" s="29" t="e">
        <f t="shared" si="20"/>
        <v>#N/A</v>
      </c>
      <c r="Y211" s="29" t="s">
        <v>1363</v>
      </c>
      <c r="Z211" t="s">
        <v>16</v>
      </c>
      <c r="AA211" t="s">
        <v>17</v>
      </c>
      <c r="AB211" t="s">
        <v>12</v>
      </c>
      <c r="AC211" t="s">
        <v>8</v>
      </c>
      <c r="AD211" t="s">
        <v>18</v>
      </c>
      <c r="AE211" t="s">
        <v>703</v>
      </c>
      <c r="AF211" t="s">
        <v>12</v>
      </c>
      <c r="AG211" t="s">
        <v>12</v>
      </c>
      <c r="AH211" t="s">
        <v>12</v>
      </c>
      <c r="AI211" s="2">
        <v>45842</v>
      </c>
      <c r="AJ211" s="2"/>
      <c r="AK211" t="s">
        <v>12</v>
      </c>
    </row>
    <row r="212" spans="1:37" outlineLevel="2" x14ac:dyDescent="0.25">
      <c r="A212" t="s">
        <v>129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45842</v>
      </c>
      <c r="H212" t="s">
        <v>704</v>
      </c>
      <c r="I212" t="s">
        <v>22</v>
      </c>
      <c r="J212" s="2">
        <v>45842</v>
      </c>
      <c r="K212" s="2">
        <v>45847</v>
      </c>
      <c r="L212" t="s">
        <v>8</v>
      </c>
      <c r="M212" s="26">
        <v>256779414878</v>
      </c>
      <c r="N212" t="s">
        <v>10</v>
      </c>
      <c r="O212" t="s">
        <v>11</v>
      </c>
      <c r="P212" t="s">
        <v>12</v>
      </c>
      <c r="Q212" t="s">
        <v>24</v>
      </c>
      <c r="R212" t="s">
        <v>14</v>
      </c>
      <c r="S212" s="3">
        <v>31.73</v>
      </c>
      <c r="T212" t="s">
        <v>15</v>
      </c>
      <c r="U212" s="3">
        <v>2728.8</v>
      </c>
      <c r="V212" s="3" t="e">
        <f>VLOOKUP(M212,'[1]Query Report'!$A:$E,5,0)</f>
        <v>#N/A</v>
      </c>
      <c r="W212" s="3" t="e">
        <f t="shared" si="18"/>
        <v>#N/A</v>
      </c>
      <c r="X212" s="29" t="e">
        <f t="shared" si="20"/>
        <v>#N/A</v>
      </c>
      <c r="Y212" s="29" t="s">
        <v>1363</v>
      </c>
      <c r="Z212" t="s">
        <v>16</v>
      </c>
      <c r="AA212" t="s">
        <v>17</v>
      </c>
      <c r="AB212" t="s">
        <v>12</v>
      </c>
      <c r="AC212" t="s">
        <v>8</v>
      </c>
      <c r="AD212" t="s">
        <v>18</v>
      </c>
      <c r="AE212" t="s">
        <v>706</v>
      </c>
      <c r="AF212" t="s">
        <v>12</v>
      </c>
      <c r="AG212" t="s">
        <v>12</v>
      </c>
      <c r="AH212" t="s">
        <v>12</v>
      </c>
      <c r="AI212" s="2">
        <v>45842</v>
      </c>
      <c r="AJ212" s="2"/>
      <c r="AK212" t="s">
        <v>12</v>
      </c>
    </row>
    <row r="213" spans="1:37" outlineLevel="2" x14ac:dyDescent="0.25">
      <c r="A213" t="s">
        <v>129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s="2">
        <v>45842</v>
      </c>
      <c r="H213" t="s">
        <v>707</v>
      </c>
      <c r="I213" t="s">
        <v>22</v>
      </c>
      <c r="J213" s="2">
        <v>45842</v>
      </c>
      <c r="K213" s="2">
        <v>45847</v>
      </c>
      <c r="L213" t="s">
        <v>8</v>
      </c>
      <c r="M213" s="26">
        <v>256779414890</v>
      </c>
      <c r="N213" t="s">
        <v>10</v>
      </c>
      <c r="O213" t="s">
        <v>11</v>
      </c>
      <c r="P213" t="s">
        <v>12</v>
      </c>
      <c r="Q213" t="s">
        <v>24</v>
      </c>
      <c r="R213" t="s">
        <v>14</v>
      </c>
      <c r="S213" s="3">
        <v>1180.8</v>
      </c>
      <c r="T213" t="s">
        <v>15</v>
      </c>
      <c r="U213" s="3">
        <v>101549.59</v>
      </c>
      <c r="V213" s="3" t="e">
        <f>VLOOKUP(M213,'[1]Query Report'!$A:$E,5,0)</f>
        <v>#N/A</v>
      </c>
      <c r="W213" s="3" t="e">
        <f t="shared" si="18"/>
        <v>#N/A</v>
      </c>
      <c r="X213" s="29" t="e">
        <f t="shared" si="20"/>
        <v>#N/A</v>
      </c>
      <c r="Y213" s="29" t="s">
        <v>1363</v>
      </c>
      <c r="Z213" t="s">
        <v>16</v>
      </c>
      <c r="AA213" t="s">
        <v>17</v>
      </c>
      <c r="AB213" t="s">
        <v>12</v>
      </c>
      <c r="AC213" t="s">
        <v>8</v>
      </c>
      <c r="AD213" t="s">
        <v>18</v>
      </c>
      <c r="AE213" t="s">
        <v>709</v>
      </c>
      <c r="AF213" t="s">
        <v>12</v>
      </c>
      <c r="AG213" t="s">
        <v>12</v>
      </c>
      <c r="AH213" t="s">
        <v>12</v>
      </c>
      <c r="AI213" s="2">
        <v>45842</v>
      </c>
      <c r="AJ213" s="2"/>
      <c r="AK213" t="s">
        <v>12</v>
      </c>
    </row>
    <row r="214" spans="1:37" outlineLevel="2" x14ac:dyDescent="0.25">
      <c r="A214" t="s">
        <v>129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s="2">
        <v>45842</v>
      </c>
      <c r="H214" t="s">
        <v>710</v>
      </c>
      <c r="I214" t="s">
        <v>22</v>
      </c>
      <c r="J214" s="2">
        <v>45842</v>
      </c>
      <c r="K214" s="2">
        <v>45847</v>
      </c>
      <c r="L214" t="s">
        <v>8</v>
      </c>
      <c r="M214" s="26">
        <v>256779414944</v>
      </c>
      <c r="N214" t="s">
        <v>10</v>
      </c>
      <c r="O214" t="s">
        <v>11</v>
      </c>
      <c r="P214" t="s">
        <v>12</v>
      </c>
      <c r="Q214" t="s">
        <v>24</v>
      </c>
      <c r="R214" t="s">
        <v>14</v>
      </c>
      <c r="S214" s="3">
        <v>456.75</v>
      </c>
      <c r="T214" t="s">
        <v>15</v>
      </c>
      <c r="U214" s="3">
        <v>39280.81</v>
      </c>
      <c r="V214" s="3" t="e">
        <f>VLOOKUP(M214,'[1]Query Report'!$A:$E,5,0)</f>
        <v>#N/A</v>
      </c>
      <c r="W214" s="3" t="e">
        <f t="shared" si="18"/>
        <v>#N/A</v>
      </c>
      <c r="X214" s="29" t="e">
        <f t="shared" si="20"/>
        <v>#N/A</v>
      </c>
      <c r="Y214" s="29" t="s">
        <v>1363</v>
      </c>
      <c r="Z214" t="s">
        <v>16</v>
      </c>
      <c r="AA214" t="s">
        <v>17</v>
      </c>
      <c r="AB214" t="s">
        <v>12</v>
      </c>
      <c r="AC214" t="s">
        <v>8</v>
      </c>
      <c r="AD214" t="s">
        <v>18</v>
      </c>
      <c r="AE214" t="s">
        <v>712</v>
      </c>
      <c r="AF214" t="s">
        <v>12</v>
      </c>
      <c r="AG214" t="s">
        <v>12</v>
      </c>
      <c r="AH214" t="s">
        <v>12</v>
      </c>
      <c r="AI214" s="2">
        <v>45842</v>
      </c>
      <c r="AJ214" s="2"/>
      <c r="AK214" t="s">
        <v>12</v>
      </c>
    </row>
    <row r="215" spans="1:37" outlineLevel="2" x14ac:dyDescent="0.25">
      <c r="A215" t="s">
        <v>129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s="2">
        <v>45842</v>
      </c>
      <c r="H215" t="s">
        <v>713</v>
      </c>
      <c r="I215" t="s">
        <v>22</v>
      </c>
      <c r="J215" s="2">
        <v>45842</v>
      </c>
      <c r="K215" s="2">
        <v>45847</v>
      </c>
      <c r="L215" t="s">
        <v>8</v>
      </c>
      <c r="M215" s="26">
        <v>256779414975</v>
      </c>
      <c r="N215" t="s">
        <v>10</v>
      </c>
      <c r="O215" t="s">
        <v>11</v>
      </c>
      <c r="P215" t="s">
        <v>12</v>
      </c>
      <c r="Q215" t="s">
        <v>24</v>
      </c>
      <c r="R215" t="s">
        <v>14</v>
      </c>
      <c r="S215" s="3">
        <v>54.05</v>
      </c>
      <c r="T215" t="s">
        <v>15</v>
      </c>
      <c r="U215" s="3">
        <v>4648.34</v>
      </c>
      <c r="V215" s="3" t="e">
        <f>VLOOKUP(M215,'[1]Query Report'!$A:$E,5,0)</f>
        <v>#N/A</v>
      </c>
      <c r="W215" s="3" t="e">
        <f t="shared" si="18"/>
        <v>#N/A</v>
      </c>
      <c r="X215" s="29" t="e">
        <f t="shared" si="20"/>
        <v>#N/A</v>
      </c>
      <c r="Y215" s="29" t="s">
        <v>1363</v>
      </c>
      <c r="Z215" t="s">
        <v>16</v>
      </c>
      <c r="AA215" t="s">
        <v>17</v>
      </c>
      <c r="AB215" t="s">
        <v>12</v>
      </c>
      <c r="AC215" t="s">
        <v>8</v>
      </c>
      <c r="AD215" t="s">
        <v>18</v>
      </c>
      <c r="AE215" t="s">
        <v>12</v>
      </c>
      <c r="AF215" t="s">
        <v>12</v>
      </c>
      <c r="AG215" t="s">
        <v>12</v>
      </c>
      <c r="AH215" t="s">
        <v>12</v>
      </c>
      <c r="AI215" s="2">
        <v>45842</v>
      </c>
      <c r="AJ215" s="2"/>
      <c r="AK215" t="s">
        <v>12</v>
      </c>
    </row>
    <row r="216" spans="1:37" outlineLevel="2" x14ac:dyDescent="0.25">
      <c r="A216" t="s">
        <v>129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s="2">
        <v>45842</v>
      </c>
      <c r="H216" t="s">
        <v>715</v>
      </c>
      <c r="I216" t="s">
        <v>22</v>
      </c>
      <c r="J216" s="2">
        <v>45842</v>
      </c>
      <c r="K216" s="2">
        <v>45847</v>
      </c>
      <c r="L216" t="s">
        <v>8</v>
      </c>
      <c r="M216" s="26">
        <v>256779415041</v>
      </c>
      <c r="N216" t="s">
        <v>10</v>
      </c>
      <c r="O216" t="s">
        <v>11</v>
      </c>
      <c r="P216" t="s">
        <v>12</v>
      </c>
      <c r="Q216" t="s">
        <v>24</v>
      </c>
      <c r="R216" t="s">
        <v>14</v>
      </c>
      <c r="S216" s="3">
        <v>155.09</v>
      </c>
      <c r="T216" t="s">
        <v>15</v>
      </c>
      <c r="U216" s="3">
        <v>13337.84</v>
      </c>
      <c r="V216" s="3" t="e">
        <f>VLOOKUP(M216,'[1]Query Report'!$A:$E,5,0)</f>
        <v>#N/A</v>
      </c>
      <c r="W216" s="3" t="e">
        <f t="shared" si="18"/>
        <v>#N/A</v>
      </c>
      <c r="X216" s="3"/>
      <c r="Y216" s="3"/>
      <c r="Z216" t="s">
        <v>16</v>
      </c>
      <c r="AA216" t="s">
        <v>17</v>
      </c>
      <c r="AB216" t="s">
        <v>12</v>
      </c>
      <c r="AC216" t="s">
        <v>8</v>
      </c>
      <c r="AD216" t="s">
        <v>18</v>
      </c>
      <c r="AE216" t="s">
        <v>717</v>
      </c>
      <c r="AF216" t="s">
        <v>12</v>
      </c>
      <c r="AG216" t="s">
        <v>12</v>
      </c>
      <c r="AH216" t="s">
        <v>12</v>
      </c>
      <c r="AI216" s="2">
        <v>45842</v>
      </c>
      <c r="AJ216" s="2"/>
      <c r="AK216" t="s">
        <v>12</v>
      </c>
    </row>
    <row r="217" spans="1:37" outlineLevel="2" x14ac:dyDescent="0.25">
      <c r="A217" t="s">
        <v>129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s="2">
        <v>45842</v>
      </c>
      <c r="H217" t="s">
        <v>718</v>
      </c>
      <c r="I217" t="s">
        <v>22</v>
      </c>
      <c r="J217" s="2">
        <v>45842</v>
      </c>
      <c r="K217" s="2">
        <v>45847</v>
      </c>
      <c r="L217" t="s">
        <v>8</v>
      </c>
      <c r="M217" s="26">
        <v>256779415048</v>
      </c>
      <c r="N217" t="s">
        <v>10</v>
      </c>
      <c r="O217" t="s">
        <v>11</v>
      </c>
      <c r="P217" t="s">
        <v>12</v>
      </c>
      <c r="Q217" t="s">
        <v>24</v>
      </c>
      <c r="R217" t="s">
        <v>14</v>
      </c>
      <c r="S217" s="3">
        <v>6.43</v>
      </c>
      <c r="T217" t="s">
        <v>15</v>
      </c>
      <c r="U217" s="3">
        <v>552.98</v>
      </c>
      <c r="V217" s="3" t="e">
        <f>VLOOKUP(M217,'[1]Query Report'!$A:$E,5,0)</f>
        <v>#N/A</v>
      </c>
      <c r="W217" s="3" t="e">
        <f t="shared" si="18"/>
        <v>#N/A</v>
      </c>
      <c r="X217" s="29" t="e">
        <f t="shared" ref="X217:X227" si="21">W217/U217</f>
        <v>#N/A</v>
      </c>
      <c r="Y217" s="29"/>
      <c r="Z217" t="s">
        <v>16</v>
      </c>
      <c r="AA217" t="s">
        <v>17</v>
      </c>
      <c r="AB217" t="s">
        <v>12</v>
      </c>
      <c r="AC217" t="s">
        <v>8</v>
      </c>
      <c r="AD217" t="s">
        <v>18</v>
      </c>
      <c r="AE217" t="s">
        <v>720</v>
      </c>
      <c r="AF217" t="s">
        <v>12</v>
      </c>
      <c r="AG217" t="s">
        <v>12</v>
      </c>
      <c r="AH217" t="s">
        <v>12</v>
      </c>
      <c r="AI217" s="2">
        <v>45842</v>
      </c>
      <c r="AJ217" s="2"/>
      <c r="AK217" t="s">
        <v>12</v>
      </c>
    </row>
    <row r="218" spans="1:37" outlineLevel="2" x14ac:dyDescent="0.25">
      <c r="A218" t="s">
        <v>129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s="2">
        <v>45842</v>
      </c>
      <c r="H218" t="s">
        <v>721</v>
      </c>
      <c r="I218" t="s">
        <v>22</v>
      </c>
      <c r="J218" s="2">
        <v>45842</v>
      </c>
      <c r="K218" s="2">
        <v>45847</v>
      </c>
      <c r="L218" t="s">
        <v>8</v>
      </c>
      <c r="M218" s="26">
        <v>256779415198</v>
      </c>
      <c r="N218" t="s">
        <v>10</v>
      </c>
      <c r="O218" t="s">
        <v>11</v>
      </c>
      <c r="P218" t="s">
        <v>12</v>
      </c>
      <c r="Q218" t="s">
        <v>24</v>
      </c>
      <c r="R218" t="s">
        <v>14</v>
      </c>
      <c r="S218" s="3">
        <v>3330.8</v>
      </c>
      <c r="T218" t="s">
        <v>15</v>
      </c>
      <c r="U218" s="3">
        <v>286451.03000000003</v>
      </c>
      <c r="V218" s="3" t="e">
        <f>VLOOKUP(M218,'[1]Query Report'!$A:$E,5,0)</f>
        <v>#N/A</v>
      </c>
      <c r="W218" s="3" t="e">
        <f t="shared" si="18"/>
        <v>#N/A</v>
      </c>
      <c r="X218" s="29" t="e">
        <f t="shared" si="21"/>
        <v>#N/A</v>
      </c>
      <c r="Y218" s="29" t="s">
        <v>1363</v>
      </c>
      <c r="Z218" t="s">
        <v>16</v>
      </c>
      <c r="AA218" t="s">
        <v>17</v>
      </c>
      <c r="AB218" t="s">
        <v>12</v>
      </c>
      <c r="AC218" t="s">
        <v>8</v>
      </c>
      <c r="AD218" t="s">
        <v>18</v>
      </c>
      <c r="AE218" t="s">
        <v>723</v>
      </c>
      <c r="AF218" t="s">
        <v>12</v>
      </c>
      <c r="AG218" t="s">
        <v>12</v>
      </c>
      <c r="AH218" t="s">
        <v>12</v>
      </c>
      <c r="AI218" s="2">
        <v>45842</v>
      </c>
      <c r="AJ218" s="2"/>
      <c r="AK218" t="s">
        <v>12</v>
      </c>
    </row>
    <row r="219" spans="1:37" outlineLevel="2" x14ac:dyDescent="0.25">
      <c r="A219" t="s">
        <v>129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s="2">
        <v>45842</v>
      </c>
      <c r="H219" t="s">
        <v>724</v>
      </c>
      <c r="I219" t="s">
        <v>22</v>
      </c>
      <c r="J219" s="2">
        <v>45842</v>
      </c>
      <c r="K219" s="2">
        <v>45847</v>
      </c>
      <c r="L219" t="s">
        <v>8</v>
      </c>
      <c r="M219" s="26">
        <v>256779415263</v>
      </c>
      <c r="N219" t="s">
        <v>10</v>
      </c>
      <c r="O219" t="s">
        <v>11</v>
      </c>
      <c r="P219" t="s">
        <v>12</v>
      </c>
      <c r="Q219" t="s">
        <v>24</v>
      </c>
      <c r="R219" t="s">
        <v>14</v>
      </c>
      <c r="S219" s="3">
        <v>2.34</v>
      </c>
      <c r="T219" t="s">
        <v>15</v>
      </c>
      <c r="U219" s="3">
        <v>201.24</v>
      </c>
      <c r="V219" s="3" t="e">
        <f>VLOOKUP(M219,'[1]Query Report'!$A:$E,5,0)</f>
        <v>#N/A</v>
      </c>
      <c r="W219" s="3" t="e">
        <f t="shared" si="18"/>
        <v>#N/A</v>
      </c>
      <c r="X219" s="29" t="e">
        <f t="shared" si="21"/>
        <v>#N/A</v>
      </c>
      <c r="Y219" s="29"/>
      <c r="Z219" t="s">
        <v>16</v>
      </c>
      <c r="AA219" t="s">
        <v>17</v>
      </c>
      <c r="AB219" t="s">
        <v>12</v>
      </c>
      <c r="AC219" t="s">
        <v>12</v>
      </c>
      <c r="AD219" t="s">
        <v>18</v>
      </c>
      <c r="AE219" t="s">
        <v>726</v>
      </c>
      <c r="AF219" t="s">
        <v>12</v>
      </c>
      <c r="AG219" t="s">
        <v>12</v>
      </c>
      <c r="AH219" t="s">
        <v>12</v>
      </c>
      <c r="AI219" s="2">
        <v>45842</v>
      </c>
      <c r="AJ219" s="2"/>
      <c r="AK219" t="s">
        <v>12</v>
      </c>
    </row>
    <row r="220" spans="1:37" outlineLevel="2" x14ac:dyDescent="0.25">
      <c r="A220" t="s">
        <v>129</v>
      </c>
      <c r="B220" t="s">
        <v>1</v>
      </c>
      <c r="C220" t="s">
        <v>2</v>
      </c>
      <c r="D220" t="s">
        <v>3</v>
      </c>
      <c r="E220" t="s">
        <v>4</v>
      </c>
      <c r="F220" t="s">
        <v>13</v>
      </c>
      <c r="G220" s="2">
        <v>45966</v>
      </c>
      <c r="H220" t="s">
        <v>727</v>
      </c>
      <c r="I220" t="s">
        <v>22</v>
      </c>
      <c r="J220" s="2">
        <v>45966</v>
      </c>
      <c r="K220" s="2">
        <v>45966</v>
      </c>
      <c r="L220" t="s">
        <v>8</v>
      </c>
      <c r="M220" s="26">
        <v>256779418802</v>
      </c>
      <c r="N220" t="s">
        <v>10</v>
      </c>
      <c r="O220" t="s">
        <v>11</v>
      </c>
      <c r="P220" t="s">
        <v>12</v>
      </c>
      <c r="Q220" t="s">
        <v>24</v>
      </c>
      <c r="R220" t="s">
        <v>14</v>
      </c>
      <c r="S220" s="3">
        <v>456.75</v>
      </c>
      <c r="T220" t="s">
        <v>15</v>
      </c>
      <c r="U220" s="3">
        <v>40195.550000000003</v>
      </c>
      <c r="V220" s="3" t="e">
        <f>VLOOKUP(M220,'[1]Query Report'!$A:$E,5,0)</f>
        <v>#N/A</v>
      </c>
      <c r="W220" s="3" t="e">
        <f t="shared" si="18"/>
        <v>#N/A</v>
      </c>
      <c r="X220" s="29" t="e">
        <f t="shared" si="21"/>
        <v>#N/A</v>
      </c>
      <c r="Y220" s="29"/>
      <c r="Z220" t="s">
        <v>16</v>
      </c>
      <c r="AA220" t="s">
        <v>17</v>
      </c>
      <c r="AB220" t="s">
        <v>12</v>
      </c>
      <c r="AC220" t="s">
        <v>729</v>
      </c>
      <c r="AD220" t="s">
        <v>18</v>
      </c>
      <c r="AE220" t="s">
        <v>730</v>
      </c>
      <c r="AF220" t="s">
        <v>12</v>
      </c>
      <c r="AG220" t="s">
        <v>12</v>
      </c>
      <c r="AH220" t="s">
        <v>12</v>
      </c>
      <c r="AI220" s="2">
        <v>45966</v>
      </c>
      <c r="AJ220" s="2"/>
      <c r="AK220" t="s">
        <v>12</v>
      </c>
    </row>
    <row r="221" spans="1:37" outlineLevel="2" x14ac:dyDescent="0.25">
      <c r="A221" t="s">
        <v>129</v>
      </c>
      <c r="B221" t="s">
        <v>1</v>
      </c>
      <c r="C221" t="s">
        <v>2</v>
      </c>
      <c r="D221" t="s">
        <v>3</v>
      </c>
      <c r="E221" t="s">
        <v>4</v>
      </c>
      <c r="F221" t="s">
        <v>13</v>
      </c>
      <c r="G221" s="2">
        <v>45966</v>
      </c>
      <c r="H221" t="s">
        <v>731</v>
      </c>
      <c r="I221" t="s">
        <v>22</v>
      </c>
      <c r="J221" s="2">
        <v>45966</v>
      </c>
      <c r="K221" s="2">
        <v>45967</v>
      </c>
      <c r="L221" t="s">
        <v>8</v>
      </c>
      <c r="M221" s="26">
        <v>256779418819</v>
      </c>
      <c r="N221" t="s">
        <v>10</v>
      </c>
      <c r="O221" t="s">
        <v>11</v>
      </c>
      <c r="P221" t="s">
        <v>12</v>
      </c>
      <c r="Q221" t="s">
        <v>24</v>
      </c>
      <c r="R221" t="s">
        <v>14</v>
      </c>
      <c r="S221" s="3">
        <v>32.74</v>
      </c>
      <c r="T221" t="s">
        <v>15</v>
      </c>
      <c r="U221" s="3">
        <v>2881.23</v>
      </c>
      <c r="V221" s="3" t="e">
        <f>VLOOKUP(M221,'[1]Query Report'!$A:$E,5,0)</f>
        <v>#N/A</v>
      </c>
      <c r="W221" s="3" t="e">
        <f t="shared" si="18"/>
        <v>#N/A</v>
      </c>
      <c r="X221" s="29" t="e">
        <f t="shared" si="21"/>
        <v>#N/A</v>
      </c>
      <c r="Y221" s="29" t="s">
        <v>1363</v>
      </c>
      <c r="Z221" t="s">
        <v>16</v>
      </c>
      <c r="AA221" t="s">
        <v>17</v>
      </c>
      <c r="AB221" t="s">
        <v>12</v>
      </c>
      <c r="AC221" t="s">
        <v>733</v>
      </c>
      <c r="AD221" t="s">
        <v>18</v>
      </c>
      <c r="AE221" t="s">
        <v>734</v>
      </c>
      <c r="AF221" t="s">
        <v>12</v>
      </c>
      <c r="AG221" t="s">
        <v>12</v>
      </c>
      <c r="AH221" t="s">
        <v>12</v>
      </c>
      <c r="AI221" s="2">
        <v>45966</v>
      </c>
      <c r="AJ221" s="2"/>
      <c r="AK221" t="s">
        <v>12</v>
      </c>
    </row>
    <row r="222" spans="1:37" outlineLevel="2" x14ac:dyDescent="0.25">
      <c r="A222" t="s">
        <v>129</v>
      </c>
      <c r="B222" t="s">
        <v>1</v>
      </c>
      <c r="C222" t="s">
        <v>2</v>
      </c>
      <c r="D222" t="s">
        <v>3</v>
      </c>
      <c r="E222" t="s">
        <v>4</v>
      </c>
      <c r="F222" t="s">
        <v>13</v>
      </c>
      <c r="G222" s="2">
        <v>45966</v>
      </c>
      <c r="H222" t="s">
        <v>735</v>
      </c>
      <c r="I222" t="s">
        <v>22</v>
      </c>
      <c r="J222" s="2">
        <v>45966</v>
      </c>
      <c r="K222" s="2">
        <v>45967</v>
      </c>
      <c r="L222" t="s">
        <v>8</v>
      </c>
      <c r="M222" s="26">
        <v>256779418869</v>
      </c>
      <c r="N222" t="s">
        <v>10</v>
      </c>
      <c r="O222" t="s">
        <v>11</v>
      </c>
      <c r="P222" t="s">
        <v>12</v>
      </c>
      <c r="Q222" t="s">
        <v>24</v>
      </c>
      <c r="R222" t="s">
        <v>14</v>
      </c>
      <c r="S222" s="3">
        <v>6685.47</v>
      </c>
      <c r="T222" t="s">
        <v>15</v>
      </c>
      <c r="U222" s="3">
        <v>588344.02</v>
      </c>
      <c r="V222" s="3" t="e">
        <f>VLOOKUP(M222,'[1]Query Report'!$A:$E,5,0)</f>
        <v>#N/A</v>
      </c>
      <c r="W222" s="3" t="e">
        <f t="shared" si="18"/>
        <v>#N/A</v>
      </c>
      <c r="X222" s="29" t="e">
        <f t="shared" si="21"/>
        <v>#N/A</v>
      </c>
      <c r="Y222" s="29" t="s">
        <v>1363</v>
      </c>
      <c r="Z222" t="s">
        <v>16</v>
      </c>
      <c r="AA222" t="s">
        <v>17</v>
      </c>
      <c r="AB222" t="s">
        <v>12</v>
      </c>
      <c r="AC222" t="s">
        <v>737</v>
      </c>
      <c r="AD222" t="s">
        <v>18</v>
      </c>
      <c r="AE222" t="s">
        <v>738</v>
      </c>
      <c r="AF222" t="s">
        <v>12</v>
      </c>
      <c r="AG222" t="s">
        <v>12</v>
      </c>
      <c r="AH222" t="s">
        <v>12</v>
      </c>
      <c r="AI222" s="2">
        <v>45966</v>
      </c>
      <c r="AJ222" s="2"/>
      <c r="AK222" t="s">
        <v>12</v>
      </c>
    </row>
    <row r="223" spans="1:37" outlineLevel="2" x14ac:dyDescent="0.25">
      <c r="A223" t="s">
        <v>129</v>
      </c>
      <c r="B223" t="s">
        <v>1</v>
      </c>
      <c r="C223" t="s">
        <v>2</v>
      </c>
      <c r="D223" t="s">
        <v>3</v>
      </c>
      <c r="E223" t="s">
        <v>4</v>
      </c>
      <c r="F223" t="s">
        <v>13</v>
      </c>
      <c r="G223" s="2">
        <v>45966</v>
      </c>
      <c r="H223" t="s">
        <v>739</v>
      </c>
      <c r="I223" t="s">
        <v>22</v>
      </c>
      <c r="J223" s="2">
        <v>45966</v>
      </c>
      <c r="K223" s="2">
        <v>45967</v>
      </c>
      <c r="L223" t="s">
        <v>8</v>
      </c>
      <c r="M223" s="26">
        <v>256779418897</v>
      </c>
      <c r="N223" t="s">
        <v>10</v>
      </c>
      <c r="O223" t="s">
        <v>11</v>
      </c>
      <c r="P223" t="s">
        <v>12</v>
      </c>
      <c r="Q223" t="s">
        <v>24</v>
      </c>
      <c r="R223" t="s">
        <v>14</v>
      </c>
      <c r="S223" s="3">
        <v>108.45</v>
      </c>
      <c r="T223" t="s">
        <v>15</v>
      </c>
      <c r="U223" s="3">
        <v>9543.9699999999993</v>
      </c>
      <c r="V223" s="3" t="e">
        <f>VLOOKUP(M223,'[1]Query Report'!$A:$E,5,0)</f>
        <v>#N/A</v>
      </c>
      <c r="W223" s="3" t="e">
        <f t="shared" si="18"/>
        <v>#N/A</v>
      </c>
      <c r="X223" s="29" t="e">
        <f t="shared" si="21"/>
        <v>#N/A</v>
      </c>
      <c r="Y223" s="29" t="s">
        <v>1363</v>
      </c>
      <c r="Z223" t="s">
        <v>16</v>
      </c>
      <c r="AA223" t="s">
        <v>17</v>
      </c>
      <c r="AB223" t="s">
        <v>12</v>
      </c>
      <c r="AC223" t="s">
        <v>741</v>
      </c>
      <c r="AD223" t="s">
        <v>18</v>
      </c>
      <c r="AE223" t="s">
        <v>742</v>
      </c>
      <c r="AF223" t="s">
        <v>12</v>
      </c>
      <c r="AG223" t="s">
        <v>12</v>
      </c>
      <c r="AH223" t="s">
        <v>12</v>
      </c>
      <c r="AI223" s="2">
        <v>45966</v>
      </c>
      <c r="AJ223" s="2"/>
      <c r="AK223" t="s">
        <v>12</v>
      </c>
    </row>
    <row r="224" spans="1:37" outlineLevel="2" x14ac:dyDescent="0.25">
      <c r="A224" t="s">
        <v>129</v>
      </c>
      <c r="B224" t="s">
        <v>1</v>
      </c>
      <c r="C224" t="s">
        <v>2</v>
      </c>
      <c r="D224" t="s">
        <v>3</v>
      </c>
      <c r="E224" t="s">
        <v>4</v>
      </c>
      <c r="F224" t="s">
        <v>13</v>
      </c>
      <c r="G224" s="2">
        <v>45966</v>
      </c>
      <c r="H224" t="s">
        <v>743</v>
      </c>
      <c r="I224" t="s">
        <v>22</v>
      </c>
      <c r="J224" s="2">
        <v>45966</v>
      </c>
      <c r="K224" s="2">
        <v>45967</v>
      </c>
      <c r="L224" t="s">
        <v>8</v>
      </c>
      <c r="M224" s="26">
        <v>256779418906</v>
      </c>
      <c r="N224" t="s">
        <v>10</v>
      </c>
      <c r="O224" t="s">
        <v>11</v>
      </c>
      <c r="P224" t="s">
        <v>12</v>
      </c>
      <c r="Q224" t="s">
        <v>24</v>
      </c>
      <c r="R224" t="s">
        <v>14</v>
      </c>
      <c r="S224" s="3">
        <v>35.25</v>
      </c>
      <c r="T224" t="s">
        <v>15</v>
      </c>
      <c r="U224" s="3">
        <v>3102.12</v>
      </c>
      <c r="V224" s="3" t="e">
        <f>VLOOKUP(M224,'[1]Query Report'!$A:$E,5,0)</f>
        <v>#N/A</v>
      </c>
      <c r="W224" s="3" t="e">
        <f t="shared" si="18"/>
        <v>#N/A</v>
      </c>
      <c r="X224" s="29" t="e">
        <f t="shared" si="21"/>
        <v>#N/A</v>
      </c>
      <c r="Y224" s="29" t="s">
        <v>1363</v>
      </c>
      <c r="Z224" t="s">
        <v>16</v>
      </c>
      <c r="AA224" t="s">
        <v>17</v>
      </c>
      <c r="AB224" t="s">
        <v>12</v>
      </c>
      <c r="AC224" t="s">
        <v>745</v>
      </c>
      <c r="AD224" t="s">
        <v>18</v>
      </c>
      <c r="AE224" t="s">
        <v>746</v>
      </c>
      <c r="AF224" t="s">
        <v>12</v>
      </c>
      <c r="AG224" t="s">
        <v>12</v>
      </c>
      <c r="AH224" t="s">
        <v>12</v>
      </c>
      <c r="AI224" s="2">
        <v>45966</v>
      </c>
      <c r="AJ224" s="2"/>
      <c r="AK224" t="s">
        <v>12</v>
      </c>
    </row>
    <row r="225" spans="1:37" outlineLevel="2" x14ac:dyDescent="0.25">
      <c r="A225" t="s">
        <v>129</v>
      </c>
      <c r="B225" t="s">
        <v>1</v>
      </c>
      <c r="C225" t="s">
        <v>2</v>
      </c>
      <c r="D225" t="s">
        <v>3</v>
      </c>
      <c r="E225" t="s">
        <v>4</v>
      </c>
      <c r="F225" t="s">
        <v>13</v>
      </c>
      <c r="G225" s="2">
        <v>45966</v>
      </c>
      <c r="H225" t="s">
        <v>747</v>
      </c>
      <c r="I225" t="s">
        <v>22</v>
      </c>
      <c r="J225" s="2">
        <v>45966</v>
      </c>
      <c r="K225" s="2">
        <v>45967</v>
      </c>
      <c r="L225" t="s">
        <v>8</v>
      </c>
      <c r="M225" s="26">
        <v>256779419069</v>
      </c>
      <c r="N225" t="s">
        <v>10</v>
      </c>
      <c r="O225" t="s">
        <v>11</v>
      </c>
      <c r="P225" t="s">
        <v>12</v>
      </c>
      <c r="Q225" t="s">
        <v>24</v>
      </c>
      <c r="R225" t="s">
        <v>14</v>
      </c>
      <c r="S225" s="3">
        <v>337.59</v>
      </c>
      <c r="T225" t="s">
        <v>15</v>
      </c>
      <c r="U225" s="3">
        <v>29709.06</v>
      </c>
      <c r="V225" s="3" t="e">
        <f>VLOOKUP(M225,'[1]Query Report'!$A:$E,5,0)</f>
        <v>#N/A</v>
      </c>
      <c r="W225" s="3" t="e">
        <f t="shared" si="18"/>
        <v>#N/A</v>
      </c>
      <c r="X225" s="29" t="e">
        <f t="shared" si="21"/>
        <v>#N/A</v>
      </c>
      <c r="Y225" s="29" t="s">
        <v>1363</v>
      </c>
      <c r="Z225" t="s">
        <v>16</v>
      </c>
      <c r="AA225" t="s">
        <v>17</v>
      </c>
      <c r="AB225" t="s">
        <v>12</v>
      </c>
      <c r="AC225" t="s">
        <v>749</v>
      </c>
      <c r="AD225" t="s">
        <v>18</v>
      </c>
      <c r="AE225" t="s">
        <v>750</v>
      </c>
      <c r="AF225" t="s">
        <v>12</v>
      </c>
      <c r="AG225" t="s">
        <v>12</v>
      </c>
      <c r="AH225" t="s">
        <v>12</v>
      </c>
      <c r="AI225" s="2">
        <v>45966</v>
      </c>
      <c r="AJ225" s="2"/>
      <c r="AK225" t="s">
        <v>12</v>
      </c>
    </row>
    <row r="226" spans="1:37" outlineLevel="2" x14ac:dyDescent="0.25">
      <c r="A226" t="s">
        <v>129</v>
      </c>
      <c r="B226" t="s">
        <v>1</v>
      </c>
      <c r="C226" t="s">
        <v>2</v>
      </c>
      <c r="D226" t="s">
        <v>3</v>
      </c>
      <c r="E226" t="s">
        <v>4</v>
      </c>
      <c r="F226" t="s">
        <v>13</v>
      </c>
      <c r="G226" s="2">
        <v>45966</v>
      </c>
      <c r="H226" t="s">
        <v>751</v>
      </c>
      <c r="I226" t="s">
        <v>22</v>
      </c>
      <c r="J226" s="2">
        <v>45966</v>
      </c>
      <c r="K226" s="2">
        <v>45967</v>
      </c>
      <c r="L226" t="s">
        <v>8</v>
      </c>
      <c r="M226" s="26">
        <v>256779419076</v>
      </c>
      <c r="N226" t="s">
        <v>10</v>
      </c>
      <c r="O226" t="s">
        <v>11</v>
      </c>
      <c r="P226" t="s">
        <v>12</v>
      </c>
      <c r="Q226" t="s">
        <v>24</v>
      </c>
      <c r="R226" t="s">
        <v>14</v>
      </c>
      <c r="S226" s="3">
        <v>799</v>
      </c>
      <c r="T226" t="s">
        <v>15</v>
      </c>
      <c r="U226" s="3">
        <v>70314.710000000006</v>
      </c>
      <c r="V226" s="3" t="e">
        <f>VLOOKUP(M226,'[1]Query Report'!$A:$E,5,0)</f>
        <v>#N/A</v>
      </c>
      <c r="W226" s="3" t="e">
        <f t="shared" si="18"/>
        <v>#N/A</v>
      </c>
      <c r="X226" s="29" t="e">
        <f t="shared" si="21"/>
        <v>#N/A</v>
      </c>
      <c r="Y226" s="29" t="s">
        <v>1363</v>
      </c>
      <c r="Z226" t="s">
        <v>16</v>
      </c>
      <c r="AA226" t="s">
        <v>17</v>
      </c>
      <c r="AB226" t="s">
        <v>12</v>
      </c>
      <c r="AC226" t="s">
        <v>753</v>
      </c>
      <c r="AD226" t="s">
        <v>18</v>
      </c>
      <c r="AE226" t="s">
        <v>754</v>
      </c>
      <c r="AF226" t="s">
        <v>12</v>
      </c>
      <c r="AG226" t="s">
        <v>12</v>
      </c>
      <c r="AH226" t="s">
        <v>12</v>
      </c>
      <c r="AI226" s="2">
        <v>45966</v>
      </c>
      <c r="AJ226" s="2"/>
      <c r="AK226" t="s">
        <v>12</v>
      </c>
    </row>
    <row r="227" spans="1:37" outlineLevel="2" x14ac:dyDescent="0.25">
      <c r="A227" t="s">
        <v>129</v>
      </c>
      <c r="B227" t="s">
        <v>1</v>
      </c>
      <c r="C227" t="s">
        <v>2</v>
      </c>
      <c r="D227" t="s">
        <v>3</v>
      </c>
      <c r="E227" t="s">
        <v>4</v>
      </c>
      <c r="F227" t="s">
        <v>13</v>
      </c>
      <c r="G227" s="2">
        <v>45966</v>
      </c>
      <c r="H227" t="s">
        <v>755</v>
      </c>
      <c r="I227" t="s">
        <v>22</v>
      </c>
      <c r="J227" s="2">
        <v>45966</v>
      </c>
      <c r="K227" s="2">
        <v>45967</v>
      </c>
      <c r="L227" t="s">
        <v>8</v>
      </c>
      <c r="M227" s="26">
        <v>256779419172</v>
      </c>
      <c r="N227" t="s">
        <v>10</v>
      </c>
      <c r="O227" t="s">
        <v>11</v>
      </c>
      <c r="P227" t="s">
        <v>12</v>
      </c>
      <c r="Q227" t="s">
        <v>24</v>
      </c>
      <c r="R227" t="s">
        <v>14</v>
      </c>
      <c r="S227" s="3">
        <v>68.150000000000006</v>
      </c>
      <c r="T227" t="s">
        <v>15</v>
      </c>
      <c r="U227" s="3">
        <v>5997.43</v>
      </c>
      <c r="V227" s="3" t="e">
        <f>VLOOKUP(M227,'[1]Query Report'!$A:$E,5,0)</f>
        <v>#N/A</v>
      </c>
      <c r="W227" s="3" t="e">
        <f t="shared" si="18"/>
        <v>#N/A</v>
      </c>
      <c r="X227" s="29" t="e">
        <f t="shared" si="21"/>
        <v>#N/A</v>
      </c>
      <c r="Y227" s="29" t="s">
        <v>1363</v>
      </c>
      <c r="Z227" t="s">
        <v>16</v>
      </c>
      <c r="AA227" t="s">
        <v>17</v>
      </c>
      <c r="AB227" t="s">
        <v>12</v>
      </c>
      <c r="AC227" t="s">
        <v>757</v>
      </c>
      <c r="AD227" t="s">
        <v>18</v>
      </c>
      <c r="AE227" t="s">
        <v>758</v>
      </c>
      <c r="AF227" t="s">
        <v>12</v>
      </c>
      <c r="AG227" t="s">
        <v>12</v>
      </c>
      <c r="AH227" t="s">
        <v>12</v>
      </c>
      <c r="AI227" s="2">
        <v>45966</v>
      </c>
      <c r="AJ227" s="2"/>
      <c r="AK227" t="s">
        <v>12</v>
      </c>
    </row>
    <row r="228" spans="1:37" outlineLevel="2" x14ac:dyDescent="0.25">
      <c r="A228" t="s">
        <v>129</v>
      </c>
      <c r="B228" t="s">
        <v>1</v>
      </c>
      <c r="C228" t="s">
        <v>2</v>
      </c>
      <c r="D228" t="s">
        <v>3</v>
      </c>
      <c r="E228" t="s">
        <v>4</v>
      </c>
      <c r="F228" t="s">
        <v>13</v>
      </c>
      <c r="G228" s="2">
        <v>45966</v>
      </c>
      <c r="H228" t="s">
        <v>759</v>
      </c>
      <c r="I228" t="s">
        <v>22</v>
      </c>
      <c r="J228" s="2">
        <v>45966</v>
      </c>
      <c r="K228" s="2">
        <v>45968</v>
      </c>
      <c r="L228" t="s">
        <v>760</v>
      </c>
      <c r="M228" s="26">
        <v>256779419230</v>
      </c>
      <c r="N228" t="s">
        <v>10</v>
      </c>
      <c r="O228" t="s">
        <v>11</v>
      </c>
      <c r="P228" t="s">
        <v>12</v>
      </c>
      <c r="Q228" t="s">
        <v>24</v>
      </c>
      <c r="R228" t="s">
        <v>14</v>
      </c>
      <c r="S228" s="3">
        <v>179.58</v>
      </c>
      <c r="T228" t="s">
        <v>15</v>
      </c>
      <c r="U228" s="3">
        <v>15803.65</v>
      </c>
      <c r="V228" s="3" t="e">
        <f>VLOOKUP(M228,'[1]Query Report'!$A:$E,5,0)</f>
        <v>#N/A</v>
      </c>
      <c r="W228" s="3" t="e">
        <f t="shared" si="18"/>
        <v>#N/A</v>
      </c>
      <c r="X228" s="3"/>
      <c r="Y228" s="3"/>
      <c r="Z228" t="s">
        <v>16</v>
      </c>
      <c r="AA228" t="s">
        <v>17</v>
      </c>
      <c r="AB228" t="s">
        <v>12</v>
      </c>
      <c r="AC228" t="s">
        <v>8</v>
      </c>
      <c r="AD228" t="s">
        <v>18</v>
      </c>
      <c r="AE228" t="s">
        <v>762</v>
      </c>
      <c r="AF228" t="s">
        <v>12</v>
      </c>
      <c r="AG228" t="s">
        <v>12</v>
      </c>
      <c r="AH228" t="s">
        <v>12</v>
      </c>
      <c r="AI228" s="2">
        <v>45966</v>
      </c>
      <c r="AJ228" s="2"/>
      <c r="AK228" t="s">
        <v>12</v>
      </c>
    </row>
    <row r="229" spans="1:37" outlineLevel="2" x14ac:dyDescent="0.25">
      <c r="A229" t="s">
        <v>129</v>
      </c>
      <c r="B229" t="s">
        <v>1</v>
      </c>
      <c r="C229" t="s">
        <v>2</v>
      </c>
      <c r="D229" t="s">
        <v>3</v>
      </c>
      <c r="E229" t="s">
        <v>4</v>
      </c>
      <c r="F229" t="s">
        <v>13</v>
      </c>
      <c r="G229" s="2">
        <v>45966</v>
      </c>
      <c r="H229" t="s">
        <v>763</v>
      </c>
      <c r="I229" t="s">
        <v>22</v>
      </c>
      <c r="J229" s="2">
        <v>45966</v>
      </c>
      <c r="K229" s="2">
        <v>45968</v>
      </c>
      <c r="L229" t="s">
        <v>8</v>
      </c>
      <c r="M229" s="26">
        <v>256779419248</v>
      </c>
      <c r="N229" t="s">
        <v>10</v>
      </c>
      <c r="O229" t="s">
        <v>11</v>
      </c>
      <c r="P229" t="s">
        <v>12</v>
      </c>
      <c r="Q229" t="s">
        <v>24</v>
      </c>
      <c r="R229" t="s">
        <v>14</v>
      </c>
      <c r="S229" s="3">
        <v>11.27</v>
      </c>
      <c r="T229" t="s">
        <v>15</v>
      </c>
      <c r="U229" s="3">
        <v>991.8</v>
      </c>
      <c r="V229" s="3" t="e">
        <f>VLOOKUP(M229,'[1]Query Report'!$A:$E,5,0)</f>
        <v>#N/A</v>
      </c>
      <c r="W229" s="3" t="e">
        <f t="shared" si="18"/>
        <v>#N/A</v>
      </c>
      <c r="X229" s="29" t="e">
        <f t="shared" ref="X229:X234" si="22">W229/U229</f>
        <v>#N/A</v>
      </c>
      <c r="Y229" s="29"/>
      <c r="Z229" t="s">
        <v>16</v>
      </c>
      <c r="AA229" t="s">
        <v>17</v>
      </c>
      <c r="AB229" t="s">
        <v>12</v>
      </c>
      <c r="AC229" t="s">
        <v>765</v>
      </c>
      <c r="AD229" t="s">
        <v>18</v>
      </c>
      <c r="AE229" t="s">
        <v>766</v>
      </c>
      <c r="AF229" t="s">
        <v>12</v>
      </c>
      <c r="AG229" t="s">
        <v>12</v>
      </c>
      <c r="AH229" t="s">
        <v>12</v>
      </c>
      <c r="AI229" s="2">
        <v>45966</v>
      </c>
      <c r="AJ229" s="2"/>
      <c r="AK229" t="s">
        <v>12</v>
      </c>
    </row>
    <row r="230" spans="1:37" outlineLevel="2" x14ac:dyDescent="0.25">
      <c r="A230" t="s">
        <v>129</v>
      </c>
      <c r="B230" t="s">
        <v>1</v>
      </c>
      <c r="C230" t="s">
        <v>2</v>
      </c>
      <c r="D230" t="s">
        <v>3</v>
      </c>
      <c r="E230" t="s">
        <v>4</v>
      </c>
      <c r="F230" t="s">
        <v>609</v>
      </c>
      <c r="G230" s="2">
        <v>45877</v>
      </c>
      <c r="H230" t="s">
        <v>767</v>
      </c>
      <c r="I230" t="s">
        <v>22</v>
      </c>
      <c r="J230" s="2">
        <v>45877</v>
      </c>
      <c r="K230" s="2">
        <v>45877</v>
      </c>
      <c r="L230" t="s">
        <v>8</v>
      </c>
      <c r="M230" s="26">
        <v>256779416088</v>
      </c>
      <c r="N230" t="s">
        <v>10</v>
      </c>
      <c r="O230" t="s">
        <v>11</v>
      </c>
      <c r="P230" t="s">
        <v>12</v>
      </c>
      <c r="Q230" t="s">
        <v>24</v>
      </c>
      <c r="R230" t="s">
        <v>14</v>
      </c>
      <c r="S230" s="3">
        <v>5977.6</v>
      </c>
      <c r="T230" t="s">
        <v>15</v>
      </c>
      <c r="U230" s="3">
        <v>514253.65</v>
      </c>
      <c r="V230" s="3" t="e">
        <f>VLOOKUP(M230,'[1]Query Report'!$A:$E,5,0)</f>
        <v>#N/A</v>
      </c>
      <c r="W230" s="3" t="e">
        <f t="shared" si="18"/>
        <v>#N/A</v>
      </c>
      <c r="X230" s="29" t="e">
        <f t="shared" si="22"/>
        <v>#N/A</v>
      </c>
      <c r="Y230" s="29" t="s">
        <v>1363</v>
      </c>
      <c r="Z230" t="s">
        <v>16</v>
      </c>
      <c r="AA230" t="s">
        <v>17</v>
      </c>
      <c r="AB230" t="s">
        <v>12</v>
      </c>
      <c r="AC230" t="s">
        <v>8</v>
      </c>
      <c r="AD230" t="s">
        <v>18</v>
      </c>
      <c r="AE230" t="s">
        <v>769</v>
      </c>
      <c r="AF230" t="s">
        <v>12</v>
      </c>
      <c r="AG230" t="s">
        <v>12</v>
      </c>
      <c r="AH230" t="s">
        <v>12</v>
      </c>
      <c r="AI230" s="2">
        <v>45877</v>
      </c>
      <c r="AJ230" s="2"/>
      <c r="AK230" t="s">
        <v>12</v>
      </c>
    </row>
    <row r="231" spans="1:37" outlineLevel="2" x14ac:dyDescent="0.25">
      <c r="A231" t="s">
        <v>129</v>
      </c>
      <c r="B231" t="s">
        <v>1</v>
      </c>
      <c r="C231" t="s">
        <v>2</v>
      </c>
      <c r="D231" t="s">
        <v>3</v>
      </c>
      <c r="E231" t="s">
        <v>4</v>
      </c>
      <c r="F231" t="s">
        <v>609</v>
      </c>
      <c r="G231" s="2">
        <v>45877</v>
      </c>
      <c r="H231" t="s">
        <v>770</v>
      </c>
      <c r="I231" t="s">
        <v>22</v>
      </c>
      <c r="J231" s="2">
        <v>45877</v>
      </c>
      <c r="K231" s="2">
        <v>45877</v>
      </c>
      <c r="L231" t="s">
        <v>8</v>
      </c>
      <c r="M231" s="26">
        <v>256779416178</v>
      </c>
      <c r="N231" t="s">
        <v>10</v>
      </c>
      <c r="O231" t="s">
        <v>11</v>
      </c>
      <c r="P231" t="s">
        <v>12</v>
      </c>
      <c r="Q231" t="s">
        <v>24</v>
      </c>
      <c r="R231" t="s">
        <v>14</v>
      </c>
      <c r="S231" s="3">
        <v>782.3</v>
      </c>
      <c r="T231" t="s">
        <v>15</v>
      </c>
      <c r="U231" s="3">
        <v>67301.36</v>
      </c>
      <c r="V231" s="3" t="e">
        <f>VLOOKUP(M231,'[1]Query Report'!$A:$E,5,0)</f>
        <v>#N/A</v>
      </c>
      <c r="W231" s="3" t="e">
        <f t="shared" si="18"/>
        <v>#N/A</v>
      </c>
      <c r="X231" s="29" t="e">
        <f t="shared" si="22"/>
        <v>#N/A</v>
      </c>
      <c r="Y231" s="29"/>
      <c r="Z231" t="s">
        <v>16</v>
      </c>
      <c r="AA231" t="s">
        <v>17</v>
      </c>
      <c r="AB231" t="s">
        <v>12</v>
      </c>
      <c r="AC231" t="s">
        <v>8</v>
      </c>
      <c r="AD231" t="s">
        <v>18</v>
      </c>
      <c r="AE231" t="s">
        <v>772</v>
      </c>
      <c r="AF231" t="s">
        <v>12</v>
      </c>
      <c r="AG231" t="s">
        <v>12</v>
      </c>
      <c r="AH231" t="s">
        <v>12</v>
      </c>
      <c r="AI231" s="2">
        <v>45877</v>
      </c>
      <c r="AJ231" s="2"/>
      <c r="AK231" t="s">
        <v>12</v>
      </c>
    </row>
    <row r="232" spans="1:37" outlineLevel="2" x14ac:dyDescent="0.25">
      <c r="A232" t="s">
        <v>129</v>
      </c>
      <c r="B232" t="s">
        <v>1</v>
      </c>
      <c r="C232" t="s">
        <v>2</v>
      </c>
      <c r="D232" t="s">
        <v>3</v>
      </c>
      <c r="E232" t="s">
        <v>4</v>
      </c>
      <c r="F232" t="s">
        <v>609</v>
      </c>
      <c r="G232" s="2">
        <v>45877</v>
      </c>
      <c r="H232" t="s">
        <v>773</v>
      </c>
      <c r="I232" t="s">
        <v>22</v>
      </c>
      <c r="J232" s="2">
        <v>45877</v>
      </c>
      <c r="K232" s="2">
        <v>45877</v>
      </c>
      <c r="L232" t="s">
        <v>8</v>
      </c>
      <c r="M232" s="26">
        <v>256779416223</v>
      </c>
      <c r="N232" t="s">
        <v>10</v>
      </c>
      <c r="O232" t="s">
        <v>11</v>
      </c>
      <c r="P232" t="s">
        <v>12</v>
      </c>
      <c r="Q232" t="s">
        <v>24</v>
      </c>
      <c r="R232" t="s">
        <v>14</v>
      </c>
      <c r="S232" s="3">
        <v>108.22</v>
      </c>
      <c r="T232" t="s">
        <v>15</v>
      </c>
      <c r="U232" s="3">
        <v>9310.18</v>
      </c>
      <c r="V232" s="3" t="e">
        <f>VLOOKUP(M232,'[1]Query Report'!$A:$E,5,0)</f>
        <v>#N/A</v>
      </c>
      <c r="W232" s="3" t="e">
        <f t="shared" si="18"/>
        <v>#N/A</v>
      </c>
      <c r="X232" s="29" t="e">
        <f t="shared" si="22"/>
        <v>#N/A</v>
      </c>
      <c r="Y232" s="29" t="s">
        <v>1363</v>
      </c>
      <c r="Z232" t="s">
        <v>16</v>
      </c>
      <c r="AA232" t="s">
        <v>17</v>
      </c>
      <c r="AB232" t="s">
        <v>12</v>
      </c>
      <c r="AC232" t="s">
        <v>8</v>
      </c>
      <c r="AD232" t="s">
        <v>18</v>
      </c>
      <c r="AE232" t="s">
        <v>775</v>
      </c>
      <c r="AF232" t="s">
        <v>12</v>
      </c>
      <c r="AG232" t="s">
        <v>12</v>
      </c>
      <c r="AH232" t="s">
        <v>12</v>
      </c>
      <c r="AI232" s="2">
        <v>45877</v>
      </c>
      <c r="AJ232" s="2"/>
      <c r="AK232" t="s">
        <v>12</v>
      </c>
    </row>
    <row r="233" spans="1:37" outlineLevel="2" x14ac:dyDescent="0.25">
      <c r="A233" t="s">
        <v>129</v>
      </c>
      <c r="B233" t="s">
        <v>1</v>
      </c>
      <c r="C233" t="s">
        <v>2</v>
      </c>
      <c r="D233" t="s">
        <v>3</v>
      </c>
      <c r="E233" t="s">
        <v>4</v>
      </c>
      <c r="F233" t="s">
        <v>609</v>
      </c>
      <c r="G233" s="2">
        <v>45877</v>
      </c>
      <c r="H233" t="s">
        <v>776</v>
      </c>
      <c r="I233" t="s">
        <v>22</v>
      </c>
      <c r="J233" s="2">
        <v>45877</v>
      </c>
      <c r="K233" s="2">
        <v>45877</v>
      </c>
      <c r="L233" t="s">
        <v>8</v>
      </c>
      <c r="M233" s="26">
        <v>256779416256</v>
      </c>
      <c r="N233" t="s">
        <v>10</v>
      </c>
      <c r="O233" t="s">
        <v>11</v>
      </c>
      <c r="P233" t="s">
        <v>12</v>
      </c>
      <c r="Q233" t="s">
        <v>24</v>
      </c>
      <c r="R233" t="s">
        <v>14</v>
      </c>
      <c r="S233" s="3">
        <v>56.4</v>
      </c>
      <c r="T233" t="s">
        <v>15</v>
      </c>
      <c r="U233" s="3">
        <v>4852.1000000000004</v>
      </c>
      <c r="V233" s="3" t="e">
        <f>VLOOKUP(M233,'[1]Query Report'!$A:$E,5,0)</f>
        <v>#N/A</v>
      </c>
      <c r="W233" s="3" t="e">
        <f t="shared" si="18"/>
        <v>#N/A</v>
      </c>
      <c r="X233" s="29" t="e">
        <f t="shared" si="22"/>
        <v>#N/A</v>
      </c>
      <c r="Y233" s="29" t="s">
        <v>1363</v>
      </c>
      <c r="Z233" t="s">
        <v>16</v>
      </c>
      <c r="AA233" t="s">
        <v>17</v>
      </c>
      <c r="AB233" t="s">
        <v>12</v>
      </c>
      <c r="AC233" t="s">
        <v>8</v>
      </c>
      <c r="AD233" t="s">
        <v>18</v>
      </c>
      <c r="AE233" t="s">
        <v>778</v>
      </c>
      <c r="AF233" t="s">
        <v>12</v>
      </c>
      <c r="AG233" t="s">
        <v>12</v>
      </c>
      <c r="AH233" t="s">
        <v>12</v>
      </c>
      <c r="AI233" s="2">
        <v>45877</v>
      </c>
      <c r="AJ233" s="2"/>
      <c r="AK233" t="s">
        <v>12</v>
      </c>
    </row>
    <row r="234" spans="1:37" outlineLevel="2" x14ac:dyDescent="0.25">
      <c r="A234" t="s">
        <v>129</v>
      </c>
      <c r="B234" t="s">
        <v>1</v>
      </c>
      <c r="C234" t="s">
        <v>2</v>
      </c>
      <c r="D234" t="s">
        <v>3</v>
      </c>
      <c r="E234" t="s">
        <v>4</v>
      </c>
      <c r="F234" t="s">
        <v>609</v>
      </c>
      <c r="G234" s="2">
        <v>45877</v>
      </c>
      <c r="H234" t="s">
        <v>779</v>
      </c>
      <c r="I234" t="s">
        <v>22</v>
      </c>
      <c r="J234" s="2">
        <v>45877</v>
      </c>
      <c r="K234" s="2">
        <v>45877</v>
      </c>
      <c r="L234" t="s">
        <v>8</v>
      </c>
      <c r="M234" s="26">
        <v>256779416444</v>
      </c>
      <c r="N234" t="s">
        <v>10</v>
      </c>
      <c r="O234" t="s">
        <v>11</v>
      </c>
      <c r="P234" t="s">
        <v>12</v>
      </c>
      <c r="Q234" t="s">
        <v>24</v>
      </c>
      <c r="R234" t="s">
        <v>14</v>
      </c>
      <c r="S234" s="3">
        <v>109.64</v>
      </c>
      <c r="T234" t="s">
        <v>15</v>
      </c>
      <c r="U234" s="3">
        <v>9432.34</v>
      </c>
      <c r="V234" s="3" t="e">
        <f>VLOOKUP(M234,'[1]Query Report'!$A:$E,5,0)</f>
        <v>#N/A</v>
      </c>
      <c r="W234" s="3" t="e">
        <f t="shared" si="18"/>
        <v>#N/A</v>
      </c>
      <c r="X234" s="29" t="e">
        <f t="shared" si="22"/>
        <v>#N/A</v>
      </c>
      <c r="Y234" s="29" t="s">
        <v>1363</v>
      </c>
      <c r="Z234" t="s">
        <v>16</v>
      </c>
      <c r="AA234" t="s">
        <v>17</v>
      </c>
      <c r="AB234" t="s">
        <v>12</v>
      </c>
      <c r="AC234" t="s">
        <v>8</v>
      </c>
      <c r="AD234" t="s">
        <v>18</v>
      </c>
      <c r="AE234" t="s">
        <v>781</v>
      </c>
      <c r="AF234" t="s">
        <v>12</v>
      </c>
      <c r="AG234" t="s">
        <v>12</v>
      </c>
      <c r="AH234" t="s">
        <v>12</v>
      </c>
      <c r="AI234" s="2">
        <v>45877</v>
      </c>
      <c r="AJ234" s="2"/>
      <c r="AK234" t="s">
        <v>12</v>
      </c>
    </row>
    <row r="235" spans="1:37" outlineLevel="2" x14ac:dyDescent="0.25">
      <c r="A235" t="s">
        <v>129</v>
      </c>
      <c r="B235" t="s">
        <v>1</v>
      </c>
      <c r="C235" t="s">
        <v>2</v>
      </c>
      <c r="D235" t="s">
        <v>3</v>
      </c>
      <c r="E235" t="s">
        <v>4</v>
      </c>
      <c r="F235" t="s">
        <v>609</v>
      </c>
      <c r="G235" s="2">
        <v>45877</v>
      </c>
      <c r="H235" t="s">
        <v>782</v>
      </c>
      <c r="I235" t="s">
        <v>22</v>
      </c>
      <c r="J235" s="2">
        <v>45877</v>
      </c>
      <c r="K235" s="2">
        <v>45877</v>
      </c>
      <c r="L235" t="s">
        <v>8</v>
      </c>
      <c r="M235" s="26">
        <v>256779416514</v>
      </c>
      <c r="N235" t="s">
        <v>10</v>
      </c>
      <c r="O235" t="s">
        <v>11</v>
      </c>
      <c r="P235" t="s">
        <v>12</v>
      </c>
      <c r="Q235" t="s">
        <v>24</v>
      </c>
      <c r="R235" t="s">
        <v>14</v>
      </c>
      <c r="S235" s="3">
        <v>1804.03</v>
      </c>
      <c r="T235" t="s">
        <v>15</v>
      </c>
      <c r="U235" s="3">
        <v>155200.92000000001</v>
      </c>
      <c r="V235" s="3" t="e">
        <f>VLOOKUP(M235,'[1]Query Report'!$A:$E,5,0)</f>
        <v>#N/A</v>
      </c>
      <c r="W235" s="3" t="e">
        <f t="shared" si="18"/>
        <v>#N/A</v>
      </c>
      <c r="X235" s="3"/>
      <c r="Y235" s="3"/>
      <c r="Z235" t="s">
        <v>16</v>
      </c>
      <c r="AA235" t="s">
        <v>17</v>
      </c>
      <c r="AB235" t="s">
        <v>12</v>
      </c>
      <c r="AC235" t="s">
        <v>8</v>
      </c>
      <c r="AD235" t="s">
        <v>18</v>
      </c>
      <c r="AE235" t="s">
        <v>784</v>
      </c>
      <c r="AF235" t="s">
        <v>12</v>
      </c>
      <c r="AG235" t="s">
        <v>12</v>
      </c>
      <c r="AH235" t="s">
        <v>12</v>
      </c>
      <c r="AI235" s="2">
        <v>45877</v>
      </c>
      <c r="AJ235" s="2"/>
      <c r="AK235" t="s">
        <v>12</v>
      </c>
    </row>
    <row r="236" spans="1:37" outlineLevel="2" x14ac:dyDescent="0.25">
      <c r="A236" t="s">
        <v>129</v>
      </c>
      <c r="B236" t="s">
        <v>1</v>
      </c>
      <c r="C236" t="s">
        <v>2</v>
      </c>
      <c r="D236" t="s">
        <v>3</v>
      </c>
      <c r="E236" t="s">
        <v>4</v>
      </c>
      <c r="F236" t="s">
        <v>609</v>
      </c>
      <c r="G236" s="2">
        <v>45877</v>
      </c>
      <c r="H236" t="s">
        <v>785</v>
      </c>
      <c r="I236" t="s">
        <v>22</v>
      </c>
      <c r="J236" s="2">
        <v>45877</v>
      </c>
      <c r="K236" s="2">
        <v>45877</v>
      </c>
      <c r="L236" t="s">
        <v>8</v>
      </c>
      <c r="M236" s="26">
        <v>256779416538</v>
      </c>
      <c r="N236" t="s">
        <v>10</v>
      </c>
      <c r="O236" t="s">
        <v>11</v>
      </c>
      <c r="P236" t="s">
        <v>12</v>
      </c>
      <c r="Q236" t="s">
        <v>24</v>
      </c>
      <c r="R236" t="s">
        <v>14</v>
      </c>
      <c r="S236" s="3">
        <v>353.44</v>
      </c>
      <c r="T236" t="s">
        <v>15</v>
      </c>
      <c r="U236" s="3">
        <v>30406.49</v>
      </c>
      <c r="V236" s="3" t="e">
        <f>VLOOKUP(M236,'[1]Query Report'!$A:$E,5,0)</f>
        <v>#N/A</v>
      </c>
      <c r="W236" s="3" t="e">
        <f t="shared" si="18"/>
        <v>#N/A</v>
      </c>
      <c r="X236" s="29" t="e">
        <f t="shared" ref="X236:X238" si="23">W236/U236</f>
        <v>#N/A</v>
      </c>
      <c r="Y236" s="29" t="s">
        <v>1363</v>
      </c>
      <c r="Z236" t="s">
        <v>16</v>
      </c>
      <c r="AA236" t="s">
        <v>17</v>
      </c>
      <c r="AB236" t="s">
        <v>12</v>
      </c>
      <c r="AC236" t="s">
        <v>8</v>
      </c>
      <c r="AD236" t="s">
        <v>18</v>
      </c>
      <c r="AE236" t="s">
        <v>787</v>
      </c>
      <c r="AF236" t="s">
        <v>12</v>
      </c>
      <c r="AG236" t="s">
        <v>12</v>
      </c>
      <c r="AH236" t="s">
        <v>12</v>
      </c>
      <c r="AI236" s="2">
        <v>45877</v>
      </c>
      <c r="AJ236" s="2"/>
      <c r="AK236" t="s">
        <v>12</v>
      </c>
    </row>
    <row r="237" spans="1:37" outlineLevel="2" x14ac:dyDescent="0.25">
      <c r="A237" t="s">
        <v>129</v>
      </c>
      <c r="B237" t="s">
        <v>1</v>
      </c>
      <c r="C237" t="s">
        <v>2</v>
      </c>
      <c r="D237" t="s">
        <v>3</v>
      </c>
      <c r="E237" t="s">
        <v>4</v>
      </c>
      <c r="F237" t="s">
        <v>229</v>
      </c>
      <c r="G237" s="2">
        <v>45812</v>
      </c>
      <c r="H237" t="s">
        <v>788</v>
      </c>
      <c r="I237" t="s">
        <v>22</v>
      </c>
      <c r="J237" s="2">
        <v>45812</v>
      </c>
      <c r="K237" s="2">
        <v>45817</v>
      </c>
      <c r="L237" t="s">
        <v>8</v>
      </c>
      <c r="M237" s="26">
        <v>256779414158</v>
      </c>
      <c r="N237" t="s">
        <v>10</v>
      </c>
      <c r="O237" t="s">
        <v>11</v>
      </c>
      <c r="P237" t="s">
        <v>12</v>
      </c>
      <c r="Q237" t="s">
        <v>24</v>
      </c>
      <c r="R237" t="s">
        <v>14</v>
      </c>
      <c r="S237" s="3">
        <v>498.55</v>
      </c>
      <c r="T237" t="s">
        <v>15</v>
      </c>
      <c r="U237" s="3">
        <v>42621.43</v>
      </c>
      <c r="V237" s="3" t="e">
        <f>VLOOKUP(M237,'[1]Query Report'!$A:$E,5,0)</f>
        <v>#N/A</v>
      </c>
      <c r="W237" s="3" t="e">
        <f t="shared" si="18"/>
        <v>#N/A</v>
      </c>
      <c r="X237" s="29" t="e">
        <f t="shared" si="23"/>
        <v>#N/A</v>
      </c>
      <c r="Y237" s="29" t="s">
        <v>1363</v>
      </c>
      <c r="Z237" t="s">
        <v>16</v>
      </c>
      <c r="AA237" t="s">
        <v>17</v>
      </c>
      <c r="AB237" t="s">
        <v>12</v>
      </c>
      <c r="AC237" t="s">
        <v>8</v>
      </c>
      <c r="AD237" t="s">
        <v>18</v>
      </c>
      <c r="AE237" t="s">
        <v>790</v>
      </c>
      <c r="AF237" t="s">
        <v>12</v>
      </c>
      <c r="AG237" t="s">
        <v>12</v>
      </c>
      <c r="AH237" t="s">
        <v>12</v>
      </c>
      <c r="AI237" s="2">
        <v>45812</v>
      </c>
      <c r="AJ237" s="2"/>
      <c r="AK237" t="s">
        <v>12</v>
      </c>
    </row>
    <row r="238" spans="1:37" outlineLevel="2" x14ac:dyDescent="0.25">
      <c r="A238" t="s">
        <v>129</v>
      </c>
      <c r="B238" t="s">
        <v>1</v>
      </c>
      <c r="C238" t="s">
        <v>2</v>
      </c>
      <c r="D238" t="s">
        <v>3</v>
      </c>
      <c r="E238" t="s">
        <v>4</v>
      </c>
      <c r="F238" t="s">
        <v>229</v>
      </c>
      <c r="G238" s="2">
        <v>45812</v>
      </c>
      <c r="H238" t="s">
        <v>791</v>
      </c>
      <c r="I238" t="s">
        <v>22</v>
      </c>
      <c r="J238" s="2">
        <v>45812</v>
      </c>
      <c r="K238" s="2">
        <v>45817</v>
      </c>
      <c r="L238" t="s">
        <v>8</v>
      </c>
      <c r="M238" s="26">
        <v>256779414165</v>
      </c>
      <c r="N238" t="s">
        <v>10</v>
      </c>
      <c r="O238" t="s">
        <v>11</v>
      </c>
      <c r="P238" t="s">
        <v>12</v>
      </c>
      <c r="Q238" t="s">
        <v>24</v>
      </c>
      <c r="R238" t="s">
        <v>14</v>
      </c>
      <c r="S238" s="3">
        <v>117.5</v>
      </c>
      <c r="T238" t="s">
        <v>15</v>
      </c>
      <c r="U238" s="3">
        <v>10045.17</v>
      </c>
      <c r="V238" s="3" t="e">
        <f>VLOOKUP(M238,'[1]Query Report'!$A:$E,5,0)</f>
        <v>#N/A</v>
      </c>
      <c r="W238" s="3" t="e">
        <f t="shared" si="18"/>
        <v>#N/A</v>
      </c>
      <c r="X238" s="29" t="e">
        <f t="shared" si="23"/>
        <v>#N/A</v>
      </c>
      <c r="Y238" s="29" t="s">
        <v>1363</v>
      </c>
      <c r="Z238" t="s">
        <v>16</v>
      </c>
      <c r="AA238" t="s">
        <v>17</v>
      </c>
      <c r="AB238" t="s">
        <v>12</v>
      </c>
      <c r="AC238" t="s">
        <v>8</v>
      </c>
      <c r="AD238" t="s">
        <v>18</v>
      </c>
      <c r="AE238" t="s">
        <v>793</v>
      </c>
      <c r="AF238" t="s">
        <v>12</v>
      </c>
      <c r="AG238" t="s">
        <v>12</v>
      </c>
      <c r="AH238" t="s">
        <v>12</v>
      </c>
      <c r="AI238" s="2">
        <v>45812</v>
      </c>
      <c r="AJ238" s="2"/>
      <c r="AK238" t="s">
        <v>12</v>
      </c>
    </row>
    <row r="239" spans="1:37" outlineLevel="2" x14ac:dyDescent="0.25">
      <c r="A239" t="s">
        <v>129</v>
      </c>
      <c r="B239" t="s">
        <v>1</v>
      </c>
      <c r="C239" t="s">
        <v>2</v>
      </c>
      <c r="D239" t="s">
        <v>3</v>
      </c>
      <c r="E239" t="s">
        <v>4</v>
      </c>
      <c r="F239" t="s">
        <v>229</v>
      </c>
      <c r="G239" s="2">
        <v>45812</v>
      </c>
      <c r="H239" t="s">
        <v>794</v>
      </c>
      <c r="I239" t="s">
        <v>22</v>
      </c>
      <c r="J239" s="2">
        <v>45812</v>
      </c>
      <c r="K239" s="2">
        <v>45817</v>
      </c>
      <c r="L239" t="s">
        <v>8</v>
      </c>
      <c r="M239" s="26">
        <v>256779414175</v>
      </c>
      <c r="N239" t="s">
        <v>10</v>
      </c>
      <c r="O239" t="s">
        <v>11</v>
      </c>
      <c r="P239" t="s">
        <v>12</v>
      </c>
      <c r="Q239" t="s">
        <v>24</v>
      </c>
      <c r="R239" t="s">
        <v>14</v>
      </c>
      <c r="S239" s="3">
        <v>472.4</v>
      </c>
      <c r="T239" t="s">
        <v>15</v>
      </c>
      <c r="U239" s="3">
        <v>40385.839999999997</v>
      </c>
      <c r="V239" s="3" t="e">
        <f>VLOOKUP(M239,'[1]Query Report'!$A:$E,5,0)</f>
        <v>#N/A</v>
      </c>
      <c r="W239" s="3" t="e">
        <f t="shared" si="18"/>
        <v>#N/A</v>
      </c>
      <c r="X239" s="3"/>
      <c r="Y239" s="3"/>
      <c r="Z239" t="s">
        <v>16</v>
      </c>
      <c r="AA239" t="s">
        <v>17</v>
      </c>
      <c r="AB239" t="s">
        <v>12</v>
      </c>
      <c r="AC239" t="s">
        <v>8</v>
      </c>
      <c r="AD239" t="s">
        <v>18</v>
      </c>
      <c r="AE239" t="s">
        <v>796</v>
      </c>
      <c r="AF239" t="s">
        <v>12</v>
      </c>
      <c r="AG239" t="s">
        <v>12</v>
      </c>
      <c r="AH239" t="s">
        <v>12</v>
      </c>
      <c r="AI239" s="2">
        <v>45812</v>
      </c>
      <c r="AJ239" s="2"/>
      <c r="AK239" t="s">
        <v>12</v>
      </c>
    </row>
    <row r="240" spans="1:37" outlineLevel="2" x14ac:dyDescent="0.25">
      <c r="A240" t="s">
        <v>129</v>
      </c>
      <c r="B240" t="s">
        <v>1</v>
      </c>
      <c r="C240" t="s">
        <v>2</v>
      </c>
      <c r="D240" t="s">
        <v>3</v>
      </c>
      <c r="E240" t="s">
        <v>4</v>
      </c>
      <c r="F240" t="s">
        <v>229</v>
      </c>
      <c r="G240" s="2">
        <v>45812</v>
      </c>
      <c r="H240" t="s">
        <v>797</v>
      </c>
      <c r="I240" t="s">
        <v>22</v>
      </c>
      <c r="J240" s="2">
        <v>45812</v>
      </c>
      <c r="K240" s="2">
        <v>45817</v>
      </c>
      <c r="L240" t="s">
        <v>8</v>
      </c>
      <c r="M240" s="26">
        <v>256779414216</v>
      </c>
      <c r="N240" t="s">
        <v>10</v>
      </c>
      <c r="O240" t="s">
        <v>11</v>
      </c>
      <c r="P240" t="s">
        <v>12</v>
      </c>
      <c r="Q240" t="s">
        <v>24</v>
      </c>
      <c r="R240" t="s">
        <v>14</v>
      </c>
      <c r="S240" s="3">
        <v>100.35</v>
      </c>
      <c r="T240" t="s">
        <v>15</v>
      </c>
      <c r="U240" s="3">
        <v>8579</v>
      </c>
      <c r="V240" s="3" t="e">
        <f>VLOOKUP(M240,'[1]Query Report'!$A:$E,5,0)</f>
        <v>#N/A</v>
      </c>
      <c r="W240" s="3" t="e">
        <f t="shared" si="18"/>
        <v>#N/A</v>
      </c>
      <c r="X240" s="29" t="e">
        <f t="shared" ref="X240:X241" si="24">W240/U240</f>
        <v>#N/A</v>
      </c>
      <c r="Y240" s="29" t="s">
        <v>1363</v>
      </c>
      <c r="Z240" t="s">
        <v>16</v>
      </c>
      <c r="AA240" t="s">
        <v>17</v>
      </c>
      <c r="AB240" t="s">
        <v>12</v>
      </c>
      <c r="AC240" t="s">
        <v>8</v>
      </c>
      <c r="AD240" t="s">
        <v>18</v>
      </c>
      <c r="AE240" t="s">
        <v>799</v>
      </c>
      <c r="AF240" t="s">
        <v>12</v>
      </c>
      <c r="AG240" t="s">
        <v>12</v>
      </c>
      <c r="AH240" t="s">
        <v>12</v>
      </c>
      <c r="AI240" s="2">
        <v>45812</v>
      </c>
      <c r="AJ240" s="2"/>
      <c r="AK240" t="s">
        <v>12</v>
      </c>
    </row>
    <row r="241" spans="1:37" outlineLevel="2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229</v>
      </c>
      <c r="G241" s="2">
        <v>45812</v>
      </c>
      <c r="H241" t="s">
        <v>800</v>
      </c>
      <c r="I241" t="s">
        <v>22</v>
      </c>
      <c r="J241" s="2">
        <v>45812</v>
      </c>
      <c r="K241" s="2">
        <v>45817</v>
      </c>
      <c r="L241" t="s">
        <v>8</v>
      </c>
      <c r="M241" s="26">
        <v>256779414288</v>
      </c>
      <c r="N241" t="s">
        <v>10</v>
      </c>
      <c r="O241" t="s">
        <v>11</v>
      </c>
      <c r="P241" t="s">
        <v>12</v>
      </c>
      <c r="Q241" t="s">
        <v>24</v>
      </c>
      <c r="R241" t="s">
        <v>14</v>
      </c>
      <c r="S241" s="3">
        <v>190</v>
      </c>
      <c r="T241" t="s">
        <v>15</v>
      </c>
      <c r="U241" s="3">
        <v>16243.25</v>
      </c>
      <c r="V241" s="3" t="e">
        <f>VLOOKUP(M241,'[1]Query Report'!$A:$E,5,0)</f>
        <v>#N/A</v>
      </c>
      <c r="W241" s="3" t="e">
        <f t="shared" si="18"/>
        <v>#N/A</v>
      </c>
      <c r="X241" s="29" t="e">
        <f t="shared" si="24"/>
        <v>#N/A</v>
      </c>
      <c r="Y241" s="29" t="s">
        <v>1362</v>
      </c>
      <c r="Z241" t="s">
        <v>16</v>
      </c>
      <c r="AA241" t="s">
        <v>17</v>
      </c>
      <c r="AB241" t="s">
        <v>12</v>
      </c>
      <c r="AC241" t="s">
        <v>8</v>
      </c>
      <c r="AD241" t="s">
        <v>18</v>
      </c>
      <c r="AE241" t="s">
        <v>802</v>
      </c>
      <c r="AF241" t="s">
        <v>12</v>
      </c>
      <c r="AG241" t="s">
        <v>12</v>
      </c>
      <c r="AH241" t="s">
        <v>12</v>
      </c>
      <c r="AI241" s="2">
        <v>45812</v>
      </c>
      <c r="AJ241" s="2">
        <v>45976</v>
      </c>
      <c r="AK241" t="s">
        <v>64</v>
      </c>
    </row>
    <row r="242" spans="1:37" outlineLevel="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130</v>
      </c>
      <c r="G242" s="2">
        <v>45791</v>
      </c>
      <c r="H242" t="s">
        <v>803</v>
      </c>
      <c r="I242" t="s">
        <v>7</v>
      </c>
      <c r="J242" s="2">
        <v>45791</v>
      </c>
      <c r="K242" s="2">
        <v>45793</v>
      </c>
      <c r="L242" t="s">
        <v>8</v>
      </c>
      <c r="M242" s="26">
        <v>256779420304</v>
      </c>
      <c r="N242" t="s">
        <v>10</v>
      </c>
      <c r="O242" t="s">
        <v>11</v>
      </c>
      <c r="P242" t="s">
        <v>12</v>
      </c>
      <c r="Q242" t="s">
        <v>13</v>
      </c>
      <c r="R242" t="s">
        <v>14</v>
      </c>
      <c r="S242" s="3">
        <v>-14.31</v>
      </c>
      <c r="T242" t="s">
        <v>15</v>
      </c>
      <c r="U242" s="3">
        <v>-1240.55</v>
      </c>
      <c r="V242" s="3" t="e">
        <f>VLOOKUP(M242,'[1]Query Report'!$A:$E,5,0)</f>
        <v>#N/A</v>
      </c>
      <c r="W242" s="3" t="e">
        <f t="shared" si="18"/>
        <v>#N/A</v>
      </c>
      <c r="X242" s="3"/>
      <c r="Y242" s="3"/>
      <c r="Z242" t="s">
        <v>16</v>
      </c>
      <c r="AA242" t="s">
        <v>17</v>
      </c>
      <c r="AB242" t="s">
        <v>12</v>
      </c>
      <c r="AC242" t="s">
        <v>8</v>
      </c>
      <c r="AD242" t="s">
        <v>18</v>
      </c>
      <c r="AE242" t="s">
        <v>805</v>
      </c>
      <c r="AF242" t="s">
        <v>12</v>
      </c>
      <c r="AG242" t="s">
        <v>12</v>
      </c>
      <c r="AH242" t="s">
        <v>12</v>
      </c>
      <c r="AI242" s="2">
        <v>45791</v>
      </c>
      <c r="AJ242" s="2">
        <v>45842</v>
      </c>
      <c r="AK242" t="s">
        <v>666</v>
      </c>
    </row>
    <row r="243" spans="1:37" outlineLevel="2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130</v>
      </c>
      <c r="G243" s="2">
        <v>45791</v>
      </c>
      <c r="H243" t="s">
        <v>806</v>
      </c>
      <c r="I243" t="s">
        <v>7</v>
      </c>
      <c r="J243" s="2">
        <v>45791</v>
      </c>
      <c r="K243" s="2">
        <v>45793</v>
      </c>
      <c r="L243" t="s">
        <v>8</v>
      </c>
      <c r="M243" s="26">
        <v>256779420424</v>
      </c>
      <c r="N243" t="s">
        <v>10</v>
      </c>
      <c r="O243" t="s">
        <v>11</v>
      </c>
      <c r="P243" t="s">
        <v>12</v>
      </c>
      <c r="Q243" t="s">
        <v>13</v>
      </c>
      <c r="R243" t="s">
        <v>14</v>
      </c>
      <c r="S243" s="3">
        <v>-456.75</v>
      </c>
      <c r="T243" t="s">
        <v>15</v>
      </c>
      <c r="U243" s="3">
        <v>-39701.54</v>
      </c>
      <c r="V243" s="3" t="e">
        <f>VLOOKUP(M243,'[1]Query Report'!$A:$E,5,0)</f>
        <v>#N/A</v>
      </c>
      <c r="W243" s="3" t="e">
        <f t="shared" si="18"/>
        <v>#N/A</v>
      </c>
      <c r="X243" s="3"/>
      <c r="Y243" s="3"/>
      <c r="Z243" t="s">
        <v>16</v>
      </c>
      <c r="AA243" t="s">
        <v>17</v>
      </c>
      <c r="AB243" t="s">
        <v>12</v>
      </c>
      <c r="AC243" t="s">
        <v>8</v>
      </c>
      <c r="AD243" t="s">
        <v>18</v>
      </c>
      <c r="AE243" t="s">
        <v>808</v>
      </c>
      <c r="AF243" t="s">
        <v>12</v>
      </c>
      <c r="AG243" t="s">
        <v>12</v>
      </c>
      <c r="AH243" t="s">
        <v>12</v>
      </c>
      <c r="AI243" s="2">
        <v>45791</v>
      </c>
      <c r="AJ243" s="2">
        <v>45842</v>
      </c>
      <c r="AK243" t="s">
        <v>164</v>
      </c>
    </row>
    <row r="244" spans="1:37" outlineLevel="2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130</v>
      </c>
      <c r="G244" s="2">
        <v>45791</v>
      </c>
      <c r="H244" t="s">
        <v>809</v>
      </c>
      <c r="I244" t="s">
        <v>7</v>
      </c>
      <c r="J244" s="2">
        <v>45791</v>
      </c>
      <c r="K244" s="2">
        <v>45793</v>
      </c>
      <c r="L244" t="s">
        <v>8</v>
      </c>
      <c r="M244" s="26">
        <v>256779420511</v>
      </c>
      <c r="N244" t="s">
        <v>10</v>
      </c>
      <c r="O244" t="s">
        <v>11</v>
      </c>
      <c r="P244" t="s">
        <v>12</v>
      </c>
      <c r="Q244" t="s">
        <v>13</v>
      </c>
      <c r="R244" t="s">
        <v>14</v>
      </c>
      <c r="S244" s="3">
        <v>-456.75</v>
      </c>
      <c r="T244" t="s">
        <v>15</v>
      </c>
      <c r="U244" s="3">
        <v>-39701.54</v>
      </c>
      <c r="V244" s="3" t="e">
        <f>VLOOKUP(M244,'[1]Query Report'!$A:$E,5,0)</f>
        <v>#N/A</v>
      </c>
      <c r="W244" s="3" t="e">
        <f t="shared" si="18"/>
        <v>#N/A</v>
      </c>
      <c r="X244" s="3"/>
      <c r="Y244" s="3"/>
      <c r="Z244" t="s">
        <v>16</v>
      </c>
      <c r="AA244" t="s">
        <v>17</v>
      </c>
      <c r="AB244" t="s">
        <v>12</v>
      </c>
      <c r="AC244" t="s">
        <v>8</v>
      </c>
      <c r="AD244" t="s">
        <v>18</v>
      </c>
      <c r="AE244" t="s">
        <v>811</v>
      </c>
      <c r="AF244" t="s">
        <v>12</v>
      </c>
      <c r="AG244" t="s">
        <v>12</v>
      </c>
      <c r="AH244" t="s">
        <v>12</v>
      </c>
      <c r="AI244" s="2">
        <v>45791</v>
      </c>
      <c r="AJ244" s="2">
        <v>45842</v>
      </c>
      <c r="AK244" t="s">
        <v>168</v>
      </c>
    </row>
    <row r="245" spans="1:37" outlineLevel="2" x14ac:dyDescent="0.25">
      <c r="A245" t="s">
        <v>129</v>
      </c>
      <c r="B245" t="s">
        <v>1</v>
      </c>
      <c r="C245" t="s">
        <v>2</v>
      </c>
      <c r="D245" t="s">
        <v>3</v>
      </c>
      <c r="E245" t="s">
        <v>4</v>
      </c>
      <c r="F245" t="s">
        <v>130</v>
      </c>
      <c r="G245" s="2">
        <v>45793</v>
      </c>
      <c r="H245" t="s">
        <v>812</v>
      </c>
      <c r="I245" t="s">
        <v>22</v>
      </c>
      <c r="J245" s="2">
        <v>45793</v>
      </c>
      <c r="K245" s="2">
        <v>45800</v>
      </c>
      <c r="L245" t="s">
        <v>8</v>
      </c>
      <c r="M245" s="26">
        <v>256779413357</v>
      </c>
      <c r="N245" t="s">
        <v>10</v>
      </c>
      <c r="O245" t="s">
        <v>11</v>
      </c>
      <c r="P245" t="s">
        <v>12</v>
      </c>
      <c r="Q245" t="s">
        <v>24</v>
      </c>
      <c r="R245" t="s">
        <v>14</v>
      </c>
      <c r="S245" s="3">
        <v>15</v>
      </c>
      <c r="T245" t="s">
        <v>15</v>
      </c>
      <c r="U245" s="3">
        <v>1289.76</v>
      </c>
      <c r="V245" s="3" t="e">
        <f>VLOOKUP(M245,'[1]Query Report'!$A:$E,5,0)</f>
        <v>#N/A</v>
      </c>
      <c r="W245" s="3" t="e">
        <f t="shared" si="18"/>
        <v>#N/A</v>
      </c>
      <c r="X245" s="29" t="e">
        <f t="shared" ref="X245:X247" si="25">W245/U245</f>
        <v>#N/A</v>
      </c>
      <c r="Y245" s="29" t="s">
        <v>1363</v>
      </c>
      <c r="Z245" t="s">
        <v>16</v>
      </c>
      <c r="AA245" t="s">
        <v>17</v>
      </c>
      <c r="AB245" t="s">
        <v>12</v>
      </c>
      <c r="AC245" t="s">
        <v>8</v>
      </c>
      <c r="AD245" t="s">
        <v>18</v>
      </c>
      <c r="AE245" t="s">
        <v>814</v>
      </c>
      <c r="AF245" t="s">
        <v>12</v>
      </c>
      <c r="AG245" t="s">
        <v>12</v>
      </c>
      <c r="AH245" t="s">
        <v>12</v>
      </c>
      <c r="AI245" s="2">
        <v>45793</v>
      </c>
      <c r="AJ245" s="2"/>
      <c r="AK245" t="s">
        <v>12</v>
      </c>
    </row>
    <row r="246" spans="1:37" outlineLevel="2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130</v>
      </c>
      <c r="G246" s="2">
        <v>45793</v>
      </c>
      <c r="H246" t="s">
        <v>815</v>
      </c>
      <c r="I246" t="s">
        <v>22</v>
      </c>
      <c r="J246" s="2">
        <v>45793</v>
      </c>
      <c r="K246" s="2">
        <v>45800</v>
      </c>
      <c r="L246" t="s">
        <v>8</v>
      </c>
      <c r="M246" s="26">
        <v>256779413283</v>
      </c>
      <c r="N246" t="s">
        <v>10</v>
      </c>
      <c r="O246" t="s">
        <v>11</v>
      </c>
      <c r="P246" t="s">
        <v>12</v>
      </c>
      <c r="Q246" t="s">
        <v>24</v>
      </c>
      <c r="R246" t="s">
        <v>14</v>
      </c>
      <c r="S246" s="3">
        <v>140</v>
      </c>
      <c r="T246" t="s">
        <v>15</v>
      </c>
      <c r="U246" s="3">
        <v>12037.72</v>
      </c>
      <c r="V246" s="3" t="e">
        <f>VLOOKUP(M246,'[1]Query Report'!$A:$E,5,0)</f>
        <v>#N/A</v>
      </c>
      <c r="W246" s="3" t="e">
        <f t="shared" si="18"/>
        <v>#N/A</v>
      </c>
      <c r="X246" s="29" t="e">
        <f t="shared" si="25"/>
        <v>#N/A</v>
      </c>
      <c r="Y246" s="29" t="s">
        <v>1363</v>
      </c>
      <c r="Z246" t="s">
        <v>16</v>
      </c>
      <c r="AA246" t="s">
        <v>17</v>
      </c>
      <c r="AB246" t="s">
        <v>12</v>
      </c>
      <c r="AC246" t="s">
        <v>8</v>
      </c>
      <c r="AD246" t="s">
        <v>18</v>
      </c>
      <c r="AE246" t="s">
        <v>817</v>
      </c>
      <c r="AF246" t="s">
        <v>12</v>
      </c>
      <c r="AG246" t="s">
        <v>12</v>
      </c>
      <c r="AH246" t="s">
        <v>12</v>
      </c>
      <c r="AI246" s="2">
        <v>45793</v>
      </c>
      <c r="AJ246" s="2">
        <v>45976</v>
      </c>
      <c r="AK246" t="s">
        <v>64</v>
      </c>
    </row>
    <row r="247" spans="1:37" outlineLevel="2" x14ac:dyDescent="0.25">
      <c r="A247" t="s">
        <v>129</v>
      </c>
      <c r="B247" t="s">
        <v>1</v>
      </c>
      <c r="C247" t="s">
        <v>2</v>
      </c>
      <c r="D247" t="s">
        <v>3</v>
      </c>
      <c r="E247" t="s">
        <v>4</v>
      </c>
      <c r="F247" t="s">
        <v>130</v>
      </c>
      <c r="G247" s="2">
        <v>45805</v>
      </c>
      <c r="H247" t="s">
        <v>818</v>
      </c>
      <c r="I247" t="s">
        <v>22</v>
      </c>
      <c r="J247" s="2">
        <v>45805</v>
      </c>
      <c r="K247" s="2">
        <v>45805</v>
      </c>
      <c r="L247" t="s">
        <v>8</v>
      </c>
      <c r="M247" s="26">
        <v>256779413899</v>
      </c>
      <c r="N247" t="s">
        <v>10</v>
      </c>
      <c r="O247" t="s">
        <v>11</v>
      </c>
      <c r="P247" t="s">
        <v>12</v>
      </c>
      <c r="Q247" t="s">
        <v>24</v>
      </c>
      <c r="R247" t="s">
        <v>14</v>
      </c>
      <c r="S247" s="3">
        <v>4312.12</v>
      </c>
      <c r="T247" t="s">
        <v>15</v>
      </c>
      <c r="U247" s="3">
        <v>370772.03</v>
      </c>
      <c r="V247" s="3" t="e">
        <f>VLOOKUP(M247,'[1]Query Report'!$A:$E,5,0)</f>
        <v>#N/A</v>
      </c>
      <c r="W247" s="3" t="e">
        <f t="shared" si="18"/>
        <v>#N/A</v>
      </c>
      <c r="X247" s="29" t="e">
        <f t="shared" si="25"/>
        <v>#N/A</v>
      </c>
      <c r="Y247" s="29" t="s">
        <v>1363</v>
      </c>
      <c r="Z247" t="s">
        <v>16</v>
      </c>
      <c r="AA247" t="s">
        <v>17</v>
      </c>
      <c r="AB247" t="s">
        <v>12</v>
      </c>
      <c r="AC247" t="s">
        <v>8</v>
      </c>
      <c r="AD247" t="s">
        <v>18</v>
      </c>
      <c r="AE247" t="s">
        <v>820</v>
      </c>
      <c r="AF247" t="s">
        <v>12</v>
      </c>
      <c r="AG247" t="s">
        <v>12</v>
      </c>
      <c r="AH247" t="s">
        <v>12</v>
      </c>
      <c r="AI247" s="2">
        <v>45805</v>
      </c>
      <c r="AJ247" s="2"/>
      <c r="AK247" t="s">
        <v>12</v>
      </c>
    </row>
    <row r="248" spans="1:37" outlineLevel="2" x14ac:dyDescent="0.25">
      <c r="A248" t="s">
        <v>129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s="2">
        <v>45856</v>
      </c>
      <c r="H248" t="s">
        <v>821</v>
      </c>
      <c r="I248" t="s">
        <v>22</v>
      </c>
      <c r="J248" s="2">
        <v>45856</v>
      </c>
      <c r="K248" s="2">
        <v>45859</v>
      </c>
      <c r="L248" t="s">
        <v>8</v>
      </c>
      <c r="M248" s="26">
        <v>256779415431</v>
      </c>
      <c r="N248" t="s">
        <v>10</v>
      </c>
      <c r="O248" t="s">
        <v>11</v>
      </c>
      <c r="P248" t="s">
        <v>12</v>
      </c>
      <c r="Q248" t="s">
        <v>24</v>
      </c>
      <c r="R248" t="s">
        <v>14</v>
      </c>
      <c r="S248" s="3">
        <v>358.33</v>
      </c>
      <c r="T248" t="s">
        <v>15</v>
      </c>
      <c r="U248" s="3">
        <v>30816.62</v>
      </c>
      <c r="V248" s="3" t="e">
        <f>VLOOKUP(M248,'[1]Query Report'!$A:$E,5,0)</f>
        <v>#N/A</v>
      </c>
      <c r="W248" s="3" t="e">
        <f t="shared" si="18"/>
        <v>#N/A</v>
      </c>
      <c r="X248" s="3"/>
      <c r="Y248" s="3"/>
      <c r="Z248" t="s">
        <v>16</v>
      </c>
      <c r="AA248" t="s">
        <v>17</v>
      </c>
      <c r="AB248" t="s">
        <v>12</v>
      </c>
      <c r="AC248" t="s">
        <v>8</v>
      </c>
      <c r="AD248" t="s">
        <v>18</v>
      </c>
      <c r="AE248" t="s">
        <v>823</v>
      </c>
      <c r="AF248" t="s">
        <v>12</v>
      </c>
      <c r="AG248" t="s">
        <v>12</v>
      </c>
      <c r="AH248" t="s">
        <v>12</v>
      </c>
      <c r="AI248" s="2">
        <v>45856</v>
      </c>
      <c r="AJ248" s="2"/>
      <c r="AK248" t="s">
        <v>12</v>
      </c>
    </row>
    <row r="249" spans="1:37" outlineLevel="2" x14ac:dyDescent="0.25">
      <c r="A249" t="s">
        <v>129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s="2">
        <v>45856</v>
      </c>
      <c r="H249" t="s">
        <v>824</v>
      </c>
      <c r="I249" t="s">
        <v>22</v>
      </c>
      <c r="J249" s="2">
        <v>45856</v>
      </c>
      <c r="K249" s="2">
        <v>45859</v>
      </c>
      <c r="L249" t="s">
        <v>8</v>
      </c>
      <c r="M249" s="26">
        <v>256779415444</v>
      </c>
      <c r="N249" t="s">
        <v>10</v>
      </c>
      <c r="O249" t="s">
        <v>11</v>
      </c>
      <c r="P249" t="s">
        <v>12</v>
      </c>
      <c r="Q249" t="s">
        <v>24</v>
      </c>
      <c r="R249" t="s">
        <v>14</v>
      </c>
      <c r="S249" s="3">
        <v>99</v>
      </c>
      <c r="T249" t="s">
        <v>15</v>
      </c>
      <c r="U249" s="3">
        <v>8514.07</v>
      </c>
      <c r="V249" s="3" t="e">
        <f>VLOOKUP(M249,'[1]Query Report'!$A:$E,5,0)</f>
        <v>#N/A</v>
      </c>
      <c r="W249" s="3" t="e">
        <f t="shared" si="18"/>
        <v>#N/A</v>
      </c>
      <c r="X249" s="29" t="e">
        <f t="shared" ref="X249:X312" si="26">W249/U249</f>
        <v>#N/A</v>
      </c>
      <c r="Y249" s="29" t="s">
        <v>1363</v>
      </c>
      <c r="Z249" t="s">
        <v>16</v>
      </c>
      <c r="AA249" t="s">
        <v>17</v>
      </c>
      <c r="AB249" t="s">
        <v>12</v>
      </c>
      <c r="AC249" t="s">
        <v>8</v>
      </c>
      <c r="AD249" t="s">
        <v>18</v>
      </c>
      <c r="AE249" t="s">
        <v>826</v>
      </c>
      <c r="AF249" t="s">
        <v>12</v>
      </c>
      <c r="AG249" t="s">
        <v>12</v>
      </c>
      <c r="AH249" t="s">
        <v>12</v>
      </c>
      <c r="AI249" s="2">
        <v>45856</v>
      </c>
      <c r="AJ249" s="2"/>
      <c r="AK249" t="s">
        <v>12</v>
      </c>
    </row>
    <row r="250" spans="1:37" outlineLevel="2" x14ac:dyDescent="0.25">
      <c r="A250" t="s">
        <v>129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s="2">
        <v>45856</v>
      </c>
      <c r="H250" t="s">
        <v>827</v>
      </c>
      <c r="I250" t="s">
        <v>22</v>
      </c>
      <c r="J250" s="2">
        <v>45856</v>
      </c>
      <c r="K250" s="2">
        <v>45859</v>
      </c>
      <c r="L250" t="s">
        <v>8</v>
      </c>
      <c r="M250" s="26">
        <v>256779415456</v>
      </c>
      <c r="N250" t="s">
        <v>10</v>
      </c>
      <c r="O250" t="s">
        <v>11</v>
      </c>
      <c r="P250" t="s">
        <v>12</v>
      </c>
      <c r="Q250" t="s">
        <v>24</v>
      </c>
      <c r="R250" t="s">
        <v>14</v>
      </c>
      <c r="S250" s="3">
        <v>160.24</v>
      </c>
      <c r="T250" t="s">
        <v>15</v>
      </c>
      <c r="U250" s="3">
        <v>13780.75</v>
      </c>
      <c r="V250" s="3" t="e">
        <f>VLOOKUP(M250,'[1]Query Report'!$A:$E,5,0)</f>
        <v>#N/A</v>
      </c>
      <c r="W250" s="3" t="e">
        <f t="shared" si="18"/>
        <v>#N/A</v>
      </c>
      <c r="X250" s="29" t="e">
        <f t="shared" si="26"/>
        <v>#N/A</v>
      </c>
      <c r="Y250" s="29" t="s">
        <v>1363</v>
      </c>
      <c r="Z250" t="s">
        <v>16</v>
      </c>
      <c r="AA250" t="s">
        <v>17</v>
      </c>
      <c r="AB250" t="s">
        <v>12</v>
      </c>
      <c r="AC250" t="s">
        <v>8</v>
      </c>
      <c r="AD250" t="s">
        <v>18</v>
      </c>
      <c r="AE250" t="s">
        <v>829</v>
      </c>
      <c r="AF250" t="s">
        <v>12</v>
      </c>
      <c r="AG250" t="s">
        <v>12</v>
      </c>
      <c r="AH250" t="s">
        <v>12</v>
      </c>
      <c r="AI250" s="2">
        <v>45856</v>
      </c>
      <c r="AJ250" s="2"/>
      <c r="AK250" t="s">
        <v>12</v>
      </c>
    </row>
    <row r="251" spans="1:37" outlineLevel="2" x14ac:dyDescent="0.25">
      <c r="A251" t="s">
        <v>129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s="2">
        <v>45856</v>
      </c>
      <c r="H251" t="s">
        <v>830</v>
      </c>
      <c r="I251" t="s">
        <v>22</v>
      </c>
      <c r="J251" s="2">
        <v>45856</v>
      </c>
      <c r="K251" s="2">
        <v>45859</v>
      </c>
      <c r="L251" t="s">
        <v>8</v>
      </c>
      <c r="M251" s="26">
        <v>256779415801</v>
      </c>
      <c r="N251" t="s">
        <v>10</v>
      </c>
      <c r="O251" t="s">
        <v>11</v>
      </c>
      <c r="P251" t="s">
        <v>12</v>
      </c>
      <c r="Q251" t="s">
        <v>24</v>
      </c>
      <c r="R251" t="s">
        <v>14</v>
      </c>
      <c r="S251" s="3">
        <v>1762.2</v>
      </c>
      <c r="T251" t="s">
        <v>15</v>
      </c>
      <c r="U251" s="3">
        <v>151550.38</v>
      </c>
      <c r="V251" s="3" t="e">
        <f>VLOOKUP(M251,'[1]Query Report'!$A:$E,5,0)</f>
        <v>#N/A</v>
      </c>
      <c r="W251" s="3" t="e">
        <f t="shared" si="18"/>
        <v>#N/A</v>
      </c>
      <c r="X251" s="29" t="e">
        <f t="shared" si="26"/>
        <v>#N/A</v>
      </c>
      <c r="Y251" s="29" t="s">
        <v>1363</v>
      </c>
      <c r="Z251" t="s">
        <v>16</v>
      </c>
      <c r="AA251" t="s">
        <v>17</v>
      </c>
      <c r="AB251" t="s">
        <v>12</v>
      </c>
      <c r="AC251" t="s">
        <v>8</v>
      </c>
      <c r="AD251" t="s">
        <v>18</v>
      </c>
      <c r="AE251" t="s">
        <v>832</v>
      </c>
      <c r="AF251" t="s">
        <v>12</v>
      </c>
      <c r="AG251" t="s">
        <v>12</v>
      </c>
      <c r="AH251" t="s">
        <v>12</v>
      </c>
      <c r="AI251" s="2">
        <v>45856</v>
      </c>
      <c r="AJ251" s="2"/>
      <c r="AK251" t="s">
        <v>12</v>
      </c>
    </row>
    <row r="252" spans="1:37" outlineLevel="2" x14ac:dyDescent="0.25">
      <c r="A252" t="s">
        <v>129</v>
      </c>
      <c r="B252" t="s">
        <v>1</v>
      </c>
      <c r="C252" t="s">
        <v>2</v>
      </c>
      <c r="D252" t="s">
        <v>3</v>
      </c>
      <c r="E252" t="s">
        <v>4</v>
      </c>
      <c r="F252" t="s">
        <v>243</v>
      </c>
      <c r="G252" s="2">
        <v>45729</v>
      </c>
      <c r="H252" t="s">
        <v>833</v>
      </c>
      <c r="I252" t="s">
        <v>22</v>
      </c>
      <c r="J252" s="2">
        <v>45729</v>
      </c>
      <c r="K252" s="2">
        <v>45731</v>
      </c>
      <c r="L252" t="s">
        <v>8</v>
      </c>
      <c r="M252" s="26">
        <v>246779411278</v>
      </c>
      <c r="N252" t="s">
        <v>10</v>
      </c>
      <c r="O252" t="s">
        <v>11</v>
      </c>
      <c r="P252" t="s">
        <v>12</v>
      </c>
      <c r="Q252" t="s">
        <v>24</v>
      </c>
      <c r="R252" t="s">
        <v>14</v>
      </c>
      <c r="S252" s="3">
        <v>525</v>
      </c>
      <c r="T252" t="s">
        <v>15</v>
      </c>
      <c r="U252" s="3">
        <v>45512.91</v>
      </c>
      <c r="V252" s="3" t="e">
        <f>VLOOKUP(M252,'[1]Query Report'!$A:$E,5,0)</f>
        <v>#N/A</v>
      </c>
      <c r="W252" s="3" t="e">
        <f t="shared" si="18"/>
        <v>#N/A</v>
      </c>
      <c r="X252" s="29" t="e">
        <f t="shared" si="26"/>
        <v>#N/A</v>
      </c>
      <c r="Y252" s="29" t="s">
        <v>1363</v>
      </c>
      <c r="Z252" t="s">
        <v>16</v>
      </c>
      <c r="AA252" t="s">
        <v>17</v>
      </c>
      <c r="AB252" t="s">
        <v>12</v>
      </c>
      <c r="AC252" t="s">
        <v>8</v>
      </c>
      <c r="AD252" t="s">
        <v>18</v>
      </c>
      <c r="AE252" t="s">
        <v>835</v>
      </c>
      <c r="AF252" t="s">
        <v>12</v>
      </c>
      <c r="AG252" t="s">
        <v>12</v>
      </c>
      <c r="AH252" t="s">
        <v>12</v>
      </c>
      <c r="AI252" s="2">
        <v>45729</v>
      </c>
      <c r="AJ252" s="2"/>
      <c r="AK252" t="s">
        <v>12</v>
      </c>
    </row>
    <row r="253" spans="1:37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243</v>
      </c>
      <c r="G253" s="2">
        <v>45729</v>
      </c>
      <c r="H253" t="s">
        <v>836</v>
      </c>
      <c r="I253" t="s">
        <v>22</v>
      </c>
      <c r="J253" s="2">
        <v>45729</v>
      </c>
      <c r="K253" s="2">
        <v>45733</v>
      </c>
      <c r="L253" t="s">
        <v>8</v>
      </c>
      <c r="M253" s="26">
        <v>246779411339</v>
      </c>
      <c r="N253" t="s">
        <v>10</v>
      </c>
      <c r="O253" t="s">
        <v>11</v>
      </c>
      <c r="P253" t="s">
        <v>12</v>
      </c>
      <c r="Q253" t="s">
        <v>24</v>
      </c>
      <c r="R253" t="s">
        <v>14</v>
      </c>
      <c r="S253" s="3">
        <v>220</v>
      </c>
      <c r="T253" t="s">
        <v>15</v>
      </c>
      <c r="U253" s="3">
        <v>19072.080000000002</v>
      </c>
      <c r="V253" s="3" t="e">
        <f>VLOOKUP(M253,'[1]Query Report'!$A:$E,5,0)</f>
        <v>#N/A</v>
      </c>
      <c r="W253" s="3" t="e">
        <f t="shared" si="18"/>
        <v>#N/A</v>
      </c>
      <c r="X253" s="29" t="e">
        <f t="shared" si="26"/>
        <v>#N/A</v>
      </c>
      <c r="Y253" s="29" t="s">
        <v>1362</v>
      </c>
      <c r="Z253" t="s">
        <v>16</v>
      </c>
      <c r="AA253" t="s">
        <v>17</v>
      </c>
      <c r="AB253" t="s">
        <v>12</v>
      </c>
      <c r="AC253" t="s">
        <v>8</v>
      </c>
      <c r="AD253" t="s">
        <v>18</v>
      </c>
      <c r="AE253" t="s">
        <v>838</v>
      </c>
      <c r="AF253" t="s">
        <v>12</v>
      </c>
      <c r="AG253" t="s">
        <v>12</v>
      </c>
      <c r="AH253" t="s">
        <v>12</v>
      </c>
      <c r="AI253" s="2">
        <v>45729</v>
      </c>
      <c r="AJ253" s="2">
        <v>45976</v>
      </c>
      <c r="AK253" t="s">
        <v>64</v>
      </c>
    </row>
    <row r="254" spans="1:37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243</v>
      </c>
      <c r="G254" s="2">
        <v>45729</v>
      </c>
      <c r="H254" t="s">
        <v>839</v>
      </c>
      <c r="I254" t="s">
        <v>22</v>
      </c>
      <c r="J254" s="2">
        <v>45729</v>
      </c>
      <c r="K254" s="2">
        <v>45733</v>
      </c>
      <c r="L254" t="s">
        <v>8</v>
      </c>
      <c r="M254" s="26">
        <v>246779411326</v>
      </c>
      <c r="N254" t="s">
        <v>10</v>
      </c>
      <c r="O254" t="s">
        <v>11</v>
      </c>
      <c r="P254" t="s">
        <v>12</v>
      </c>
      <c r="Q254" t="s">
        <v>24</v>
      </c>
      <c r="R254" t="s">
        <v>14</v>
      </c>
      <c r="S254" s="3">
        <v>245</v>
      </c>
      <c r="T254" t="s">
        <v>15</v>
      </c>
      <c r="U254" s="3">
        <v>21239.360000000001</v>
      </c>
      <c r="V254" s="3" t="e">
        <f>VLOOKUP(M254,'[1]Query Report'!$A:$E,5,0)</f>
        <v>#N/A</v>
      </c>
      <c r="W254" s="3" t="e">
        <f t="shared" si="18"/>
        <v>#N/A</v>
      </c>
      <c r="X254" s="29" t="e">
        <f t="shared" si="26"/>
        <v>#N/A</v>
      </c>
      <c r="Y254" s="29" t="s">
        <v>1363</v>
      </c>
      <c r="Z254" t="s">
        <v>16</v>
      </c>
      <c r="AA254" t="s">
        <v>17</v>
      </c>
      <c r="AB254" t="s">
        <v>12</v>
      </c>
      <c r="AC254" t="s">
        <v>8</v>
      </c>
      <c r="AD254" t="s">
        <v>18</v>
      </c>
      <c r="AE254" t="s">
        <v>841</v>
      </c>
      <c r="AF254" t="s">
        <v>12</v>
      </c>
      <c r="AG254" t="s">
        <v>12</v>
      </c>
      <c r="AH254" t="s">
        <v>12</v>
      </c>
      <c r="AI254" s="2">
        <v>45729</v>
      </c>
      <c r="AJ254" s="2">
        <v>45976</v>
      </c>
      <c r="AK254" t="s">
        <v>64</v>
      </c>
    </row>
    <row r="255" spans="1:37" outlineLevel="2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243</v>
      </c>
      <c r="G255" s="2">
        <v>45729</v>
      </c>
      <c r="H255" t="s">
        <v>842</v>
      </c>
      <c r="I255" t="s">
        <v>22</v>
      </c>
      <c r="J255" s="2">
        <v>45729</v>
      </c>
      <c r="K255" s="2">
        <v>45733</v>
      </c>
      <c r="L255" t="s">
        <v>8</v>
      </c>
      <c r="M255" s="26">
        <v>246779411314</v>
      </c>
      <c r="N255" t="s">
        <v>10</v>
      </c>
      <c r="O255" t="s">
        <v>11</v>
      </c>
      <c r="P255" t="s">
        <v>12</v>
      </c>
      <c r="Q255" t="s">
        <v>24</v>
      </c>
      <c r="R255" t="s">
        <v>14</v>
      </c>
      <c r="S255" s="3">
        <v>105</v>
      </c>
      <c r="T255" t="s">
        <v>15</v>
      </c>
      <c r="U255" s="3">
        <v>9102.58</v>
      </c>
      <c r="V255" s="3" t="e">
        <f>VLOOKUP(M255,'[1]Query Report'!$A:$E,5,0)</f>
        <v>#N/A</v>
      </c>
      <c r="W255" s="3" t="e">
        <f t="shared" si="18"/>
        <v>#N/A</v>
      </c>
      <c r="X255" s="29" t="e">
        <f t="shared" si="26"/>
        <v>#N/A</v>
      </c>
      <c r="Y255" s="29" t="s">
        <v>1362</v>
      </c>
      <c r="Z255" t="s">
        <v>16</v>
      </c>
      <c r="AA255" t="s">
        <v>17</v>
      </c>
      <c r="AB255" t="s">
        <v>12</v>
      </c>
      <c r="AC255" t="s">
        <v>8</v>
      </c>
      <c r="AD255" t="s">
        <v>18</v>
      </c>
      <c r="AE255" t="s">
        <v>844</v>
      </c>
      <c r="AF255" t="s">
        <v>12</v>
      </c>
      <c r="AG255" t="s">
        <v>12</v>
      </c>
      <c r="AH255" t="s">
        <v>12</v>
      </c>
      <c r="AI255" s="2">
        <v>45729</v>
      </c>
      <c r="AJ255" s="2">
        <v>45976</v>
      </c>
      <c r="AK255" t="s">
        <v>64</v>
      </c>
    </row>
    <row r="256" spans="1:37" outlineLevel="2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243</v>
      </c>
      <c r="G256" s="2">
        <v>45729</v>
      </c>
      <c r="H256" t="s">
        <v>845</v>
      </c>
      <c r="I256" t="s">
        <v>22</v>
      </c>
      <c r="J256" s="2">
        <v>45729</v>
      </c>
      <c r="K256" s="2">
        <v>45733</v>
      </c>
      <c r="L256" t="s">
        <v>8</v>
      </c>
      <c r="M256" s="26">
        <v>246779411300</v>
      </c>
      <c r="N256" t="s">
        <v>10</v>
      </c>
      <c r="O256" t="s">
        <v>11</v>
      </c>
      <c r="P256" t="s">
        <v>12</v>
      </c>
      <c r="Q256" t="s">
        <v>24</v>
      </c>
      <c r="R256" t="s">
        <v>14</v>
      </c>
      <c r="S256" s="3">
        <v>385</v>
      </c>
      <c r="T256" t="s">
        <v>15</v>
      </c>
      <c r="U256" s="3">
        <v>33376.14</v>
      </c>
      <c r="V256" s="3" t="e">
        <f>VLOOKUP(M256,'[1]Query Report'!$A:$E,5,0)</f>
        <v>#N/A</v>
      </c>
      <c r="W256" s="3" t="e">
        <f t="shared" si="18"/>
        <v>#N/A</v>
      </c>
      <c r="X256" s="29" t="e">
        <f t="shared" si="26"/>
        <v>#N/A</v>
      </c>
      <c r="Y256" s="29"/>
      <c r="Z256" t="s">
        <v>16</v>
      </c>
      <c r="AA256" t="s">
        <v>17</v>
      </c>
      <c r="AB256" t="s">
        <v>12</v>
      </c>
      <c r="AC256" t="s">
        <v>8</v>
      </c>
      <c r="AD256" t="s">
        <v>18</v>
      </c>
      <c r="AE256" t="s">
        <v>847</v>
      </c>
      <c r="AF256" t="s">
        <v>12</v>
      </c>
      <c r="AG256" t="s">
        <v>12</v>
      </c>
      <c r="AH256" t="s">
        <v>12</v>
      </c>
      <c r="AI256" s="2">
        <v>45729</v>
      </c>
      <c r="AJ256" s="2">
        <v>45976</v>
      </c>
      <c r="AK256" t="s">
        <v>64</v>
      </c>
    </row>
    <row r="257" spans="1:37" outlineLevel="2" x14ac:dyDescent="0.25">
      <c r="A257" t="s">
        <v>129</v>
      </c>
      <c r="B257" t="s">
        <v>1</v>
      </c>
      <c r="C257" t="s">
        <v>2</v>
      </c>
      <c r="D257" t="s">
        <v>3</v>
      </c>
      <c r="E257" t="s">
        <v>4</v>
      </c>
      <c r="F257" t="s">
        <v>243</v>
      </c>
      <c r="G257" s="2">
        <v>45736</v>
      </c>
      <c r="H257" t="s">
        <v>848</v>
      </c>
      <c r="I257" t="s">
        <v>22</v>
      </c>
      <c r="J257" s="2">
        <v>45736</v>
      </c>
      <c r="K257" s="2">
        <v>45736</v>
      </c>
      <c r="L257" t="s">
        <v>8</v>
      </c>
      <c r="M257" s="26">
        <v>246779413622</v>
      </c>
      <c r="N257" t="s">
        <v>10</v>
      </c>
      <c r="O257" t="s">
        <v>11</v>
      </c>
      <c r="P257" t="s">
        <v>12</v>
      </c>
      <c r="Q257" t="s">
        <v>24</v>
      </c>
      <c r="R257" t="s">
        <v>14</v>
      </c>
      <c r="S257" s="3">
        <v>18.8</v>
      </c>
      <c r="T257" t="s">
        <v>15</v>
      </c>
      <c r="U257" s="3">
        <v>1629.8</v>
      </c>
      <c r="V257" s="3" t="e">
        <f>VLOOKUP(M257,'[1]Query Report'!$A:$E,5,0)</f>
        <v>#N/A</v>
      </c>
      <c r="W257" s="3" t="e">
        <f t="shared" si="18"/>
        <v>#N/A</v>
      </c>
      <c r="X257" s="29" t="e">
        <f t="shared" si="26"/>
        <v>#N/A</v>
      </c>
      <c r="Y257" s="29" t="s">
        <v>1363</v>
      </c>
      <c r="Z257" t="s">
        <v>16</v>
      </c>
      <c r="AA257" t="s">
        <v>17</v>
      </c>
      <c r="AB257" t="s">
        <v>12</v>
      </c>
      <c r="AC257" t="s">
        <v>8</v>
      </c>
      <c r="AD257" t="s">
        <v>18</v>
      </c>
      <c r="AE257" t="s">
        <v>850</v>
      </c>
      <c r="AF257" t="s">
        <v>12</v>
      </c>
      <c r="AG257" t="s">
        <v>12</v>
      </c>
      <c r="AH257" t="s">
        <v>12</v>
      </c>
      <c r="AI257" s="2">
        <v>45736</v>
      </c>
      <c r="AJ257" s="2"/>
      <c r="AK257" t="s">
        <v>12</v>
      </c>
    </row>
    <row r="258" spans="1:37" outlineLevel="2" x14ac:dyDescent="0.25">
      <c r="A258" t="s">
        <v>129</v>
      </c>
      <c r="B258" t="s">
        <v>1</v>
      </c>
      <c r="C258" t="s">
        <v>2</v>
      </c>
      <c r="D258" t="s">
        <v>3</v>
      </c>
      <c r="E258" t="s">
        <v>4</v>
      </c>
      <c r="F258" t="s">
        <v>243</v>
      </c>
      <c r="G258" s="2">
        <v>45736</v>
      </c>
      <c r="H258" t="s">
        <v>851</v>
      </c>
      <c r="I258" t="s">
        <v>22</v>
      </c>
      <c r="J258" s="2">
        <v>45736</v>
      </c>
      <c r="K258" s="2">
        <v>45736</v>
      </c>
      <c r="L258" t="s">
        <v>8</v>
      </c>
      <c r="M258" s="26">
        <v>246779413623</v>
      </c>
      <c r="N258" t="s">
        <v>10</v>
      </c>
      <c r="O258" t="s">
        <v>11</v>
      </c>
      <c r="P258" t="s">
        <v>12</v>
      </c>
      <c r="Q258" t="s">
        <v>24</v>
      </c>
      <c r="R258" t="s">
        <v>14</v>
      </c>
      <c r="S258" s="3">
        <v>2.35</v>
      </c>
      <c r="T258" t="s">
        <v>15</v>
      </c>
      <c r="U258" s="3">
        <v>203.72</v>
      </c>
      <c r="V258" s="3" t="e">
        <f>VLOOKUP(M258,'[1]Query Report'!$A:$E,5,0)</f>
        <v>#N/A</v>
      </c>
      <c r="W258" s="3" t="e">
        <f t="shared" si="18"/>
        <v>#N/A</v>
      </c>
      <c r="X258" s="29" t="e">
        <f t="shared" si="26"/>
        <v>#N/A</v>
      </c>
      <c r="Y258" s="29" t="s">
        <v>1363</v>
      </c>
      <c r="Z258" t="s">
        <v>16</v>
      </c>
      <c r="AA258" t="s">
        <v>17</v>
      </c>
      <c r="AB258" t="s">
        <v>12</v>
      </c>
      <c r="AC258" t="s">
        <v>8</v>
      </c>
      <c r="AD258" t="s">
        <v>18</v>
      </c>
      <c r="AE258" t="s">
        <v>850</v>
      </c>
      <c r="AF258" t="s">
        <v>12</v>
      </c>
      <c r="AG258" t="s">
        <v>12</v>
      </c>
      <c r="AH258" t="s">
        <v>12</v>
      </c>
      <c r="AI258" s="2">
        <v>45736</v>
      </c>
      <c r="AJ258" s="2"/>
      <c r="AK258" t="s">
        <v>12</v>
      </c>
    </row>
    <row r="259" spans="1:37" outlineLevel="2" x14ac:dyDescent="0.25">
      <c r="A259" t="s">
        <v>129</v>
      </c>
      <c r="B259" t="s">
        <v>1</v>
      </c>
      <c r="C259" t="s">
        <v>2</v>
      </c>
      <c r="D259" t="s">
        <v>3</v>
      </c>
      <c r="E259" t="s">
        <v>4</v>
      </c>
      <c r="F259" t="s">
        <v>243</v>
      </c>
      <c r="G259" s="2">
        <v>45736</v>
      </c>
      <c r="H259" t="s">
        <v>853</v>
      </c>
      <c r="I259" t="s">
        <v>22</v>
      </c>
      <c r="J259" s="2">
        <v>45736</v>
      </c>
      <c r="K259" s="2">
        <v>45736</v>
      </c>
      <c r="L259" t="s">
        <v>8</v>
      </c>
      <c r="M259" s="26">
        <v>246779413624</v>
      </c>
      <c r="N259" t="s">
        <v>10</v>
      </c>
      <c r="O259" t="s">
        <v>11</v>
      </c>
      <c r="P259" t="s">
        <v>12</v>
      </c>
      <c r="Q259" t="s">
        <v>24</v>
      </c>
      <c r="R259" t="s">
        <v>14</v>
      </c>
      <c r="S259" s="3">
        <v>7.05</v>
      </c>
      <c r="T259" t="s">
        <v>15</v>
      </c>
      <c r="U259" s="3">
        <v>611.16999999999996</v>
      </c>
      <c r="V259" s="3" t="e">
        <f>VLOOKUP(M259,'[1]Query Report'!$A:$E,5,0)</f>
        <v>#N/A</v>
      </c>
      <c r="W259" s="3" t="e">
        <f t="shared" si="18"/>
        <v>#N/A</v>
      </c>
      <c r="X259" s="29" t="e">
        <f t="shared" si="26"/>
        <v>#N/A</v>
      </c>
      <c r="Y259" s="29" t="s">
        <v>1363</v>
      </c>
      <c r="Z259" t="s">
        <v>16</v>
      </c>
      <c r="AA259" t="s">
        <v>17</v>
      </c>
      <c r="AB259" t="s">
        <v>12</v>
      </c>
      <c r="AC259" t="s">
        <v>8</v>
      </c>
      <c r="AD259" t="s">
        <v>18</v>
      </c>
      <c r="AE259" t="s">
        <v>850</v>
      </c>
      <c r="AF259" t="s">
        <v>12</v>
      </c>
      <c r="AG259" t="s">
        <v>12</v>
      </c>
      <c r="AH259" t="s">
        <v>12</v>
      </c>
      <c r="AI259" s="2">
        <v>45736</v>
      </c>
      <c r="AJ259" s="2"/>
      <c r="AK259" t="s">
        <v>12</v>
      </c>
    </row>
    <row r="260" spans="1:37" outlineLevel="2" x14ac:dyDescent="0.25">
      <c r="A260" t="s">
        <v>129</v>
      </c>
      <c r="B260" t="s">
        <v>1</v>
      </c>
      <c r="C260" t="s">
        <v>2</v>
      </c>
      <c r="D260" t="s">
        <v>3</v>
      </c>
      <c r="E260" t="s">
        <v>4</v>
      </c>
      <c r="F260" t="s">
        <v>243</v>
      </c>
      <c r="G260" s="2">
        <v>45736</v>
      </c>
      <c r="H260" t="s">
        <v>855</v>
      </c>
      <c r="I260" t="s">
        <v>22</v>
      </c>
      <c r="J260" s="2">
        <v>45736</v>
      </c>
      <c r="K260" s="2">
        <v>45736</v>
      </c>
      <c r="L260" t="s">
        <v>8</v>
      </c>
      <c r="M260" s="26">
        <v>246779413625</v>
      </c>
      <c r="N260" t="s">
        <v>10</v>
      </c>
      <c r="O260" t="s">
        <v>11</v>
      </c>
      <c r="P260" t="s">
        <v>12</v>
      </c>
      <c r="Q260" t="s">
        <v>24</v>
      </c>
      <c r="R260" t="s">
        <v>14</v>
      </c>
      <c r="S260" s="3">
        <v>2.35</v>
      </c>
      <c r="T260" t="s">
        <v>15</v>
      </c>
      <c r="U260" s="3">
        <v>203.72</v>
      </c>
      <c r="V260" s="3" t="e">
        <f>VLOOKUP(M260,'[1]Query Report'!$A:$E,5,0)</f>
        <v>#N/A</v>
      </c>
      <c r="W260" s="3" t="e">
        <f t="shared" ref="W260:W323" si="27">U260-V260</f>
        <v>#N/A</v>
      </c>
      <c r="X260" s="29" t="e">
        <f t="shared" si="26"/>
        <v>#N/A</v>
      </c>
      <c r="Y260" s="29" t="s">
        <v>1363</v>
      </c>
      <c r="Z260" t="s">
        <v>16</v>
      </c>
      <c r="AA260" t="s">
        <v>17</v>
      </c>
      <c r="AB260" t="s">
        <v>12</v>
      </c>
      <c r="AC260" t="s">
        <v>8</v>
      </c>
      <c r="AD260" t="s">
        <v>18</v>
      </c>
      <c r="AE260" t="s">
        <v>850</v>
      </c>
      <c r="AF260" t="s">
        <v>12</v>
      </c>
      <c r="AG260" t="s">
        <v>12</v>
      </c>
      <c r="AH260" t="s">
        <v>12</v>
      </c>
      <c r="AI260" s="2">
        <v>45736</v>
      </c>
      <c r="AJ260" s="2"/>
      <c r="AK260" t="s">
        <v>12</v>
      </c>
    </row>
    <row r="261" spans="1:37" outlineLevel="2" x14ac:dyDescent="0.25">
      <c r="A261" t="s">
        <v>129</v>
      </c>
      <c r="B261" t="s">
        <v>1</v>
      </c>
      <c r="C261" t="s">
        <v>2</v>
      </c>
      <c r="D261" t="s">
        <v>3</v>
      </c>
      <c r="E261" t="s">
        <v>4</v>
      </c>
      <c r="F261" t="s">
        <v>243</v>
      </c>
      <c r="G261" s="2">
        <v>45736</v>
      </c>
      <c r="H261" t="s">
        <v>857</v>
      </c>
      <c r="I261" t="s">
        <v>22</v>
      </c>
      <c r="J261" s="2">
        <v>45736</v>
      </c>
      <c r="K261" s="2">
        <v>45736</v>
      </c>
      <c r="L261" t="s">
        <v>8</v>
      </c>
      <c r="M261" s="26">
        <v>246779413626</v>
      </c>
      <c r="N261" t="s">
        <v>10</v>
      </c>
      <c r="O261" t="s">
        <v>11</v>
      </c>
      <c r="P261" t="s">
        <v>12</v>
      </c>
      <c r="Q261" t="s">
        <v>24</v>
      </c>
      <c r="R261" t="s">
        <v>14</v>
      </c>
      <c r="S261" s="3">
        <v>84.6</v>
      </c>
      <c r="T261" t="s">
        <v>15</v>
      </c>
      <c r="U261" s="3">
        <v>7334.08</v>
      </c>
      <c r="V261" s="3" t="e">
        <f>VLOOKUP(M261,'[1]Query Report'!$A:$E,5,0)</f>
        <v>#N/A</v>
      </c>
      <c r="W261" s="3" t="e">
        <f t="shared" si="27"/>
        <v>#N/A</v>
      </c>
      <c r="X261" s="29" t="e">
        <f t="shared" si="26"/>
        <v>#N/A</v>
      </c>
      <c r="Y261" s="29" t="s">
        <v>1363</v>
      </c>
      <c r="Z261" t="s">
        <v>16</v>
      </c>
      <c r="AA261" t="s">
        <v>17</v>
      </c>
      <c r="AB261" t="s">
        <v>12</v>
      </c>
      <c r="AC261" t="s">
        <v>8</v>
      </c>
      <c r="AD261" t="s">
        <v>18</v>
      </c>
      <c r="AE261" t="s">
        <v>850</v>
      </c>
      <c r="AF261" t="s">
        <v>12</v>
      </c>
      <c r="AG261" t="s">
        <v>12</v>
      </c>
      <c r="AH261" t="s">
        <v>12</v>
      </c>
      <c r="AI261" s="2">
        <v>45736</v>
      </c>
      <c r="AJ261" s="2"/>
      <c r="AK261" t="s">
        <v>12</v>
      </c>
    </row>
    <row r="262" spans="1:37" outlineLevel="2" x14ac:dyDescent="0.25">
      <c r="A262" t="s">
        <v>129</v>
      </c>
      <c r="B262" t="s">
        <v>1</v>
      </c>
      <c r="C262" t="s">
        <v>2</v>
      </c>
      <c r="D262" t="s">
        <v>3</v>
      </c>
      <c r="E262" t="s">
        <v>4</v>
      </c>
      <c r="F262" t="s">
        <v>243</v>
      </c>
      <c r="G262" s="2">
        <v>45736</v>
      </c>
      <c r="H262" t="s">
        <v>859</v>
      </c>
      <c r="I262" t="s">
        <v>22</v>
      </c>
      <c r="J262" s="2">
        <v>45736</v>
      </c>
      <c r="K262" s="2">
        <v>45736</v>
      </c>
      <c r="L262" t="s">
        <v>8</v>
      </c>
      <c r="M262" s="26">
        <v>246779413627</v>
      </c>
      <c r="N262" t="s">
        <v>10</v>
      </c>
      <c r="O262" t="s">
        <v>11</v>
      </c>
      <c r="P262" t="s">
        <v>12</v>
      </c>
      <c r="Q262" t="s">
        <v>24</v>
      </c>
      <c r="R262" t="s">
        <v>14</v>
      </c>
      <c r="S262" s="3">
        <v>42.3</v>
      </c>
      <c r="T262" t="s">
        <v>15</v>
      </c>
      <c r="U262" s="3">
        <v>3667.04</v>
      </c>
      <c r="V262" s="3" t="e">
        <f>VLOOKUP(M262,'[1]Query Report'!$A:$E,5,0)</f>
        <v>#N/A</v>
      </c>
      <c r="W262" s="3" t="e">
        <f t="shared" si="27"/>
        <v>#N/A</v>
      </c>
      <c r="X262" s="29" t="e">
        <f t="shared" si="26"/>
        <v>#N/A</v>
      </c>
      <c r="Y262" s="29" t="s">
        <v>1363</v>
      </c>
      <c r="Z262" t="s">
        <v>16</v>
      </c>
      <c r="AA262" t="s">
        <v>17</v>
      </c>
      <c r="AB262" t="s">
        <v>12</v>
      </c>
      <c r="AC262" t="s">
        <v>8</v>
      </c>
      <c r="AD262" t="s">
        <v>18</v>
      </c>
      <c r="AE262" t="s">
        <v>850</v>
      </c>
      <c r="AF262" t="s">
        <v>12</v>
      </c>
      <c r="AG262" t="s">
        <v>12</v>
      </c>
      <c r="AH262" t="s">
        <v>12</v>
      </c>
      <c r="AI262" s="2">
        <v>45736</v>
      </c>
      <c r="AJ262" s="2"/>
      <c r="AK262" t="s">
        <v>12</v>
      </c>
    </row>
    <row r="263" spans="1:37" outlineLevel="2" x14ac:dyDescent="0.25">
      <c r="A263" t="s">
        <v>129</v>
      </c>
      <c r="B263" t="s">
        <v>1</v>
      </c>
      <c r="C263" t="s">
        <v>2</v>
      </c>
      <c r="D263" t="s">
        <v>3</v>
      </c>
      <c r="E263" t="s">
        <v>4</v>
      </c>
      <c r="F263" t="s">
        <v>243</v>
      </c>
      <c r="G263" s="2">
        <v>45736</v>
      </c>
      <c r="H263" t="s">
        <v>861</v>
      </c>
      <c r="I263" t="s">
        <v>22</v>
      </c>
      <c r="J263" s="2">
        <v>45736</v>
      </c>
      <c r="K263" s="2">
        <v>45736</v>
      </c>
      <c r="L263" t="s">
        <v>8</v>
      </c>
      <c r="M263" s="26">
        <v>246779413628</v>
      </c>
      <c r="N263" t="s">
        <v>10</v>
      </c>
      <c r="O263" t="s">
        <v>11</v>
      </c>
      <c r="P263" t="s">
        <v>12</v>
      </c>
      <c r="Q263" t="s">
        <v>24</v>
      </c>
      <c r="R263" t="s">
        <v>14</v>
      </c>
      <c r="S263" s="3">
        <v>2.35</v>
      </c>
      <c r="T263" t="s">
        <v>15</v>
      </c>
      <c r="U263" s="3">
        <v>203.72</v>
      </c>
      <c r="V263" s="3" t="e">
        <f>VLOOKUP(M263,'[1]Query Report'!$A:$E,5,0)</f>
        <v>#N/A</v>
      </c>
      <c r="W263" s="3" t="e">
        <f t="shared" si="27"/>
        <v>#N/A</v>
      </c>
      <c r="X263" s="29" t="e">
        <f t="shared" si="26"/>
        <v>#N/A</v>
      </c>
      <c r="Y263" s="29" t="s">
        <v>1363</v>
      </c>
      <c r="Z263" t="s">
        <v>16</v>
      </c>
      <c r="AA263" t="s">
        <v>17</v>
      </c>
      <c r="AB263" t="s">
        <v>12</v>
      </c>
      <c r="AC263" t="s">
        <v>8</v>
      </c>
      <c r="AD263" t="s">
        <v>18</v>
      </c>
      <c r="AE263" t="s">
        <v>850</v>
      </c>
      <c r="AF263" t="s">
        <v>12</v>
      </c>
      <c r="AG263" t="s">
        <v>12</v>
      </c>
      <c r="AH263" t="s">
        <v>12</v>
      </c>
      <c r="AI263" s="2">
        <v>45736</v>
      </c>
      <c r="AJ263" s="2"/>
      <c r="AK263" t="s">
        <v>12</v>
      </c>
    </row>
    <row r="264" spans="1:37" outlineLevel="2" x14ac:dyDescent="0.25">
      <c r="A264" t="s">
        <v>129</v>
      </c>
      <c r="B264" t="s">
        <v>1</v>
      </c>
      <c r="C264" t="s">
        <v>2</v>
      </c>
      <c r="D264" t="s">
        <v>3</v>
      </c>
      <c r="E264" t="s">
        <v>4</v>
      </c>
      <c r="F264" t="s">
        <v>243</v>
      </c>
      <c r="G264" s="2">
        <v>45736</v>
      </c>
      <c r="H264" t="s">
        <v>863</v>
      </c>
      <c r="I264" t="s">
        <v>22</v>
      </c>
      <c r="J264" s="2">
        <v>45736</v>
      </c>
      <c r="K264" s="2">
        <v>45736</v>
      </c>
      <c r="L264" t="s">
        <v>8</v>
      </c>
      <c r="M264" s="26">
        <v>246779413629</v>
      </c>
      <c r="N264" t="s">
        <v>10</v>
      </c>
      <c r="O264" t="s">
        <v>11</v>
      </c>
      <c r="P264" t="s">
        <v>12</v>
      </c>
      <c r="Q264" t="s">
        <v>24</v>
      </c>
      <c r="R264" t="s">
        <v>14</v>
      </c>
      <c r="S264" s="3">
        <v>4.7</v>
      </c>
      <c r="T264" t="s">
        <v>15</v>
      </c>
      <c r="U264" s="3">
        <v>407.45</v>
      </c>
      <c r="V264" s="3" t="e">
        <f>VLOOKUP(M264,'[1]Query Report'!$A:$E,5,0)</f>
        <v>#N/A</v>
      </c>
      <c r="W264" s="3" t="e">
        <f t="shared" si="27"/>
        <v>#N/A</v>
      </c>
      <c r="X264" s="29" t="e">
        <f t="shared" si="26"/>
        <v>#N/A</v>
      </c>
      <c r="Y264" s="29" t="s">
        <v>1363</v>
      </c>
      <c r="Z264" t="s">
        <v>16</v>
      </c>
      <c r="AA264" t="s">
        <v>17</v>
      </c>
      <c r="AB264" t="s">
        <v>12</v>
      </c>
      <c r="AC264" t="s">
        <v>8</v>
      </c>
      <c r="AD264" t="s">
        <v>18</v>
      </c>
      <c r="AE264" t="s">
        <v>850</v>
      </c>
      <c r="AF264" t="s">
        <v>12</v>
      </c>
      <c r="AG264" t="s">
        <v>12</v>
      </c>
      <c r="AH264" t="s">
        <v>12</v>
      </c>
      <c r="AI264" s="2">
        <v>45736</v>
      </c>
      <c r="AJ264" s="2"/>
      <c r="AK264" t="s">
        <v>12</v>
      </c>
    </row>
    <row r="265" spans="1:37" outlineLevel="2" x14ac:dyDescent="0.25">
      <c r="A265" t="s">
        <v>129</v>
      </c>
      <c r="B265" t="s">
        <v>1</v>
      </c>
      <c r="C265" t="s">
        <v>2</v>
      </c>
      <c r="D265" t="s">
        <v>3</v>
      </c>
      <c r="E265" t="s">
        <v>4</v>
      </c>
      <c r="F265" t="s">
        <v>243</v>
      </c>
      <c r="G265" s="2">
        <v>45736</v>
      </c>
      <c r="H265" t="s">
        <v>865</v>
      </c>
      <c r="I265" t="s">
        <v>22</v>
      </c>
      <c r="J265" s="2">
        <v>45736</v>
      </c>
      <c r="K265" s="2">
        <v>45736</v>
      </c>
      <c r="L265" t="s">
        <v>8</v>
      </c>
      <c r="M265" s="26">
        <v>246779413689</v>
      </c>
      <c r="N265" t="s">
        <v>10</v>
      </c>
      <c r="O265" t="s">
        <v>11</v>
      </c>
      <c r="P265" t="s">
        <v>12</v>
      </c>
      <c r="Q265" t="s">
        <v>24</v>
      </c>
      <c r="R265" t="s">
        <v>14</v>
      </c>
      <c r="S265" s="3">
        <v>18.8</v>
      </c>
      <c r="T265" t="s">
        <v>15</v>
      </c>
      <c r="U265" s="3">
        <v>1629.8</v>
      </c>
      <c r="V265" s="3" t="e">
        <f>VLOOKUP(M265,'[1]Query Report'!$A:$E,5,0)</f>
        <v>#N/A</v>
      </c>
      <c r="W265" s="3" t="e">
        <f t="shared" si="27"/>
        <v>#N/A</v>
      </c>
      <c r="X265" s="29" t="e">
        <f t="shared" si="26"/>
        <v>#N/A</v>
      </c>
      <c r="Y265" s="29" t="s">
        <v>1363</v>
      </c>
      <c r="Z265" t="s">
        <v>16</v>
      </c>
      <c r="AA265" t="s">
        <v>17</v>
      </c>
      <c r="AB265" t="s">
        <v>12</v>
      </c>
      <c r="AC265" t="s">
        <v>8</v>
      </c>
      <c r="AD265" t="s">
        <v>18</v>
      </c>
      <c r="AE265" t="s">
        <v>850</v>
      </c>
      <c r="AF265" t="s">
        <v>12</v>
      </c>
      <c r="AG265" t="s">
        <v>12</v>
      </c>
      <c r="AH265" t="s">
        <v>12</v>
      </c>
      <c r="AI265" s="2">
        <v>45736</v>
      </c>
      <c r="AJ265" s="2"/>
      <c r="AK265" t="s">
        <v>12</v>
      </c>
    </row>
    <row r="266" spans="1:37" outlineLevel="2" x14ac:dyDescent="0.25">
      <c r="A266" t="s">
        <v>129</v>
      </c>
      <c r="B266" t="s">
        <v>1</v>
      </c>
      <c r="C266" t="s">
        <v>2</v>
      </c>
      <c r="D266" t="s">
        <v>3</v>
      </c>
      <c r="E266" t="s">
        <v>4</v>
      </c>
      <c r="F266" t="s">
        <v>243</v>
      </c>
      <c r="G266" s="2">
        <v>45736</v>
      </c>
      <c r="H266" t="s">
        <v>867</v>
      </c>
      <c r="I266" t="s">
        <v>22</v>
      </c>
      <c r="J266" s="2">
        <v>45736</v>
      </c>
      <c r="K266" s="2">
        <v>45736</v>
      </c>
      <c r="L266" t="s">
        <v>8</v>
      </c>
      <c r="M266" s="26">
        <v>246779413690</v>
      </c>
      <c r="N266" t="s">
        <v>10</v>
      </c>
      <c r="O266" t="s">
        <v>11</v>
      </c>
      <c r="P266" t="s">
        <v>12</v>
      </c>
      <c r="Q266" t="s">
        <v>24</v>
      </c>
      <c r="R266" t="s">
        <v>14</v>
      </c>
      <c r="S266" s="3">
        <v>2.35</v>
      </c>
      <c r="T266" t="s">
        <v>15</v>
      </c>
      <c r="U266" s="3">
        <v>203.72</v>
      </c>
      <c r="V266" s="3" t="e">
        <f>VLOOKUP(M266,'[1]Query Report'!$A:$E,5,0)</f>
        <v>#N/A</v>
      </c>
      <c r="W266" s="3" t="e">
        <f t="shared" si="27"/>
        <v>#N/A</v>
      </c>
      <c r="X266" s="29" t="e">
        <f t="shared" si="26"/>
        <v>#N/A</v>
      </c>
      <c r="Y266" s="29" t="s">
        <v>1363</v>
      </c>
      <c r="Z266" t="s">
        <v>16</v>
      </c>
      <c r="AA266" t="s">
        <v>17</v>
      </c>
      <c r="AB266" t="s">
        <v>12</v>
      </c>
      <c r="AC266" t="s">
        <v>8</v>
      </c>
      <c r="AD266" t="s">
        <v>18</v>
      </c>
      <c r="AE266" t="s">
        <v>850</v>
      </c>
      <c r="AF266" t="s">
        <v>12</v>
      </c>
      <c r="AG266" t="s">
        <v>12</v>
      </c>
      <c r="AH266" t="s">
        <v>12</v>
      </c>
      <c r="AI266" s="2">
        <v>45736</v>
      </c>
      <c r="AJ266" s="2"/>
      <c r="AK266" t="s">
        <v>12</v>
      </c>
    </row>
    <row r="267" spans="1:37" outlineLevel="2" x14ac:dyDescent="0.25">
      <c r="A267" t="s">
        <v>129</v>
      </c>
      <c r="B267" t="s">
        <v>1</v>
      </c>
      <c r="C267" t="s">
        <v>2</v>
      </c>
      <c r="D267" t="s">
        <v>3</v>
      </c>
      <c r="E267" t="s">
        <v>4</v>
      </c>
      <c r="F267" t="s">
        <v>243</v>
      </c>
      <c r="G267" s="2">
        <v>45736</v>
      </c>
      <c r="H267" t="s">
        <v>869</v>
      </c>
      <c r="I267" t="s">
        <v>22</v>
      </c>
      <c r="J267" s="2">
        <v>45736</v>
      </c>
      <c r="K267" s="2">
        <v>45736</v>
      </c>
      <c r="L267" t="s">
        <v>8</v>
      </c>
      <c r="M267" s="26">
        <v>246779413691</v>
      </c>
      <c r="N267" t="s">
        <v>10</v>
      </c>
      <c r="O267" t="s">
        <v>11</v>
      </c>
      <c r="P267" t="s">
        <v>12</v>
      </c>
      <c r="Q267" t="s">
        <v>24</v>
      </c>
      <c r="R267" t="s">
        <v>14</v>
      </c>
      <c r="S267" s="3">
        <v>7.05</v>
      </c>
      <c r="T267" t="s">
        <v>15</v>
      </c>
      <c r="U267" s="3">
        <v>611.16999999999996</v>
      </c>
      <c r="V267" s="3" t="e">
        <f>VLOOKUP(M267,'[1]Query Report'!$A:$E,5,0)</f>
        <v>#N/A</v>
      </c>
      <c r="W267" s="3" t="e">
        <f t="shared" si="27"/>
        <v>#N/A</v>
      </c>
      <c r="X267" s="29" t="e">
        <f t="shared" si="26"/>
        <v>#N/A</v>
      </c>
      <c r="Y267" s="29" t="s">
        <v>1363</v>
      </c>
      <c r="Z267" t="s">
        <v>16</v>
      </c>
      <c r="AA267" t="s">
        <v>17</v>
      </c>
      <c r="AB267" t="s">
        <v>12</v>
      </c>
      <c r="AC267" t="s">
        <v>8</v>
      </c>
      <c r="AD267" t="s">
        <v>18</v>
      </c>
      <c r="AE267" t="s">
        <v>850</v>
      </c>
      <c r="AF267" t="s">
        <v>12</v>
      </c>
      <c r="AG267" t="s">
        <v>12</v>
      </c>
      <c r="AH267" t="s">
        <v>12</v>
      </c>
      <c r="AI267" s="2">
        <v>45736</v>
      </c>
      <c r="AJ267" s="2"/>
      <c r="AK267" t="s">
        <v>12</v>
      </c>
    </row>
    <row r="268" spans="1:37" outlineLevel="2" x14ac:dyDescent="0.25">
      <c r="A268" t="s">
        <v>129</v>
      </c>
      <c r="B268" t="s">
        <v>1</v>
      </c>
      <c r="C268" t="s">
        <v>2</v>
      </c>
      <c r="D268" t="s">
        <v>3</v>
      </c>
      <c r="E268" t="s">
        <v>4</v>
      </c>
      <c r="F268" t="s">
        <v>243</v>
      </c>
      <c r="G268" s="2">
        <v>45736</v>
      </c>
      <c r="H268" t="s">
        <v>871</v>
      </c>
      <c r="I268" t="s">
        <v>22</v>
      </c>
      <c r="J268" s="2">
        <v>45736</v>
      </c>
      <c r="K268" s="2">
        <v>45736</v>
      </c>
      <c r="L268" t="s">
        <v>8</v>
      </c>
      <c r="M268" s="26">
        <v>246779413692</v>
      </c>
      <c r="N268" t="s">
        <v>10</v>
      </c>
      <c r="O268" t="s">
        <v>11</v>
      </c>
      <c r="P268" t="s">
        <v>12</v>
      </c>
      <c r="Q268" t="s">
        <v>24</v>
      </c>
      <c r="R268" t="s">
        <v>14</v>
      </c>
      <c r="S268" s="3">
        <v>2.35</v>
      </c>
      <c r="T268" t="s">
        <v>15</v>
      </c>
      <c r="U268" s="3">
        <v>203.72</v>
      </c>
      <c r="V268" s="3" t="e">
        <f>VLOOKUP(M268,'[1]Query Report'!$A:$E,5,0)</f>
        <v>#N/A</v>
      </c>
      <c r="W268" s="3" t="e">
        <f t="shared" si="27"/>
        <v>#N/A</v>
      </c>
      <c r="X268" s="29" t="e">
        <f t="shared" si="26"/>
        <v>#N/A</v>
      </c>
      <c r="Y268" s="29" t="s">
        <v>1362</v>
      </c>
      <c r="Z268" t="s">
        <v>16</v>
      </c>
      <c r="AA268" t="s">
        <v>17</v>
      </c>
      <c r="AB268" t="s">
        <v>12</v>
      </c>
      <c r="AC268" t="s">
        <v>8</v>
      </c>
      <c r="AD268" t="s">
        <v>18</v>
      </c>
      <c r="AE268" t="s">
        <v>850</v>
      </c>
      <c r="AF268" t="s">
        <v>12</v>
      </c>
      <c r="AG268" t="s">
        <v>12</v>
      </c>
      <c r="AH268" t="s">
        <v>12</v>
      </c>
      <c r="AI268" s="2">
        <v>45736</v>
      </c>
      <c r="AJ268" s="2"/>
      <c r="AK268" t="s">
        <v>12</v>
      </c>
    </row>
    <row r="269" spans="1:37" outlineLevel="2" x14ac:dyDescent="0.25">
      <c r="A269" t="s">
        <v>129</v>
      </c>
      <c r="B269" t="s">
        <v>1</v>
      </c>
      <c r="C269" t="s">
        <v>2</v>
      </c>
      <c r="D269" t="s">
        <v>3</v>
      </c>
      <c r="E269" t="s">
        <v>4</v>
      </c>
      <c r="F269" t="s">
        <v>243</v>
      </c>
      <c r="G269" s="2">
        <v>45736</v>
      </c>
      <c r="H269" t="s">
        <v>873</v>
      </c>
      <c r="I269" t="s">
        <v>22</v>
      </c>
      <c r="J269" s="2">
        <v>45736</v>
      </c>
      <c r="K269" s="2">
        <v>45736</v>
      </c>
      <c r="L269" t="s">
        <v>8</v>
      </c>
      <c r="M269" s="26">
        <v>246779413693</v>
      </c>
      <c r="N269" t="s">
        <v>10</v>
      </c>
      <c r="O269" t="s">
        <v>11</v>
      </c>
      <c r="P269" t="s">
        <v>12</v>
      </c>
      <c r="Q269" t="s">
        <v>24</v>
      </c>
      <c r="R269" t="s">
        <v>14</v>
      </c>
      <c r="S269" s="3">
        <v>84.6</v>
      </c>
      <c r="T269" t="s">
        <v>15</v>
      </c>
      <c r="U269" s="3">
        <v>7334.08</v>
      </c>
      <c r="V269" s="3" t="e">
        <f>VLOOKUP(M269,'[1]Query Report'!$A:$E,5,0)</f>
        <v>#N/A</v>
      </c>
      <c r="W269" s="3" t="e">
        <f t="shared" si="27"/>
        <v>#N/A</v>
      </c>
      <c r="X269" s="29" t="e">
        <f t="shared" si="26"/>
        <v>#N/A</v>
      </c>
      <c r="Y269" s="29" t="s">
        <v>1362</v>
      </c>
      <c r="Z269" t="s">
        <v>16</v>
      </c>
      <c r="AA269" t="s">
        <v>17</v>
      </c>
      <c r="AB269" t="s">
        <v>12</v>
      </c>
      <c r="AC269" t="s">
        <v>8</v>
      </c>
      <c r="AD269" t="s">
        <v>18</v>
      </c>
      <c r="AE269" t="s">
        <v>850</v>
      </c>
      <c r="AF269" t="s">
        <v>12</v>
      </c>
      <c r="AG269" t="s">
        <v>12</v>
      </c>
      <c r="AH269" t="s">
        <v>12</v>
      </c>
      <c r="AI269" s="2">
        <v>45736</v>
      </c>
      <c r="AJ269" s="2"/>
      <c r="AK269" t="s">
        <v>12</v>
      </c>
    </row>
    <row r="270" spans="1:37" outlineLevel="2" x14ac:dyDescent="0.25">
      <c r="A270" t="s">
        <v>129</v>
      </c>
      <c r="B270" t="s">
        <v>1</v>
      </c>
      <c r="C270" t="s">
        <v>2</v>
      </c>
      <c r="D270" t="s">
        <v>3</v>
      </c>
      <c r="E270" t="s">
        <v>4</v>
      </c>
      <c r="F270" t="s">
        <v>243</v>
      </c>
      <c r="G270" s="2">
        <v>45736</v>
      </c>
      <c r="H270" t="s">
        <v>875</v>
      </c>
      <c r="I270" t="s">
        <v>22</v>
      </c>
      <c r="J270" s="2">
        <v>45736</v>
      </c>
      <c r="K270" s="2">
        <v>45736</v>
      </c>
      <c r="L270" t="s">
        <v>8</v>
      </c>
      <c r="M270" s="26">
        <v>246779413694</v>
      </c>
      <c r="N270" t="s">
        <v>10</v>
      </c>
      <c r="O270" t="s">
        <v>11</v>
      </c>
      <c r="P270" t="s">
        <v>12</v>
      </c>
      <c r="Q270" t="s">
        <v>24</v>
      </c>
      <c r="R270" t="s">
        <v>14</v>
      </c>
      <c r="S270" s="3">
        <v>42.3</v>
      </c>
      <c r="T270" t="s">
        <v>15</v>
      </c>
      <c r="U270" s="3">
        <v>3667.04</v>
      </c>
      <c r="V270" s="3" t="e">
        <f>VLOOKUP(M270,'[1]Query Report'!$A:$E,5,0)</f>
        <v>#N/A</v>
      </c>
      <c r="W270" s="3" t="e">
        <f t="shared" si="27"/>
        <v>#N/A</v>
      </c>
      <c r="X270" s="29" t="e">
        <f t="shared" si="26"/>
        <v>#N/A</v>
      </c>
      <c r="Y270" s="29" t="s">
        <v>1362</v>
      </c>
      <c r="Z270" t="s">
        <v>16</v>
      </c>
      <c r="AA270" t="s">
        <v>17</v>
      </c>
      <c r="AB270" t="s">
        <v>12</v>
      </c>
      <c r="AC270" t="s">
        <v>8</v>
      </c>
      <c r="AD270" t="s">
        <v>18</v>
      </c>
      <c r="AE270" t="s">
        <v>850</v>
      </c>
      <c r="AF270" t="s">
        <v>12</v>
      </c>
      <c r="AG270" t="s">
        <v>12</v>
      </c>
      <c r="AH270" t="s">
        <v>12</v>
      </c>
      <c r="AI270" s="2">
        <v>45736</v>
      </c>
      <c r="AJ270" s="2"/>
      <c r="AK270" t="s">
        <v>12</v>
      </c>
    </row>
    <row r="271" spans="1:37" outlineLevel="2" x14ac:dyDescent="0.25">
      <c r="A271" t="s">
        <v>129</v>
      </c>
      <c r="B271" t="s">
        <v>1</v>
      </c>
      <c r="C271" t="s">
        <v>2</v>
      </c>
      <c r="D271" t="s">
        <v>3</v>
      </c>
      <c r="E271" t="s">
        <v>4</v>
      </c>
      <c r="F271" t="s">
        <v>243</v>
      </c>
      <c r="G271" s="2">
        <v>45736</v>
      </c>
      <c r="H271" t="s">
        <v>877</v>
      </c>
      <c r="I271" t="s">
        <v>22</v>
      </c>
      <c r="J271" s="2">
        <v>45736</v>
      </c>
      <c r="K271" s="2">
        <v>45736</v>
      </c>
      <c r="L271" t="s">
        <v>8</v>
      </c>
      <c r="M271" s="26">
        <v>246779413695</v>
      </c>
      <c r="N271" t="s">
        <v>10</v>
      </c>
      <c r="O271" t="s">
        <v>11</v>
      </c>
      <c r="P271" t="s">
        <v>12</v>
      </c>
      <c r="Q271" t="s">
        <v>24</v>
      </c>
      <c r="R271" t="s">
        <v>14</v>
      </c>
      <c r="S271" s="3">
        <v>2.35</v>
      </c>
      <c r="T271" t="s">
        <v>15</v>
      </c>
      <c r="U271" s="3">
        <v>203.72</v>
      </c>
      <c r="V271" s="3" t="e">
        <f>VLOOKUP(M271,'[1]Query Report'!$A:$E,5,0)</f>
        <v>#N/A</v>
      </c>
      <c r="W271" s="3" t="e">
        <f t="shared" si="27"/>
        <v>#N/A</v>
      </c>
      <c r="X271" s="29" t="e">
        <f t="shared" si="26"/>
        <v>#N/A</v>
      </c>
      <c r="Y271" s="29" t="s">
        <v>1362</v>
      </c>
      <c r="Z271" t="s">
        <v>16</v>
      </c>
      <c r="AA271" t="s">
        <v>17</v>
      </c>
      <c r="AB271" t="s">
        <v>12</v>
      </c>
      <c r="AC271" t="s">
        <v>8</v>
      </c>
      <c r="AD271" t="s">
        <v>18</v>
      </c>
      <c r="AE271" t="s">
        <v>850</v>
      </c>
      <c r="AF271" t="s">
        <v>12</v>
      </c>
      <c r="AG271" t="s">
        <v>12</v>
      </c>
      <c r="AH271" t="s">
        <v>12</v>
      </c>
      <c r="AI271" s="2">
        <v>45736</v>
      </c>
      <c r="AJ271" s="2"/>
      <c r="AK271" t="s">
        <v>12</v>
      </c>
    </row>
    <row r="272" spans="1:37" outlineLevel="2" x14ac:dyDescent="0.25">
      <c r="A272" t="s">
        <v>129</v>
      </c>
      <c r="B272" t="s">
        <v>1</v>
      </c>
      <c r="C272" t="s">
        <v>2</v>
      </c>
      <c r="D272" t="s">
        <v>3</v>
      </c>
      <c r="E272" t="s">
        <v>4</v>
      </c>
      <c r="F272" t="s">
        <v>243</v>
      </c>
      <c r="G272" s="2">
        <v>45736</v>
      </c>
      <c r="H272" t="s">
        <v>879</v>
      </c>
      <c r="I272" t="s">
        <v>22</v>
      </c>
      <c r="J272" s="2">
        <v>45736</v>
      </c>
      <c r="K272" s="2">
        <v>45736</v>
      </c>
      <c r="L272" t="s">
        <v>8</v>
      </c>
      <c r="M272" s="26">
        <v>246779413696</v>
      </c>
      <c r="N272" t="s">
        <v>10</v>
      </c>
      <c r="O272" t="s">
        <v>11</v>
      </c>
      <c r="P272" t="s">
        <v>12</v>
      </c>
      <c r="Q272" t="s">
        <v>24</v>
      </c>
      <c r="R272" t="s">
        <v>14</v>
      </c>
      <c r="S272" s="3">
        <v>4.7</v>
      </c>
      <c r="T272" t="s">
        <v>15</v>
      </c>
      <c r="U272" s="3">
        <v>407.45</v>
      </c>
      <c r="V272" s="3" t="e">
        <f>VLOOKUP(M272,'[1]Query Report'!$A:$E,5,0)</f>
        <v>#N/A</v>
      </c>
      <c r="W272" s="3" t="e">
        <f t="shared" si="27"/>
        <v>#N/A</v>
      </c>
      <c r="X272" s="29" t="e">
        <f t="shared" si="26"/>
        <v>#N/A</v>
      </c>
      <c r="Y272" s="29" t="s">
        <v>1362</v>
      </c>
      <c r="Z272" t="s">
        <v>16</v>
      </c>
      <c r="AA272" t="s">
        <v>17</v>
      </c>
      <c r="AB272" t="s">
        <v>12</v>
      </c>
      <c r="AC272" t="s">
        <v>8</v>
      </c>
      <c r="AD272" t="s">
        <v>18</v>
      </c>
      <c r="AE272" t="s">
        <v>850</v>
      </c>
      <c r="AF272" t="s">
        <v>12</v>
      </c>
      <c r="AG272" t="s">
        <v>12</v>
      </c>
      <c r="AH272" t="s">
        <v>12</v>
      </c>
      <c r="AI272" s="2">
        <v>45736</v>
      </c>
      <c r="AJ272" s="2"/>
      <c r="AK272" t="s">
        <v>12</v>
      </c>
    </row>
    <row r="273" spans="1:37" outlineLevel="2" x14ac:dyDescent="0.25">
      <c r="A273" t="s">
        <v>129</v>
      </c>
      <c r="B273" t="s">
        <v>1</v>
      </c>
      <c r="C273" t="s">
        <v>2</v>
      </c>
      <c r="D273" t="s">
        <v>3</v>
      </c>
      <c r="E273" t="s">
        <v>4</v>
      </c>
      <c r="F273" t="s">
        <v>243</v>
      </c>
      <c r="G273" s="2">
        <v>45736</v>
      </c>
      <c r="H273" t="s">
        <v>881</v>
      </c>
      <c r="I273" t="s">
        <v>22</v>
      </c>
      <c r="J273" s="2">
        <v>45736</v>
      </c>
      <c r="K273" s="2">
        <v>45736</v>
      </c>
      <c r="L273" t="s">
        <v>8</v>
      </c>
      <c r="M273" s="26">
        <v>246779413701</v>
      </c>
      <c r="N273" t="s">
        <v>10</v>
      </c>
      <c r="O273" t="s">
        <v>11</v>
      </c>
      <c r="P273" t="s">
        <v>12</v>
      </c>
      <c r="Q273" t="s">
        <v>24</v>
      </c>
      <c r="R273" t="s">
        <v>14</v>
      </c>
      <c r="S273" s="3">
        <v>216.2</v>
      </c>
      <c r="T273" t="s">
        <v>15</v>
      </c>
      <c r="U273" s="3">
        <v>18742.650000000001</v>
      </c>
      <c r="V273" s="3" t="e">
        <f>VLOOKUP(M273,'[1]Query Report'!$A:$E,5,0)</f>
        <v>#N/A</v>
      </c>
      <c r="W273" s="3" t="e">
        <f t="shared" si="27"/>
        <v>#N/A</v>
      </c>
      <c r="X273" s="29" t="e">
        <f t="shared" si="26"/>
        <v>#N/A</v>
      </c>
      <c r="Y273" s="29" t="s">
        <v>1363</v>
      </c>
      <c r="Z273" t="s">
        <v>16</v>
      </c>
      <c r="AA273" t="s">
        <v>17</v>
      </c>
      <c r="AB273" t="s">
        <v>12</v>
      </c>
      <c r="AC273" t="s">
        <v>8</v>
      </c>
      <c r="AD273" t="s">
        <v>18</v>
      </c>
      <c r="AE273" t="s">
        <v>883</v>
      </c>
      <c r="AF273" t="s">
        <v>12</v>
      </c>
      <c r="AG273" t="s">
        <v>12</v>
      </c>
      <c r="AH273" t="s">
        <v>12</v>
      </c>
      <c r="AI273" s="2">
        <v>45736</v>
      </c>
      <c r="AJ273" s="2"/>
      <c r="AK273" t="s">
        <v>12</v>
      </c>
    </row>
    <row r="274" spans="1:37" outlineLevel="2" x14ac:dyDescent="0.25">
      <c r="A274" t="s">
        <v>129</v>
      </c>
      <c r="B274" t="s">
        <v>1</v>
      </c>
      <c r="C274" t="s">
        <v>2</v>
      </c>
      <c r="D274" t="s">
        <v>3</v>
      </c>
      <c r="E274" t="s">
        <v>4</v>
      </c>
      <c r="F274" t="s">
        <v>243</v>
      </c>
      <c r="G274" s="2">
        <v>45736</v>
      </c>
      <c r="H274" t="s">
        <v>884</v>
      </c>
      <c r="I274" t="s">
        <v>22</v>
      </c>
      <c r="J274" s="2">
        <v>45736</v>
      </c>
      <c r="K274" s="2">
        <v>45736</v>
      </c>
      <c r="L274" t="s">
        <v>8</v>
      </c>
      <c r="M274" s="26">
        <v>246779413704</v>
      </c>
      <c r="N274" t="s">
        <v>10</v>
      </c>
      <c r="O274" t="s">
        <v>11</v>
      </c>
      <c r="P274" t="s">
        <v>12</v>
      </c>
      <c r="Q274" t="s">
        <v>24</v>
      </c>
      <c r="R274" t="s">
        <v>14</v>
      </c>
      <c r="S274" s="3">
        <v>152.75</v>
      </c>
      <c r="T274" t="s">
        <v>15</v>
      </c>
      <c r="U274" s="3">
        <v>13242.09</v>
      </c>
      <c r="V274" s="3" t="e">
        <f>VLOOKUP(M274,'[1]Query Report'!$A:$E,5,0)</f>
        <v>#N/A</v>
      </c>
      <c r="W274" s="3" t="e">
        <f t="shared" si="27"/>
        <v>#N/A</v>
      </c>
      <c r="X274" s="29" t="e">
        <f t="shared" si="26"/>
        <v>#N/A</v>
      </c>
      <c r="Y274" s="29" t="s">
        <v>1363</v>
      </c>
      <c r="Z274" t="s">
        <v>16</v>
      </c>
      <c r="AA274" t="s">
        <v>17</v>
      </c>
      <c r="AB274" t="s">
        <v>12</v>
      </c>
      <c r="AC274" t="s">
        <v>8</v>
      </c>
      <c r="AD274" t="s">
        <v>18</v>
      </c>
      <c r="AE274" t="s">
        <v>886</v>
      </c>
      <c r="AF274" t="s">
        <v>12</v>
      </c>
      <c r="AG274" t="s">
        <v>12</v>
      </c>
      <c r="AH274" t="s">
        <v>12</v>
      </c>
      <c r="AI274" s="2">
        <v>45736</v>
      </c>
      <c r="AJ274" s="2"/>
      <c r="AK274" t="s">
        <v>12</v>
      </c>
    </row>
    <row r="275" spans="1:37" outlineLevel="2" x14ac:dyDescent="0.25">
      <c r="A275" t="s">
        <v>129</v>
      </c>
      <c r="B275" t="s">
        <v>1</v>
      </c>
      <c r="C275" t="s">
        <v>2</v>
      </c>
      <c r="D275" t="s">
        <v>3</v>
      </c>
      <c r="E275" t="s">
        <v>4</v>
      </c>
      <c r="F275" t="s">
        <v>243</v>
      </c>
      <c r="G275" s="2">
        <v>45736</v>
      </c>
      <c r="H275" t="s">
        <v>887</v>
      </c>
      <c r="I275" t="s">
        <v>22</v>
      </c>
      <c r="J275" s="2">
        <v>45736</v>
      </c>
      <c r="K275" s="2">
        <v>45736</v>
      </c>
      <c r="L275" t="s">
        <v>8</v>
      </c>
      <c r="M275" s="26">
        <v>246779413733</v>
      </c>
      <c r="N275" t="s">
        <v>10</v>
      </c>
      <c r="O275" t="s">
        <v>11</v>
      </c>
      <c r="P275" t="s">
        <v>12</v>
      </c>
      <c r="Q275" t="s">
        <v>24</v>
      </c>
      <c r="R275" t="s">
        <v>14</v>
      </c>
      <c r="S275" s="3">
        <v>2.35</v>
      </c>
      <c r="T275" t="s">
        <v>15</v>
      </c>
      <c r="U275" s="3">
        <v>203.72</v>
      </c>
      <c r="V275" s="3" t="e">
        <f>VLOOKUP(M275,'[1]Query Report'!$A:$E,5,0)</f>
        <v>#N/A</v>
      </c>
      <c r="W275" s="3" t="e">
        <f t="shared" si="27"/>
        <v>#N/A</v>
      </c>
      <c r="X275" s="29" t="e">
        <f t="shared" si="26"/>
        <v>#N/A</v>
      </c>
      <c r="Y275" s="29" t="s">
        <v>1362</v>
      </c>
      <c r="Z275" t="s">
        <v>16</v>
      </c>
      <c r="AA275" t="s">
        <v>17</v>
      </c>
      <c r="AB275" t="s">
        <v>12</v>
      </c>
      <c r="AC275" t="s">
        <v>8</v>
      </c>
      <c r="AD275" t="s">
        <v>18</v>
      </c>
      <c r="AE275" t="s">
        <v>850</v>
      </c>
      <c r="AF275" t="s">
        <v>12</v>
      </c>
      <c r="AG275" t="s">
        <v>12</v>
      </c>
      <c r="AH275" t="s">
        <v>12</v>
      </c>
      <c r="AI275" s="2">
        <v>45736</v>
      </c>
      <c r="AJ275" s="2"/>
      <c r="AK275" t="s">
        <v>12</v>
      </c>
    </row>
    <row r="276" spans="1:37" outlineLevel="2" x14ac:dyDescent="0.25">
      <c r="A276" t="s">
        <v>129</v>
      </c>
      <c r="B276" t="s">
        <v>1</v>
      </c>
      <c r="C276" t="s">
        <v>2</v>
      </c>
      <c r="D276" t="s">
        <v>3</v>
      </c>
      <c r="E276" t="s">
        <v>4</v>
      </c>
      <c r="F276" t="s">
        <v>243</v>
      </c>
      <c r="G276" s="2">
        <v>45736</v>
      </c>
      <c r="H276" t="s">
        <v>889</v>
      </c>
      <c r="I276" t="s">
        <v>22</v>
      </c>
      <c r="J276" s="2">
        <v>45736</v>
      </c>
      <c r="K276" s="2">
        <v>45736</v>
      </c>
      <c r="L276" t="s">
        <v>8</v>
      </c>
      <c r="M276" s="26">
        <v>246779413734</v>
      </c>
      <c r="N276" t="s">
        <v>10</v>
      </c>
      <c r="O276" t="s">
        <v>11</v>
      </c>
      <c r="P276" t="s">
        <v>12</v>
      </c>
      <c r="Q276" t="s">
        <v>24</v>
      </c>
      <c r="R276" t="s">
        <v>14</v>
      </c>
      <c r="S276" s="3">
        <v>42.3</v>
      </c>
      <c r="T276" t="s">
        <v>15</v>
      </c>
      <c r="U276" s="3">
        <v>3667.04</v>
      </c>
      <c r="V276" s="3" t="e">
        <f>VLOOKUP(M276,'[1]Query Report'!$A:$E,5,0)</f>
        <v>#N/A</v>
      </c>
      <c r="W276" s="3" t="e">
        <f t="shared" si="27"/>
        <v>#N/A</v>
      </c>
      <c r="X276" s="29" t="e">
        <f t="shared" si="26"/>
        <v>#N/A</v>
      </c>
      <c r="Y276" s="29" t="s">
        <v>1362</v>
      </c>
      <c r="Z276" t="s">
        <v>16</v>
      </c>
      <c r="AA276" t="s">
        <v>17</v>
      </c>
      <c r="AB276" t="s">
        <v>12</v>
      </c>
      <c r="AC276" t="s">
        <v>8</v>
      </c>
      <c r="AD276" t="s">
        <v>18</v>
      </c>
      <c r="AE276" t="s">
        <v>850</v>
      </c>
      <c r="AF276" t="s">
        <v>12</v>
      </c>
      <c r="AG276" t="s">
        <v>12</v>
      </c>
      <c r="AH276" t="s">
        <v>12</v>
      </c>
      <c r="AI276" s="2">
        <v>45736</v>
      </c>
      <c r="AJ276" s="2"/>
      <c r="AK276" t="s">
        <v>12</v>
      </c>
    </row>
    <row r="277" spans="1:37" outlineLevel="2" x14ac:dyDescent="0.25">
      <c r="A277" t="s">
        <v>129</v>
      </c>
      <c r="B277" t="s">
        <v>1</v>
      </c>
      <c r="C277" t="s">
        <v>2</v>
      </c>
      <c r="D277" t="s">
        <v>3</v>
      </c>
      <c r="E277" t="s">
        <v>4</v>
      </c>
      <c r="F277" t="s">
        <v>243</v>
      </c>
      <c r="G277" s="2">
        <v>45736</v>
      </c>
      <c r="H277" t="s">
        <v>891</v>
      </c>
      <c r="I277" t="s">
        <v>22</v>
      </c>
      <c r="J277" s="2">
        <v>45736</v>
      </c>
      <c r="K277" s="2">
        <v>45736</v>
      </c>
      <c r="L277" t="s">
        <v>8</v>
      </c>
      <c r="M277" s="26">
        <v>246779413735</v>
      </c>
      <c r="N277" t="s">
        <v>10</v>
      </c>
      <c r="O277" t="s">
        <v>11</v>
      </c>
      <c r="P277" t="s">
        <v>12</v>
      </c>
      <c r="Q277" t="s">
        <v>24</v>
      </c>
      <c r="R277" t="s">
        <v>14</v>
      </c>
      <c r="S277" s="3">
        <v>84.6</v>
      </c>
      <c r="T277" t="s">
        <v>15</v>
      </c>
      <c r="U277" s="3">
        <v>7334.08</v>
      </c>
      <c r="V277" s="3" t="e">
        <f>VLOOKUP(M277,'[1]Query Report'!$A:$E,5,0)</f>
        <v>#N/A</v>
      </c>
      <c r="W277" s="3" t="e">
        <f t="shared" si="27"/>
        <v>#N/A</v>
      </c>
      <c r="X277" s="29" t="e">
        <f t="shared" si="26"/>
        <v>#N/A</v>
      </c>
      <c r="Y277" s="29" t="s">
        <v>1362</v>
      </c>
      <c r="Z277" t="s">
        <v>16</v>
      </c>
      <c r="AA277" t="s">
        <v>17</v>
      </c>
      <c r="AB277" t="s">
        <v>12</v>
      </c>
      <c r="AC277" t="s">
        <v>8</v>
      </c>
      <c r="AD277" t="s">
        <v>18</v>
      </c>
      <c r="AE277" t="s">
        <v>850</v>
      </c>
      <c r="AF277" t="s">
        <v>12</v>
      </c>
      <c r="AG277" t="s">
        <v>12</v>
      </c>
      <c r="AH277" t="s">
        <v>12</v>
      </c>
      <c r="AI277" s="2">
        <v>45736</v>
      </c>
      <c r="AJ277" s="2"/>
      <c r="AK277" t="s">
        <v>12</v>
      </c>
    </row>
    <row r="278" spans="1:37" outlineLevel="2" x14ac:dyDescent="0.25">
      <c r="A278" t="s">
        <v>129</v>
      </c>
      <c r="B278" t="s">
        <v>1</v>
      </c>
      <c r="C278" t="s">
        <v>2</v>
      </c>
      <c r="D278" t="s">
        <v>3</v>
      </c>
      <c r="E278" t="s">
        <v>4</v>
      </c>
      <c r="F278" t="s">
        <v>243</v>
      </c>
      <c r="G278" s="2">
        <v>45736</v>
      </c>
      <c r="H278" t="s">
        <v>893</v>
      </c>
      <c r="I278" t="s">
        <v>22</v>
      </c>
      <c r="J278" s="2">
        <v>45736</v>
      </c>
      <c r="K278" s="2">
        <v>45736</v>
      </c>
      <c r="L278" t="s">
        <v>8</v>
      </c>
      <c r="M278" s="26">
        <v>246779413736</v>
      </c>
      <c r="N278" t="s">
        <v>10</v>
      </c>
      <c r="O278" t="s">
        <v>11</v>
      </c>
      <c r="P278" t="s">
        <v>12</v>
      </c>
      <c r="Q278" t="s">
        <v>24</v>
      </c>
      <c r="R278" t="s">
        <v>14</v>
      </c>
      <c r="S278" s="3">
        <v>79.900000000000006</v>
      </c>
      <c r="T278" t="s">
        <v>15</v>
      </c>
      <c r="U278" s="3">
        <v>6926.63</v>
      </c>
      <c r="V278" s="3" t="e">
        <f>VLOOKUP(M278,'[1]Query Report'!$A:$E,5,0)</f>
        <v>#N/A</v>
      </c>
      <c r="W278" s="3" t="e">
        <f t="shared" si="27"/>
        <v>#N/A</v>
      </c>
      <c r="X278" s="29" t="e">
        <f t="shared" si="26"/>
        <v>#N/A</v>
      </c>
      <c r="Y278" s="29" t="s">
        <v>1362</v>
      </c>
      <c r="Z278" t="s">
        <v>16</v>
      </c>
      <c r="AA278" t="s">
        <v>17</v>
      </c>
      <c r="AB278" t="s">
        <v>12</v>
      </c>
      <c r="AC278" t="s">
        <v>8</v>
      </c>
      <c r="AD278" t="s">
        <v>18</v>
      </c>
      <c r="AE278" t="s">
        <v>850</v>
      </c>
      <c r="AF278" t="s">
        <v>12</v>
      </c>
      <c r="AG278" t="s">
        <v>12</v>
      </c>
      <c r="AH278" t="s">
        <v>12</v>
      </c>
      <c r="AI278" s="2">
        <v>45736</v>
      </c>
      <c r="AJ278" s="2"/>
      <c r="AK278" t="s">
        <v>12</v>
      </c>
    </row>
    <row r="279" spans="1:37" outlineLevel="2" x14ac:dyDescent="0.25">
      <c r="A279" t="s">
        <v>129</v>
      </c>
      <c r="B279" t="s">
        <v>1</v>
      </c>
      <c r="C279" t="s">
        <v>2</v>
      </c>
      <c r="D279" t="s">
        <v>3</v>
      </c>
      <c r="E279" t="s">
        <v>4</v>
      </c>
      <c r="F279" t="s">
        <v>243</v>
      </c>
      <c r="G279" s="2">
        <v>45736</v>
      </c>
      <c r="H279" t="s">
        <v>895</v>
      </c>
      <c r="I279" t="s">
        <v>22</v>
      </c>
      <c r="J279" s="2">
        <v>45736</v>
      </c>
      <c r="K279" s="2">
        <v>45736</v>
      </c>
      <c r="L279" t="s">
        <v>8</v>
      </c>
      <c r="M279" s="26">
        <v>246779413737</v>
      </c>
      <c r="N279" t="s">
        <v>10</v>
      </c>
      <c r="O279" t="s">
        <v>11</v>
      </c>
      <c r="P279" t="s">
        <v>12</v>
      </c>
      <c r="Q279" t="s">
        <v>24</v>
      </c>
      <c r="R279" t="s">
        <v>14</v>
      </c>
      <c r="S279" s="3">
        <v>2.35</v>
      </c>
      <c r="T279" t="s">
        <v>15</v>
      </c>
      <c r="U279" s="3">
        <v>203.72</v>
      </c>
      <c r="V279" s="3" t="e">
        <f>VLOOKUP(M279,'[1]Query Report'!$A:$E,5,0)</f>
        <v>#N/A</v>
      </c>
      <c r="W279" s="3" t="e">
        <f t="shared" si="27"/>
        <v>#N/A</v>
      </c>
      <c r="X279" s="29" t="e">
        <f t="shared" si="26"/>
        <v>#N/A</v>
      </c>
      <c r="Y279" s="29" t="s">
        <v>1362</v>
      </c>
      <c r="Z279" t="s">
        <v>16</v>
      </c>
      <c r="AA279" t="s">
        <v>17</v>
      </c>
      <c r="AB279" t="s">
        <v>12</v>
      </c>
      <c r="AC279" t="s">
        <v>8</v>
      </c>
      <c r="AD279" t="s">
        <v>18</v>
      </c>
      <c r="AE279" t="s">
        <v>850</v>
      </c>
      <c r="AF279" t="s">
        <v>12</v>
      </c>
      <c r="AG279" t="s">
        <v>12</v>
      </c>
      <c r="AH279" t="s">
        <v>12</v>
      </c>
      <c r="AI279" s="2">
        <v>45736</v>
      </c>
      <c r="AJ279" s="2"/>
      <c r="AK279" t="s">
        <v>12</v>
      </c>
    </row>
    <row r="280" spans="1:37" outlineLevel="2" x14ac:dyDescent="0.25">
      <c r="A280" t="s">
        <v>129</v>
      </c>
      <c r="B280" t="s">
        <v>1</v>
      </c>
      <c r="C280" t="s">
        <v>2</v>
      </c>
      <c r="D280" t="s">
        <v>3</v>
      </c>
      <c r="E280" t="s">
        <v>4</v>
      </c>
      <c r="F280" t="s">
        <v>243</v>
      </c>
      <c r="G280" s="2">
        <v>45736</v>
      </c>
      <c r="H280" t="s">
        <v>897</v>
      </c>
      <c r="I280" t="s">
        <v>22</v>
      </c>
      <c r="J280" s="2">
        <v>45736</v>
      </c>
      <c r="K280" s="2">
        <v>45736</v>
      </c>
      <c r="L280" t="s">
        <v>8</v>
      </c>
      <c r="M280" s="26">
        <v>246779413738</v>
      </c>
      <c r="N280" t="s">
        <v>10</v>
      </c>
      <c r="O280" t="s">
        <v>11</v>
      </c>
      <c r="P280" t="s">
        <v>12</v>
      </c>
      <c r="Q280" t="s">
        <v>24</v>
      </c>
      <c r="R280" t="s">
        <v>14</v>
      </c>
      <c r="S280" s="3">
        <v>42.3</v>
      </c>
      <c r="T280" t="s">
        <v>15</v>
      </c>
      <c r="U280" s="3">
        <v>3667.04</v>
      </c>
      <c r="V280" s="3" t="e">
        <f>VLOOKUP(M280,'[1]Query Report'!$A:$E,5,0)</f>
        <v>#N/A</v>
      </c>
      <c r="W280" s="3" t="e">
        <f t="shared" si="27"/>
        <v>#N/A</v>
      </c>
      <c r="X280" s="29" t="e">
        <f t="shared" si="26"/>
        <v>#N/A</v>
      </c>
      <c r="Y280" s="29" t="s">
        <v>1363</v>
      </c>
      <c r="Z280" t="s">
        <v>16</v>
      </c>
      <c r="AA280" t="s">
        <v>17</v>
      </c>
      <c r="AB280" t="s">
        <v>12</v>
      </c>
      <c r="AC280" t="s">
        <v>8</v>
      </c>
      <c r="AD280" t="s">
        <v>18</v>
      </c>
      <c r="AE280" t="s">
        <v>850</v>
      </c>
      <c r="AF280" t="s">
        <v>12</v>
      </c>
      <c r="AG280" t="s">
        <v>12</v>
      </c>
      <c r="AH280" t="s">
        <v>12</v>
      </c>
      <c r="AI280" s="2">
        <v>45736</v>
      </c>
      <c r="AJ280" s="2"/>
      <c r="AK280" t="s">
        <v>12</v>
      </c>
    </row>
    <row r="281" spans="1:37" outlineLevel="2" x14ac:dyDescent="0.25">
      <c r="A281" t="s">
        <v>129</v>
      </c>
      <c r="B281" t="s">
        <v>1</v>
      </c>
      <c r="C281" t="s">
        <v>2</v>
      </c>
      <c r="D281" t="s">
        <v>3</v>
      </c>
      <c r="E281" t="s">
        <v>4</v>
      </c>
      <c r="F281" t="s">
        <v>243</v>
      </c>
      <c r="G281" s="2">
        <v>45736</v>
      </c>
      <c r="H281" t="s">
        <v>899</v>
      </c>
      <c r="I281" t="s">
        <v>22</v>
      </c>
      <c r="J281" s="2">
        <v>45736</v>
      </c>
      <c r="K281" s="2">
        <v>45736</v>
      </c>
      <c r="L281" t="s">
        <v>8</v>
      </c>
      <c r="M281" s="26">
        <v>246779413739</v>
      </c>
      <c r="N281" t="s">
        <v>10</v>
      </c>
      <c r="O281" t="s">
        <v>11</v>
      </c>
      <c r="P281" t="s">
        <v>12</v>
      </c>
      <c r="Q281" t="s">
        <v>24</v>
      </c>
      <c r="R281" t="s">
        <v>14</v>
      </c>
      <c r="S281" s="3">
        <v>21.15</v>
      </c>
      <c r="T281" t="s">
        <v>15</v>
      </c>
      <c r="U281" s="3">
        <v>1833.52</v>
      </c>
      <c r="V281" s="3" t="e">
        <f>VLOOKUP(M281,'[1]Query Report'!$A:$E,5,0)</f>
        <v>#N/A</v>
      </c>
      <c r="W281" s="3" t="e">
        <f t="shared" si="27"/>
        <v>#N/A</v>
      </c>
      <c r="X281" s="29" t="e">
        <f t="shared" si="26"/>
        <v>#N/A</v>
      </c>
      <c r="Y281" s="29" t="s">
        <v>1362</v>
      </c>
      <c r="Z281" t="s">
        <v>16</v>
      </c>
      <c r="AA281" t="s">
        <v>17</v>
      </c>
      <c r="AB281" t="s">
        <v>12</v>
      </c>
      <c r="AC281" t="s">
        <v>8</v>
      </c>
      <c r="AD281" t="s">
        <v>18</v>
      </c>
      <c r="AE281" t="s">
        <v>850</v>
      </c>
      <c r="AF281" t="s">
        <v>12</v>
      </c>
      <c r="AG281" t="s">
        <v>12</v>
      </c>
      <c r="AH281" t="s">
        <v>12</v>
      </c>
      <c r="AI281" s="2">
        <v>45736</v>
      </c>
      <c r="AJ281" s="2"/>
      <c r="AK281" t="s">
        <v>12</v>
      </c>
    </row>
    <row r="282" spans="1:37" outlineLevel="2" x14ac:dyDescent="0.25">
      <c r="A282" t="s">
        <v>129</v>
      </c>
      <c r="B282" t="s">
        <v>1</v>
      </c>
      <c r="C282" t="s">
        <v>2</v>
      </c>
      <c r="D282" t="s">
        <v>3</v>
      </c>
      <c r="E282" t="s">
        <v>4</v>
      </c>
      <c r="F282" t="s">
        <v>243</v>
      </c>
      <c r="G282" s="2">
        <v>45736</v>
      </c>
      <c r="H282" t="s">
        <v>901</v>
      </c>
      <c r="I282" t="s">
        <v>22</v>
      </c>
      <c r="J282" s="2">
        <v>45736</v>
      </c>
      <c r="K282" s="2">
        <v>45736</v>
      </c>
      <c r="L282" t="s">
        <v>8</v>
      </c>
      <c r="M282" s="26">
        <v>246779413740</v>
      </c>
      <c r="N282" t="s">
        <v>10</v>
      </c>
      <c r="O282" t="s">
        <v>11</v>
      </c>
      <c r="P282" t="s">
        <v>12</v>
      </c>
      <c r="Q282" t="s">
        <v>24</v>
      </c>
      <c r="R282" t="s">
        <v>14</v>
      </c>
      <c r="S282" s="3">
        <v>7.05</v>
      </c>
      <c r="T282" t="s">
        <v>15</v>
      </c>
      <c r="U282" s="3">
        <v>611.16999999999996</v>
      </c>
      <c r="V282" s="3" t="e">
        <f>VLOOKUP(M282,'[1]Query Report'!$A:$E,5,0)</f>
        <v>#N/A</v>
      </c>
      <c r="W282" s="3" t="e">
        <f t="shared" si="27"/>
        <v>#N/A</v>
      </c>
      <c r="X282" s="29" t="e">
        <f t="shared" si="26"/>
        <v>#N/A</v>
      </c>
      <c r="Y282" s="29" t="s">
        <v>1362</v>
      </c>
      <c r="Z282" t="s">
        <v>16</v>
      </c>
      <c r="AA282" t="s">
        <v>17</v>
      </c>
      <c r="AB282" t="s">
        <v>12</v>
      </c>
      <c r="AC282" t="s">
        <v>8</v>
      </c>
      <c r="AD282" t="s">
        <v>18</v>
      </c>
      <c r="AE282" t="s">
        <v>850</v>
      </c>
      <c r="AF282" t="s">
        <v>12</v>
      </c>
      <c r="AG282" t="s">
        <v>12</v>
      </c>
      <c r="AH282" t="s">
        <v>12</v>
      </c>
      <c r="AI282" s="2">
        <v>45736</v>
      </c>
      <c r="AJ282" s="2"/>
      <c r="AK282" t="s">
        <v>12</v>
      </c>
    </row>
    <row r="283" spans="1:37" outlineLevel="2" x14ac:dyDescent="0.25">
      <c r="A283" t="s">
        <v>129</v>
      </c>
      <c r="B283" t="s">
        <v>1</v>
      </c>
      <c r="C283" t="s">
        <v>2</v>
      </c>
      <c r="D283" t="s">
        <v>3</v>
      </c>
      <c r="E283" t="s">
        <v>4</v>
      </c>
      <c r="F283" t="s">
        <v>243</v>
      </c>
      <c r="G283" s="2">
        <v>45736</v>
      </c>
      <c r="H283" t="s">
        <v>903</v>
      </c>
      <c r="I283" t="s">
        <v>22</v>
      </c>
      <c r="J283" s="2">
        <v>45736</v>
      </c>
      <c r="K283" s="2">
        <v>45736</v>
      </c>
      <c r="L283" t="s">
        <v>8</v>
      </c>
      <c r="M283" s="26">
        <v>246779413741</v>
      </c>
      <c r="N283" t="s">
        <v>10</v>
      </c>
      <c r="O283" t="s">
        <v>11</v>
      </c>
      <c r="P283" t="s">
        <v>12</v>
      </c>
      <c r="Q283" t="s">
        <v>24</v>
      </c>
      <c r="R283" t="s">
        <v>14</v>
      </c>
      <c r="S283" s="3">
        <v>84.6</v>
      </c>
      <c r="T283" t="s">
        <v>15</v>
      </c>
      <c r="U283" s="3">
        <v>7334.08</v>
      </c>
      <c r="V283" s="3" t="e">
        <f>VLOOKUP(M283,'[1]Query Report'!$A:$E,5,0)</f>
        <v>#N/A</v>
      </c>
      <c r="W283" s="3" t="e">
        <f t="shared" si="27"/>
        <v>#N/A</v>
      </c>
      <c r="X283" s="29" t="e">
        <f t="shared" si="26"/>
        <v>#N/A</v>
      </c>
      <c r="Y283" s="29" t="s">
        <v>1362</v>
      </c>
      <c r="Z283" t="s">
        <v>16</v>
      </c>
      <c r="AA283" t="s">
        <v>17</v>
      </c>
      <c r="AB283" t="s">
        <v>12</v>
      </c>
      <c r="AC283" t="s">
        <v>8</v>
      </c>
      <c r="AD283" t="s">
        <v>18</v>
      </c>
      <c r="AE283" t="s">
        <v>850</v>
      </c>
      <c r="AF283" t="s">
        <v>12</v>
      </c>
      <c r="AG283" t="s">
        <v>12</v>
      </c>
      <c r="AH283" t="s">
        <v>12</v>
      </c>
      <c r="AI283" s="2">
        <v>45736</v>
      </c>
      <c r="AJ283" s="2"/>
      <c r="AK283" t="s">
        <v>12</v>
      </c>
    </row>
    <row r="284" spans="1:37" outlineLevel="2" x14ac:dyDescent="0.25">
      <c r="A284" t="s">
        <v>129</v>
      </c>
      <c r="B284" t="s">
        <v>1</v>
      </c>
      <c r="C284" t="s">
        <v>2</v>
      </c>
      <c r="D284" t="s">
        <v>3</v>
      </c>
      <c r="E284" t="s">
        <v>4</v>
      </c>
      <c r="F284" t="s">
        <v>243</v>
      </c>
      <c r="G284" s="2">
        <v>45736</v>
      </c>
      <c r="H284" t="s">
        <v>905</v>
      </c>
      <c r="I284" t="s">
        <v>22</v>
      </c>
      <c r="J284" s="2">
        <v>45736</v>
      </c>
      <c r="K284" s="2">
        <v>45736</v>
      </c>
      <c r="L284" t="s">
        <v>8</v>
      </c>
      <c r="M284" s="26">
        <v>246779413744</v>
      </c>
      <c r="N284" t="s">
        <v>10</v>
      </c>
      <c r="O284" t="s">
        <v>11</v>
      </c>
      <c r="P284" t="s">
        <v>12</v>
      </c>
      <c r="Q284" t="s">
        <v>24</v>
      </c>
      <c r="R284" t="s">
        <v>14</v>
      </c>
      <c r="S284" s="3">
        <v>2.35</v>
      </c>
      <c r="T284" t="s">
        <v>15</v>
      </c>
      <c r="U284" s="3">
        <v>203.72</v>
      </c>
      <c r="V284" s="3" t="e">
        <f>VLOOKUP(M284,'[1]Query Report'!$A:$E,5,0)</f>
        <v>#N/A</v>
      </c>
      <c r="W284" s="3" t="e">
        <f t="shared" si="27"/>
        <v>#N/A</v>
      </c>
      <c r="X284" s="29" t="e">
        <f t="shared" si="26"/>
        <v>#N/A</v>
      </c>
      <c r="Y284" s="29" t="s">
        <v>1362</v>
      </c>
      <c r="Z284" t="s">
        <v>16</v>
      </c>
      <c r="AA284" t="s">
        <v>17</v>
      </c>
      <c r="AB284" t="s">
        <v>12</v>
      </c>
      <c r="AC284" t="s">
        <v>8</v>
      </c>
      <c r="AD284" t="s">
        <v>18</v>
      </c>
      <c r="AE284" t="s">
        <v>850</v>
      </c>
      <c r="AF284" t="s">
        <v>12</v>
      </c>
      <c r="AG284" t="s">
        <v>12</v>
      </c>
      <c r="AH284" t="s">
        <v>12</v>
      </c>
      <c r="AI284" s="2">
        <v>45736</v>
      </c>
      <c r="AJ284" s="2"/>
      <c r="AK284" t="s">
        <v>12</v>
      </c>
    </row>
    <row r="285" spans="1:37" outlineLevel="2" x14ac:dyDescent="0.25">
      <c r="A285" t="s">
        <v>129</v>
      </c>
      <c r="B285" t="s">
        <v>1</v>
      </c>
      <c r="C285" t="s">
        <v>2</v>
      </c>
      <c r="D285" t="s">
        <v>3</v>
      </c>
      <c r="E285" t="s">
        <v>4</v>
      </c>
      <c r="F285" t="s">
        <v>243</v>
      </c>
      <c r="G285" s="2">
        <v>45736</v>
      </c>
      <c r="H285" t="s">
        <v>907</v>
      </c>
      <c r="I285" t="s">
        <v>22</v>
      </c>
      <c r="J285" s="2">
        <v>45736</v>
      </c>
      <c r="K285" s="2">
        <v>45736</v>
      </c>
      <c r="L285" t="s">
        <v>8</v>
      </c>
      <c r="M285" s="26">
        <v>246779413745</v>
      </c>
      <c r="N285" t="s">
        <v>10</v>
      </c>
      <c r="O285" t="s">
        <v>11</v>
      </c>
      <c r="P285" t="s">
        <v>12</v>
      </c>
      <c r="Q285" t="s">
        <v>24</v>
      </c>
      <c r="R285" t="s">
        <v>14</v>
      </c>
      <c r="S285" s="3">
        <v>37.6</v>
      </c>
      <c r="T285" t="s">
        <v>15</v>
      </c>
      <c r="U285" s="3">
        <v>3259.59</v>
      </c>
      <c r="V285" s="3" t="e">
        <f>VLOOKUP(M285,'[1]Query Report'!$A:$E,5,0)</f>
        <v>#N/A</v>
      </c>
      <c r="W285" s="3" t="e">
        <f t="shared" si="27"/>
        <v>#N/A</v>
      </c>
      <c r="X285" s="29" t="e">
        <f t="shared" si="26"/>
        <v>#N/A</v>
      </c>
      <c r="Y285" s="29" t="s">
        <v>1362</v>
      </c>
      <c r="Z285" t="s">
        <v>16</v>
      </c>
      <c r="AA285" t="s">
        <v>17</v>
      </c>
      <c r="AB285" t="s">
        <v>12</v>
      </c>
      <c r="AC285" t="s">
        <v>8</v>
      </c>
      <c r="AD285" t="s">
        <v>18</v>
      </c>
      <c r="AE285" t="s">
        <v>850</v>
      </c>
      <c r="AF285" t="s">
        <v>12</v>
      </c>
      <c r="AG285" t="s">
        <v>12</v>
      </c>
      <c r="AH285" t="s">
        <v>12</v>
      </c>
      <c r="AI285" s="2">
        <v>45736</v>
      </c>
      <c r="AJ285" s="2"/>
      <c r="AK285" t="s">
        <v>12</v>
      </c>
    </row>
    <row r="286" spans="1:37" outlineLevel="2" x14ac:dyDescent="0.25">
      <c r="A286" t="s">
        <v>129</v>
      </c>
      <c r="B286" t="s">
        <v>1</v>
      </c>
      <c r="C286" t="s">
        <v>2</v>
      </c>
      <c r="D286" t="s">
        <v>3</v>
      </c>
      <c r="E286" t="s">
        <v>4</v>
      </c>
      <c r="F286" t="s">
        <v>243</v>
      </c>
      <c r="G286" s="2">
        <v>45736</v>
      </c>
      <c r="H286" t="s">
        <v>909</v>
      </c>
      <c r="I286" t="s">
        <v>22</v>
      </c>
      <c r="J286" s="2">
        <v>45736</v>
      </c>
      <c r="K286" s="2">
        <v>45736</v>
      </c>
      <c r="L286" t="s">
        <v>8</v>
      </c>
      <c r="M286" s="26">
        <v>246779413762</v>
      </c>
      <c r="N286" t="s">
        <v>10</v>
      </c>
      <c r="O286" t="s">
        <v>11</v>
      </c>
      <c r="P286" t="s">
        <v>12</v>
      </c>
      <c r="Q286" t="s">
        <v>24</v>
      </c>
      <c r="R286" t="s">
        <v>14</v>
      </c>
      <c r="S286" s="3">
        <v>2.35</v>
      </c>
      <c r="T286" t="s">
        <v>15</v>
      </c>
      <c r="U286" s="3">
        <v>203.72</v>
      </c>
      <c r="V286" s="3" t="e">
        <f>VLOOKUP(M286,'[1]Query Report'!$A:$E,5,0)</f>
        <v>#N/A</v>
      </c>
      <c r="W286" s="3" t="e">
        <f t="shared" si="27"/>
        <v>#N/A</v>
      </c>
      <c r="X286" s="29" t="e">
        <f t="shared" si="26"/>
        <v>#N/A</v>
      </c>
      <c r="Y286" s="29" t="s">
        <v>1362</v>
      </c>
      <c r="Z286" t="s">
        <v>16</v>
      </c>
      <c r="AA286" t="s">
        <v>17</v>
      </c>
      <c r="AB286" t="s">
        <v>12</v>
      </c>
      <c r="AC286" t="s">
        <v>8</v>
      </c>
      <c r="AD286" t="s">
        <v>18</v>
      </c>
      <c r="AE286" t="s">
        <v>157</v>
      </c>
      <c r="AF286" t="s">
        <v>12</v>
      </c>
      <c r="AG286" t="s">
        <v>12</v>
      </c>
      <c r="AH286" t="s">
        <v>12</v>
      </c>
      <c r="AI286" s="2">
        <v>45736</v>
      </c>
      <c r="AJ286" s="2"/>
      <c r="AK286" t="s">
        <v>12</v>
      </c>
    </row>
    <row r="287" spans="1:37" outlineLevel="2" x14ac:dyDescent="0.25">
      <c r="A287" t="s">
        <v>129</v>
      </c>
      <c r="B287" t="s">
        <v>1</v>
      </c>
      <c r="C287" t="s">
        <v>2</v>
      </c>
      <c r="D287" t="s">
        <v>3</v>
      </c>
      <c r="E287" t="s">
        <v>4</v>
      </c>
      <c r="F287" t="s">
        <v>243</v>
      </c>
      <c r="G287" s="2">
        <v>45736</v>
      </c>
      <c r="H287" t="s">
        <v>911</v>
      </c>
      <c r="I287" t="s">
        <v>22</v>
      </c>
      <c r="J287" s="2">
        <v>45736</v>
      </c>
      <c r="K287" s="2">
        <v>45736</v>
      </c>
      <c r="L287" t="s">
        <v>8</v>
      </c>
      <c r="M287" s="26">
        <v>246779413782</v>
      </c>
      <c r="N287" t="s">
        <v>10</v>
      </c>
      <c r="O287" t="s">
        <v>11</v>
      </c>
      <c r="P287" t="s">
        <v>12</v>
      </c>
      <c r="Q287" t="s">
        <v>24</v>
      </c>
      <c r="R287" t="s">
        <v>14</v>
      </c>
      <c r="S287" s="3">
        <v>7.05</v>
      </c>
      <c r="T287" t="s">
        <v>15</v>
      </c>
      <c r="U287" s="3">
        <v>611.16999999999996</v>
      </c>
      <c r="V287" s="3" t="e">
        <f>VLOOKUP(M287,'[1]Query Report'!$A:$E,5,0)</f>
        <v>#N/A</v>
      </c>
      <c r="W287" s="3" t="e">
        <f t="shared" si="27"/>
        <v>#N/A</v>
      </c>
      <c r="X287" s="29" t="e">
        <f t="shared" si="26"/>
        <v>#N/A</v>
      </c>
      <c r="Y287" s="29" t="s">
        <v>1363</v>
      </c>
      <c r="Z287" t="s">
        <v>16</v>
      </c>
      <c r="AA287" t="s">
        <v>17</v>
      </c>
      <c r="AB287" t="s">
        <v>12</v>
      </c>
      <c r="AC287" t="s">
        <v>8</v>
      </c>
      <c r="AD287" t="s">
        <v>18</v>
      </c>
      <c r="AE287" t="s">
        <v>157</v>
      </c>
      <c r="AF287" t="s">
        <v>12</v>
      </c>
      <c r="AG287" t="s">
        <v>12</v>
      </c>
      <c r="AH287" t="s">
        <v>12</v>
      </c>
      <c r="AI287" s="2">
        <v>45736</v>
      </c>
      <c r="AJ287" s="2"/>
      <c r="AK287" t="s">
        <v>12</v>
      </c>
    </row>
    <row r="288" spans="1:37" outlineLevel="2" x14ac:dyDescent="0.25">
      <c r="A288" t="s">
        <v>129</v>
      </c>
      <c r="B288" t="s">
        <v>1</v>
      </c>
      <c r="C288" t="s">
        <v>2</v>
      </c>
      <c r="D288" t="s">
        <v>3</v>
      </c>
      <c r="E288" t="s">
        <v>4</v>
      </c>
      <c r="F288" t="s">
        <v>243</v>
      </c>
      <c r="G288" s="2">
        <v>45736</v>
      </c>
      <c r="H288" t="s">
        <v>913</v>
      </c>
      <c r="I288" t="s">
        <v>22</v>
      </c>
      <c r="J288" s="2">
        <v>45736</v>
      </c>
      <c r="K288" s="2">
        <v>45736</v>
      </c>
      <c r="L288" t="s">
        <v>8</v>
      </c>
      <c r="M288" s="26">
        <v>246779413796</v>
      </c>
      <c r="N288" t="s">
        <v>10</v>
      </c>
      <c r="O288" t="s">
        <v>11</v>
      </c>
      <c r="P288" t="s">
        <v>12</v>
      </c>
      <c r="Q288" t="s">
        <v>24</v>
      </c>
      <c r="R288" t="s">
        <v>14</v>
      </c>
      <c r="S288" s="3">
        <v>1926.06</v>
      </c>
      <c r="T288" t="s">
        <v>15</v>
      </c>
      <c r="U288" s="3">
        <v>166972.57</v>
      </c>
      <c r="V288" s="3" t="e">
        <f>VLOOKUP(M288,'[1]Query Report'!$A:$E,5,0)</f>
        <v>#N/A</v>
      </c>
      <c r="W288" s="3" t="e">
        <f t="shared" si="27"/>
        <v>#N/A</v>
      </c>
      <c r="X288" s="29" t="e">
        <f t="shared" si="26"/>
        <v>#N/A</v>
      </c>
      <c r="Y288" s="29" t="s">
        <v>1363</v>
      </c>
      <c r="Z288" t="s">
        <v>16</v>
      </c>
      <c r="AA288" t="s">
        <v>17</v>
      </c>
      <c r="AB288" t="s">
        <v>12</v>
      </c>
      <c r="AC288" t="s">
        <v>8</v>
      </c>
      <c r="AD288" t="s">
        <v>18</v>
      </c>
      <c r="AE288" t="s">
        <v>915</v>
      </c>
      <c r="AF288" t="s">
        <v>12</v>
      </c>
      <c r="AG288" t="s">
        <v>12</v>
      </c>
      <c r="AH288" t="s">
        <v>12</v>
      </c>
      <c r="AI288" s="2">
        <v>45736</v>
      </c>
      <c r="AJ288" s="2"/>
      <c r="AK288" t="s">
        <v>12</v>
      </c>
    </row>
    <row r="289" spans="1:37" outlineLevel="2" x14ac:dyDescent="0.25">
      <c r="A289" t="s">
        <v>129</v>
      </c>
      <c r="B289" t="s">
        <v>1</v>
      </c>
      <c r="C289" t="s">
        <v>2</v>
      </c>
      <c r="D289" t="s">
        <v>3</v>
      </c>
      <c r="E289" t="s">
        <v>4</v>
      </c>
      <c r="F289" t="s">
        <v>243</v>
      </c>
      <c r="G289" s="2">
        <v>45736</v>
      </c>
      <c r="H289" t="s">
        <v>916</v>
      </c>
      <c r="I289" t="s">
        <v>22</v>
      </c>
      <c r="J289" s="2">
        <v>45736</v>
      </c>
      <c r="K289" s="2">
        <v>45737</v>
      </c>
      <c r="L289" t="s">
        <v>8</v>
      </c>
      <c r="M289" s="26">
        <v>246779413845</v>
      </c>
      <c r="N289" t="s">
        <v>10</v>
      </c>
      <c r="O289" t="s">
        <v>11</v>
      </c>
      <c r="P289" t="s">
        <v>12</v>
      </c>
      <c r="Q289" t="s">
        <v>24</v>
      </c>
      <c r="R289" t="s">
        <v>14</v>
      </c>
      <c r="S289" s="3">
        <v>531.9</v>
      </c>
      <c r="T289" t="s">
        <v>15</v>
      </c>
      <c r="U289" s="3">
        <v>46111.08</v>
      </c>
      <c r="V289" s="3" t="e">
        <f>VLOOKUP(M289,'[1]Query Report'!$A:$E,5,0)</f>
        <v>#N/A</v>
      </c>
      <c r="W289" s="3" t="e">
        <f t="shared" si="27"/>
        <v>#N/A</v>
      </c>
      <c r="X289" s="29" t="e">
        <f t="shared" si="26"/>
        <v>#N/A</v>
      </c>
      <c r="Y289" s="29" t="s">
        <v>1363</v>
      </c>
      <c r="Z289" t="s">
        <v>16</v>
      </c>
      <c r="AA289" t="s">
        <v>17</v>
      </c>
      <c r="AB289" t="s">
        <v>12</v>
      </c>
      <c r="AC289" t="s">
        <v>8</v>
      </c>
      <c r="AD289" t="s">
        <v>18</v>
      </c>
      <c r="AE289" t="s">
        <v>918</v>
      </c>
      <c r="AF289" t="s">
        <v>12</v>
      </c>
      <c r="AG289" t="s">
        <v>12</v>
      </c>
      <c r="AH289" t="s">
        <v>12</v>
      </c>
      <c r="AI289" s="2">
        <v>45736</v>
      </c>
      <c r="AJ289" s="2"/>
      <c r="AK289" t="s">
        <v>12</v>
      </c>
    </row>
    <row r="290" spans="1:37" outlineLevel="2" x14ac:dyDescent="0.25">
      <c r="A290" t="s">
        <v>129</v>
      </c>
      <c r="B290" t="s">
        <v>1</v>
      </c>
      <c r="C290" t="s">
        <v>2</v>
      </c>
      <c r="D290" t="s">
        <v>3</v>
      </c>
      <c r="E290" t="s">
        <v>4</v>
      </c>
      <c r="F290" t="s">
        <v>243</v>
      </c>
      <c r="G290" s="2">
        <v>45736</v>
      </c>
      <c r="H290" t="s">
        <v>919</v>
      </c>
      <c r="I290" t="s">
        <v>22</v>
      </c>
      <c r="J290" s="2">
        <v>45736</v>
      </c>
      <c r="K290" s="2">
        <v>45737</v>
      </c>
      <c r="L290" t="s">
        <v>8</v>
      </c>
      <c r="M290" s="26">
        <v>246779413933</v>
      </c>
      <c r="N290" t="s">
        <v>10</v>
      </c>
      <c r="O290" t="s">
        <v>11</v>
      </c>
      <c r="P290" t="s">
        <v>12</v>
      </c>
      <c r="Q290" t="s">
        <v>24</v>
      </c>
      <c r="R290" t="s">
        <v>14</v>
      </c>
      <c r="S290" s="3">
        <v>10</v>
      </c>
      <c r="T290" t="s">
        <v>15</v>
      </c>
      <c r="U290" s="3">
        <v>866.91</v>
      </c>
      <c r="V290" s="3" t="e">
        <f>VLOOKUP(M290,'[1]Query Report'!$A:$E,5,0)</f>
        <v>#N/A</v>
      </c>
      <c r="W290" s="3" t="e">
        <f t="shared" si="27"/>
        <v>#N/A</v>
      </c>
      <c r="X290" s="29" t="e">
        <f t="shared" si="26"/>
        <v>#N/A</v>
      </c>
      <c r="Y290" s="29" t="s">
        <v>1363</v>
      </c>
      <c r="Z290" t="s">
        <v>16</v>
      </c>
      <c r="AA290" t="s">
        <v>17</v>
      </c>
      <c r="AB290" t="s">
        <v>12</v>
      </c>
      <c r="AC290" t="s">
        <v>8</v>
      </c>
      <c r="AD290" t="s">
        <v>18</v>
      </c>
      <c r="AE290" t="s">
        <v>157</v>
      </c>
      <c r="AF290" t="s">
        <v>12</v>
      </c>
      <c r="AG290" t="s">
        <v>12</v>
      </c>
      <c r="AH290" t="s">
        <v>12</v>
      </c>
      <c r="AI290" s="2">
        <v>45736</v>
      </c>
      <c r="AJ290" s="2"/>
      <c r="AK290" t="s">
        <v>12</v>
      </c>
    </row>
    <row r="291" spans="1:37" outlineLevel="2" x14ac:dyDescent="0.25">
      <c r="A291" t="s">
        <v>129</v>
      </c>
      <c r="B291" t="s">
        <v>1</v>
      </c>
      <c r="C291" t="s">
        <v>2</v>
      </c>
      <c r="D291" t="s">
        <v>3</v>
      </c>
      <c r="E291" t="s">
        <v>4</v>
      </c>
      <c r="F291" t="s">
        <v>243</v>
      </c>
      <c r="G291" s="2">
        <v>45736</v>
      </c>
      <c r="H291" t="s">
        <v>921</v>
      </c>
      <c r="I291" t="s">
        <v>22</v>
      </c>
      <c r="J291" s="2">
        <v>45736</v>
      </c>
      <c r="K291" s="2">
        <v>45737</v>
      </c>
      <c r="L291" t="s">
        <v>8</v>
      </c>
      <c r="M291" s="26">
        <v>246779414141</v>
      </c>
      <c r="N291" t="s">
        <v>10</v>
      </c>
      <c r="O291" t="s">
        <v>11</v>
      </c>
      <c r="P291" t="s">
        <v>12</v>
      </c>
      <c r="Q291" t="s">
        <v>24</v>
      </c>
      <c r="R291" t="s">
        <v>14</v>
      </c>
      <c r="S291" s="3">
        <v>55</v>
      </c>
      <c r="T291" t="s">
        <v>15</v>
      </c>
      <c r="U291" s="3">
        <v>4768.0200000000004</v>
      </c>
      <c r="V291" s="3" t="e">
        <f>VLOOKUP(M291,'[1]Query Report'!$A:$E,5,0)</f>
        <v>#N/A</v>
      </c>
      <c r="W291" s="3" t="e">
        <f t="shared" si="27"/>
        <v>#N/A</v>
      </c>
      <c r="X291" s="29" t="e">
        <f t="shared" si="26"/>
        <v>#N/A</v>
      </c>
      <c r="Y291" s="29" t="s">
        <v>1363</v>
      </c>
      <c r="Z291" t="s">
        <v>16</v>
      </c>
      <c r="AA291" t="s">
        <v>17</v>
      </c>
      <c r="AB291" t="s">
        <v>12</v>
      </c>
      <c r="AC291" t="s">
        <v>8</v>
      </c>
      <c r="AD291" t="s">
        <v>18</v>
      </c>
      <c r="AE291" t="s">
        <v>923</v>
      </c>
      <c r="AF291" t="s">
        <v>12</v>
      </c>
      <c r="AG291" t="s">
        <v>12</v>
      </c>
      <c r="AH291" t="s">
        <v>12</v>
      </c>
      <c r="AI291" s="2">
        <v>45736</v>
      </c>
      <c r="AJ291" s="2"/>
      <c r="AK291" t="s">
        <v>12</v>
      </c>
    </row>
    <row r="292" spans="1:37" outlineLevel="2" x14ac:dyDescent="0.25">
      <c r="A292" t="s">
        <v>129</v>
      </c>
      <c r="B292" t="s">
        <v>1</v>
      </c>
      <c r="C292" t="s">
        <v>2</v>
      </c>
      <c r="D292" t="s">
        <v>3</v>
      </c>
      <c r="E292" t="s">
        <v>4</v>
      </c>
      <c r="F292" t="s">
        <v>243</v>
      </c>
      <c r="G292" s="2">
        <v>45736</v>
      </c>
      <c r="H292" t="s">
        <v>924</v>
      </c>
      <c r="I292" t="s">
        <v>22</v>
      </c>
      <c r="J292" s="2">
        <v>45736</v>
      </c>
      <c r="K292" s="2">
        <v>45737</v>
      </c>
      <c r="L292" t="s">
        <v>8</v>
      </c>
      <c r="M292" s="26">
        <v>246779414142</v>
      </c>
      <c r="N292" t="s">
        <v>10</v>
      </c>
      <c r="O292" t="s">
        <v>11</v>
      </c>
      <c r="P292" t="s">
        <v>12</v>
      </c>
      <c r="Q292" t="s">
        <v>24</v>
      </c>
      <c r="R292" t="s">
        <v>14</v>
      </c>
      <c r="S292" s="3">
        <v>15</v>
      </c>
      <c r="T292" t="s">
        <v>15</v>
      </c>
      <c r="U292" s="3">
        <v>1300.3699999999999</v>
      </c>
      <c r="V292" s="3" t="e">
        <f>VLOOKUP(M292,'[1]Query Report'!$A:$E,5,0)</f>
        <v>#N/A</v>
      </c>
      <c r="W292" s="3" t="e">
        <f t="shared" si="27"/>
        <v>#N/A</v>
      </c>
      <c r="X292" s="29" t="e">
        <f t="shared" si="26"/>
        <v>#N/A</v>
      </c>
      <c r="Y292" s="29" t="s">
        <v>1363</v>
      </c>
      <c r="Z292" t="s">
        <v>16</v>
      </c>
      <c r="AA292" t="s">
        <v>17</v>
      </c>
      <c r="AB292" t="s">
        <v>12</v>
      </c>
      <c r="AC292" t="s">
        <v>8</v>
      </c>
      <c r="AD292" t="s">
        <v>18</v>
      </c>
      <c r="AE292" t="s">
        <v>926</v>
      </c>
      <c r="AF292" t="s">
        <v>12</v>
      </c>
      <c r="AG292" t="s">
        <v>12</v>
      </c>
      <c r="AH292" t="s">
        <v>12</v>
      </c>
      <c r="AI292" s="2">
        <v>45736</v>
      </c>
      <c r="AJ292" s="2"/>
      <c r="AK292" t="s">
        <v>12</v>
      </c>
    </row>
    <row r="293" spans="1:37" outlineLevel="2" x14ac:dyDescent="0.25">
      <c r="A293" t="s">
        <v>129</v>
      </c>
      <c r="B293" t="s">
        <v>1</v>
      </c>
      <c r="C293" t="s">
        <v>2</v>
      </c>
      <c r="D293" t="s">
        <v>3</v>
      </c>
      <c r="E293" t="s">
        <v>4</v>
      </c>
      <c r="F293" t="s">
        <v>243</v>
      </c>
      <c r="G293" s="2">
        <v>45736</v>
      </c>
      <c r="H293" t="s">
        <v>927</v>
      </c>
      <c r="I293" t="s">
        <v>22</v>
      </c>
      <c r="J293" s="2">
        <v>45736</v>
      </c>
      <c r="K293" s="2">
        <v>45737</v>
      </c>
      <c r="L293" t="s">
        <v>8</v>
      </c>
      <c r="M293" s="26">
        <v>246779414221</v>
      </c>
      <c r="N293" t="s">
        <v>10</v>
      </c>
      <c r="O293" t="s">
        <v>11</v>
      </c>
      <c r="P293" t="s">
        <v>12</v>
      </c>
      <c r="Q293" t="s">
        <v>24</v>
      </c>
      <c r="R293" t="s">
        <v>14</v>
      </c>
      <c r="S293" s="3">
        <v>209.25</v>
      </c>
      <c r="T293" t="s">
        <v>15</v>
      </c>
      <c r="U293" s="3">
        <v>18140.150000000001</v>
      </c>
      <c r="V293" s="3" t="e">
        <f>VLOOKUP(M293,'[1]Query Report'!$A:$E,5,0)</f>
        <v>#N/A</v>
      </c>
      <c r="W293" s="3" t="e">
        <f t="shared" si="27"/>
        <v>#N/A</v>
      </c>
      <c r="X293" s="29" t="e">
        <f t="shared" si="26"/>
        <v>#N/A</v>
      </c>
      <c r="Y293" s="29" t="s">
        <v>1363</v>
      </c>
      <c r="Z293" t="s">
        <v>16</v>
      </c>
      <c r="AA293" t="s">
        <v>17</v>
      </c>
      <c r="AB293" t="s">
        <v>12</v>
      </c>
      <c r="AC293" t="s">
        <v>8</v>
      </c>
      <c r="AD293" t="s">
        <v>18</v>
      </c>
      <c r="AE293" t="s">
        <v>929</v>
      </c>
      <c r="AF293" t="s">
        <v>12</v>
      </c>
      <c r="AG293" t="s">
        <v>12</v>
      </c>
      <c r="AH293" t="s">
        <v>12</v>
      </c>
      <c r="AI293" s="2">
        <v>45736</v>
      </c>
      <c r="AJ293" s="2"/>
      <c r="AK293" t="s">
        <v>12</v>
      </c>
    </row>
    <row r="294" spans="1:37" outlineLevel="2" x14ac:dyDescent="0.25">
      <c r="A294" t="s">
        <v>129</v>
      </c>
      <c r="B294" t="s">
        <v>1</v>
      </c>
      <c r="C294" t="s">
        <v>2</v>
      </c>
      <c r="D294" t="s">
        <v>3</v>
      </c>
      <c r="E294" t="s">
        <v>4</v>
      </c>
      <c r="F294" t="s">
        <v>243</v>
      </c>
      <c r="G294" s="2">
        <v>45736</v>
      </c>
      <c r="H294" t="s">
        <v>930</v>
      </c>
      <c r="I294" t="s">
        <v>22</v>
      </c>
      <c r="J294" s="2">
        <v>45736</v>
      </c>
      <c r="K294" s="2">
        <v>45737</v>
      </c>
      <c r="L294" t="s">
        <v>8</v>
      </c>
      <c r="M294" s="26">
        <v>246779414467</v>
      </c>
      <c r="N294" t="s">
        <v>10</v>
      </c>
      <c r="O294" t="s">
        <v>11</v>
      </c>
      <c r="P294" t="s">
        <v>12</v>
      </c>
      <c r="Q294" t="s">
        <v>24</v>
      </c>
      <c r="R294" t="s">
        <v>14</v>
      </c>
      <c r="S294" s="3">
        <v>31.73</v>
      </c>
      <c r="T294" t="s">
        <v>15</v>
      </c>
      <c r="U294" s="3">
        <v>2750.71</v>
      </c>
      <c r="V294" s="3" t="e">
        <f>VLOOKUP(M294,'[1]Query Report'!$A:$E,5,0)</f>
        <v>#N/A</v>
      </c>
      <c r="W294" s="3" t="e">
        <f t="shared" si="27"/>
        <v>#N/A</v>
      </c>
      <c r="X294" s="29" t="e">
        <f t="shared" si="26"/>
        <v>#N/A</v>
      </c>
      <c r="Y294" s="29" t="s">
        <v>1363</v>
      </c>
      <c r="Z294" t="s">
        <v>16</v>
      </c>
      <c r="AA294" t="s">
        <v>17</v>
      </c>
      <c r="AB294" t="s">
        <v>12</v>
      </c>
      <c r="AC294" t="s">
        <v>8</v>
      </c>
      <c r="AD294" t="s">
        <v>18</v>
      </c>
      <c r="AE294" t="s">
        <v>932</v>
      </c>
      <c r="AF294" t="s">
        <v>12</v>
      </c>
      <c r="AG294" t="s">
        <v>12</v>
      </c>
      <c r="AH294" t="s">
        <v>12</v>
      </c>
      <c r="AI294" s="2">
        <v>45736</v>
      </c>
      <c r="AJ294" s="2"/>
      <c r="AK294" t="s">
        <v>12</v>
      </c>
    </row>
    <row r="295" spans="1:37" outlineLevel="2" x14ac:dyDescent="0.25">
      <c r="A295" t="s">
        <v>129</v>
      </c>
      <c r="B295" t="s">
        <v>1</v>
      </c>
      <c r="C295" t="s">
        <v>2</v>
      </c>
      <c r="D295" t="s">
        <v>3</v>
      </c>
      <c r="E295" t="s">
        <v>4</v>
      </c>
      <c r="F295" t="s">
        <v>243</v>
      </c>
      <c r="G295" s="2">
        <v>45736</v>
      </c>
      <c r="H295" t="s">
        <v>933</v>
      </c>
      <c r="I295" t="s">
        <v>22</v>
      </c>
      <c r="J295" s="2">
        <v>45736</v>
      </c>
      <c r="K295" s="2">
        <v>45737</v>
      </c>
      <c r="L295" t="s">
        <v>8</v>
      </c>
      <c r="M295" s="26">
        <v>246779414681</v>
      </c>
      <c r="N295" t="s">
        <v>10</v>
      </c>
      <c r="O295" t="s">
        <v>11</v>
      </c>
      <c r="P295" t="s">
        <v>12</v>
      </c>
      <c r="Q295" t="s">
        <v>24</v>
      </c>
      <c r="R295" t="s">
        <v>14</v>
      </c>
      <c r="S295" s="3">
        <v>15</v>
      </c>
      <c r="T295" t="s">
        <v>15</v>
      </c>
      <c r="U295" s="3">
        <v>1300.3699999999999</v>
      </c>
      <c r="V295" s="3" t="e">
        <f>VLOOKUP(M295,'[1]Query Report'!$A:$E,5,0)</f>
        <v>#N/A</v>
      </c>
      <c r="W295" s="3" t="e">
        <f t="shared" si="27"/>
        <v>#N/A</v>
      </c>
      <c r="X295" s="29" t="e">
        <f t="shared" si="26"/>
        <v>#N/A</v>
      </c>
      <c r="Y295" s="29" t="s">
        <v>1363</v>
      </c>
      <c r="Z295" t="s">
        <v>16</v>
      </c>
      <c r="AA295" t="s">
        <v>17</v>
      </c>
      <c r="AB295" t="s">
        <v>12</v>
      </c>
      <c r="AC295" t="s">
        <v>8</v>
      </c>
      <c r="AD295" t="s">
        <v>18</v>
      </c>
      <c r="AE295" t="s">
        <v>935</v>
      </c>
      <c r="AF295" t="s">
        <v>12</v>
      </c>
      <c r="AG295" t="s">
        <v>12</v>
      </c>
      <c r="AH295" t="s">
        <v>12</v>
      </c>
      <c r="AI295" s="2">
        <v>45736</v>
      </c>
      <c r="AJ295" s="2"/>
      <c r="AK295" t="s">
        <v>12</v>
      </c>
    </row>
    <row r="296" spans="1:37" outlineLevel="2" x14ac:dyDescent="0.25">
      <c r="A296" t="s">
        <v>129</v>
      </c>
      <c r="B296" t="s">
        <v>1</v>
      </c>
      <c r="C296" t="s">
        <v>2</v>
      </c>
      <c r="D296" t="s">
        <v>3</v>
      </c>
      <c r="E296" t="s">
        <v>4</v>
      </c>
      <c r="F296" t="s">
        <v>243</v>
      </c>
      <c r="G296" s="2">
        <v>45736</v>
      </c>
      <c r="H296" t="s">
        <v>936</v>
      </c>
      <c r="I296" t="s">
        <v>22</v>
      </c>
      <c r="J296" s="2">
        <v>45736</v>
      </c>
      <c r="K296" s="2">
        <v>45737</v>
      </c>
      <c r="L296" t="s">
        <v>8</v>
      </c>
      <c r="M296" s="26">
        <v>246779414734</v>
      </c>
      <c r="N296" t="s">
        <v>10</v>
      </c>
      <c r="O296" t="s">
        <v>11</v>
      </c>
      <c r="P296" t="s">
        <v>12</v>
      </c>
      <c r="Q296" t="s">
        <v>24</v>
      </c>
      <c r="R296" t="s">
        <v>14</v>
      </c>
      <c r="S296" s="3">
        <v>2.5</v>
      </c>
      <c r="T296" t="s">
        <v>15</v>
      </c>
      <c r="U296" s="3">
        <v>216.73</v>
      </c>
      <c r="V296" s="3" t="e">
        <f>VLOOKUP(M296,'[1]Query Report'!$A:$E,5,0)</f>
        <v>#N/A</v>
      </c>
      <c r="W296" s="3" t="e">
        <f t="shared" si="27"/>
        <v>#N/A</v>
      </c>
      <c r="X296" s="29" t="e">
        <f t="shared" si="26"/>
        <v>#N/A</v>
      </c>
      <c r="Y296" s="29" t="s">
        <v>1363</v>
      </c>
      <c r="Z296" t="s">
        <v>16</v>
      </c>
      <c r="AA296" t="s">
        <v>17</v>
      </c>
      <c r="AB296" t="s">
        <v>12</v>
      </c>
      <c r="AC296" t="s">
        <v>8</v>
      </c>
      <c r="AD296" t="s">
        <v>18</v>
      </c>
      <c r="AE296" t="s">
        <v>850</v>
      </c>
      <c r="AF296" t="s">
        <v>12</v>
      </c>
      <c r="AG296" t="s">
        <v>12</v>
      </c>
      <c r="AH296" t="s">
        <v>12</v>
      </c>
      <c r="AI296" s="2">
        <v>45736</v>
      </c>
      <c r="AJ296" s="2"/>
      <c r="AK296" t="s">
        <v>12</v>
      </c>
    </row>
    <row r="297" spans="1:37" outlineLevel="2" x14ac:dyDescent="0.25">
      <c r="A297" t="s">
        <v>129</v>
      </c>
      <c r="B297" t="s">
        <v>1</v>
      </c>
      <c r="C297" t="s">
        <v>2</v>
      </c>
      <c r="D297" t="s">
        <v>3</v>
      </c>
      <c r="E297" t="s">
        <v>4</v>
      </c>
      <c r="F297" t="s">
        <v>243</v>
      </c>
      <c r="G297" s="2">
        <v>45736</v>
      </c>
      <c r="H297" t="s">
        <v>938</v>
      </c>
      <c r="I297" t="s">
        <v>22</v>
      </c>
      <c r="J297" s="2">
        <v>45736</v>
      </c>
      <c r="K297" s="2">
        <v>45737</v>
      </c>
      <c r="L297" t="s">
        <v>8</v>
      </c>
      <c r="M297" s="26">
        <v>246779414885</v>
      </c>
      <c r="N297" t="s">
        <v>10</v>
      </c>
      <c r="O297" t="s">
        <v>11</v>
      </c>
      <c r="P297" t="s">
        <v>12</v>
      </c>
      <c r="Q297" t="s">
        <v>24</v>
      </c>
      <c r="R297" t="s">
        <v>14</v>
      </c>
      <c r="S297" s="3">
        <v>2.5</v>
      </c>
      <c r="T297" t="s">
        <v>15</v>
      </c>
      <c r="U297" s="3">
        <v>216.73</v>
      </c>
      <c r="V297" s="3" t="e">
        <f>VLOOKUP(M297,'[1]Query Report'!$A:$E,5,0)</f>
        <v>#N/A</v>
      </c>
      <c r="W297" s="3" t="e">
        <f t="shared" si="27"/>
        <v>#N/A</v>
      </c>
      <c r="X297" s="29" t="e">
        <f t="shared" si="26"/>
        <v>#N/A</v>
      </c>
      <c r="Y297" s="29" t="s">
        <v>1363</v>
      </c>
      <c r="Z297" t="s">
        <v>16</v>
      </c>
      <c r="AA297" t="s">
        <v>17</v>
      </c>
      <c r="AB297" t="s">
        <v>12</v>
      </c>
      <c r="AC297" t="s">
        <v>8</v>
      </c>
      <c r="AD297" t="s">
        <v>18</v>
      </c>
      <c r="AE297" t="s">
        <v>850</v>
      </c>
      <c r="AF297" t="s">
        <v>12</v>
      </c>
      <c r="AG297" t="s">
        <v>12</v>
      </c>
      <c r="AH297" t="s">
        <v>12</v>
      </c>
      <c r="AI297" s="2">
        <v>45736</v>
      </c>
      <c r="AJ297" s="2"/>
      <c r="AK297" t="s">
        <v>12</v>
      </c>
    </row>
    <row r="298" spans="1:37" outlineLevel="2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243</v>
      </c>
      <c r="G298" s="2">
        <v>45736</v>
      </c>
      <c r="H298" t="s">
        <v>940</v>
      </c>
      <c r="I298" t="s">
        <v>22</v>
      </c>
      <c r="J298" s="2">
        <v>45736</v>
      </c>
      <c r="K298" s="2">
        <v>45736</v>
      </c>
      <c r="L298" t="s">
        <v>8</v>
      </c>
      <c r="M298" s="26">
        <v>246779413702</v>
      </c>
      <c r="N298" t="s">
        <v>10</v>
      </c>
      <c r="O298" t="s">
        <v>11</v>
      </c>
      <c r="P298" t="s">
        <v>12</v>
      </c>
      <c r="Q298" t="s">
        <v>24</v>
      </c>
      <c r="R298" t="s">
        <v>14</v>
      </c>
      <c r="S298" s="3">
        <v>364.25</v>
      </c>
      <c r="T298" t="s">
        <v>15</v>
      </c>
      <c r="U298" s="3">
        <v>31577.29</v>
      </c>
      <c r="V298" s="3" t="e">
        <f>VLOOKUP(M298,'[1]Query Report'!$A:$E,5,0)</f>
        <v>#N/A</v>
      </c>
      <c r="W298" s="3" t="e">
        <f t="shared" si="27"/>
        <v>#N/A</v>
      </c>
      <c r="X298" s="29" t="e">
        <f t="shared" si="26"/>
        <v>#N/A</v>
      </c>
      <c r="Y298" s="29"/>
      <c r="Z298" t="s">
        <v>16</v>
      </c>
      <c r="AA298" t="s">
        <v>17</v>
      </c>
      <c r="AB298" t="s">
        <v>12</v>
      </c>
      <c r="AC298" t="s">
        <v>8</v>
      </c>
      <c r="AD298" t="s">
        <v>18</v>
      </c>
      <c r="AE298" t="s">
        <v>942</v>
      </c>
      <c r="AF298" t="s">
        <v>12</v>
      </c>
      <c r="AG298" t="s">
        <v>12</v>
      </c>
      <c r="AH298" t="s">
        <v>12</v>
      </c>
      <c r="AI298" s="2">
        <v>45736</v>
      </c>
      <c r="AJ298" s="2">
        <v>45976</v>
      </c>
      <c r="AK298" t="s">
        <v>64</v>
      </c>
    </row>
    <row r="299" spans="1:37" outlineLevel="2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243</v>
      </c>
      <c r="G299" s="2">
        <v>45736</v>
      </c>
      <c r="H299" t="s">
        <v>943</v>
      </c>
      <c r="I299" t="s">
        <v>22</v>
      </c>
      <c r="J299" s="2">
        <v>45736</v>
      </c>
      <c r="K299" s="2">
        <v>45736</v>
      </c>
      <c r="L299" t="s">
        <v>8</v>
      </c>
      <c r="M299" s="26">
        <v>246779413705</v>
      </c>
      <c r="N299" t="s">
        <v>10</v>
      </c>
      <c r="O299" t="s">
        <v>11</v>
      </c>
      <c r="P299" t="s">
        <v>12</v>
      </c>
      <c r="Q299" t="s">
        <v>24</v>
      </c>
      <c r="R299" t="s">
        <v>14</v>
      </c>
      <c r="S299" s="3">
        <v>237.35</v>
      </c>
      <c r="T299" t="s">
        <v>15</v>
      </c>
      <c r="U299" s="3">
        <v>20576.169999999998</v>
      </c>
      <c r="V299" s="3" t="e">
        <f>VLOOKUP(M299,'[1]Query Report'!$A:$E,5,0)</f>
        <v>#N/A</v>
      </c>
      <c r="W299" s="3" t="e">
        <f t="shared" si="27"/>
        <v>#N/A</v>
      </c>
      <c r="X299" s="29" t="e">
        <f t="shared" si="26"/>
        <v>#N/A</v>
      </c>
      <c r="Y299" s="29" t="s">
        <v>1362</v>
      </c>
      <c r="Z299" t="s">
        <v>16</v>
      </c>
      <c r="AA299" t="s">
        <v>17</v>
      </c>
      <c r="AB299" t="s">
        <v>12</v>
      </c>
      <c r="AC299" t="s">
        <v>8</v>
      </c>
      <c r="AD299" t="s">
        <v>18</v>
      </c>
      <c r="AE299" t="s">
        <v>945</v>
      </c>
      <c r="AF299" t="s">
        <v>12</v>
      </c>
      <c r="AG299" t="s">
        <v>12</v>
      </c>
      <c r="AH299" t="s">
        <v>12</v>
      </c>
      <c r="AI299" s="2">
        <v>45736</v>
      </c>
      <c r="AJ299" s="2">
        <v>45976</v>
      </c>
      <c r="AK299" t="s">
        <v>64</v>
      </c>
    </row>
    <row r="300" spans="1:37" outlineLevel="2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243</v>
      </c>
      <c r="G300" s="2">
        <v>45736</v>
      </c>
      <c r="H300" t="s">
        <v>946</v>
      </c>
      <c r="I300" t="s">
        <v>22</v>
      </c>
      <c r="J300" s="2">
        <v>45736</v>
      </c>
      <c r="K300" s="2">
        <v>45737</v>
      </c>
      <c r="L300" t="s">
        <v>8</v>
      </c>
      <c r="M300" s="26">
        <v>246779413816</v>
      </c>
      <c r="N300" t="s">
        <v>10</v>
      </c>
      <c r="O300" t="s">
        <v>11</v>
      </c>
      <c r="P300" t="s">
        <v>12</v>
      </c>
      <c r="Q300" t="s">
        <v>24</v>
      </c>
      <c r="R300" t="s">
        <v>14</v>
      </c>
      <c r="S300" s="3">
        <v>220</v>
      </c>
      <c r="T300" t="s">
        <v>15</v>
      </c>
      <c r="U300" s="3">
        <v>19072.080000000002</v>
      </c>
      <c r="V300" s="3" t="e">
        <f>VLOOKUP(M300,'[1]Query Report'!$A:$E,5,0)</f>
        <v>#N/A</v>
      </c>
      <c r="W300" s="3" t="e">
        <f t="shared" si="27"/>
        <v>#N/A</v>
      </c>
      <c r="X300" s="29" t="e">
        <f t="shared" si="26"/>
        <v>#N/A</v>
      </c>
      <c r="Y300" s="29" t="s">
        <v>1363</v>
      </c>
      <c r="Z300" t="s">
        <v>16</v>
      </c>
      <c r="AA300" t="s">
        <v>17</v>
      </c>
      <c r="AB300" t="s">
        <v>12</v>
      </c>
      <c r="AC300" t="s">
        <v>8</v>
      </c>
      <c r="AD300" t="s">
        <v>18</v>
      </c>
      <c r="AE300" t="s">
        <v>948</v>
      </c>
      <c r="AF300" t="s">
        <v>12</v>
      </c>
      <c r="AG300" t="s">
        <v>12</v>
      </c>
      <c r="AH300" t="s">
        <v>12</v>
      </c>
      <c r="AI300" s="2">
        <v>45736</v>
      </c>
      <c r="AJ300" s="2">
        <v>45976</v>
      </c>
      <c r="AK300" t="s">
        <v>64</v>
      </c>
    </row>
    <row r="301" spans="1:37" outlineLevel="2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243</v>
      </c>
      <c r="G301" s="2">
        <v>45736</v>
      </c>
      <c r="H301" t="s">
        <v>949</v>
      </c>
      <c r="I301" t="s">
        <v>22</v>
      </c>
      <c r="J301" s="2">
        <v>45736</v>
      </c>
      <c r="K301" s="2">
        <v>45737</v>
      </c>
      <c r="L301" t="s">
        <v>8</v>
      </c>
      <c r="M301" s="26">
        <v>246779413827</v>
      </c>
      <c r="N301" t="s">
        <v>10</v>
      </c>
      <c r="O301" t="s">
        <v>11</v>
      </c>
      <c r="P301" t="s">
        <v>12</v>
      </c>
      <c r="Q301" t="s">
        <v>24</v>
      </c>
      <c r="R301" t="s">
        <v>14</v>
      </c>
      <c r="S301" s="3">
        <v>375</v>
      </c>
      <c r="T301" t="s">
        <v>15</v>
      </c>
      <c r="U301" s="3">
        <v>32509.22</v>
      </c>
      <c r="V301" s="3" t="e">
        <f>VLOOKUP(M301,'[1]Query Report'!$A:$E,5,0)</f>
        <v>#N/A</v>
      </c>
      <c r="W301" s="3" t="e">
        <f t="shared" si="27"/>
        <v>#N/A</v>
      </c>
      <c r="X301" s="29" t="e">
        <f t="shared" si="26"/>
        <v>#N/A</v>
      </c>
      <c r="Y301" s="29" t="s">
        <v>1363</v>
      </c>
      <c r="Z301" t="s">
        <v>16</v>
      </c>
      <c r="AA301" t="s">
        <v>17</v>
      </c>
      <c r="AB301" t="s">
        <v>12</v>
      </c>
      <c r="AC301" t="s">
        <v>8</v>
      </c>
      <c r="AD301" t="s">
        <v>18</v>
      </c>
      <c r="AE301" t="s">
        <v>951</v>
      </c>
      <c r="AF301" t="s">
        <v>12</v>
      </c>
      <c r="AG301" t="s">
        <v>12</v>
      </c>
      <c r="AH301" t="s">
        <v>12</v>
      </c>
      <c r="AI301" s="2">
        <v>45736</v>
      </c>
      <c r="AJ301" s="2">
        <v>45976</v>
      </c>
      <c r="AK301" t="s">
        <v>64</v>
      </c>
    </row>
    <row r="302" spans="1:37" outlineLevel="2" x14ac:dyDescent="0.25">
      <c r="A302" t="s">
        <v>129</v>
      </c>
      <c r="B302" t="s">
        <v>1</v>
      </c>
      <c r="C302" t="s">
        <v>2</v>
      </c>
      <c r="D302" t="s">
        <v>3</v>
      </c>
      <c r="E302" t="s">
        <v>4</v>
      </c>
      <c r="F302" t="s">
        <v>243</v>
      </c>
      <c r="G302" s="2">
        <v>45736</v>
      </c>
      <c r="H302" t="s">
        <v>952</v>
      </c>
      <c r="I302" t="s">
        <v>22</v>
      </c>
      <c r="J302" s="2">
        <v>45736</v>
      </c>
      <c r="K302" s="2">
        <v>45736</v>
      </c>
      <c r="L302" t="s">
        <v>8</v>
      </c>
      <c r="M302" s="26">
        <v>246779413742</v>
      </c>
      <c r="N302" t="s">
        <v>10</v>
      </c>
      <c r="O302" t="s">
        <v>11</v>
      </c>
      <c r="P302" t="s">
        <v>12</v>
      </c>
      <c r="Q302" t="s">
        <v>24</v>
      </c>
      <c r="R302" t="s">
        <v>14</v>
      </c>
      <c r="S302" s="3">
        <v>14.1</v>
      </c>
      <c r="T302" t="s">
        <v>15</v>
      </c>
      <c r="U302" s="3">
        <v>1222.3499999999999</v>
      </c>
      <c r="V302" s="3" t="e">
        <f>VLOOKUP(M302,'[1]Query Report'!$A:$E,5,0)</f>
        <v>#N/A</v>
      </c>
      <c r="W302" s="3" t="e">
        <f t="shared" si="27"/>
        <v>#N/A</v>
      </c>
      <c r="X302" s="29" t="e">
        <f t="shared" si="26"/>
        <v>#N/A</v>
      </c>
      <c r="Y302" s="29" t="s">
        <v>1362</v>
      </c>
      <c r="Z302" t="s">
        <v>16</v>
      </c>
      <c r="AA302" t="s">
        <v>17</v>
      </c>
      <c r="AB302" t="s">
        <v>12</v>
      </c>
      <c r="AC302" t="s">
        <v>8</v>
      </c>
      <c r="AD302" t="s">
        <v>18</v>
      </c>
      <c r="AE302" t="s">
        <v>850</v>
      </c>
      <c r="AF302" t="s">
        <v>12</v>
      </c>
      <c r="AG302" t="s">
        <v>12</v>
      </c>
      <c r="AH302" t="s">
        <v>12</v>
      </c>
      <c r="AI302" s="2">
        <v>45736</v>
      </c>
      <c r="AJ302" s="2"/>
      <c r="AK302" t="s">
        <v>12</v>
      </c>
    </row>
    <row r="303" spans="1:37" outlineLevel="2" x14ac:dyDescent="0.25">
      <c r="A303" t="s">
        <v>129</v>
      </c>
      <c r="B303" t="s">
        <v>1</v>
      </c>
      <c r="C303" t="s">
        <v>2</v>
      </c>
      <c r="D303" t="s">
        <v>3</v>
      </c>
      <c r="E303" t="s">
        <v>4</v>
      </c>
      <c r="F303" t="s">
        <v>243</v>
      </c>
      <c r="G303" s="2">
        <v>45736</v>
      </c>
      <c r="H303" t="s">
        <v>954</v>
      </c>
      <c r="I303" t="s">
        <v>22</v>
      </c>
      <c r="J303" s="2">
        <v>45736</v>
      </c>
      <c r="K303" s="2">
        <v>45736</v>
      </c>
      <c r="L303" t="s">
        <v>8</v>
      </c>
      <c r="M303" s="26">
        <v>246779413743</v>
      </c>
      <c r="N303" t="s">
        <v>10</v>
      </c>
      <c r="O303" t="s">
        <v>11</v>
      </c>
      <c r="P303" t="s">
        <v>12</v>
      </c>
      <c r="Q303" t="s">
        <v>24</v>
      </c>
      <c r="R303" t="s">
        <v>14</v>
      </c>
      <c r="S303" s="3">
        <v>4.7</v>
      </c>
      <c r="T303" t="s">
        <v>15</v>
      </c>
      <c r="U303" s="3">
        <v>407.45</v>
      </c>
      <c r="V303" s="3" t="e">
        <f>VLOOKUP(M303,'[1]Query Report'!$A:$E,5,0)</f>
        <v>#N/A</v>
      </c>
      <c r="W303" s="3" t="e">
        <f t="shared" si="27"/>
        <v>#N/A</v>
      </c>
      <c r="X303" s="29" t="e">
        <f t="shared" si="26"/>
        <v>#N/A</v>
      </c>
      <c r="Y303" s="29" t="s">
        <v>1362</v>
      </c>
      <c r="Z303" t="s">
        <v>16</v>
      </c>
      <c r="AA303" t="s">
        <v>17</v>
      </c>
      <c r="AB303" t="s">
        <v>12</v>
      </c>
      <c r="AC303" t="s">
        <v>8</v>
      </c>
      <c r="AD303" t="s">
        <v>18</v>
      </c>
      <c r="AE303" t="s">
        <v>850</v>
      </c>
      <c r="AF303" t="s">
        <v>12</v>
      </c>
      <c r="AG303" t="s">
        <v>12</v>
      </c>
      <c r="AH303" t="s">
        <v>12</v>
      </c>
      <c r="AI303" s="2">
        <v>45736</v>
      </c>
      <c r="AJ303" s="2"/>
      <c r="AK303" t="s">
        <v>12</v>
      </c>
    </row>
    <row r="304" spans="1:37" outlineLevel="2" x14ac:dyDescent="0.25">
      <c r="A304" t="s">
        <v>129</v>
      </c>
      <c r="B304" t="s">
        <v>1</v>
      </c>
      <c r="C304" t="s">
        <v>2</v>
      </c>
      <c r="D304" t="s">
        <v>3</v>
      </c>
      <c r="E304" t="s">
        <v>4</v>
      </c>
      <c r="F304" t="s">
        <v>243</v>
      </c>
      <c r="G304" s="2">
        <v>45736</v>
      </c>
      <c r="H304" t="s">
        <v>956</v>
      </c>
      <c r="I304" t="s">
        <v>22</v>
      </c>
      <c r="J304" s="2">
        <v>45736</v>
      </c>
      <c r="K304" s="2">
        <v>45736</v>
      </c>
      <c r="L304" t="s">
        <v>8</v>
      </c>
      <c r="M304" s="26">
        <v>246779413753</v>
      </c>
      <c r="N304" t="s">
        <v>10</v>
      </c>
      <c r="O304" t="s">
        <v>11</v>
      </c>
      <c r="P304" t="s">
        <v>12</v>
      </c>
      <c r="Q304" t="s">
        <v>24</v>
      </c>
      <c r="R304" t="s">
        <v>14</v>
      </c>
      <c r="S304" s="3">
        <v>2.35</v>
      </c>
      <c r="T304" t="s">
        <v>15</v>
      </c>
      <c r="U304" s="3">
        <v>203.72</v>
      </c>
      <c r="V304" s="3" t="e">
        <f>VLOOKUP(M304,'[1]Query Report'!$A:$E,5,0)</f>
        <v>#N/A</v>
      </c>
      <c r="W304" s="3" t="e">
        <f t="shared" si="27"/>
        <v>#N/A</v>
      </c>
      <c r="X304" s="29" t="e">
        <f t="shared" si="26"/>
        <v>#N/A</v>
      </c>
      <c r="Y304" s="29" t="s">
        <v>1362</v>
      </c>
      <c r="Z304" t="s">
        <v>16</v>
      </c>
      <c r="AA304" t="s">
        <v>17</v>
      </c>
      <c r="AB304" t="s">
        <v>12</v>
      </c>
      <c r="AC304" t="s">
        <v>8</v>
      </c>
      <c r="AD304" t="s">
        <v>18</v>
      </c>
      <c r="AE304" t="s">
        <v>157</v>
      </c>
      <c r="AF304" t="s">
        <v>12</v>
      </c>
      <c r="AG304" t="s">
        <v>12</v>
      </c>
      <c r="AH304" t="s">
        <v>12</v>
      </c>
      <c r="AI304" s="2">
        <v>45736</v>
      </c>
      <c r="AJ304" s="2"/>
      <c r="AK304" t="s">
        <v>12</v>
      </c>
    </row>
    <row r="305" spans="1:37" outlineLevel="2" x14ac:dyDescent="0.25">
      <c r="A305" t="s">
        <v>129</v>
      </c>
      <c r="B305" t="s">
        <v>1</v>
      </c>
      <c r="C305" t="s">
        <v>2</v>
      </c>
      <c r="D305" t="s">
        <v>3</v>
      </c>
      <c r="E305" t="s">
        <v>4</v>
      </c>
      <c r="F305" t="s">
        <v>243</v>
      </c>
      <c r="G305" s="2">
        <v>45736</v>
      </c>
      <c r="H305" t="s">
        <v>958</v>
      </c>
      <c r="I305" t="s">
        <v>22</v>
      </c>
      <c r="J305" s="2">
        <v>45736</v>
      </c>
      <c r="K305" s="2">
        <v>45737</v>
      </c>
      <c r="L305" t="s">
        <v>8</v>
      </c>
      <c r="M305" s="26">
        <v>246779414603</v>
      </c>
      <c r="N305" t="s">
        <v>10</v>
      </c>
      <c r="O305" t="s">
        <v>11</v>
      </c>
      <c r="P305" t="s">
        <v>12</v>
      </c>
      <c r="Q305" t="s">
        <v>24</v>
      </c>
      <c r="R305" t="s">
        <v>14</v>
      </c>
      <c r="S305" s="3">
        <v>412.38</v>
      </c>
      <c r="T305" t="s">
        <v>15</v>
      </c>
      <c r="U305" s="3">
        <v>35749.74</v>
      </c>
      <c r="V305" s="3" t="e">
        <f>VLOOKUP(M305,'[1]Query Report'!$A:$E,5,0)</f>
        <v>#N/A</v>
      </c>
      <c r="W305" s="3" t="e">
        <f t="shared" si="27"/>
        <v>#N/A</v>
      </c>
      <c r="X305" s="29" t="e">
        <f t="shared" si="26"/>
        <v>#N/A</v>
      </c>
      <c r="Y305" s="29" t="s">
        <v>1363</v>
      </c>
      <c r="Z305" t="s">
        <v>16</v>
      </c>
      <c r="AA305" t="s">
        <v>17</v>
      </c>
      <c r="AB305" t="s">
        <v>12</v>
      </c>
      <c r="AC305" t="s">
        <v>8</v>
      </c>
      <c r="AD305" t="s">
        <v>18</v>
      </c>
      <c r="AE305" t="s">
        <v>960</v>
      </c>
      <c r="AF305" t="s">
        <v>12</v>
      </c>
      <c r="AG305" t="s">
        <v>12</v>
      </c>
      <c r="AH305" t="s">
        <v>12</v>
      </c>
      <c r="AI305" s="2">
        <v>45736</v>
      </c>
      <c r="AJ305" s="2"/>
      <c r="AK305" t="s">
        <v>12</v>
      </c>
    </row>
    <row r="306" spans="1:37" outlineLevel="2" x14ac:dyDescent="0.25">
      <c r="A306" t="s">
        <v>129</v>
      </c>
      <c r="B306" t="s">
        <v>1</v>
      </c>
      <c r="C306" t="s">
        <v>2</v>
      </c>
      <c r="D306" t="s">
        <v>3</v>
      </c>
      <c r="E306" t="s">
        <v>4</v>
      </c>
      <c r="F306" t="s">
        <v>243</v>
      </c>
      <c r="G306" s="2">
        <v>45736</v>
      </c>
      <c r="H306" t="s">
        <v>961</v>
      </c>
      <c r="I306" t="s">
        <v>22</v>
      </c>
      <c r="J306" s="2">
        <v>45736</v>
      </c>
      <c r="K306" s="2">
        <v>45737</v>
      </c>
      <c r="L306" t="s">
        <v>8</v>
      </c>
      <c r="M306" s="26">
        <v>246779414680</v>
      </c>
      <c r="N306" t="s">
        <v>10</v>
      </c>
      <c r="O306" t="s">
        <v>11</v>
      </c>
      <c r="P306" t="s">
        <v>12</v>
      </c>
      <c r="Q306" t="s">
        <v>24</v>
      </c>
      <c r="R306" t="s">
        <v>14</v>
      </c>
      <c r="S306" s="3">
        <v>2.5</v>
      </c>
      <c r="T306" t="s">
        <v>15</v>
      </c>
      <c r="U306" s="3">
        <v>216.73</v>
      </c>
      <c r="V306" s="3" t="e">
        <f>VLOOKUP(M306,'[1]Query Report'!$A:$E,5,0)</f>
        <v>#N/A</v>
      </c>
      <c r="W306" s="3" t="e">
        <f t="shared" si="27"/>
        <v>#N/A</v>
      </c>
      <c r="X306" s="29" t="e">
        <f t="shared" si="26"/>
        <v>#N/A</v>
      </c>
      <c r="Y306" s="29" t="s">
        <v>1362</v>
      </c>
      <c r="Z306" t="s">
        <v>16</v>
      </c>
      <c r="AA306" t="s">
        <v>17</v>
      </c>
      <c r="AB306" t="s">
        <v>12</v>
      </c>
      <c r="AC306" t="s">
        <v>8</v>
      </c>
      <c r="AD306" t="s">
        <v>18</v>
      </c>
      <c r="AE306" t="s">
        <v>963</v>
      </c>
      <c r="AF306" t="s">
        <v>12</v>
      </c>
      <c r="AG306" t="s">
        <v>12</v>
      </c>
      <c r="AH306" t="s">
        <v>12</v>
      </c>
      <c r="AI306" s="2">
        <v>45736</v>
      </c>
      <c r="AJ306" s="2"/>
      <c r="AK306" t="s">
        <v>12</v>
      </c>
    </row>
    <row r="307" spans="1:37" outlineLevel="2" x14ac:dyDescent="0.25">
      <c r="A307" t="s">
        <v>129</v>
      </c>
      <c r="B307" t="s">
        <v>1</v>
      </c>
      <c r="C307" t="s">
        <v>2</v>
      </c>
      <c r="D307" t="s">
        <v>3</v>
      </c>
      <c r="E307" t="s">
        <v>4</v>
      </c>
      <c r="F307" t="s">
        <v>358</v>
      </c>
      <c r="G307" s="2">
        <v>45708</v>
      </c>
      <c r="H307" t="s">
        <v>964</v>
      </c>
      <c r="I307" t="s">
        <v>22</v>
      </c>
      <c r="J307" s="2">
        <v>45708</v>
      </c>
      <c r="K307" s="2">
        <v>45708</v>
      </c>
      <c r="L307" t="s">
        <v>8</v>
      </c>
      <c r="M307" s="26">
        <v>246779410049</v>
      </c>
      <c r="N307" t="s">
        <v>10</v>
      </c>
      <c r="O307" t="s">
        <v>11</v>
      </c>
      <c r="P307" t="s">
        <v>12</v>
      </c>
      <c r="Q307" t="s">
        <v>24</v>
      </c>
      <c r="R307" t="s">
        <v>14</v>
      </c>
      <c r="S307" s="3">
        <v>456.75</v>
      </c>
      <c r="T307" t="s">
        <v>15</v>
      </c>
      <c r="U307" s="3">
        <v>39419.199999999997</v>
      </c>
      <c r="V307" s="3" t="e">
        <f>VLOOKUP(M307,'[1]Query Report'!$A:$E,5,0)</f>
        <v>#N/A</v>
      </c>
      <c r="W307" s="3" t="e">
        <f t="shared" si="27"/>
        <v>#N/A</v>
      </c>
      <c r="X307" s="29" t="e">
        <f t="shared" si="26"/>
        <v>#N/A</v>
      </c>
      <c r="Y307" s="29" t="s">
        <v>1363</v>
      </c>
      <c r="Z307" t="s">
        <v>16</v>
      </c>
      <c r="AA307" t="s">
        <v>17</v>
      </c>
      <c r="AB307" t="s">
        <v>12</v>
      </c>
      <c r="AC307" t="s">
        <v>8</v>
      </c>
      <c r="AD307" t="s">
        <v>18</v>
      </c>
      <c r="AE307" t="s">
        <v>966</v>
      </c>
      <c r="AF307" t="s">
        <v>12</v>
      </c>
      <c r="AG307" t="s">
        <v>12</v>
      </c>
      <c r="AH307" t="s">
        <v>12</v>
      </c>
      <c r="AI307" s="2">
        <v>45708</v>
      </c>
      <c r="AJ307" s="2"/>
      <c r="AK307" t="s">
        <v>12</v>
      </c>
    </row>
    <row r="308" spans="1:37" outlineLevel="2" x14ac:dyDescent="0.25">
      <c r="A308" t="s">
        <v>129</v>
      </c>
      <c r="B308" t="s">
        <v>1</v>
      </c>
      <c r="C308" t="s">
        <v>2</v>
      </c>
      <c r="D308" t="s">
        <v>3</v>
      </c>
      <c r="E308" t="s">
        <v>4</v>
      </c>
      <c r="F308" t="s">
        <v>358</v>
      </c>
      <c r="G308" s="2">
        <v>45708</v>
      </c>
      <c r="H308" t="s">
        <v>967</v>
      </c>
      <c r="I308" t="s">
        <v>22</v>
      </c>
      <c r="J308" s="2">
        <v>45708</v>
      </c>
      <c r="K308" s="2">
        <v>45708</v>
      </c>
      <c r="L308" t="s">
        <v>8</v>
      </c>
      <c r="M308" s="26">
        <v>246779410072</v>
      </c>
      <c r="N308" t="s">
        <v>10</v>
      </c>
      <c r="O308" t="s">
        <v>11</v>
      </c>
      <c r="P308" t="s">
        <v>12</v>
      </c>
      <c r="Q308" t="s">
        <v>24</v>
      </c>
      <c r="R308" t="s">
        <v>14</v>
      </c>
      <c r="S308" s="3">
        <v>456.75</v>
      </c>
      <c r="T308" t="s">
        <v>15</v>
      </c>
      <c r="U308" s="3">
        <v>39419.199999999997</v>
      </c>
      <c r="V308" s="3" t="e">
        <f>VLOOKUP(M308,'[1]Query Report'!$A:$E,5,0)</f>
        <v>#N/A</v>
      </c>
      <c r="W308" s="3" t="e">
        <f t="shared" si="27"/>
        <v>#N/A</v>
      </c>
      <c r="X308" s="29" t="e">
        <f t="shared" si="26"/>
        <v>#N/A</v>
      </c>
      <c r="Y308" s="29" t="s">
        <v>1363</v>
      </c>
      <c r="Z308" t="s">
        <v>16</v>
      </c>
      <c r="AA308" t="s">
        <v>17</v>
      </c>
      <c r="AB308" t="s">
        <v>12</v>
      </c>
      <c r="AC308" t="s">
        <v>8</v>
      </c>
      <c r="AD308" t="s">
        <v>18</v>
      </c>
      <c r="AE308" t="s">
        <v>969</v>
      </c>
      <c r="AF308" t="s">
        <v>12</v>
      </c>
      <c r="AG308" t="s">
        <v>12</v>
      </c>
      <c r="AH308" t="s">
        <v>12</v>
      </c>
      <c r="AI308" s="2">
        <v>45708</v>
      </c>
      <c r="AJ308" s="2"/>
      <c r="AK308" t="s">
        <v>12</v>
      </c>
    </row>
    <row r="309" spans="1:37" outlineLevel="2" x14ac:dyDescent="0.25">
      <c r="A309" t="s">
        <v>129</v>
      </c>
      <c r="B309" t="s">
        <v>1</v>
      </c>
      <c r="C309" t="s">
        <v>2</v>
      </c>
      <c r="D309" t="s">
        <v>3</v>
      </c>
      <c r="E309" t="s">
        <v>4</v>
      </c>
      <c r="F309" t="s">
        <v>358</v>
      </c>
      <c r="G309" s="2">
        <v>45708</v>
      </c>
      <c r="H309" t="s">
        <v>970</v>
      </c>
      <c r="I309" t="s">
        <v>22</v>
      </c>
      <c r="J309" s="2">
        <v>45708</v>
      </c>
      <c r="K309" s="2">
        <v>45708</v>
      </c>
      <c r="L309" t="s">
        <v>8</v>
      </c>
      <c r="M309" s="26">
        <v>246779410117</v>
      </c>
      <c r="N309" t="s">
        <v>10</v>
      </c>
      <c r="O309" t="s">
        <v>11</v>
      </c>
      <c r="P309" t="s">
        <v>12</v>
      </c>
      <c r="Q309" t="s">
        <v>24</v>
      </c>
      <c r="R309" t="s">
        <v>14</v>
      </c>
      <c r="S309" s="3">
        <v>456.75</v>
      </c>
      <c r="T309" t="s">
        <v>15</v>
      </c>
      <c r="U309" s="3">
        <v>39419.199999999997</v>
      </c>
      <c r="V309" s="3" t="e">
        <f>VLOOKUP(M309,'[1]Query Report'!$A:$E,5,0)</f>
        <v>#N/A</v>
      </c>
      <c r="W309" s="3" t="e">
        <f t="shared" si="27"/>
        <v>#N/A</v>
      </c>
      <c r="X309" s="29" t="e">
        <f t="shared" si="26"/>
        <v>#N/A</v>
      </c>
      <c r="Y309" s="29" t="s">
        <v>1363</v>
      </c>
      <c r="Z309" t="s">
        <v>16</v>
      </c>
      <c r="AA309" t="s">
        <v>17</v>
      </c>
      <c r="AB309" t="s">
        <v>12</v>
      </c>
      <c r="AC309" t="s">
        <v>8</v>
      </c>
      <c r="AD309" t="s">
        <v>18</v>
      </c>
      <c r="AE309" t="s">
        <v>972</v>
      </c>
      <c r="AF309" t="s">
        <v>12</v>
      </c>
      <c r="AG309" t="s">
        <v>12</v>
      </c>
      <c r="AH309" t="s">
        <v>12</v>
      </c>
      <c r="AI309" s="2">
        <v>45708</v>
      </c>
      <c r="AJ309" s="2"/>
      <c r="AK309" t="s">
        <v>12</v>
      </c>
    </row>
    <row r="310" spans="1:37" outlineLevel="2" x14ac:dyDescent="0.25">
      <c r="A310" t="s">
        <v>129</v>
      </c>
      <c r="B310" t="s">
        <v>1</v>
      </c>
      <c r="C310" t="s">
        <v>2</v>
      </c>
      <c r="D310" t="s">
        <v>3</v>
      </c>
      <c r="E310" t="s">
        <v>4</v>
      </c>
      <c r="F310" t="s">
        <v>358</v>
      </c>
      <c r="G310" s="2">
        <v>45708</v>
      </c>
      <c r="H310" t="s">
        <v>973</v>
      </c>
      <c r="I310" t="s">
        <v>22</v>
      </c>
      <c r="J310" s="2">
        <v>45708</v>
      </c>
      <c r="K310" s="2">
        <v>45708</v>
      </c>
      <c r="L310" t="s">
        <v>8</v>
      </c>
      <c r="M310" s="26">
        <v>246779410160</v>
      </c>
      <c r="N310" t="s">
        <v>10</v>
      </c>
      <c r="O310" t="s">
        <v>11</v>
      </c>
      <c r="P310" t="s">
        <v>12</v>
      </c>
      <c r="Q310" t="s">
        <v>24</v>
      </c>
      <c r="R310" t="s">
        <v>14</v>
      </c>
      <c r="S310" s="3">
        <v>456.75</v>
      </c>
      <c r="T310" t="s">
        <v>15</v>
      </c>
      <c r="U310" s="3">
        <v>39419.199999999997</v>
      </c>
      <c r="V310" s="3" t="e">
        <f>VLOOKUP(M310,'[1]Query Report'!$A:$E,5,0)</f>
        <v>#N/A</v>
      </c>
      <c r="W310" s="3" t="e">
        <f t="shared" si="27"/>
        <v>#N/A</v>
      </c>
      <c r="X310" s="29" t="e">
        <f t="shared" si="26"/>
        <v>#N/A</v>
      </c>
      <c r="Y310" s="29" t="s">
        <v>1363</v>
      </c>
      <c r="Z310" t="s">
        <v>16</v>
      </c>
      <c r="AA310" t="s">
        <v>17</v>
      </c>
      <c r="AB310" t="s">
        <v>12</v>
      </c>
      <c r="AC310" t="s">
        <v>8</v>
      </c>
      <c r="AD310" t="s">
        <v>18</v>
      </c>
      <c r="AE310" t="s">
        <v>975</v>
      </c>
      <c r="AF310" t="s">
        <v>12</v>
      </c>
      <c r="AG310" t="s">
        <v>12</v>
      </c>
      <c r="AH310" t="s">
        <v>12</v>
      </c>
      <c r="AI310" s="2">
        <v>45708</v>
      </c>
      <c r="AJ310" s="2"/>
      <c r="AK310" t="s">
        <v>12</v>
      </c>
    </row>
    <row r="311" spans="1:37" outlineLevel="2" x14ac:dyDescent="0.25">
      <c r="A311" t="s">
        <v>129</v>
      </c>
      <c r="B311" t="s">
        <v>1</v>
      </c>
      <c r="C311" t="s">
        <v>2</v>
      </c>
      <c r="D311" t="s">
        <v>3</v>
      </c>
      <c r="E311" t="s">
        <v>4</v>
      </c>
      <c r="F311" t="s">
        <v>358</v>
      </c>
      <c r="G311" s="2">
        <v>45708</v>
      </c>
      <c r="H311" t="s">
        <v>976</v>
      </c>
      <c r="I311" t="s">
        <v>22</v>
      </c>
      <c r="J311" s="2">
        <v>45708</v>
      </c>
      <c r="K311" s="2">
        <v>45708</v>
      </c>
      <c r="L311" t="s">
        <v>8</v>
      </c>
      <c r="M311" s="26">
        <v>246779410203</v>
      </c>
      <c r="N311" t="s">
        <v>10</v>
      </c>
      <c r="O311" t="s">
        <v>11</v>
      </c>
      <c r="P311" t="s">
        <v>12</v>
      </c>
      <c r="Q311" t="s">
        <v>24</v>
      </c>
      <c r="R311" t="s">
        <v>14</v>
      </c>
      <c r="S311" s="3">
        <v>456.75</v>
      </c>
      <c r="T311" t="s">
        <v>15</v>
      </c>
      <c r="U311" s="3">
        <v>39419.199999999997</v>
      </c>
      <c r="V311" s="3" t="e">
        <f>VLOOKUP(M311,'[1]Query Report'!$A:$E,5,0)</f>
        <v>#N/A</v>
      </c>
      <c r="W311" s="3" t="e">
        <f t="shared" si="27"/>
        <v>#N/A</v>
      </c>
      <c r="X311" s="29" t="e">
        <f t="shared" si="26"/>
        <v>#N/A</v>
      </c>
      <c r="Y311" s="29" t="s">
        <v>1363</v>
      </c>
      <c r="Z311" t="s">
        <v>16</v>
      </c>
      <c r="AA311" t="s">
        <v>17</v>
      </c>
      <c r="AB311" t="s">
        <v>12</v>
      </c>
      <c r="AC311" t="s">
        <v>8</v>
      </c>
      <c r="AD311" t="s">
        <v>18</v>
      </c>
      <c r="AE311" t="s">
        <v>167</v>
      </c>
      <c r="AF311" t="s">
        <v>12</v>
      </c>
      <c r="AG311" t="s">
        <v>12</v>
      </c>
      <c r="AH311" t="s">
        <v>12</v>
      </c>
      <c r="AI311" s="2">
        <v>45708</v>
      </c>
      <c r="AJ311" s="2"/>
      <c r="AK311" t="s">
        <v>12</v>
      </c>
    </row>
    <row r="312" spans="1:37" outlineLevel="2" x14ac:dyDescent="0.25">
      <c r="A312" t="s">
        <v>129</v>
      </c>
      <c r="B312" t="s">
        <v>1</v>
      </c>
      <c r="C312" t="s">
        <v>2</v>
      </c>
      <c r="D312" t="s">
        <v>3</v>
      </c>
      <c r="E312" t="s">
        <v>4</v>
      </c>
      <c r="F312" t="s">
        <v>358</v>
      </c>
      <c r="G312" s="2">
        <v>45708</v>
      </c>
      <c r="H312" t="s">
        <v>978</v>
      </c>
      <c r="I312" t="s">
        <v>22</v>
      </c>
      <c r="J312" s="2">
        <v>45708</v>
      </c>
      <c r="K312" s="2">
        <v>45708</v>
      </c>
      <c r="L312" t="s">
        <v>8</v>
      </c>
      <c r="M312" s="26">
        <v>246779410246</v>
      </c>
      <c r="N312" t="s">
        <v>10</v>
      </c>
      <c r="O312" t="s">
        <v>11</v>
      </c>
      <c r="P312" t="s">
        <v>12</v>
      </c>
      <c r="Q312" t="s">
        <v>24</v>
      </c>
      <c r="R312" t="s">
        <v>14</v>
      </c>
      <c r="S312" s="3">
        <v>456.75</v>
      </c>
      <c r="T312" t="s">
        <v>15</v>
      </c>
      <c r="U312" s="3">
        <v>39419.199999999997</v>
      </c>
      <c r="V312" s="3" t="e">
        <f>VLOOKUP(M312,'[1]Query Report'!$A:$E,5,0)</f>
        <v>#N/A</v>
      </c>
      <c r="W312" s="3" t="e">
        <f t="shared" si="27"/>
        <v>#N/A</v>
      </c>
      <c r="X312" s="29" t="e">
        <f t="shared" si="26"/>
        <v>#N/A</v>
      </c>
      <c r="Y312" s="29" t="s">
        <v>1363</v>
      </c>
      <c r="Z312" t="s">
        <v>16</v>
      </c>
      <c r="AA312" t="s">
        <v>17</v>
      </c>
      <c r="AB312" t="s">
        <v>12</v>
      </c>
      <c r="AC312" t="s">
        <v>8</v>
      </c>
      <c r="AD312" t="s">
        <v>18</v>
      </c>
      <c r="AE312" t="s">
        <v>163</v>
      </c>
      <c r="AF312" t="s">
        <v>12</v>
      </c>
      <c r="AG312" t="s">
        <v>12</v>
      </c>
      <c r="AH312" t="s">
        <v>12</v>
      </c>
      <c r="AI312" s="2">
        <v>45708</v>
      </c>
      <c r="AJ312" s="2"/>
      <c r="AK312" t="s">
        <v>12</v>
      </c>
    </row>
    <row r="313" spans="1:37" outlineLevel="2" x14ac:dyDescent="0.25">
      <c r="A313" t="s">
        <v>129</v>
      </c>
      <c r="B313" t="s">
        <v>1</v>
      </c>
      <c r="C313" t="s">
        <v>2</v>
      </c>
      <c r="D313" t="s">
        <v>3</v>
      </c>
      <c r="E313" t="s">
        <v>4</v>
      </c>
      <c r="F313" t="s">
        <v>358</v>
      </c>
      <c r="G313" s="2">
        <v>45708</v>
      </c>
      <c r="H313" t="s">
        <v>980</v>
      </c>
      <c r="I313" t="s">
        <v>22</v>
      </c>
      <c r="J313" s="2">
        <v>45708</v>
      </c>
      <c r="K313" s="2">
        <v>45709</v>
      </c>
      <c r="L313" t="s">
        <v>8</v>
      </c>
      <c r="M313" s="26">
        <v>246779410303</v>
      </c>
      <c r="N313" t="s">
        <v>10</v>
      </c>
      <c r="O313" t="s">
        <v>11</v>
      </c>
      <c r="P313" t="s">
        <v>12</v>
      </c>
      <c r="Q313" t="s">
        <v>24</v>
      </c>
      <c r="R313" t="s">
        <v>14</v>
      </c>
      <c r="S313" s="3">
        <v>456.75</v>
      </c>
      <c r="T313" t="s">
        <v>15</v>
      </c>
      <c r="U313" s="3">
        <v>39419.199999999997</v>
      </c>
      <c r="V313" s="3" t="e">
        <f>VLOOKUP(M313,'[1]Query Report'!$A:$E,5,0)</f>
        <v>#N/A</v>
      </c>
      <c r="W313" s="3" t="e">
        <f t="shared" si="27"/>
        <v>#N/A</v>
      </c>
      <c r="X313" s="29" t="e">
        <f t="shared" ref="X313:X320" si="28">W313/U313</f>
        <v>#N/A</v>
      </c>
      <c r="Y313" s="29" t="s">
        <v>1363</v>
      </c>
      <c r="Z313" t="s">
        <v>16</v>
      </c>
      <c r="AA313" t="s">
        <v>17</v>
      </c>
      <c r="AB313" t="s">
        <v>12</v>
      </c>
      <c r="AC313" t="s">
        <v>8</v>
      </c>
      <c r="AD313" t="s">
        <v>18</v>
      </c>
      <c r="AE313" t="s">
        <v>982</v>
      </c>
      <c r="AF313" t="s">
        <v>12</v>
      </c>
      <c r="AG313" t="s">
        <v>12</v>
      </c>
      <c r="AH313" t="s">
        <v>12</v>
      </c>
      <c r="AI313" s="2">
        <v>45708</v>
      </c>
      <c r="AJ313" s="2"/>
      <c r="AK313" t="s">
        <v>12</v>
      </c>
    </row>
    <row r="314" spans="1:37" outlineLevel="2" x14ac:dyDescent="0.25">
      <c r="A314" t="s">
        <v>129</v>
      </c>
      <c r="B314" t="s">
        <v>1</v>
      </c>
      <c r="C314" t="s">
        <v>2</v>
      </c>
      <c r="D314" t="s">
        <v>3</v>
      </c>
      <c r="E314" t="s">
        <v>4</v>
      </c>
      <c r="F314" t="s">
        <v>609</v>
      </c>
      <c r="G314" s="2">
        <v>45889</v>
      </c>
      <c r="H314" t="s">
        <v>983</v>
      </c>
      <c r="I314" t="s">
        <v>22</v>
      </c>
      <c r="J314" s="2">
        <v>45889</v>
      </c>
      <c r="K314" s="2">
        <v>45891</v>
      </c>
      <c r="L314" t="s">
        <v>8</v>
      </c>
      <c r="M314" s="26">
        <v>256779416603</v>
      </c>
      <c r="N314" t="s">
        <v>10</v>
      </c>
      <c r="O314" t="s">
        <v>11</v>
      </c>
      <c r="P314" t="s">
        <v>12</v>
      </c>
      <c r="Q314" t="s">
        <v>24</v>
      </c>
      <c r="R314" t="s">
        <v>14</v>
      </c>
      <c r="S314" s="3">
        <v>17.350000000000001</v>
      </c>
      <c r="T314" t="s">
        <v>15</v>
      </c>
      <c r="U314" s="3">
        <v>1492.62</v>
      </c>
      <c r="V314" s="3" t="e">
        <f>VLOOKUP(M314,'[1]Query Report'!$A:$E,5,0)</f>
        <v>#N/A</v>
      </c>
      <c r="W314" s="3" t="e">
        <f t="shared" si="27"/>
        <v>#N/A</v>
      </c>
      <c r="X314" s="29" t="e">
        <f t="shared" si="28"/>
        <v>#N/A</v>
      </c>
      <c r="Y314" s="29" t="s">
        <v>1363</v>
      </c>
      <c r="Z314" t="s">
        <v>16</v>
      </c>
      <c r="AA314" t="s">
        <v>17</v>
      </c>
      <c r="AB314" t="s">
        <v>12</v>
      </c>
      <c r="AC314" t="s">
        <v>8</v>
      </c>
      <c r="AD314" t="s">
        <v>18</v>
      </c>
      <c r="AE314" t="s">
        <v>985</v>
      </c>
      <c r="AF314" t="s">
        <v>12</v>
      </c>
      <c r="AG314" t="s">
        <v>12</v>
      </c>
      <c r="AH314" t="s">
        <v>12</v>
      </c>
      <c r="AI314" s="2">
        <v>45889</v>
      </c>
      <c r="AJ314" s="2"/>
      <c r="AK314" t="s">
        <v>12</v>
      </c>
    </row>
    <row r="315" spans="1:37" outlineLevel="2" x14ac:dyDescent="0.25">
      <c r="A315" t="s">
        <v>129</v>
      </c>
      <c r="B315" t="s">
        <v>1</v>
      </c>
      <c r="C315" t="s">
        <v>2</v>
      </c>
      <c r="D315" t="s">
        <v>3</v>
      </c>
      <c r="E315" t="s">
        <v>4</v>
      </c>
      <c r="F315" t="s">
        <v>609</v>
      </c>
      <c r="G315" s="2">
        <v>45889</v>
      </c>
      <c r="H315" t="s">
        <v>986</v>
      </c>
      <c r="I315" t="s">
        <v>22</v>
      </c>
      <c r="J315" s="2">
        <v>45889</v>
      </c>
      <c r="K315" s="2">
        <v>45891</v>
      </c>
      <c r="L315" t="s">
        <v>8</v>
      </c>
      <c r="M315" s="26">
        <v>256779416615</v>
      </c>
      <c r="N315" t="s">
        <v>10</v>
      </c>
      <c r="O315" t="s">
        <v>11</v>
      </c>
      <c r="P315" t="s">
        <v>12</v>
      </c>
      <c r="Q315" t="s">
        <v>24</v>
      </c>
      <c r="R315" t="s">
        <v>14</v>
      </c>
      <c r="S315" s="3">
        <v>56.82</v>
      </c>
      <c r="T315" t="s">
        <v>15</v>
      </c>
      <c r="U315" s="3">
        <v>4888.2299999999996</v>
      </c>
      <c r="V315" s="3" t="e">
        <f>VLOOKUP(M315,'[1]Query Report'!$A:$E,5,0)</f>
        <v>#N/A</v>
      </c>
      <c r="W315" s="3" t="e">
        <f t="shared" si="27"/>
        <v>#N/A</v>
      </c>
      <c r="X315" s="29" t="e">
        <f t="shared" si="28"/>
        <v>#N/A</v>
      </c>
      <c r="Y315" s="29" t="s">
        <v>1363</v>
      </c>
      <c r="Z315" t="s">
        <v>16</v>
      </c>
      <c r="AA315" t="s">
        <v>17</v>
      </c>
      <c r="AB315" t="s">
        <v>12</v>
      </c>
      <c r="AC315" t="s">
        <v>8</v>
      </c>
      <c r="AD315" t="s">
        <v>18</v>
      </c>
      <c r="AE315" t="s">
        <v>988</v>
      </c>
      <c r="AF315" t="s">
        <v>12</v>
      </c>
      <c r="AG315" t="s">
        <v>12</v>
      </c>
      <c r="AH315" t="s">
        <v>12</v>
      </c>
      <c r="AI315" s="2">
        <v>45889</v>
      </c>
      <c r="AJ315" s="2"/>
      <c r="AK315" t="s">
        <v>12</v>
      </c>
    </row>
    <row r="316" spans="1:37" outlineLevel="2" x14ac:dyDescent="0.25">
      <c r="A316" t="s">
        <v>129</v>
      </c>
      <c r="B316" t="s">
        <v>1</v>
      </c>
      <c r="C316" t="s">
        <v>2</v>
      </c>
      <c r="D316" t="s">
        <v>3</v>
      </c>
      <c r="E316" t="s">
        <v>4</v>
      </c>
      <c r="F316" t="s">
        <v>609</v>
      </c>
      <c r="G316" s="2">
        <v>45889</v>
      </c>
      <c r="H316" t="s">
        <v>989</v>
      </c>
      <c r="I316" t="s">
        <v>22</v>
      </c>
      <c r="J316" s="2">
        <v>45889</v>
      </c>
      <c r="K316" s="2">
        <v>45891</v>
      </c>
      <c r="L316" t="s">
        <v>8</v>
      </c>
      <c r="M316" s="26">
        <v>256779416809</v>
      </c>
      <c r="N316" t="s">
        <v>10</v>
      </c>
      <c r="O316" t="s">
        <v>11</v>
      </c>
      <c r="P316" t="s">
        <v>12</v>
      </c>
      <c r="Q316" t="s">
        <v>24</v>
      </c>
      <c r="R316" t="s">
        <v>14</v>
      </c>
      <c r="S316" s="3">
        <v>82.8</v>
      </c>
      <c r="T316" t="s">
        <v>15</v>
      </c>
      <c r="U316" s="3">
        <v>7123.29</v>
      </c>
      <c r="V316" s="3" t="e">
        <f>VLOOKUP(M316,'[1]Query Report'!$A:$E,5,0)</f>
        <v>#N/A</v>
      </c>
      <c r="W316" s="3" t="e">
        <f t="shared" si="27"/>
        <v>#N/A</v>
      </c>
      <c r="X316" s="29" t="e">
        <f t="shared" si="28"/>
        <v>#N/A</v>
      </c>
      <c r="Y316" s="29" t="s">
        <v>1363</v>
      </c>
      <c r="Z316" t="s">
        <v>16</v>
      </c>
      <c r="AA316" t="s">
        <v>17</v>
      </c>
      <c r="AB316" t="s">
        <v>12</v>
      </c>
      <c r="AC316" t="s">
        <v>8</v>
      </c>
      <c r="AD316" t="s">
        <v>18</v>
      </c>
      <c r="AE316" t="s">
        <v>991</v>
      </c>
      <c r="AF316" t="s">
        <v>12</v>
      </c>
      <c r="AG316" t="s">
        <v>12</v>
      </c>
      <c r="AH316" t="s">
        <v>12</v>
      </c>
      <c r="AI316" s="2">
        <v>45889</v>
      </c>
      <c r="AJ316" s="2"/>
      <c r="AK316" t="s">
        <v>12</v>
      </c>
    </row>
    <row r="317" spans="1:37" outlineLevel="2" x14ac:dyDescent="0.25">
      <c r="A317" t="s">
        <v>129</v>
      </c>
      <c r="B317" t="s">
        <v>1</v>
      </c>
      <c r="C317" t="s">
        <v>2</v>
      </c>
      <c r="D317" t="s">
        <v>3</v>
      </c>
      <c r="E317" t="s">
        <v>4</v>
      </c>
      <c r="F317" t="s">
        <v>609</v>
      </c>
      <c r="G317" s="2">
        <v>45889</v>
      </c>
      <c r="H317" t="s">
        <v>992</v>
      </c>
      <c r="I317" t="s">
        <v>22</v>
      </c>
      <c r="J317" s="2">
        <v>45889</v>
      </c>
      <c r="K317" s="2">
        <v>45891</v>
      </c>
      <c r="L317" t="s">
        <v>8</v>
      </c>
      <c r="M317" s="26">
        <v>256779416844</v>
      </c>
      <c r="N317" t="s">
        <v>10</v>
      </c>
      <c r="O317" t="s">
        <v>11</v>
      </c>
      <c r="P317" t="s">
        <v>12</v>
      </c>
      <c r="Q317" t="s">
        <v>24</v>
      </c>
      <c r="R317" t="s">
        <v>14</v>
      </c>
      <c r="S317" s="3">
        <v>141.4</v>
      </c>
      <c r="T317" t="s">
        <v>15</v>
      </c>
      <c r="U317" s="3">
        <v>12164.66</v>
      </c>
      <c r="V317" s="3" t="e">
        <f>VLOOKUP(M317,'[1]Query Report'!$A:$E,5,0)</f>
        <v>#N/A</v>
      </c>
      <c r="W317" s="3" t="e">
        <f t="shared" si="27"/>
        <v>#N/A</v>
      </c>
      <c r="X317" s="29" t="e">
        <f t="shared" si="28"/>
        <v>#N/A</v>
      </c>
      <c r="Y317" s="29" t="s">
        <v>1363</v>
      </c>
      <c r="Z317" t="s">
        <v>16</v>
      </c>
      <c r="AA317" t="s">
        <v>17</v>
      </c>
      <c r="AB317" t="s">
        <v>12</v>
      </c>
      <c r="AC317" t="s">
        <v>8</v>
      </c>
      <c r="AD317" t="s">
        <v>18</v>
      </c>
      <c r="AE317" t="s">
        <v>994</v>
      </c>
      <c r="AF317" t="s">
        <v>12</v>
      </c>
      <c r="AG317" t="s">
        <v>12</v>
      </c>
      <c r="AH317" t="s">
        <v>12</v>
      </c>
      <c r="AI317" s="2">
        <v>45889</v>
      </c>
      <c r="AJ317" s="2"/>
      <c r="AK317" t="s">
        <v>12</v>
      </c>
    </row>
    <row r="318" spans="1:37" outlineLevel="2" x14ac:dyDescent="0.25">
      <c r="A318" t="s">
        <v>129</v>
      </c>
      <c r="B318" t="s">
        <v>1</v>
      </c>
      <c r="C318" t="s">
        <v>2</v>
      </c>
      <c r="D318" t="s">
        <v>3</v>
      </c>
      <c r="E318" t="s">
        <v>4</v>
      </c>
      <c r="F318" t="s">
        <v>609</v>
      </c>
      <c r="G318" s="2">
        <v>45889</v>
      </c>
      <c r="H318" t="s">
        <v>995</v>
      </c>
      <c r="I318" t="s">
        <v>22</v>
      </c>
      <c r="J318" s="2">
        <v>45889</v>
      </c>
      <c r="K318" s="2">
        <v>45891</v>
      </c>
      <c r="L318" t="s">
        <v>8</v>
      </c>
      <c r="M318" s="26">
        <v>256779416878</v>
      </c>
      <c r="N318" t="s">
        <v>10</v>
      </c>
      <c r="O318" t="s">
        <v>11</v>
      </c>
      <c r="P318" t="s">
        <v>12</v>
      </c>
      <c r="Q318" t="s">
        <v>24</v>
      </c>
      <c r="R318" t="s">
        <v>14</v>
      </c>
      <c r="S318" s="3">
        <v>11.52</v>
      </c>
      <c r="T318" t="s">
        <v>15</v>
      </c>
      <c r="U318" s="3">
        <v>991.07</v>
      </c>
      <c r="V318" s="3" t="e">
        <f>VLOOKUP(M318,'[1]Query Report'!$A:$E,5,0)</f>
        <v>#N/A</v>
      </c>
      <c r="W318" s="3" t="e">
        <f t="shared" si="27"/>
        <v>#N/A</v>
      </c>
      <c r="X318" s="29" t="e">
        <f t="shared" si="28"/>
        <v>#N/A</v>
      </c>
      <c r="Y318" s="29" t="s">
        <v>1363</v>
      </c>
      <c r="Z318" t="s">
        <v>16</v>
      </c>
      <c r="AA318" t="s">
        <v>17</v>
      </c>
      <c r="AB318" t="s">
        <v>12</v>
      </c>
      <c r="AC318" t="s">
        <v>8</v>
      </c>
      <c r="AD318" t="s">
        <v>18</v>
      </c>
      <c r="AE318" t="s">
        <v>997</v>
      </c>
      <c r="AF318" t="s">
        <v>12</v>
      </c>
      <c r="AG318" t="s">
        <v>12</v>
      </c>
      <c r="AH318" t="s">
        <v>12</v>
      </c>
      <c r="AI318" s="2">
        <v>45889</v>
      </c>
      <c r="AJ318" s="2"/>
      <c r="AK318" t="s">
        <v>12</v>
      </c>
    </row>
    <row r="319" spans="1:37" outlineLevel="2" x14ac:dyDescent="0.25">
      <c r="A319" t="s">
        <v>129</v>
      </c>
      <c r="B319" t="s">
        <v>1</v>
      </c>
      <c r="C319" t="s">
        <v>2</v>
      </c>
      <c r="D319" t="s">
        <v>3</v>
      </c>
      <c r="E319" t="s">
        <v>4</v>
      </c>
      <c r="F319" t="s">
        <v>334</v>
      </c>
      <c r="G319" s="2">
        <v>45999</v>
      </c>
      <c r="H319" t="s">
        <v>998</v>
      </c>
      <c r="I319" t="s">
        <v>22</v>
      </c>
      <c r="J319" s="2">
        <v>45999</v>
      </c>
      <c r="K319" s="2">
        <v>46000</v>
      </c>
      <c r="L319" t="s">
        <v>8</v>
      </c>
      <c r="M319" s="26">
        <v>256779419867</v>
      </c>
      <c r="N319" t="s">
        <v>10</v>
      </c>
      <c r="O319" t="s">
        <v>11</v>
      </c>
      <c r="P319" t="s">
        <v>12</v>
      </c>
      <c r="Q319" t="s">
        <v>24</v>
      </c>
      <c r="R319" t="s">
        <v>14</v>
      </c>
      <c r="S319" s="3">
        <v>703.51</v>
      </c>
      <c r="T319" t="s">
        <v>15</v>
      </c>
      <c r="U319" s="3">
        <v>62401.440000000002</v>
      </c>
      <c r="V319" s="3" t="e">
        <f>VLOOKUP(M319,'[1]Query Report'!$A:$E,5,0)</f>
        <v>#N/A</v>
      </c>
      <c r="W319" s="3" t="e">
        <f t="shared" si="27"/>
        <v>#N/A</v>
      </c>
      <c r="X319" s="29" t="e">
        <f t="shared" si="28"/>
        <v>#N/A</v>
      </c>
      <c r="Y319" s="29" t="s">
        <v>1363</v>
      </c>
      <c r="Z319" t="s">
        <v>16</v>
      </c>
      <c r="AA319" t="s">
        <v>17</v>
      </c>
      <c r="AB319" t="s">
        <v>12</v>
      </c>
      <c r="AC319" t="s">
        <v>1000</v>
      </c>
      <c r="AD319" t="s">
        <v>18</v>
      </c>
      <c r="AE319" t="s">
        <v>476</v>
      </c>
      <c r="AF319" t="s">
        <v>12</v>
      </c>
      <c r="AG319" t="s">
        <v>12</v>
      </c>
      <c r="AH319" t="s">
        <v>12</v>
      </c>
      <c r="AI319" s="2">
        <v>45999</v>
      </c>
      <c r="AJ319" s="2"/>
      <c r="AK319" t="s">
        <v>12</v>
      </c>
    </row>
    <row r="320" spans="1:37" outlineLevel="2" x14ac:dyDescent="0.25">
      <c r="A320" t="s">
        <v>129</v>
      </c>
      <c r="B320" t="s">
        <v>1</v>
      </c>
      <c r="C320" t="s">
        <v>2</v>
      </c>
      <c r="D320" t="s">
        <v>3</v>
      </c>
      <c r="E320" t="s">
        <v>4</v>
      </c>
      <c r="F320" t="s">
        <v>229</v>
      </c>
      <c r="G320" s="2">
        <v>45821</v>
      </c>
      <c r="H320" t="s">
        <v>1001</v>
      </c>
      <c r="I320" t="s">
        <v>22</v>
      </c>
      <c r="J320" s="2">
        <v>45821</v>
      </c>
      <c r="K320" s="2">
        <v>45825</v>
      </c>
      <c r="L320" t="s">
        <v>8</v>
      </c>
      <c r="M320" s="26">
        <v>256779414340</v>
      </c>
      <c r="N320" t="s">
        <v>10</v>
      </c>
      <c r="O320" t="s">
        <v>11</v>
      </c>
      <c r="P320" t="s">
        <v>12</v>
      </c>
      <c r="Q320" t="s">
        <v>24</v>
      </c>
      <c r="R320" t="s">
        <v>14</v>
      </c>
      <c r="S320" s="3">
        <v>586.09</v>
      </c>
      <c r="T320" t="s">
        <v>15</v>
      </c>
      <c r="U320" s="3">
        <v>50105.29</v>
      </c>
      <c r="V320" s="3" t="e">
        <f>VLOOKUP(M320,'[1]Query Report'!$A:$E,5,0)</f>
        <v>#N/A</v>
      </c>
      <c r="W320" s="3" t="e">
        <f t="shared" si="27"/>
        <v>#N/A</v>
      </c>
      <c r="X320" s="29" t="e">
        <f t="shared" si="28"/>
        <v>#N/A</v>
      </c>
      <c r="Y320" s="29" t="s">
        <v>1363</v>
      </c>
      <c r="Z320" t="s">
        <v>16</v>
      </c>
      <c r="AA320" t="s">
        <v>17</v>
      </c>
      <c r="AB320" t="s">
        <v>12</v>
      </c>
      <c r="AC320" t="s">
        <v>8</v>
      </c>
      <c r="AD320" t="s">
        <v>18</v>
      </c>
      <c r="AE320" t="s">
        <v>1003</v>
      </c>
      <c r="AF320" t="s">
        <v>12</v>
      </c>
      <c r="AG320" t="s">
        <v>12</v>
      </c>
      <c r="AH320" t="s">
        <v>12</v>
      </c>
      <c r="AI320" s="2">
        <v>45821</v>
      </c>
      <c r="AJ320" s="2"/>
      <c r="AK320" t="s">
        <v>12</v>
      </c>
    </row>
    <row r="321" spans="1:37" outlineLevel="2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140</v>
      </c>
      <c r="G321" s="2">
        <v>45758</v>
      </c>
      <c r="H321" t="s">
        <v>1004</v>
      </c>
      <c r="I321" t="s">
        <v>1005</v>
      </c>
      <c r="J321" s="2">
        <v>45758</v>
      </c>
      <c r="K321" s="2">
        <v>45758</v>
      </c>
      <c r="L321" t="s">
        <v>12</v>
      </c>
      <c r="M321" s="26" t="s">
        <v>12</v>
      </c>
      <c r="N321" t="s">
        <v>10</v>
      </c>
      <c r="O321" t="s">
        <v>11</v>
      </c>
      <c r="P321" t="s">
        <v>12</v>
      </c>
      <c r="Q321" t="s">
        <v>1006</v>
      </c>
      <c r="R321" t="s">
        <v>15</v>
      </c>
      <c r="S321" s="3">
        <v>1</v>
      </c>
      <c r="T321" t="s">
        <v>15</v>
      </c>
      <c r="U321" s="3">
        <v>1</v>
      </c>
      <c r="V321" s="3" t="e">
        <f>VLOOKUP(M321,'[1]Query Report'!$A:$E,5,0)</f>
        <v>#N/A</v>
      </c>
      <c r="W321" s="3" t="e">
        <f t="shared" si="27"/>
        <v>#N/A</v>
      </c>
      <c r="X321" s="3"/>
      <c r="Y321" s="3"/>
      <c r="Z321" t="s">
        <v>12</v>
      </c>
      <c r="AA321" t="s">
        <v>17</v>
      </c>
      <c r="AB321" t="s">
        <v>12</v>
      </c>
      <c r="AC321" t="s">
        <v>12</v>
      </c>
      <c r="AD321" t="s">
        <v>18</v>
      </c>
      <c r="AE321" t="s">
        <v>1007</v>
      </c>
      <c r="AF321" t="s">
        <v>12</v>
      </c>
      <c r="AG321" t="s">
        <v>12</v>
      </c>
      <c r="AH321" t="s">
        <v>12</v>
      </c>
      <c r="AI321" s="2">
        <v>45758</v>
      </c>
      <c r="AJ321" s="2">
        <v>45758</v>
      </c>
      <c r="AK321" t="s">
        <v>1004</v>
      </c>
    </row>
    <row r="322" spans="1:37" outlineLevel="2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140</v>
      </c>
      <c r="G322" s="2">
        <v>45758</v>
      </c>
      <c r="H322" t="s">
        <v>1004</v>
      </c>
      <c r="I322" t="s">
        <v>1005</v>
      </c>
      <c r="J322" s="2">
        <v>45758</v>
      </c>
      <c r="K322" s="2">
        <v>45758</v>
      </c>
      <c r="L322" t="s">
        <v>12</v>
      </c>
      <c r="M322" s="26" t="s">
        <v>12</v>
      </c>
      <c r="N322" t="s">
        <v>10</v>
      </c>
      <c r="O322" t="s">
        <v>11</v>
      </c>
      <c r="P322" t="s">
        <v>12</v>
      </c>
      <c r="Q322" t="s">
        <v>1008</v>
      </c>
      <c r="R322" t="s">
        <v>15</v>
      </c>
      <c r="S322" s="3">
        <v>-1</v>
      </c>
      <c r="T322" t="s">
        <v>15</v>
      </c>
      <c r="U322" s="3">
        <v>-1</v>
      </c>
      <c r="V322" s="3" t="e">
        <f>VLOOKUP(M322,'[1]Query Report'!$A:$E,5,0)</f>
        <v>#N/A</v>
      </c>
      <c r="W322" s="3" t="e">
        <f t="shared" si="27"/>
        <v>#N/A</v>
      </c>
      <c r="X322" s="3"/>
      <c r="Y322" s="3"/>
      <c r="Z322" t="s">
        <v>12</v>
      </c>
      <c r="AA322" t="s">
        <v>17</v>
      </c>
      <c r="AB322" t="s">
        <v>12</v>
      </c>
      <c r="AC322" t="s">
        <v>12</v>
      </c>
      <c r="AD322" t="s">
        <v>358</v>
      </c>
      <c r="AE322" t="s">
        <v>1007</v>
      </c>
      <c r="AF322" t="s">
        <v>12</v>
      </c>
      <c r="AG322" t="s">
        <v>12</v>
      </c>
      <c r="AH322" t="s">
        <v>12</v>
      </c>
      <c r="AI322" s="2">
        <v>45758</v>
      </c>
      <c r="AJ322" s="2">
        <v>45758</v>
      </c>
      <c r="AK322" t="s">
        <v>1004</v>
      </c>
    </row>
    <row r="323" spans="1:37" outlineLevel="2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313</v>
      </c>
      <c r="G323" s="2">
        <v>45902</v>
      </c>
      <c r="H323" t="s">
        <v>207</v>
      </c>
      <c r="I323" t="s">
        <v>1009</v>
      </c>
      <c r="J323" s="2">
        <v>45902</v>
      </c>
      <c r="K323" s="2">
        <v>45902</v>
      </c>
      <c r="L323" t="s">
        <v>12</v>
      </c>
      <c r="M323" s="26" t="s">
        <v>12</v>
      </c>
      <c r="N323" t="s">
        <v>10</v>
      </c>
      <c r="O323" t="s">
        <v>11</v>
      </c>
      <c r="P323" t="s">
        <v>12</v>
      </c>
      <c r="Q323" t="s">
        <v>1010</v>
      </c>
      <c r="R323" t="s">
        <v>15</v>
      </c>
      <c r="S323" s="3">
        <v>79944.34</v>
      </c>
      <c r="T323" t="s">
        <v>15</v>
      </c>
      <c r="U323" s="3">
        <v>78561.62</v>
      </c>
      <c r="V323" s="3" t="e">
        <f>VLOOKUP(M323,'[1]Query Report'!$A:$E,5,0)</f>
        <v>#N/A</v>
      </c>
      <c r="W323" s="3" t="e">
        <f t="shared" si="27"/>
        <v>#N/A</v>
      </c>
      <c r="X323" s="3"/>
      <c r="Y323" s="3"/>
      <c r="Z323" t="s">
        <v>12</v>
      </c>
      <c r="AA323" t="s">
        <v>17</v>
      </c>
      <c r="AB323" t="s">
        <v>12</v>
      </c>
      <c r="AC323" t="s">
        <v>12</v>
      </c>
      <c r="AD323" t="s">
        <v>18</v>
      </c>
      <c r="AE323" t="s">
        <v>12</v>
      </c>
      <c r="AF323" t="s">
        <v>12</v>
      </c>
      <c r="AG323" t="s">
        <v>12</v>
      </c>
      <c r="AH323" t="s">
        <v>12</v>
      </c>
      <c r="AI323" s="2">
        <v>45902</v>
      </c>
      <c r="AJ323" s="2">
        <v>45902</v>
      </c>
      <c r="AK323" t="s">
        <v>207</v>
      </c>
    </row>
    <row r="324" spans="1:37" outlineLevel="2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313</v>
      </c>
      <c r="G324" s="2">
        <v>45902</v>
      </c>
      <c r="H324" t="s">
        <v>207</v>
      </c>
      <c r="I324" t="s">
        <v>1009</v>
      </c>
      <c r="J324" s="2">
        <v>45902</v>
      </c>
      <c r="K324" s="2">
        <v>45902</v>
      </c>
      <c r="L324" t="s">
        <v>12</v>
      </c>
      <c r="M324" s="26" t="s">
        <v>12</v>
      </c>
      <c r="N324" t="s">
        <v>10</v>
      </c>
      <c r="O324" t="s">
        <v>11</v>
      </c>
      <c r="P324" t="s">
        <v>12</v>
      </c>
      <c r="Q324" t="s">
        <v>484</v>
      </c>
      <c r="R324" t="s">
        <v>15</v>
      </c>
      <c r="S324" s="3">
        <v>-79944.34</v>
      </c>
      <c r="T324" t="s">
        <v>15</v>
      </c>
      <c r="U324" s="3">
        <v>-78095.820000000007</v>
      </c>
      <c r="V324" s="3" t="e">
        <f>VLOOKUP(M324,'[1]Query Report'!$A:$E,5,0)</f>
        <v>#N/A</v>
      </c>
      <c r="W324" s="3" t="e">
        <f t="shared" ref="W324:W387" si="29">U324-V324</f>
        <v>#N/A</v>
      </c>
      <c r="X324" s="3"/>
      <c r="Y324" s="3"/>
      <c r="Z324" t="s">
        <v>12</v>
      </c>
      <c r="AA324" t="s">
        <v>17</v>
      </c>
      <c r="AB324" t="s">
        <v>12</v>
      </c>
      <c r="AC324" t="s">
        <v>12</v>
      </c>
      <c r="AD324" t="s">
        <v>358</v>
      </c>
      <c r="AE324" t="s">
        <v>12</v>
      </c>
      <c r="AF324" t="s">
        <v>12</v>
      </c>
      <c r="AG324" t="s">
        <v>12</v>
      </c>
      <c r="AH324" t="s">
        <v>12</v>
      </c>
      <c r="AI324" s="2">
        <v>45902</v>
      </c>
      <c r="AJ324" s="2">
        <v>45902</v>
      </c>
      <c r="AK324" t="s">
        <v>207</v>
      </c>
    </row>
    <row r="325" spans="1:37" outlineLevel="2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45854</v>
      </c>
      <c r="H325" t="s">
        <v>20</v>
      </c>
      <c r="I325" t="s">
        <v>1009</v>
      </c>
      <c r="J325" s="2">
        <v>45854</v>
      </c>
      <c r="K325" s="2">
        <v>45855</v>
      </c>
      <c r="L325" t="s">
        <v>8</v>
      </c>
      <c r="M325" s="26" t="s">
        <v>12</v>
      </c>
      <c r="N325" t="s">
        <v>10</v>
      </c>
      <c r="O325" t="s">
        <v>11</v>
      </c>
      <c r="P325" t="s">
        <v>12</v>
      </c>
      <c r="Q325" t="s">
        <v>1010</v>
      </c>
      <c r="R325" t="s">
        <v>14</v>
      </c>
      <c r="S325" s="3">
        <v>1793.99</v>
      </c>
      <c r="T325" t="s">
        <v>15</v>
      </c>
      <c r="U325" s="3">
        <v>154827.9</v>
      </c>
      <c r="V325" s="3" t="e">
        <f>VLOOKUP(M325,'[1]Query Report'!$A:$E,5,0)</f>
        <v>#N/A</v>
      </c>
      <c r="W325" s="3" t="e">
        <f t="shared" si="29"/>
        <v>#N/A</v>
      </c>
      <c r="X325" s="3"/>
      <c r="Y325" s="3"/>
      <c r="Z325" t="s">
        <v>12</v>
      </c>
      <c r="AA325" t="s">
        <v>17</v>
      </c>
      <c r="AB325" t="s">
        <v>12</v>
      </c>
      <c r="AC325" t="s">
        <v>12</v>
      </c>
      <c r="AD325" t="s">
        <v>18</v>
      </c>
      <c r="AE325" t="s">
        <v>12</v>
      </c>
      <c r="AF325" t="s">
        <v>12</v>
      </c>
      <c r="AG325" t="s">
        <v>12</v>
      </c>
      <c r="AH325" t="s">
        <v>12</v>
      </c>
      <c r="AI325" s="2">
        <v>45854</v>
      </c>
      <c r="AJ325" s="2">
        <v>45854</v>
      </c>
      <c r="AK325" t="s">
        <v>20</v>
      </c>
    </row>
    <row r="326" spans="1:37" outlineLevel="2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45854</v>
      </c>
      <c r="H326" t="s">
        <v>20</v>
      </c>
      <c r="I326" t="s">
        <v>1009</v>
      </c>
      <c r="J326" s="2">
        <v>45854</v>
      </c>
      <c r="K326" s="2">
        <v>45855</v>
      </c>
      <c r="L326" t="s">
        <v>8</v>
      </c>
      <c r="M326" s="26" t="s">
        <v>12</v>
      </c>
      <c r="N326" t="s">
        <v>10</v>
      </c>
      <c r="O326" t="s">
        <v>11</v>
      </c>
      <c r="P326" t="s">
        <v>12</v>
      </c>
      <c r="Q326" t="s">
        <v>484</v>
      </c>
      <c r="R326" t="s">
        <v>14</v>
      </c>
      <c r="S326" s="3">
        <v>-1793.99</v>
      </c>
      <c r="T326" t="s">
        <v>15</v>
      </c>
      <c r="U326" s="3">
        <v>-154827.9</v>
      </c>
      <c r="V326" s="3" t="e">
        <f>VLOOKUP(M326,'[1]Query Report'!$A:$E,5,0)</f>
        <v>#N/A</v>
      </c>
      <c r="W326" s="3" t="e">
        <f t="shared" si="29"/>
        <v>#N/A</v>
      </c>
      <c r="X326" s="3"/>
      <c r="Y326" s="3"/>
      <c r="Z326" t="s">
        <v>12</v>
      </c>
      <c r="AA326" t="s">
        <v>17</v>
      </c>
      <c r="AB326" t="s">
        <v>12</v>
      </c>
      <c r="AC326" t="s">
        <v>12</v>
      </c>
      <c r="AD326" t="s">
        <v>358</v>
      </c>
      <c r="AE326" t="s">
        <v>12</v>
      </c>
      <c r="AF326" t="s">
        <v>12</v>
      </c>
      <c r="AG326" t="s">
        <v>12</v>
      </c>
      <c r="AH326" t="s">
        <v>12</v>
      </c>
      <c r="AI326" s="2">
        <v>45854</v>
      </c>
      <c r="AJ326" s="2">
        <v>45854</v>
      </c>
      <c r="AK326" t="s">
        <v>20</v>
      </c>
    </row>
    <row r="327" spans="1:37" outlineLevel="2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2">
        <v>45854</v>
      </c>
      <c r="H327" t="s">
        <v>29</v>
      </c>
      <c r="I327" t="s">
        <v>1009</v>
      </c>
      <c r="J327" s="2">
        <v>45854</v>
      </c>
      <c r="K327" s="2">
        <v>45855</v>
      </c>
      <c r="L327" t="s">
        <v>8</v>
      </c>
      <c r="M327" s="26" t="s">
        <v>12</v>
      </c>
      <c r="N327" t="s">
        <v>10</v>
      </c>
      <c r="O327" t="s">
        <v>11</v>
      </c>
      <c r="P327" t="s">
        <v>12</v>
      </c>
      <c r="Q327" t="s">
        <v>1010</v>
      </c>
      <c r="R327" t="s">
        <v>14</v>
      </c>
      <c r="S327" s="3">
        <v>705</v>
      </c>
      <c r="T327" t="s">
        <v>15</v>
      </c>
      <c r="U327" s="3">
        <v>60844.08</v>
      </c>
      <c r="V327" s="3" t="e">
        <f>VLOOKUP(M327,'[1]Query Report'!$A:$E,5,0)</f>
        <v>#N/A</v>
      </c>
      <c r="W327" s="3" t="e">
        <f t="shared" si="29"/>
        <v>#N/A</v>
      </c>
      <c r="X327" s="3"/>
      <c r="Y327" s="3"/>
      <c r="Z327" t="s">
        <v>12</v>
      </c>
      <c r="AA327" t="s">
        <v>17</v>
      </c>
      <c r="AB327" t="s">
        <v>12</v>
      </c>
      <c r="AC327" t="s">
        <v>12</v>
      </c>
      <c r="AD327" t="s">
        <v>18</v>
      </c>
      <c r="AE327" t="s">
        <v>12</v>
      </c>
      <c r="AF327" t="s">
        <v>12</v>
      </c>
      <c r="AG327" t="s">
        <v>12</v>
      </c>
      <c r="AH327" t="s">
        <v>12</v>
      </c>
      <c r="AI327" s="2">
        <v>45854</v>
      </c>
      <c r="AJ327" s="2">
        <v>45854</v>
      </c>
      <c r="AK327" t="s">
        <v>29</v>
      </c>
    </row>
    <row r="328" spans="1:37" outlineLevel="2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s="2">
        <v>45854</v>
      </c>
      <c r="H328" t="s">
        <v>29</v>
      </c>
      <c r="I328" t="s">
        <v>1009</v>
      </c>
      <c r="J328" s="2">
        <v>45854</v>
      </c>
      <c r="K328" s="2">
        <v>45855</v>
      </c>
      <c r="L328" t="s">
        <v>8</v>
      </c>
      <c r="M328" s="26" t="s">
        <v>12</v>
      </c>
      <c r="N328" t="s">
        <v>10</v>
      </c>
      <c r="O328" t="s">
        <v>11</v>
      </c>
      <c r="P328" t="s">
        <v>12</v>
      </c>
      <c r="Q328" t="s">
        <v>484</v>
      </c>
      <c r="R328" t="s">
        <v>14</v>
      </c>
      <c r="S328" s="3">
        <v>-705</v>
      </c>
      <c r="T328" t="s">
        <v>15</v>
      </c>
      <c r="U328" s="3">
        <v>-60844.08</v>
      </c>
      <c r="V328" s="3" t="e">
        <f>VLOOKUP(M328,'[1]Query Report'!$A:$E,5,0)</f>
        <v>#N/A</v>
      </c>
      <c r="W328" s="3" t="e">
        <f t="shared" si="29"/>
        <v>#N/A</v>
      </c>
      <c r="X328" s="3"/>
      <c r="Y328" s="3"/>
      <c r="Z328" t="s">
        <v>12</v>
      </c>
      <c r="AA328" t="s">
        <v>17</v>
      </c>
      <c r="AB328" t="s">
        <v>12</v>
      </c>
      <c r="AC328" t="s">
        <v>12</v>
      </c>
      <c r="AD328" t="s">
        <v>358</v>
      </c>
      <c r="AE328" t="s">
        <v>12</v>
      </c>
      <c r="AF328" t="s">
        <v>12</v>
      </c>
      <c r="AG328" t="s">
        <v>12</v>
      </c>
      <c r="AH328" t="s">
        <v>12</v>
      </c>
      <c r="AI328" s="2">
        <v>45854</v>
      </c>
      <c r="AJ328" s="2">
        <v>45854</v>
      </c>
      <c r="AK328" t="s">
        <v>29</v>
      </c>
    </row>
    <row r="329" spans="1:37" outlineLevel="2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2">
        <v>45854</v>
      </c>
      <c r="H329" t="s">
        <v>36</v>
      </c>
      <c r="I329" t="s">
        <v>1009</v>
      </c>
      <c r="J329" s="2">
        <v>45854</v>
      </c>
      <c r="K329" s="2">
        <v>45855</v>
      </c>
      <c r="L329" t="s">
        <v>8</v>
      </c>
      <c r="M329" s="26" t="s">
        <v>12</v>
      </c>
      <c r="N329" t="s">
        <v>10</v>
      </c>
      <c r="O329" t="s">
        <v>11</v>
      </c>
      <c r="P329" t="s">
        <v>12</v>
      </c>
      <c r="Q329" t="s">
        <v>1010</v>
      </c>
      <c r="R329" t="s">
        <v>14</v>
      </c>
      <c r="S329" s="3">
        <v>216.2</v>
      </c>
      <c r="T329" t="s">
        <v>15</v>
      </c>
      <c r="U329" s="3">
        <v>18742.650000000001</v>
      </c>
      <c r="V329" s="3" t="e">
        <f>VLOOKUP(M329,'[1]Query Report'!$A:$E,5,0)</f>
        <v>#N/A</v>
      </c>
      <c r="W329" s="3" t="e">
        <f t="shared" si="29"/>
        <v>#N/A</v>
      </c>
      <c r="X329" s="3"/>
      <c r="Y329" s="3"/>
      <c r="Z329" t="s">
        <v>12</v>
      </c>
      <c r="AA329" t="s">
        <v>17</v>
      </c>
      <c r="AB329" t="s">
        <v>12</v>
      </c>
      <c r="AC329" t="s">
        <v>12</v>
      </c>
      <c r="AD329" t="s">
        <v>18</v>
      </c>
      <c r="AE329" t="s">
        <v>12</v>
      </c>
      <c r="AF329" t="s">
        <v>12</v>
      </c>
      <c r="AG329" t="s">
        <v>12</v>
      </c>
      <c r="AH329" t="s">
        <v>12</v>
      </c>
      <c r="AI329" s="2">
        <v>45854</v>
      </c>
      <c r="AJ329" s="2">
        <v>45854</v>
      </c>
      <c r="AK329" t="s">
        <v>36</v>
      </c>
    </row>
    <row r="330" spans="1:37" outlineLevel="2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s="2">
        <v>45854</v>
      </c>
      <c r="H330" t="s">
        <v>36</v>
      </c>
      <c r="I330" t="s">
        <v>1009</v>
      </c>
      <c r="J330" s="2">
        <v>45854</v>
      </c>
      <c r="K330" s="2">
        <v>45855</v>
      </c>
      <c r="L330" t="s">
        <v>8</v>
      </c>
      <c r="M330" s="26" t="s">
        <v>12</v>
      </c>
      <c r="N330" t="s">
        <v>10</v>
      </c>
      <c r="O330" t="s">
        <v>11</v>
      </c>
      <c r="P330" t="s">
        <v>12</v>
      </c>
      <c r="Q330" t="s">
        <v>484</v>
      </c>
      <c r="R330" t="s">
        <v>14</v>
      </c>
      <c r="S330" s="3">
        <v>-216.2</v>
      </c>
      <c r="T330" t="s">
        <v>15</v>
      </c>
      <c r="U330" s="3">
        <v>-18742.650000000001</v>
      </c>
      <c r="V330" s="3" t="e">
        <f>VLOOKUP(M330,'[1]Query Report'!$A:$E,5,0)</f>
        <v>#N/A</v>
      </c>
      <c r="W330" s="3" t="e">
        <f t="shared" si="29"/>
        <v>#N/A</v>
      </c>
      <c r="X330" s="3"/>
      <c r="Y330" s="3"/>
      <c r="Z330" t="s">
        <v>12</v>
      </c>
      <c r="AA330" t="s">
        <v>17</v>
      </c>
      <c r="AB330" t="s">
        <v>12</v>
      </c>
      <c r="AC330" t="s">
        <v>12</v>
      </c>
      <c r="AD330" t="s">
        <v>358</v>
      </c>
      <c r="AE330" t="s">
        <v>12</v>
      </c>
      <c r="AF330" t="s">
        <v>12</v>
      </c>
      <c r="AG330" t="s">
        <v>12</v>
      </c>
      <c r="AH330" t="s">
        <v>12</v>
      </c>
      <c r="AI330" s="2">
        <v>45854</v>
      </c>
      <c r="AJ330" s="2">
        <v>45854</v>
      </c>
      <c r="AK330" t="s">
        <v>36</v>
      </c>
    </row>
    <row r="331" spans="1:37" outlineLevel="2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s="2">
        <v>45854</v>
      </c>
      <c r="H331" t="s">
        <v>43</v>
      </c>
      <c r="I331" t="s">
        <v>1009</v>
      </c>
      <c r="J331" s="2">
        <v>45854</v>
      </c>
      <c r="K331" s="2">
        <v>45855</v>
      </c>
      <c r="L331" t="s">
        <v>8</v>
      </c>
      <c r="M331" s="26" t="s">
        <v>12</v>
      </c>
      <c r="N331" t="s">
        <v>10</v>
      </c>
      <c r="O331" t="s">
        <v>11</v>
      </c>
      <c r="P331" t="s">
        <v>12</v>
      </c>
      <c r="Q331" t="s">
        <v>1010</v>
      </c>
      <c r="R331" t="s">
        <v>14</v>
      </c>
      <c r="S331" s="3">
        <v>1926.06</v>
      </c>
      <c r="T331" t="s">
        <v>15</v>
      </c>
      <c r="U331" s="3">
        <v>166972.57</v>
      </c>
      <c r="V331" s="3" t="e">
        <f>VLOOKUP(M331,'[1]Query Report'!$A:$E,5,0)</f>
        <v>#N/A</v>
      </c>
      <c r="W331" s="3" t="e">
        <f t="shared" si="29"/>
        <v>#N/A</v>
      </c>
      <c r="X331" s="3"/>
      <c r="Y331" s="3"/>
      <c r="Z331" t="s">
        <v>12</v>
      </c>
      <c r="AA331" t="s">
        <v>17</v>
      </c>
      <c r="AB331" t="s">
        <v>12</v>
      </c>
      <c r="AC331" t="s">
        <v>12</v>
      </c>
      <c r="AD331" t="s">
        <v>18</v>
      </c>
      <c r="AE331" t="s">
        <v>12</v>
      </c>
      <c r="AF331" t="s">
        <v>12</v>
      </c>
      <c r="AG331" t="s">
        <v>12</v>
      </c>
      <c r="AH331" t="s">
        <v>12</v>
      </c>
      <c r="AI331" s="2">
        <v>45854</v>
      </c>
      <c r="AJ331" s="2">
        <v>45854</v>
      </c>
      <c r="AK331" t="s">
        <v>43</v>
      </c>
    </row>
    <row r="332" spans="1:37" outlineLevel="2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s="2">
        <v>45854</v>
      </c>
      <c r="H332" t="s">
        <v>43</v>
      </c>
      <c r="I332" t="s">
        <v>1009</v>
      </c>
      <c r="J332" s="2">
        <v>45854</v>
      </c>
      <c r="K332" s="2">
        <v>45855</v>
      </c>
      <c r="L332" t="s">
        <v>8</v>
      </c>
      <c r="M332" s="26" t="s">
        <v>12</v>
      </c>
      <c r="N332" t="s">
        <v>10</v>
      </c>
      <c r="O332" t="s">
        <v>11</v>
      </c>
      <c r="P332" t="s">
        <v>12</v>
      </c>
      <c r="Q332" t="s">
        <v>484</v>
      </c>
      <c r="R332" t="s">
        <v>14</v>
      </c>
      <c r="S332" s="3">
        <v>-1926.06</v>
      </c>
      <c r="T332" t="s">
        <v>15</v>
      </c>
      <c r="U332" s="3">
        <v>-166972.57</v>
      </c>
      <c r="V332" s="3" t="e">
        <f>VLOOKUP(M332,'[1]Query Report'!$A:$E,5,0)</f>
        <v>#N/A</v>
      </c>
      <c r="W332" s="3" t="e">
        <f t="shared" si="29"/>
        <v>#N/A</v>
      </c>
      <c r="X332" s="3"/>
      <c r="Y332" s="3"/>
      <c r="Z332" t="s">
        <v>12</v>
      </c>
      <c r="AA332" t="s">
        <v>17</v>
      </c>
      <c r="AB332" t="s">
        <v>12</v>
      </c>
      <c r="AC332" t="s">
        <v>12</v>
      </c>
      <c r="AD332" t="s">
        <v>358</v>
      </c>
      <c r="AE332" t="s">
        <v>12</v>
      </c>
      <c r="AF332" t="s">
        <v>12</v>
      </c>
      <c r="AG332" t="s">
        <v>12</v>
      </c>
      <c r="AH332" t="s">
        <v>12</v>
      </c>
      <c r="AI332" s="2">
        <v>45854</v>
      </c>
      <c r="AJ332" s="2">
        <v>45854</v>
      </c>
      <c r="AK332" t="s">
        <v>43</v>
      </c>
    </row>
    <row r="333" spans="1:37" outlineLevel="2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2">
        <v>45854</v>
      </c>
      <c r="H333" t="s">
        <v>50</v>
      </c>
      <c r="I333" t="s">
        <v>1009</v>
      </c>
      <c r="J333" s="2">
        <v>45854</v>
      </c>
      <c r="K333" s="2">
        <v>45855</v>
      </c>
      <c r="L333" t="s">
        <v>8</v>
      </c>
      <c r="M333" s="26" t="s">
        <v>12</v>
      </c>
      <c r="N333" t="s">
        <v>10</v>
      </c>
      <c r="O333" t="s">
        <v>11</v>
      </c>
      <c r="P333" t="s">
        <v>12</v>
      </c>
      <c r="Q333" t="s">
        <v>1010</v>
      </c>
      <c r="R333" t="s">
        <v>14</v>
      </c>
      <c r="S333" s="3">
        <v>531.9</v>
      </c>
      <c r="T333" t="s">
        <v>15</v>
      </c>
      <c r="U333" s="3">
        <v>46111.08</v>
      </c>
      <c r="V333" s="3" t="e">
        <f>VLOOKUP(M333,'[1]Query Report'!$A:$E,5,0)</f>
        <v>#N/A</v>
      </c>
      <c r="W333" s="3" t="e">
        <f t="shared" si="29"/>
        <v>#N/A</v>
      </c>
      <c r="X333" s="3"/>
      <c r="Y333" s="3"/>
      <c r="Z333" t="s">
        <v>12</v>
      </c>
      <c r="AA333" t="s">
        <v>17</v>
      </c>
      <c r="AB333" t="s">
        <v>12</v>
      </c>
      <c r="AC333" t="s">
        <v>12</v>
      </c>
      <c r="AD333" t="s">
        <v>18</v>
      </c>
      <c r="AE333" t="s">
        <v>12</v>
      </c>
      <c r="AF333" t="s">
        <v>12</v>
      </c>
      <c r="AG333" t="s">
        <v>12</v>
      </c>
      <c r="AH333" t="s">
        <v>12</v>
      </c>
      <c r="AI333" s="2">
        <v>45854</v>
      </c>
      <c r="AJ333" s="2">
        <v>45854</v>
      </c>
      <c r="AK333" t="s">
        <v>50</v>
      </c>
    </row>
    <row r="334" spans="1:37" outlineLevel="2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s="2">
        <v>45854</v>
      </c>
      <c r="H334" t="s">
        <v>50</v>
      </c>
      <c r="I334" t="s">
        <v>1009</v>
      </c>
      <c r="J334" s="2">
        <v>45854</v>
      </c>
      <c r="K334" s="2">
        <v>45855</v>
      </c>
      <c r="L334" t="s">
        <v>8</v>
      </c>
      <c r="M334" s="26" t="s">
        <v>12</v>
      </c>
      <c r="N334" t="s">
        <v>10</v>
      </c>
      <c r="O334" t="s">
        <v>11</v>
      </c>
      <c r="P334" t="s">
        <v>12</v>
      </c>
      <c r="Q334" t="s">
        <v>484</v>
      </c>
      <c r="R334" t="s">
        <v>14</v>
      </c>
      <c r="S334" s="3">
        <v>-531.9</v>
      </c>
      <c r="T334" t="s">
        <v>15</v>
      </c>
      <c r="U334" s="3">
        <v>-46111.08</v>
      </c>
      <c r="V334" s="3" t="e">
        <f>VLOOKUP(M334,'[1]Query Report'!$A:$E,5,0)</f>
        <v>#N/A</v>
      </c>
      <c r="W334" s="3" t="e">
        <f t="shared" si="29"/>
        <v>#N/A</v>
      </c>
      <c r="X334" s="3"/>
      <c r="Y334" s="3"/>
      <c r="Z334" t="s">
        <v>12</v>
      </c>
      <c r="AA334" t="s">
        <v>17</v>
      </c>
      <c r="AB334" t="s">
        <v>12</v>
      </c>
      <c r="AC334" t="s">
        <v>12</v>
      </c>
      <c r="AD334" t="s">
        <v>358</v>
      </c>
      <c r="AE334" t="s">
        <v>12</v>
      </c>
      <c r="AF334" t="s">
        <v>12</v>
      </c>
      <c r="AG334" t="s">
        <v>12</v>
      </c>
      <c r="AH334" t="s">
        <v>12</v>
      </c>
      <c r="AI334" s="2">
        <v>45854</v>
      </c>
      <c r="AJ334" s="2">
        <v>45854</v>
      </c>
      <c r="AK334" t="s">
        <v>50</v>
      </c>
    </row>
    <row r="335" spans="1:37" outlineLevel="2" x14ac:dyDescent="0.25">
      <c r="A335" t="s">
        <v>129</v>
      </c>
      <c r="B335" t="s">
        <v>1</v>
      </c>
      <c r="C335" t="s">
        <v>2</v>
      </c>
      <c r="D335" t="s">
        <v>3</v>
      </c>
      <c r="E335" t="s">
        <v>4</v>
      </c>
      <c r="F335" t="s">
        <v>176</v>
      </c>
      <c r="G335" s="2">
        <v>45946</v>
      </c>
      <c r="H335" t="s">
        <v>1011</v>
      </c>
      <c r="I335" t="s">
        <v>482</v>
      </c>
      <c r="J335" s="2">
        <v>45946</v>
      </c>
      <c r="K335" s="2">
        <v>45946</v>
      </c>
      <c r="L335" t="s">
        <v>1012</v>
      </c>
      <c r="M335" s="26" t="s">
        <v>12</v>
      </c>
      <c r="N335" t="s">
        <v>10</v>
      </c>
      <c r="O335" t="s">
        <v>11</v>
      </c>
      <c r="P335" t="s">
        <v>12</v>
      </c>
      <c r="Q335" t="s">
        <v>484</v>
      </c>
      <c r="R335" t="s">
        <v>15</v>
      </c>
      <c r="S335" s="3">
        <v>-500000</v>
      </c>
      <c r="T335" t="s">
        <v>15</v>
      </c>
      <c r="U335" s="3">
        <v>-500000</v>
      </c>
      <c r="V335" s="3" t="e">
        <f>VLOOKUP(M335,'[1]Query Report'!$A:$E,5,0)</f>
        <v>#N/A</v>
      </c>
      <c r="W335" s="3" t="e">
        <f t="shared" si="29"/>
        <v>#N/A</v>
      </c>
      <c r="X335" s="3"/>
      <c r="Y335" s="3"/>
      <c r="Z335" t="s">
        <v>12</v>
      </c>
      <c r="AA335" t="s">
        <v>485</v>
      </c>
      <c r="AB335" t="s">
        <v>12</v>
      </c>
      <c r="AC335" t="s">
        <v>12</v>
      </c>
      <c r="AD335" t="s">
        <v>358</v>
      </c>
      <c r="AE335" t="s">
        <v>12</v>
      </c>
      <c r="AF335" t="s">
        <v>12</v>
      </c>
      <c r="AG335" t="s">
        <v>12</v>
      </c>
      <c r="AH335" t="s">
        <v>12</v>
      </c>
      <c r="AI335" s="2">
        <v>45946</v>
      </c>
      <c r="AJ335" s="2"/>
      <c r="AK335" t="s">
        <v>12</v>
      </c>
    </row>
    <row r="336" spans="1:37" outlineLevel="2" x14ac:dyDescent="0.25">
      <c r="A336" t="s">
        <v>129</v>
      </c>
      <c r="B336" t="s">
        <v>1</v>
      </c>
      <c r="C336" t="s">
        <v>2</v>
      </c>
      <c r="D336" t="s">
        <v>3</v>
      </c>
      <c r="E336" t="s">
        <v>4</v>
      </c>
      <c r="F336" t="s">
        <v>176</v>
      </c>
      <c r="G336" s="2">
        <v>45959</v>
      </c>
      <c r="H336" t="s">
        <v>1013</v>
      </c>
      <c r="I336" t="s">
        <v>482</v>
      </c>
      <c r="J336" s="2">
        <v>45959</v>
      </c>
      <c r="K336" s="2">
        <v>45959</v>
      </c>
      <c r="L336" t="s">
        <v>1014</v>
      </c>
      <c r="M336" s="26" t="s">
        <v>12</v>
      </c>
      <c r="N336" t="s">
        <v>10</v>
      </c>
      <c r="O336" t="s">
        <v>11</v>
      </c>
      <c r="P336" t="s">
        <v>12</v>
      </c>
      <c r="Q336" t="s">
        <v>484</v>
      </c>
      <c r="R336" t="s">
        <v>15</v>
      </c>
      <c r="S336" s="3">
        <v>-500000</v>
      </c>
      <c r="T336" t="s">
        <v>15</v>
      </c>
      <c r="U336" s="3">
        <v>-500000</v>
      </c>
      <c r="V336" s="3" t="e">
        <f>VLOOKUP(M336,'[1]Query Report'!$A:$E,5,0)</f>
        <v>#N/A</v>
      </c>
      <c r="W336" s="3" t="e">
        <f t="shared" si="29"/>
        <v>#N/A</v>
      </c>
      <c r="X336" s="3"/>
      <c r="Y336" s="3"/>
      <c r="Z336" t="s">
        <v>12</v>
      </c>
      <c r="AA336" t="s">
        <v>485</v>
      </c>
      <c r="AB336" t="s">
        <v>12</v>
      </c>
      <c r="AC336" t="s">
        <v>12</v>
      </c>
      <c r="AD336" t="s">
        <v>358</v>
      </c>
      <c r="AE336" t="s">
        <v>12</v>
      </c>
      <c r="AF336" t="s">
        <v>12</v>
      </c>
      <c r="AG336" t="s">
        <v>12</v>
      </c>
      <c r="AH336" t="s">
        <v>12</v>
      </c>
      <c r="AI336" s="2">
        <v>45959</v>
      </c>
      <c r="AJ336" s="2"/>
      <c r="AK336" t="s">
        <v>12</v>
      </c>
    </row>
    <row r="337" spans="1:37" outlineLevel="2" x14ac:dyDescent="0.25">
      <c r="A337" t="s">
        <v>129</v>
      </c>
      <c r="B337" t="s">
        <v>1</v>
      </c>
      <c r="C337" t="s">
        <v>2</v>
      </c>
      <c r="D337" t="s">
        <v>3</v>
      </c>
      <c r="E337" t="s">
        <v>4</v>
      </c>
      <c r="F337" t="s">
        <v>13</v>
      </c>
      <c r="G337" s="2">
        <v>45972</v>
      </c>
      <c r="H337" t="s">
        <v>1015</v>
      </c>
      <c r="I337" t="s">
        <v>482</v>
      </c>
      <c r="J337" s="2">
        <v>45972</v>
      </c>
      <c r="K337" s="2">
        <v>45972</v>
      </c>
      <c r="L337" t="s">
        <v>1016</v>
      </c>
      <c r="M337" s="26" t="s">
        <v>12</v>
      </c>
      <c r="N337" t="s">
        <v>10</v>
      </c>
      <c r="O337" t="s">
        <v>11</v>
      </c>
      <c r="P337" t="s">
        <v>12</v>
      </c>
      <c r="Q337" t="s">
        <v>484</v>
      </c>
      <c r="R337" t="s">
        <v>15</v>
      </c>
      <c r="S337" s="3">
        <v>-500000</v>
      </c>
      <c r="T337" t="s">
        <v>15</v>
      </c>
      <c r="U337" s="3">
        <v>-500000</v>
      </c>
      <c r="V337" s="3" t="e">
        <f>VLOOKUP(M337,'[1]Query Report'!$A:$E,5,0)</f>
        <v>#N/A</v>
      </c>
      <c r="W337" s="3" t="e">
        <f t="shared" si="29"/>
        <v>#N/A</v>
      </c>
      <c r="X337" s="3"/>
      <c r="Y337" s="3"/>
      <c r="Z337" t="s">
        <v>12</v>
      </c>
      <c r="AA337" t="s">
        <v>485</v>
      </c>
      <c r="AB337" t="s">
        <v>12</v>
      </c>
      <c r="AC337" t="s">
        <v>12</v>
      </c>
      <c r="AD337" t="s">
        <v>358</v>
      </c>
      <c r="AE337" t="s">
        <v>12</v>
      </c>
      <c r="AF337" t="s">
        <v>12</v>
      </c>
      <c r="AG337" t="s">
        <v>12</v>
      </c>
      <c r="AH337" t="s">
        <v>12</v>
      </c>
      <c r="AI337" s="2">
        <v>45972</v>
      </c>
      <c r="AJ337" s="2"/>
      <c r="AK337" t="s">
        <v>12</v>
      </c>
    </row>
    <row r="338" spans="1:37" outlineLevel="2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13</v>
      </c>
      <c r="G338" s="2">
        <v>45972</v>
      </c>
      <c r="H338" t="s">
        <v>1017</v>
      </c>
      <c r="I338" t="s">
        <v>482</v>
      </c>
      <c r="J338" s="2">
        <v>45972</v>
      </c>
      <c r="K338" s="2">
        <v>45985</v>
      </c>
      <c r="L338" t="s">
        <v>1016</v>
      </c>
      <c r="M338" s="26" t="s">
        <v>12</v>
      </c>
      <c r="N338" t="s">
        <v>10</v>
      </c>
      <c r="O338" t="s">
        <v>11</v>
      </c>
      <c r="P338" t="s">
        <v>12</v>
      </c>
      <c r="Q338" t="s">
        <v>1018</v>
      </c>
      <c r="R338" t="s">
        <v>15</v>
      </c>
      <c r="S338" s="3">
        <v>500000</v>
      </c>
      <c r="T338" t="s">
        <v>15</v>
      </c>
      <c r="U338" s="3">
        <v>500000</v>
      </c>
      <c r="V338" s="3" t="e">
        <f>VLOOKUP(M338,'[1]Query Report'!$A:$E,5,0)</f>
        <v>#N/A</v>
      </c>
      <c r="W338" s="3" t="e">
        <f t="shared" si="29"/>
        <v>#N/A</v>
      </c>
      <c r="X338" s="3"/>
      <c r="Y338" s="3"/>
      <c r="Z338" t="s">
        <v>12</v>
      </c>
      <c r="AA338" t="s">
        <v>485</v>
      </c>
      <c r="AB338" t="s">
        <v>12</v>
      </c>
      <c r="AC338" t="s">
        <v>12</v>
      </c>
      <c r="AD338" t="s">
        <v>358</v>
      </c>
      <c r="AE338" t="s">
        <v>12</v>
      </c>
      <c r="AF338" t="s">
        <v>12</v>
      </c>
      <c r="AG338" t="s">
        <v>12</v>
      </c>
      <c r="AH338" t="s">
        <v>12</v>
      </c>
      <c r="AI338" s="2">
        <v>45972</v>
      </c>
      <c r="AJ338" s="2">
        <v>45972</v>
      </c>
      <c r="AK338" t="s">
        <v>1017</v>
      </c>
    </row>
    <row r="339" spans="1:37" outlineLevel="2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13</v>
      </c>
      <c r="G339" s="2">
        <v>45972</v>
      </c>
      <c r="H339" t="s">
        <v>1019</v>
      </c>
      <c r="I339" t="s">
        <v>482</v>
      </c>
      <c r="J339" s="2">
        <v>45972</v>
      </c>
      <c r="K339" s="2">
        <v>45972</v>
      </c>
      <c r="L339" t="s">
        <v>1016</v>
      </c>
      <c r="M339" s="26" t="s">
        <v>12</v>
      </c>
      <c r="N339" t="s">
        <v>10</v>
      </c>
      <c r="O339" t="s">
        <v>11</v>
      </c>
      <c r="P339" t="s">
        <v>12</v>
      </c>
      <c r="Q339" t="s">
        <v>484</v>
      </c>
      <c r="R339" t="s">
        <v>15</v>
      </c>
      <c r="S339" s="3">
        <v>-500000</v>
      </c>
      <c r="T339" t="s">
        <v>15</v>
      </c>
      <c r="U339" s="3">
        <v>-500000</v>
      </c>
      <c r="V339" s="3" t="e">
        <f>VLOOKUP(M339,'[1]Query Report'!$A:$E,5,0)</f>
        <v>#N/A</v>
      </c>
      <c r="W339" s="3" t="e">
        <f t="shared" si="29"/>
        <v>#N/A</v>
      </c>
      <c r="X339" s="3"/>
      <c r="Y339" s="3"/>
      <c r="Z339" t="s">
        <v>12</v>
      </c>
      <c r="AA339" t="s">
        <v>485</v>
      </c>
      <c r="AB339" t="s">
        <v>12</v>
      </c>
      <c r="AC339" t="s">
        <v>12</v>
      </c>
      <c r="AD339" t="s">
        <v>358</v>
      </c>
      <c r="AE339" t="s">
        <v>12</v>
      </c>
      <c r="AF339" t="s">
        <v>12</v>
      </c>
      <c r="AG339" t="s">
        <v>12</v>
      </c>
      <c r="AH339" t="s">
        <v>12</v>
      </c>
      <c r="AI339" s="2">
        <v>45972</v>
      </c>
      <c r="AJ339" s="2">
        <v>45972</v>
      </c>
      <c r="AK339" t="s">
        <v>1017</v>
      </c>
    </row>
    <row r="340" spans="1:37" outlineLevel="2" x14ac:dyDescent="0.25">
      <c r="A340" t="s">
        <v>129</v>
      </c>
      <c r="B340" t="s">
        <v>1</v>
      </c>
      <c r="C340" t="s">
        <v>2</v>
      </c>
      <c r="D340" t="s">
        <v>3</v>
      </c>
      <c r="E340" t="s">
        <v>4</v>
      </c>
      <c r="F340" t="s">
        <v>334</v>
      </c>
      <c r="G340" s="2">
        <v>46007</v>
      </c>
      <c r="H340" t="s">
        <v>1020</v>
      </c>
      <c r="I340" t="s">
        <v>482</v>
      </c>
      <c r="J340" s="2">
        <v>46007</v>
      </c>
      <c r="K340" s="2">
        <v>46007</v>
      </c>
      <c r="L340" t="s">
        <v>1021</v>
      </c>
      <c r="M340" s="26" t="s">
        <v>12</v>
      </c>
      <c r="N340" t="s">
        <v>10</v>
      </c>
      <c r="O340" t="s">
        <v>11</v>
      </c>
      <c r="P340" t="s">
        <v>12</v>
      </c>
      <c r="Q340" t="s">
        <v>484</v>
      </c>
      <c r="R340" t="s">
        <v>15</v>
      </c>
      <c r="S340" s="3">
        <v>-500000</v>
      </c>
      <c r="T340" t="s">
        <v>15</v>
      </c>
      <c r="U340" s="3">
        <v>-500000</v>
      </c>
      <c r="V340" s="3" t="e">
        <f>VLOOKUP(M340,'[1]Query Report'!$A:$E,5,0)</f>
        <v>#N/A</v>
      </c>
      <c r="W340" s="3" t="e">
        <f t="shared" si="29"/>
        <v>#N/A</v>
      </c>
      <c r="X340" s="3"/>
      <c r="Y340" s="3"/>
      <c r="Z340" t="s">
        <v>12</v>
      </c>
      <c r="AA340" t="s">
        <v>485</v>
      </c>
      <c r="AB340" t="s">
        <v>12</v>
      </c>
      <c r="AC340" t="s">
        <v>12</v>
      </c>
      <c r="AD340" t="s">
        <v>358</v>
      </c>
      <c r="AE340" t="s">
        <v>12</v>
      </c>
      <c r="AF340" t="s">
        <v>12</v>
      </c>
      <c r="AG340" t="s">
        <v>12</v>
      </c>
      <c r="AH340" t="s">
        <v>12</v>
      </c>
      <c r="AI340" s="2">
        <v>46007</v>
      </c>
      <c r="AJ340" s="2"/>
      <c r="AK340" t="s">
        <v>12</v>
      </c>
    </row>
    <row r="341" spans="1:37" outlineLevel="2" x14ac:dyDescent="0.25">
      <c r="A341" t="s">
        <v>129</v>
      </c>
      <c r="B341" t="s">
        <v>1</v>
      </c>
      <c r="C341" t="s">
        <v>2</v>
      </c>
      <c r="D341" t="s">
        <v>3</v>
      </c>
      <c r="E341" t="s">
        <v>4</v>
      </c>
      <c r="F341" t="s">
        <v>609</v>
      </c>
      <c r="G341" s="2">
        <v>45890</v>
      </c>
      <c r="H341" t="s">
        <v>1022</v>
      </c>
      <c r="I341" t="s">
        <v>482</v>
      </c>
      <c r="J341" s="2">
        <v>45890</v>
      </c>
      <c r="K341" s="2">
        <v>45890</v>
      </c>
      <c r="L341" t="s">
        <v>1023</v>
      </c>
      <c r="M341" s="26" t="s">
        <v>12</v>
      </c>
      <c r="N341" t="s">
        <v>10</v>
      </c>
      <c r="O341" t="s">
        <v>11</v>
      </c>
      <c r="P341" t="s">
        <v>12</v>
      </c>
      <c r="Q341" t="s">
        <v>484</v>
      </c>
      <c r="R341" t="s">
        <v>15</v>
      </c>
      <c r="S341" s="3">
        <v>-700000</v>
      </c>
      <c r="T341" t="s">
        <v>15</v>
      </c>
      <c r="U341" s="3">
        <v>-700000</v>
      </c>
      <c r="V341" s="3" t="e">
        <f>VLOOKUP(M341,'[1]Query Report'!$A:$E,5,0)</f>
        <v>#N/A</v>
      </c>
      <c r="W341" s="3" t="e">
        <f t="shared" si="29"/>
        <v>#N/A</v>
      </c>
      <c r="X341" s="3"/>
      <c r="Y341" s="3"/>
      <c r="Z341" t="s">
        <v>12</v>
      </c>
      <c r="AA341" t="s">
        <v>485</v>
      </c>
      <c r="AB341" t="s">
        <v>12</v>
      </c>
      <c r="AC341" t="s">
        <v>12</v>
      </c>
      <c r="AD341" t="s">
        <v>358</v>
      </c>
      <c r="AE341" t="s">
        <v>12</v>
      </c>
      <c r="AF341" t="s">
        <v>12</v>
      </c>
      <c r="AG341" t="s">
        <v>12</v>
      </c>
      <c r="AH341" t="s">
        <v>12</v>
      </c>
      <c r="AI341" s="2">
        <v>45890</v>
      </c>
      <c r="AJ341" s="2"/>
      <c r="AK341" t="s">
        <v>12</v>
      </c>
    </row>
    <row r="342" spans="1:37" outlineLevel="2" x14ac:dyDescent="0.25">
      <c r="A342" t="s">
        <v>129</v>
      </c>
      <c r="B342" t="s">
        <v>1</v>
      </c>
      <c r="C342" t="s">
        <v>2</v>
      </c>
      <c r="D342" t="s">
        <v>3</v>
      </c>
      <c r="E342" t="s">
        <v>4</v>
      </c>
      <c r="F342" t="s">
        <v>609</v>
      </c>
      <c r="G342" s="2">
        <v>45890</v>
      </c>
      <c r="H342" t="s">
        <v>1024</v>
      </c>
      <c r="I342" t="s">
        <v>482</v>
      </c>
      <c r="J342" s="2">
        <v>45890</v>
      </c>
      <c r="K342" s="2">
        <v>45890</v>
      </c>
      <c r="L342" t="s">
        <v>1025</v>
      </c>
      <c r="M342" s="26" t="s">
        <v>12</v>
      </c>
      <c r="N342" t="s">
        <v>10</v>
      </c>
      <c r="O342" t="s">
        <v>11</v>
      </c>
      <c r="P342" t="s">
        <v>12</v>
      </c>
      <c r="Q342" t="s">
        <v>484</v>
      </c>
      <c r="R342" t="s">
        <v>15</v>
      </c>
      <c r="S342" s="3">
        <v>-700000</v>
      </c>
      <c r="T342" t="s">
        <v>15</v>
      </c>
      <c r="U342" s="3">
        <v>-700000</v>
      </c>
      <c r="V342" s="3" t="e">
        <f>VLOOKUP(M342,'[1]Query Report'!$A:$E,5,0)</f>
        <v>#N/A</v>
      </c>
      <c r="W342" s="3" t="e">
        <f t="shared" si="29"/>
        <v>#N/A</v>
      </c>
      <c r="X342" s="3"/>
      <c r="Y342" s="3"/>
      <c r="Z342" t="s">
        <v>12</v>
      </c>
      <c r="AA342" t="s">
        <v>485</v>
      </c>
      <c r="AB342" t="s">
        <v>12</v>
      </c>
      <c r="AC342" t="s">
        <v>12</v>
      </c>
      <c r="AD342" t="s">
        <v>358</v>
      </c>
      <c r="AE342" t="s">
        <v>12</v>
      </c>
      <c r="AF342" t="s">
        <v>12</v>
      </c>
      <c r="AG342" t="s">
        <v>12</v>
      </c>
      <c r="AH342" t="s">
        <v>12</v>
      </c>
      <c r="AI342" s="2">
        <v>45890</v>
      </c>
      <c r="AJ342" s="2"/>
      <c r="AK342" t="s">
        <v>12</v>
      </c>
    </row>
    <row r="343" spans="1:37" outlineLevel="2" x14ac:dyDescent="0.25">
      <c r="A343" t="s">
        <v>129</v>
      </c>
      <c r="B343" t="s">
        <v>1</v>
      </c>
      <c r="C343" t="s">
        <v>2</v>
      </c>
      <c r="D343" t="s">
        <v>3</v>
      </c>
      <c r="E343" t="s">
        <v>4</v>
      </c>
      <c r="F343" t="s">
        <v>609</v>
      </c>
      <c r="G343" s="2">
        <v>45890</v>
      </c>
      <c r="H343" t="s">
        <v>1026</v>
      </c>
      <c r="I343" t="s">
        <v>482</v>
      </c>
      <c r="J343" s="2">
        <v>45890</v>
      </c>
      <c r="K343" s="2">
        <v>45890</v>
      </c>
      <c r="L343" t="s">
        <v>1027</v>
      </c>
      <c r="M343" s="26" t="s">
        <v>12</v>
      </c>
      <c r="N343" t="s">
        <v>10</v>
      </c>
      <c r="O343" t="s">
        <v>11</v>
      </c>
      <c r="P343" t="s">
        <v>12</v>
      </c>
      <c r="Q343" t="s">
        <v>484</v>
      </c>
      <c r="R343" t="s">
        <v>15</v>
      </c>
      <c r="S343" s="3">
        <v>-700000</v>
      </c>
      <c r="T343" t="s">
        <v>15</v>
      </c>
      <c r="U343" s="3">
        <v>-700000</v>
      </c>
      <c r="V343" s="3" t="e">
        <f>VLOOKUP(M343,'[1]Query Report'!$A:$E,5,0)</f>
        <v>#N/A</v>
      </c>
      <c r="W343" s="3" t="e">
        <f t="shared" si="29"/>
        <v>#N/A</v>
      </c>
      <c r="X343" s="3"/>
      <c r="Y343" s="3"/>
      <c r="Z343" t="s">
        <v>12</v>
      </c>
      <c r="AA343" t="s">
        <v>485</v>
      </c>
      <c r="AB343" t="s">
        <v>12</v>
      </c>
      <c r="AC343" t="s">
        <v>12</v>
      </c>
      <c r="AD343" t="s">
        <v>358</v>
      </c>
      <c r="AE343" t="s">
        <v>12</v>
      </c>
      <c r="AF343" t="s">
        <v>12</v>
      </c>
      <c r="AG343" t="s">
        <v>12</v>
      </c>
      <c r="AH343" t="s">
        <v>12</v>
      </c>
      <c r="AI343" s="2">
        <v>45890</v>
      </c>
      <c r="AJ343" s="2"/>
      <c r="AK343" t="s">
        <v>12</v>
      </c>
    </row>
    <row r="344" spans="1:37" outlineLevel="2" x14ac:dyDescent="0.25">
      <c r="A344" t="s">
        <v>129</v>
      </c>
      <c r="B344" t="s">
        <v>1</v>
      </c>
      <c r="C344" t="s">
        <v>2</v>
      </c>
      <c r="D344" t="s">
        <v>3</v>
      </c>
      <c r="E344" t="s">
        <v>4</v>
      </c>
      <c r="F344" t="s">
        <v>609</v>
      </c>
      <c r="G344" s="2">
        <v>45890</v>
      </c>
      <c r="H344" t="s">
        <v>1028</v>
      </c>
      <c r="I344" t="s">
        <v>482</v>
      </c>
      <c r="J344" s="2">
        <v>45890</v>
      </c>
      <c r="K344" s="2">
        <v>45890</v>
      </c>
      <c r="L344" t="s">
        <v>1029</v>
      </c>
      <c r="M344" s="26" t="s">
        <v>12</v>
      </c>
      <c r="N344" t="s">
        <v>10</v>
      </c>
      <c r="O344" t="s">
        <v>11</v>
      </c>
      <c r="P344" t="s">
        <v>12</v>
      </c>
      <c r="Q344" t="s">
        <v>484</v>
      </c>
      <c r="R344" t="s">
        <v>15</v>
      </c>
      <c r="S344" s="3">
        <v>-700000</v>
      </c>
      <c r="T344" t="s">
        <v>15</v>
      </c>
      <c r="U344" s="3">
        <v>-700000</v>
      </c>
      <c r="V344" s="3" t="e">
        <f>VLOOKUP(M344,'[1]Query Report'!$A:$E,5,0)</f>
        <v>#N/A</v>
      </c>
      <c r="W344" s="3" t="e">
        <f t="shared" si="29"/>
        <v>#N/A</v>
      </c>
      <c r="X344" s="3"/>
      <c r="Y344" s="3"/>
      <c r="Z344" t="s">
        <v>12</v>
      </c>
      <c r="AA344" t="s">
        <v>485</v>
      </c>
      <c r="AB344" t="s">
        <v>12</v>
      </c>
      <c r="AC344" t="s">
        <v>12</v>
      </c>
      <c r="AD344" t="s">
        <v>358</v>
      </c>
      <c r="AE344" t="s">
        <v>12</v>
      </c>
      <c r="AF344" t="s">
        <v>12</v>
      </c>
      <c r="AG344" t="s">
        <v>12</v>
      </c>
      <c r="AH344" t="s">
        <v>12</v>
      </c>
      <c r="AI344" s="2">
        <v>45890</v>
      </c>
      <c r="AJ344" s="2"/>
      <c r="AK344" t="s">
        <v>12</v>
      </c>
    </row>
    <row r="345" spans="1:37" outlineLevel="2" x14ac:dyDescent="0.25">
      <c r="A345" t="s">
        <v>129</v>
      </c>
      <c r="B345" t="s">
        <v>1</v>
      </c>
      <c r="C345" t="s">
        <v>2</v>
      </c>
      <c r="D345" t="s">
        <v>3</v>
      </c>
      <c r="E345" t="s">
        <v>4</v>
      </c>
      <c r="F345" t="s">
        <v>609</v>
      </c>
      <c r="G345" s="2">
        <v>45890</v>
      </c>
      <c r="H345" t="s">
        <v>1030</v>
      </c>
      <c r="I345" t="s">
        <v>482</v>
      </c>
      <c r="J345" s="2">
        <v>45890</v>
      </c>
      <c r="K345" s="2">
        <v>45890</v>
      </c>
      <c r="L345" t="s">
        <v>1031</v>
      </c>
      <c r="M345" s="26" t="s">
        <v>12</v>
      </c>
      <c r="N345" t="s">
        <v>10</v>
      </c>
      <c r="O345" t="s">
        <v>11</v>
      </c>
      <c r="P345" t="s">
        <v>12</v>
      </c>
      <c r="Q345" t="s">
        <v>484</v>
      </c>
      <c r="R345" t="s">
        <v>15</v>
      </c>
      <c r="S345" s="3">
        <v>-700000</v>
      </c>
      <c r="T345" t="s">
        <v>15</v>
      </c>
      <c r="U345" s="3">
        <v>-700000</v>
      </c>
      <c r="V345" s="3" t="e">
        <f>VLOOKUP(M345,'[1]Query Report'!$A:$E,5,0)</f>
        <v>#N/A</v>
      </c>
      <c r="W345" s="3" t="e">
        <f t="shared" si="29"/>
        <v>#N/A</v>
      </c>
      <c r="X345" s="3"/>
      <c r="Y345" s="3"/>
      <c r="Z345" t="s">
        <v>12</v>
      </c>
      <c r="AA345" t="s">
        <v>485</v>
      </c>
      <c r="AB345" t="s">
        <v>12</v>
      </c>
      <c r="AC345" t="s">
        <v>12</v>
      </c>
      <c r="AD345" t="s">
        <v>358</v>
      </c>
      <c r="AE345" t="s">
        <v>12</v>
      </c>
      <c r="AF345" t="s">
        <v>12</v>
      </c>
      <c r="AG345" t="s">
        <v>12</v>
      </c>
      <c r="AH345" t="s">
        <v>12</v>
      </c>
      <c r="AI345" s="2">
        <v>45890</v>
      </c>
      <c r="AJ345" s="2"/>
      <c r="AK345" t="s">
        <v>12</v>
      </c>
    </row>
    <row r="346" spans="1:37" outlineLevel="2" x14ac:dyDescent="0.25">
      <c r="A346" t="s">
        <v>129</v>
      </c>
      <c r="B346" t="s">
        <v>1</v>
      </c>
      <c r="C346" t="s">
        <v>2</v>
      </c>
      <c r="D346" t="s">
        <v>3</v>
      </c>
      <c r="E346" t="s">
        <v>4</v>
      </c>
      <c r="F346" t="s">
        <v>609</v>
      </c>
      <c r="G346" s="2">
        <v>45890</v>
      </c>
      <c r="H346" t="s">
        <v>1032</v>
      </c>
      <c r="I346" t="s">
        <v>482</v>
      </c>
      <c r="J346" s="2">
        <v>45890</v>
      </c>
      <c r="K346" s="2">
        <v>45890</v>
      </c>
      <c r="L346" t="s">
        <v>1033</v>
      </c>
      <c r="M346" s="26" t="s">
        <v>12</v>
      </c>
      <c r="N346" t="s">
        <v>10</v>
      </c>
      <c r="O346" t="s">
        <v>11</v>
      </c>
      <c r="P346" t="s">
        <v>12</v>
      </c>
      <c r="Q346" t="s">
        <v>484</v>
      </c>
      <c r="R346" t="s">
        <v>15</v>
      </c>
      <c r="S346" s="3">
        <v>-350672</v>
      </c>
      <c r="T346" t="s">
        <v>15</v>
      </c>
      <c r="U346" s="3">
        <v>-350672</v>
      </c>
      <c r="V346" s="3" t="e">
        <f>VLOOKUP(M346,'[1]Query Report'!$A:$E,5,0)</f>
        <v>#N/A</v>
      </c>
      <c r="W346" s="3" t="e">
        <f t="shared" si="29"/>
        <v>#N/A</v>
      </c>
      <c r="X346" s="3"/>
      <c r="Y346" s="3"/>
      <c r="Z346" t="s">
        <v>12</v>
      </c>
      <c r="AA346" t="s">
        <v>485</v>
      </c>
      <c r="AB346" t="s">
        <v>12</v>
      </c>
      <c r="AC346" t="s">
        <v>12</v>
      </c>
      <c r="AD346" t="s">
        <v>358</v>
      </c>
      <c r="AE346" t="s">
        <v>12</v>
      </c>
      <c r="AF346" t="s">
        <v>12</v>
      </c>
      <c r="AG346" t="s">
        <v>12</v>
      </c>
      <c r="AH346" t="s">
        <v>12</v>
      </c>
      <c r="AI346" s="2">
        <v>45890</v>
      </c>
      <c r="AJ346" s="2"/>
      <c r="AK346" t="s">
        <v>12</v>
      </c>
    </row>
    <row r="347" spans="1:37" outlineLevel="2" x14ac:dyDescent="0.25">
      <c r="A347" t="s">
        <v>129</v>
      </c>
      <c r="B347" t="s">
        <v>1</v>
      </c>
      <c r="C347" t="s">
        <v>2</v>
      </c>
      <c r="D347" t="s">
        <v>3</v>
      </c>
      <c r="E347" t="s">
        <v>4</v>
      </c>
      <c r="F347" t="s">
        <v>176</v>
      </c>
      <c r="G347" s="2">
        <v>45946</v>
      </c>
      <c r="H347" t="s">
        <v>1034</v>
      </c>
      <c r="I347" t="s">
        <v>482</v>
      </c>
      <c r="J347" s="2">
        <v>45946</v>
      </c>
      <c r="K347" s="2">
        <v>45946</v>
      </c>
      <c r="L347" t="s">
        <v>1035</v>
      </c>
      <c r="M347" s="26" t="s">
        <v>12</v>
      </c>
      <c r="N347" t="s">
        <v>10</v>
      </c>
      <c r="O347" t="s">
        <v>11</v>
      </c>
      <c r="P347" t="s">
        <v>12</v>
      </c>
      <c r="Q347" t="s">
        <v>484</v>
      </c>
      <c r="R347" t="s">
        <v>15</v>
      </c>
      <c r="S347" s="3">
        <v>-108564</v>
      </c>
      <c r="T347" t="s">
        <v>15</v>
      </c>
      <c r="U347" s="3">
        <v>-108564</v>
      </c>
      <c r="V347" s="3" t="e">
        <f>VLOOKUP(M347,'[1]Query Report'!$A:$E,5,0)</f>
        <v>#N/A</v>
      </c>
      <c r="W347" s="3" t="e">
        <f t="shared" si="29"/>
        <v>#N/A</v>
      </c>
      <c r="X347" s="3"/>
      <c r="Y347" s="3"/>
      <c r="Z347" t="s">
        <v>12</v>
      </c>
      <c r="AA347" t="s">
        <v>485</v>
      </c>
      <c r="AB347" t="s">
        <v>12</v>
      </c>
      <c r="AC347" t="s">
        <v>12</v>
      </c>
      <c r="AD347" t="s">
        <v>358</v>
      </c>
      <c r="AE347" t="s">
        <v>12</v>
      </c>
      <c r="AF347" t="s">
        <v>12</v>
      </c>
      <c r="AG347" t="s">
        <v>12</v>
      </c>
      <c r="AH347" t="s">
        <v>12</v>
      </c>
      <c r="AI347" s="2">
        <v>45946</v>
      </c>
      <c r="AJ347" s="2"/>
      <c r="AK347" t="s">
        <v>12</v>
      </c>
    </row>
    <row r="348" spans="1:37" outlineLevel="2" x14ac:dyDescent="0.25">
      <c r="A348" t="s">
        <v>129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2">
        <v>45839</v>
      </c>
      <c r="H348" t="s">
        <v>1036</v>
      </c>
      <c r="I348" t="s">
        <v>482</v>
      </c>
      <c r="J348" s="2">
        <v>45832</v>
      </c>
      <c r="K348" s="2">
        <v>45832</v>
      </c>
      <c r="L348" t="s">
        <v>1037</v>
      </c>
      <c r="M348" s="26" t="s">
        <v>12</v>
      </c>
      <c r="N348" t="s">
        <v>10</v>
      </c>
      <c r="O348" t="s">
        <v>11</v>
      </c>
      <c r="P348" t="s">
        <v>12</v>
      </c>
      <c r="Q348" t="s">
        <v>484</v>
      </c>
      <c r="R348" t="s">
        <v>15</v>
      </c>
      <c r="S348" s="3">
        <v>-177773</v>
      </c>
      <c r="T348" t="s">
        <v>15</v>
      </c>
      <c r="U348" s="3">
        <v>-177773</v>
      </c>
      <c r="V348" s="3" t="e">
        <f>VLOOKUP(M348,'[1]Query Report'!$A:$E,5,0)</f>
        <v>#N/A</v>
      </c>
      <c r="W348" s="3" t="e">
        <f t="shared" si="29"/>
        <v>#N/A</v>
      </c>
      <c r="X348" s="3"/>
      <c r="Y348" s="3"/>
      <c r="Z348" t="s">
        <v>12</v>
      </c>
      <c r="AA348" t="s">
        <v>485</v>
      </c>
      <c r="AB348" t="s">
        <v>12</v>
      </c>
      <c r="AC348" t="s">
        <v>12</v>
      </c>
      <c r="AD348" t="s">
        <v>358</v>
      </c>
      <c r="AE348" t="s">
        <v>12</v>
      </c>
      <c r="AF348" t="s">
        <v>12</v>
      </c>
      <c r="AG348" t="s">
        <v>12</v>
      </c>
      <c r="AH348" t="s">
        <v>12</v>
      </c>
      <c r="AI348" s="2">
        <v>45832</v>
      </c>
      <c r="AJ348" s="2"/>
      <c r="AK348" t="s">
        <v>12</v>
      </c>
    </row>
    <row r="349" spans="1:37" outlineLevel="2" x14ac:dyDescent="0.25">
      <c r="A349" t="s">
        <v>129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45839</v>
      </c>
      <c r="H349" t="s">
        <v>1038</v>
      </c>
      <c r="I349" t="s">
        <v>482</v>
      </c>
      <c r="J349" s="2">
        <v>45832</v>
      </c>
      <c r="K349" s="2">
        <v>45832</v>
      </c>
      <c r="L349" t="s">
        <v>1039</v>
      </c>
      <c r="M349" s="26" t="s">
        <v>12</v>
      </c>
      <c r="N349" t="s">
        <v>10</v>
      </c>
      <c r="O349" t="s">
        <v>11</v>
      </c>
      <c r="P349" t="s">
        <v>12</v>
      </c>
      <c r="Q349" t="s">
        <v>484</v>
      </c>
      <c r="R349" t="s">
        <v>15</v>
      </c>
      <c r="S349" s="3">
        <v>-500947</v>
      </c>
      <c r="T349" t="s">
        <v>15</v>
      </c>
      <c r="U349" s="3">
        <v>-500947</v>
      </c>
      <c r="V349" s="3" t="e">
        <f>VLOOKUP(M349,'[1]Query Report'!$A:$E,5,0)</f>
        <v>#N/A</v>
      </c>
      <c r="W349" s="3" t="e">
        <f t="shared" si="29"/>
        <v>#N/A</v>
      </c>
      <c r="X349" s="3"/>
      <c r="Y349" s="3"/>
      <c r="Z349" t="s">
        <v>12</v>
      </c>
      <c r="AA349" t="s">
        <v>485</v>
      </c>
      <c r="AB349" t="s">
        <v>12</v>
      </c>
      <c r="AC349" t="s">
        <v>12</v>
      </c>
      <c r="AD349" t="s">
        <v>358</v>
      </c>
      <c r="AE349" t="s">
        <v>12</v>
      </c>
      <c r="AF349" t="s">
        <v>12</v>
      </c>
      <c r="AG349" t="s">
        <v>12</v>
      </c>
      <c r="AH349" t="s">
        <v>12</v>
      </c>
      <c r="AI349" s="2">
        <v>45832</v>
      </c>
      <c r="AJ349" s="2"/>
      <c r="AK349" t="s">
        <v>12</v>
      </c>
    </row>
    <row r="350" spans="1:37" outlineLevel="2" x14ac:dyDescent="0.25">
      <c r="A350" t="s">
        <v>129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s="2">
        <v>45839</v>
      </c>
      <c r="H350" t="s">
        <v>1040</v>
      </c>
      <c r="I350" t="s">
        <v>482</v>
      </c>
      <c r="J350" s="2">
        <v>45832</v>
      </c>
      <c r="K350" s="2">
        <v>45832</v>
      </c>
      <c r="L350" t="s">
        <v>1041</v>
      </c>
      <c r="M350" s="26" t="s">
        <v>12</v>
      </c>
      <c r="N350" t="s">
        <v>10</v>
      </c>
      <c r="O350" t="s">
        <v>11</v>
      </c>
      <c r="P350" t="s">
        <v>12</v>
      </c>
      <c r="Q350" t="s">
        <v>484</v>
      </c>
      <c r="R350" t="s">
        <v>15</v>
      </c>
      <c r="S350" s="3">
        <v>-700000</v>
      </c>
      <c r="T350" t="s">
        <v>15</v>
      </c>
      <c r="U350" s="3">
        <v>-700000</v>
      </c>
      <c r="V350" s="3" t="e">
        <f>VLOOKUP(M350,'[1]Query Report'!$A:$E,5,0)</f>
        <v>#N/A</v>
      </c>
      <c r="W350" s="3" t="e">
        <f t="shared" si="29"/>
        <v>#N/A</v>
      </c>
      <c r="X350" s="3"/>
      <c r="Y350" s="3"/>
      <c r="Z350" t="s">
        <v>12</v>
      </c>
      <c r="AA350" t="s">
        <v>485</v>
      </c>
      <c r="AB350" t="s">
        <v>12</v>
      </c>
      <c r="AC350" t="s">
        <v>12</v>
      </c>
      <c r="AD350" t="s">
        <v>358</v>
      </c>
      <c r="AE350" t="s">
        <v>12</v>
      </c>
      <c r="AF350" t="s">
        <v>12</v>
      </c>
      <c r="AG350" t="s">
        <v>12</v>
      </c>
      <c r="AH350" t="s">
        <v>12</v>
      </c>
      <c r="AI350" s="2">
        <v>45832</v>
      </c>
      <c r="AJ350" s="2"/>
      <c r="AK350" t="s">
        <v>12</v>
      </c>
    </row>
    <row r="351" spans="1:37" outlineLevel="2" x14ac:dyDescent="0.25">
      <c r="A351" t="s">
        <v>129</v>
      </c>
      <c r="B351" t="s">
        <v>1</v>
      </c>
      <c r="C351" t="s">
        <v>2</v>
      </c>
      <c r="D351" t="s">
        <v>3</v>
      </c>
      <c r="E351" t="s">
        <v>4</v>
      </c>
      <c r="F351" t="s">
        <v>13</v>
      </c>
      <c r="G351" s="2">
        <v>45964</v>
      </c>
      <c r="H351" t="s">
        <v>1042</v>
      </c>
      <c r="I351" t="s">
        <v>482</v>
      </c>
      <c r="J351" s="2">
        <v>45964</v>
      </c>
      <c r="K351" s="2">
        <v>45964</v>
      </c>
      <c r="L351" t="s">
        <v>1043</v>
      </c>
      <c r="M351" s="26" t="s">
        <v>12</v>
      </c>
      <c r="N351" t="s">
        <v>10</v>
      </c>
      <c r="O351" t="s">
        <v>11</v>
      </c>
      <c r="P351" t="s">
        <v>12</v>
      </c>
      <c r="Q351" t="s">
        <v>484</v>
      </c>
      <c r="R351" t="s">
        <v>15</v>
      </c>
      <c r="S351" s="3">
        <v>-300000</v>
      </c>
      <c r="T351" t="s">
        <v>15</v>
      </c>
      <c r="U351" s="3">
        <v>-300000</v>
      </c>
      <c r="V351" s="3" t="e">
        <f>VLOOKUP(M351,'[1]Query Report'!$A:$E,5,0)</f>
        <v>#N/A</v>
      </c>
      <c r="W351" s="3" t="e">
        <f t="shared" si="29"/>
        <v>#N/A</v>
      </c>
      <c r="X351" s="3"/>
      <c r="Y351" s="3"/>
      <c r="Z351" t="s">
        <v>12</v>
      </c>
      <c r="AA351" t="s">
        <v>485</v>
      </c>
      <c r="AB351" t="s">
        <v>12</v>
      </c>
      <c r="AC351" t="s">
        <v>12</v>
      </c>
      <c r="AD351" t="s">
        <v>358</v>
      </c>
      <c r="AE351" t="s">
        <v>12</v>
      </c>
      <c r="AF351" t="s">
        <v>12</v>
      </c>
      <c r="AG351" t="s">
        <v>12</v>
      </c>
      <c r="AH351" t="s">
        <v>12</v>
      </c>
      <c r="AI351" s="2">
        <v>45964</v>
      </c>
      <c r="AJ351" s="2"/>
      <c r="AK351" t="s">
        <v>12</v>
      </c>
    </row>
    <row r="352" spans="1:37" outlineLevel="2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358</v>
      </c>
      <c r="G352" s="2">
        <v>45701</v>
      </c>
      <c r="H352" t="s">
        <v>1044</v>
      </c>
      <c r="I352" t="s">
        <v>1045</v>
      </c>
      <c r="J352" s="2">
        <v>45701</v>
      </c>
      <c r="K352" s="2">
        <v>45701</v>
      </c>
      <c r="L352" t="s">
        <v>1046</v>
      </c>
      <c r="M352" s="26" t="s">
        <v>1046</v>
      </c>
      <c r="N352" t="s">
        <v>10</v>
      </c>
      <c r="O352" t="s">
        <v>11</v>
      </c>
      <c r="P352" t="s">
        <v>12</v>
      </c>
      <c r="Q352" t="s">
        <v>13</v>
      </c>
      <c r="R352" t="s">
        <v>15</v>
      </c>
      <c r="S352" s="3">
        <v>-1</v>
      </c>
      <c r="T352" t="s">
        <v>15</v>
      </c>
      <c r="U352" s="3">
        <v>-1</v>
      </c>
      <c r="V352" s="3" t="e">
        <f>VLOOKUP(M352,'[1]Query Report'!$A:$E,5,0)</f>
        <v>#N/A</v>
      </c>
      <c r="W352" s="3" t="e">
        <f t="shared" si="29"/>
        <v>#N/A</v>
      </c>
      <c r="X352" s="3"/>
      <c r="Y352" s="3"/>
      <c r="Z352" t="s">
        <v>12</v>
      </c>
      <c r="AA352" t="s">
        <v>17</v>
      </c>
      <c r="AB352" t="s">
        <v>12</v>
      </c>
      <c r="AC352" t="s">
        <v>1046</v>
      </c>
      <c r="AD352" t="s">
        <v>18</v>
      </c>
      <c r="AE352" t="s">
        <v>1007</v>
      </c>
      <c r="AF352" t="s">
        <v>2</v>
      </c>
      <c r="AG352" t="s">
        <v>12</v>
      </c>
      <c r="AH352" t="s">
        <v>2</v>
      </c>
      <c r="AI352" s="2">
        <v>45701</v>
      </c>
      <c r="AJ352" s="2">
        <v>45758</v>
      </c>
      <c r="AK352" t="s">
        <v>1004</v>
      </c>
    </row>
    <row r="353" spans="1:37" outlineLevel="2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243</v>
      </c>
      <c r="G353" s="2">
        <v>45744</v>
      </c>
      <c r="H353" t="s">
        <v>1047</v>
      </c>
      <c r="I353" t="s">
        <v>1045</v>
      </c>
      <c r="J353" s="2">
        <v>45744</v>
      </c>
      <c r="K353" s="2">
        <v>45744</v>
      </c>
      <c r="L353" t="s">
        <v>1048</v>
      </c>
      <c r="M353" s="26" t="s">
        <v>1048</v>
      </c>
      <c r="N353" t="s">
        <v>10</v>
      </c>
      <c r="O353" t="s">
        <v>11</v>
      </c>
      <c r="P353" t="s">
        <v>12</v>
      </c>
      <c r="Q353" t="s">
        <v>24</v>
      </c>
      <c r="R353" t="s">
        <v>15</v>
      </c>
      <c r="S353" s="3">
        <v>1</v>
      </c>
      <c r="T353" t="s">
        <v>15</v>
      </c>
      <c r="U353" s="3">
        <v>1</v>
      </c>
      <c r="V353" s="3" t="e">
        <f>VLOOKUP(M353,'[1]Query Report'!$A:$E,5,0)</f>
        <v>#N/A</v>
      </c>
      <c r="W353" s="3" t="e">
        <f t="shared" si="29"/>
        <v>#N/A</v>
      </c>
      <c r="X353" s="3"/>
      <c r="Y353" s="3"/>
      <c r="Z353" t="s">
        <v>12</v>
      </c>
      <c r="AA353" t="s">
        <v>17</v>
      </c>
      <c r="AB353" t="s">
        <v>12</v>
      </c>
      <c r="AC353" t="s">
        <v>1046</v>
      </c>
      <c r="AD353" t="s">
        <v>1049</v>
      </c>
      <c r="AE353" t="s">
        <v>1007</v>
      </c>
      <c r="AF353" t="s">
        <v>2</v>
      </c>
      <c r="AG353" t="s">
        <v>12</v>
      </c>
      <c r="AH353" t="s">
        <v>2</v>
      </c>
      <c r="AI353" s="2">
        <v>45744</v>
      </c>
      <c r="AJ353" s="2">
        <v>45758</v>
      </c>
      <c r="AK353" t="s">
        <v>1004</v>
      </c>
    </row>
    <row r="354" spans="1:37" outlineLevel="2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2">
        <v>45842</v>
      </c>
      <c r="H354" t="s">
        <v>666</v>
      </c>
      <c r="I354" t="s">
        <v>1009</v>
      </c>
      <c r="J354" s="2">
        <v>45842</v>
      </c>
      <c r="K354" s="2">
        <v>45842</v>
      </c>
      <c r="L354" t="s">
        <v>8</v>
      </c>
      <c r="M354" s="26" t="s">
        <v>1050</v>
      </c>
      <c r="N354" t="s">
        <v>10</v>
      </c>
      <c r="O354" t="s">
        <v>11</v>
      </c>
      <c r="P354" t="s">
        <v>12</v>
      </c>
      <c r="Q354" t="s">
        <v>484</v>
      </c>
      <c r="R354" t="s">
        <v>14</v>
      </c>
      <c r="S354" s="3">
        <v>0</v>
      </c>
      <c r="T354" t="s">
        <v>15</v>
      </c>
      <c r="U354" s="3">
        <v>0</v>
      </c>
      <c r="V354" s="3" t="e">
        <f>VLOOKUP(M354,'[1]Query Report'!$A:$E,5,0)</f>
        <v>#N/A</v>
      </c>
      <c r="W354" s="3" t="e">
        <f t="shared" si="29"/>
        <v>#N/A</v>
      </c>
      <c r="X354" s="3"/>
      <c r="Y354" s="3"/>
      <c r="Z354" t="s">
        <v>12</v>
      </c>
      <c r="AA354" t="s">
        <v>17</v>
      </c>
      <c r="AB354" t="s">
        <v>12</v>
      </c>
      <c r="AC354" t="s">
        <v>12</v>
      </c>
      <c r="AD354" t="s">
        <v>18</v>
      </c>
      <c r="AE354" t="s">
        <v>12</v>
      </c>
      <c r="AF354" t="s">
        <v>12</v>
      </c>
      <c r="AG354" t="s">
        <v>12</v>
      </c>
      <c r="AH354" t="s">
        <v>12</v>
      </c>
      <c r="AI354" s="2">
        <v>45842</v>
      </c>
      <c r="AJ354" s="2">
        <v>45842</v>
      </c>
      <c r="AK354" t="s">
        <v>666</v>
      </c>
    </row>
    <row r="355" spans="1:37" outlineLevel="2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45842</v>
      </c>
      <c r="H355" t="s">
        <v>346</v>
      </c>
      <c r="I355" t="s">
        <v>1009</v>
      </c>
      <c r="J355" s="2">
        <v>45842</v>
      </c>
      <c r="K355" s="2">
        <v>45842</v>
      </c>
      <c r="L355" t="s">
        <v>8</v>
      </c>
      <c r="M355" s="26" t="s">
        <v>1050</v>
      </c>
      <c r="N355" t="s">
        <v>10</v>
      </c>
      <c r="O355" t="s">
        <v>11</v>
      </c>
      <c r="P355" t="s">
        <v>12</v>
      </c>
      <c r="Q355" t="s">
        <v>484</v>
      </c>
      <c r="R355" t="s">
        <v>14</v>
      </c>
      <c r="S355" s="3">
        <v>0</v>
      </c>
      <c r="T355" t="s">
        <v>15</v>
      </c>
      <c r="U355" s="3">
        <v>0</v>
      </c>
      <c r="V355" s="3" t="e">
        <f>VLOOKUP(M355,'[1]Query Report'!$A:$E,5,0)</f>
        <v>#N/A</v>
      </c>
      <c r="W355" s="3" t="e">
        <f t="shared" si="29"/>
        <v>#N/A</v>
      </c>
      <c r="X355" s="3"/>
      <c r="Y355" s="3"/>
      <c r="Z355" t="s">
        <v>12</v>
      </c>
      <c r="AA355" t="s">
        <v>17</v>
      </c>
      <c r="AB355" t="s">
        <v>12</v>
      </c>
      <c r="AC355" t="s">
        <v>12</v>
      </c>
      <c r="AD355" t="s">
        <v>18</v>
      </c>
      <c r="AE355" t="s">
        <v>12</v>
      </c>
      <c r="AF355" t="s">
        <v>12</v>
      </c>
      <c r="AG355" t="s">
        <v>12</v>
      </c>
      <c r="AH355" t="s">
        <v>12</v>
      </c>
      <c r="AI355" s="2">
        <v>45842</v>
      </c>
      <c r="AJ355" s="2">
        <v>45842</v>
      </c>
      <c r="AK355" t="s">
        <v>346</v>
      </c>
    </row>
    <row r="356" spans="1:37" outlineLevel="2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s="2">
        <v>45842</v>
      </c>
      <c r="H356" t="s">
        <v>164</v>
      </c>
      <c r="I356" t="s">
        <v>1009</v>
      </c>
      <c r="J356" s="2">
        <v>45842</v>
      </c>
      <c r="K356" s="2">
        <v>45842</v>
      </c>
      <c r="L356" t="s">
        <v>8</v>
      </c>
      <c r="M356" s="26" t="s">
        <v>1050</v>
      </c>
      <c r="N356" t="s">
        <v>10</v>
      </c>
      <c r="O356" t="s">
        <v>11</v>
      </c>
      <c r="P356" t="s">
        <v>12</v>
      </c>
      <c r="Q356" t="s">
        <v>1010</v>
      </c>
      <c r="R356" t="s">
        <v>14</v>
      </c>
      <c r="S356" s="3">
        <v>456.75</v>
      </c>
      <c r="T356" t="s">
        <v>15</v>
      </c>
      <c r="U356" s="3">
        <v>39701.54</v>
      </c>
      <c r="V356" s="3" t="e">
        <f>VLOOKUP(M356,'[1]Query Report'!$A:$E,5,0)</f>
        <v>#N/A</v>
      </c>
      <c r="W356" s="3" t="e">
        <f t="shared" si="29"/>
        <v>#N/A</v>
      </c>
      <c r="X356" s="3"/>
      <c r="Y356" s="3"/>
      <c r="Z356" t="s">
        <v>12</v>
      </c>
      <c r="AA356" t="s">
        <v>17</v>
      </c>
      <c r="AB356" t="s">
        <v>12</v>
      </c>
      <c r="AC356" t="s">
        <v>12</v>
      </c>
      <c r="AD356" t="s">
        <v>18</v>
      </c>
      <c r="AE356" t="s">
        <v>12</v>
      </c>
      <c r="AF356" t="s">
        <v>12</v>
      </c>
      <c r="AG356" t="s">
        <v>12</v>
      </c>
      <c r="AH356" t="s">
        <v>12</v>
      </c>
      <c r="AI356" s="2">
        <v>45842</v>
      </c>
      <c r="AJ356" s="2">
        <v>45842</v>
      </c>
      <c r="AK356" t="s">
        <v>164</v>
      </c>
    </row>
    <row r="357" spans="1:37" outlineLevel="2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s="2">
        <v>45842</v>
      </c>
      <c r="H357" t="s">
        <v>164</v>
      </c>
      <c r="I357" t="s">
        <v>1009</v>
      </c>
      <c r="J357" s="2">
        <v>45842</v>
      </c>
      <c r="K357" s="2">
        <v>45842</v>
      </c>
      <c r="L357" t="s">
        <v>8</v>
      </c>
      <c r="M357" s="26" t="s">
        <v>1050</v>
      </c>
      <c r="N357" t="s">
        <v>10</v>
      </c>
      <c r="O357" t="s">
        <v>11</v>
      </c>
      <c r="P357" t="s">
        <v>12</v>
      </c>
      <c r="Q357" t="s">
        <v>484</v>
      </c>
      <c r="R357" t="s">
        <v>14</v>
      </c>
      <c r="S357" s="3">
        <v>-456.75</v>
      </c>
      <c r="T357" t="s">
        <v>15</v>
      </c>
      <c r="U357" s="3">
        <v>-39701.54</v>
      </c>
      <c r="V357" s="3" t="e">
        <f>VLOOKUP(M357,'[1]Query Report'!$A:$E,5,0)</f>
        <v>#N/A</v>
      </c>
      <c r="W357" s="3" t="e">
        <f t="shared" si="29"/>
        <v>#N/A</v>
      </c>
      <c r="X357" s="3"/>
      <c r="Y357" s="3"/>
      <c r="Z357" t="s">
        <v>12</v>
      </c>
      <c r="AA357" t="s">
        <v>17</v>
      </c>
      <c r="AB357" t="s">
        <v>12</v>
      </c>
      <c r="AC357" t="s">
        <v>12</v>
      </c>
      <c r="AD357" t="s">
        <v>358</v>
      </c>
      <c r="AE357" t="s">
        <v>12</v>
      </c>
      <c r="AF357" t="s">
        <v>12</v>
      </c>
      <c r="AG357" t="s">
        <v>12</v>
      </c>
      <c r="AH357" t="s">
        <v>12</v>
      </c>
      <c r="AI357" s="2">
        <v>45842</v>
      </c>
      <c r="AJ357" s="2">
        <v>45842</v>
      </c>
      <c r="AK357" t="s">
        <v>164</v>
      </c>
    </row>
    <row r="358" spans="1:37" outlineLevel="2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s="2">
        <v>45842</v>
      </c>
      <c r="H358" t="s">
        <v>168</v>
      </c>
      <c r="I358" t="s">
        <v>1009</v>
      </c>
      <c r="J358" s="2">
        <v>45842</v>
      </c>
      <c r="K358" s="2">
        <v>45842</v>
      </c>
      <c r="L358" t="s">
        <v>8</v>
      </c>
      <c r="M358" s="26" t="s">
        <v>1050</v>
      </c>
      <c r="N358" t="s">
        <v>10</v>
      </c>
      <c r="O358" t="s">
        <v>11</v>
      </c>
      <c r="P358" t="s">
        <v>12</v>
      </c>
      <c r="Q358" t="s">
        <v>1010</v>
      </c>
      <c r="R358" t="s">
        <v>14</v>
      </c>
      <c r="S358" s="3">
        <v>456.75</v>
      </c>
      <c r="T358" t="s">
        <v>15</v>
      </c>
      <c r="U358" s="3">
        <v>39701.54</v>
      </c>
      <c r="V358" s="3" t="e">
        <f>VLOOKUP(M358,'[1]Query Report'!$A:$E,5,0)</f>
        <v>#N/A</v>
      </c>
      <c r="W358" s="3" t="e">
        <f t="shared" si="29"/>
        <v>#N/A</v>
      </c>
      <c r="X358" s="3"/>
      <c r="Y358" s="3"/>
      <c r="Z358" t="s">
        <v>12</v>
      </c>
      <c r="AA358" t="s">
        <v>17</v>
      </c>
      <c r="AB358" t="s">
        <v>12</v>
      </c>
      <c r="AC358" t="s">
        <v>12</v>
      </c>
      <c r="AD358" t="s">
        <v>18</v>
      </c>
      <c r="AE358" t="s">
        <v>12</v>
      </c>
      <c r="AF358" t="s">
        <v>12</v>
      </c>
      <c r="AG358" t="s">
        <v>12</v>
      </c>
      <c r="AH358" t="s">
        <v>12</v>
      </c>
      <c r="AI358" s="2">
        <v>45842</v>
      </c>
      <c r="AJ358" s="2">
        <v>45842</v>
      </c>
      <c r="AK358" t="s">
        <v>168</v>
      </c>
    </row>
    <row r="359" spans="1:37" outlineLevel="2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s="2">
        <v>45842</v>
      </c>
      <c r="H359" t="s">
        <v>168</v>
      </c>
      <c r="I359" t="s">
        <v>1009</v>
      </c>
      <c r="J359" s="2">
        <v>45842</v>
      </c>
      <c r="K359" s="2">
        <v>45842</v>
      </c>
      <c r="L359" t="s">
        <v>8</v>
      </c>
      <c r="M359" s="26" t="s">
        <v>1050</v>
      </c>
      <c r="N359" t="s">
        <v>10</v>
      </c>
      <c r="O359" t="s">
        <v>11</v>
      </c>
      <c r="P359" t="s">
        <v>12</v>
      </c>
      <c r="Q359" t="s">
        <v>484</v>
      </c>
      <c r="R359" t="s">
        <v>14</v>
      </c>
      <c r="S359" s="3">
        <v>-456.75</v>
      </c>
      <c r="T359" t="s">
        <v>15</v>
      </c>
      <c r="U359" s="3">
        <v>-39701.54</v>
      </c>
      <c r="V359" s="3" t="e">
        <f>VLOOKUP(M359,'[1]Query Report'!$A:$E,5,0)</f>
        <v>#N/A</v>
      </c>
      <c r="W359" s="3" t="e">
        <f t="shared" si="29"/>
        <v>#N/A</v>
      </c>
      <c r="X359" s="3"/>
      <c r="Y359" s="3"/>
      <c r="Z359" t="s">
        <v>12</v>
      </c>
      <c r="AA359" t="s">
        <v>17</v>
      </c>
      <c r="AB359" t="s">
        <v>12</v>
      </c>
      <c r="AC359" t="s">
        <v>12</v>
      </c>
      <c r="AD359" t="s">
        <v>358</v>
      </c>
      <c r="AE359" t="s">
        <v>12</v>
      </c>
      <c r="AF359" t="s">
        <v>12</v>
      </c>
      <c r="AG359" t="s">
        <v>12</v>
      </c>
      <c r="AH359" t="s">
        <v>12</v>
      </c>
      <c r="AI359" s="2">
        <v>45842</v>
      </c>
      <c r="AJ359" s="2">
        <v>45842</v>
      </c>
      <c r="AK359" t="s">
        <v>168</v>
      </c>
    </row>
    <row r="360" spans="1:37" outlineLevel="2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s="2">
        <v>45854</v>
      </c>
      <c r="H360" t="s">
        <v>57</v>
      </c>
      <c r="I360" t="s">
        <v>1009</v>
      </c>
      <c r="J360" s="2">
        <v>45854</v>
      </c>
      <c r="K360" s="2">
        <v>45855</v>
      </c>
      <c r="L360" t="s">
        <v>8</v>
      </c>
      <c r="M360" s="26" t="s">
        <v>1050</v>
      </c>
      <c r="N360" t="s">
        <v>10</v>
      </c>
      <c r="O360" t="s">
        <v>11</v>
      </c>
      <c r="P360" t="s">
        <v>12</v>
      </c>
      <c r="Q360" t="s">
        <v>1010</v>
      </c>
      <c r="R360" t="s">
        <v>14</v>
      </c>
      <c r="S360" s="3">
        <v>525</v>
      </c>
      <c r="T360" t="s">
        <v>15</v>
      </c>
      <c r="U360" s="3">
        <v>45512.91</v>
      </c>
      <c r="V360" s="3" t="e">
        <f>VLOOKUP(M360,'[1]Query Report'!$A:$E,5,0)</f>
        <v>#N/A</v>
      </c>
      <c r="W360" s="3" t="e">
        <f t="shared" si="29"/>
        <v>#N/A</v>
      </c>
      <c r="X360" s="3"/>
      <c r="Y360" s="3"/>
      <c r="Z360" t="s">
        <v>12</v>
      </c>
      <c r="AA360" t="s">
        <v>17</v>
      </c>
      <c r="AB360" t="s">
        <v>12</v>
      </c>
      <c r="AC360" t="s">
        <v>12</v>
      </c>
      <c r="AD360" t="s">
        <v>18</v>
      </c>
      <c r="AE360" t="s">
        <v>12</v>
      </c>
      <c r="AF360" t="s">
        <v>12</v>
      </c>
      <c r="AG360" t="s">
        <v>12</v>
      </c>
      <c r="AH360" t="s">
        <v>12</v>
      </c>
      <c r="AI360" s="2">
        <v>45854</v>
      </c>
      <c r="AJ360" s="2">
        <v>45854</v>
      </c>
      <c r="AK360" t="s">
        <v>57</v>
      </c>
    </row>
    <row r="361" spans="1:37" outlineLevel="2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2">
        <v>45854</v>
      </c>
      <c r="H361" t="s">
        <v>57</v>
      </c>
      <c r="I361" t="s">
        <v>1009</v>
      </c>
      <c r="J361" s="2">
        <v>45854</v>
      </c>
      <c r="K361" s="2">
        <v>45855</v>
      </c>
      <c r="L361" t="s">
        <v>8</v>
      </c>
      <c r="M361" s="26" t="s">
        <v>1050</v>
      </c>
      <c r="N361" t="s">
        <v>10</v>
      </c>
      <c r="O361" t="s">
        <v>11</v>
      </c>
      <c r="P361" t="s">
        <v>12</v>
      </c>
      <c r="Q361" t="s">
        <v>484</v>
      </c>
      <c r="R361" t="s">
        <v>14</v>
      </c>
      <c r="S361" s="3">
        <v>-525</v>
      </c>
      <c r="T361" t="s">
        <v>15</v>
      </c>
      <c r="U361" s="3">
        <v>-45512.91</v>
      </c>
      <c r="V361" s="3" t="e">
        <f>VLOOKUP(M361,'[1]Query Report'!$A:$E,5,0)</f>
        <v>#N/A</v>
      </c>
      <c r="W361" s="3" t="e">
        <f t="shared" si="29"/>
        <v>#N/A</v>
      </c>
      <c r="X361" s="3"/>
      <c r="Y361" s="3"/>
      <c r="Z361" t="s">
        <v>12</v>
      </c>
      <c r="AA361" t="s">
        <v>17</v>
      </c>
      <c r="AB361" t="s">
        <v>12</v>
      </c>
      <c r="AC361" t="s">
        <v>12</v>
      </c>
      <c r="AD361" t="s">
        <v>358</v>
      </c>
      <c r="AE361" t="s">
        <v>12</v>
      </c>
      <c r="AF361" t="s">
        <v>12</v>
      </c>
      <c r="AG361" t="s">
        <v>12</v>
      </c>
      <c r="AH361" t="s">
        <v>12</v>
      </c>
      <c r="AI361" s="2">
        <v>45854</v>
      </c>
      <c r="AJ361" s="2">
        <v>45854</v>
      </c>
      <c r="AK361" t="s">
        <v>57</v>
      </c>
    </row>
    <row r="362" spans="1:37" outlineLevel="2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243</v>
      </c>
      <c r="G362" s="2">
        <v>45735</v>
      </c>
      <c r="H362" t="s">
        <v>1051</v>
      </c>
      <c r="I362" t="s">
        <v>22</v>
      </c>
      <c r="J362" s="2">
        <v>45735</v>
      </c>
      <c r="K362" s="2">
        <v>45736</v>
      </c>
      <c r="L362" t="s">
        <v>8</v>
      </c>
      <c r="M362" s="26">
        <v>246779413088</v>
      </c>
      <c r="N362" t="s">
        <v>10</v>
      </c>
      <c r="O362" t="s">
        <v>11</v>
      </c>
      <c r="P362" t="s">
        <v>12</v>
      </c>
      <c r="Q362" t="s">
        <v>24</v>
      </c>
      <c r="R362" t="s">
        <v>14</v>
      </c>
      <c r="S362" s="3">
        <v>500.63</v>
      </c>
      <c r="T362" t="s">
        <v>15</v>
      </c>
      <c r="U362" s="3">
        <v>43400.25</v>
      </c>
      <c r="V362" s="3" t="e">
        <f>VLOOKUP(M362,'[1]Query Report'!$A:$E,5,0)</f>
        <v>#N/A</v>
      </c>
      <c r="W362" s="3" t="e">
        <f t="shared" si="29"/>
        <v>#N/A</v>
      </c>
      <c r="X362" s="3"/>
      <c r="Y362" s="3"/>
      <c r="Z362" t="s">
        <v>371</v>
      </c>
      <c r="AA362" t="s">
        <v>17</v>
      </c>
      <c r="AB362" t="s">
        <v>12</v>
      </c>
      <c r="AC362" t="s">
        <v>8</v>
      </c>
      <c r="AD362" t="s">
        <v>18</v>
      </c>
      <c r="AE362" t="s">
        <v>1053</v>
      </c>
      <c r="AF362" t="s">
        <v>12</v>
      </c>
      <c r="AG362" t="s">
        <v>12</v>
      </c>
      <c r="AH362" t="s">
        <v>12</v>
      </c>
      <c r="AI362" s="2">
        <v>45735</v>
      </c>
      <c r="AJ362" s="2">
        <v>45842</v>
      </c>
      <c r="AK362" t="s">
        <v>346</v>
      </c>
    </row>
    <row r="363" spans="1:37" outlineLevel="2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13</v>
      </c>
      <c r="G363" s="2">
        <v>45976</v>
      </c>
      <c r="H363" t="s">
        <v>64</v>
      </c>
      <c r="I363" t="s">
        <v>1009</v>
      </c>
      <c r="J363" s="2">
        <v>45976</v>
      </c>
      <c r="K363" s="2">
        <v>45976</v>
      </c>
      <c r="L363" t="s">
        <v>8</v>
      </c>
      <c r="M363" s="26" t="s">
        <v>1050</v>
      </c>
      <c r="N363" t="s">
        <v>10</v>
      </c>
      <c r="O363" t="s">
        <v>11</v>
      </c>
      <c r="P363" t="s">
        <v>12</v>
      </c>
      <c r="Q363" t="s">
        <v>1010</v>
      </c>
      <c r="R363" t="s">
        <v>14</v>
      </c>
      <c r="S363" s="3">
        <v>3813.11</v>
      </c>
      <c r="T363" t="s">
        <v>15</v>
      </c>
      <c r="U363" s="3">
        <v>331442.46000000002</v>
      </c>
      <c r="V363" s="3" t="e">
        <f>VLOOKUP(M363,'[1]Query Report'!$A:$E,5,0)</f>
        <v>#N/A</v>
      </c>
      <c r="W363" s="3" t="e">
        <f t="shared" si="29"/>
        <v>#N/A</v>
      </c>
      <c r="X363" s="3"/>
      <c r="Y363" s="3"/>
      <c r="Z363" t="s">
        <v>12</v>
      </c>
      <c r="AA363" t="s">
        <v>17</v>
      </c>
      <c r="AB363" t="s">
        <v>12</v>
      </c>
      <c r="AC363" t="s">
        <v>12</v>
      </c>
      <c r="AD363" t="s">
        <v>18</v>
      </c>
      <c r="AE363" t="s">
        <v>12</v>
      </c>
      <c r="AF363" t="s">
        <v>12</v>
      </c>
      <c r="AG363" t="s">
        <v>12</v>
      </c>
      <c r="AH363" t="s">
        <v>12</v>
      </c>
      <c r="AI363" s="2">
        <v>45976</v>
      </c>
      <c r="AJ363" s="2">
        <v>45976</v>
      </c>
      <c r="AK363" t="s">
        <v>64</v>
      </c>
    </row>
    <row r="364" spans="1:37" outlineLevel="2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13</v>
      </c>
      <c r="G364" s="2">
        <v>45976</v>
      </c>
      <c r="H364" t="s">
        <v>64</v>
      </c>
      <c r="I364" t="s">
        <v>1009</v>
      </c>
      <c r="J364" s="2">
        <v>45976</v>
      </c>
      <c r="K364" s="2">
        <v>45976</v>
      </c>
      <c r="L364" t="s">
        <v>8</v>
      </c>
      <c r="M364" s="26" t="s">
        <v>1050</v>
      </c>
      <c r="N364" t="s">
        <v>10</v>
      </c>
      <c r="O364" t="s">
        <v>11</v>
      </c>
      <c r="P364" t="s">
        <v>12</v>
      </c>
      <c r="Q364" t="s">
        <v>484</v>
      </c>
      <c r="R364" t="s">
        <v>14</v>
      </c>
      <c r="S364" s="3">
        <v>-3813.11</v>
      </c>
      <c r="T364" t="s">
        <v>15</v>
      </c>
      <c r="U364" s="3">
        <v>-331442.46000000002</v>
      </c>
      <c r="V364" s="3" t="e">
        <f>VLOOKUP(M364,'[1]Query Report'!$A:$E,5,0)</f>
        <v>#N/A</v>
      </c>
      <c r="W364" s="3" t="e">
        <f t="shared" si="29"/>
        <v>#N/A</v>
      </c>
      <c r="X364" s="3"/>
      <c r="Y364" s="3"/>
      <c r="Z364" t="s">
        <v>12</v>
      </c>
      <c r="AA364" t="s">
        <v>17</v>
      </c>
      <c r="AB364" t="s">
        <v>12</v>
      </c>
      <c r="AC364" t="s">
        <v>12</v>
      </c>
      <c r="AD364" t="s">
        <v>358</v>
      </c>
      <c r="AE364" t="s">
        <v>12</v>
      </c>
      <c r="AF364" t="s">
        <v>12</v>
      </c>
      <c r="AG364" t="s">
        <v>12</v>
      </c>
      <c r="AH364" t="s">
        <v>12</v>
      </c>
      <c r="AI364" s="2">
        <v>45976</v>
      </c>
      <c r="AJ364" s="2">
        <v>45976</v>
      </c>
      <c r="AK364" t="s">
        <v>64</v>
      </c>
    </row>
    <row r="365" spans="1:37" outlineLevel="2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13</v>
      </c>
      <c r="G365" s="2">
        <v>45976</v>
      </c>
      <c r="H365" t="s">
        <v>113</v>
      </c>
      <c r="I365" t="s">
        <v>1009</v>
      </c>
      <c r="J365" s="2">
        <v>45976</v>
      </c>
      <c r="K365" s="2">
        <v>45976</v>
      </c>
      <c r="L365" t="s">
        <v>8</v>
      </c>
      <c r="M365" s="26" t="s">
        <v>1050</v>
      </c>
      <c r="N365" t="s">
        <v>10</v>
      </c>
      <c r="O365" t="s">
        <v>11</v>
      </c>
      <c r="P365" t="s">
        <v>12</v>
      </c>
      <c r="Q365" t="s">
        <v>1010</v>
      </c>
      <c r="R365" t="s">
        <v>14</v>
      </c>
      <c r="S365" s="3">
        <v>1117.6600000000001</v>
      </c>
      <c r="T365" t="s">
        <v>15</v>
      </c>
      <c r="U365" s="3">
        <v>96798.99</v>
      </c>
      <c r="V365" s="3" t="e">
        <f>VLOOKUP(M365,'[1]Query Report'!$A:$E,5,0)</f>
        <v>#N/A</v>
      </c>
      <c r="W365" s="3" t="e">
        <f t="shared" si="29"/>
        <v>#N/A</v>
      </c>
      <c r="X365" s="3"/>
      <c r="Y365" s="3"/>
      <c r="Z365" t="s">
        <v>12</v>
      </c>
      <c r="AA365" t="s">
        <v>17</v>
      </c>
      <c r="AB365" t="s">
        <v>12</v>
      </c>
      <c r="AC365" t="s">
        <v>12</v>
      </c>
      <c r="AD365" t="s">
        <v>5</v>
      </c>
      <c r="AE365" t="s">
        <v>12</v>
      </c>
      <c r="AF365" t="s">
        <v>12</v>
      </c>
      <c r="AG365" t="s">
        <v>12</v>
      </c>
      <c r="AH365" t="s">
        <v>12</v>
      </c>
      <c r="AI365" s="2">
        <v>45976</v>
      </c>
      <c r="AJ365" s="2">
        <v>45976</v>
      </c>
      <c r="AK365" t="s">
        <v>113</v>
      </c>
    </row>
    <row r="366" spans="1:37" outlineLevel="2" x14ac:dyDescent="0.25">
      <c r="A366" t="s">
        <v>129</v>
      </c>
      <c r="B366" t="s">
        <v>1</v>
      </c>
      <c r="C366" t="s">
        <v>2</v>
      </c>
      <c r="D366" t="s">
        <v>3</v>
      </c>
      <c r="E366" t="s">
        <v>4</v>
      </c>
      <c r="F366" t="s">
        <v>13</v>
      </c>
      <c r="G366" s="2">
        <v>45976</v>
      </c>
      <c r="H366" t="s">
        <v>113</v>
      </c>
      <c r="I366" t="s">
        <v>1009</v>
      </c>
      <c r="J366" s="2">
        <v>45976</v>
      </c>
      <c r="K366" s="2">
        <v>45976</v>
      </c>
      <c r="L366" t="s">
        <v>8</v>
      </c>
      <c r="M366" s="26" t="s">
        <v>1050</v>
      </c>
      <c r="N366" t="s">
        <v>10</v>
      </c>
      <c r="O366" t="s">
        <v>11</v>
      </c>
      <c r="P366" t="s">
        <v>12</v>
      </c>
      <c r="Q366" t="s">
        <v>484</v>
      </c>
      <c r="R366" t="s">
        <v>14</v>
      </c>
      <c r="S366" s="3">
        <v>-182.83</v>
      </c>
      <c r="T366" t="s">
        <v>15</v>
      </c>
      <c r="U366" s="3">
        <v>-16089.66</v>
      </c>
      <c r="V366" s="3" t="e">
        <f>VLOOKUP(M366,'[1]Query Report'!$A:$E,5,0)</f>
        <v>#N/A</v>
      </c>
      <c r="W366" s="3" t="e">
        <f t="shared" si="29"/>
        <v>#N/A</v>
      </c>
      <c r="X366" s="3"/>
      <c r="Y366" s="3"/>
      <c r="Z366" t="s">
        <v>12</v>
      </c>
      <c r="AA366" t="s">
        <v>17</v>
      </c>
      <c r="AB366" t="s">
        <v>12</v>
      </c>
      <c r="AC366" t="s">
        <v>8</v>
      </c>
      <c r="AD366" t="s">
        <v>18</v>
      </c>
      <c r="AE366" t="s">
        <v>12</v>
      </c>
      <c r="AF366" t="s">
        <v>12</v>
      </c>
      <c r="AG366" t="s">
        <v>12</v>
      </c>
      <c r="AH366" t="s">
        <v>12</v>
      </c>
      <c r="AI366" s="2">
        <v>45976</v>
      </c>
      <c r="AJ366" s="2"/>
      <c r="AK366" t="s">
        <v>12</v>
      </c>
    </row>
    <row r="367" spans="1:37" outlineLevel="2" x14ac:dyDescent="0.25">
      <c r="A367" t="s">
        <v>129</v>
      </c>
      <c r="B367" t="s">
        <v>1</v>
      </c>
      <c r="C367" t="s">
        <v>2</v>
      </c>
      <c r="D367" t="s">
        <v>3</v>
      </c>
      <c r="E367" t="s">
        <v>4</v>
      </c>
      <c r="F367" t="s">
        <v>13</v>
      </c>
      <c r="G367" s="2">
        <v>45976</v>
      </c>
      <c r="H367" t="s">
        <v>113</v>
      </c>
      <c r="I367" t="s">
        <v>1009</v>
      </c>
      <c r="J367" s="2">
        <v>45976</v>
      </c>
      <c r="K367" s="2">
        <v>45976</v>
      </c>
      <c r="L367" t="s">
        <v>8</v>
      </c>
      <c r="M367" s="26" t="s">
        <v>1050</v>
      </c>
      <c r="N367" t="s">
        <v>10</v>
      </c>
      <c r="O367" t="s">
        <v>11</v>
      </c>
      <c r="P367" t="s">
        <v>12</v>
      </c>
      <c r="Q367" t="s">
        <v>484</v>
      </c>
      <c r="R367" t="s">
        <v>14</v>
      </c>
      <c r="S367" s="3">
        <v>-55.46</v>
      </c>
      <c r="T367" t="s">
        <v>15</v>
      </c>
      <c r="U367" s="3">
        <v>-4880.67</v>
      </c>
      <c r="V367" s="3" t="e">
        <f>VLOOKUP(M367,'[1]Query Report'!$A:$E,5,0)</f>
        <v>#N/A</v>
      </c>
      <c r="W367" s="3" t="e">
        <f t="shared" si="29"/>
        <v>#N/A</v>
      </c>
      <c r="X367" s="3"/>
      <c r="Y367" s="3"/>
      <c r="Z367" t="s">
        <v>12</v>
      </c>
      <c r="AA367" t="s">
        <v>17</v>
      </c>
      <c r="AB367" t="s">
        <v>12</v>
      </c>
      <c r="AC367" t="s">
        <v>8</v>
      </c>
      <c r="AD367" t="s">
        <v>358</v>
      </c>
      <c r="AE367" t="s">
        <v>12</v>
      </c>
      <c r="AF367" t="s">
        <v>12</v>
      </c>
      <c r="AG367" t="s">
        <v>12</v>
      </c>
      <c r="AH367" t="s">
        <v>12</v>
      </c>
      <c r="AI367" s="2">
        <v>45976</v>
      </c>
      <c r="AJ367" s="2"/>
      <c r="AK367" t="s">
        <v>12</v>
      </c>
    </row>
    <row r="368" spans="1:37" outlineLevel="2" x14ac:dyDescent="0.25">
      <c r="A368" t="s">
        <v>129</v>
      </c>
      <c r="B368" t="s">
        <v>1</v>
      </c>
      <c r="C368" t="s">
        <v>2</v>
      </c>
      <c r="D368" t="s">
        <v>3</v>
      </c>
      <c r="E368" t="s">
        <v>4</v>
      </c>
      <c r="F368" t="s">
        <v>13</v>
      </c>
      <c r="G368" s="2">
        <v>45976</v>
      </c>
      <c r="H368" t="s">
        <v>113</v>
      </c>
      <c r="I368" t="s">
        <v>1009</v>
      </c>
      <c r="J368" s="2">
        <v>45976</v>
      </c>
      <c r="K368" s="2">
        <v>45976</v>
      </c>
      <c r="L368" t="s">
        <v>8</v>
      </c>
      <c r="M368" s="26" t="s">
        <v>1050</v>
      </c>
      <c r="N368" t="s">
        <v>10</v>
      </c>
      <c r="O368" t="s">
        <v>11</v>
      </c>
      <c r="P368" t="s">
        <v>12</v>
      </c>
      <c r="Q368" t="s">
        <v>484</v>
      </c>
      <c r="R368" t="s">
        <v>14</v>
      </c>
      <c r="S368" s="3">
        <v>-420</v>
      </c>
      <c r="T368" t="s">
        <v>15</v>
      </c>
      <c r="U368" s="3">
        <v>-36961.42</v>
      </c>
      <c r="V368" s="3" t="e">
        <f>VLOOKUP(M368,'[1]Query Report'!$A:$E,5,0)</f>
        <v>#N/A</v>
      </c>
      <c r="W368" s="3" t="e">
        <f t="shared" si="29"/>
        <v>#N/A</v>
      </c>
      <c r="X368" s="3"/>
      <c r="Y368" s="3"/>
      <c r="Z368" t="s">
        <v>12</v>
      </c>
      <c r="AA368" t="s">
        <v>17</v>
      </c>
      <c r="AB368" t="s">
        <v>12</v>
      </c>
      <c r="AC368" t="s">
        <v>8</v>
      </c>
      <c r="AD368" t="s">
        <v>243</v>
      </c>
      <c r="AE368" t="s">
        <v>12</v>
      </c>
      <c r="AF368" t="s">
        <v>12</v>
      </c>
      <c r="AG368" t="s">
        <v>12</v>
      </c>
      <c r="AH368" t="s">
        <v>12</v>
      </c>
      <c r="AI368" s="2">
        <v>45976</v>
      </c>
      <c r="AJ368" s="2"/>
      <c r="AK368" t="s">
        <v>12</v>
      </c>
    </row>
    <row r="369" spans="1:37" outlineLevel="2" x14ac:dyDescent="0.25">
      <c r="A369" t="s">
        <v>129</v>
      </c>
      <c r="B369" t="s">
        <v>1</v>
      </c>
      <c r="C369" t="s">
        <v>2</v>
      </c>
      <c r="D369" t="s">
        <v>3</v>
      </c>
      <c r="E369" t="s">
        <v>4</v>
      </c>
      <c r="F369" t="s">
        <v>13</v>
      </c>
      <c r="G369" s="2">
        <v>45976</v>
      </c>
      <c r="H369" t="s">
        <v>113</v>
      </c>
      <c r="I369" t="s">
        <v>1009</v>
      </c>
      <c r="J369" s="2">
        <v>45976</v>
      </c>
      <c r="K369" s="2">
        <v>45976</v>
      </c>
      <c r="L369" t="s">
        <v>8</v>
      </c>
      <c r="M369" s="26" t="s">
        <v>1050</v>
      </c>
      <c r="N369" t="s">
        <v>10</v>
      </c>
      <c r="O369" t="s">
        <v>11</v>
      </c>
      <c r="P369" t="s">
        <v>12</v>
      </c>
      <c r="Q369" t="s">
        <v>484</v>
      </c>
      <c r="R369" t="s">
        <v>14</v>
      </c>
      <c r="S369" s="3">
        <v>-177.66</v>
      </c>
      <c r="T369" t="s">
        <v>15</v>
      </c>
      <c r="U369" s="3">
        <v>-15634.68</v>
      </c>
      <c r="V369" s="3" t="e">
        <f>VLOOKUP(M369,'[1]Query Report'!$A:$E,5,0)</f>
        <v>#N/A</v>
      </c>
      <c r="W369" s="3" t="e">
        <f t="shared" si="29"/>
        <v>#N/A</v>
      </c>
      <c r="X369" s="3"/>
      <c r="Y369" s="3"/>
      <c r="Z369" t="s">
        <v>12</v>
      </c>
      <c r="AA369" t="s">
        <v>17</v>
      </c>
      <c r="AB369" t="s">
        <v>12</v>
      </c>
      <c r="AC369" t="s">
        <v>8</v>
      </c>
      <c r="AD369" t="s">
        <v>140</v>
      </c>
      <c r="AE369" t="s">
        <v>12</v>
      </c>
      <c r="AF369" t="s">
        <v>12</v>
      </c>
      <c r="AG369" t="s">
        <v>12</v>
      </c>
      <c r="AH369" t="s">
        <v>12</v>
      </c>
      <c r="AI369" s="2">
        <v>45976</v>
      </c>
      <c r="AJ369" s="2"/>
      <c r="AK369" t="s">
        <v>12</v>
      </c>
    </row>
    <row r="370" spans="1:37" outlineLevel="2" x14ac:dyDescent="0.25">
      <c r="A370" t="s">
        <v>129</v>
      </c>
      <c r="B370" t="s">
        <v>1</v>
      </c>
      <c r="C370" t="s">
        <v>2</v>
      </c>
      <c r="D370" t="s">
        <v>3</v>
      </c>
      <c r="E370" t="s">
        <v>4</v>
      </c>
      <c r="F370" t="s">
        <v>13</v>
      </c>
      <c r="G370" s="2">
        <v>45976</v>
      </c>
      <c r="H370" t="s">
        <v>113</v>
      </c>
      <c r="I370" t="s">
        <v>1009</v>
      </c>
      <c r="J370" s="2">
        <v>45976</v>
      </c>
      <c r="K370" s="2">
        <v>45976</v>
      </c>
      <c r="L370" t="s">
        <v>8</v>
      </c>
      <c r="M370" s="26" t="s">
        <v>1050</v>
      </c>
      <c r="N370" t="s">
        <v>10</v>
      </c>
      <c r="O370" t="s">
        <v>11</v>
      </c>
      <c r="P370" t="s">
        <v>12</v>
      </c>
      <c r="Q370" t="s">
        <v>484</v>
      </c>
      <c r="R370" t="s">
        <v>14</v>
      </c>
      <c r="S370" s="3">
        <v>-143.81</v>
      </c>
      <c r="T370" t="s">
        <v>15</v>
      </c>
      <c r="U370" s="3">
        <v>-12655.77</v>
      </c>
      <c r="V370" s="3" t="e">
        <f>VLOOKUP(M370,'[1]Query Report'!$A:$E,5,0)</f>
        <v>#N/A</v>
      </c>
      <c r="W370" s="3" t="e">
        <f t="shared" si="29"/>
        <v>#N/A</v>
      </c>
      <c r="X370" s="3"/>
      <c r="Y370" s="3"/>
      <c r="Z370" t="s">
        <v>12</v>
      </c>
      <c r="AA370" t="s">
        <v>17</v>
      </c>
      <c r="AB370" t="s">
        <v>12</v>
      </c>
      <c r="AC370" t="s">
        <v>8</v>
      </c>
      <c r="AD370" t="s">
        <v>130</v>
      </c>
      <c r="AE370" t="s">
        <v>12</v>
      </c>
      <c r="AF370" t="s">
        <v>12</v>
      </c>
      <c r="AG370" t="s">
        <v>12</v>
      </c>
      <c r="AH370" t="s">
        <v>12</v>
      </c>
      <c r="AI370" s="2">
        <v>45976</v>
      </c>
      <c r="AJ370" s="2"/>
      <c r="AK370" t="s">
        <v>12</v>
      </c>
    </row>
    <row r="371" spans="1:37" outlineLevel="2" x14ac:dyDescent="0.25">
      <c r="A371" t="s">
        <v>129</v>
      </c>
      <c r="B371" t="s">
        <v>1</v>
      </c>
      <c r="C371" t="s">
        <v>2</v>
      </c>
      <c r="D371" t="s">
        <v>3</v>
      </c>
      <c r="E371" t="s">
        <v>4</v>
      </c>
      <c r="F371" t="s">
        <v>13</v>
      </c>
      <c r="G371" s="2">
        <v>45976</v>
      </c>
      <c r="H371" t="s">
        <v>113</v>
      </c>
      <c r="I371" t="s">
        <v>1009</v>
      </c>
      <c r="J371" s="2">
        <v>45976</v>
      </c>
      <c r="K371" s="2">
        <v>45976</v>
      </c>
      <c r="L371" t="s">
        <v>8</v>
      </c>
      <c r="M371" s="26" t="s">
        <v>1050</v>
      </c>
      <c r="N371" t="s">
        <v>10</v>
      </c>
      <c r="O371" t="s">
        <v>11</v>
      </c>
      <c r="P371" t="s">
        <v>12</v>
      </c>
      <c r="Q371" t="s">
        <v>484</v>
      </c>
      <c r="R371" t="s">
        <v>14</v>
      </c>
      <c r="S371" s="3">
        <v>-137.9</v>
      </c>
      <c r="T371" t="s">
        <v>15</v>
      </c>
      <c r="U371" s="3">
        <v>-12135.67</v>
      </c>
      <c r="V371" s="3" t="e">
        <f>VLOOKUP(M371,'[1]Query Report'!$A:$E,5,0)</f>
        <v>#N/A</v>
      </c>
      <c r="W371" s="3" t="e">
        <f t="shared" si="29"/>
        <v>#N/A</v>
      </c>
      <c r="X371" s="3"/>
      <c r="Y371" s="3"/>
      <c r="Z371" t="s">
        <v>12</v>
      </c>
      <c r="AA371" t="s">
        <v>17</v>
      </c>
      <c r="AB371" t="s">
        <v>12</v>
      </c>
      <c r="AC371" t="s">
        <v>8</v>
      </c>
      <c r="AD371" t="s">
        <v>229</v>
      </c>
      <c r="AE371" t="s">
        <v>12</v>
      </c>
      <c r="AF371" t="s">
        <v>12</v>
      </c>
      <c r="AG371" t="s">
        <v>12</v>
      </c>
      <c r="AH371" t="s">
        <v>12</v>
      </c>
      <c r="AI371" s="2">
        <v>45976</v>
      </c>
      <c r="AJ371" s="2"/>
      <c r="AK371" t="s">
        <v>12</v>
      </c>
    </row>
    <row r="372" spans="1:37" outlineLevel="2" x14ac:dyDescent="0.25">
      <c r="A372" t="s">
        <v>129</v>
      </c>
      <c r="B372" t="s">
        <v>1</v>
      </c>
      <c r="C372" t="s">
        <v>2</v>
      </c>
      <c r="D372" t="s">
        <v>3</v>
      </c>
      <c r="E372" t="s">
        <v>4</v>
      </c>
      <c r="F372" t="s">
        <v>243</v>
      </c>
      <c r="G372" s="2">
        <v>45719</v>
      </c>
      <c r="H372" t="s">
        <v>1054</v>
      </c>
      <c r="I372" t="s">
        <v>22</v>
      </c>
      <c r="J372" s="2">
        <v>45719</v>
      </c>
      <c r="K372" s="2">
        <v>45720</v>
      </c>
      <c r="L372" t="s">
        <v>8</v>
      </c>
      <c r="M372" s="26">
        <v>246779410612</v>
      </c>
      <c r="N372" t="s">
        <v>10</v>
      </c>
      <c r="O372" t="s">
        <v>11</v>
      </c>
      <c r="P372" t="s">
        <v>12</v>
      </c>
      <c r="Q372" t="s">
        <v>24</v>
      </c>
      <c r="R372" t="s">
        <v>14</v>
      </c>
      <c r="S372" s="3">
        <v>11.75</v>
      </c>
      <c r="T372" t="s">
        <v>15</v>
      </c>
      <c r="U372" s="3">
        <v>1018.62</v>
      </c>
      <c r="V372" s="3" t="e">
        <f>VLOOKUP(M372,'[1]Query Report'!$A:$E,5,0)</f>
        <v>#N/A</v>
      </c>
      <c r="W372" s="3" t="e">
        <f t="shared" si="29"/>
        <v>#N/A</v>
      </c>
      <c r="X372" s="29" t="e">
        <f t="shared" ref="X372:X435" si="30">W372/U372</f>
        <v>#N/A</v>
      </c>
      <c r="Y372" s="29" t="s">
        <v>1363</v>
      </c>
      <c r="Z372" t="s">
        <v>16</v>
      </c>
      <c r="AA372" t="s">
        <v>17</v>
      </c>
      <c r="AB372" t="s">
        <v>12</v>
      </c>
      <c r="AC372" t="s">
        <v>8</v>
      </c>
      <c r="AD372" t="s">
        <v>18</v>
      </c>
      <c r="AE372" t="s">
        <v>1056</v>
      </c>
      <c r="AF372" t="s">
        <v>12</v>
      </c>
      <c r="AG372" t="s">
        <v>12</v>
      </c>
      <c r="AH372" t="s">
        <v>12</v>
      </c>
      <c r="AI372" s="2">
        <v>45719</v>
      </c>
      <c r="AJ372" s="2"/>
      <c r="AK372" t="s">
        <v>12</v>
      </c>
    </row>
    <row r="373" spans="1:37" outlineLevel="2" x14ac:dyDescent="0.25">
      <c r="A373" t="s">
        <v>129</v>
      </c>
      <c r="B373" t="s">
        <v>1</v>
      </c>
      <c r="C373" t="s">
        <v>2</v>
      </c>
      <c r="D373" t="s">
        <v>3</v>
      </c>
      <c r="E373" t="s">
        <v>4</v>
      </c>
      <c r="F373" t="s">
        <v>243</v>
      </c>
      <c r="G373" s="2">
        <v>45720</v>
      </c>
      <c r="H373" t="s">
        <v>1057</v>
      </c>
      <c r="I373" t="s">
        <v>22</v>
      </c>
      <c r="J373" s="2">
        <v>45720</v>
      </c>
      <c r="K373" s="2">
        <v>45721</v>
      </c>
      <c r="L373" t="s">
        <v>8</v>
      </c>
      <c r="M373" s="26">
        <v>246779410760</v>
      </c>
      <c r="N373" t="s">
        <v>10</v>
      </c>
      <c r="O373" t="s">
        <v>11</v>
      </c>
      <c r="P373" t="s">
        <v>12</v>
      </c>
      <c r="Q373" t="s">
        <v>24</v>
      </c>
      <c r="R373" t="s">
        <v>14</v>
      </c>
      <c r="S373" s="3">
        <v>11.75</v>
      </c>
      <c r="T373" t="s">
        <v>15</v>
      </c>
      <c r="U373" s="3">
        <v>1018.62</v>
      </c>
      <c r="V373" s="3" t="e">
        <f>VLOOKUP(M373,'[1]Query Report'!$A:$E,5,0)</f>
        <v>#N/A</v>
      </c>
      <c r="W373" s="3" t="e">
        <f t="shared" si="29"/>
        <v>#N/A</v>
      </c>
      <c r="X373" s="29" t="e">
        <f t="shared" si="30"/>
        <v>#N/A</v>
      </c>
      <c r="Y373" s="29" t="s">
        <v>1363</v>
      </c>
      <c r="Z373" t="s">
        <v>16</v>
      </c>
      <c r="AA373" t="s">
        <v>17</v>
      </c>
      <c r="AB373" t="s">
        <v>12</v>
      </c>
      <c r="AC373" t="s">
        <v>8</v>
      </c>
      <c r="AD373" t="s">
        <v>18</v>
      </c>
      <c r="AE373" t="s">
        <v>1059</v>
      </c>
      <c r="AF373" t="s">
        <v>12</v>
      </c>
      <c r="AG373" t="s">
        <v>12</v>
      </c>
      <c r="AH373" t="s">
        <v>12</v>
      </c>
      <c r="AI373" s="2">
        <v>45720</v>
      </c>
      <c r="AJ373" s="2"/>
      <c r="AK373" t="s">
        <v>12</v>
      </c>
    </row>
    <row r="374" spans="1:37" outlineLevel="2" x14ac:dyDescent="0.25">
      <c r="A374" t="s">
        <v>129</v>
      </c>
      <c r="B374" t="s">
        <v>1</v>
      </c>
      <c r="C374" t="s">
        <v>2</v>
      </c>
      <c r="D374" t="s">
        <v>3</v>
      </c>
      <c r="E374" t="s">
        <v>4</v>
      </c>
      <c r="F374" t="s">
        <v>243</v>
      </c>
      <c r="G374" s="2">
        <v>45736</v>
      </c>
      <c r="H374" t="s">
        <v>1060</v>
      </c>
      <c r="I374" t="s">
        <v>22</v>
      </c>
      <c r="J374" s="2">
        <v>45736</v>
      </c>
      <c r="K374" s="2">
        <v>45736</v>
      </c>
      <c r="L374" t="s">
        <v>8</v>
      </c>
      <c r="M374" s="26">
        <v>246779413772</v>
      </c>
      <c r="N374" t="s">
        <v>10</v>
      </c>
      <c r="O374" t="s">
        <v>11</v>
      </c>
      <c r="P374" t="s">
        <v>12</v>
      </c>
      <c r="Q374" t="s">
        <v>24</v>
      </c>
      <c r="R374" t="s">
        <v>14</v>
      </c>
      <c r="S374" s="3">
        <v>11.75</v>
      </c>
      <c r="T374" t="s">
        <v>15</v>
      </c>
      <c r="U374" s="3">
        <v>1018.62</v>
      </c>
      <c r="V374" s="3" t="e">
        <f>VLOOKUP(M374,'[1]Query Report'!$A:$E,5,0)</f>
        <v>#N/A</v>
      </c>
      <c r="W374" s="3" t="e">
        <f t="shared" si="29"/>
        <v>#N/A</v>
      </c>
      <c r="X374" s="29" t="e">
        <f t="shared" si="30"/>
        <v>#N/A</v>
      </c>
      <c r="Y374" s="29" t="s">
        <v>1363</v>
      </c>
      <c r="Z374" t="s">
        <v>16</v>
      </c>
      <c r="AA374" t="s">
        <v>17</v>
      </c>
      <c r="AB374" t="s">
        <v>12</v>
      </c>
      <c r="AC374" t="s">
        <v>8</v>
      </c>
      <c r="AD374" t="s">
        <v>18</v>
      </c>
      <c r="AE374" t="s">
        <v>157</v>
      </c>
      <c r="AF374" t="s">
        <v>12</v>
      </c>
      <c r="AG374" t="s">
        <v>12</v>
      </c>
      <c r="AH374" t="s">
        <v>12</v>
      </c>
      <c r="AI374" s="2">
        <v>45736</v>
      </c>
      <c r="AJ374" s="2"/>
      <c r="AK374" t="s">
        <v>12</v>
      </c>
    </row>
    <row r="375" spans="1:37" outlineLevel="2" x14ac:dyDescent="0.25">
      <c r="A375" t="s">
        <v>129</v>
      </c>
      <c r="B375" t="s">
        <v>1</v>
      </c>
      <c r="C375" t="s">
        <v>2</v>
      </c>
      <c r="D375" t="s">
        <v>3</v>
      </c>
      <c r="E375" t="s">
        <v>4</v>
      </c>
      <c r="F375" t="s">
        <v>130</v>
      </c>
      <c r="G375" s="2">
        <v>45798</v>
      </c>
      <c r="H375" t="s">
        <v>1062</v>
      </c>
      <c r="I375" t="s">
        <v>22</v>
      </c>
      <c r="J375" s="2">
        <v>45798</v>
      </c>
      <c r="K375" s="2">
        <v>45800</v>
      </c>
      <c r="L375" t="s">
        <v>8</v>
      </c>
      <c r="M375" s="26">
        <v>256779413427</v>
      </c>
      <c r="N375" t="s">
        <v>10</v>
      </c>
      <c r="O375" t="s">
        <v>11</v>
      </c>
      <c r="P375" t="s">
        <v>12</v>
      </c>
      <c r="Q375" t="s">
        <v>24</v>
      </c>
      <c r="R375" t="s">
        <v>14</v>
      </c>
      <c r="S375" s="3">
        <v>11.75</v>
      </c>
      <c r="T375" t="s">
        <v>15</v>
      </c>
      <c r="U375" s="3">
        <v>1010.31</v>
      </c>
      <c r="V375" s="3" t="e">
        <f>VLOOKUP(M375,'[1]Query Report'!$A:$E,5,0)</f>
        <v>#N/A</v>
      </c>
      <c r="W375" s="3" t="e">
        <f t="shared" si="29"/>
        <v>#N/A</v>
      </c>
      <c r="X375" s="29" t="e">
        <f t="shared" si="30"/>
        <v>#N/A</v>
      </c>
      <c r="Y375" s="29" t="s">
        <v>1363</v>
      </c>
      <c r="Z375" t="s">
        <v>16</v>
      </c>
      <c r="AA375" t="s">
        <v>17</v>
      </c>
      <c r="AB375" t="s">
        <v>12</v>
      </c>
      <c r="AC375" t="s">
        <v>8</v>
      </c>
      <c r="AD375" t="s">
        <v>18</v>
      </c>
      <c r="AE375" t="s">
        <v>1064</v>
      </c>
      <c r="AF375" t="s">
        <v>12</v>
      </c>
      <c r="AG375" t="s">
        <v>12</v>
      </c>
      <c r="AH375" t="s">
        <v>12</v>
      </c>
      <c r="AI375" s="2">
        <v>45798</v>
      </c>
      <c r="AJ375" s="2"/>
      <c r="AK375" t="s">
        <v>12</v>
      </c>
    </row>
    <row r="376" spans="1:37" outlineLevel="2" x14ac:dyDescent="0.25">
      <c r="A376" t="s">
        <v>129</v>
      </c>
      <c r="B376" t="s">
        <v>1</v>
      </c>
      <c r="C376" t="s">
        <v>2</v>
      </c>
      <c r="D376" t="s">
        <v>3</v>
      </c>
      <c r="E376" t="s">
        <v>4</v>
      </c>
      <c r="F376" t="s">
        <v>130</v>
      </c>
      <c r="G376" s="2">
        <v>45798</v>
      </c>
      <c r="H376" t="s">
        <v>1065</v>
      </c>
      <c r="I376" t="s">
        <v>22</v>
      </c>
      <c r="J376" s="2">
        <v>45798</v>
      </c>
      <c r="K376" s="2">
        <v>45800</v>
      </c>
      <c r="L376" t="s">
        <v>8</v>
      </c>
      <c r="M376" s="26">
        <v>256779413428</v>
      </c>
      <c r="N376" t="s">
        <v>10</v>
      </c>
      <c r="O376" t="s">
        <v>11</v>
      </c>
      <c r="P376" t="s">
        <v>12</v>
      </c>
      <c r="Q376" t="s">
        <v>24</v>
      </c>
      <c r="R376" t="s">
        <v>14</v>
      </c>
      <c r="S376" s="3">
        <v>11.75</v>
      </c>
      <c r="T376" t="s">
        <v>15</v>
      </c>
      <c r="U376" s="3">
        <v>1010.31</v>
      </c>
      <c r="V376" s="3" t="e">
        <f>VLOOKUP(M376,'[1]Query Report'!$A:$E,5,0)</f>
        <v>#N/A</v>
      </c>
      <c r="W376" s="3" t="e">
        <f t="shared" si="29"/>
        <v>#N/A</v>
      </c>
      <c r="X376" s="29" t="e">
        <f t="shared" si="30"/>
        <v>#N/A</v>
      </c>
      <c r="Y376" s="29" t="s">
        <v>1363</v>
      </c>
      <c r="Z376" t="s">
        <v>16</v>
      </c>
      <c r="AA376" t="s">
        <v>17</v>
      </c>
      <c r="AB376" t="s">
        <v>12</v>
      </c>
      <c r="AC376" t="s">
        <v>8</v>
      </c>
      <c r="AD376" t="s">
        <v>18</v>
      </c>
      <c r="AE376" t="s">
        <v>1067</v>
      </c>
      <c r="AF376" t="s">
        <v>12</v>
      </c>
      <c r="AG376" t="s">
        <v>12</v>
      </c>
      <c r="AH376" t="s">
        <v>12</v>
      </c>
      <c r="AI376" s="2">
        <v>45798</v>
      </c>
      <c r="AJ376" s="2"/>
      <c r="AK376" t="s">
        <v>12</v>
      </c>
    </row>
    <row r="377" spans="1:37" outlineLevel="2" x14ac:dyDescent="0.25">
      <c r="A377" t="s">
        <v>129</v>
      </c>
      <c r="B377" t="s">
        <v>1</v>
      </c>
      <c r="C377" t="s">
        <v>2</v>
      </c>
      <c r="D377" t="s">
        <v>3</v>
      </c>
      <c r="E377" t="s">
        <v>4</v>
      </c>
      <c r="F377" t="s">
        <v>313</v>
      </c>
      <c r="G377" s="2">
        <v>45918</v>
      </c>
      <c r="H377" t="s">
        <v>1068</v>
      </c>
      <c r="I377" t="s">
        <v>22</v>
      </c>
      <c r="J377" s="2">
        <v>45918</v>
      </c>
      <c r="K377" s="2">
        <v>45922</v>
      </c>
      <c r="L377" t="s">
        <v>8</v>
      </c>
      <c r="M377" s="26">
        <v>256779417594</v>
      </c>
      <c r="N377" t="s">
        <v>10</v>
      </c>
      <c r="O377" t="s">
        <v>11</v>
      </c>
      <c r="P377" t="s">
        <v>12</v>
      </c>
      <c r="Q377" t="s">
        <v>24</v>
      </c>
      <c r="R377" t="s">
        <v>14</v>
      </c>
      <c r="S377" s="3">
        <v>11.75</v>
      </c>
      <c r="T377" t="s">
        <v>15</v>
      </c>
      <c r="U377" s="3">
        <v>1028.29</v>
      </c>
      <c r="V377" s="3" t="e">
        <f>VLOOKUP(M377,'[1]Query Report'!$A:$E,5,0)</f>
        <v>#N/A</v>
      </c>
      <c r="W377" s="3" t="e">
        <f t="shared" si="29"/>
        <v>#N/A</v>
      </c>
      <c r="X377" s="29" t="e">
        <f t="shared" si="30"/>
        <v>#N/A</v>
      </c>
      <c r="Y377" s="29"/>
      <c r="Z377" t="s">
        <v>16</v>
      </c>
      <c r="AA377" t="s">
        <v>17</v>
      </c>
      <c r="AB377" t="s">
        <v>12</v>
      </c>
      <c r="AC377" t="s">
        <v>1070</v>
      </c>
      <c r="AD377" t="s">
        <v>18</v>
      </c>
      <c r="AE377" t="s">
        <v>1071</v>
      </c>
      <c r="AF377" t="s">
        <v>12</v>
      </c>
      <c r="AG377" t="s">
        <v>12</v>
      </c>
      <c r="AH377" t="s">
        <v>12</v>
      </c>
      <c r="AI377" s="2">
        <v>45918</v>
      </c>
      <c r="AJ377" s="2"/>
      <c r="AK377" t="s">
        <v>12</v>
      </c>
    </row>
    <row r="378" spans="1:37" outlineLevel="2" x14ac:dyDescent="0.25">
      <c r="A378" t="s">
        <v>129</v>
      </c>
      <c r="B378" t="s">
        <v>1</v>
      </c>
      <c r="C378" t="s">
        <v>2</v>
      </c>
      <c r="D378" t="s">
        <v>3</v>
      </c>
      <c r="E378" t="s">
        <v>4</v>
      </c>
      <c r="F378" t="s">
        <v>176</v>
      </c>
      <c r="G378" s="2">
        <v>45937</v>
      </c>
      <c r="H378" t="s">
        <v>1072</v>
      </c>
      <c r="I378" t="s">
        <v>22</v>
      </c>
      <c r="J378" s="2">
        <v>45937</v>
      </c>
      <c r="K378" s="2">
        <v>45940</v>
      </c>
      <c r="L378" t="s">
        <v>8</v>
      </c>
      <c r="M378" s="26">
        <v>256779418351</v>
      </c>
      <c r="N378" t="s">
        <v>10</v>
      </c>
      <c r="O378" t="s">
        <v>11</v>
      </c>
      <c r="P378" t="s">
        <v>12</v>
      </c>
      <c r="Q378" t="s">
        <v>24</v>
      </c>
      <c r="R378" t="s">
        <v>14</v>
      </c>
      <c r="S378" s="3">
        <v>11.75</v>
      </c>
      <c r="T378" t="s">
        <v>15</v>
      </c>
      <c r="U378" s="3">
        <v>1036.24</v>
      </c>
      <c r="V378" s="3" t="e">
        <f>VLOOKUP(M378,'[1]Query Report'!$A:$E,5,0)</f>
        <v>#N/A</v>
      </c>
      <c r="W378" s="3" t="e">
        <f t="shared" si="29"/>
        <v>#N/A</v>
      </c>
      <c r="X378" s="29" t="e">
        <f t="shared" si="30"/>
        <v>#N/A</v>
      </c>
      <c r="Y378" s="29"/>
      <c r="Z378" t="s">
        <v>16</v>
      </c>
      <c r="AA378" t="s">
        <v>17</v>
      </c>
      <c r="AB378" t="s">
        <v>12</v>
      </c>
      <c r="AC378" t="s">
        <v>1074</v>
      </c>
      <c r="AD378" t="s">
        <v>18</v>
      </c>
      <c r="AE378" t="s">
        <v>1075</v>
      </c>
      <c r="AF378" t="s">
        <v>12</v>
      </c>
      <c r="AG378" t="s">
        <v>12</v>
      </c>
      <c r="AH378" t="s">
        <v>12</v>
      </c>
      <c r="AI378" s="2">
        <v>45937</v>
      </c>
      <c r="AJ378" s="2"/>
      <c r="AK378" t="s">
        <v>12</v>
      </c>
    </row>
    <row r="379" spans="1:37" outlineLevel="2" x14ac:dyDescent="0.25">
      <c r="A379" t="s">
        <v>129</v>
      </c>
      <c r="B379" t="s">
        <v>1</v>
      </c>
      <c r="C379" t="s">
        <v>2</v>
      </c>
      <c r="D379" t="s">
        <v>3</v>
      </c>
      <c r="E379" t="s">
        <v>4</v>
      </c>
      <c r="F379" t="s">
        <v>243</v>
      </c>
      <c r="G379" s="2">
        <v>45720</v>
      </c>
      <c r="H379" t="s">
        <v>1076</v>
      </c>
      <c r="I379" t="s">
        <v>22</v>
      </c>
      <c r="J379" s="2">
        <v>45720</v>
      </c>
      <c r="K379" s="2">
        <v>45720</v>
      </c>
      <c r="L379" t="s">
        <v>8</v>
      </c>
      <c r="M379" s="26">
        <v>246779410678</v>
      </c>
      <c r="N379" t="s">
        <v>10</v>
      </c>
      <c r="O379" t="s">
        <v>11</v>
      </c>
      <c r="P379" t="s">
        <v>12</v>
      </c>
      <c r="Q379" t="s">
        <v>24</v>
      </c>
      <c r="R379" t="s">
        <v>14</v>
      </c>
      <c r="S379" s="3">
        <v>2.35</v>
      </c>
      <c r="T379" t="s">
        <v>15</v>
      </c>
      <c r="U379" s="3">
        <v>203.72</v>
      </c>
      <c r="V379" s="3" t="e">
        <f>VLOOKUP(M379,'[1]Query Report'!$A:$E,5,0)</f>
        <v>#N/A</v>
      </c>
      <c r="W379" s="3" t="e">
        <f t="shared" si="29"/>
        <v>#N/A</v>
      </c>
      <c r="X379" s="29" t="e">
        <f t="shared" si="30"/>
        <v>#N/A</v>
      </c>
      <c r="Y379" s="29" t="s">
        <v>1363</v>
      </c>
      <c r="Z379" t="s">
        <v>16</v>
      </c>
      <c r="AA379" t="s">
        <v>17</v>
      </c>
      <c r="AB379" t="s">
        <v>12</v>
      </c>
      <c r="AC379" t="s">
        <v>8</v>
      </c>
      <c r="AD379" t="s">
        <v>18</v>
      </c>
      <c r="AE379" t="s">
        <v>1078</v>
      </c>
      <c r="AF379" t="s">
        <v>12</v>
      </c>
      <c r="AG379" t="s">
        <v>12</v>
      </c>
      <c r="AH379" t="s">
        <v>12</v>
      </c>
      <c r="AI379" s="2">
        <v>45720</v>
      </c>
      <c r="AJ379" s="2"/>
      <c r="AK379" t="s">
        <v>12</v>
      </c>
    </row>
    <row r="380" spans="1:37" outlineLevel="2" x14ac:dyDescent="0.25">
      <c r="A380" t="s">
        <v>129</v>
      </c>
      <c r="B380" t="s">
        <v>1</v>
      </c>
      <c r="C380" t="s">
        <v>2</v>
      </c>
      <c r="D380" t="s">
        <v>3</v>
      </c>
      <c r="E380" t="s">
        <v>4</v>
      </c>
      <c r="F380" t="s">
        <v>243</v>
      </c>
      <c r="G380" s="2">
        <v>45720</v>
      </c>
      <c r="H380" t="s">
        <v>1079</v>
      </c>
      <c r="I380" t="s">
        <v>22</v>
      </c>
      <c r="J380" s="2">
        <v>45720</v>
      </c>
      <c r="K380" s="2">
        <v>45720</v>
      </c>
      <c r="L380" t="s">
        <v>8</v>
      </c>
      <c r="M380" s="26">
        <v>246779410679</v>
      </c>
      <c r="N380" t="s">
        <v>10</v>
      </c>
      <c r="O380" t="s">
        <v>11</v>
      </c>
      <c r="P380" t="s">
        <v>12</v>
      </c>
      <c r="Q380" t="s">
        <v>24</v>
      </c>
      <c r="R380" t="s">
        <v>14</v>
      </c>
      <c r="S380" s="3">
        <v>2.35</v>
      </c>
      <c r="T380" t="s">
        <v>15</v>
      </c>
      <c r="U380" s="3">
        <v>203.72</v>
      </c>
      <c r="V380" s="3" t="e">
        <f>VLOOKUP(M380,'[1]Query Report'!$A:$E,5,0)</f>
        <v>#N/A</v>
      </c>
      <c r="W380" s="3" t="e">
        <f t="shared" si="29"/>
        <v>#N/A</v>
      </c>
      <c r="X380" s="29" t="e">
        <f t="shared" si="30"/>
        <v>#N/A</v>
      </c>
      <c r="Y380" s="29" t="s">
        <v>1363</v>
      </c>
      <c r="Z380" t="s">
        <v>16</v>
      </c>
      <c r="AA380" t="s">
        <v>17</v>
      </c>
      <c r="AB380" t="s">
        <v>12</v>
      </c>
      <c r="AC380" t="s">
        <v>8</v>
      </c>
      <c r="AD380" t="s">
        <v>18</v>
      </c>
      <c r="AE380" t="s">
        <v>1078</v>
      </c>
      <c r="AF380" t="s">
        <v>12</v>
      </c>
      <c r="AG380" t="s">
        <v>12</v>
      </c>
      <c r="AH380" t="s">
        <v>12</v>
      </c>
      <c r="AI380" s="2">
        <v>45720</v>
      </c>
      <c r="AJ380" s="2"/>
      <c r="AK380" t="s">
        <v>12</v>
      </c>
    </row>
    <row r="381" spans="1:37" outlineLevel="2" x14ac:dyDescent="0.25">
      <c r="A381" t="s">
        <v>129</v>
      </c>
      <c r="B381" t="s">
        <v>1</v>
      </c>
      <c r="C381" t="s">
        <v>2</v>
      </c>
      <c r="D381" t="s">
        <v>3</v>
      </c>
      <c r="E381" t="s">
        <v>4</v>
      </c>
      <c r="F381" t="s">
        <v>243</v>
      </c>
      <c r="G381" s="2">
        <v>45720</v>
      </c>
      <c r="H381" t="s">
        <v>1081</v>
      </c>
      <c r="I381" t="s">
        <v>22</v>
      </c>
      <c r="J381" s="2">
        <v>45720</v>
      </c>
      <c r="K381" s="2">
        <v>45720</v>
      </c>
      <c r="L381" t="s">
        <v>8</v>
      </c>
      <c r="M381" s="26">
        <v>246779410680</v>
      </c>
      <c r="N381" t="s">
        <v>10</v>
      </c>
      <c r="O381" t="s">
        <v>11</v>
      </c>
      <c r="P381" t="s">
        <v>12</v>
      </c>
      <c r="Q381" t="s">
        <v>24</v>
      </c>
      <c r="R381" t="s">
        <v>14</v>
      </c>
      <c r="S381" s="3">
        <v>14.1</v>
      </c>
      <c r="T381" t="s">
        <v>15</v>
      </c>
      <c r="U381" s="3">
        <v>1222.3499999999999</v>
      </c>
      <c r="V381" s="3" t="e">
        <f>VLOOKUP(M381,'[1]Query Report'!$A:$E,5,0)</f>
        <v>#N/A</v>
      </c>
      <c r="W381" s="3" t="e">
        <f t="shared" si="29"/>
        <v>#N/A</v>
      </c>
      <c r="X381" s="29" t="e">
        <f t="shared" si="30"/>
        <v>#N/A</v>
      </c>
      <c r="Y381" s="29" t="s">
        <v>1363</v>
      </c>
      <c r="Z381" t="s">
        <v>16</v>
      </c>
      <c r="AA381" t="s">
        <v>17</v>
      </c>
      <c r="AB381" t="s">
        <v>12</v>
      </c>
      <c r="AC381" t="s">
        <v>8</v>
      </c>
      <c r="AD381" t="s">
        <v>18</v>
      </c>
      <c r="AE381" t="s">
        <v>1078</v>
      </c>
      <c r="AF381" t="s">
        <v>12</v>
      </c>
      <c r="AG381" t="s">
        <v>12</v>
      </c>
      <c r="AH381" t="s">
        <v>12</v>
      </c>
      <c r="AI381" s="2">
        <v>45720</v>
      </c>
      <c r="AJ381" s="2"/>
      <c r="AK381" t="s">
        <v>12</v>
      </c>
    </row>
    <row r="382" spans="1:37" outlineLevel="2" x14ac:dyDescent="0.25">
      <c r="A382" t="s">
        <v>129</v>
      </c>
      <c r="B382" t="s">
        <v>1</v>
      </c>
      <c r="C382" t="s">
        <v>2</v>
      </c>
      <c r="D382" t="s">
        <v>3</v>
      </c>
      <c r="E382" t="s">
        <v>4</v>
      </c>
      <c r="F382" t="s">
        <v>243</v>
      </c>
      <c r="G382" s="2">
        <v>45720</v>
      </c>
      <c r="H382" t="s">
        <v>1083</v>
      </c>
      <c r="I382" t="s">
        <v>22</v>
      </c>
      <c r="J382" s="2">
        <v>45720</v>
      </c>
      <c r="K382" s="2">
        <v>45720</v>
      </c>
      <c r="L382" t="s">
        <v>8</v>
      </c>
      <c r="M382" s="26">
        <v>246779410681</v>
      </c>
      <c r="N382" t="s">
        <v>10</v>
      </c>
      <c r="O382" t="s">
        <v>11</v>
      </c>
      <c r="P382" t="s">
        <v>12</v>
      </c>
      <c r="Q382" t="s">
        <v>24</v>
      </c>
      <c r="R382" t="s">
        <v>14</v>
      </c>
      <c r="S382" s="3">
        <v>2.35</v>
      </c>
      <c r="T382" t="s">
        <v>15</v>
      </c>
      <c r="U382" s="3">
        <v>203.72</v>
      </c>
      <c r="V382" s="3" t="e">
        <f>VLOOKUP(M382,'[1]Query Report'!$A:$E,5,0)</f>
        <v>#N/A</v>
      </c>
      <c r="W382" s="3" t="e">
        <f t="shared" si="29"/>
        <v>#N/A</v>
      </c>
      <c r="X382" s="29" t="e">
        <f t="shared" si="30"/>
        <v>#N/A</v>
      </c>
      <c r="Y382" s="29" t="s">
        <v>1363</v>
      </c>
      <c r="Z382" t="s">
        <v>16</v>
      </c>
      <c r="AA382" t="s">
        <v>17</v>
      </c>
      <c r="AB382" t="s">
        <v>12</v>
      </c>
      <c r="AC382" t="s">
        <v>8</v>
      </c>
      <c r="AD382" t="s">
        <v>18</v>
      </c>
      <c r="AE382" t="s">
        <v>1078</v>
      </c>
      <c r="AF382" t="s">
        <v>12</v>
      </c>
      <c r="AG382" t="s">
        <v>12</v>
      </c>
      <c r="AH382" t="s">
        <v>12</v>
      </c>
      <c r="AI382" s="2">
        <v>45720</v>
      </c>
      <c r="AJ382" s="2"/>
      <c r="AK382" t="s">
        <v>12</v>
      </c>
    </row>
    <row r="383" spans="1:37" outlineLevel="2" x14ac:dyDescent="0.25">
      <c r="A383" t="s">
        <v>129</v>
      </c>
      <c r="B383" t="s">
        <v>1</v>
      </c>
      <c r="C383" t="s">
        <v>2</v>
      </c>
      <c r="D383" t="s">
        <v>3</v>
      </c>
      <c r="E383" t="s">
        <v>4</v>
      </c>
      <c r="F383" t="s">
        <v>243</v>
      </c>
      <c r="G383" s="2">
        <v>45720</v>
      </c>
      <c r="H383" t="s">
        <v>1085</v>
      </c>
      <c r="I383" t="s">
        <v>22</v>
      </c>
      <c r="J383" s="2">
        <v>45720</v>
      </c>
      <c r="K383" s="2">
        <v>45720</v>
      </c>
      <c r="L383" t="s">
        <v>8</v>
      </c>
      <c r="M383" s="26">
        <v>246779410682</v>
      </c>
      <c r="N383" t="s">
        <v>10</v>
      </c>
      <c r="O383" t="s">
        <v>11</v>
      </c>
      <c r="P383" t="s">
        <v>12</v>
      </c>
      <c r="Q383" t="s">
        <v>24</v>
      </c>
      <c r="R383" t="s">
        <v>14</v>
      </c>
      <c r="S383" s="3">
        <v>4.7</v>
      </c>
      <c r="T383" t="s">
        <v>15</v>
      </c>
      <c r="U383" s="3">
        <v>407.45</v>
      </c>
      <c r="V383" s="3" t="e">
        <f>VLOOKUP(M383,'[1]Query Report'!$A:$E,5,0)</f>
        <v>#N/A</v>
      </c>
      <c r="W383" s="3" t="e">
        <f t="shared" si="29"/>
        <v>#N/A</v>
      </c>
      <c r="X383" s="29" t="e">
        <f t="shared" si="30"/>
        <v>#N/A</v>
      </c>
      <c r="Y383" s="29" t="s">
        <v>1362</v>
      </c>
      <c r="Z383" t="s">
        <v>16</v>
      </c>
      <c r="AA383" t="s">
        <v>17</v>
      </c>
      <c r="AB383" t="s">
        <v>12</v>
      </c>
      <c r="AC383" t="s">
        <v>8</v>
      </c>
      <c r="AD383" t="s">
        <v>18</v>
      </c>
      <c r="AE383" t="s">
        <v>1078</v>
      </c>
      <c r="AF383" t="s">
        <v>12</v>
      </c>
      <c r="AG383" t="s">
        <v>12</v>
      </c>
      <c r="AH383" t="s">
        <v>12</v>
      </c>
      <c r="AI383" s="2">
        <v>45720</v>
      </c>
      <c r="AJ383" s="2"/>
      <c r="AK383" t="s">
        <v>12</v>
      </c>
    </row>
    <row r="384" spans="1:37" outlineLevel="2" x14ac:dyDescent="0.25">
      <c r="A384" t="s">
        <v>129</v>
      </c>
      <c r="B384" t="s">
        <v>1</v>
      </c>
      <c r="C384" t="s">
        <v>2</v>
      </c>
      <c r="D384" t="s">
        <v>3</v>
      </c>
      <c r="E384" t="s">
        <v>4</v>
      </c>
      <c r="F384" t="s">
        <v>243</v>
      </c>
      <c r="G384" s="2">
        <v>45720</v>
      </c>
      <c r="H384" t="s">
        <v>1087</v>
      </c>
      <c r="I384" t="s">
        <v>22</v>
      </c>
      <c r="J384" s="2">
        <v>45720</v>
      </c>
      <c r="K384" s="2">
        <v>45720</v>
      </c>
      <c r="L384" t="s">
        <v>8</v>
      </c>
      <c r="M384" s="26">
        <v>246779410683</v>
      </c>
      <c r="N384" t="s">
        <v>10</v>
      </c>
      <c r="O384" t="s">
        <v>11</v>
      </c>
      <c r="P384" t="s">
        <v>12</v>
      </c>
      <c r="Q384" t="s">
        <v>24</v>
      </c>
      <c r="R384" t="s">
        <v>14</v>
      </c>
      <c r="S384" s="3">
        <v>2.35</v>
      </c>
      <c r="T384" t="s">
        <v>15</v>
      </c>
      <c r="U384" s="3">
        <v>203.72</v>
      </c>
      <c r="V384" s="3" t="e">
        <f>VLOOKUP(M384,'[1]Query Report'!$A:$E,5,0)</f>
        <v>#N/A</v>
      </c>
      <c r="W384" s="3" t="e">
        <f t="shared" si="29"/>
        <v>#N/A</v>
      </c>
      <c r="X384" s="29" t="e">
        <f t="shared" si="30"/>
        <v>#N/A</v>
      </c>
      <c r="Y384" s="29" t="s">
        <v>1363</v>
      </c>
      <c r="Z384" t="s">
        <v>16</v>
      </c>
      <c r="AA384" t="s">
        <v>17</v>
      </c>
      <c r="AB384" t="s">
        <v>12</v>
      </c>
      <c r="AC384" t="s">
        <v>8</v>
      </c>
      <c r="AD384" t="s">
        <v>18</v>
      </c>
      <c r="AE384" t="s">
        <v>1078</v>
      </c>
      <c r="AF384" t="s">
        <v>12</v>
      </c>
      <c r="AG384" t="s">
        <v>12</v>
      </c>
      <c r="AH384" t="s">
        <v>12</v>
      </c>
      <c r="AI384" s="2">
        <v>45720</v>
      </c>
      <c r="AJ384" s="2"/>
      <c r="AK384" t="s">
        <v>12</v>
      </c>
    </row>
    <row r="385" spans="1:37" outlineLevel="2" x14ac:dyDescent="0.25">
      <c r="A385" t="s">
        <v>129</v>
      </c>
      <c r="B385" t="s">
        <v>1</v>
      </c>
      <c r="C385" t="s">
        <v>2</v>
      </c>
      <c r="D385" t="s">
        <v>3</v>
      </c>
      <c r="E385" t="s">
        <v>4</v>
      </c>
      <c r="F385" t="s">
        <v>243</v>
      </c>
      <c r="G385" s="2">
        <v>45720</v>
      </c>
      <c r="H385" t="s">
        <v>1089</v>
      </c>
      <c r="I385" t="s">
        <v>22</v>
      </c>
      <c r="J385" s="2">
        <v>45720</v>
      </c>
      <c r="K385" s="2">
        <v>45720</v>
      </c>
      <c r="L385" t="s">
        <v>8</v>
      </c>
      <c r="M385" s="26">
        <v>246779410684</v>
      </c>
      <c r="N385" t="s">
        <v>10</v>
      </c>
      <c r="O385" t="s">
        <v>11</v>
      </c>
      <c r="P385" t="s">
        <v>12</v>
      </c>
      <c r="Q385" t="s">
        <v>24</v>
      </c>
      <c r="R385" t="s">
        <v>14</v>
      </c>
      <c r="S385" s="3">
        <v>7.05</v>
      </c>
      <c r="T385" t="s">
        <v>15</v>
      </c>
      <c r="U385" s="3">
        <v>611.16999999999996</v>
      </c>
      <c r="V385" s="3" t="e">
        <f>VLOOKUP(M385,'[1]Query Report'!$A:$E,5,0)</f>
        <v>#N/A</v>
      </c>
      <c r="W385" s="3" t="e">
        <f t="shared" si="29"/>
        <v>#N/A</v>
      </c>
      <c r="X385" s="29" t="e">
        <f t="shared" si="30"/>
        <v>#N/A</v>
      </c>
      <c r="Y385" s="29" t="s">
        <v>1363</v>
      </c>
      <c r="Z385" t="s">
        <v>16</v>
      </c>
      <c r="AA385" t="s">
        <v>17</v>
      </c>
      <c r="AB385" t="s">
        <v>12</v>
      </c>
      <c r="AC385" t="s">
        <v>8</v>
      </c>
      <c r="AD385" t="s">
        <v>18</v>
      </c>
      <c r="AE385" t="s">
        <v>1078</v>
      </c>
      <c r="AF385" t="s">
        <v>12</v>
      </c>
      <c r="AG385" t="s">
        <v>12</v>
      </c>
      <c r="AH385" t="s">
        <v>12</v>
      </c>
      <c r="AI385" s="2">
        <v>45720</v>
      </c>
      <c r="AJ385" s="2"/>
      <c r="AK385" t="s">
        <v>12</v>
      </c>
    </row>
    <row r="386" spans="1:37" outlineLevel="2" x14ac:dyDescent="0.25">
      <c r="A386" t="s">
        <v>129</v>
      </c>
      <c r="B386" t="s">
        <v>1</v>
      </c>
      <c r="C386" t="s">
        <v>2</v>
      </c>
      <c r="D386" t="s">
        <v>3</v>
      </c>
      <c r="E386" t="s">
        <v>4</v>
      </c>
      <c r="F386" t="s">
        <v>243</v>
      </c>
      <c r="G386" s="2">
        <v>45720</v>
      </c>
      <c r="H386" t="s">
        <v>1091</v>
      </c>
      <c r="I386" t="s">
        <v>22</v>
      </c>
      <c r="J386" s="2">
        <v>45720</v>
      </c>
      <c r="K386" s="2">
        <v>45720</v>
      </c>
      <c r="L386" t="s">
        <v>8</v>
      </c>
      <c r="M386" s="26">
        <v>246779410685</v>
      </c>
      <c r="N386" t="s">
        <v>10</v>
      </c>
      <c r="O386" t="s">
        <v>11</v>
      </c>
      <c r="P386" t="s">
        <v>12</v>
      </c>
      <c r="Q386" t="s">
        <v>24</v>
      </c>
      <c r="R386" t="s">
        <v>14</v>
      </c>
      <c r="S386" s="3">
        <v>2.35</v>
      </c>
      <c r="T386" t="s">
        <v>15</v>
      </c>
      <c r="U386" s="3">
        <v>203.72</v>
      </c>
      <c r="V386" s="3" t="e">
        <f>VLOOKUP(M386,'[1]Query Report'!$A:$E,5,0)</f>
        <v>#N/A</v>
      </c>
      <c r="W386" s="3" t="e">
        <f t="shared" si="29"/>
        <v>#N/A</v>
      </c>
      <c r="X386" s="29" t="e">
        <f t="shared" si="30"/>
        <v>#N/A</v>
      </c>
      <c r="Y386" s="29" t="s">
        <v>1363</v>
      </c>
      <c r="Z386" t="s">
        <v>16</v>
      </c>
      <c r="AA386" t="s">
        <v>17</v>
      </c>
      <c r="AB386" t="s">
        <v>12</v>
      </c>
      <c r="AC386" t="s">
        <v>8</v>
      </c>
      <c r="AD386" t="s">
        <v>18</v>
      </c>
      <c r="AE386" t="s">
        <v>1078</v>
      </c>
      <c r="AF386" t="s">
        <v>12</v>
      </c>
      <c r="AG386" t="s">
        <v>12</v>
      </c>
      <c r="AH386" t="s">
        <v>12</v>
      </c>
      <c r="AI386" s="2">
        <v>45720</v>
      </c>
      <c r="AJ386" s="2"/>
      <c r="AK386" t="s">
        <v>12</v>
      </c>
    </row>
    <row r="387" spans="1:37" outlineLevel="2" x14ac:dyDescent="0.25">
      <c r="A387" t="s">
        <v>129</v>
      </c>
      <c r="B387" t="s">
        <v>1</v>
      </c>
      <c r="C387" t="s">
        <v>2</v>
      </c>
      <c r="D387" t="s">
        <v>3</v>
      </c>
      <c r="E387" t="s">
        <v>4</v>
      </c>
      <c r="F387" t="s">
        <v>243</v>
      </c>
      <c r="G387" s="2">
        <v>45720</v>
      </c>
      <c r="H387" t="s">
        <v>1093</v>
      </c>
      <c r="I387" t="s">
        <v>22</v>
      </c>
      <c r="J387" s="2">
        <v>45720</v>
      </c>
      <c r="K387" s="2">
        <v>45720</v>
      </c>
      <c r="L387" t="s">
        <v>8</v>
      </c>
      <c r="M387" s="26">
        <v>246779410686</v>
      </c>
      <c r="N387" t="s">
        <v>10</v>
      </c>
      <c r="O387" t="s">
        <v>11</v>
      </c>
      <c r="P387" t="s">
        <v>12</v>
      </c>
      <c r="Q387" t="s">
        <v>24</v>
      </c>
      <c r="R387" t="s">
        <v>14</v>
      </c>
      <c r="S387" s="3">
        <v>9.4</v>
      </c>
      <c r="T387" t="s">
        <v>15</v>
      </c>
      <c r="U387" s="3">
        <v>814.9</v>
      </c>
      <c r="V387" s="3" t="e">
        <f>VLOOKUP(M387,'[1]Query Report'!$A:$E,5,0)</f>
        <v>#N/A</v>
      </c>
      <c r="W387" s="3" t="e">
        <f t="shared" si="29"/>
        <v>#N/A</v>
      </c>
      <c r="X387" s="29" t="e">
        <f t="shared" si="30"/>
        <v>#N/A</v>
      </c>
      <c r="Y387" s="29" t="s">
        <v>1363</v>
      </c>
      <c r="Z387" t="s">
        <v>16</v>
      </c>
      <c r="AA387" t="s">
        <v>17</v>
      </c>
      <c r="AB387" t="s">
        <v>12</v>
      </c>
      <c r="AC387" t="s">
        <v>8</v>
      </c>
      <c r="AD387" t="s">
        <v>18</v>
      </c>
      <c r="AE387" t="s">
        <v>1078</v>
      </c>
      <c r="AF387" t="s">
        <v>12</v>
      </c>
      <c r="AG387" t="s">
        <v>12</v>
      </c>
      <c r="AH387" t="s">
        <v>12</v>
      </c>
      <c r="AI387" s="2">
        <v>45720</v>
      </c>
      <c r="AJ387" s="2"/>
      <c r="AK387" t="s">
        <v>12</v>
      </c>
    </row>
    <row r="388" spans="1:37" outlineLevel="2" x14ac:dyDescent="0.25">
      <c r="A388" t="s">
        <v>129</v>
      </c>
      <c r="B388" t="s">
        <v>1</v>
      </c>
      <c r="C388" t="s">
        <v>2</v>
      </c>
      <c r="D388" t="s">
        <v>3</v>
      </c>
      <c r="E388" t="s">
        <v>4</v>
      </c>
      <c r="F388" t="s">
        <v>243</v>
      </c>
      <c r="G388" s="2">
        <v>45720</v>
      </c>
      <c r="H388" t="s">
        <v>1095</v>
      </c>
      <c r="I388" t="s">
        <v>22</v>
      </c>
      <c r="J388" s="2">
        <v>45720</v>
      </c>
      <c r="K388" s="2">
        <v>45720</v>
      </c>
      <c r="L388" t="s">
        <v>8</v>
      </c>
      <c r="M388" s="26">
        <v>246779410687</v>
      </c>
      <c r="N388" t="s">
        <v>10</v>
      </c>
      <c r="O388" t="s">
        <v>11</v>
      </c>
      <c r="P388" t="s">
        <v>12</v>
      </c>
      <c r="Q388" t="s">
        <v>24</v>
      </c>
      <c r="R388" t="s">
        <v>14</v>
      </c>
      <c r="S388" s="3">
        <v>21.15</v>
      </c>
      <c r="T388" t="s">
        <v>15</v>
      </c>
      <c r="U388" s="3">
        <v>1833.52</v>
      </c>
      <c r="V388" s="3" t="e">
        <f>VLOOKUP(M388,'[1]Query Report'!$A:$E,5,0)</f>
        <v>#N/A</v>
      </c>
      <c r="W388" s="3" t="e">
        <f t="shared" ref="W388:W451" si="31">U388-V388</f>
        <v>#N/A</v>
      </c>
      <c r="X388" s="29" t="e">
        <f t="shared" si="30"/>
        <v>#N/A</v>
      </c>
      <c r="Y388" s="29" t="s">
        <v>1363</v>
      </c>
      <c r="Z388" t="s">
        <v>16</v>
      </c>
      <c r="AA388" t="s">
        <v>17</v>
      </c>
      <c r="AB388" t="s">
        <v>12</v>
      </c>
      <c r="AC388" t="s">
        <v>8</v>
      </c>
      <c r="AD388" t="s">
        <v>18</v>
      </c>
      <c r="AE388" t="s">
        <v>1078</v>
      </c>
      <c r="AF388" t="s">
        <v>12</v>
      </c>
      <c r="AG388" t="s">
        <v>12</v>
      </c>
      <c r="AH388" t="s">
        <v>12</v>
      </c>
      <c r="AI388" s="2">
        <v>45720</v>
      </c>
      <c r="AJ388" s="2"/>
      <c r="AK388" t="s">
        <v>12</v>
      </c>
    </row>
    <row r="389" spans="1:37" outlineLevel="2" x14ac:dyDescent="0.25">
      <c r="A389" t="s">
        <v>129</v>
      </c>
      <c r="B389" t="s">
        <v>1</v>
      </c>
      <c r="C389" t="s">
        <v>2</v>
      </c>
      <c r="D389" t="s">
        <v>3</v>
      </c>
      <c r="E389" t="s">
        <v>4</v>
      </c>
      <c r="F389" t="s">
        <v>243</v>
      </c>
      <c r="G389" s="2">
        <v>45720</v>
      </c>
      <c r="H389" t="s">
        <v>1097</v>
      </c>
      <c r="I389" t="s">
        <v>22</v>
      </c>
      <c r="J389" s="2">
        <v>45720</v>
      </c>
      <c r="K389" s="2">
        <v>45720</v>
      </c>
      <c r="L389" t="s">
        <v>8</v>
      </c>
      <c r="M389" s="26">
        <v>246779410688</v>
      </c>
      <c r="N389" t="s">
        <v>10</v>
      </c>
      <c r="O389" t="s">
        <v>11</v>
      </c>
      <c r="P389" t="s">
        <v>12</v>
      </c>
      <c r="Q389" t="s">
        <v>24</v>
      </c>
      <c r="R389" t="s">
        <v>14</v>
      </c>
      <c r="S389" s="3">
        <v>9.4</v>
      </c>
      <c r="T389" t="s">
        <v>15</v>
      </c>
      <c r="U389" s="3">
        <v>814.9</v>
      </c>
      <c r="V389" s="3" t="e">
        <f>VLOOKUP(M389,'[1]Query Report'!$A:$E,5,0)</f>
        <v>#N/A</v>
      </c>
      <c r="W389" s="3" t="e">
        <f t="shared" si="31"/>
        <v>#N/A</v>
      </c>
      <c r="X389" s="29" t="e">
        <f t="shared" si="30"/>
        <v>#N/A</v>
      </c>
      <c r="Y389" s="29" t="s">
        <v>1363</v>
      </c>
      <c r="Z389" t="s">
        <v>16</v>
      </c>
      <c r="AA389" t="s">
        <v>17</v>
      </c>
      <c r="AB389" t="s">
        <v>12</v>
      </c>
      <c r="AC389" t="s">
        <v>8</v>
      </c>
      <c r="AD389" t="s">
        <v>18</v>
      </c>
      <c r="AE389" t="s">
        <v>1078</v>
      </c>
      <c r="AF389" t="s">
        <v>12</v>
      </c>
      <c r="AG389" t="s">
        <v>12</v>
      </c>
      <c r="AH389" t="s">
        <v>12</v>
      </c>
      <c r="AI389" s="2">
        <v>45720</v>
      </c>
      <c r="AJ389" s="2"/>
      <c r="AK389" t="s">
        <v>12</v>
      </c>
    </row>
    <row r="390" spans="1:37" outlineLevel="2" x14ac:dyDescent="0.25">
      <c r="A390" t="s">
        <v>129</v>
      </c>
      <c r="B390" t="s">
        <v>1</v>
      </c>
      <c r="C390" t="s">
        <v>2</v>
      </c>
      <c r="D390" t="s">
        <v>3</v>
      </c>
      <c r="E390" t="s">
        <v>4</v>
      </c>
      <c r="F390" t="s">
        <v>243</v>
      </c>
      <c r="G390" s="2">
        <v>45720</v>
      </c>
      <c r="H390" t="s">
        <v>1099</v>
      </c>
      <c r="I390" t="s">
        <v>22</v>
      </c>
      <c r="J390" s="2">
        <v>45720</v>
      </c>
      <c r="K390" s="2">
        <v>45720</v>
      </c>
      <c r="L390" t="s">
        <v>8</v>
      </c>
      <c r="M390" s="26">
        <v>246779410689</v>
      </c>
      <c r="N390" t="s">
        <v>10</v>
      </c>
      <c r="O390" t="s">
        <v>11</v>
      </c>
      <c r="P390" t="s">
        <v>12</v>
      </c>
      <c r="Q390" t="s">
        <v>24</v>
      </c>
      <c r="R390" t="s">
        <v>14</v>
      </c>
      <c r="S390" s="3">
        <v>4.7</v>
      </c>
      <c r="T390" t="s">
        <v>15</v>
      </c>
      <c r="U390" s="3">
        <v>407.45</v>
      </c>
      <c r="V390" s="3" t="e">
        <f>VLOOKUP(M390,'[1]Query Report'!$A:$E,5,0)</f>
        <v>#N/A</v>
      </c>
      <c r="W390" s="3" t="e">
        <f t="shared" si="31"/>
        <v>#N/A</v>
      </c>
      <c r="X390" s="29" t="e">
        <f t="shared" si="30"/>
        <v>#N/A</v>
      </c>
      <c r="Y390" s="29" t="s">
        <v>1363</v>
      </c>
      <c r="Z390" t="s">
        <v>16</v>
      </c>
      <c r="AA390" t="s">
        <v>17</v>
      </c>
      <c r="AB390" t="s">
        <v>12</v>
      </c>
      <c r="AC390" t="s">
        <v>8</v>
      </c>
      <c r="AD390" t="s">
        <v>18</v>
      </c>
      <c r="AE390" t="s">
        <v>1078</v>
      </c>
      <c r="AF390" t="s">
        <v>12</v>
      </c>
      <c r="AG390" t="s">
        <v>12</v>
      </c>
      <c r="AH390" t="s">
        <v>12</v>
      </c>
      <c r="AI390" s="2">
        <v>45720</v>
      </c>
      <c r="AJ390" s="2"/>
      <c r="AK390" t="s">
        <v>12</v>
      </c>
    </row>
    <row r="391" spans="1:37" outlineLevel="2" x14ac:dyDescent="0.25">
      <c r="A391" t="s">
        <v>129</v>
      </c>
      <c r="B391" t="s">
        <v>1</v>
      </c>
      <c r="C391" t="s">
        <v>2</v>
      </c>
      <c r="D391" t="s">
        <v>3</v>
      </c>
      <c r="E391" t="s">
        <v>4</v>
      </c>
      <c r="F391" t="s">
        <v>243</v>
      </c>
      <c r="G391" s="2">
        <v>45720</v>
      </c>
      <c r="H391" t="s">
        <v>1101</v>
      </c>
      <c r="I391" t="s">
        <v>22</v>
      </c>
      <c r="J391" s="2">
        <v>45720</v>
      </c>
      <c r="K391" s="2">
        <v>45720</v>
      </c>
      <c r="L391" t="s">
        <v>8</v>
      </c>
      <c r="M391" s="26">
        <v>246779410690</v>
      </c>
      <c r="N391" t="s">
        <v>10</v>
      </c>
      <c r="O391" t="s">
        <v>11</v>
      </c>
      <c r="P391" t="s">
        <v>12</v>
      </c>
      <c r="Q391" t="s">
        <v>24</v>
      </c>
      <c r="R391" t="s">
        <v>14</v>
      </c>
      <c r="S391" s="3">
        <v>42.3</v>
      </c>
      <c r="T391" t="s">
        <v>15</v>
      </c>
      <c r="U391" s="3">
        <v>3667.04</v>
      </c>
      <c r="V391" s="3" t="e">
        <f>VLOOKUP(M391,'[1]Query Report'!$A:$E,5,0)</f>
        <v>#N/A</v>
      </c>
      <c r="W391" s="3" t="e">
        <f t="shared" si="31"/>
        <v>#N/A</v>
      </c>
      <c r="X391" s="29" t="e">
        <f t="shared" si="30"/>
        <v>#N/A</v>
      </c>
      <c r="Y391" s="29" t="s">
        <v>1363</v>
      </c>
      <c r="Z391" t="s">
        <v>16</v>
      </c>
      <c r="AA391" t="s">
        <v>17</v>
      </c>
      <c r="AB391" t="s">
        <v>12</v>
      </c>
      <c r="AC391" t="s">
        <v>8</v>
      </c>
      <c r="AD391" t="s">
        <v>18</v>
      </c>
      <c r="AE391" t="s">
        <v>1078</v>
      </c>
      <c r="AF391" t="s">
        <v>12</v>
      </c>
      <c r="AG391" t="s">
        <v>12</v>
      </c>
      <c r="AH391" t="s">
        <v>12</v>
      </c>
      <c r="AI391" s="2">
        <v>45720</v>
      </c>
      <c r="AJ391" s="2"/>
      <c r="AK391" t="s">
        <v>12</v>
      </c>
    </row>
    <row r="392" spans="1:37" outlineLevel="2" x14ac:dyDescent="0.25">
      <c r="A392" t="s">
        <v>129</v>
      </c>
      <c r="B392" t="s">
        <v>1</v>
      </c>
      <c r="C392" t="s">
        <v>2</v>
      </c>
      <c r="D392" t="s">
        <v>3</v>
      </c>
      <c r="E392" t="s">
        <v>4</v>
      </c>
      <c r="F392" t="s">
        <v>243</v>
      </c>
      <c r="G392" s="2">
        <v>45720</v>
      </c>
      <c r="H392" t="s">
        <v>1103</v>
      </c>
      <c r="I392" t="s">
        <v>22</v>
      </c>
      <c r="J392" s="2">
        <v>45720</v>
      </c>
      <c r="K392" s="2">
        <v>45720</v>
      </c>
      <c r="L392" t="s">
        <v>8</v>
      </c>
      <c r="M392" s="26">
        <v>246779410691</v>
      </c>
      <c r="N392" t="s">
        <v>10</v>
      </c>
      <c r="O392" t="s">
        <v>11</v>
      </c>
      <c r="P392" t="s">
        <v>12</v>
      </c>
      <c r="Q392" t="s">
        <v>24</v>
      </c>
      <c r="R392" t="s">
        <v>14</v>
      </c>
      <c r="S392" s="3">
        <v>7.05</v>
      </c>
      <c r="T392" t="s">
        <v>15</v>
      </c>
      <c r="U392" s="3">
        <v>611.16999999999996</v>
      </c>
      <c r="V392" s="3" t="e">
        <f>VLOOKUP(M392,'[1]Query Report'!$A:$E,5,0)</f>
        <v>#N/A</v>
      </c>
      <c r="W392" s="3" t="e">
        <f t="shared" si="31"/>
        <v>#N/A</v>
      </c>
      <c r="X392" s="29" t="e">
        <f t="shared" si="30"/>
        <v>#N/A</v>
      </c>
      <c r="Y392" s="29" t="s">
        <v>1363</v>
      </c>
      <c r="Z392" t="s">
        <v>16</v>
      </c>
      <c r="AA392" t="s">
        <v>17</v>
      </c>
      <c r="AB392" t="s">
        <v>12</v>
      </c>
      <c r="AC392" t="s">
        <v>8</v>
      </c>
      <c r="AD392" t="s">
        <v>18</v>
      </c>
      <c r="AE392" t="s">
        <v>1078</v>
      </c>
      <c r="AF392" t="s">
        <v>12</v>
      </c>
      <c r="AG392" t="s">
        <v>12</v>
      </c>
      <c r="AH392" t="s">
        <v>12</v>
      </c>
      <c r="AI392" s="2">
        <v>45720</v>
      </c>
      <c r="AJ392" s="2"/>
      <c r="AK392" t="s">
        <v>12</v>
      </c>
    </row>
    <row r="393" spans="1:37" outlineLevel="2" x14ac:dyDescent="0.25">
      <c r="A393" t="s">
        <v>129</v>
      </c>
      <c r="B393" t="s">
        <v>1</v>
      </c>
      <c r="C393" t="s">
        <v>2</v>
      </c>
      <c r="D393" t="s">
        <v>3</v>
      </c>
      <c r="E393" t="s">
        <v>4</v>
      </c>
      <c r="F393" t="s">
        <v>243</v>
      </c>
      <c r="G393" s="2">
        <v>45720</v>
      </c>
      <c r="H393" t="s">
        <v>1105</v>
      </c>
      <c r="I393" t="s">
        <v>22</v>
      </c>
      <c r="J393" s="2">
        <v>45720</v>
      </c>
      <c r="K393" s="2">
        <v>45720</v>
      </c>
      <c r="L393" t="s">
        <v>8</v>
      </c>
      <c r="M393" s="26">
        <v>246779410692</v>
      </c>
      <c r="N393" t="s">
        <v>10</v>
      </c>
      <c r="O393" t="s">
        <v>11</v>
      </c>
      <c r="P393" t="s">
        <v>12</v>
      </c>
      <c r="Q393" t="s">
        <v>24</v>
      </c>
      <c r="R393" t="s">
        <v>14</v>
      </c>
      <c r="S393" s="3">
        <v>9.4</v>
      </c>
      <c r="T393" t="s">
        <v>15</v>
      </c>
      <c r="U393" s="3">
        <v>814.9</v>
      </c>
      <c r="V393" s="3" t="e">
        <f>VLOOKUP(M393,'[1]Query Report'!$A:$E,5,0)</f>
        <v>#N/A</v>
      </c>
      <c r="W393" s="3" t="e">
        <f t="shared" si="31"/>
        <v>#N/A</v>
      </c>
      <c r="X393" s="29" t="e">
        <f t="shared" si="30"/>
        <v>#N/A</v>
      </c>
      <c r="Y393" s="29" t="s">
        <v>1363</v>
      </c>
      <c r="Z393" t="s">
        <v>16</v>
      </c>
      <c r="AA393" t="s">
        <v>17</v>
      </c>
      <c r="AB393" t="s">
        <v>12</v>
      </c>
      <c r="AC393" t="s">
        <v>8</v>
      </c>
      <c r="AD393" t="s">
        <v>18</v>
      </c>
      <c r="AE393" t="s">
        <v>1078</v>
      </c>
      <c r="AF393" t="s">
        <v>12</v>
      </c>
      <c r="AG393" t="s">
        <v>12</v>
      </c>
      <c r="AH393" t="s">
        <v>12</v>
      </c>
      <c r="AI393" s="2">
        <v>45720</v>
      </c>
      <c r="AJ393" s="2"/>
      <c r="AK393" t="s">
        <v>12</v>
      </c>
    </row>
    <row r="394" spans="1:37" outlineLevel="2" x14ac:dyDescent="0.25">
      <c r="A394" t="s">
        <v>129</v>
      </c>
      <c r="B394" t="s">
        <v>1</v>
      </c>
      <c r="C394" t="s">
        <v>2</v>
      </c>
      <c r="D394" t="s">
        <v>3</v>
      </c>
      <c r="E394" t="s">
        <v>4</v>
      </c>
      <c r="F394" t="s">
        <v>243</v>
      </c>
      <c r="G394" s="2">
        <v>45720</v>
      </c>
      <c r="H394" t="s">
        <v>1107</v>
      </c>
      <c r="I394" t="s">
        <v>22</v>
      </c>
      <c r="J394" s="2">
        <v>45720</v>
      </c>
      <c r="K394" s="2">
        <v>45720</v>
      </c>
      <c r="L394" t="s">
        <v>8</v>
      </c>
      <c r="M394" s="26">
        <v>246779410693</v>
      </c>
      <c r="N394" t="s">
        <v>10</v>
      </c>
      <c r="O394" t="s">
        <v>11</v>
      </c>
      <c r="P394" t="s">
        <v>12</v>
      </c>
      <c r="Q394" t="s">
        <v>24</v>
      </c>
      <c r="R394" t="s">
        <v>14</v>
      </c>
      <c r="S394" s="3">
        <v>9.4</v>
      </c>
      <c r="T394" t="s">
        <v>15</v>
      </c>
      <c r="U394" s="3">
        <v>814.9</v>
      </c>
      <c r="V394" s="3" t="e">
        <f>VLOOKUP(M394,'[1]Query Report'!$A:$E,5,0)</f>
        <v>#N/A</v>
      </c>
      <c r="W394" s="3" t="e">
        <f t="shared" si="31"/>
        <v>#N/A</v>
      </c>
      <c r="X394" s="29" t="e">
        <f t="shared" si="30"/>
        <v>#N/A</v>
      </c>
      <c r="Y394" s="29" t="s">
        <v>1363</v>
      </c>
      <c r="Z394" t="s">
        <v>16</v>
      </c>
      <c r="AA394" t="s">
        <v>17</v>
      </c>
      <c r="AB394" t="s">
        <v>12</v>
      </c>
      <c r="AC394" t="s">
        <v>8</v>
      </c>
      <c r="AD394" t="s">
        <v>18</v>
      </c>
      <c r="AE394" t="s">
        <v>1078</v>
      </c>
      <c r="AF394" t="s">
        <v>12</v>
      </c>
      <c r="AG394" t="s">
        <v>12</v>
      </c>
      <c r="AH394" t="s">
        <v>12</v>
      </c>
      <c r="AI394" s="2">
        <v>45720</v>
      </c>
      <c r="AJ394" s="2"/>
      <c r="AK394" t="s">
        <v>12</v>
      </c>
    </row>
    <row r="395" spans="1:37" outlineLevel="2" x14ac:dyDescent="0.25">
      <c r="A395" t="s">
        <v>129</v>
      </c>
      <c r="B395" t="s">
        <v>1</v>
      </c>
      <c r="C395" t="s">
        <v>2</v>
      </c>
      <c r="D395" t="s">
        <v>3</v>
      </c>
      <c r="E395" t="s">
        <v>4</v>
      </c>
      <c r="F395" t="s">
        <v>243</v>
      </c>
      <c r="G395" s="2">
        <v>45720</v>
      </c>
      <c r="H395" t="s">
        <v>1109</v>
      </c>
      <c r="I395" t="s">
        <v>22</v>
      </c>
      <c r="J395" s="2">
        <v>45720</v>
      </c>
      <c r="K395" s="2">
        <v>45721</v>
      </c>
      <c r="L395" t="s">
        <v>8</v>
      </c>
      <c r="M395" s="26">
        <v>246779410755</v>
      </c>
      <c r="N395" t="s">
        <v>10</v>
      </c>
      <c r="O395" t="s">
        <v>11</v>
      </c>
      <c r="P395" t="s">
        <v>12</v>
      </c>
      <c r="Q395" t="s">
        <v>24</v>
      </c>
      <c r="R395" t="s">
        <v>14</v>
      </c>
      <c r="S395" s="3">
        <v>42.3</v>
      </c>
      <c r="T395" t="s">
        <v>15</v>
      </c>
      <c r="U395" s="3">
        <v>3667.04</v>
      </c>
      <c r="V395" s="3" t="e">
        <f>VLOOKUP(M395,'[1]Query Report'!$A:$E,5,0)</f>
        <v>#N/A</v>
      </c>
      <c r="W395" s="3" t="e">
        <f t="shared" si="31"/>
        <v>#N/A</v>
      </c>
      <c r="X395" s="29" t="e">
        <f t="shared" si="30"/>
        <v>#N/A</v>
      </c>
      <c r="Y395" s="29" t="s">
        <v>1363</v>
      </c>
      <c r="Z395" t="s">
        <v>16</v>
      </c>
      <c r="AA395" t="s">
        <v>17</v>
      </c>
      <c r="AB395" t="s">
        <v>12</v>
      </c>
      <c r="AC395" t="s">
        <v>8</v>
      </c>
      <c r="AD395" t="s">
        <v>18</v>
      </c>
      <c r="AE395" t="s">
        <v>1059</v>
      </c>
      <c r="AF395" t="s">
        <v>12</v>
      </c>
      <c r="AG395" t="s">
        <v>12</v>
      </c>
      <c r="AH395" t="s">
        <v>12</v>
      </c>
      <c r="AI395" s="2">
        <v>45720</v>
      </c>
      <c r="AJ395" s="2"/>
      <c r="AK395" t="s">
        <v>12</v>
      </c>
    </row>
    <row r="396" spans="1:37" outlineLevel="2" x14ac:dyDescent="0.25">
      <c r="A396" t="s">
        <v>129</v>
      </c>
      <c r="B396" t="s">
        <v>1</v>
      </c>
      <c r="C396" t="s">
        <v>2</v>
      </c>
      <c r="D396" t="s">
        <v>3</v>
      </c>
      <c r="E396" t="s">
        <v>4</v>
      </c>
      <c r="F396" t="s">
        <v>243</v>
      </c>
      <c r="G396" s="2">
        <v>45720</v>
      </c>
      <c r="H396" t="s">
        <v>1111</v>
      </c>
      <c r="I396" t="s">
        <v>22</v>
      </c>
      <c r="J396" s="2">
        <v>45720</v>
      </c>
      <c r="K396" s="2">
        <v>45721</v>
      </c>
      <c r="L396" t="s">
        <v>8</v>
      </c>
      <c r="M396" s="26">
        <v>246779410756</v>
      </c>
      <c r="N396" t="s">
        <v>10</v>
      </c>
      <c r="O396" t="s">
        <v>11</v>
      </c>
      <c r="P396" t="s">
        <v>12</v>
      </c>
      <c r="Q396" t="s">
        <v>24</v>
      </c>
      <c r="R396" t="s">
        <v>14</v>
      </c>
      <c r="S396" s="3">
        <v>4.7</v>
      </c>
      <c r="T396" t="s">
        <v>15</v>
      </c>
      <c r="U396" s="3">
        <v>407.45</v>
      </c>
      <c r="V396" s="3" t="e">
        <f>VLOOKUP(M396,'[1]Query Report'!$A:$E,5,0)</f>
        <v>#N/A</v>
      </c>
      <c r="W396" s="3" t="e">
        <f t="shared" si="31"/>
        <v>#N/A</v>
      </c>
      <c r="X396" s="29" t="e">
        <f t="shared" si="30"/>
        <v>#N/A</v>
      </c>
      <c r="Y396" s="29" t="s">
        <v>1363</v>
      </c>
      <c r="Z396" t="s">
        <v>16</v>
      </c>
      <c r="AA396" t="s">
        <v>17</v>
      </c>
      <c r="AB396" t="s">
        <v>12</v>
      </c>
      <c r="AC396" t="s">
        <v>8</v>
      </c>
      <c r="AD396" t="s">
        <v>18</v>
      </c>
      <c r="AE396" t="s">
        <v>1059</v>
      </c>
      <c r="AF396" t="s">
        <v>12</v>
      </c>
      <c r="AG396" t="s">
        <v>12</v>
      </c>
      <c r="AH396" t="s">
        <v>12</v>
      </c>
      <c r="AI396" s="2">
        <v>45720</v>
      </c>
      <c r="AJ396" s="2"/>
      <c r="AK396" t="s">
        <v>12</v>
      </c>
    </row>
    <row r="397" spans="1:37" outlineLevel="2" x14ac:dyDescent="0.25">
      <c r="A397" t="s">
        <v>129</v>
      </c>
      <c r="B397" t="s">
        <v>1</v>
      </c>
      <c r="C397" t="s">
        <v>2</v>
      </c>
      <c r="D397" t="s">
        <v>3</v>
      </c>
      <c r="E397" t="s">
        <v>4</v>
      </c>
      <c r="F397" t="s">
        <v>243</v>
      </c>
      <c r="G397" s="2">
        <v>45720</v>
      </c>
      <c r="H397" t="s">
        <v>1113</v>
      </c>
      <c r="I397" t="s">
        <v>22</v>
      </c>
      <c r="J397" s="2">
        <v>45720</v>
      </c>
      <c r="K397" s="2">
        <v>45721</v>
      </c>
      <c r="L397" t="s">
        <v>8</v>
      </c>
      <c r="M397" s="26">
        <v>246779410757</v>
      </c>
      <c r="N397" t="s">
        <v>10</v>
      </c>
      <c r="O397" t="s">
        <v>11</v>
      </c>
      <c r="P397" t="s">
        <v>12</v>
      </c>
      <c r="Q397" t="s">
        <v>24</v>
      </c>
      <c r="R397" t="s">
        <v>14</v>
      </c>
      <c r="S397" s="3">
        <v>4.7</v>
      </c>
      <c r="T397" t="s">
        <v>15</v>
      </c>
      <c r="U397" s="3">
        <v>407.45</v>
      </c>
      <c r="V397" s="3" t="e">
        <f>VLOOKUP(M397,'[1]Query Report'!$A:$E,5,0)</f>
        <v>#N/A</v>
      </c>
      <c r="W397" s="3" t="e">
        <f t="shared" si="31"/>
        <v>#N/A</v>
      </c>
      <c r="X397" s="29" t="e">
        <f t="shared" si="30"/>
        <v>#N/A</v>
      </c>
      <c r="Y397" s="29" t="s">
        <v>1363</v>
      </c>
      <c r="Z397" t="s">
        <v>16</v>
      </c>
      <c r="AA397" t="s">
        <v>17</v>
      </c>
      <c r="AB397" t="s">
        <v>12</v>
      </c>
      <c r="AC397" t="s">
        <v>8</v>
      </c>
      <c r="AD397" t="s">
        <v>18</v>
      </c>
      <c r="AE397" t="s">
        <v>1059</v>
      </c>
      <c r="AF397" t="s">
        <v>12</v>
      </c>
      <c r="AG397" t="s">
        <v>12</v>
      </c>
      <c r="AH397" t="s">
        <v>12</v>
      </c>
      <c r="AI397" s="2">
        <v>45720</v>
      </c>
      <c r="AJ397" s="2"/>
      <c r="AK397" t="s">
        <v>12</v>
      </c>
    </row>
    <row r="398" spans="1:37" outlineLevel="2" x14ac:dyDescent="0.25">
      <c r="A398" t="s">
        <v>129</v>
      </c>
      <c r="B398" t="s">
        <v>1</v>
      </c>
      <c r="C398" t="s">
        <v>2</v>
      </c>
      <c r="D398" t="s">
        <v>3</v>
      </c>
      <c r="E398" t="s">
        <v>4</v>
      </c>
      <c r="F398" t="s">
        <v>243</v>
      </c>
      <c r="G398" s="2">
        <v>45720</v>
      </c>
      <c r="H398" t="s">
        <v>1115</v>
      </c>
      <c r="I398" t="s">
        <v>22</v>
      </c>
      <c r="J398" s="2">
        <v>45720</v>
      </c>
      <c r="K398" s="2">
        <v>45721</v>
      </c>
      <c r="L398" t="s">
        <v>8</v>
      </c>
      <c r="M398" s="26">
        <v>246779410758</v>
      </c>
      <c r="N398" t="s">
        <v>10</v>
      </c>
      <c r="O398" t="s">
        <v>11</v>
      </c>
      <c r="P398" t="s">
        <v>12</v>
      </c>
      <c r="Q398" t="s">
        <v>24</v>
      </c>
      <c r="R398" t="s">
        <v>14</v>
      </c>
      <c r="S398" s="3">
        <v>37.6</v>
      </c>
      <c r="T398" t="s">
        <v>15</v>
      </c>
      <c r="U398" s="3">
        <v>3259.59</v>
      </c>
      <c r="V398" s="3" t="e">
        <f>VLOOKUP(M398,'[1]Query Report'!$A:$E,5,0)</f>
        <v>#N/A</v>
      </c>
      <c r="W398" s="3" t="e">
        <f t="shared" si="31"/>
        <v>#N/A</v>
      </c>
      <c r="X398" s="29" t="e">
        <f t="shared" si="30"/>
        <v>#N/A</v>
      </c>
      <c r="Y398" s="29" t="s">
        <v>1363</v>
      </c>
      <c r="Z398" t="s">
        <v>16</v>
      </c>
      <c r="AA398" t="s">
        <v>17</v>
      </c>
      <c r="AB398" t="s">
        <v>12</v>
      </c>
      <c r="AC398" t="s">
        <v>8</v>
      </c>
      <c r="AD398" t="s">
        <v>18</v>
      </c>
      <c r="AE398" t="s">
        <v>1059</v>
      </c>
      <c r="AF398" t="s">
        <v>12</v>
      </c>
      <c r="AG398" t="s">
        <v>12</v>
      </c>
      <c r="AH398" t="s">
        <v>12</v>
      </c>
      <c r="AI398" s="2">
        <v>45720</v>
      </c>
      <c r="AJ398" s="2"/>
      <c r="AK398" t="s">
        <v>12</v>
      </c>
    </row>
    <row r="399" spans="1:37" outlineLevel="2" x14ac:dyDescent="0.25">
      <c r="A399" t="s">
        <v>129</v>
      </c>
      <c r="B399" t="s">
        <v>1</v>
      </c>
      <c r="C399" t="s">
        <v>2</v>
      </c>
      <c r="D399" t="s">
        <v>3</v>
      </c>
      <c r="E399" t="s">
        <v>4</v>
      </c>
      <c r="F399" t="s">
        <v>243</v>
      </c>
      <c r="G399" s="2">
        <v>45720</v>
      </c>
      <c r="H399" t="s">
        <v>1117</v>
      </c>
      <c r="I399" t="s">
        <v>22</v>
      </c>
      <c r="J399" s="2">
        <v>45720</v>
      </c>
      <c r="K399" s="2">
        <v>45721</v>
      </c>
      <c r="L399" t="s">
        <v>8</v>
      </c>
      <c r="M399" s="26">
        <v>246779410759</v>
      </c>
      <c r="N399" t="s">
        <v>10</v>
      </c>
      <c r="O399" t="s">
        <v>11</v>
      </c>
      <c r="P399" t="s">
        <v>12</v>
      </c>
      <c r="Q399" t="s">
        <v>24</v>
      </c>
      <c r="R399" t="s">
        <v>14</v>
      </c>
      <c r="S399" s="3">
        <v>7.05</v>
      </c>
      <c r="T399" t="s">
        <v>15</v>
      </c>
      <c r="U399" s="3">
        <v>611.16999999999996</v>
      </c>
      <c r="V399" s="3" t="e">
        <f>VLOOKUP(M399,'[1]Query Report'!$A:$E,5,0)</f>
        <v>#N/A</v>
      </c>
      <c r="W399" s="3" t="e">
        <f t="shared" si="31"/>
        <v>#N/A</v>
      </c>
      <c r="X399" s="29" t="e">
        <f t="shared" si="30"/>
        <v>#N/A</v>
      </c>
      <c r="Y399" s="29" t="s">
        <v>1363</v>
      </c>
      <c r="Z399" t="s">
        <v>16</v>
      </c>
      <c r="AA399" t="s">
        <v>17</v>
      </c>
      <c r="AB399" t="s">
        <v>12</v>
      </c>
      <c r="AC399" t="s">
        <v>8</v>
      </c>
      <c r="AD399" t="s">
        <v>18</v>
      </c>
      <c r="AE399" t="s">
        <v>1059</v>
      </c>
      <c r="AF399" t="s">
        <v>12</v>
      </c>
      <c r="AG399" t="s">
        <v>12</v>
      </c>
      <c r="AH399" t="s">
        <v>12</v>
      </c>
      <c r="AI399" s="2">
        <v>45720</v>
      </c>
      <c r="AJ399" s="2"/>
      <c r="AK399" t="s">
        <v>12</v>
      </c>
    </row>
    <row r="400" spans="1:37" outlineLevel="2" x14ac:dyDescent="0.25">
      <c r="A400" t="s">
        <v>129</v>
      </c>
      <c r="B400" t="s">
        <v>1</v>
      </c>
      <c r="C400" t="s">
        <v>2</v>
      </c>
      <c r="D400" t="s">
        <v>3</v>
      </c>
      <c r="E400" t="s">
        <v>4</v>
      </c>
      <c r="F400" t="s">
        <v>243</v>
      </c>
      <c r="G400" s="2">
        <v>45720</v>
      </c>
      <c r="H400" t="s">
        <v>1119</v>
      </c>
      <c r="I400" t="s">
        <v>22</v>
      </c>
      <c r="J400" s="2">
        <v>45720</v>
      </c>
      <c r="K400" s="2">
        <v>45721</v>
      </c>
      <c r="L400" t="s">
        <v>8</v>
      </c>
      <c r="M400" s="26">
        <v>246779410761</v>
      </c>
      <c r="N400" t="s">
        <v>10</v>
      </c>
      <c r="O400" t="s">
        <v>11</v>
      </c>
      <c r="P400" t="s">
        <v>12</v>
      </c>
      <c r="Q400" t="s">
        <v>24</v>
      </c>
      <c r="R400" t="s">
        <v>14</v>
      </c>
      <c r="S400" s="3">
        <v>14.1</v>
      </c>
      <c r="T400" t="s">
        <v>15</v>
      </c>
      <c r="U400" s="3">
        <v>1222.3499999999999</v>
      </c>
      <c r="V400" s="3" t="e">
        <f>VLOOKUP(M400,'[1]Query Report'!$A:$E,5,0)</f>
        <v>#N/A</v>
      </c>
      <c r="W400" s="3" t="e">
        <f t="shared" si="31"/>
        <v>#N/A</v>
      </c>
      <c r="X400" s="29" t="e">
        <f t="shared" si="30"/>
        <v>#N/A</v>
      </c>
      <c r="Y400" s="29" t="s">
        <v>1363</v>
      </c>
      <c r="Z400" t="s">
        <v>16</v>
      </c>
      <c r="AA400" t="s">
        <v>17</v>
      </c>
      <c r="AB400" t="s">
        <v>12</v>
      </c>
      <c r="AC400" t="s">
        <v>8</v>
      </c>
      <c r="AD400" t="s">
        <v>18</v>
      </c>
      <c r="AE400" t="s">
        <v>1059</v>
      </c>
      <c r="AF400" t="s">
        <v>12</v>
      </c>
      <c r="AG400" t="s">
        <v>12</v>
      </c>
      <c r="AH400" t="s">
        <v>12</v>
      </c>
      <c r="AI400" s="2">
        <v>45720</v>
      </c>
      <c r="AJ400" s="2"/>
      <c r="AK400" t="s">
        <v>12</v>
      </c>
    </row>
    <row r="401" spans="1:37" outlineLevel="2" x14ac:dyDescent="0.25">
      <c r="A401" t="s">
        <v>129</v>
      </c>
      <c r="B401" t="s">
        <v>1</v>
      </c>
      <c r="C401" t="s">
        <v>2</v>
      </c>
      <c r="D401" t="s">
        <v>3</v>
      </c>
      <c r="E401" t="s">
        <v>4</v>
      </c>
      <c r="F401" t="s">
        <v>243</v>
      </c>
      <c r="G401" s="2">
        <v>45720</v>
      </c>
      <c r="H401" t="s">
        <v>1121</v>
      </c>
      <c r="I401" t="s">
        <v>22</v>
      </c>
      <c r="J401" s="2">
        <v>45720</v>
      </c>
      <c r="K401" s="2">
        <v>45721</v>
      </c>
      <c r="L401" t="s">
        <v>8</v>
      </c>
      <c r="M401" s="26">
        <v>246779410762</v>
      </c>
      <c r="N401" t="s">
        <v>10</v>
      </c>
      <c r="O401" t="s">
        <v>11</v>
      </c>
      <c r="P401" t="s">
        <v>12</v>
      </c>
      <c r="Q401" t="s">
        <v>24</v>
      </c>
      <c r="R401" t="s">
        <v>14</v>
      </c>
      <c r="S401" s="3">
        <v>4.7</v>
      </c>
      <c r="T401" t="s">
        <v>15</v>
      </c>
      <c r="U401" s="3">
        <v>407.45</v>
      </c>
      <c r="V401" s="3" t="e">
        <f>VLOOKUP(M401,'[1]Query Report'!$A:$E,5,0)</f>
        <v>#N/A</v>
      </c>
      <c r="W401" s="3" t="e">
        <f t="shared" si="31"/>
        <v>#N/A</v>
      </c>
      <c r="X401" s="29" t="e">
        <f t="shared" si="30"/>
        <v>#N/A</v>
      </c>
      <c r="Y401" s="29" t="s">
        <v>1363</v>
      </c>
      <c r="Z401" t="s">
        <v>16</v>
      </c>
      <c r="AA401" t="s">
        <v>17</v>
      </c>
      <c r="AB401" t="s">
        <v>12</v>
      </c>
      <c r="AC401" t="s">
        <v>8</v>
      </c>
      <c r="AD401" t="s">
        <v>18</v>
      </c>
      <c r="AE401" t="s">
        <v>1059</v>
      </c>
      <c r="AF401" t="s">
        <v>12</v>
      </c>
      <c r="AG401" t="s">
        <v>12</v>
      </c>
      <c r="AH401" t="s">
        <v>12</v>
      </c>
      <c r="AI401" s="2">
        <v>45720</v>
      </c>
      <c r="AJ401" s="2"/>
      <c r="AK401" t="s">
        <v>12</v>
      </c>
    </row>
    <row r="402" spans="1:37" outlineLevel="2" x14ac:dyDescent="0.25">
      <c r="A402" t="s">
        <v>129</v>
      </c>
      <c r="B402" t="s">
        <v>1</v>
      </c>
      <c r="C402" t="s">
        <v>2</v>
      </c>
      <c r="D402" t="s">
        <v>3</v>
      </c>
      <c r="E402" t="s">
        <v>4</v>
      </c>
      <c r="F402" t="s">
        <v>243</v>
      </c>
      <c r="G402" s="2">
        <v>45720</v>
      </c>
      <c r="H402" t="s">
        <v>1123</v>
      </c>
      <c r="I402" t="s">
        <v>22</v>
      </c>
      <c r="J402" s="2">
        <v>45720</v>
      </c>
      <c r="K402" s="2">
        <v>45721</v>
      </c>
      <c r="L402" t="s">
        <v>8</v>
      </c>
      <c r="M402" s="26">
        <v>246779410763</v>
      </c>
      <c r="N402" t="s">
        <v>10</v>
      </c>
      <c r="O402" t="s">
        <v>11</v>
      </c>
      <c r="P402" t="s">
        <v>12</v>
      </c>
      <c r="Q402" t="s">
        <v>24</v>
      </c>
      <c r="R402" t="s">
        <v>14</v>
      </c>
      <c r="S402" s="3">
        <v>2.35</v>
      </c>
      <c r="T402" t="s">
        <v>15</v>
      </c>
      <c r="U402" s="3">
        <v>203.72</v>
      </c>
      <c r="V402" s="3" t="e">
        <f>VLOOKUP(M402,'[1]Query Report'!$A:$E,5,0)</f>
        <v>#N/A</v>
      </c>
      <c r="W402" s="3" t="e">
        <f t="shared" si="31"/>
        <v>#N/A</v>
      </c>
      <c r="X402" s="29" t="e">
        <f t="shared" si="30"/>
        <v>#N/A</v>
      </c>
      <c r="Y402" s="29" t="s">
        <v>1363</v>
      </c>
      <c r="Z402" t="s">
        <v>16</v>
      </c>
      <c r="AA402" t="s">
        <v>17</v>
      </c>
      <c r="AB402" t="s">
        <v>12</v>
      </c>
      <c r="AC402" t="s">
        <v>8</v>
      </c>
      <c r="AD402" t="s">
        <v>18</v>
      </c>
      <c r="AE402" t="s">
        <v>1059</v>
      </c>
      <c r="AF402" t="s">
        <v>12</v>
      </c>
      <c r="AG402" t="s">
        <v>12</v>
      </c>
      <c r="AH402" t="s">
        <v>12</v>
      </c>
      <c r="AI402" s="2">
        <v>45720</v>
      </c>
      <c r="AJ402" s="2"/>
      <c r="AK402" t="s">
        <v>12</v>
      </c>
    </row>
    <row r="403" spans="1:37" outlineLevel="2" x14ac:dyDescent="0.25">
      <c r="A403" t="s">
        <v>129</v>
      </c>
      <c r="B403" t="s">
        <v>1</v>
      </c>
      <c r="C403" t="s">
        <v>2</v>
      </c>
      <c r="D403" t="s">
        <v>3</v>
      </c>
      <c r="E403" t="s">
        <v>4</v>
      </c>
      <c r="F403" t="s">
        <v>243</v>
      </c>
      <c r="G403" s="2">
        <v>45720</v>
      </c>
      <c r="H403" t="s">
        <v>1125</v>
      </c>
      <c r="I403" t="s">
        <v>22</v>
      </c>
      <c r="J403" s="2">
        <v>45720</v>
      </c>
      <c r="K403" s="2">
        <v>45721</v>
      </c>
      <c r="L403" t="s">
        <v>8</v>
      </c>
      <c r="M403" s="26">
        <v>246779410764</v>
      </c>
      <c r="N403" t="s">
        <v>10</v>
      </c>
      <c r="O403" t="s">
        <v>11</v>
      </c>
      <c r="P403" t="s">
        <v>12</v>
      </c>
      <c r="Q403" t="s">
        <v>24</v>
      </c>
      <c r="R403" t="s">
        <v>14</v>
      </c>
      <c r="S403" s="3">
        <v>2.35</v>
      </c>
      <c r="T403" t="s">
        <v>15</v>
      </c>
      <c r="U403" s="3">
        <v>203.72</v>
      </c>
      <c r="V403" s="3" t="e">
        <f>VLOOKUP(M403,'[1]Query Report'!$A:$E,5,0)</f>
        <v>#N/A</v>
      </c>
      <c r="W403" s="3" t="e">
        <f t="shared" si="31"/>
        <v>#N/A</v>
      </c>
      <c r="X403" s="29" t="e">
        <f t="shared" si="30"/>
        <v>#N/A</v>
      </c>
      <c r="Y403" s="29" t="s">
        <v>1363</v>
      </c>
      <c r="Z403" t="s">
        <v>16</v>
      </c>
      <c r="AA403" t="s">
        <v>17</v>
      </c>
      <c r="AB403" t="s">
        <v>12</v>
      </c>
      <c r="AC403" t="s">
        <v>8</v>
      </c>
      <c r="AD403" t="s">
        <v>18</v>
      </c>
      <c r="AE403" t="s">
        <v>1059</v>
      </c>
      <c r="AF403" t="s">
        <v>12</v>
      </c>
      <c r="AG403" t="s">
        <v>12</v>
      </c>
      <c r="AH403" t="s">
        <v>12</v>
      </c>
      <c r="AI403" s="2">
        <v>45720</v>
      </c>
      <c r="AJ403" s="2"/>
      <c r="AK403" t="s">
        <v>12</v>
      </c>
    </row>
    <row r="404" spans="1:37" outlineLevel="2" x14ac:dyDescent="0.25">
      <c r="A404" t="s">
        <v>129</v>
      </c>
      <c r="B404" t="s">
        <v>1</v>
      </c>
      <c r="C404" t="s">
        <v>2</v>
      </c>
      <c r="D404" t="s">
        <v>3</v>
      </c>
      <c r="E404" t="s">
        <v>4</v>
      </c>
      <c r="F404" t="s">
        <v>243</v>
      </c>
      <c r="G404" s="2">
        <v>45720</v>
      </c>
      <c r="H404" t="s">
        <v>1127</v>
      </c>
      <c r="I404" t="s">
        <v>22</v>
      </c>
      <c r="J404" s="2">
        <v>45720</v>
      </c>
      <c r="K404" s="2">
        <v>45721</v>
      </c>
      <c r="L404" t="s">
        <v>8</v>
      </c>
      <c r="M404" s="26">
        <v>246779410765</v>
      </c>
      <c r="N404" t="s">
        <v>10</v>
      </c>
      <c r="O404" t="s">
        <v>11</v>
      </c>
      <c r="P404" t="s">
        <v>12</v>
      </c>
      <c r="Q404" t="s">
        <v>24</v>
      </c>
      <c r="R404" t="s">
        <v>14</v>
      </c>
      <c r="S404" s="3">
        <v>2.35</v>
      </c>
      <c r="T404" t="s">
        <v>15</v>
      </c>
      <c r="U404" s="3">
        <v>203.72</v>
      </c>
      <c r="V404" s="3" t="e">
        <f>VLOOKUP(M404,'[1]Query Report'!$A:$E,5,0)</f>
        <v>#N/A</v>
      </c>
      <c r="W404" s="3" t="e">
        <f t="shared" si="31"/>
        <v>#N/A</v>
      </c>
      <c r="X404" s="29" t="e">
        <f t="shared" si="30"/>
        <v>#N/A</v>
      </c>
      <c r="Y404" s="29" t="s">
        <v>1363</v>
      </c>
      <c r="Z404" t="s">
        <v>16</v>
      </c>
      <c r="AA404" t="s">
        <v>17</v>
      </c>
      <c r="AB404" t="s">
        <v>12</v>
      </c>
      <c r="AC404" t="s">
        <v>8</v>
      </c>
      <c r="AD404" t="s">
        <v>18</v>
      </c>
      <c r="AE404" t="s">
        <v>1059</v>
      </c>
      <c r="AF404" t="s">
        <v>12</v>
      </c>
      <c r="AG404" t="s">
        <v>12</v>
      </c>
      <c r="AH404" t="s">
        <v>12</v>
      </c>
      <c r="AI404" s="2">
        <v>45720</v>
      </c>
      <c r="AJ404" s="2"/>
      <c r="AK404" t="s">
        <v>12</v>
      </c>
    </row>
    <row r="405" spans="1:37" outlineLevel="2" x14ac:dyDescent="0.25">
      <c r="A405" t="s">
        <v>129</v>
      </c>
      <c r="B405" t="s">
        <v>1</v>
      </c>
      <c r="C405" t="s">
        <v>2</v>
      </c>
      <c r="D405" t="s">
        <v>3</v>
      </c>
      <c r="E405" t="s">
        <v>4</v>
      </c>
      <c r="F405" t="s">
        <v>243</v>
      </c>
      <c r="G405" s="2">
        <v>45720</v>
      </c>
      <c r="H405" t="s">
        <v>1129</v>
      </c>
      <c r="I405" t="s">
        <v>22</v>
      </c>
      <c r="J405" s="2">
        <v>45720</v>
      </c>
      <c r="K405" s="2">
        <v>45721</v>
      </c>
      <c r="L405" t="s">
        <v>8</v>
      </c>
      <c r="M405" s="26">
        <v>246779410766</v>
      </c>
      <c r="N405" t="s">
        <v>10</v>
      </c>
      <c r="O405" t="s">
        <v>11</v>
      </c>
      <c r="P405" t="s">
        <v>12</v>
      </c>
      <c r="Q405" t="s">
        <v>24</v>
      </c>
      <c r="R405" t="s">
        <v>14</v>
      </c>
      <c r="S405" s="3">
        <v>4.7</v>
      </c>
      <c r="T405" t="s">
        <v>15</v>
      </c>
      <c r="U405" s="3">
        <v>407.45</v>
      </c>
      <c r="V405" s="3" t="e">
        <f>VLOOKUP(M405,'[1]Query Report'!$A:$E,5,0)</f>
        <v>#N/A</v>
      </c>
      <c r="W405" s="3" t="e">
        <f t="shared" si="31"/>
        <v>#N/A</v>
      </c>
      <c r="X405" s="29" t="e">
        <f t="shared" si="30"/>
        <v>#N/A</v>
      </c>
      <c r="Y405" s="29" t="s">
        <v>1363</v>
      </c>
      <c r="Z405" t="s">
        <v>16</v>
      </c>
      <c r="AA405" t="s">
        <v>17</v>
      </c>
      <c r="AB405" t="s">
        <v>12</v>
      </c>
      <c r="AC405" t="s">
        <v>8</v>
      </c>
      <c r="AD405" t="s">
        <v>18</v>
      </c>
      <c r="AE405" t="s">
        <v>1059</v>
      </c>
      <c r="AF405" t="s">
        <v>12</v>
      </c>
      <c r="AG405" t="s">
        <v>12</v>
      </c>
      <c r="AH405" t="s">
        <v>12</v>
      </c>
      <c r="AI405" s="2">
        <v>45720</v>
      </c>
      <c r="AJ405" s="2"/>
      <c r="AK405" t="s">
        <v>12</v>
      </c>
    </row>
    <row r="406" spans="1:37" outlineLevel="2" x14ac:dyDescent="0.25">
      <c r="A406" t="s">
        <v>129</v>
      </c>
      <c r="B406" t="s">
        <v>1</v>
      </c>
      <c r="C406" t="s">
        <v>2</v>
      </c>
      <c r="D406" t="s">
        <v>3</v>
      </c>
      <c r="E406" t="s">
        <v>4</v>
      </c>
      <c r="F406" t="s">
        <v>243</v>
      </c>
      <c r="G406" s="2">
        <v>45720</v>
      </c>
      <c r="H406" t="s">
        <v>1131</v>
      </c>
      <c r="I406" t="s">
        <v>22</v>
      </c>
      <c r="J406" s="2">
        <v>45720</v>
      </c>
      <c r="K406" s="2">
        <v>45721</v>
      </c>
      <c r="L406" t="s">
        <v>8</v>
      </c>
      <c r="M406" s="26">
        <v>246779410841</v>
      </c>
      <c r="N406" t="s">
        <v>10</v>
      </c>
      <c r="O406" t="s">
        <v>11</v>
      </c>
      <c r="P406" t="s">
        <v>12</v>
      </c>
      <c r="Q406" t="s">
        <v>24</v>
      </c>
      <c r="R406" t="s">
        <v>14</v>
      </c>
      <c r="S406" s="3">
        <v>7.05</v>
      </c>
      <c r="T406" t="s">
        <v>15</v>
      </c>
      <c r="U406" s="3">
        <v>611.16999999999996</v>
      </c>
      <c r="V406" s="3" t="e">
        <f>VLOOKUP(M406,'[1]Query Report'!$A:$E,5,0)</f>
        <v>#N/A</v>
      </c>
      <c r="W406" s="3" t="e">
        <f t="shared" si="31"/>
        <v>#N/A</v>
      </c>
      <c r="X406" s="29" t="e">
        <f t="shared" si="30"/>
        <v>#N/A</v>
      </c>
      <c r="Y406" s="29" t="s">
        <v>1363</v>
      </c>
      <c r="Z406" t="s">
        <v>16</v>
      </c>
      <c r="AA406" t="s">
        <v>17</v>
      </c>
      <c r="AB406" t="s">
        <v>12</v>
      </c>
      <c r="AC406" t="s">
        <v>8</v>
      </c>
      <c r="AD406" t="s">
        <v>18</v>
      </c>
      <c r="AE406" t="s">
        <v>1133</v>
      </c>
      <c r="AF406" t="s">
        <v>12</v>
      </c>
      <c r="AG406" t="s">
        <v>12</v>
      </c>
      <c r="AH406" t="s">
        <v>12</v>
      </c>
      <c r="AI406" s="2">
        <v>45720</v>
      </c>
      <c r="AJ406" s="2"/>
      <c r="AK406" t="s">
        <v>12</v>
      </c>
    </row>
    <row r="407" spans="1:37" outlineLevel="2" x14ac:dyDescent="0.25">
      <c r="A407" t="s">
        <v>129</v>
      </c>
      <c r="B407" t="s">
        <v>1</v>
      </c>
      <c r="C407" t="s">
        <v>2</v>
      </c>
      <c r="D407" t="s">
        <v>3</v>
      </c>
      <c r="E407" t="s">
        <v>4</v>
      </c>
      <c r="F407" t="s">
        <v>243</v>
      </c>
      <c r="G407" s="2">
        <v>45720</v>
      </c>
      <c r="H407" t="s">
        <v>1134</v>
      </c>
      <c r="I407" t="s">
        <v>22</v>
      </c>
      <c r="J407" s="2">
        <v>45720</v>
      </c>
      <c r="K407" s="2">
        <v>45721</v>
      </c>
      <c r="L407" t="s">
        <v>8</v>
      </c>
      <c r="M407" s="26">
        <v>246779410842</v>
      </c>
      <c r="N407" t="s">
        <v>10</v>
      </c>
      <c r="O407" t="s">
        <v>11</v>
      </c>
      <c r="P407" t="s">
        <v>12</v>
      </c>
      <c r="Q407" t="s">
        <v>24</v>
      </c>
      <c r="R407" t="s">
        <v>14</v>
      </c>
      <c r="S407" s="3">
        <v>4.7</v>
      </c>
      <c r="T407" t="s">
        <v>15</v>
      </c>
      <c r="U407" s="3">
        <v>407.45</v>
      </c>
      <c r="V407" s="3" t="e">
        <f>VLOOKUP(M407,'[1]Query Report'!$A:$E,5,0)</f>
        <v>#N/A</v>
      </c>
      <c r="W407" s="3" t="e">
        <f t="shared" si="31"/>
        <v>#N/A</v>
      </c>
      <c r="X407" s="29" t="e">
        <f t="shared" si="30"/>
        <v>#N/A</v>
      </c>
      <c r="Y407" s="29" t="s">
        <v>1363</v>
      </c>
      <c r="Z407" t="s">
        <v>16</v>
      </c>
      <c r="AA407" t="s">
        <v>17</v>
      </c>
      <c r="AB407" t="s">
        <v>12</v>
      </c>
      <c r="AC407" t="s">
        <v>8</v>
      </c>
      <c r="AD407" t="s">
        <v>18</v>
      </c>
      <c r="AE407" t="s">
        <v>1133</v>
      </c>
      <c r="AF407" t="s">
        <v>12</v>
      </c>
      <c r="AG407" t="s">
        <v>12</v>
      </c>
      <c r="AH407" t="s">
        <v>12</v>
      </c>
      <c r="AI407" s="2">
        <v>45720</v>
      </c>
      <c r="AJ407" s="2"/>
      <c r="AK407" t="s">
        <v>12</v>
      </c>
    </row>
    <row r="408" spans="1:37" outlineLevel="2" x14ac:dyDescent="0.25">
      <c r="A408" t="s">
        <v>129</v>
      </c>
      <c r="B408" t="s">
        <v>1</v>
      </c>
      <c r="C408" t="s">
        <v>2</v>
      </c>
      <c r="D408" t="s">
        <v>3</v>
      </c>
      <c r="E408" t="s">
        <v>4</v>
      </c>
      <c r="F408" t="s">
        <v>243</v>
      </c>
      <c r="G408" s="2">
        <v>45720</v>
      </c>
      <c r="H408" t="s">
        <v>1136</v>
      </c>
      <c r="I408" t="s">
        <v>22</v>
      </c>
      <c r="J408" s="2">
        <v>45720</v>
      </c>
      <c r="K408" s="2">
        <v>45721</v>
      </c>
      <c r="L408" t="s">
        <v>8</v>
      </c>
      <c r="M408" s="26">
        <v>246779410843</v>
      </c>
      <c r="N408" t="s">
        <v>10</v>
      </c>
      <c r="O408" t="s">
        <v>11</v>
      </c>
      <c r="P408" t="s">
        <v>12</v>
      </c>
      <c r="Q408" t="s">
        <v>24</v>
      </c>
      <c r="R408" t="s">
        <v>14</v>
      </c>
      <c r="S408" s="3">
        <v>4.7</v>
      </c>
      <c r="T408" t="s">
        <v>15</v>
      </c>
      <c r="U408" s="3">
        <v>407.45</v>
      </c>
      <c r="V408" s="3" t="e">
        <f>VLOOKUP(M408,'[1]Query Report'!$A:$E,5,0)</f>
        <v>#N/A</v>
      </c>
      <c r="W408" s="3" t="e">
        <f t="shared" si="31"/>
        <v>#N/A</v>
      </c>
      <c r="X408" s="29" t="e">
        <f t="shared" si="30"/>
        <v>#N/A</v>
      </c>
      <c r="Y408" s="29" t="s">
        <v>1363</v>
      </c>
      <c r="Z408" t="s">
        <v>16</v>
      </c>
      <c r="AA408" t="s">
        <v>17</v>
      </c>
      <c r="AB408" t="s">
        <v>12</v>
      </c>
      <c r="AC408" t="s">
        <v>8</v>
      </c>
      <c r="AD408" t="s">
        <v>18</v>
      </c>
      <c r="AE408" t="s">
        <v>1133</v>
      </c>
      <c r="AF408" t="s">
        <v>12</v>
      </c>
      <c r="AG408" t="s">
        <v>12</v>
      </c>
      <c r="AH408" t="s">
        <v>12</v>
      </c>
      <c r="AI408" s="2">
        <v>45720</v>
      </c>
      <c r="AJ408" s="2"/>
      <c r="AK408" t="s">
        <v>12</v>
      </c>
    </row>
    <row r="409" spans="1:37" outlineLevel="2" x14ac:dyDescent="0.25">
      <c r="A409" t="s">
        <v>129</v>
      </c>
      <c r="B409" t="s">
        <v>1</v>
      </c>
      <c r="C409" t="s">
        <v>2</v>
      </c>
      <c r="D409" t="s">
        <v>3</v>
      </c>
      <c r="E409" t="s">
        <v>4</v>
      </c>
      <c r="F409" t="s">
        <v>243</v>
      </c>
      <c r="G409" s="2">
        <v>45720</v>
      </c>
      <c r="H409" t="s">
        <v>1138</v>
      </c>
      <c r="I409" t="s">
        <v>22</v>
      </c>
      <c r="J409" s="2">
        <v>45720</v>
      </c>
      <c r="K409" s="2">
        <v>45721</v>
      </c>
      <c r="L409" t="s">
        <v>8</v>
      </c>
      <c r="M409" s="26">
        <v>246779410844</v>
      </c>
      <c r="N409" t="s">
        <v>10</v>
      </c>
      <c r="O409" t="s">
        <v>11</v>
      </c>
      <c r="P409" t="s">
        <v>12</v>
      </c>
      <c r="Q409" t="s">
        <v>24</v>
      </c>
      <c r="R409" t="s">
        <v>14</v>
      </c>
      <c r="S409" s="3">
        <v>4.7</v>
      </c>
      <c r="T409" t="s">
        <v>15</v>
      </c>
      <c r="U409" s="3">
        <v>407.45</v>
      </c>
      <c r="V409" s="3" t="e">
        <f>VLOOKUP(M409,'[1]Query Report'!$A:$E,5,0)</f>
        <v>#N/A</v>
      </c>
      <c r="W409" s="3" t="e">
        <f t="shared" si="31"/>
        <v>#N/A</v>
      </c>
      <c r="X409" s="29" t="e">
        <f t="shared" si="30"/>
        <v>#N/A</v>
      </c>
      <c r="Y409" s="29" t="s">
        <v>1363</v>
      </c>
      <c r="Z409" t="s">
        <v>16</v>
      </c>
      <c r="AA409" t="s">
        <v>17</v>
      </c>
      <c r="AB409" t="s">
        <v>12</v>
      </c>
      <c r="AC409" t="s">
        <v>8</v>
      </c>
      <c r="AD409" t="s">
        <v>18</v>
      </c>
      <c r="AE409" t="s">
        <v>1133</v>
      </c>
      <c r="AF409" t="s">
        <v>12</v>
      </c>
      <c r="AG409" t="s">
        <v>12</v>
      </c>
      <c r="AH409" t="s">
        <v>12</v>
      </c>
      <c r="AI409" s="2">
        <v>45720</v>
      </c>
      <c r="AJ409" s="2"/>
      <c r="AK409" t="s">
        <v>12</v>
      </c>
    </row>
    <row r="410" spans="1:37" outlineLevel="2" x14ac:dyDescent="0.25">
      <c r="A410" t="s">
        <v>129</v>
      </c>
      <c r="B410" t="s">
        <v>1</v>
      </c>
      <c r="C410" t="s">
        <v>2</v>
      </c>
      <c r="D410" t="s">
        <v>3</v>
      </c>
      <c r="E410" t="s">
        <v>4</v>
      </c>
      <c r="F410" t="s">
        <v>243</v>
      </c>
      <c r="G410" s="2">
        <v>45720</v>
      </c>
      <c r="H410" t="s">
        <v>1140</v>
      </c>
      <c r="I410" t="s">
        <v>22</v>
      </c>
      <c r="J410" s="2">
        <v>45720</v>
      </c>
      <c r="K410" s="2">
        <v>45721</v>
      </c>
      <c r="L410" t="s">
        <v>8</v>
      </c>
      <c r="M410" s="26">
        <v>246779410845</v>
      </c>
      <c r="N410" t="s">
        <v>10</v>
      </c>
      <c r="O410" t="s">
        <v>11</v>
      </c>
      <c r="P410" t="s">
        <v>12</v>
      </c>
      <c r="Q410" t="s">
        <v>24</v>
      </c>
      <c r="R410" t="s">
        <v>14</v>
      </c>
      <c r="S410" s="3">
        <v>9.4</v>
      </c>
      <c r="T410" t="s">
        <v>15</v>
      </c>
      <c r="U410" s="3">
        <v>814.9</v>
      </c>
      <c r="V410" s="3" t="e">
        <f>VLOOKUP(M410,'[1]Query Report'!$A:$E,5,0)</f>
        <v>#N/A</v>
      </c>
      <c r="W410" s="3" t="e">
        <f t="shared" si="31"/>
        <v>#N/A</v>
      </c>
      <c r="X410" s="29" t="e">
        <f t="shared" si="30"/>
        <v>#N/A</v>
      </c>
      <c r="Y410" s="29" t="s">
        <v>1363</v>
      </c>
      <c r="Z410" t="s">
        <v>16</v>
      </c>
      <c r="AA410" t="s">
        <v>17</v>
      </c>
      <c r="AB410" t="s">
        <v>12</v>
      </c>
      <c r="AC410" t="s">
        <v>8</v>
      </c>
      <c r="AD410" t="s">
        <v>18</v>
      </c>
      <c r="AE410" t="s">
        <v>1133</v>
      </c>
      <c r="AF410" t="s">
        <v>12</v>
      </c>
      <c r="AG410" t="s">
        <v>12</v>
      </c>
      <c r="AH410" t="s">
        <v>12</v>
      </c>
      <c r="AI410" s="2">
        <v>45720</v>
      </c>
      <c r="AJ410" s="2"/>
      <c r="AK410" t="s">
        <v>12</v>
      </c>
    </row>
    <row r="411" spans="1:37" outlineLevel="2" x14ac:dyDescent="0.25">
      <c r="A411" t="s">
        <v>129</v>
      </c>
      <c r="B411" t="s">
        <v>1</v>
      </c>
      <c r="C411" t="s">
        <v>2</v>
      </c>
      <c r="D411" t="s">
        <v>3</v>
      </c>
      <c r="E411" t="s">
        <v>4</v>
      </c>
      <c r="F411" t="s">
        <v>243</v>
      </c>
      <c r="G411" s="2">
        <v>45720</v>
      </c>
      <c r="H411" t="s">
        <v>1142</v>
      </c>
      <c r="I411" t="s">
        <v>22</v>
      </c>
      <c r="J411" s="2">
        <v>45720</v>
      </c>
      <c r="K411" s="2">
        <v>45721</v>
      </c>
      <c r="L411" t="s">
        <v>8</v>
      </c>
      <c r="M411" s="26">
        <v>246779410846</v>
      </c>
      <c r="N411" t="s">
        <v>10</v>
      </c>
      <c r="O411" t="s">
        <v>11</v>
      </c>
      <c r="P411" t="s">
        <v>12</v>
      </c>
      <c r="Q411" t="s">
        <v>24</v>
      </c>
      <c r="R411" t="s">
        <v>14</v>
      </c>
      <c r="S411" s="3">
        <v>4.7</v>
      </c>
      <c r="T411" t="s">
        <v>15</v>
      </c>
      <c r="U411" s="3">
        <v>407.45</v>
      </c>
      <c r="V411" s="3" t="e">
        <f>VLOOKUP(M411,'[1]Query Report'!$A:$E,5,0)</f>
        <v>#N/A</v>
      </c>
      <c r="W411" s="3" t="e">
        <f t="shared" si="31"/>
        <v>#N/A</v>
      </c>
      <c r="X411" s="29" t="e">
        <f t="shared" si="30"/>
        <v>#N/A</v>
      </c>
      <c r="Y411" s="29" t="s">
        <v>1362</v>
      </c>
      <c r="Z411" t="s">
        <v>16</v>
      </c>
      <c r="AA411" t="s">
        <v>17</v>
      </c>
      <c r="AB411" t="s">
        <v>12</v>
      </c>
      <c r="AC411" t="s">
        <v>8</v>
      </c>
      <c r="AD411" t="s">
        <v>18</v>
      </c>
      <c r="AE411" t="s">
        <v>1133</v>
      </c>
      <c r="AF411" t="s">
        <v>12</v>
      </c>
      <c r="AG411" t="s">
        <v>12</v>
      </c>
      <c r="AH411" t="s">
        <v>12</v>
      </c>
      <c r="AI411" s="2">
        <v>45720</v>
      </c>
      <c r="AJ411" s="2"/>
      <c r="AK411" t="s">
        <v>12</v>
      </c>
    </row>
    <row r="412" spans="1:37" outlineLevel="2" x14ac:dyDescent="0.25">
      <c r="A412" t="s">
        <v>129</v>
      </c>
      <c r="B412" t="s">
        <v>1</v>
      </c>
      <c r="C412" t="s">
        <v>2</v>
      </c>
      <c r="D412" t="s">
        <v>3</v>
      </c>
      <c r="E412" t="s">
        <v>4</v>
      </c>
      <c r="F412" t="s">
        <v>243</v>
      </c>
      <c r="G412" s="2">
        <v>45720</v>
      </c>
      <c r="H412" t="s">
        <v>1144</v>
      </c>
      <c r="I412" t="s">
        <v>22</v>
      </c>
      <c r="J412" s="2">
        <v>45720</v>
      </c>
      <c r="K412" s="2">
        <v>45721</v>
      </c>
      <c r="L412" t="s">
        <v>8</v>
      </c>
      <c r="M412" s="26">
        <v>246779410847</v>
      </c>
      <c r="N412" t="s">
        <v>10</v>
      </c>
      <c r="O412" t="s">
        <v>11</v>
      </c>
      <c r="P412" t="s">
        <v>12</v>
      </c>
      <c r="Q412" t="s">
        <v>24</v>
      </c>
      <c r="R412" t="s">
        <v>14</v>
      </c>
      <c r="S412" s="3">
        <v>18.8</v>
      </c>
      <c r="T412" t="s">
        <v>15</v>
      </c>
      <c r="U412" s="3">
        <v>1629.8</v>
      </c>
      <c r="V412" s="3" t="e">
        <f>VLOOKUP(M412,'[1]Query Report'!$A:$E,5,0)</f>
        <v>#N/A</v>
      </c>
      <c r="W412" s="3" t="e">
        <f t="shared" si="31"/>
        <v>#N/A</v>
      </c>
      <c r="X412" s="29" t="e">
        <f t="shared" si="30"/>
        <v>#N/A</v>
      </c>
      <c r="Y412" s="29" t="s">
        <v>1362</v>
      </c>
      <c r="Z412" t="s">
        <v>16</v>
      </c>
      <c r="AA412" t="s">
        <v>17</v>
      </c>
      <c r="AB412" t="s">
        <v>12</v>
      </c>
      <c r="AC412" t="s">
        <v>8</v>
      </c>
      <c r="AD412" t="s">
        <v>18</v>
      </c>
      <c r="AE412" t="s">
        <v>1133</v>
      </c>
      <c r="AF412" t="s">
        <v>12</v>
      </c>
      <c r="AG412" t="s">
        <v>12</v>
      </c>
      <c r="AH412" t="s">
        <v>12</v>
      </c>
      <c r="AI412" s="2">
        <v>45720</v>
      </c>
      <c r="AJ412" s="2"/>
      <c r="AK412" t="s">
        <v>12</v>
      </c>
    </row>
    <row r="413" spans="1:37" outlineLevel="2" x14ac:dyDescent="0.25">
      <c r="A413" t="s">
        <v>129</v>
      </c>
      <c r="B413" t="s">
        <v>1</v>
      </c>
      <c r="C413" t="s">
        <v>2</v>
      </c>
      <c r="D413" t="s">
        <v>3</v>
      </c>
      <c r="E413" t="s">
        <v>4</v>
      </c>
      <c r="F413" t="s">
        <v>243</v>
      </c>
      <c r="G413" s="2">
        <v>45720</v>
      </c>
      <c r="H413" t="s">
        <v>1146</v>
      </c>
      <c r="I413" t="s">
        <v>22</v>
      </c>
      <c r="J413" s="2">
        <v>45720</v>
      </c>
      <c r="K413" s="2">
        <v>45721</v>
      </c>
      <c r="L413" t="s">
        <v>8</v>
      </c>
      <c r="M413" s="26">
        <v>246779410848</v>
      </c>
      <c r="N413" t="s">
        <v>10</v>
      </c>
      <c r="O413" t="s">
        <v>11</v>
      </c>
      <c r="P413" t="s">
        <v>12</v>
      </c>
      <c r="Q413" t="s">
        <v>24</v>
      </c>
      <c r="R413" t="s">
        <v>14</v>
      </c>
      <c r="S413" s="3">
        <v>2.35</v>
      </c>
      <c r="T413" t="s">
        <v>15</v>
      </c>
      <c r="U413" s="3">
        <v>203.72</v>
      </c>
      <c r="V413" s="3" t="e">
        <f>VLOOKUP(M413,'[1]Query Report'!$A:$E,5,0)</f>
        <v>#N/A</v>
      </c>
      <c r="W413" s="3" t="e">
        <f t="shared" si="31"/>
        <v>#N/A</v>
      </c>
      <c r="X413" s="29" t="e">
        <f t="shared" si="30"/>
        <v>#N/A</v>
      </c>
      <c r="Y413" s="29" t="s">
        <v>1363</v>
      </c>
      <c r="Z413" t="s">
        <v>16</v>
      </c>
      <c r="AA413" t="s">
        <v>17</v>
      </c>
      <c r="AB413" t="s">
        <v>12</v>
      </c>
      <c r="AC413" t="s">
        <v>8</v>
      </c>
      <c r="AD413" t="s">
        <v>18</v>
      </c>
      <c r="AE413" t="s">
        <v>1133</v>
      </c>
      <c r="AF413" t="s">
        <v>12</v>
      </c>
      <c r="AG413" t="s">
        <v>12</v>
      </c>
      <c r="AH413" t="s">
        <v>12</v>
      </c>
      <c r="AI413" s="2">
        <v>45720</v>
      </c>
      <c r="AJ413" s="2"/>
      <c r="AK413" t="s">
        <v>12</v>
      </c>
    </row>
    <row r="414" spans="1:37" outlineLevel="2" x14ac:dyDescent="0.25">
      <c r="A414" t="s">
        <v>129</v>
      </c>
      <c r="B414" t="s">
        <v>1</v>
      </c>
      <c r="C414" t="s">
        <v>2</v>
      </c>
      <c r="D414" t="s">
        <v>3</v>
      </c>
      <c r="E414" t="s">
        <v>4</v>
      </c>
      <c r="F414" t="s">
        <v>243</v>
      </c>
      <c r="G414" s="2">
        <v>45720</v>
      </c>
      <c r="H414" t="s">
        <v>1148</v>
      </c>
      <c r="I414" t="s">
        <v>22</v>
      </c>
      <c r="J414" s="2">
        <v>45720</v>
      </c>
      <c r="K414" s="2">
        <v>45721</v>
      </c>
      <c r="L414" t="s">
        <v>8</v>
      </c>
      <c r="M414" s="26">
        <v>246779410849</v>
      </c>
      <c r="N414" t="s">
        <v>10</v>
      </c>
      <c r="O414" t="s">
        <v>11</v>
      </c>
      <c r="P414" t="s">
        <v>12</v>
      </c>
      <c r="Q414" t="s">
        <v>24</v>
      </c>
      <c r="R414" t="s">
        <v>14</v>
      </c>
      <c r="S414" s="3">
        <v>42.3</v>
      </c>
      <c r="T414" t="s">
        <v>15</v>
      </c>
      <c r="U414" s="3">
        <v>3667.04</v>
      </c>
      <c r="V414" s="3" t="e">
        <f>VLOOKUP(M414,'[1]Query Report'!$A:$E,5,0)</f>
        <v>#N/A</v>
      </c>
      <c r="W414" s="3" t="e">
        <f t="shared" si="31"/>
        <v>#N/A</v>
      </c>
      <c r="X414" s="29" t="e">
        <f t="shared" si="30"/>
        <v>#N/A</v>
      </c>
      <c r="Y414" s="29" t="s">
        <v>1362</v>
      </c>
      <c r="Z414" t="s">
        <v>16</v>
      </c>
      <c r="AA414" t="s">
        <v>17</v>
      </c>
      <c r="AB414" t="s">
        <v>12</v>
      </c>
      <c r="AC414" t="s">
        <v>8</v>
      </c>
      <c r="AD414" t="s">
        <v>18</v>
      </c>
      <c r="AE414" t="s">
        <v>1133</v>
      </c>
      <c r="AF414" t="s">
        <v>12</v>
      </c>
      <c r="AG414" t="s">
        <v>12</v>
      </c>
      <c r="AH414" t="s">
        <v>12</v>
      </c>
      <c r="AI414" s="2">
        <v>45720</v>
      </c>
      <c r="AJ414" s="2"/>
      <c r="AK414" t="s">
        <v>12</v>
      </c>
    </row>
    <row r="415" spans="1:37" outlineLevel="2" x14ac:dyDescent="0.25">
      <c r="A415" t="s">
        <v>129</v>
      </c>
      <c r="B415" t="s">
        <v>1</v>
      </c>
      <c r="C415" t="s">
        <v>2</v>
      </c>
      <c r="D415" t="s">
        <v>3</v>
      </c>
      <c r="E415" t="s">
        <v>4</v>
      </c>
      <c r="F415" t="s">
        <v>243</v>
      </c>
      <c r="G415" s="2">
        <v>45720</v>
      </c>
      <c r="H415" t="s">
        <v>1150</v>
      </c>
      <c r="I415" t="s">
        <v>22</v>
      </c>
      <c r="J415" s="2">
        <v>45720</v>
      </c>
      <c r="K415" s="2">
        <v>45721</v>
      </c>
      <c r="L415" t="s">
        <v>8</v>
      </c>
      <c r="M415" s="26">
        <v>246779410850</v>
      </c>
      <c r="N415" t="s">
        <v>10</v>
      </c>
      <c r="O415" t="s">
        <v>11</v>
      </c>
      <c r="P415" t="s">
        <v>12</v>
      </c>
      <c r="Q415" t="s">
        <v>24</v>
      </c>
      <c r="R415" t="s">
        <v>14</v>
      </c>
      <c r="S415" s="3">
        <v>9.4</v>
      </c>
      <c r="T415" t="s">
        <v>15</v>
      </c>
      <c r="U415" s="3">
        <v>814.9</v>
      </c>
      <c r="V415" s="3" t="e">
        <f>VLOOKUP(M415,'[1]Query Report'!$A:$E,5,0)</f>
        <v>#N/A</v>
      </c>
      <c r="W415" s="3" t="e">
        <f t="shared" si="31"/>
        <v>#N/A</v>
      </c>
      <c r="X415" s="29" t="e">
        <f t="shared" si="30"/>
        <v>#N/A</v>
      </c>
      <c r="Y415" s="29" t="s">
        <v>1362</v>
      </c>
      <c r="Z415" t="s">
        <v>16</v>
      </c>
      <c r="AA415" t="s">
        <v>17</v>
      </c>
      <c r="AB415" t="s">
        <v>12</v>
      </c>
      <c r="AC415" t="s">
        <v>8</v>
      </c>
      <c r="AD415" t="s">
        <v>18</v>
      </c>
      <c r="AE415" t="s">
        <v>1133</v>
      </c>
      <c r="AF415" t="s">
        <v>12</v>
      </c>
      <c r="AG415" t="s">
        <v>12</v>
      </c>
      <c r="AH415" t="s">
        <v>12</v>
      </c>
      <c r="AI415" s="2">
        <v>45720</v>
      </c>
      <c r="AJ415" s="2"/>
      <c r="AK415" t="s">
        <v>12</v>
      </c>
    </row>
    <row r="416" spans="1:37" outlineLevel="2" x14ac:dyDescent="0.25">
      <c r="A416" t="s">
        <v>129</v>
      </c>
      <c r="B416" t="s">
        <v>1</v>
      </c>
      <c r="C416" t="s">
        <v>2</v>
      </c>
      <c r="D416" t="s">
        <v>3</v>
      </c>
      <c r="E416" t="s">
        <v>4</v>
      </c>
      <c r="F416" t="s">
        <v>243</v>
      </c>
      <c r="G416" s="2">
        <v>45720</v>
      </c>
      <c r="H416" t="s">
        <v>1152</v>
      </c>
      <c r="I416" t="s">
        <v>22</v>
      </c>
      <c r="J416" s="2">
        <v>45720</v>
      </c>
      <c r="K416" s="2">
        <v>45721</v>
      </c>
      <c r="L416" t="s">
        <v>8</v>
      </c>
      <c r="M416" s="26">
        <v>246779410851</v>
      </c>
      <c r="N416" t="s">
        <v>10</v>
      </c>
      <c r="O416" t="s">
        <v>11</v>
      </c>
      <c r="P416" t="s">
        <v>12</v>
      </c>
      <c r="Q416" t="s">
        <v>24</v>
      </c>
      <c r="R416" t="s">
        <v>14</v>
      </c>
      <c r="S416" s="3">
        <v>4.7</v>
      </c>
      <c r="T416" t="s">
        <v>15</v>
      </c>
      <c r="U416" s="3">
        <v>407.45</v>
      </c>
      <c r="V416" s="3" t="e">
        <f>VLOOKUP(M416,'[1]Query Report'!$A:$E,5,0)</f>
        <v>#N/A</v>
      </c>
      <c r="W416" s="3" t="e">
        <f t="shared" si="31"/>
        <v>#N/A</v>
      </c>
      <c r="X416" s="29" t="e">
        <f t="shared" si="30"/>
        <v>#N/A</v>
      </c>
      <c r="Y416" s="29" t="s">
        <v>1362</v>
      </c>
      <c r="Z416" t="s">
        <v>16</v>
      </c>
      <c r="AA416" t="s">
        <v>17</v>
      </c>
      <c r="AB416" t="s">
        <v>12</v>
      </c>
      <c r="AC416" t="s">
        <v>8</v>
      </c>
      <c r="AD416" t="s">
        <v>18</v>
      </c>
      <c r="AE416" t="s">
        <v>1133</v>
      </c>
      <c r="AF416" t="s">
        <v>12</v>
      </c>
      <c r="AG416" t="s">
        <v>12</v>
      </c>
      <c r="AH416" t="s">
        <v>12</v>
      </c>
      <c r="AI416" s="2">
        <v>45720</v>
      </c>
      <c r="AJ416" s="2"/>
      <c r="AK416" t="s">
        <v>12</v>
      </c>
    </row>
    <row r="417" spans="1:37" outlineLevel="2" x14ac:dyDescent="0.25">
      <c r="A417" t="s">
        <v>129</v>
      </c>
      <c r="B417" t="s">
        <v>1</v>
      </c>
      <c r="C417" t="s">
        <v>2</v>
      </c>
      <c r="D417" t="s">
        <v>3</v>
      </c>
      <c r="E417" t="s">
        <v>4</v>
      </c>
      <c r="F417" t="s">
        <v>243</v>
      </c>
      <c r="G417" s="2">
        <v>45720</v>
      </c>
      <c r="H417" t="s">
        <v>1154</v>
      </c>
      <c r="I417" t="s">
        <v>22</v>
      </c>
      <c r="J417" s="2">
        <v>45720</v>
      </c>
      <c r="K417" s="2">
        <v>45721</v>
      </c>
      <c r="L417" t="s">
        <v>8</v>
      </c>
      <c r="M417" s="26">
        <v>246779410852</v>
      </c>
      <c r="N417" t="s">
        <v>10</v>
      </c>
      <c r="O417" t="s">
        <v>11</v>
      </c>
      <c r="P417" t="s">
        <v>12</v>
      </c>
      <c r="Q417" t="s">
        <v>24</v>
      </c>
      <c r="R417" t="s">
        <v>14</v>
      </c>
      <c r="S417" s="3">
        <v>4.7</v>
      </c>
      <c r="T417" t="s">
        <v>15</v>
      </c>
      <c r="U417" s="3">
        <v>407.45</v>
      </c>
      <c r="V417" s="3" t="e">
        <f>VLOOKUP(M417,'[1]Query Report'!$A:$E,5,0)</f>
        <v>#N/A</v>
      </c>
      <c r="W417" s="3" t="e">
        <f t="shared" si="31"/>
        <v>#N/A</v>
      </c>
      <c r="X417" s="29" t="e">
        <f t="shared" si="30"/>
        <v>#N/A</v>
      </c>
      <c r="Y417" s="29" t="s">
        <v>1362</v>
      </c>
      <c r="Z417" t="s">
        <v>16</v>
      </c>
      <c r="AA417" t="s">
        <v>17</v>
      </c>
      <c r="AB417" t="s">
        <v>12</v>
      </c>
      <c r="AC417" t="s">
        <v>8</v>
      </c>
      <c r="AD417" t="s">
        <v>18</v>
      </c>
      <c r="AE417" t="s">
        <v>1133</v>
      </c>
      <c r="AF417" t="s">
        <v>12</v>
      </c>
      <c r="AG417" t="s">
        <v>12</v>
      </c>
      <c r="AH417" t="s">
        <v>12</v>
      </c>
      <c r="AI417" s="2">
        <v>45720</v>
      </c>
      <c r="AJ417" s="2"/>
      <c r="AK417" t="s">
        <v>12</v>
      </c>
    </row>
    <row r="418" spans="1:37" outlineLevel="2" x14ac:dyDescent="0.25">
      <c r="A418" t="s">
        <v>129</v>
      </c>
      <c r="B418" t="s">
        <v>1</v>
      </c>
      <c r="C418" t="s">
        <v>2</v>
      </c>
      <c r="D418" t="s">
        <v>3</v>
      </c>
      <c r="E418" t="s">
        <v>4</v>
      </c>
      <c r="F418" t="s">
        <v>243</v>
      </c>
      <c r="G418" s="2">
        <v>45720</v>
      </c>
      <c r="H418" t="s">
        <v>1156</v>
      </c>
      <c r="I418" t="s">
        <v>22</v>
      </c>
      <c r="J418" s="2">
        <v>45720</v>
      </c>
      <c r="K418" s="2">
        <v>45721</v>
      </c>
      <c r="L418" t="s">
        <v>8</v>
      </c>
      <c r="M418" s="26">
        <v>246779410853</v>
      </c>
      <c r="N418" t="s">
        <v>10</v>
      </c>
      <c r="O418" t="s">
        <v>11</v>
      </c>
      <c r="P418" t="s">
        <v>12</v>
      </c>
      <c r="Q418" t="s">
        <v>24</v>
      </c>
      <c r="R418" t="s">
        <v>14</v>
      </c>
      <c r="S418" s="3">
        <v>2.35</v>
      </c>
      <c r="T418" t="s">
        <v>15</v>
      </c>
      <c r="U418" s="3">
        <v>203.72</v>
      </c>
      <c r="V418" s="3" t="e">
        <f>VLOOKUP(M418,'[1]Query Report'!$A:$E,5,0)</f>
        <v>#N/A</v>
      </c>
      <c r="W418" s="3" t="e">
        <f t="shared" si="31"/>
        <v>#N/A</v>
      </c>
      <c r="X418" s="29" t="e">
        <f t="shared" si="30"/>
        <v>#N/A</v>
      </c>
      <c r="Y418" s="29" t="s">
        <v>1362</v>
      </c>
      <c r="Z418" t="s">
        <v>16</v>
      </c>
      <c r="AA418" t="s">
        <v>17</v>
      </c>
      <c r="AB418" t="s">
        <v>12</v>
      </c>
      <c r="AC418" t="s">
        <v>8</v>
      </c>
      <c r="AD418" t="s">
        <v>18</v>
      </c>
      <c r="AE418" t="s">
        <v>1133</v>
      </c>
      <c r="AF418" t="s">
        <v>12</v>
      </c>
      <c r="AG418" t="s">
        <v>12</v>
      </c>
      <c r="AH418" t="s">
        <v>12</v>
      </c>
      <c r="AI418" s="2">
        <v>45720</v>
      </c>
      <c r="AJ418" s="2"/>
      <c r="AK418" t="s">
        <v>12</v>
      </c>
    </row>
    <row r="419" spans="1:37" outlineLevel="2" x14ac:dyDescent="0.25">
      <c r="A419" t="s">
        <v>129</v>
      </c>
      <c r="B419" t="s">
        <v>1</v>
      </c>
      <c r="C419" t="s">
        <v>2</v>
      </c>
      <c r="D419" t="s">
        <v>3</v>
      </c>
      <c r="E419" t="s">
        <v>4</v>
      </c>
      <c r="F419" t="s">
        <v>243</v>
      </c>
      <c r="G419" s="2">
        <v>45720</v>
      </c>
      <c r="H419" t="s">
        <v>1158</v>
      </c>
      <c r="I419" t="s">
        <v>22</v>
      </c>
      <c r="J419" s="2">
        <v>45720</v>
      </c>
      <c r="K419" s="2">
        <v>45721</v>
      </c>
      <c r="L419" t="s">
        <v>8</v>
      </c>
      <c r="M419" s="26">
        <v>246779410854</v>
      </c>
      <c r="N419" t="s">
        <v>10</v>
      </c>
      <c r="O419" t="s">
        <v>11</v>
      </c>
      <c r="P419" t="s">
        <v>12</v>
      </c>
      <c r="Q419" t="s">
        <v>24</v>
      </c>
      <c r="R419" t="s">
        <v>14</v>
      </c>
      <c r="S419" s="3">
        <v>14.1</v>
      </c>
      <c r="T419" t="s">
        <v>15</v>
      </c>
      <c r="U419" s="3">
        <v>1222.3499999999999</v>
      </c>
      <c r="V419" s="3" t="e">
        <f>VLOOKUP(M419,'[1]Query Report'!$A:$E,5,0)</f>
        <v>#N/A</v>
      </c>
      <c r="W419" s="3" t="e">
        <f t="shared" si="31"/>
        <v>#N/A</v>
      </c>
      <c r="X419" s="29" t="e">
        <f t="shared" si="30"/>
        <v>#N/A</v>
      </c>
      <c r="Y419" s="29" t="s">
        <v>1362</v>
      </c>
      <c r="Z419" t="s">
        <v>16</v>
      </c>
      <c r="AA419" t="s">
        <v>17</v>
      </c>
      <c r="AB419" t="s">
        <v>12</v>
      </c>
      <c r="AC419" t="s">
        <v>8</v>
      </c>
      <c r="AD419" t="s">
        <v>18</v>
      </c>
      <c r="AE419" t="s">
        <v>1133</v>
      </c>
      <c r="AF419" t="s">
        <v>12</v>
      </c>
      <c r="AG419" t="s">
        <v>12</v>
      </c>
      <c r="AH419" t="s">
        <v>12</v>
      </c>
      <c r="AI419" s="2">
        <v>45720</v>
      </c>
      <c r="AJ419" s="2"/>
      <c r="AK419" t="s">
        <v>12</v>
      </c>
    </row>
    <row r="420" spans="1:37" outlineLevel="2" x14ac:dyDescent="0.25">
      <c r="A420" t="s">
        <v>129</v>
      </c>
      <c r="B420" t="s">
        <v>1</v>
      </c>
      <c r="C420" t="s">
        <v>2</v>
      </c>
      <c r="D420" t="s">
        <v>3</v>
      </c>
      <c r="E420" t="s">
        <v>4</v>
      </c>
      <c r="F420" t="s">
        <v>243</v>
      </c>
      <c r="G420" s="2">
        <v>45720</v>
      </c>
      <c r="H420" t="s">
        <v>1160</v>
      </c>
      <c r="I420" t="s">
        <v>22</v>
      </c>
      <c r="J420" s="2">
        <v>45720</v>
      </c>
      <c r="K420" s="2">
        <v>45721</v>
      </c>
      <c r="L420" t="s">
        <v>8</v>
      </c>
      <c r="M420" s="26">
        <v>246779410855</v>
      </c>
      <c r="N420" t="s">
        <v>10</v>
      </c>
      <c r="O420" t="s">
        <v>11</v>
      </c>
      <c r="P420" t="s">
        <v>12</v>
      </c>
      <c r="Q420" t="s">
        <v>24</v>
      </c>
      <c r="R420" t="s">
        <v>14</v>
      </c>
      <c r="S420" s="3">
        <v>18.8</v>
      </c>
      <c r="T420" t="s">
        <v>15</v>
      </c>
      <c r="U420" s="3">
        <v>1629.8</v>
      </c>
      <c r="V420" s="3" t="e">
        <f>VLOOKUP(M420,'[1]Query Report'!$A:$E,5,0)</f>
        <v>#N/A</v>
      </c>
      <c r="W420" s="3" t="e">
        <f t="shared" si="31"/>
        <v>#N/A</v>
      </c>
      <c r="X420" s="29" t="e">
        <f t="shared" si="30"/>
        <v>#N/A</v>
      </c>
      <c r="Y420" s="29" t="s">
        <v>1362</v>
      </c>
      <c r="Z420" t="s">
        <v>16</v>
      </c>
      <c r="AA420" t="s">
        <v>17</v>
      </c>
      <c r="AB420" t="s">
        <v>12</v>
      </c>
      <c r="AC420" t="s">
        <v>8</v>
      </c>
      <c r="AD420" t="s">
        <v>18</v>
      </c>
      <c r="AE420" t="s">
        <v>1133</v>
      </c>
      <c r="AF420" t="s">
        <v>12</v>
      </c>
      <c r="AG420" t="s">
        <v>12</v>
      </c>
      <c r="AH420" t="s">
        <v>12</v>
      </c>
      <c r="AI420" s="2">
        <v>45720</v>
      </c>
      <c r="AJ420" s="2"/>
      <c r="AK420" t="s">
        <v>12</v>
      </c>
    </row>
    <row r="421" spans="1:37" outlineLevel="2" x14ac:dyDescent="0.25">
      <c r="A421" t="s">
        <v>129</v>
      </c>
      <c r="B421" t="s">
        <v>1</v>
      </c>
      <c r="C421" t="s">
        <v>2</v>
      </c>
      <c r="D421" t="s">
        <v>3</v>
      </c>
      <c r="E421" t="s">
        <v>4</v>
      </c>
      <c r="F421" t="s">
        <v>140</v>
      </c>
      <c r="G421" s="2">
        <v>45751</v>
      </c>
      <c r="H421" t="s">
        <v>1162</v>
      </c>
      <c r="I421" t="s">
        <v>22</v>
      </c>
      <c r="J421" s="2">
        <v>45751</v>
      </c>
      <c r="K421" s="2">
        <v>45752</v>
      </c>
      <c r="L421" t="s">
        <v>8</v>
      </c>
      <c r="M421" s="26">
        <v>256779410795</v>
      </c>
      <c r="N421" t="s">
        <v>10</v>
      </c>
      <c r="O421" t="s">
        <v>11</v>
      </c>
      <c r="P421" t="s">
        <v>12</v>
      </c>
      <c r="Q421" t="s">
        <v>24</v>
      </c>
      <c r="R421" t="s">
        <v>14</v>
      </c>
      <c r="S421" s="3">
        <v>5005.59</v>
      </c>
      <c r="T421" t="s">
        <v>15</v>
      </c>
      <c r="U421" s="3">
        <v>435094.99</v>
      </c>
      <c r="V421" s="3" t="e">
        <f>VLOOKUP(M421,'[1]Query Report'!$A:$E,5,0)</f>
        <v>#N/A</v>
      </c>
      <c r="W421" s="3" t="e">
        <f t="shared" si="31"/>
        <v>#N/A</v>
      </c>
      <c r="X421" s="29" t="e">
        <f t="shared" si="30"/>
        <v>#N/A</v>
      </c>
      <c r="Y421" s="29" t="s">
        <v>1363</v>
      </c>
      <c r="Z421" t="s">
        <v>16</v>
      </c>
      <c r="AA421" t="s">
        <v>12</v>
      </c>
      <c r="AB421" t="s">
        <v>12</v>
      </c>
      <c r="AC421" t="s">
        <v>8</v>
      </c>
      <c r="AD421" t="s">
        <v>18</v>
      </c>
      <c r="AE421" t="s">
        <v>1164</v>
      </c>
      <c r="AF421" t="s">
        <v>12</v>
      </c>
      <c r="AG421" t="s">
        <v>12</v>
      </c>
      <c r="AH421" t="s">
        <v>12</v>
      </c>
      <c r="AI421" s="2">
        <v>45751</v>
      </c>
      <c r="AJ421" s="2"/>
      <c r="AK421" t="s">
        <v>12</v>
      </c>
    </row>
    <row r="422" spans="1:37" outlineLevel="2" x14ac:dyDescent="0.25">
      <c r="A422" t="s">
        <v>129</v>
      </c>
      <c r="B422" t="s">
        <v>1</v>
      </c>
      <c r="C422" t="s">
        <v>2</v>
      </c>
      <c r="D422" t="s">
        <v>3</v>
      </c>
      <c r="E422" t="s">
        <v>4</v>
      </c>
      <c r="F422" t="s">
        <v>140</v>
      </c>
      <c r="G422" s="2">
        <v>45751</v>
      </c>
      <c r="H422" t="s">
        <v>1165</v>
      </c>
      <c r="I422" t="s">
        <v>22</v>
      </c>
      <c r="J422" s="2">
        <v>45751</v>
      </c>
      <c r="K422" s="2">
        <v>45752</v>
      </c>
      <c r="L422" t="s">
        <v>8</v>
      </c>
      <c r="M422" s="26">
        <v>256779410812</v>
      </c>
      <c r="N422" t="s">
        <v>10</v>
      </c>
      <c r="O422" t="s">
        <v>11</v>
      </c>
      <c r="P422" t="s">
        <v>12</v>
      </c>
      <c r="Q422" t="s">
        <v>24</v>
      </c>
      <c r="R422" t="s">
        <v>14</v>
      </c>
      <c r="S422" s="3">
        <v>4311.37</v>
      </c>
      <c r="T422" t="s">
        <v>15</v>
      </c>
      <c r="U422" s="3">
        <v>374752.13</v>
      </c>
      <c r="V422" s="3" t="e">
        <f>VLOOKUP(M422,'[1]Query Report'!$A:$E,5,0)</f>
        <v>#N/A</v>
      </c>
      <c r="W422" s="3" t="e">
        <f t="shared" si="31"/>
        <v>#N/A</v>
      </c>
      <c r="X422" s="29" t="e">
        <f t="shared" si="30"/>
        <v>#N/A</v>
      </c>
      <c r="Y422" s="29" t="s">
        <v>1363</v>
      </c>
      <c r="Z422" t="s">
        <v>16</v>
      </c>
      <c r="AA422" t="s">
        <v>12</v>
      </c>
      <c r="AB422" t="s">
        <v>12</v>
      </c>
      <c r="AC422" t="s">
        <v>8</v>
      </c>
      <c r="AD422" t="s">
        <v>18</v>
      </c>
      <c r="AE422" t="s">
        <v>1167</v>
      </c>
      <c r="AF422" t="s">
        <v>12</v>
      </c>
      <c r="AG422" t="s">
        <v>12</v>
      </c>
      <c r="AH422" t="s">
        <v>12</v>
      </c>
      <c r="AI422" s="2">
        <v>45751</v>
      </c>
      <c r="AJ422" s="2"/>
      <c r="AK422" t="s">
        <v>12</v>
      </c>
    </row>
    <row r="423" spans="1:37" outlineLevel="2" x14ac:dyDescent="0.25">
      <c r="A423" t="s">
        <v>129</v>
      </c>
      <c r="B423" t="s">
        <v>1</v>
      </c>
      <c r="C423" t="s">
        <v>2</v>
      </c>
      <c r="D423" t="s">
        <v>3</v>
      </c>
      <c r="E423" t="s">
        <v>4</v>
      </c>
      <c r="F423" t="s">
        <v>358</v>
      </c>
      <c r="G423" s="2">
        <v>45716</v>
      </c>
      <c r="H423" t="s">
        <v>1168</v>
      </c>
      <c r="I423" t="s">
        <v>22</v>
      </c>
      <c r="J423" s="2">
        <v>45716</v>
      </c>
      <c r="K423" s="2">
        <v>45716</v>
      </c>
      <c r="L423" t="s">
        <v>8</v>
      </c>
      <c r="M423" s="26">
        <v>246779410333</v>
      </c>
      <c r="N423" t="s">
        <v>10</v>
      </c>
      <c r="O423" t="s">
        <v>11</v>
      </c>
      <c r="P423" t="s">
        <v>12</v>
      </c>
      <c r="Q423" t="s">
        <v>24</v>
      </c>
      <c r="R423" t="s">
        <v>14</v>
      </c>
      <c r="S423" s="3">
        <v>386.34</v>
      </c>
      <c r="T423" t="s">
        <v>15</v>
      </c>
      <c r="U423" s="3">
        <v>33342.559999999998</v>
      </c>
      <c r="V423" s="3" t="e">
        <f>VLOOKUP(M423,'[1]Query Report'!$A:$E,5,0)</f>
        <v>#N/A</v>
      </c>
      <c r="W423" s="3" t="e">
        <f t="shared" si="31"/>
        <v>#N/A</v>
      </c>
      <c r="X423" s="29" t="e">
        <f t="shared" si="30"/>
        <v>#N/A</v>
      </c>
      <c r="Y423" s="29" t="s">
        <v>1363</v>
      </c>
      <c r="Z423" t="s">
        <v>16</v>
      </c>
      <c r="AA423" t="s">
        <v>17</v>
      </c>
      <c r="AB423" t="s">
        <v>12</v>
      </c>
      <c r="AC423" t="s">
        <v>8</v>
      </c>
      <c r="AD423" t="s">
        <v>18</v>
      </c>
      <c r="AE423" t="s">
        <v>1170</v>
      </c>
      <c r="AF423" t="s">
        <v>12</v>
      </c>
      <c r="AG423" t="s">
        <v>12</v>
      </c>
      <c r="AH423" t="s">
        <v>12</v>
      </c>
      <c r="AI423" s="2">
        <v>45716</v>
      </c>
      <c r="AJ423" s="2"/>
      <c r="AK423" t="s">
        <v>12</v>
      </c>
    </row>
    <row r="424" spans="1:37" outlineLevel="2" x14ac:dyDescent="0.25">
      <c r="A424" t="s">
        <v>129</v>
      </c>
      <c r="B424" t="s">
        <v>1</v>
      </c>
      <c r="C424" t="s">
        <v>2</v>
      </c>
      <c r="D424" t="s">
        <v>3</v>
      </c>
      <c r="E424" t="s">
        <v>4</v>
      </c>
      <c r="F424" t="s">
        <v>358</v>
      </c>
      <c r="G424" s="2">
        <v>45716</v>
      </c>
      <c r="H424" t="s">
        <v>1171</v>
      </c>
      <c r="I424" t="s">
        <v>22</v>
      </c>
      <c r="J424" s="2">
        <v>45716</v>
      </c>
      <c r="K424" s="2">
        <v>45716</v>
      </c>
      <c r="L424" t="s">
        <v>8</v>
      </c>
      <c r="M424" s="26">
        <v>246779410338</v>
      </c>
      <c r="N424" t="s">
        <v>10</v>
      </c>
      <c r="O424" t="s">
        <v>11</v>
      </c>
      <c r="P424" t="s">
        <v>12</v>
      </c>
      <c r="Q424" t="s">
        <v>24</v>
      </c>
      <c r="R424" t="s">
        <v>14</v>
      </c>
      <c r="S424" s="3">
        <v>178.6</v>
      </c>
      <c r="T424" t="s">
        <v>15</v>
      </c>
      <c r="U424" s="3">
        <v>15413.83</v>
      </c>
      <c r="V424" s="3" t="e">
        <f>VLOOKUP(M424,'[1]Query Report'!$A:$E,5,0)</f>
        <v>#N/A</v>
      </c>
      <c r="W424" s="3" t="e">
        <f t="shared" si="31"/>
        <v>#N/A</v>
      </c>
      <c r="X424" s="29" t="e">
        <f t="shared" si="30"/>
        <v>#N/A</v>
      </c>
      <c r="Y424" s="29" t="s">
        <v>1363</v>
      </c>
      <c r="Z424" t="s">
        <v>16</v>
      </c>
      <c r="AA424" t="s">
        <v>17</v>
      </c>
      <c r="AB424" t="s">
        <v>12</v>
      </c>
      <c r="AC424" t="s">
        <v>8</v>
      </c>
      <c r="AD424" t="s">
        <v>18</v>
      </c>
      <c r="AE424" t="s">
        <v>1173</v>
      </c>
      <c r="AF424" t="s">
        <v>12</v>
      </c>
      <c r="AG424" t="s">
        <v>12</v>
      </c>
      <c r="AH424" t="s">
        <v>12</v>
      </c>
      <c r="AI424" s="2">
        <v>45716</v>
      </c>
      <c r="AJ424" s="2"/>
      <c r="AK424" t="s">
        <v>12</v>
      </c>
    </row>
    <row r="425" spans="1:37" outlineLevel="2" x14ac:dyDescent="0.25">
      <c r="A425" t="s">
        <v>129</v>
      </c>
      <c r="B425" t="s">
        <v>1</v>
      </c>
      <c r="C425" t="s">
        <v>2</v>
      </c>
      <c r="D425" t="s">
        <v>3</v>
      </c>
      <c r="E425" t="s">
        <v>4</v>
      </c>
      <c r="F425" t="s">
        <v>358</v>
      </c>
      <c r="G425" s="2">
        <v>45716</v>
      </c>
      <c r="H425" t="s">
        <v>1174</v>
      </c>
      <c r="I425" t="s">
        <v>22</v>
      </c>
      <c r="J425" s="2">
        <v>45716</v>
      </c>
      <c r="K425" s="2">
        <v>45716</v>
      </c>
      <c r="L425" t="s">
        <v>8</v>
      </c>
      <c r="M425" s="26">
        <v>246779410339</v>
      </c>
      <c r="N425" t="s">
        <v>10</v>
      </c>
      <c r="O425" t="s">
        <v>11</v>
      </c>
      <c r="P425" t="s">
        <v>12</v>
      </c>
      <c r="Q425" t="s">
        <v>24</v>
      </c>
      <c r="R425" t="s">
        <v>14</v>
      </c>
      <c r="S425" s="3">
        <v>575.75</v>
      </c>
      <c r="T425" t="s">
        <v>15</v>
      </c>
      <c r="U425" s="3">
        <v>49689.33</v>
      </c>
      <c r="V425" s="3" t="e">
        <f>VLOOKUP(M425,'[1]Query Report'!$A:$E,5,0)</f>
        <v>#N/A</v>
      </c>
      <c r="W425" s="3" t="e">
        <f t="shared" si="31"/>
        <v>#N/A</v>
      </c>
      <c r="X425" s="29" t="e">
        <f t="shared" si="30"/>
        <v>#N/A</v>
      </c>
      <c r="Y425" s="29" t="s">
        <v>1363</v>
      </c>
      <c r="Z425" t="s">
        <v>16</v>
      </c>
      <c r="AA425" t="s">
        <v>17</v>
      </c>
      <c r="AB425" t="s">
        <v>12</v>
      </c>
      <c r="AC425" t="s">
        <v>8</v>
      </c>
      <c r="AD425" t="s">
        <v>18</v>
      </c>
      <c r="AE425" t="s">
        <v>1176</v>
      </c>
      <c r="AF425" t="s">
        <v>12</v>
      </c>
      <c r="AG425" t="s">
        <v>12</v>
      </c>
      <c r="AH425" t="s">
        <v>12</v>
      </c>
      <c r="AI425" s="2">
        <v>45716</v>
      </c>
      <c r="AJ425" s="2"/>
      <c r="AK425" t="s">
        <v>12</v>
      </c>
    </row>
    <row r="426" spans="1:37" outlineLevel="2" x14ac:dyDescent="0.25">
      <c r="A426" t="s">
        <v>129</v>
      </c>
      <c r="B426" t="s">
        <v>1</v>
      </c>
      <c r="C426" t="s">
        <v>2</v>
      </c>
      <c r="D426" t="s">
        <v>3</v>
      </c>
      <c r="E426" t="s">
        <v>4</v>
      </c>
      <c r="F426" t="s">
        <v>358</v>
      </c>
      <c r="G426" s="2">
        <v>45716</v>
      </c>
      <c r="H426" t="s">
        <v>1177</v>
      </c>
      <c r="I426" t="s">
        <v>22</v>
      </c>
      <c r="J426" s="2">
        <v>45716</v>
      </c>
      <c r="K426" s="2">
        <v>45716</v>
      </c>
      <c r="L426" t="s">
        <v>8</v>
      </c>
      <c r="M426" s="26">
        <v>246779410340</v>
      </c>
      <c r="N426" t="s">
        <v>10</v>
      </c>
      <c r="O426" t="s">
        <v>11</v>
      </c>
      <c r="P426" t="s">
        <v>12</v>
      </c>
      <c r="Q426" t="s">
        <v>24</v>
      </c>
      <c r="R426" t="s">
        <v>14</v>
      </c>
      <c r="S426" s="3">
        <v>1863.55</v>
      </c>
      <c r="T426" t="s">
        <v>15</v>
      </c>
      <c r="U426" s="3">
        <v>160831.19</v>
      </c>
      <c r="V426" s="3" t="e">
        <f>VLOOKUP(M426,'[1]Query Report'!$A:$E,5,0)</f>
        <v>#N/A</v>
      </c>
      <c r="W426" s="3" t="e">
        <f t="shared" si="31"/>
        <v>#N/A</v>
      </c>
      <c r="X426" s="29" t="e">
        <f t="shared" si="30"/>
        <v>#N/A</v>
      </c>
      <c r="Y426" s="29" t="s">
        <v>1363</v>
      </c>
      <c r="Z426" t="s">
        <v>16</v>
      </c>
      <c r="AA426" t="s">
        <v>17</v>
      </c>
      <c r="AB426" t="s">
        <v>12</v>
      </c>
      <c r="AC426" t="s">
        <v>8</v>
      </c>
      <c r="AD426" t="s">
        <v>18</v>
      </c>
      <c r="AE426" t="s">
        <v>1179</v>
      </c>
      <c r="AF426" t="s">
        <v>12</v>
      </c>
      <c r="AG426" t="s">
        <v>12</v>
      </c>
      <c r="AH426" t="s">
        <v>12</v>
      </c>
      <c r="AI426" s="2">
        <v>45716</v>
      </c>
      <c r="AJ426" s="2"/>
      <c r="AK426" t="s">
        <v>12</v>
      </c>
    </row>
    <row r="427" spans="1:37" outlineLevel="2" x14ac:dyDescent="0.25">
      <c r="A427" t="s">
        <v>129</v>
      </c>
      <c r="B427" t="s">
        <v>1</v>
      </c>
      <c r="C427" t="s">
        <v>2</v>
      </c>
      <c r="D427" t="s">
        <v>3</v>
      </c>
      <c r="E427" t="s">
        <v>4</v>
      </c>
      <c r="F427" t="s">
        <v>358</v>
      </c>
      <c r="G427" s="2">
        <v>45716</v>
      </c>
      <c r="H427" t="s">
        <v>1180</v>
      </c>
      <c r="I427" t="s">
        <v>22</v>
      </c>
      <c r="J427" s="2">
        <v>45716</v>
      </c>
      <c r="K427" s="2">
        <v>45716</v>
      </c>
      <c r="L427" t="s">
        <v>8</v>
      </c>
      <c r="M427" s="26">
        <v>246779410348</v>
      </c>
      <c r="N427" t="s">
        <v>10</v>
      </c>
      <c r="O427" t="s">
        <v>11</v>
      </c>
      <c r="P427" t="s">
        <v>12</v>
      </c>
      <c r="Q427" t="s">
        <v>24</v>
      </c>
      <c r="R427" t="s">
        <v>14</v>
      </c>
      <c r="S427" s="3">
        <v>1793.99</v>
      </c>
      <c r="T427" t="s">
        <v>15</v>
      </c>
      <c r="U427" s="3">
        <v>154827.9</v>
      </c>
      <c r="V427" s="3" t="e">
        <f>VLOOKUP(M427,'[1]Query Report'!$A:$E,5,0)</f>
        <v>#N/A</v>
      </c>
      <c r="W427" s="3" t="e">
        <f t="shared" si="31"/>
        <v>#N/A</v>
      </c>
      <c r="X427" s="29" t="e">
        <f t="shared" si="30"/>
        <v>#N/A</v>
      </c>
      <c r="Y427" s="29" t="s">
        <v>1363</v>
      </c>
      <c r="Z427" t="s">
        <v>16</v>
      </c>
      <c r="AA427" t="s">
        <v>17</v>
      </c>
      <c r="AB427" t="s">
        <v>12</v>
      </c>
      <c r="AC427" t="s">
        <v>8</v>
      </c>
      <c r="AD427" t="s">
        <v>18</v>
      </c>
      <c r="AE427" t="s">
        <v>171</v>
      </c>
      <c r="AF427" t="s">
        <v>12</v>
      </c>
      <c r="AG427" t="s">
        <v>12</v>
      </c>
      <c r="AH427" t="s">
        <v>12</v>
      </c>
      <c r="AI427" s="2">
        <v>45716</v>
      </c>
      <c r="AJ427" s="2"/>
      <c r="AK427" t="s">
        <v>12</v>
      </c>
    </row>
    <row r="428" spans="1:37" outlineLevel="2" x14ac:dyDescent="0.25">
      <c r="A428" t="s">
        <v>129</v>
      </c>
      <c r="B428" t="s">
        <v>1</v>
      </c>
      <c r="C428" t="s">
        <v>2</v>
      </c>
      <c r="D428" t="s">
        <v>3</v>
      </c>
      <c r="E428" t="s">
        <v>4</v>
      </c>
      <c r="F428" t="s">
        <v>358</v>
      </c>
      <c r="G428" s="2">
        <v>45716</v>
      </c>
      <c r="H428" t="s">
        <v>1182</v>
      </c>
      <c r="I428" t="s">
        <v>22</v>
      </c>
      <c r="J428" s="2">
        <v>45716</v>
      </c>
      <c r="K428" s="2">
        <v>45716</v>
      </c>
      <c r="L428" t="s">
        <v>8</v>
      </c>
      <c r="M428" s="26">
        <v>246779410352</v>
      </c>
      <c r="N428" t="s">
        <v>10</v>
      </c>
      <c r="O428" t="s">
        <v>11</v>
      </c>
      <c r="P428" t="s">
        <v>12</v>
      </c>
      <c r="Q428" t="s">
        <v>24</v>
      </c>
      <c r="R428" t="s">
        <v>14</v>
      </c>
      <c r="S428" s="3">
        <v>1314.12</v>
      </c>
      <c r="T428" t="s">
        <v>15</v>
      </c>
      <c r="U428" s="3">
        <v>113413.37</v>
      </c>
      <c r="V428" s="3" t="e">
        <f>VLOOKUP(M428,'[1]Query Report'!$A:$E,5,0)</f>
        <v>#N/A</v>
      </c>
      <c r="W428" s="3" t="e">
        <f t="shared" si="31"/>
        <v>#N/A</v>
      </c>
      <c r="X428" s="29" t="e">
        <f t="shared" si="30"/>
        <v>#N/A</v>
      </c>
      <c r="Y428" s="29" t="s">
        <v>1363</v>
      </c>
      <c r="Z428" t="s">
        <v>16</v>
      </c>
      <c r="AA428" t="s">
        <v>17</v>
      </c>
      <c r="AB428" t="s">
        <v>12</v>
      </c>
      <c r="AC428" t="s">
        <v>8</v>
      </c>
      <c r="AD428" t="s">
        <v>18</v>
      </c>
      <c r="AE428" t="s">
        <v>171</v>
      </c>
      <c r="AF428" t="s">
        <v>12</v>
      </c>
      <c r="AG428" t="s">
        <v>12</v>
      </c>
      <c r="AH428" t="s">
        <v>12</v>
      </c>
      <c r="AI428" s="2">
        <v>45716</v>
      </c>
      <c r="AJ428" s="2"/>
      <c r="AK428" t="s">
        <v>12</v>
      </c>
    </row>
    <row r="429" spans="1:37" outlineLevel="2" x14ac:dyDescent="0.25">
      <c r="A429" t="s">
        <v>129</v>
      </c>
      <c r="B429" t="s">
        <v>1</v>
      </c>
      <c r="C429" t="s">
        <v>2</v>
      </c>
      <c r="D429" t="s">
        <v>3</v>
      </c>
      <c r="E429" t="s">
        <v>4</v>
      </c>
      <c r="F429" t="s">
        <v>358</v>
      </c>
      <c r="G429" s="2">
        <v>45716</v>
      </c>
      <c r="H429" t="s">
        <v>1184</v>
      </c>
      <c r="I429" t="s">
        <v>22</v>
      </c>
      <c r="J429" s="2">
        <v>45716</v>
      </c>
      <c r="K429" s="2">
        <v>45716</v>
      </c>
      <c r="L429" t="s">
        <v>8</v>
      </c>
      <c r="M429" s="26">
        <v>246779410360</v>
      </c>
      <c r="N429" t="s">
        <v>10</v>
      </c>
      <c r="O429" t="s">
        <v>11</v>
      </c>
      <c r="P429" t="s">
        <v>12</v>
      </c>
      <c r="Q429" t="s">
        <v>24</v>
      </c>
      <c r="R429" t="s">
        <v>14</v>
      </c>
      <c r="S429" s="3">
        <v>705</v>
      </c>
      <c r="T429" t="s">
        <v>15</v>
      </c>
      <c r="U429" s="3">
        <v>60844.08</v>
      </c>
      <c r="V429" s="3" t="e">
        <f>VLOOKUP(M429,'[1]Query Report'!$A:$E,5,0)</f>
        <v>#N/A</v>
      </c>
      <c r="W429" s="3" t="e">
        <f t="shared" si="31"/>
        <v>#N/A</v>
      </c>
      <c r="X429" s="29" t="e">
        <f t="shared" si="30"/>
        <v>#N/A</v>
      </c>
      <c r="Y429" s="29" t="s">
        <v>1363</v>
      </c>
      <c r="Z429" t="s">
        <v>16</v>
      </c>
      <c r="AA429" t="s">
        <v>17</v>
      </c>
      <c r="AB429" t="s">
        <v>12</v>
      </c>
      <c r="AC429" t="s">
        <v>8</v>
      </c>
      <c r="AD429" t="s">
        <v>18</v>
      </c>
      <c r="AE429" t="s">
        <v>171</v>
      </c>
      <c r="AF429" t="s">
        <v>12</v>
      </c>
      <c r="AG429" t="s">
        <v>12</v>
      </c>
      <c r="AH429" t="s">
        <v>12</v>
      </c>
      <c r="AI429" s="2">
        <v>45716</v>
      </c>
      <c r="AJ429" s="2"/>
      <c r="AK429" t="s">
        <v>12</v>
      </c>
    </row>
    <row r="430" spans="1:37" outlineLevel="2" x14ac:dyDescent="0.25">
      <c r="A430" t="s">
        <v>129</v>
      </c>
      <c r="B430" t="s">
        <v>1</v>
      </c>
      <c r="C430" t="s">
        <v>2</v>
      </c>
      <c r="D430" t="s">
        <v>3</v>
      </c>
      <c r="E430" t="s">
        <v>4</v>
      </c>
      <c r="F430" t="s">
        <v>243</v>
      </c>
      <c r="G430" s="2">
        <v>45722</v>
      </c>
      <c r="H430" t="s">
        <v>1186</v>
      </c>
      <c r="I430" t="s">
        <v>22</v>
      </c>
      <c r="J430" s="2">
        <v>45722</v>
      </c>
      <c r="K430" s="2">
        <v>45723</v>
      </c>
      <c r="L430" t="s">
        <v>8</v>
      </c>
      <c r="M430" s="26">
        <v>246779411128</v>
      </c>
      <c r="N430" t="s">
        <v>10</v>
      </c>
      <c r="O430" t="s">
        <v>11</v>
      </c>
      <c r="P430" t="s">
        <v>12</v>
      </c>
      <c r="Q430" t="s">
        <v>24</v>
      </c>
      <c r="R430" t="s">
        <v>14</v>
      </c>
      <c r="S430" s="3">
        <v>28.2</v>
      </c>
      <c r="T430" t="s">
        <v>15</v>
      </c>
      <c r="U430" s="3">
        <v>2444.69</v>
      </c>
      <c r="V430" s="3" t="e">
        <f>VLOOKUP(M430,'[1]Query Report'!$A:$E,5,0)</f>
        <v>#N/A</v>
      </c>
      <c r="W430" s="3" t="e">
        <f t="shared" si="31"/>
        <v>#N/A</v>
      </c>
      <c r="X430" s="29" t="e">
        <f t="shared" si="30"/>
        <v>#N/A</v>
      </c>
      <c r="Y430" s="29" t="s">
        <v>1363</v>
      </c>
      <c r="Z430" t="s">
        <v>16</v>
      </c>
      <c r="AA430" t="s">
        <v>17</v>
      </c>
      <c r="AB430" t="s">
        <v>12</v>
      </c>
      <c r="AC430" t="s">
        <v>8</v>
      </c>
      <c r="AD430" t="s">
        <v>18</v>
      </c>
      <c r="AE430" t="s">
        <v>364</v>
      </c>
      <c r="AF430" t="s">
        <v>12</v>
      </c>
      <c r="AG430" t="s">
        <v>12</v>
      </c>
      <c r="AH430" t="s">
        <v>12</v>
      </c>
      <c r="AI430" s="2">
        <v>45722</v>
      </c>
      <c r="AJ430" s="2"/>
      <c r="AK430" t="s">
        <v>12</v>
      </c>
    </row>
    <row r="431" spans="1:37" outlineLevel="2" x14ac:dyDescent="0.25">
      <c r="A431" t="s">
        <v>129</v>
      </c>
      <c r="B431" t="s">
        <v>1</v>
      </c>
      <c r="C431" t="s">
        <v>2</v>
      </c>
      <c r="D431" t="s">
        <v>3</v>
      </c>
      <c r="E431" t="s">
        <v>4</v>
      </c>
      <c r="F431" t="s">
        <v>243</v>
      </c>
      <c r="G431" s="2">
        <v>45722</v>
      </c>
      <c r="H431" t="s">
        <v>1188</v>
      </c>
      <c r="I431" t="s">
        <v>22</v>
      </c>
      <c r="J431" s="2">
        <v>45722</v>
      </c>
      <c r="K431" s="2">
        <v>45723</v>
      </c>
      <c r="L431" t="s">
        <v>8</v>
      </c>
      <c r="M431" s="26">
        <v>246779411251</v>
      </c>
      <c r="N431" t="s">
        <v>10</v>
      </c>
      <c r="O431" t="s">
        <v>11</v>
      </c>
      <c r="P431" t="s">
        <v>12</v>
      </c>
      <c r="Q431" t="s">
        <v>24</v>
      </c>
      <c r="R431" t="s">
        <v>14</v>
      </c>
      <c r="S431" s="3">
        <v>126.9</v>
      </c>
      <c r="T431" t="s">
        <v>15</v>
      </c>
      <c r="U431" s="3">
        <v>11001.12</v>
      </c>
      <c r="V431" s="3" t="e">
        <f>VLOOKUP(M431,'[1]Query Report'!$A:$E,5,0)</f>
        <v>#N/A</v>
      </c>
      <c r="W431" s="3" t="e">
        <f t="shared" si="31"/>
        <v>#N/A</v>
      </c>
      <c r="X431" s="29" t="e">
        <f t="shared" si="30"/>
        <v>#N/A</v>
      </c>
      <c r="Y431" s="29" t="s">
        <v>1362</v>
      </c>
      <c r="Z431" t="s">
        <v>16</v>
      </c>
      <c r="AA431" t="s">
        <v>17</v>
      </c>
      <c r="AB431" t="s">
        <v>12</v>
      </c>
      <c r="AC431" t="s">
        <v>8</v>
      </c>
      <c r="AD431" t="s">
        <v>18</v>
      </c>
      <c r="AE431" t="s">
        <v>624</v>
      </c>
      <c r="AF431" t="s">
        <v>12</v>
      </c>
      <c r="AG431" t="s">
        <v>12</v>
      </c>
      <c r="AH431" t="s">
        <v>12</v>
      </c>
      <c r="AI431" s="2">
        <v>45722</v>
      </c>
      <c r="AJ431" s="2"/>
      <c r="AK431" t="s">
        <v>12</v>
      </c>
    </row>
    <row r="432" spans="1:37" outlineLevel="2" x14ac:dyDescent="0.25">
      <c r="A432" t="s">
        <v>129</v>
      </c>
      <c r="B432" t="s">
        <v>1</v>
      </c>
      <c r="C432" t="s">
        <v>2</v>
      </c>
      <c r="D432" t="s">
        <v>3</v>
      </c>
      <c r="E432" t="s">
        <v>4</v>
      </c>
      <c r="F432" t="s">
        <v>243</v>
      </c>
      <c r="G432" s="2">
        <v>45722</v>
      </c>
      <c r="H432" t="s">
        <v>1190</v>
      </c>
      <c r="I432" t="s">
        <v>22</v>
      </c>
      <c r="J432" s="2">
        <v>45722</v>
      </c>
      <c r="K432" s="2">
        <v>45723</v>
      </c>
      <c r="L432" t="s">
        <v>8</v>
      </c>
      <c r="M432" s="26">
        <v>246779411252</v>
      </c>
      <c r="N432" t="s">
        <v>10</v>
      </c>
      <c r="O432" t="s">
        <v>11</v>
      </c>
      <c r="P432" t="s">
        <v>12</v>
      </c>
      <c r="Q432" t="s">
        <v>24</v>
      </c>
      <c r="R432" t="s">
        <v>14</v>
      </c>
      <c r="S432" s="3">
        <v>23.5</v>
      </c>
      <c r="T432" t="s">
        <v>15</v>
      </c>
      <c r="U432" s="3">
        <v>2037.24</v>
      </c>
      <c r="V432" s="3" t="e">
        <f>VLOOKUP(M432,'[1]Query Report'!$A:$E,5,0)</f>
        <v>#N/A</v>
      </c>
      <c r="W432" s="3" t="e">
        <f t="shared" si="31"/>
        <v>#N/A</v>
      </c>
      <c r="X432" s="29" t="e">
        <f t="shared" si="30"/>
        <v>#N/A</v>
      </c>
      <c r="Y432" s="29" t="s">
        <v>1362</v>
      </c>
      <c r="Z432" t="s">
        <v>16</v>
      </c>
      <c r="AA432" t="s">
        <v>17</v>
      </c>
      <c r="AB432" t="s">
        <v>12</v>
      </c>
      <c r="AC432" t="s">
        <v>8</v>
      </c>
      <c r="AD432" t="s">
        <v>18</v>
      </c>
      <c r="AE432" t="s">
        <v>624</v>
      </c>
      <c r="AF432" t="s">
        <v>12</v>
      </c>
      <c r="AG432" t="s">
        <v>12</v>
      </c>
      <c r="AH432" t="s">
        <v>12</v>
      </c>
      <c r="AI432" s="2">
        <v>45722</v>
      </c>
      <c r="AJ432" s="2"/>
      <c r="AK432" t="s">
        <v>12</v>
      </c>
    </row>
    <row r="433" spans="1:37" outlineLevel="2" x14ac:dyDescent="0.25">
      <c r="A433" t="s">
        <v>129</v>
      </c>
      <c r="B433" t="s">
        <v>1</v>
      </c>
      <c r="C433" t="s">
        <v>2</v>
      </c>
      <c r="D433" t="s">
        <v>3</v>
      </c>
      <c r="E433" t="s">
        <v>4</v>
      </c>
      <c r="F433" t="s">
        <v>243</v>
      </c>
      <c r="G433" s="2">
        <v>45722</v>
      </c>
      <c r="H433" t="s">
        <v>1192</v>
      </c>
      <c r="I433" t="s">
        <v>22</v>
      </c>
      <c r="J433" s="2">
        <v>45722</v>
      </c>
      <c r="K433" s="2">
        <v>45722</v>
      </c>
      <c r="L433" t="s">
        <v>8</v>
      </c>
      <c r="M433" s="26">
        <v>246779410874</v>
      </c>
      <c r="N433" t="s">
        <v>10</v>
      </c>
      <c r="O433" t="s">
        <v>11</v>
      </c>
      <c r="P433" t="s">
        <v>12</v>
      </c>
      <c r="Q433" t="s">
        <v>24</v>
      </c>
      <c r="R433" t="s">
        <v>14</v>
      </c>
      <c r="S433" s="3">
        <v>3080</v>
      </c>
      <c r="T433" t="s">
        <v>15</v>
      </c>
      <c r="U433" s="3">
        <v>267009.08</v>
      </c>
      <c r="V433" s="3" t="e">
        <f>VLOOKUP(M433,'[1]Query Report'!$A:$E,5,0)</f>
        <v>#N/A</v>
      </c>
      <c r="W433" s="3" t="e">
        <f t="shared" si="31"/>
        <v>#N/A</v>
      </c>
      <c r="X433" s="29" t="e">
        <f t="shared" si="30"/>
        <v>#N/A</v>
      </c>
      <c r="Y433" s="29" t="s">
        <v>1363</v>
      </c>
      <c r="Z433" t="s">
        <v>16</v>
      </c>
      <c r="AA433" t="s">
        <v>17</v>
      </c>
      <c r="AB433" t="s">
        <v>12</v>
      </c>
      <c r="AC433" t="s">
        <v>8</v>
      </c>
      <c r="AD433" t="s">
        <v>18</v>
      </c>
      <c r="AE433" t="s">
        <v>1194</v>
      </c>
      <c r="AF433" t="s">
        <v>12</v>
      </c>
      <c r="AG433" t="s">
        <v>12</v>
      </c>
      <c r="AH433" t="s">
        <v>12</v>
      </c>
      <c r="AI433" s="2">
        <v>45722</v>
      </c>
      <c r="AJ433" s="2"/>
      <c r="AK433" t="s">
        <v>12</v>
      </c>
    </row>
    <row r="434" spans="1:37" outlineLevel="2" x14ac:dyDescent="0.25">
      <c r="A434" t="s">
        <v>129</v>
      </c>
      <c r="B434" t="s">
        <v>1</v>
      </c>
      <c r="C434" t="s">
        <v>2</v>
      </c>
      <c r="D434" t="s">
        <v>3</v>
      </c>
      <c r="E434" t="s">
        <v>4</v>
      </c>
      <c r="F434" t="s">
        <v>243</v>
      </c>
      <c r="G434" s="2">
        <v>45722</v>
      </c>
      <c r="H434" t="s">
        <v>1195</v>
      </c>
      <c r="I434" t="s">
        <v>22</v>
      </c>
      <c r="J434" s="2">
        <v>45722</v>
      </c>
      <c r="K434" s="2">
        <v>45722</v>
      </c>
      <c r="L434" t="s">
        <v>8</v>
      </c>
      <c r="M434" s="26">
        <v>246779410896</v>
      </c>
      <c r="N434" t="s">
        <v>10</v>
      </c>
      <c r="O434" t="s">
        <v>11</v>
      </c>
      <c r="P434" t="s">
        <v>12</v>
      </c>
      <c r="Q434" t="s">
        <v>24</v>
      </c>
      <c r="R434" t="s">
        <v>14</v>
      </c>
      <c r="S434" s="3">
        <v>4556.3999999999996</v>
      </c>
      <c r="T434" t="s">
        <v>15</v>
      </c>
      <c r="U434" s="3">
        <v>395000.06</v>
      </c>
      <c r="V434" s="3" t="e">
        <f>VLOOKUP(M434,'[1]Query Report'!$A:$E,5,0)</f>
        <v>#N/A</v>
      </c>
      <c r="W434" s="3" t="e">
        <f t="shared" si="31"/>
        <v>#N/A</v>
      </c>
      <c r="X434" s="29" t="e">
        <f t="shared" si="30"/>
        <v>#N/A</v>
      </c>
      <c r="Y434" s="29" t="s">
        <v>1363</v>
      </c>
      <c r="Z434" t="s">
        <v>16</v>
      </c>
      <c r="AA434" t="s">
        <v>17</v>
      </c>
      <c r="AB434" t="s">
        <v>12</v>
      </c>
      <c r="AC434" t="s">
        <v>8</v>
      </c>
      <c r="AD434" t="s">
        <v>18</v>
      </c>
      <c r="AE434" t="s">
        <v>1197</v>
      </c>
      <c r="AF434" t="s">
        <v>12</v>
      </c>
      <c r="AG434" t="s">
        <v>12</v>
      </c>
      <c r="AH434" t="s">
        <v>12</v>
      </c>
      <c r="AI434" s="2">
        <v>45722</v>
      </c>
      <c r="AJ434" s="2"/>
      <c r="AK434" t="s">
        <v>12</v>
      </c>
    </row>
    <row r="435" spans="1:37" outlineLevel="2" x14ac:dyDescent="0.25">
      <c r="A435" t="s">
        <v>129</v>
      </c>
      <c r="B435" t="s">
        <v>1</v>
      </c>
      <c r="C435" t="s">
        <v>2</v>
      </c>
      <c r="D435" t="s">
        <v>3</v>
      </c>
      <c r="E435" t="s">
        <v>4</v>
      </c>
      <c r="F435" t="s">
        <v>243</v>
      </c>
      <c r="G435" s="2">
        <v>45722</v>
      </c>
      <c r="H435" t="s">
        <v>1198</v>
      </c>
      <c r="I435" t="s">
        <v>22</v>
      </c>
      <c r="J435" s="2">
        <v>45722</v>
      </c>
      <c r="K435" s="2">
        <v>45722</v>
      </c>
      <c r="L435" t="s">
        <v>8</v>
      </c>
      <c r="M435" s="26">
        <v>246779410970</v>
      </c>
      <c r="N435" t="s">
        <v>10</v>
      </c>
      <c r="O435" t="s">
        <v>11</v>
      </c>
      <c r="P435" t="s">
        <v>12</v>
      </c>
      <c r="Q435" t="s">
        <v>24</v>
      </c>
      <c r="R435" t="s">
        <v>14</v>
      </c>
      <c r="S435" s="3">
        <v>22.05</v>
      </c>
      <c r="T435" t="s">
        <v>15</v>
      </c>
      <c r="U435" s="3">
        <v>1911.54</v>
      </c>
      <c r="V435" s="3" t="e">
        <f>VLOOKUP(M435,'[1]Query Report'!$A:$E,5,0)</f>
        <v>#N/A</v>
      </c>
      <c r="W435" s="3" t="e">
        <f t="shared" si="31"/>
        <v>#N/A</v>
      </c>
      <c r="X435" s="29" t="e">
        <f t="shared" si="30"/>
        <v>#N/A</v>
      </c>
      <c r="Y435" s="29" t="s">
        <v>1363</v>
      </c>
      <c r="Z435" t="s">
        <v>16</v>
      </c>
      <c r="AA435" t="s">
        <v>17</v>
      </c>
      <c r="AB435" t="s">
        <v>12</v>
      </c>
      <c r="AC435" t="s">
        <v>8</v>
      </c>
      <c r="AD435" t="s">
        <v>18</v>
      </c>
      <c r="AE435" t="s">
        <v>1200</v>
      </c>
      <c r="AF435" t="s">
        <v>12</v>
      </c>
      <c r="AG435" t="s">
        <v>12</v>
      </c>
      <c r="AH435" t="s">
        <v>12</v>
      </c>
      <c r="AI435" s="2">
        <v>45722</v>
      </c>
      <c r="AJ435" s="2"/>
      <c r="AK435" t="s">
        <v>12</v>
      </c>
    </row>
    <row r="436" spans="1:37" outlineLevel="2" x14ac:dyDescent="0.25">
      <c r="A436" t="s">
        <v>129</v>
      </c>
      <c r="B436" t="s">
        <v>1</v>
      </c>
      <c r="C436" t="s">
        <v>2</v>
      </c>
      <c r="D436" t="s">
        <v>3</v>
      </c>
      <c r="E436" t="s">
        <v>4</v>
      </c>
      <c r="F436" t="s">
        <v>243</v>
      </c>
      <c r="G436" s="2">
        <v>45722</v>
      </c>
      <c r="H436" t="s">
        <v>1201</v>
      </c>
      <c r="I436" t="s">
        <v>22</v>
      </c>
      <c r="J436" s="2">
        <v>45722</v>
      </c>
      <c r="K436" s="2">
        <v>45722</v>
      </c>
      <c r="L436" t="s">
        <v>8</v>
      </c>
      <c r="M436" s="26">
        <v>246779410971</v>
      </c>
      <c r="N436" t="s">
        <v>10</v>
      </c>
      <c r="O436" t="s">
        <v>11</v>
      </c>
      <c r="P436" t="s">
        <v>12</v>
      </c>
      <c r="Q436" t="s">
        <v>24</v>
      </c>
      <c r="R436" t="s">
        <v>14</v>
      </c>
      <c r="S436" s="3">
        <v>1205.2</v>
      </c>
      <c r="T436" t="s">
        <v>15</v>
      </c>
      <c r="U436" s="3">
        <v>104480.31</v>
      </c>
      <c r="V436" s="3" t="e">
        <f>VLOOKUP(M436,'[1]Query Report'!$A:$E,5,0)</f>
        <v>#N/A</v>
      </c>
      <c r="W436" s="3" t="e">
        <f t="shared" si="31"/>
        <v>#N/A</v>
      </c>
      <c r="X436" s="29" t="e">
        <f t="shared" ref="X436:X480" si="32">W436/U436</f>
        <v>#N/A</v>
      </c>
      <c r="Y436" s="29" t="s">
        <v>1362</v>
      </c>
      <c r="Z436" t="s">
        <v>16</v>
      </c>
      <c r="AA436" t="s">
        <v>17</v>
      </c>
      <c r="AB436" t="s">
        <v>12</v>
      </c>
      <c r="AC436" t="s">
        <v>8</v>
      </c>
      <c r="AD436" t="s">
        <v>18</v>
      </c>
      <c r="AE436" t="s">
        <v>1200</v>
      </c>
      <c r="AF436" t="s">
        <v>12</v>
      </c>
      <c r="AG436" t="s">
        <v>12</v>
      </c>
      <c r="AH436" t="s">
        <v>12</v>
      </c>
      <c r="AI436" s="2">
        <v>45722</v>
      </c>
      <c r="AJ436" s="2"/>
      <c r="AK436" t="s">
        <v>12</v>
      </c>
    </row>
    <row r="437" spans="1:37" outlineLevel="2" x14ac:dyDescent="0.25">
      <c r="A437" t="s">
        <v>129</v>
      </c>
      <c r="B437" t="s">
        <v>1</v>
      </c>
      <c r="C437" t="s">
        <v>2</v>
      </c>
      <c r="D437" t="s">
        <v>3</v>
      </c>
      <c r="E437" t="s">
        <v>4</v>
      </c>
      <c r="F437" t="s">
        <v>243</v>
      </c>
      <c r="G437" s="2">
        <v>45722</v>
      </c>
      <c r="H437" t="s">
        <v>1203</v>
      </c>
      <c r="I437" t="s">
        <v>22</v>
      </c>
      <c r="J437" s="2">
        <v>45722</v>
      </c>
      <c r="K437" s="2">
        <v>45722</v>
      </c>
      <c r="L437" t="s">
        <v>8</v>
      </c>
      <c r="M437" s="26">
        <v>246779410972</v>
      </c>
      <c r="N437" t="s">
        <v>10</v>
      </c>
      <c r="O437" t="s">
        <v>11</v>
      </c>
      <c r="P437" t="s">
        <v>12</v>
      </c>
      <c r="Q437" t="s">
        <v>24</v>
      </c>
      <c r="R437" t="s">
        <v>14</v>
      </c>
      <c r="S437" s="3">
        <v>17.350000000000001</v>
      </c>
      <c r="T437" t="s">
        <v>15</v>
      </c>
      <c r="U437" s="3">
        <v>1504.09</v>
      </c>
      <c r="V437" s="3" t="e">
        <f>VLOOKUP(M437,'[1]Query Report'!$A:$E,5,0)</f>
        <v>#N/A</v>
      </c>
      <c r="W437" s="3" t="e">
        <f t="shared" si="31"/>
        <v>#N/A</v>
      </c>
      <c r="X437" s="29" t="e">
        <f t="shared" si="32"/>
        <v>#N/A</v>
      </c>
      <c r="Y437" s="29" t="s">
        <v>1363</v>
      </c>
      <c r="Z437" t="s">
        <v>16</v>
      </c>
      <c r="AA437" t="s">
        <v>17</v>
      </c>
      <c r="AB437" t="s">
        <v>12</v>
      </c>
      <c r="AC437" t="s">
        <v>8</v>
      </c>
      <c r="AD437" t="s">
        <v>18</v>
      </c>
      <c r="AE437" t="s">
        <v>1200</v>
      </c>
      <c r="AF437" t="s">
        <v>12</v>
      </c>
      <c r="AG437" t="s">
        <v>12</v>
      </c>
      <c r="AH437" t="s">
        <v>12</v>
      </c>
      <c r="AI437" s="2">
        <v>45722</v>
      </c>
      <c r="AJ437" s="2"/>
      <c r="AK437" t="s">
        <v>12</v>
      </c>
    </row>
    <row r="438" spans="1:37" outlineLevel="2" x14ac:dyDescent="0.25">
      <c r="A438" t="s">
        <v>129</v>
      </c>
      <c r="B438" t="s">
        <v>1</v>
      </c>
      <c r="C438" t="s">
        <v>2</v>
      </c>
      <c r="D438" t="s">
        <v>3</v>
      </c>
      <c r="E438" t="s">
        <v>4</v>
      </c>
      <c r="F438" t="s">
        <v>243</v>
      </c>
      <c r="G438" s="2">
        <v>45722</v>
      </c>
      <c r="H438" t="s">
        <v>1205</v>
      </c>
      <c r="I438" t="s">
        <v>22</v>
      </c>
      <c r="J438" s="2">
        <v>45722</v>
      </c>
      <c r="K438" s="2">
        <v>45722</v>
      </c>
      <c r="L438" t="s">
        <v>8</v>
      </c>
      <c r="M438" s="26">
        <v>246779410973</v>
      </c>
      <c r="N438" t="s">
        <v>10</v>
      </c>
      <c r="O438" t="s">
        <v>11</v>
      </c>
      <c r="P438" t="s">
        <v>12</v>
      </c>
      <c r="Q438" t="s">
        <v>24</v>
      </c>
      <c r="R438" t="s">
        <v>14</v>
      </c>
      <c r="S438" s="3">
        <v>33.799999999999997</v>
      </c>
      <c r="T438" t="s">
        <v>15</v>
      </c>
      <c r="U438" s="3">
        <v>2930.16</v>
      </c>
      <c r="V438" s="3" t="e">
        <f>VLOOKUP(M438,'[1]Query Report'!$A:$E,5,0)</f>
        <v>#N/A</v>
      </c>
      <c r="W438" s="3" t="e">
        <f t="shared" si="31"/>
        <v>#N/A</v>
      </c>
      <c r="X438" s="29" t="e">
        <f t="shared" si="32"/>
        <v>#N/A</v>
      </c>
      <c r="Y438" s="29" t="s">
        <v>1363</v>
      </c>
      <c r="Z438" t="s">
        <v>16</v>
      </c>
      <c r="AA438" t="s">
        <v>17</v>
      </c>
      <c r="AB438" t="s">
        <v>12</v>
      </c>
      <c r="AC438" t="s">
        <v>8</v>
      </c>
      <c r="AD438" t="s">
        <v>18</v>
      </c>
      <c r="AE438" t="s">
        <v>1200</v>
      </c>
      <c r="AF438" t="s">
        <v>12</v>
      </c>
      <c r="AG438" t="s">
        <v>12</v>
      </c>
      <c r="AH438" t="s">
        <v>12</v>
      </c>
      <c r="AI438" s="2">
        <v>45722</v>
      </c>
      <c r="AJ438" s="2"/>
      <c r="AK438" t="s">
        <v>12</v>
      </c>
    </row>
    <row r="439" spans="1:37" outlineLevel="2" x14ac:dyDescent="0.25">
      <c r="A439" t="s">
        <v>129</v>
      </c>
      <c r="B439" t="s">
        <v>1</v>
      </c>
      <c r="C439" t="s">
        <v>2</v>
      </c>
      <c r="D439" t="s">
        <v>3</v>
      </c>
      <c r="E439" t="s">
        <v>4</v>
      </c>
      <c r="F439" t="s">
        <v>243</v>
      </c>
      <c r="G439" s="2">
        <v>45722</v>
      </c>
      <c r="H439" t="s">
        <v>1207</v>
      </c>
      <c r="I439" t="s">
        <v>22</v>
      </c>
      <c r="J439" s="2">
        <v>45722</v>
      </c>
      <c r="K439" s="2">
        <v>45722</v>
      </c>
      <c r="L439" t="s">
        <v>8</v>
      </c>
      <c r="M439" s="26">
        <v>246779410974</v>
      </c>
      <c r="N439" t="s">
        <v>10</v>
      </c>
      <c r="O439" t="s">
        <v>11</v>
      </c>
      <c r="P439" t="s">
        <v>12</v>
      </c>
      <c r="Q439" t="s">
        <v>24</v>
      </c>
      <c r="R439" t="s">
        <v>14</v>
      </c>
      <c r="S439" s="3">
        <v>4.7</v>
      </c>
      <c r="T439" t="s">
        <v>15</v>
      </c>
      <c r="U439" s="3">
        <v>407.45</v>
      </c>
      <c r="V439" s="3" t="e">
        <f>VLOOKUP(M439,'[1]Query Report'!$A:$E,5,0)</f>
        <v>#N/A</v>
      </c>
      <c r="W439" s="3" t="e">
        <f t="shared" si="31"/>
        <v>#N/A</v>
      </c>
      <c r="X439" s="29" t="e">
        <f t="shared" si="32"/>
        <v>#N/A</v>
      </c>
      <c r="Y439" s="29" t="s">
        <v>1363</v>
      </c>
      <c r="Z439" t="s">
        <v>16</v>
      </c>
      <c r="AA439" t="s">
        <v>17</v>
      </c>
      <c r="AB439" t="s">
        <v>12</v>
      </c>
      <c r="AC439" t="s">
        <v>8</v>
      </c>
      <c r="AD439" t="s">
        <v>18</v>
      </c>
      <c r="AE439" t="s">
        <v>1200</v>
      </c>
      <c r="AF439" t="s">
        <v>12</v>
      </c>
      <c r="AG439" t="s">
        <v>12</v>
      </c>
      <c r="AH439" t="s">
        <v>12</v>
      </c>
      <c r="AI439" s="2">
        <v>45722</v>
      </c>
      <c r="AJ439" s="2"/>
      <c r="AK439" t="s">
        <v>12</v>
      </c>
    </row>
    <row r="440" spans="1:37" outlineLevel="2" x14ac:dyDescent="0.25">
      <c r="A440" t="s">
        <v>129</v>
      </c>
      <c r="B440" t="s">
        <v>1</v>
      </c>
      <c r="C440" t="s">
        <v>2</v>
      </c>
      <c r="D440" t="s">
        <v>3</v>
      </c>
      <c r="E440" t="s">
        <v>4</v>
      </c>
      <c r="F440" t="s">
        <v>243</v>
      </c>
      <c r="G440" s="2">
        <v>45722</v>
      </c>
      <c r="H440" t="s">
        <v>1209</v>
      </c>
      <c r="I440" t="s">
        <v>22</v>
      </c>
      <c r="J440" s="2">
        <v>45722</v>
      </c>
      <c r="K440" s="2">
        <v>45723</v>
      </c>
      <c r="L440" t="s">
        <v>8</v>
      </c>
      <c r="M440" s="26">
        <v>246779411050</v>
      </c>
      <c r="N440" t="s">
        <v>10</v>
      </c>
      <c r="O440" t="s">
        <v>11</v>
      </c>
      <c r="P440" t="s">
        <v>12</v>
      </c>
      <c r="Q440" t="s">
        <v>24</v>
      </c>
      <c r="R440" t="s">
        <v>14</v>
      </c>
      <c r="S440" s="3">
        <v>23.5</v>
      </c>
      <c r="T440" t="s">
        <v>15</v>
      </c>
      <c r="U440" s="3">
        <v>2037.24</v>
      </c>
      <c r="V440" s="3" t="e">
        <f>VLOOKUP(M440,'[1]Query Report'!$A:$E,5,0)</f>
        <v>#N/A</v>
      </c>
      <c r="W440" s="3" t="e">
        <f t="shared" si="31"/>
        <v>#N/A</v>
      </c>
      <c r="X440" s="29" t="e">
        <f t="shared" si="32"/>
        <v>#N/A</v>
      </c>
      <c r="Y440" s="29" t="s">
        <v>1362</v>
      </c>
      <c r="Z440" t="s">
        <v>16</v>
      </c>
      <c r="AA440" t="s">
        <v>17</v>
      </c>
      <c r="AB440" t="s">
        <v>12</v>
      </c>
      <c r="AC440" t="s">
        <v>8</v>
      </c>
      <c r="AD440" t="s">
        <v>18</v>
      </c>
      <c r="AE440" t="s">
        <v>1211</v>
      </c>
      <c r="AF440" t="s">
        <v>12</v>
      </c>
      <c r="AG440" t="s">
        <v>12</v>
      </c>
      <c r="AH440" t="s">
        <v>12</v>
      </c>
      <c r="AI440" s="2">
        <v>45722</v>
      </c>
      <c r="AJ440" s="2"/>
      <c r="AK440" t="s">
        <v>12</v>
      </c>
    </row>
    <row r="441" spans="1:37" outlineLevel="2" x14ac:dyDescent="0.25">
      <c r="A441" t="s">
        <v>129</v>
      </c>
      <c r="B441" t="s">
        <v>1</v>
      </c>
      <c r="C441" t="s">
        <v>2</v>
      </c>
      <c r="D441" t="s">
        <v>3</v>
      </c>
      <c r="E441" t="s">
        <v>4</v>
      </c>
      <c r="F441" t="s">
        <v>243</v>
      </c>
      <c r="G441" s="2">
        <v>45722</v>
      </c>
      <c r="H441" t="s">
        <v>1212</v>
      </c>
      <c r="I441" t="s">
        <v>22</v>
      </c>
      <c r="J441" s="2">
        <v>45722</v>
      </c>
      <c r="K441" s="2">
        <v>45723</v>
      </c>
      <c r="L441" t="s">
        <v>8</v>
      </c>
      <c r="M441" s="26">
        <v>246779411051</v>
      </c>
      <c r="N441" t="s">
        <v>10</v>
      </c>
      <c r="O441" t="s">
        <v>11</v>
      </c>
      <c r="P441" t="s">
        <v>12</v>
      </c>
      <c r="Q441" t="s">
        <v>24</v>
      </c>
      <c r="R441" t="s">
        <v>14</v>
      </c>
      <c r="S441" s="3">
        <v>17.350000000000001</v>
      </c>
      <c r="T441" t="s">
        <v>15</v>
      </c>
      <c r="U441" s="3">
        <v>1504.09</v>
      </c>
      <c r="V441" s="3" t="e">
        <f>VLOOKUP(M441,'[1]Query Report'!$A:$E,5,0)</f>
        <v>#N/A</v>
      </c>
      <c r="W441" s="3" t="e">
        <f t="shared" si="31"/>
        <v>#N/A</v>
      </c>
      <c r="X441" s="29" t="e">
        <f t="shared" si="32"/>
        <v>#N/A</v>
      </c>
      <c r="Y441" s="29" t="s">
        <v>1362</v>
      </c>
      <c r="Z441" t="s">
        <v>16</v>
      </c>
      <c r="AA441" t="s">
        <v>17</v>
      </c>
      <c r="AB441" t="s">
        <v>12</v>
      </c>
      <c r="AC441" t="s">
        <v>8</v>
      </c>
      <c r="AD441" t="s">
        <v>18</v>
      </c>
      <c r="AE441" t="s">
        <v>1211</v>
      </c>
      <c r="AF441" t="s">
        <v>12</v>
      </c>
      <c r="AG441" t="s">
        <v>12</v>
      </c>
      <c r="AH441" t="s">
        <v>12</v>
      </c>
      <c r="AI441" s="2">
        <v>45722</v>
      </c>
      <c r="AJ441" s="2"/>
      <c r="AK441" t="s">
        <v>12</v>
      </c>
    </row>
    <row r="442" spans="1:37" outlineLevel="2" x14ac:dyDescent="0.25">
      <c r="A442" t="s">
        <v>129</v>
      </c>
      <c r="B442" t="s">
        <v>1</v>
      </c>
      <c r="C442" t="s">
        <v>2</v>
      </c>
      <c r="D442" t="s">
        <v>3</v>
      </c>
      <c r="E442" t="s">
        <v>4</v>
      </c>
      <c r="F442" t="s">
        <v>243</v>
      </c>
      <c r="G442" s="2">
        <v>45722</v>
      </c>
      <c r="H442" t="s">
        <v>1214</v>
      </c>
      <c r="I442" t="s">
        <v>22</v>
      </c>
      <c r="J442" s="2">
        <v>45722</v>
      </c>
      <c r="K442" s="2">
        <v>45723</v>
      </c>
      <c r="L442" t="s">
        <v>8</v>
      </c>
      <c r="M442" s="26">
        <v>246779411052</v>
      </c>
      <c r="N442" t="s">
        <v>10</v>
      </c>
      <c r="O442" t="s">
        <v>11</v>
      </c>
      <c r="P442" t="s">
        <v>12</v>
      </c>
      <c r="Q442" t="s">
        <v>24</v>
      </c>
      <c r="R442" t="s">
        <v>14</v>
      </c>
      <c r="S442" s="3">
        <v>4.7</v>
      </c>
      <c r="T442" t="s">
        <v>15</v>
      </c>
      <c r="U442" s="3">
        <v>407.45</v>
      </c>
      <c r="V442" s="3" t="e">
        <f>VLOOKUP(M442,'[1]Query Report'!$A:$E,5,0)</f>
        <v>#N/A</v>
      </c>
      <c r="W442" s="3" t="e">
        <f t="shared" si="31"/>
        <v>#N/A</v>
      </c>
      <c r="X442" s="29" t="e">
        <f t="shared" si="32"/>
        <v>#N/A</v>
      </c>
      <c r="Y442" s="29" t="s">
        <v>1362</v>
      </c>
      <c r="Z442" t="s">
        <v>16</v>
      </c>
      <c r="AA442" t="s">
        <v>17</v>
      </c>
      <c r="AB442" t="s">
        <v>12</v>
      </c>
      <c r="AC442" t="s">
        <v>8</v>
      </c>
      <c r="AD442" t="s">
        <v>18</v>
      </c>
      <c r="AE442" t="s">
        <v>1211</v>
      </c>
      <c r="AF442" t="s">
        <v>12</v>
      </c>
      <c r="AG442" t="s">
        <v>12</v>
      </c>
      <c r="AH442" t="s">
        <v>12</v>
      </c>
      <c r="AI442" s="2">
        <v>45722</v>
      </c>
      <c r="AJ442" s="2"/>
      <c r="AK442" t="s">
        <v>12</v>
      </c>
    </row>
    <row r="443" spans="1:37" outlineLevel="2" x14ac:dyDescent="0.25">
      <c r="A443" t="s">
        <v>129</v>
      </c>
      <c r="B443" t="s">
        <v>1</v>
      </c>
      <c r="C443" t="s">
        <v>2</v>
      </c>
      <c r="D443" t="s">
        <v>3</v>
      </c>
      <c r="E443" t="s">
        <v>4</v>
      </c>
      <c r="F443" t="s">
        <v>243</v>
      </c>
      <c r="G443" s="2">
        <v>45722</v>
      </c>
      <c r="H443" t="s">
        <v>1216</v>
      </c>
      <c r="I443" t="s">
        <v>22</v>
      </c>
      <c r="J443" s="2">
        <v>45722</v>
      </c>
      <c r="K443" s="2">
        <v>45723</v>
      </c>
      <c r="L443" t="s">
        <v>8</v>
      </c>
      <c r="M443" s="26">
        <v>246779411053</v>
      </c>
      <c r="N443" t="s">
        <v>10</v>
      </c>
      <c r="O443" t="s">
        <v>11</v>
      </c>
      <c r="P443" t="s">
        <v>12</v>
      </c>
      <c r="Q443" t="s">
        <v>24</v>
      </c>
      <c r="R443" t="s">
        <v>14</v>
      </c>
      <c r="S443" s="3">
        <v>24.4</v>
      </c>
      <c r="T443" t="s">
        <v>15</v>
      </c>
      <c r="U443" s="3">
        <v>2115.27</v>
      </c>
      <c r="V443" s="3" t="e">
        <f>VLOOKUP(M443,'[1]Query Report'!$A:$E,5,0)</f>
        <v>#N/A</v>
      </c>
      <c r="W443" s="3" t="e">
        <f t="shared" si="31"/>
        <v>#N/A</v>
      </c>
      <c r="X443" s="29" t="e">
        <f t="shared" si="32"/>
        <v>#N/A</v>
      </c>
      <c r="Y443" s="29" t="s">
        <v>1362</v>
      </c>
      <c r="Z443" t="s">
        <v>16</v>
      </c>
      <c r="AA443" t="s">
        <v>17</v>
      </c>
      <c r="AB443" t="s">
        <v>12</v>
      </c>
      <c r="AC443" t="s">
        <v>8</v>
      </c>
      <c r="AD443" t="s">
        <v>18</v>
      </c>
      <c r="AE443" t="s">
        <v>1211</v>
      </c>
      <c r="AF443" t="s">
        <v>12</v>
      </c>
      <c r="AG443" t="s">
        <v>12</v>
      </c>
      <c r="AH443" t="s">
        <v>12</v>
      </c>
      <c r="AI443" s="2">
        <v>45722</v>
      </c>
      <c r="AJ443" s="2"/>
      <c r="AK443" t="s">
        <v>12</v>
      </c>
    </row>
    <row r="444" spans="1:37" outlineLevel="2" x14ac:dyDescent="0.25">
      <c r="A444" t="s">
        <v>129</v>
      </c>
      <c r="B444" t="s">
        <v>1</v>
      </c>
      <c r="C444" t="s">
        <v>2</v>
      </c>
      <c r="D444" t="s">
        <v>3</v>
      </c>
      <c r="E444" t="s">
        <v>4</v>
      </c>
      <c r="F444" t="s">
        <v>243</v>
      </c>
      <c r="G444" s="2">
        <v>45722</v>
      </c>
      <c r="H444" t="s">
        <v>1218</v>
      </c>
      <c r="I444" t="s">
        <v>22</v>
      </c>
      <c r="J444" s="2">
        <v>45722</v>
      </c>
      <c r="K444" s="2">
        <v>45723</v>
      </c>
      <c r="L444" t="s">
        <v>8</v>
      </c>
      <c r="M444" s="26">
        <v>246779411054</v>
      </c>
      <c r="N444" t="s">
        <v>10</v>
      </c>
      <c r="O444" t="s">
        <v>11</v>
      </c>
      <c r="P444" t="s">
        <v>12</v>
      </c>
      <c r="Q444" t="s">
        <v>24</v>
      </c>
      <c r="R444" t="s">
        <v>14</v>
      </c>
      <c r="S444" s="3">
        <v>54.05</v>
      </c>
      <c r="T444" t="s">
        <v>15</v>
      </c>
      <c r="U444" s="3">
        <v>4685.66</v>
      </c>
      <c r="V444" s="3" t="e">
        <f>VLOOKUP(M444,'[1]Query Report'!$A:$E,5,0)</f>
        <v>#N/A</v>
      </c>
      <c r="W444" s="3" t="e">
        <f t="shared" si="31"/>
        <v>#N/A</v>
      </c>
      <c r="X444" s="29" t="e">
        <f t="shared" si="32"/>
        <v>#N/A</v>
      </c>
      <c r="Y444" s="29" t="s">
        <v>1362</v>
      </c>
      <c r="Z444" t="s">
        <v>16</v>
      </c>
      <c r="AA444" t="s">
        <v>17</v>
      </c>
      <c r="AB444" t="s">
        <v>12</v>
      </c>
      <c r="AC444" t="s">
        <v>8</v>
      </c>
      <c r="AD444" t="s">
        <v>18</v>
      </c>
      <c r="AE444" t="s">
        <v>1211</v>
      </c>
      <c r="AF444" t="s">
        <v>12</v>
      </c>
      <c r="AG444" t="s">
        <v>12</v>
      </c>
      <c r="AH444" t="s">
        <v>12</v>
      </c>
      <c r="AI444" s="2">
        <v>45722</v>
      </c>
      <c r="AJ444" s="2"/>
      <c r="AK444" t="s">
        <v>12</v>
      </c>
    </row>
    <row r="445" spans="1:37" outlineLevel="2" x14ac:dyDescent="0.25">
      <c r="A445" t="s">
        <v>129</v>
      </c>
      <c r="B445" t="s">
        <v>1</v>
      </c>
      <c r="C445" t="s">
        <v>2</v>
      </c>
      <c r="D445" t="s">
        <v>3</v>
      </c>
      <c r="E445" t="s">
        <v>4</v>
      </c>
      <c r="F445" t="s">
        <v>243</v>
      </c>
      <c r="G445" s="2">
        <v>45722</v>
      </c>
      <c r="H445" t="s">
        <v>1220</v>
      </c>
      <c r="I445" t="s">
        <v>22</v>
      </c>
      <c r="J445" s="2">
        <v>45722</v>
      </c>
      <c r="K445" s="2">
        <v>45723</v>
      </c>
      <c r="L445" t="s">
        <v>8</v>
      </c>
      <c r="M445" s="26">
        <v>246779411055</v>
      </c>
      <c r="N445" t="s">
        <v>10</v>
      </c>
      <c r="O445" t="s">
        <v>11</v>
      </c>
      <c r="P445" t="s">
        <v>12</v>
      </c>
      <c r="Q445" t="s">
        <v>24</v>
      </c>
      <c r="R445" t="s">
        <v>14</v>
      </c>
      <c r="S445" s="3">
        <v>17.350000000000001</v>
      </c>
      <c r="T445" t="s">
        <v>15</v>
      </c>
      <c r="U445" s="3">
        <v>1504.09</v>
      </c>
      <c r="V445" s="3" t="e">
        <f>VLOOKUP(M445,'[1]Query Report'!$A:$E,5,0)</f>
        <v>#N/A</v>
      </c>
      <c r="W445" s="3" t="e">
        <f t="shared" si="31"/>
        <v>#N/A</v>
      </c>
      <c r="X445" s="29" t="e">
        <f t="shared" si="32"/>
        <v>#N/A</v>
      </c>
      <c r="Y445" s="29" t="s">
        <v>1362</v>
      </c>
      <c r="Z445" t="s">
        <v>16</v>
      </c>
      <c r="AA445" t="s">
        <v>17</v>
      </c>
      <c r="AB445" t="s">
        <v>12</v>
      </c>
      <c r="AC445" t="s">
        <v>8</v>
      </c>
      <c r="AD445" t="s">
        <v>18</v>
      </c>
      <c r="AE445" t="s">
        <v>1211</v>
      </c>
      <c r="AF445" t="s">
        <v>12</v>
      </c>
      <c r="AG445" t="s">
        <v>12</v>
      </c>
      <c r="AH445" t="s">
        <v>12</v>
      </c>
      <c r="AI445" s="2">
        <v>45722</v>
      </c>
      <c r="AJ445" s="2"/>
      <c r="AK445" t="s">
        <v>12</v>
      </c>
    </row>
    <row r="446" spans="1:37" outlineLevel="2" x14ac:dyDescent="0.25">
      <c r="A446" t="s">
        <v>129</v>
      </c>
      <c r="B446" t="s">
        <v>1</v>
      </c>
      <c r="C446" t="s">
        <v>2</v>
      </c>
      <c r="D446" t="s">
        <v>3</v>
      </c>
      <c r="E446" t="s">
        <v>4</v>
      </c>
      <c r="F446" t="s">
        <v>243</v>
      </c>
      <c r="G446" s="2">
        <v>45722</v>
      </c>
      <c r="H446" t="s">
        <v>1222</v>
      </c>
      <c r="I446" t="s">
        <v>22</v>
      </c>
      <c r="J446" s="2">
        <v>45722</v>
      </c>
      <c r="K446" s="2">
        <v>45723</v>
      </c>
      <c r="L446" t="s">
        <v>8</v>
      </c>
      <c r="M446" s="26">
        <v>246779411185</v>
      </c>
      <c r="N446" t="s">
        <v>10</v>
      </c>
      <c r="O446" t="s">
        <v>11</v>
      </c>
      <c r="P446" t="s">
        <v>12</v>
      </c>
      <c r="Q446" t="s">
        <v>24</v>
      </c>
      <c r="R446" t="s">
        <v>14</v>
      </c>
      <c r="S446" s="3">
        <v>23.5</v>
      </c>
      <c r="T446" t="s">
        <v>15</v>
      </c>
      <c r="U446" s="3">
        <v>2037.24</v>
      </c>
      <c r="V446" s="3" t="e">
        <f>VLOOKUP(M446,'[1]Query Report'!$A:$E,5,0)</f>
        <v>#N/A</v>
      </c>
      <c r="W446" s="3" t="e">
        <f t="shared" si="31"/>
        <v>#N/A</v>
      </c>
      <c r="X446" s="29" t="e">
        <f t="shared" si="32"/>
        <v>#N/A</v>
      </c>
      <c r="Y446" s="29" t="s">
        <v>1363</v>
      </c>
      <c r="Z446" t="s">
        <v>16</v>
      </c>
      <c r="AA446" t="s">
        <v>17</v>
      </c>
      <c r="AB446" t="s">
        <v>12</v>
      </c>
      <c r="AC446" t="s">
        <v>8</v>
      </c>
      <c r="AD446" t="s">
        <v>18</v>
      </c>
      <c r="AE446" t="s">
        <v>1224</v>
      </c>
      <c r="AF446" t="s">
        <v>12</v>
      </c>
      <c r="AG446" t="s">
        <v>12</v>
      </c>
      <c r="AH446" t="s">
        <v>12</v>
      </c>
      <c r="AI446" s="2">
        <v>45722</v>
      </c>
      <c r="AJ446" s="2"/>
      <c r="AK446" t="s">
        <v>12</v>
      </c>
    </row>
    <row r="447" spans="1:37" outlineLevel="2" x14ac:dyDescent="0.25">
      <c r="A447" t="s">
        <v>129</v>
      </c>
      <c r="B447" t="s">
        <v>1</v>
      </c>
      <c r="C447" t="s">
        <v>2</v>
      </c>
      <c r="D447" t="s">
        <v>3</v>
      </c>
      <c r="E447" t="s">
        <v>4</v>
      </c>
      <c r="F447" t="s">
        <v>243</v>
      </c>
      <c r="G447" s="2">
        <v>45722</v>
      </c>
      <c r="H447" t="s">
        <v>1225</v>
      </c>
      <c r="I447" t="s">
        <v>22</v>
      </c>
      <c r="J447" s="2">
        <v>45722</v>
      </c>
      <c r="K447" s="2">
        <v>45723</v>
      </c>
      <c r="L447" t="s">
        <v>8</v>
      </c>
      <c r="M447" s="26">
        <v>246779411186</v>
      </c>
      <c r="N447" t="s">
        <v>10</v>
      </c>
      <c r="O447" t="s">
        <v>11</v>
      </c>
      <c r="P447" t="s">
        <v>12</v>
      </c>
      <c r="Q447" t="s">
        <v>24</v>
      </c>
      <c r="R447" t="s">
        <v>14</v>
      </c>
      <c r="S447" s="3">
        <v>23.5</v>
      </c>
      <c r="T447" t="s">
        <v>15</v>
      </c>
      <c r="U447" s="3">
        <v>2037.24</v>
      </c>
      <c r="V447" s="3" t="e">
        <f>VLOOKUP(M447,'[1]Query Report'!$A:$E,5,0)</f>
        <v>#N/A</v>
      </c>
      <c r="W447" s="3" t="e">
        <f t="shared" si="31"/>
        <v>#N/A</v>
      </c>
      <c r="X447" s="29" t="e">
        <f t="shared" si="32"/>
        <v>#N/A</v>
      </c>
      <c r="Y447" s="29" t="s">
        <v>1363</v>
      </c>
      <c r="Z447" t="s">
        <v>16</v>
      </c>
      <c r="AA447" t="s">
        <v>17</v>
      </c>
      <c r="AB447" t="s">
        <v>12</v>
      </c>
      <c r="AC447" t="s">
        <v>8</v>
      </c>
      <c r="AD447" t="s">
        <v>18</v>
      </c>
      <c r="AE447" t="s">
        <v>1224</v>
      </c>
      <c r="AF447" t="s">
        <v>12</v>
      </c>
      <c r="AG447" t="s">
        <v>12</v>
      </c>
      <c r="AH447" t="s">
        <v>12</v>
      </c>
      <c r="AI447" s="2">
        <v>45722</v>
      </c>
      <c r="AJ447" s="2"/>
      <c r="AK447" t="s">
        <v>12</v>
      </c>
    </row>
    <row r="448" spans="1:37" outlineLevel="2" x14ac:dyDescent="0.25">
      <c r="A448" t="s">
        <v>129</v>
      </c>
      <c r="B448" t="s">
        <v>1</v>
      </c>
      <c r="C448" t="s">
        <v>2</v>
      </c>
      <c r="D448" t="s">
        <v>3</v>
      </c>
      <c r="E448" t="s">
        <v>4</v>
      </c>
      <c r="F448" t="s">
        <v>243</v>
      </c>
      <c r="G448" s="2">
        <v>45722</v>
      </c>
      <c r="H448" t="s">
        <v>1227</v>
      </c>
      <c r="I448" t="s">
        <v>22</v>
      </c>
      <c r="J448" s="2">
        <v>45722</v>
      </c>
      <c r="K448" s="2">
        <v>45723</v>
      </c>
      <c r="L448" t="s">
        <v>8</v>
      </c>
      <c r="M448" s="26">
        <v>246779411187</v>
      </c>
      <c r="N448" t="s">
        <v>10</v>
      </c>
      <c r="O448" t="s">
        <v>11</v>
      </c>
      <c r="P448" t="s">
        <v>12</v>
      </c>
      <c r="Q448" t="s">
        <v>24</v>
      </c>
      <c r="R448" t="s">
        <v>14</v>
      </c>
      <c r="S448" s="3">
        <v>23.5</v>
      </c>
      <c r="T448" t="s">
        <v>15</v>
      </c>
      <c r="U448" s="3">
        <v>2037.24</v>
      </c>
      <c r="V448" s="3" t="e">
        <f>VLOOKUP(M448,'[1]Query Report'!$A:$E,5,0)</f>
        <v>#N/A</v>
      </c>
      <c r="W448" s="3" t="e">
        <f t="shared" si="31"/>
        <v>#N/A</v>
      </c>
      <c r="X448" s="29" t="e">
        <f t="shared" si="32"/>
        <v>#N/A</v>
      </c>
      <c r="Y448" s="29" t="s">
        <v>1363</v>
      </c>
      <c r="Z448" t="s">
        <v>16</v>
      </c>
      <c r="AA448" t="s">
        <v>17</v>
      </c>
      <c r="AB448" t="s">
        <v>12</v>
      </c>
      <c r="AC448" t="s">
        <v>8</v>
      </c>
      <c r="AD448" t="s">
        <v>18</v>
      </c>
      <c r="AE448" t="s">
        <v>1224</v>
      </c>
      <c r="AF448" t="s">
        <v>12</v>
      </c>
      <c r="AG448" t="s">
        <v>12</v>
      </c>
      <c r="AH448" t="s">
        <v>12</v>
      </c>
      <c r="AI448" s="2">
        <v>45722</v>
      </c>
      <c r="AJ448" s="2"/>
      <c r="AK448" t="s">
        <v>12</v>
      </c>
    </row>
    <row r="449" spans="1:37" outlineLevel="2" x14ac:dyDescent="0.25">
      <c r="A449" t="s">
        <v>129</v>
      </c>
      <c r="B449" t="s">
        <v>1</v>
      </c>
      <c r="C449" t="s">
        <v>2</v>
      </c>
      <c r="D449" t="s">
        <v>3</v>
      </c>
      <c r="E449" t="s">
        <v>4</v>
      </c>
      <c r="F449" t="s">
        <v>243</v>
      </c>
      <c r="G449" s="2">
        <v>45722</v>
      </c>
      <c r="H449" t="s">
        <v>1229</v>
      </c>
      <c r="I449" t="s">
        <v>22</v>
      </c>
      <c r="J449" s="2">
        <v>45722</v>
      </c>
      <c r="K449" s="2">
        <v>45723</v>
      </c>
      <c r="L449" t="s">
        <v>8</v>
      </c>
      <c r="M449" s="26">
        <v>246779411188</v>
      </c>
      <c r="N449" t="s">
        <v>10</v>
      </c>
      <c r="O449" t="s">
        <v>11</v>
      </c>
      <c r="P449" t="s">
        <v>12</v>
      </c>
      <c r="Q449" t="s">
        <v>24</v>
      </c>
      <c r="R449" t="s">
        <v>14</v>
      </c>
      <c r="S449" s="3">
        <v>23.5</v>
      </c>
      <c r="T449" t="s">
        <v>15</v>
      </c>
      <c r="U449" s="3">
        <v>2037.24</v>
      </c>
      <c r="V449" s="3" t="e">
        <f>VLOOKUP(M449,'[1]Query Report'!$A:$E,5,0)</f>
        <v>#N/A</v>
      </c>
      <c r="W449" s="3" t="e">
        <f t="shared" si="31"/>
        <v>#N/A</v>
      </c>
      <c r="X449" s="29" t="e">
        <f t="shared" si="32"/>
        <v>#N/A</v>
      </c>
      <c r="Y449" s="29" t="s">
        <v>1363</v>
      </c>
      <c r="Z449" t="s">
        <v>16</v>
      </c>
      <c r="AA449" t="s">
        <v>17</v>
      </c>
      <c r="AB449" t="s">
        <v>12</v>
      </c>
      <c r="AC449" t="s">
        <v>8</v>
      </c>
      <c r="AD449" t="s">
        <v>18</v>
      </c>
      <c r="AE449" t="s">
        <v>1224</v>
      </c>
      <c r="AF449" t="s">
        <v>12</v>
      </c>
      <c r="AG449" t="s">
        <v>12</v>
      </c>
      <c r="AH449" t="s">
        <v>12</v>
      </c>
      <c r="AI449" s="2">
        <v>45722</v>
      </c>
      <c r="AJ449" s="2"/>
      <c r="AK449" t="s">
        <v>12</v>
      </c>
    </row>
    <row r="450" spans="1:37" outlineLevel="2" x14ac:dyDescent="0.25">
      <c r="A450" t="s">
        <v>129</v>
      </c>
      <c r="B450" t="s">
        <v>1</v>
      </c>
      <c r="C450" t="s">
        <v>2</v>
      </c>
      <c r="D450" t="s">
        <v>3</v>
      </c>
      <c r="E450" t="s">
        <v>4</v>
      </c>
      <c r="F450" t="s">
        <v>243</v>
      </c>
      <c r="G450" s="2">
        <v>45722</v>
      </c>
      <c r="H450" t="s">
        <v>1231</v>
      </c>
      <c r="I450" t="s">
        <v>22</v>
      </c>
      <c r="J450" s="2">
        <v>45722</v>
      </c>
      <c r="K450" s="2">
        <v>45723</v>
      </c>
      <c r="L450" t="s">
        <v>8</v>
      </c>
      <c r="M450" s="26">
        <v>246779411189</v>
      </c>
      <c r="N450" t="s">
        <v>10</v>
      </c>
      <c r="O450" t="s">
        <v>11</v>
      </c>
      <c r="P450" t="s">
        <v>12</v>
      </c>
      <c r="Q450" t="s">
        <v>24</v>
      </c>
      <c r="R450" t="s">
        <v>14</v>
      </c>
      <c r="S450" s="3">
        <v>23.5</v>
      </c>
      <c r="T450" t="s">
        <v>15</v>
      </c>
      <c r="U450" s="3">
        <v>2037.24</v>
      </c>
      <c r="V450" s="3" t="e">
        <f>VLOOKUP(M450,'[1]Query Report'!$A:$E,5,0)</f>
        <v>#N/A</v>
      </c>
      <c r="W450" s="3" t="e">
        <f t="shared" si="31"/>
        <v>#N/A</v>
      </c>
      <c r="X450" s="29" t="e">
        <f t="shared" si="32"/>
        <v>#N/A</v>
      </c>
      <c r="Y450" s="29" t="s">
        <v>1363</v>
      </c>
      <c r="Z450" t="s">
        <v>16</v>
      </c>
      <c r="AA450" t="s">
        <v>17</v>
      </c>
      <c r="AB450" t="s">
        <v>12</v>
      </c>
      <c r="AC450" t="s">
        <v>8</v>
      </c>
      <c r="AD450" t="s">
        <v>18</v>
      </c>
      <c r="AE450" t="s">
        <v>1224</v>
      </c>
      <c r="AF450" t="s">
        <v>12</v>
      </c>
      <c r="AG450" t="s">
        <v>12</v>
      </c>
      <c r="AH450" t="s">
        <v>12</v>
      </c>
      <c r="AI450" s="2">
        <v>45722</v>
      </c>
      <c r="AJ450" s="2"/>
      <c r="AK450" t="s">
        <v>12</v>
      </c>
    </row>
    <row r="451" spans="1:37" outlineLevel="2" x14ac:dyDescent="0.25">
      <c r="A451" t="s">
        <v>129</v>
      </c>
      <c r="B451" t="s">
        <v>1</v>
      </c>
      <c r="C451" t="s">
        <v>2</v>
      </c>
      <c r="D451" t="s">
        <v>3</v>
      </c>
      <c r="E451" t="s">
        <v>4</v>
      </c>
      <c r="F451" t="s">
        <v>243</v>
      </c>
      <c r="G451" s="2">
        <v>45722</v>
      </c>
      <c r="H451" t="s">
        <v>1233</v>
      </c>
      <c r="I451" t="s">
        <v>22</v>
      </c>
      <c r="J451" s="2">
        <v>45722</v>
      </c>
      <c r="K451" s="2">
        <v>45723</v>
      </c>
      <c r="L451" t="s">
        <v>8</v>
      </c>
      <c r="M451" s="26">
        <v>246779411248</v>
      </c>
      <c r="N451" t="s">
        <v>10</v>
      </c>
      <c r="O451" t="s">
        <v>11</v>
      </c>
      <c r="P451" t="s">
        <v>12</v>
      </c>
      <c r="Q451" t="s">
        <v>24</v>
      </c>
      <c r="R451" t="s">
        <v>14</v>
      </c>
      <c r="S451" s="3">
        <v>42.3</v>
      </c>
      <c r="T451" t="s">
        <v>15</v>
      </c>
      <c r="U451" s="3">
        <v>3667.04</v>
      </c>
      <c r="V451" s="3" t="e">
        <f>VLOOKUP(M451,'[1]Query Report'!$A:$E,5,0)</f>
        <v>#N/A</v>
      </c>
      <c r="W451" s="3" t="e">
        <f t="shared" si="31"/>
        <v>#N/A</v>
      </c>
      <c r="X451" s="29" t="e">
        <f t="shared" si="32"/>
        <v>#N/A</v>
      </c>
      <c r="Y451" s="29" t="s">
        <v>1362</v>
      </c>
      <c r="Z451" t="s">
        <v>16</v>
      </c>
      <c r="AA451" t="s">
        <v>17</v>
      </c>
      <c r="AB451" t="s">
        <v>12</v>
      </c>
      <c r="AC451" t="s">
        <v>8</v>
      </c>
      <c r="AD451" t="s">
        <v>18</v>
      </c>
      <c r="AE451" t="s">
        <v>624</v>
      </c>
      <c r="AF451" t="s">
        <v>12</v>
      </c>
      <c r="AG451" t="s">
        <v>12</v>
      </c>
      <c r="AH451" t="s">
        <v>12</v>
      </c>
      <c r="AI451" s="2">
        <v>45722</v>
      </c>
      <c r="AJ451" s="2"/>
      <c r="AK451" t="s">
        <v>12</v>
      </c>
    </row>
    <row r="452" spans="1:37" outlineLevel="2" x14ac:dyDescent="0.25">
      <c r="A452" t="s">
        <v>129</v>
      </c>
      <c r="B452" t="s">
        <v>1</v>
      </c>
      <c r="C452" t="s">
        <v>2</v>
      </c>
      <c r="D452" t="s">
        <v>3</v>
      </c>
      <c r="E452" t="s">
        <v>4</v>
      </c>
      <c r="F452" t="s">
        <v>243</v>
      </c>
      <c r="G452" s="2">
        <v>45722</v>
      </c>
      <c r="H452" t="s">
        <v>1235</v>
      </c>
      <c r="I452" t="s">
        <v>22</v>
      </c>
      <c r="J452" s="2">
        <v>45722</v>
      </c>
      <c r="K452" s="2">
        <v>45723</v>
      </c>
      <c r="L452" t="s">
        <v>8</v>
      </c>
      <c r="M452" s="26">
        <v>246779411249</v>
      </c>
      <c r="N452" t="s">
        <v>10</v>
      </c>
      <c r="O452" t="s">
        <v>11</v>
      </c>
      <c r="P452" t="s">
        <v>12</v>
      </c>
      <c r="Q452" t="s">
        <v>24</v>
      </c>
      <c r="R452" t="s">
        <v>14</v>
      </c>
      <c r="S452" s="3">
        <v>169.2</v>
      </c>
      <c r="T452" t="s">
        <v>15</v>
      </c>
      <c r="U452" s="3">
        <v>14668.16</v>
      </c>
      <c r="V452" s="3" t="e">
        <f>VLOOKUP(M452,'[1]Query Report'!$A:$E,5,0)</f>
        <v>#N/A</v>
      </c>
      <c r="W452" s="3" t="e">
        <f t="shared" ref="W452:W480" si="33">U452-V452</f>
        <v>#N/A</v>
      </c>
      <c r="X452" s="29" t="e">
        <f t="shared" si="32"/>
        <v>#N/A</v>
      </c>
      <c r="Y452" s="29" t="s">
        <v>1362</v>
      </c>
      <c r="Z452" t="s">
        <v>16</v>
      </c>
      <c r="AA452" t="s">
        <v>17</v>
      </c>
      <c r="AB452" t="s">
        <v>12</v>
      </c>
      <c r="AC452" t="s">
        <v>8</v>
      </c>
      <c r="AD452" t="s">
        <v>18</v>
      </c>
      <c r="AE452" t="s">
        <v>624</v>
      </c>
      <c r="AF452" t="s">
        <v>12</v>
      </c>
      <c r="AG452" t="s">
        <v>12</v>
      </c>
      <c r="AH452" t="s">
        <v>12</v>
      </c>
      <c r="AI452" s="2">
        <v>45722</v>
      </c>
      <c r="AJ452" s="2"/>
      <c r="AK452" t="s">
        <v>12</v>
      </c>
    </row>
    <row r="453" spans="1:37" outlineLevel="2" x14ac:dyDescent="0.25">
      <c r="A453" t="s">
        <v>129</v>
      </c>
      <c r="B453" t="s">
        <v>1</v>
      </c>
      <c r="C453" t="s">
        <v>2</v>
      </c>
      <c r="D453" t="s">
        <v>3</v>
      </c>
      <c r="E453" t="s">
        <v>4</v>
      </c>
      <c r="F453" t="s">
        <v>243</v>
      </c>
      <c r="G453" s="2">
        <v>45722</v>
      </c>
      <c r="H453" t="s">
        <v>1237</v>
      </c>
      <c r="I453" t="s">
        <v>22</v>
      </c>
      <c r="J453" s="2">
        <v>45722</v>
      </c>
      <c r="K453" s="2">
        <v>45723</v>
      </c>
      <c r="L453" t="s">
        <v>8</v>
      </c>
      <c r="M453" s="26">
        <v>246779411250</v>
      </c>
      <c r="N453" t="s">
        <v>10</v>
      </c>
      <c r="O453" t="s">
        <v>11</v>
      </c>
      <c r="P453" t="s">
        <v>12</v>
      </c>
      <c r="Q453" t="s">
        <v>24</v>
      </c>
      <c r="R453" t="s">
        <v>14</v>
      </c>
      <c r="S453" s="3">
        <v>19.7</v>
      </c>
      <c r="T453" t="s">
        <v>15</v>
      </c>
      <c r="U453" s="3">
        <v>1707.82</v>
      </c>
      <c r="V453" s="3" t="e">
        <f>VLOOKUP(M453,'[1]Query Report'!$A:$E,5,0)</f>
        <v>#N/A</v>
      </c>
      <c r="W453" s="3" t="e">
        <f t="shared" si="33"/>
        <v>#N/A</v>
      </c>
      <c r="X453" s="29" t="e">
        <f t="shared" si="32"/>
        <v>#N/A</v>
      </c>
      <c r="Y453" s="29" t="s">
        <v>1362</v>
      </c>
      <c r="Z453" t="s">
        <v>16</v>
      </c>
      <c r="AA453" t="s">
        <v>17</v>
      </c>
      <c r="AB453" t="s">
        <v>12</v>
      </c>
      <c r="AC453" t="s">
        <v>8</v>
      </c>
      <c r="AD453" t="s">
        <v>18</v>
      </c>
      <c r="AE453" t="s">
        <v>624</v>
      </c>
      <c r="AF453" t="s">
        <v>12</v>
      </c>
      <c r="AG453" t="s">
        <v>12</v>
      </c>
      <c r="AH453" t="s">
        <v>12</v>
      </c>
      <c r="AI453" s="2">
        <v>45722</v>
      </c>
      <c r="AJ453" s="2"/>
      <c r="AK453" t="s">
        <v>12</v>
      </c>
    </row>
    <row r="454" spans="1:37" outlineLevel="2" x14ac:dyDescent="0.25">
      <c r="A454" t="s">
        <v>129</v>
      </c>
      <c r="B454" t="s">
        <v>1</v>
      </c>
      <c r="C454" t="s">
        <v>2</v>
      </c>
      <c r="D454" t="s">
        <v>3</v>
      </c>
      <c r="E454" t="s">
        <v>4</v>
      </c>
      <c r="F454" t="s">
        <v>243</v>
      </c>
      <c r="G454" s="2">
        <v>45719</v>
      </c>
      <c r="H454" t="s">
        <v>1239</v>
      </c>
      <c r="I454" t="s">
        <v>22</v>
      </c>
      <c r="J454" s="2">
        <v>45719</v>
      </c>
      <c r="K454" s="2">
        <v>45719</v>
      </c>
      <c r="L454" t="s">
        <v>8</v>
      </c>
      <c r="M454" s="26">
        <v>246779410379</v>
      </c>
      <c r="N454" t="s">
        <v>10</v>
      </c>
      <c r="O454" t="s">
        <v>11</v>
      </c>
      <c r="P454" t="s">
        <v>12</v>
      </c>
      <c r="Q454" t="s">
        <v>24</v>
      </c>
      <c r="R454" t="s">
        <v>14</v>
      </c>
      <c r="S454" s="3">
        <v>5862.04</v>
      </c>
      <c r="T454" t="s">
        <v>15</v>
      </c>
      <c r="U454" s="3">
        <v>508187.63</v>
      </c>
      <c r="V454" s="3" t="e">
        <f>VLOOKUP(M454,'[1]Query Report'!$A:$E,5,0)</f>
        <v>#N/A</v>
      </c>
      <c r="W454" s="3" t="e">
        <f t="shared" si="33"/>
        <v>#N/A</v>
      </c>
      <c r="X454" s="29" t="e">
        <f t="shared" si="32"/>
        <v>#N/A</v>
      </c>
      <c r="Y454" s="29" t="s">
        <v>1363</v>
      </c>
      <c r="Z454" t="s">
        <v>16</v>
      </c>
      <c r="AA454" t="s">
        <v>17</v>
      </c>
      <c r="AB454" t="s">
        <v>12</v>
      </c>
      <c r="AC454" t="s">
        <v>8</v>
      </c>
      <c r="AD454" t="s">
        <v>18</v>
      </c>
      <c r="AE454" t="s">
        <v>1241</v>
      </c>
      <c r="AF454" t="s">
        <v>12</v>
      </c>
      <c r="AG454" t="s">
        <v>12</v>
      </c>
      <c r="AH454" t="s">
        <v>12</v>
      </c>
      <c r="AI454" s="2">
        <v>45719</v>
      </c>
      <c r="AJ454" s="2"/>
      <c r="AK454" t="s">
        <v>12</v>
      </c>
    </row>
    <row r="455" spans="1:37" outlineLevel="2" x14ac:dyDescent="0.25">
      <c r="A455" t="s">
        <v>129</v>
      </c>
      <c r="B455" t="s">
        <v>1</v>
      </c>
      <c r="C455" t="s">
        <v>2</v>
      </c>
      <c r="D455" t="s">
        <v>3</v>
      </c>
      <c r="E455" t="s">
        <v>4</v>
      </c>
      <c r="F455" t="s">
        <v>243</v>
      </c>
      <c r="G455" s="2">
        <v>45719</v>
      </c>
      <c r="H455" t="s">
        <v>1242</v>
      </c>
      <c r="I455" t="s">
        <v>22</v>
      </c>
      <c r="J455" s="2">
        <v>45719</v>
      </c>
      <c r="K455" s="2">
        <v>45719</v>
      </c>
      <c r="L455" t="s">
        <v>8</v>
      </c>
      <c r="M455" s="26">
        <v>246779410504</v>
      </c>
      <c r="N455" t="s">
        <v>10</v>
      </c>
      <c r="O455" t="s">
        <v>11</v>
      </c>
      <c r="P455" t="s">
        <v>12</v>
      </c>
      <c r="Q455" t="s">
        <v>24</v>
      </c>
      <c r="R455" t="s">
        <v>14</v>
      </c>
      <c r="S455" s="3">
        <v>2.35</v>
      </c>
      <c r="T455" t="s">
        <v>15</v>
      </c>
      <c r="U455" s="3">
        <v>203.72</v>
      </c>
      <c r="V455" s="3" t="e">
        <f>VLOOKUP(M455,'[1]Query Report'!$A:$E,5,0)</f>
        <v>#N/A</v>
      </c>
      <c r="W455" s="3" t="e">
        <f t="shared" si="33"/>
        <v>#N/A</v>
      </c>
      <c r="X455" s="29" t="e">
        <f t="shared" si="32"/>
        <v>#N/A</v>
      </c>
      <c r="Y455" s="29" t="s">
        <v>1363</v>
      </c>
      <c r="Z455" t="s">
        <v>16</v>
      </c>
      <c r="AA455" t="s">
        <v>17</v>
      </c>
      <c r="AB455" t="s">
        <v>12</v>
      </c>
      <c r="AC455" t="s">
        <v>8</v>
      </c>
      <c r="AD455" t="s">
        <v>18</v>
      </c>
      <c r="AE455" t="s">
        <v>1244</v>
      </c>
      <c r="AF455" t="s">
        <v>12</v>
      </c>
      <c r="AG455" t="s">
        <v>12</v>
      </c>
      <c r="AH455" t="s">
        <v>12</v>
      </c>
      <c r="AI455" s="2">
        <v>45719</v>
      </c>
      <c r="AJ455" s="2"/>
      <c r="AK455" t="s">
        <v>12</v>
      </c>
    </row>
    <row r="456" spans="1:37" outlineLevel="2" x14ac:dyDescent="0.25">
      <c r="A456" t="s">
        <v>129</v>
      </c>
      <c r="B456" t="s">
        <v>1</v>
      </c>
      <c r="C456" t="s">
        <v>2</v>
      </c>
      <c r="D456" t="s">
        <v>3</v>
      </c>
      <c r="E456" t="s">
        <v>4</v>
      </c>
      <c r="F456" t="s">
        <v>243</v>
      </c>
      <c r="G456" s="2">
        <v>45719</v>
      </c>
      <c r="H456" t="s">
        <v>1245</v>
      </c>
      <c r="I456" t="s">
        <v>22</v>
      </c>
      <c r="J456" s="2">
        <v>45719</v>
      </c>
      <c r="K456" s="2">
        <v>45719</v>
      </c>
      <c r="L456" t="s">
        <v>8</v>
      </c>
      <c r="M456" s="26">
        <v>246779410404</v>
      </c>
      <c r="N456" t="s">
        <v>10</v>
      </c>
      <c r="O456" t="s">
        <v>11</v>
      </c>
      <c r="P456" t="s">
        <v>12</v>
      </c>
      <c r="Q456" t="s">
        <v>24</v>
      </c>
      <c r="R456" t="s">
        <v>14</v>
      </c>
      <c r="S456" s="3">
        <v>7394.09</v>
      </c>
      <c r="T456" t="s">
        <v>15</v>
      </c>
      <c r="U456" s="3">
        <v>641002.98</v>
      </c>
      <c r="V456" s="3" t="e">
        <f>VLOOKUP(M456,'[1]Query Report'!$A:$E,5,0)</f>
        <v>#N/A</v>
      </c>
      <c r="W456" s="3" t="e">
        <f t="shared" si="33"/>
        <v>#N/A</v>
      </c>
      <c r="X456" s="29" t="e">
        <f t="shared" si="32"/>
        <v>#N/A</v>
      </c>
      <c r="Y456" s="29" t="s">
        <v>1363</v>
      </c>
      <c r="Z456" t="s">
        <v>16</v>
      </c>
      <c r="AA456" t="s">
        <v>17</v>
      </c>
      <c r="AB456" t="s">
        <v>12</v>
      </c>
      <c r="AC456" t="s">
        <v>8</v>
      </c>
      <c r="AD456" t="s">
        <v>18</v>
      </c>
      <c r="AE456" t="s">
        <v>1247</v>
      </c>
      <c r="AF456" t="s">
        <v>12</v>
      </c>
      <c r="AG456" t="s">
        <v>12</v>
      </c>
      <c r="AH456" t="s">
        <v>12</v>
      </c>
      <c r="AI456" s="2">
        <v>45719</v>
      </c>
      <c r="AJ456" s="2"/>
      <c r="AK456" t="s">
        <v>12</v>
      </c>
    </row>
    <row r="457" spans="1:37" outlineLevel="2" x14ac:dyDescent="0.25">
      <c r="A457" t="s">
        <v>129</v>
      </c>
      <c r="B457" t="s">
        <v>1</v>
      </c>
      <c r="C457" t="s">
        <v>2</v>
      </c>
      <c r="D457" t="s">
        <v>3</v>
      </c>
      <c r="E457" t="s">
        <v>4</v>
      </c>
      <c r="F457" t="s">
        <v>243</v>
      </c>
      <c r="G457" s="2">
        <v>45719</v>
      </c>
      <c r="H457" t="s">
        <v>1248</v>
      </c>
      <c r="I457" t="s">
        <v>22</v>
      </c>
      <c r="J457" s="2">
        <v>45719</v>
      </c>
      <c r="K457" s="2">
        <v>45719</v>
      </c>
      <c r="L457" t="s">
        <v>8</v>
      </c>
      <c r="M457" s="26">
        <v>246779410428</v>
      </c>
      <c r="N457" t="s">
        <v>10</v>
      </c>
      <c r="O457" t="s">
        <v>11</v>
      </c>
      <c r="P457" t="s">
        <v>12</v>
      </c>
      <c r="Q457" t="s">
        <v>24</v>
      </c>
      <c r="R457" t="s">
        <v>14</v>
      </c>
      <c r="S457" s="3">
        <v>4332.22</v>
      </c>
      <c r="T457" t="s">
        <v>15</v>
      </c>
      <c r="U457" s="3">
        <v>375565.61</v>
      </c>
      <c r="V457" s="3" t="e">
        <f>VLOOKUP(M457,'[1]Query Report'!$A:$E,5,0)</f>
        <v>#N/A</v>
      </c>
      <c r="W457" s="3" t="e">
        <f t="shared" si="33"/>
        <v>#N/A</v>
      </c>
      <c r="X457" s="29" t="e">
        <f t="shared" si="32"/>
        <v>#N/A</v>
      </c>
      <c r="Y457" s="29" t="s">
        <v>1363</v>
      </c>
      <c r="Z457" t="s">
        <v>16</v>
      </c>
      <c r="AA457" t="s">
        <v>17</v>
      </c>
      <c r="AB457" t="s">
        <v>12</v>
      </c>
      <c r="AC457" t="s">
        <v>8</v>
      </c>
      <c r="AD457" t="s">
        <v>18</v>
      </c>
      <c r="AE457" t="s">
        <v>1250</v>
      </c>
      <c r="AF457" t="s">
        <v>12</v>
      </c>
      <c r="AG457" t="s">
        <v>12</v>
      </c>
      <c r="AH457" t="s">
        <v>12</v>
      </c>
      <c r="AI457" s="2">
        <v>45719</v>
      </c>
      <c r="AJ457" s="2"/>
      <c r="AK457" t="s">
        <v>12</v>
      </c>
    </row>
    <row r="458" spans="1:37" outlineLevel="2" x14ac:dyDescent="0.25">
      <c r="A458" t="s">
        <v>129</v>
      </c>
      <c r="B458" t="s">
        <v>1</v>
      </c>
      <c r="C458" t="s">
        <v>2</v>
      </c>
      <c r="D458" t="s">
        <v>3</v>
      </c>
      <c r="E458" t="s">
        <v>4</v>
      </c>
      <c r="F458" t="s">
        <v>243</v>
      </c>
      <c r="G458" s="2">
        <v>45719</v>
      </c>
      <c r="H458" t="s">
        <v>1251</v>
      </c>
      <c r="I458" t="s">
        <v>22</v>
      </c>
      <c r="J458" s="2">
        <v>45719</v>
      </c>
      <c r="K458" s="2">
        <v>45719</v>
      </c>
      <c r="L458" t="s">
        <v>8</v>
      </c>
      <c r="M458" s="26">
        <v>246779410494</v>
      </c>
      <c r="N458" t="s">
        <v>10</v>
      </c>
      <c r="O458" t="s">
        <v>11</v>
      </c>
      <c r="P458" t="s">
        <v>12</v>
      </c>
      <c r="Q458" t="s">
        <v>24</v>
      </c>
      <c r="R458" t="s">
        <v>14</v>
      </c>
      <c r="S458" s="3">
        <v>2.35</v>
      </c>
      <c r="T458" t="s">
        <v>15</v>
      </c>
      <c r="U458" s="3">
        <v>203.72</v>
      </c>
      <c r="V458" s="3" t="e">
        <f>VLOOKUP(M458,'[1]Query Report'!$A:$E,5,0)</f>
        <v>#N/A</v>
      </c>
      <c r="W458" s="3" t="e">
        <f t="shared" si="33"/>
        <v>#N/A</v>
      </c>
      <c r="X458" s="29" t="e">
        <f t="shared" si="32"/>
        <v>#N/A</v>
      </c>
      <c r="Y458" s="29" t="s">
        <v>1363</v>
      </c>
      <c r="Z458" t="s">
        <v>16</v>
      </c>
      <c r="AA458" t="s">
        <v>17</v>
      </c>
      <c r="AB458" t="s">
        <v>12</v>
      </c>
      <c r="AC458" t="s">
        <v>8</v>
      </c>
      <c r="AD458" t="s">
        <v>18</v>
      </c>
      <c r="AE458" t="s">
        <v>1244</v>
      </c>
      <c r="AF458" t="s">
        <v>12</v>
      </c>
      <c r="AG458" t="s">
        <v>12</v>
      </c>
      <c r="AH458" t="s">
        <v>12</v>
      </c>
      <c r="AI458" s="2">
        <v>45719</v>
      </c>
      <c r="AJ458" s="2"/>
      <c r="AK458" t="s">
        <v>12</v>
      </c>
    </row>
    <row r="459" spans="1:37" outlineLevel="2" x14ac:dyDescent="0.25">
      <c r="A459" t="s">
        <v>129</v>
      </c>
      <c r="B459" t="s">
        <v>1</v>
      </c>
      <c r="C459" t="s">
        <v>2</v>
      </c>
      <c r="D459" t="s">
        <v>3</v>
      </c>
      <c r="E459" t="s">
        <v>4</v>
      </c>
      <c r="F459" t="s">
        <v>243</v>
      </c>
      <c r="G459" s="2">
        <v>45719</v>
      </c>
      <c r="H459" t="s">
        <v>1253</v>
      </c>
      <c r="I459" t="s">
        <v>22</v>
      </c>
      <c r="J459" s="2">
        <v>45719</v>
      </c>
      <c r="K459" s="2">
        <v>45719</v>
      </c>
      <c r="L459" t="s">
        <v>8</v>
      </c>
      <c r="M459" s="26">
        <v>246779410495</v>
      </c>
      <c r="N459" t="s">
        <v>10</v>
      </c>
      <c r="O459" t="s">
        <v>11</v>
      </c>
      <c r="P459" t="s">
        <v>12</v>
      </c>
      <c r="Q459" t="s">
        <v>24</v>
      </c>
      <c r="R459" t="s">
        <v>14</v>
      </c>
      <c r="S459" s="3">
        <v>23.5</v>
      </c>
      <c r="T459" t="s">
        <v>15</v>
      </c>
      <c r="U459" s="3">
        <v>2037.24</v>
      </c>
      <c r="V459" s="3" t="e">
        <f>VLOOKUP(M459,'[1]Query Report'!$A:$E,5,0)</f>
        <v>#N/A</v>
      </c>
      <c r="W459" s="3" t="e">
        <f t="shared" si="33"/>
        <v>#N/A</v>
      </c>
      <c r="X459" s="29" t="e">
        <f t="shared" si="32"/>
        <v>#N/A</v>
      </c>
      <c r="Y459" s="29" t="s">
        <v>1363</v>
      </c>
      <c r="Z459" t="s">
        <v>16</v>
      </c>
      <c r="AA459" t="s">
        <v>17</v>
      </c>
      <c r="AB459" t="s">
        <v>12</v>
      </c>
      <c r="AC459" t="s">
        <v>8</v>
      </c>
      <c r="AD459" t="s">
        <v>18</v>
      </c>
      <c r="AE459" t="s">
        <v>1244</v>
      </c>
      <c r="AF459" t="s">
        <v>12</v>
      </c>
      <c r="AG459" t="s">
        <v>12</v>
      </c>
      <c r="AH459" t="s">
        <v>12</v>
      </c>
      <c r="AI459" s="2">
        <v>45719</v>
      </c>
      <c r="AJ459" s="2"/>
      <c r="AK459" t="s">
        <v>12</v>
      </c>
    </row>
    <row r="460" spans="1:37" outlineLevel="2" x14ac:dyDescent="0.25">
      <c r="A460" t="s">
        <v>129</v>
      </c>
      <c r="B460" t="s">
        <v>1</v>
      </c>
      <c r="C460" t="s">
        <v>2</v>
      </c>
      <c r="D460" t="s">
        <v>3</v>
      </c>
      <c r="E460" t="s">
        <v>4</v>
      </c>
      <c r="F460" t="s">
        <v>243</v>
      </c>
      <c r="G460" s="2">
        <v>45719</v>
      </c>
      <c r="H460" t="s">
        <v>1255</v>
      </c>
      <c r="I460" t="s">
        <v>22</v>
      </c>
      <c r="J460" s="2">
        <v>45719</v>
      </c>
      <c r="K460" s="2">
        <v>45719</v>
      </c>
      <c r="L460" t="s">
        <v>8</v>
      </c>
      <c r="M460" s="26">
        <v>246779410496</v>
      </c>
      <c r="N460" t="s">
        <v>10</v>
      </c>
      <c r="O460" t="s">
        <v>11</v>
      </c>
      <c r="P460" t="s">
        <v>12</v>
      </c>
      <c r="Q460" t="s">
        <v>24</v>
      </c>
      <c r="R460" t="s">
        <v>14</v>
      </c>
      <c r="S460" s="3">
        <v>2.35</v>
      </c>
      <c r="T460" t="s">
        <v>15</v>
      </c>
      <c r="U460" s="3">
        <v>203.72</v>
      </c>
      <c r="V460" s="3" t="e">
        <f>VLOOKUP(M460,'[1]Query Report'!$A:$E,5,0)</f>
        <v>#N/A</v>
      </c>
      <c r="W460" s="3" t="e">
        <f t="shared" si="33"/>
        <v>#N/A</v>
      </c>
      <c r="X460" s="29" t="e">
        <f t="shared" si="32"/>
        <v>#N/A</v>
      </c>
      <c r="Y460" s="29" t="s">
        <v>1363</v>
      </c>
      <c r="Z460" t="s">
        <v>16</v>
      </c>
      <c r="AA460" t="s">
        <v>17</v>
      </c>
      <c r="AB460" t="s">
        <v>12</v>
      </c>
      <c r="AC460" t="s">
        <v>8</v>
      </c>
      <c r="AD460" t="s">
        <v>18</v>
      </c>
      <c r="AE460" t="s">
        <v>1244</v>
      </c>
      <c r="AF460" t="s">
        <v>12</v>
      </c>
      <c r="AG460" t="s">
        <v>12</v>
      </c>
      <c r="AH460" t="s">
        <v>12</v>
      </c>
      <c r="AI460" s="2">
        <v>45719</v>
      </c>
      <c r="AJ460" s="2"/>
      <c r="AK460" t="s">
        <v>12</v>
      </c>
    </row>
    <row r="461" spans="1:37" outlineLevel="2" x14ac:dyDescent="0.25">
      <c r="A461" t="s">
        <v>129</v>
      </c>
      <c r="B461" t="s">
        <v>1</v>
      </c>
      <c r="C461" t="s">
        <v>2</v>
      </c>
      <c r="D461" t="s">
        <v>3</v>
      </c>
      <c r="E461" t="s">
        <v>4</v>
      </c>
      <c r="F461" t="s">
        <v>243</v>
      </c>
      <c r="G461" s="2">
        <v>45719</v>
      </c>
      <c r="H461" t="s">
        <v>1257</v>
      </c>
      <c r="I461" t="s">
        <v>22</v>
      </c>
      <c r="J461" s="2">
        <v>45719</v>
      </c>
      <c r="K461" s="2">
        <v>45719</v>
      </c>
      <c r="L461" t="s">
        <v>8</v>
      </c>
      <c r="M461" s="26">
        <v>246779410497</v>
      </c>
      <c r="N461" t="s">
        <v>10</v>
      </c>
      <c r="O461" t="s">
        <v>11</v>
      </c>
      <c r="P461" t="s">
        <v>12</v>
      </c>
      <c r="Q461" t="s">
        <v>24</v>
      </c>
      <c r="R461" t="s">
        <v>14</v>
      </c>
      <c r="S461" s="3">
        <v>2.35</v>
      </c>
      <c r="T461" t="s">
        <v>15</v>
      </c>
      <c r="U461" s="3">
        <v>203.72</v>
      </c>
      <c r="V461" s="3" t="e">
        <f>VLOOKUP(M461,'[1]Query Report'!$A:$E,5,0)</f>
        <v>#N/A</v>
      </c>
      <c r="W461" s="3" t="e">
        <f t="shared" si="33"/>
        <v>#N/A</v>
      </c>
      <c r="X461" s="29" t="e">
        <f t="shared" si="32"/>
        <v>#N/A</v>
      </c>
      <c r="Y461" s="29" t="s">
        <v>1363</v>
      </c>
      <c r="Z461" t="s">
        <v>16</v>
      </c>
      <c r="AA461" t="s">
        <v>17</v>
      </c>
      <c r="AB461" t="s">
        <v>12</v>
      </c>
      <c r="AC461" t="s">
        <v>8</v>
      </c>
      <c r="AD461" t="s">
        <v>18</v>
      </c>
      <c r="AE461" t="s">
        <v>1244</v>
      </c>
      <c r="AF461" t="s">
        <v>12</v>
      </c>
      <c r="AG461" t="s">
        <v>12</v>
      </c>
      <c r="AH461" t="s">
        <v>12</v>
      </c>
      <c r="AI461" s="2">
        <v>45719</v>
      </c>
      <c r="AJ461" s="2"/>
      <c r="AK461" t="s">
        <v>12</v>
      </c>
    </row>
    <row r="462" spans="1:37" outlineLevel="2" x14ac:dyDescent="0.25">
      <c r="A462" t="s">
        <v>129</v>
      </c>
      <c r="B462" t="s">
        <v>1</v>
      </c>
      <c r="C462" t="s">
        <v>2</v>
      </c>
      <c r="D462" t="s">
        <v>3</v>
      </c>
      <c r="E462" t="s">
        <v>4</v>
      </c>
      <c r="F462" t="s">
        <v>243</v>
      </c>
      <c r="G462" s="2">
        <v>45719</v>
      </c>
      <c r="H462" t="s">
        <v>1259</v>
      </c>
      <c r="I462" t="s">
        <v>22</v>
      </c>
      <c r="J462" s="2">
        <v>45719</v>
      </c>
      <c r="K462" s="2">
        <v>45719</v>
      </c>
      <c r="L462" t="s">
        <v>8</v>
      </c>
      <c r="M462" s="26">
        <v>246779410498</v>
      </c>
      <c r="N462" t="s">
        <v>10</v>
      </c>
      <c r="O462" t="s">
        <v>11</v>
      </c>
      <c r="P462" t="s">
        <v>12</v>
      </c>
      <c r="Q462" t="s">
        <v>24</v>
      </c>
      <c r="R462" t="s">
        <v>14</v>
      </c>
      <c r="S462" s="3">
        <v>2.35</v>
      </c>
      <c r="T462" t="s">
        <v>15</v>
      </c>
      <c r="U462" s="3">
        <v>203.72</v>
      </c>
      <c r="V462" s="3" t="e">
        <f>VLOOKUP(M462,'[1]Query Report'!$A:$E,5,0)</f>
        <v>#N/A</v>
      </c>
      <c r="W462" s="3" t="e">
        <f t="shared" si="33"/>
        <v>#N/A</v>
      </c>
      <c r="X462" s="29" t="e">
        <f t="shared" si="32"/>
        <v>#N/A</v>
      </c>
      <c r="Y462" s="29" t="s">
        <v>1363</v>
      </c>
      <c r="Z462" t="s">
        <v>16</v>
      </c>
      <c r="AA462" t="s">
        <v>17</v>
      </c>
      <c r="AB462" t="s">
        <v>12</v>
      </c>
      <c r="AC462" t="s">
        <v>8</v>
      </c>
      <c r="AD462" t="s">
        <v>18</v>
      </c>
      <c r="AE462" t="s">
        <v>1244</v>
      </c>
      <c r="AF462" t="s">
        <v>12</v>
      </c>
      <c r="AG462" t="s">
        <v>12</v>
      </c>
      <c r="AH462" t="s">
        <v>12</v>
      </c>
      <c r="AI462" s="2">
        <v>45719</v>
      </c>
      <c r="AJ462" s="2"/>
      <c r="AK462" t="s">
        <v>12</v>
      </c>
    </row>
    <row r="463" spans="1:37" outlineLevel="2" x14ac:dyDescent="0.25">
      <c r="A463" t="s">
        <v>129</v>
      </c>
      <c r="B463" t="s">
        <v>1</v>
      </c>
      <c r="C463" t="s">
        <v>2</v>
      </c>
      <c r="D463" t="s">
        <v>3</v>
      </c>
      <c r="E463" t="s">
        <v>4</v>
      </c>
      <c r="F463" t="s">
        <v>243</v>
      </c>
      <c r="G463" s="2">
        <v>45719</v>
      </c>
      <c r="H463" t="s">
        <v>1261</v>
      </c>
      <c r="I463" t="s">
        <v>22</v>
      </c>
      <c r="J463" s="2">
        <v>45719</v>
      </c>
      <c r="K463" s="2">
        <v>45719</v>
      </c>
      <c r="L463" t="s">
        <v>8</v>
      </c>
      <c r="M463" s="26">
        <v>246779410499</v>
      </c>
      <c r="N463" t="s">
        <v>10</v>
      </c>
      <c r="O463" t="s">
        <v>11</v>
      </c>
      <c r="P463" t="s">
        <v>12</v>
      </c>
      <c r="Q463" t="s">
        <v>24</v>
      </c>
      <c r="R463" t="s">
        <v>14</v>
      </c>
      <c r="S463" s="3">
        <v>9.4</v>
      </c>
      <c r="T463" t="s">
        <v>15</v>
      </c>
      <c r="U463" s="3">
        <v>814.9</v>
      </c>
      <c r="V463" s="3" t="e">
        <f>VLOOKUP(M463,'[1]Query Report'!$A:$E,5,0)</f>
        <v>#N/A</v>
      </c>
      <c r="W463" s="3" t="e">
        <f t="shared" si="33"/>
        <v>#N/A</v>
      </c>
      <c r="X463" s="29" t="e">
        <f t="shared" si="32"/>
        <v>#N/A</v>
      </c>
      <c r="Y463" s="29" t="s">
        <v>1363</v>
      </c>
      <c r="Z463" t="s">
        <v>16</v>
      </c>
      <c r="AA463" t="s">
        <v>17</v>
      </c>
      <c r="AB463" t="s">
        <v>12</v>
      </c>
      <c r="AC463" t="s">
        <v>8</v>
      </c>
      <c r="AD463" t="s">
        <v>18</v>
      </c>
      <c r="AE463" t="s">
        <v>1244</v>
      </c>
      <c r="AF463" t="s">
        <v>12</v>
      </c>
      <c r="AG463" t="s">
        <v>12</v>
      </c>
      <c r="AH463" t="s">
        <v>12</v>
      </c>
      <c r="AI463" s="2">
        <v>45719</v>
      </c>
      <c r="AJ463" s="2"/>
      <c r="AK463" t="s">
        <v>12</v>
      </c>
    </row>
    <row r="464" spans="1:37" outlineLevel="2" x14ac:dyDescent="0.25">
      <c r="A464" t="s">
        <v>129</v>
      </c>
      <c r="B464" t="s">
        <v>1</v>
      </c>
      <c r="C464" t="s">
        <v>2</v>
      </c>
      <c r="D464" t="s">
        <v>3</v>
      </c>
      <c r="E464" t="s">
        <v>4</v>
      </c>
      <c r="F464" t="s">
        <v>243</v>
      </c>
      <c r="G464" s="2">
        <v>45719</v>
      </c>
      <c r="H464" t="s">
        <v>1263</v>
      </c>
      <c r="I464" t="s">
        <v>22</v>
      </c>
      <c r="J464" s="2">
        <v>45719</v>
      </c>
      <c r="K464" s="2">
        <v>45719</v>
      </c>
      <c r="L464" t="s">
        <v>8</v>
      </c>
      <c r="M464" s="26">
        <v>246779410500</v>
      </c>
      <c r="N464" t="s">
        <v>10</v>
      </c>
      <c r="O464" t="s">
        <v>11</v>
      </c>
      <c r="P464" t="s">
        <v>12</v>
      </c>
      <c r="Q464" t="s">
        <v>24</v>
      </c>
      <c r="R464" t="s">
        <v>14</v>
      </c>
      <c r="S464" s="3">
        <v>2.35</v>
      </c>
      <c r="T464" t="s">
        <v>15</v>
      </c>
      <c r="U464" s="3">
        <v>203.72</v>
      </c>
      <c r="V464" s="3" t="e">
        <f>VLOOKUP(M464,'[1]Query Report'!$A:$E,5,0)</f>
        <v>#N/A</v>
      </c>
      <c r="W464" s="3" t="e">
        <f t="shared" si="33"/>
        <v>#N/A</v>
      </c>
      <c r="X464" s="29" t="e">
        <f t="shared" si="32"/>
        <v>#N/A</v>
      </c>
      <c r="Y464" s="29" t="s">
        <v>1363</v>
      </c>
      <c r="Z464" t="s">
        <v>16</v>
      </c>
      <c r="AA464" t="s">
        <v>17</v>
      </c>
      <c r="AB464" t="s">
        <v>12</v>
      </c>
      <c r="AC464" t="s">
        <v>8</v>
      </c>
      <c r="AD464" t="s">
        <v>18</v>
      </c>
      <c r="AE464" t="s">
        <v>1244</v>
      </c>
      <c r="AF464" t="s">
        <v>12</v>
      </c>
      <c r="AG464" t="s">
        <v>12</v>
      </c>
      <c r="AH464" t="s">
        <v>12</v>
      </c>
      <c r="AI464" s="2">
        <v>45719</v>
      </c>
      <c r="AJ464" s="2"/>
      <c r="AK464" t="s">
        <v>12</v>
      </c>
    </row>
    <row r="465" spans="1:37" outlineLevel="2" x14ac:dyDescent="0.25">
      <c r="A465" t="s">
        <v>129</v>
      </c>
      <c r="B465" t="s">
        <v>1</v>
      </c>
      <c r="C465" t="s">
        <v>2</v>
      </c>
      <c r="D465" t="s">
        <v>3</v>
      </c>
      <c r="E465" t="s">
        <v>4</v>
      </c>
      <c r="F465" t="s">
        <v>243</v>
      </c>
      <c r="G465" s="2">
        <v>45719</v>
      </c>
      <c r="H465" t="s">
        <v>1265</v>
      </c>
      <c r="I465" t="s">
        <v>22</v>
      </c>
      <c r="J465" s="2">
        <v>45719</v>
      </c>
      <c r="K465" s="2">
        <v>45719</v>
      </c>
      <c r="L465" t="s">
        <v>8</v>
      </c>
      <c r="M465" s="26">
        <v>246779410501</v>
      </c>
      <c r="N465" t="s">
        <v>10</v>
      </c>
      <c r="O465" t="s">
        <v>11</v>
      </c>
      <c r="P465" t="s">
        <v>12</v>
      </c>
      <c r="Q465" t="s">
        <v>24</v>
      </c>
      <c r="R465" t="s">
        <v>14</v>
      </c>
      <c r="S465" s="3">
        <v>18.8</v>
      </c>
      <c r="T465" t="s">
        <v>15</v>
      </c>
      <c r="U465" s="3">
        <v>1629.8</v>
      </c>
      <c r="V465" s="3" t="e">
        <f>VLOOKUP(M465,'[1]Query Report'!$A:$E,5,0)</f>
        <v>#N/A</v>
      </c>
      <c r="W465" s="3" t="e">
        <f t="shared" si="33"/>
        <v>#N/A</v>
      </c>
      <c r="X465" s="29" t="e">
        <f t="shared" si="32"/>
        <v>#N/A</v>
      </c>
      <c r="Y465" s="29" t="s">
        <v>1363</v>
      </c>
      <c r="Z465" t="s">
        <v>16</v>
      </c>
      <c r="AA465" t="s">
        <v>17</v>
      </c>
      <c r="AB465" t="s">
        <v>12</v>
      </c>
      <c r="AC465" t="s">
        <v>8</v>
      </c>
      <c r="AD465" t="s">
        <v>18</v>
      </c>
      <c r="AE465" t="s">
        <v>1244</v>
      </c>
      <c r="AF465" t="s">
        <v>12</v>
      </c>
      <c r="AG465" t="s">
        <v>12</v>
      </c>
      <c r="AH465" t="s">
        <v>12</v>
      </c>
      <c r="AI465" s="2">
        <v>45719</v>
      </c>
      <c r="AJ465" s="2"/>
      <c r="AK465" t="s">
        <v>12</v>
      </c>
    </row>
    <row r="466" spans="1:37" outlineLevel="2" x14ac:dyDescent="0.25">
      <c r="A466" t="s">
        <v>129</v>
      </c>
      <c r="B466" t="s">
        <v>1</v>
      </c>
      <c r="C466" t="s">
        <v>2</v>
      </c>
      <c r="D466" t="s">
        <v>3</v>
      </c>
      <c r="E466" t="s">
        <v>4</v>
      </c>
      <c r="F466" t="s">
        <v>243</v>
      </c>
      <c r="G466" s="2">
        <v>45719</v>
      </c>
      <c r="H466" t="s">
        <v>1267</v>
      </c>
      <c r="I466" t="s">
        <v>22</v>
      </c>
      <c r="J466" s="2">
        <v>45719</v>
      </c>
      <c r="K466" s="2">
        <v>45719</v>
      </c>
      <c r="L466" t="s">
        <v>8</v>
      </c>
      <c r="M466" s="26">
        <v>246779410502</v>
      </c>
      <c r="N466" t="s">
        <v>10</v>
      </c>
      <c r="O466" t="s">
        <v>11</v>
      </c>
      <c r="P466" t="s">
        <v>12</v>
      </c>
      <c r="Q466" t="s">
        <v>24</v>
      </c>
      <c r="R466" t="s">
        <v>14</v>
      </c>
      <c r="S466" s="3">
        <v>23.5</v>
      </c>
      <c r="T466" t="s">
        <v>15</v>
      </c>
      <c r="U466" s="3">
        <v>2037.24</v>
      </c>
      <c r="V466" s="3" t="e">
        <f>VLOOKUP(M466,'[1]Query Report'!$A:$E,5,0)</f>
        <v>#N/A</v>
      </c>
      <c r="W466" s="3" t="e">
        <f t="shared" si="33"/>
        <v>#N/A</v>
      </c>
      <c r="X466" s="29" t="e">
        <f t="shared" si="32"/>
        <v>#N/A</v>
      </c>
      <c r="Y466" s="29" t="s">
        <v>1363</v>
      </c>
      <c r="Z466" t="s">
        <v>16</v>
      </c>
      <c r="AA466" t="s">
        <v>17</v>
      </c>
      <c r="AB466" t="s">
        <v>12</v>
      </c>
      <c r="AC466" t="s">
        <v>8</v>
      </c>
      <c r="AD466" t="s">
        <v>18</v>
      </c>
      <c r="AE466" t="s">
        <v>1244</v>
      </c>
      <c r="AF466" t="s">
        <v>12</v>
      </c>
      <c r="AG466" t="s">
        <v>12</v>
      </c>
      <c r="AH466" t="s">
        <v>12</v>
      </c>
      <c r="AI466" s="2">
        <v>45719</v>
      </c>
      <c r="AJ466" s="2"/>
      <c r="AK466" t="s">
        <v>12</v>
      </c>
    </row>
    <row r="467" spans="1:37" outlineLevel="2" x14ac:dyDescent="0.25">
      <c r="A467" t="s">
        <v>129</v>
      </c>
      <c r="B467" t="s">
        <v>1</v>
      </c>
      <c r="C467" t="s">
        <v>2</v>
      </c>
      <c r="D467" t="s">
        <v>3</v>
      </c>
      <c r="E467" t="s">
        <v>4</v>
      </c>
      <c r="F467" t="s">
        <v>243</v>
      </c>
      <c r="G467" s="2">
        <v>45719</v>
      </c>
      <c r="H467" t="s">
        <v>1269</v>
      </c>
      <c r="I467" t="s">
        <v>22</v>
      </c>
      <c r="J467" s="2">
        <v>45719</v>
      </c>
      <c r="K467" s="2">
        <v>45719</v>
      </c>
      <c r="L467" t="s">
        <v>8</v>
      </c>
      <c r="M467" s="26">
        <v>246779410503</v>
      </c>
      <c r="N467" t="s">
        <v>10</v>
      </c>
      <c r="O467" t="s">
        <v>11</v>
      </c>
      <c r="P467" t="s">
        <v>12</v>
      </c>
      <c r="Q467" t="s">
        <v>24</v>
      </c>
      <c r="R467" t="s">
        <v>14</v>
      </c>
      <c r="S467" s="3">
        <v>9.4</v>
      </c>
      <c r="T467" t="s">
        <v>15</v>
      </c>
      <c r="U467" s="3">
        <v>814.9</v>
      </c>
      <c r="V467" s="3" t="e">
        <f>VLOOKUP(M467,'[1]Query Report'!$A:$E,5,0)</f>
        <v>#N/A</v>
      </c>
      <c r="W467" s="3" t="e">
        <f t="shared" si="33"/>
        <v>#N/A</v>
      </c>
      <c r="X467" s="29" t="e">
        <f t="shared" si="32"/>
        <v>#N/A</v>
      </c>
      <c r="Y467" s="29" t="s">
        <v>1362</v>
      </c>
      <c r="Z467" t="s">
        <v>16</v>
      </c>
      <c r="AA467" t="s">
        <v>17</v>
      </c>
      <c r="AB467" t="s">
        <v>12</v>
      </c>
      <c r="AC467" t="s">
        <v>8</v>
      </c>
      <c r="AD467" t="s">
        <v>18</v>
      </c>
      <c r="AE467" t="s">
        <v>1244</v>
      </c>
      <c r="AF467" t="s">
        <v>12</v>
      </c>
      <c r="AG467" t="s">
        <v>12</v>
      </c>
      <c r="AH467" t="s">
        <v>12</v>
      </c>
      <c r="AI467" s="2">
        <v>45719</v>
      </c>
      <c r="AJ467" s="2"/>
      <c r="AK467" t="s">
        <v>12</v>
      </c>
    </row>
    <row r="468" spans="1:37" outlineLevel="2" x14ac:dyDescent="0.25">
      <c r="A468" t="s">
        <v>129</v>
      </c>
      <c r="B468" t="s">
        <v>1</v>
      </c>
      <c r="C468" t="s">
        <v>2</v>
      </c>
      <c r="D468" t="s">
        <v>3</v>
      </c>
      <c r="E468" t="s">
        <v>4</v>
      </c>
      <c r="F468" t="s">
        <v>243</v>
      </c>
      <c r="G468" s="2">
        <v>45719</v>
      </c>
      <c r="H468" t="s">
        <v>1271</v>
      </c>
      <c r="I468" t="s">
        <v>22</v>
      </c>
      <c r="J468" s="2">
        <v>45719</v>
      </c>
      <c r="K468" s="2">
        <v>45719</v>
      </c>
      <c r="L468" t="s">
        <v>8</v>
      </c>
      <c r="M468" s="26">
        <v>246779410505</v>
      </c>
      <c r="N468" t="s">
        <v>10</v>
      </c>
      <c r="O468" t="s">
        <v>11</v>
      </c>
      <c r="P468" t="s">
        <v>12</v>
      </c>
      <c r="Q468" t="s">
        <v>24</v>
      </c>
      <c r="R468" t="s">
        <v>14</v>
      </c>
      <c r="S468" s="3">
        <v>7.05</v>
      </c>
      <c r="T468" t="s">
        <v>15</v>
      </c>
      <c r="U468" s="3">
        <v>611.16999999999996</v>
      </c>
      <c r="V468" s="3" t="e">
        <f>VLOOKUP(M468,'[1]Query Report'!$A:$E,5,0)</f>
        <v>#N/A</v>
      </c>
      <c r="W468" s="3" t="e">
        <f t="shared" si="33"/>
        <v>#N/A</v>
      </c>
      <c r="X468" s="29" t="e">
        <f t="shared" si="32"/>
        <v>#N/A</v>
      </c>
      <c r="Y468" s="29" t="s">
        <v>1363</v>
      </c>
      <c r="Z468" t="s">
        <v>16</v>
      </c>
      <c r="AA468" t="s">
        <v>17</v>
      </c>
      <c r="AB468" t="s">
        <v>12</v>
      </c>
      <c r="AC468" t="s">
        <v>8</v>
      </c>
      <c r="AD468" t="s">
        <v>18</v>
      </c>
      <c r="AE468" t="s">
        <v>1244</v>
      </c>
      <c r="AF468" t="s">
        <v>12</v>
      </c>
      <c r="AG468" t="s">
        <v>12</v>
      </c>
      <c r="AH468" t="s">
        <v>12</v>
      </c>
      <c r="AI468" s="2">
        <v>45719</v>
      </c>
      <c r="AJ468" s="2"/>
      <c r="AK468" t="s">
        <v>12</v>
      </c>
    </row>
    <row r="469" spans="1:37" outlineLevel="2" x14ac:dyDescent="0.25">
      <c r="A469" t="s">
        <v>129</v>
      </c>
      <c r="B469" t="s">
        <v>1</v>
      </c>
      <c r="C469" t="s">
        <v>2</v>
      </c>
      <c r="D469" t="s">
        <v>3</v>
      </c>
      <c r="E469" t="s">
        <v>4</v>
      </c>
      <c r="F469" t="s">
        <v>243</v>
      </c>
      <c r="G469" s="2">
        <v>45719</v>
      </c>
      <c r="H469" t="s">
        <v>1273</v>
      </c>
      <c r="I469" t="s">
        <v>22</v>
      </c>
      <c r="J469" s="2">
        <v>45719</v>
      </c>
      <c r="K469" s="2">
        <v>45719</v>
      </c>
      <c r="L469" t="s">
        <v>8</v>
      </c>
      <c r="M469" s="26">
        <v>246779410506</v>
      </c>
      <c r="N469" t="s">
        <v>10</v>
      </c>
      <c r="O469" t="s">
        <v>11</v>
      </c>
      <c r="P469" t="s">
        <v>12</v>
      </c>
      <c r="Q469" t="s">
        <v>24</v>
      </c>
      <c r="R469" t="s">
        <v>14</v>
      </c>
      <c r="S469" s="3">
        <v>4.7</v>
      </c>
      <c r="T469" t="s">
        <v>15</v>
      </c>
      <c r="U469" s="3">
        <v>407.45</v>
      </c>
      <c r="V469" s="3" t="e">
        <f>VLOOKUP(M469,'[1]Query Report'!$A:$E,5,0)</f>
        <v>#N/A</v>
      </c>
      <c r="W469" s="3" t="e">
        <f t="shared" si="33"/>
        <v>#N/A</v>
      </c>
      <c r="X469" s="29" t="e">
        <f t="shared" si="32"/>
        <v>#N/A</v>
      </c>
      <c r="Y469" s="29" t="s">
        <v>1363</v>
      </c>
      <c r="Z469" t="s">
        <v>16</v>
      </c>
      <c r="AA469" t="s">
        <v>17</v>
      </c>
      <c r="AB469" t="s">
        <v>12</v>
      </c>
      <c r="AC469" t="s">
        <v>8</v>
      </c>
      <c r="AD469" t="s">
        <v>18</v>
      </c>
      <c r="AE469" t="s">
        <v>1244</v>
      </c>
      <c r="AF469" t="s">
        <v>12</v>
      </c>
      <c r="AG469" t="s">
        <v>12</v>
      </c>
      <c r="AH469" t="s">
        <v>12</v>
      </c>
      <c r="AI469" s="2">
        <v>45719</v>
      </c>
      <c r="AJ469" s="2"/>
      <c r="AK469" t="s">
        <v>12</v>
      </c>
    </row>
    <row r="470" spans="1:37" outlineLevel="2" x14ac:dyDescent="0.25">
      <c r="A470" t="s">
        <v>129</v>
      </c>
      <c r="B470" t="s">
        <v>1</v>
      </c>
      <c r="C470" t="s">
        <v>2</v>
      </c>
      <c r="D470" t="s">
        <v>3</v>
      </c>
      <c r="E470" t="s">
        <v>4</v>
      </c>
      <c r="F470" t="s">
        <v>243</v>
      </c>
      <c r="G470" s="2">
        <v>45719</v>
      </c>
      <c r="H470" t="s">
        <v>1275</v>
      </c>
      <c r="I470" t="s">
        <v>22</v>
      </c>
      <c r="J470" s="2">
        <v>45719</v>
      </c>
      <c r="K470" s="2">
        <v>45719</v>
      </c>
      <c r="L470" t="s">
        <v>8</v>
      </c>
      <c r="M470" s="26">
        <v>246779410507</v>
      </c>
      <c r="N470" t="s">
        <v>10</v>
      </c>
      <c r="O470" t="s">
        <v>11</v>
      </c>
      <c r="P470" t="s">
        <v>12</v>
      </c>
      <c r="Q470" t="s">
        <v>24</v>
      </c>
      <c r="R470" t="s">
        <v>14</v>
      </c>
      <c r="S470" s="3">
        <v>2.35</v>
      </c>
      <c r="T470" t="s">
        <v>15</v>
      </c>
      <c r="U470" s="3">
        <v>203.72</v>
      </c>
      <c r="V470" s="3" t="e">
        <f>VLOOKUP(M470,'[1]Query Report'!$A:$E,5,0)</f>
        <v>#N/A</v>
      </c>
      <c r="W470" s="3" t="e">
        <f t="shared" si="33"/>
        <v>#N/A</v>
      </c>
      <c r="X470" s="29" t="e">
        <f t="shared" si="32"/>
        <v>#N/A</v>
      </c>
      <c r="Y470" s="29" t="s">
        <v>1362</v>
      </c>
      <c r="Z470" t="s">
        <v>16</v>
      </c>
      <c r="AA470" t="s">
        <v>17</v>
      </c>
      <c r="AB470" t="s">
        <v>12</v>
      </c>
      <c r="AC470" t="s">
        <v>8</v>
      </c>
      <c r="AD470" t="s">
        <v>18</v>
      </c>
      <c r="AE470" t="s">
        <v>1244</v>
      </c>
      <c r="AF470" t="s">
        <v>12</v>
      </c>
      <c r="AG470" t="s">
        <v>12</v>
      </c>
      <c r="AH470" t="s">
        <v>12</v>
      </c>
      <c r="AI470" s="2">
        <v>45719</v>
      </c>
      <c r="AJ470" s="2"/>
      <c r="AK470" t="s">
        <v>12</v>
      </c>
    </row>
    <row r="471" spans="1:37" outlineLevel="2" x14ac:dyDescent="0.25">
      <c r="A471" t="s">
        <v>129</v>
      </c>
      <c r="B471" t="s">
        <v>1</v>
      </c>
      <c r="C471" t="s">
        <v>2</v>
      </c>
      <c r="D471" t="s">
        <v>3</v>
      </c>
      <c r="E471" t="s">
        <v>4</v>
      </c>
      <c r="F471" t="s">
        <v>243</v>
      </c>
      <c r="G471" s="2">
        <v>45719</v>
      </c>
      <c r="H471" t="s">
        <v>1277</v>
      </c>
      <c r="I471" t="s">
        <v>22</v>
      </c>
      <c r="J471" s="2">
        <v>45719</v>
      </c>
      <c r="K471" s="2">
        <v>45719</v>
      </c>
      <c r="L471" t="s">
        <v>8</v>
      </c>
      <c r="M471" s="26">
        <v>246779410508</v>
      </c>
      <c r="N471" t="s">
        <v>10</v>
      </c>
      <c r="O471" t="s">
        <v>11</v>
      </c>
      <c r="P471" t="s">
        <v>12</v>
      </c>
      <c r="Q471" t="s">
        <v>24</v>
      </c>
      <c r="R471" t="s">
        <v>14</v>
      </c>
      <c r="S471" s="3">
        <v>2.35</v>
      </c>
      <c r="T471" t="s">
        <v>15</v>
      </c>
      <c r="U471" s="3">
        <v>203.72</v>
      </c>
      <c r="V471" s="3" t="e">
        <f>VLOOKUP(M471,'[1]Query Report'!$A:$E,5,0)</f>
        <v>#N/A</v>
      </c>
      <c r="W471" s="3" t="e">
        <f t="shared" si="33"/>
        <v>#N/A</v>
      </c>
      <c r="X471" s="29" t="e">
        <f t="shared" si="32"/>
        <v>#N/A</v>
      </c>
      <c r="Y471" s="29" t="s">
        <v>1363</v>
      </c>
      <c r="Z471" t="s">
        <v>16</v>
      </c>
      <c r="AA471" t="s">
        <v>17</v>
      </c>
      <c r="AB471" t="s">
        <v>12</v>
      </c>
      <c r="AC471" t="s">
        <v>8</v>
      </c>
      <c r="AD471" t="s">
        <v>18</v>
      </c>
      <c r="AE471" t="s">
        <v>1244</v>
      </c>
      <c r="AF471" t="s">
        <v>12</v>
      </c>
      <c r="AG471" t="s">
        <v>12</v>
      </c>
      <c r="AH471" t="s">
        <v>12</v>
      </c>
      <c r="AI471" s="2">
        <v>45719</v>
      </c>
      <c r="AJ471" s="2"/>
      <c r="AK471" t="s">
        <v>12</v>
      </c>
    </row>
    <row r="472" spans="1:37" outlineLevel="2" x14ac:dyDescent="0.25">
      <c r="A472" t="s">
        <v>129</v>
      </c>
      <c r="B472" t="s">
        <v>1</v>
      </c>
      <c r="C472" t="s">
        <v>2</v>
      </c>
      <c r="D472" t="s">
        <v>3</v>
      </c>
      <c r="E472" t="s">
        <v>4</v>
      </c>
      <c r="F472" t="s">
        <v>243</v>
      </c>
      <c r="G472" s="2">
        <v>45719</v>
      </c>
      <c r="H472" t="s">
        <v>1279</v>
      </c>
      <c r="I472" t="s">
        <v>22</v>
      </c>
      <c r="J472" s="2">
        <v>45719</v>
      </c>
      <c r="K472" s="2">
        <v>45720</v>
      </c>
      <c r="L472" t="s">
        <v>8</v>
      </c>
      <c r="M472" s="26">
        <v>246779410605</v>
      </c>
      <c r="N472" t="s">
        <v>10</v>
      </c>
      <c r="O472" t="s">
        <v>11</v>
      </c>
      <c r="P472" t="s">
        <v>12</v>
      </c>
      <c r="Q472" t="s">
        <v>24</v>
      </c>
      <c r="R472" t="s">
        <v>14</v>
      </c>
      <c r="S472" s="3">
        <v>23.5</v>
      </c>
      <c r="T472" t="s">
        <v>15</v>
      </c>
      <c r="U472" s="3">
        <v>2037.24</v>
      </c>
      <c r="V472" s="3" t="e">
        <f>VLOOKUP(M472,'[1]Query Report'!$A:$E,5,0)</f>
        <v>#N/A</v>
      </c>
      <c r="W472" s="3" t="e">
        <f t="shared" si="33"/>
        <v>#N/A</v>
      </c>
      <c r="X472" s="29" t="e">
        <f t="shared" si="32"/>
        <v>#N/A</v>
      </c>
      <c r="Y472" s="29" t="s">
        <v>1363</v>
      </c>
      <c r="Z472" t="s">
        <v>16</v>
      </c>
      <c r="AA472" t="s">
        <v>17</v>
      </c>
      <c r="AB472" t="s">
        <v>12</v>
      </c>
      <c r="AC472" t="s">
        <v>8</v>
      </c>
      <c r="AD472" t="s">
        <v>18</v>
      </c>
      <c r="AE472" t="s">
        <v>1056</v>
      </c>
      <c r="AF472" t="s">
        <v>12</v>
      </c>
      <c r="AG472" t="s">
        <v>12</v>
      </c>
      <c r="AH472" t="s">
        <v>12</v>
      </c>
      <c r="AI472" s="2">
        <v>45719</v>
      </c>
      <c r="AJ472" s="2"/>
      <c r="AK472" t="s">
        <v>12</v>
      </c>
    </row>
    <row r="473" spans="1:37" outlineLevel="2" x14ac:dyDescent="0.25">
      <c r="A473" t="s">
        <v>129</v>
      </c>
      <c r="B473" t="s">
        <v>1</v>
      </c>
      <c r="C473" t="s">
        <v>2</v>
      </c>
      <c r="D473" t="s">
        <v>3</v>
      </c>
      <c r="E473" t="s">
        <v>4</v>
      </c>
      <c r="F473" t="s">
        <v>243</v>
      </c>
      <c r="G473" s="2">
        <v>45719</v>
      </c>
      <c r="H473" t="s">
        <v>1281</v>
      </c>
      <c r="I473" t="s">
        <v>22</v>
      </c>
      <c r="J473" s="2">
        <v>45719</v>
      </c>
      <c r="K473" s="2">
        <v>45720</v>
      </c>
      <c r="L473" t="s">
        <v>8</v>
      </c>
      <c r="M473" s="26">
        <v>246779410606</v>
      </c>
      <c r="N473" t="s">
        <v>10</v>
      </c>
      <c r="O473" t="s">
        <v>11</v>
      </c>
      <c r="P473" t="s">
        <v>12</v>
      </c>
      <c r="Q473" t="s">
        <v>24</v>
      </c>
      <c r="R473" t="s">
        <v>14</v>
      </c>
      <c r="S473" s="3">
        <v>4.7</v>
      </c>
      <c r="T473" t="s">
        <v>15</v>
      </c>
      <c r="U473" s="3">
        <v>407.45</v>
      </c>
      <c r="V473" s="3" t="e">
        <f>VLOOKUP(M473,'[1]Query Report'!$A:$E,5,0)</f>
        <v>#N/A</v>
      </c>
      <c r="W473" s="3" t="e">
        <f t="shared" si="33"/>
        <v>#N/A</v>
      </c>
      <c r="X473" s="29" t="e">
        <f t="shared" si="32"/>
        <v>#N/A</v>
      </c>
      <c r="Y473" s="29" t="s">
        <v>1363</v>
      </c>
      <c r="Z473" t="s">
        <v>16</v>
      </c>
      <c r="AA473" t="s">
        <v>17</v>
      </c>
      <c r="AB473" t="s">
        <v>12</v>
      </c>
      <c r="AC473" t="s">
        <v>8</v>
      </c>
      <c r="AD473" t="s">
        <v>18</v>
      </c>
      <c r="AE473" t="s">
        <v>1056</v>
      </c>
      <c r="AF473" t="s">
        <v>12</v>
      </c>
      <c r="AG473" t="s">
        <v>12</v>
      </c>
      <c r="AH473" t="s">
        <v>12</v>
      </c>
      <c r="AI473" s="2">
        <v>45719</v>
      </c>
      <c r="AJ473" s="2"/>
      <c r="AK473" t="s">
        <v>12</v>
      </c>
    </row>
    <row r="474" spans="1:37" outlineLevel="2" x14ac:dyDescent="0.25">
      <c r="A474" t="s">
        <v>129</v>
      </c>
      <c r="B474" t="s">
        <v>1</v>
      </c>
      <c r="C474" t="s">
        <v>2</v>
      </c>
      <c r="D474" t="s">
        <v>3</v>
      </c>
      <c r="E474" t="s">
        <v>4</v>
      </c>
      <c r="F474" t="s">
        <v>243</v>
      </c>
      <c r="G474" s="2">
        <v>45719</v>
      </c>
      <c r="H474" t="s">
        <v>1283</v>
      </c>
      <c r="I474" t="s">
        <v>22</v>
      </c>
      <c r="J474" s="2">
        <v>45719</v>
      </c>
      <c r="K474" s="2">
        <v>45720</v>
      </c>
      <c r="L474" t="s">
        <v>8</v>
      </c>
      <c r="M474" s="26">
        <v>246779410607</v>
      </c>
      <c r="N474" t="s">
        <v>10</v>
      </c>
      <c r="O474" t="s">
        <v>11</v>
      </c>
      <c r="P474" t="s">
        <v>12</v>
      </c>
      <c r="Q474" t="s">
        <v>24</v>
      </c>
      <c r="R474" t="s">
        <v>14</v>
      </c>
      <c r="S474" s="3">
        <v>4.7</v>
      </c>
      <c r="T474" t="s">
        <v>15</v>
      </c>
      <c r="U474" s="3">
        <v>407.45</v>
      </c>
      <c r="V474" s="3" t="e">
        <f>VLOOKUP(M474,'[1]Query Report'!$A:$E,5,0)</f>
        <v>#N/A</v>
      </c>
      <c r="W474" s="3" t="e">
        <f t="shared" si="33"/>
        <v>#N/A</v>
      </c>
      <c r="X474" s="29" t="e">
        <f t="shared" si="32"/>
        <v>#N/A</v>
      </c>
      <c r="Y474" s="29" t="s">
        <v>1363</v>
      </c>
      <c r="Z474" t="s">
        <v>16</v>
      </c>
      <c r="AA474" t="s">
        <v>17</v>
      </c>
      <c r="AB474" t="s">
        <v>12</v>
      </c>
      <c r="AC474" t="s">
        <v>8</v>
      </c>
      <c r="AD474" t="s">
        <v>18</v>
      </c>
      <c r="AE474" t="s">
        <v>1056</v>
      </c>
      <c r="AF474" t="s">
        <v>12</v>
      </c>
      <c r="AG474" t="s">
        <v>12</v>
      </c>
      <c r="AH474" t="s">
        <v>12</v>
      </c>
      <c r="AI474" s="2">
        <v>45719</v>
      </c>
      <c r="AJ474" s="2"/>
      <c r="AK474" t="s">
        <v>12</v>
      </c>
    </row>
    <row r="475" spans="1:37" outlineLevel="2" x14ac:dyDescent="0.25">
      <c r="A475" t="s">
        <v>129</v>
      </c>
      <c r="B475" t="s">
        <v>1</v>
      </c>
      <c r="C475" t="s">
        <v>2</v>
      </c>
      <c r="D475" t="s">
        <v>3</v>
      </c>
      <c r="E475" t="s">
        <v>4</v>
      </c>
      <c r="F475" t="s">
        <v>243</v>
      </c>
      <c r="G475" s="2">
        <v>45719</v>
      </c>
      <c r="H475" t="s">
        <v>1285</v>
      </c>
      <c r="I475" t="s">
        <v>22</v>
      </c>
      <c r="J475" s="2">
        <v>45719</v>
      </c>
      <c r="K475" s="2">
        <v>45720</v>
      </c>
      <c r="L475" t="s">
        <v>8</v>
      </c>
      <c r="M475" s="26">
        <v>246779410608</v>
      </c>
      <c r="N475" t="s">
        <v>10</v>
      </c>
      <c r="O475" t="s">
        <v>11</v>
      </c>
      <c r="P475" t="s">
        <v>12</v>
      </c>
      <c r="Q475" t="s">
        <v>24</v>
      </c>
      <c r="R475" t="s">
        <v>14</v>
      </c>
      <c r="S475" s="3">
        <v>9.4</v>
      </c>
      <c r="T475" t="s">
        <v>15</v>
      </c>
      <c r="U475" s="3">
        <v>814.9</v>
      </c>
      <c r="V475" s="3" t="e">
        <f>VLOOKUP(M475,'[1]Query Report'!$A:$E,5,0)</f>
        <v>#N/A</v>
      </c>
      <c r="W475" s="3" t="e">
        <f t="shared" si="33"/>
        <v>#N/A</v>
      </c>
      <c r="X475" s="29" t="e">
        <f t="shared" si="32"/>
        <v>#N/A</v>
      </c>
      <c r="Y475" s="29" t="s">
        <v>1363</v>
      </c>
      <c r="Z475" t="s">
        <v>16</v>
      </c>
      <c r="AA475" t="s">
        <v>17</v>
      </c>
      <c r="AB475" t="s">
        <v>12</v>
      </c>
      <c r="AC475" t="s">
        <v>8</v>
      </c>
      <c r="AD475" t="s">
        <v>18</v>
      </c>
      <c r="AE475" t="s">
        <v>1056</v>
      </c>
      <c r="AF475" t="s">
        <v>12</v>
      </c>
      <c r="AG475" t="s">
        <v>12</v>
      </c>
      <c r="AH475" t="s">
        <v>12</v>
      </c>
      <c r="AI475" s="2">
        <v>45719</v>
      </c>
      <c r="AJ475" s="2"/>
      <c r="AK475" t="s">
        <v>12</v>
      </c>
    </row>
    <row r="476" spans="1:37" outlineLevel="2" x14ac:dyDescent="0.25">
      <c r="A476" t="s">
        <v>129</v>
      </c>
      <c r="B476" t="s">
        <v>1</v>
      </c>
      <c r="C476" t="s">
        <v>2</v>
      </c>
      <c r="D476" t="s">
        <v>3</v>
      </c>
      <c r="E476" t="s">
        <v>4</v>
      </c>
      <c r="F476" t="s">
        <v>243</v>
      </c>
      <c r="G476" s="2">
        <v>45719</v>
      </c>
      <c r="H476" t="s">
        <v>1287</v>
      </c>
      <c r="I476" t="s">
        <v>22</v>
      </c>
      <c r="J476" s="2">
        <v>45719</v>
      </c>
      <c r="K476" s="2">
        <v>45720</v>
      </c>
      <c r="L476" t="s">
        <v>8</v>
      </c>
      <c r="M476" s="26">
        <v>246779410609</v>
      </c>
      <c r="N476" t="s">
        <v>10</v>
      </c>
      <c r="O476" t="s">
        <v>11</v>
      </c>
      <c r="P476" t="s">
        <v>12</v>
      </c>
      <c r="Q476" t="s">
        <v>24</v>
      </c>
      <c r="R476" t="s">
        <v>14</v>
      </c>
      <c r="S476" s="3">
        <v>37.6</v>
      </c>
      <c r="T476" t="s">
        <v>15</v>
      </c>
      <c r="U476" s="3">
        <v>3259.59</v>
      </c>
      <c r="V476" s="3" t="e">
        <f>VLOOKUP(M476,'[1]Query Report'!$A:$E,5,0)</f>
        <v>#N/A</v>
      </c>
      <c r="W476" s="3" t="e">
        <f t="shared" si="33"/>
        <v>#N/A</v>
      </c>
      <c r="X476" s="29" t="e">
        <f t="shared" si="32"/>
        <v>#N/A</v>
      </c>
      <c r="Y476" s="29" t="s">
        <v>1363</v>
      </c>
      <c r="Z476" t="s">
        <v>16</v>
      </c>
      <c r="AA476" t="s">
        <v>17</v>
      </c>
      <c r="AB476" t="s">
        <v>12</v>
      </c>
      <c r="AC476" t="s">
        <v>8</v>
      </c>
      <c r="AD476" t="s">
        <v>18</v>
      </c>
      <c r="AE476" t="s">
        <v>1056</v>
      </c>
      <c r="AF476" t="s">
        <v>12</v>
      </c>
      <c r="AG476" t="s">
        <v>12</v>
      </c>
      <c r="AH476" t="s">
        <v>12</v>
      </c>
      <c r="AI476" s="2">
        <v>45719</v>
      </c>
      <c r="AJ476" s="2"/>
      <c r="AK476" t="s">
        <v>12</v>
      </c>
    </row>
    <row r="477" spans="1:37" outlineLevel="2" x14ac:dyDescent="0.25">
      <c r="A477" t="s">
        <v>129</v>
      </c>
      <c r="B477" t="s">
        <v>1</v>
      </c>
      <c r="C477" t="s">
        <v>2</v>
      </c>
      <c r="D477" t="s">
        <v>3</v>
      </c>
      <c r="E477" t="s">
        <v>4</v>
      </c>
      <c r="F477" t="s">
        <v>243</v>
      </c>
      <c r="G477" s="2">
        <v>45719</v>
      </c>
      <c r="H477" t="s">
        <v>1289</v>
      </c>
      <c r="I477" t="s">
        <v>22</v>
      </c>
      <c r="J477" s="2">
        <v>45719</v>
      </c>
      <c r="K477" s="2">
        <v>45720</v>
      </c>
      <c r="L477" t="s">
        <v>8</v>
      </c>
      <c r="M477" s="26">
        <v>246779410610</v>
      </c>
      <c r="N477" t="s">
        <v>10</v>
      </c>
      <c r="O477" t="s">
        <v>11</v>
      </c>
      <c r="P477" t="s">
        <v>12</v>
      </c>
      <c r="Q477" t="s">
        <v>24</v>
      </c>
      <c r="R477" t="s">
        <v>14</v>
      </c>
      <c r="S477" s="3">
        <v>2.35</v>
      </c>
      <c r="T477" t="s">
        <v>15</v>
      </c>
      <c r="U477" s="3">
        <v>203.72</v>
      </c>
      <c r="V477" s="3" t="e">
        <f>VLOOKUP(M477,'[1]Query Report'!$A:$E,5,0)</f>
        <v>#N/A</v>
      </c>
      <c r="W477" s="3" t="e">
        <f t="shared" si="33"/>
        <v>#N/A</v>
      </c>
      <c r="X477" s="29" t="e">
        <f t="shared" si="32"/>
        <v>#N/A</v>
      </c>
      <c r="Y477" s="29" t="s">
        <v>1363</v>
      </c>
      <c r="Z477" t="s">
        <v>16</v>
      </c>
      <c r="AA477" t="s">
        <v>17</v>
      </c>
      <c r="AB477" t="s">
        <v>12</v>
      </c>
      <c r="AC477" t="s">
        <v>8</v>
      </c>
      <c r="AD477" t="s">
        <v>18</v>
      </c>
      <c r="AE477" t="s">
        <v>1056</v>
      </c>
      <c r="AF477" t="s">
        <v>12</v>
      </c>
      <c r="AG477" t="s">
        <v>12</v>
      </c>
      <c r="AH477" t="s">
        <v>12</v>
      </c>
      <c r="AI477" s="2">
        <v>45719</v>
      </c>
      <c r="AJ477" s="2"/>
      <c r="AK477" t="s">
        <v>12</v>
      </c>
    </row>
    <row r="478" spans="1:37" outlineLevel="2" x14ac:dyDescent="0.25">
      <c r="A478" t="s">
        <v>129</v>
      </c>
      <c r="B478" t="s">
        <v>1</v>
      </c>
      <c r="C478" t="s">
        <v>2</v>
      </c>
      <c r="D478" t="s">
        <v>3</v>
      </c>
      <c r="E478" t="s">
        <v>4</v>
      </c>
      <c r="F478" t="s">
        <v>243</v>
      </c>
      <c r="G478" s="2">
        <v>45719</v>
      </c>
      <c r="H478" t="s">
        <v>1291</v>
      </c>
      <c r="I478" t="s">
        <v>22</v>
      </c>
      <c r="J478" s="2">
        <v>45719</v>
      </c>
      <c r="K478" s="2">
        <v>45720</v>
      </c>
      <c r="L478" t="s">
        <v>8</v>
      </c>
      <c r="M478" s="26">
        <v>246779410611</v>
      </c>
      <c r="N478" t="s">
        <v>10</v>
      </c>
      <c r="O478" t="s">
        <v>11</v>
      </c>
      <c r="P478" t="s">
        <v>12</v>
      </c>
      <c r="Q478" t="s">
        <v>24</v>
      </c>
      <c r="R478" t="s">
        <v>14</v>
      </c>
      <c r="S478" s="3">
        <v>4.7</v>
      </c>
      <c r="T478" t="s">
        <v>15</v>
      </c>
      <c r="U478" s="3">
        <v>407.45</v>
      </c>
      <c r="V478" s="3" t="e">
        <f>VLOOKUP(M478,'[1]Query Report'!$A:$E,5,0)</f>
        <v>#N/A</v>
      </c>
      <c r="W478" s="3" t="e">
        <f t="shared" si="33"/>
        <v>#N/A</v>
      </c>
      <c r="X478" s="29" t="e">
        <f t="shared" si="32"/>
        <v>#N/A</v>
      </c>
      <c r="Y478" s="29" t="s">
        <v>1363</v>
      </c>
      <c r="Z478" t="s">
        <v>16</v>
      </c>
      <c r="AA478" t="s">
        <v>17</v>
      </c>
      <c r="AB478" t="s">
        <v>12</v>
      </c>
      <c r="AC478" t="s">
        <v>8</v>
      </c>
      <c r="AD478" t="s">
        <v>18</v>
      </c>
      <c r="AE478" t="s">
        <v>1056</v>
      </c>
      <c r="AF478" t="s">
        <v>12</v>
      </c>
      <c r="AG478" t="s">
        <v>12</v>
      </c>
      <c r="AH478" t="s">
        <v>12</v>
      </c>
      <c r="AI478" s="2">
        <v>45719</v>
      </c>
      <c r="AJ478" s="2"/>
      <c r="AK478" t="s">
        <v>12</v>
      </c>
    </row>
    <row r="479" spans="1:37" outlineLevel="2" x14ac:dyDescent="0.25">
      <c r="A479" t="s">
        <v>129</v>
      </c>
      <c r="B479" t="s">
        <v>1</v>
      </c>
      <c r="C479" t="s">
        <v>2</v>
      </c>
      <c r="D479" t="s">
        <v>3</v>
      </c>
      <c r="E479" t="s">
        <v>4</v>
      </c>
      <c r="F479" t="s">
        <v>243</v>
      </c>
      <c r="G479" s="2">
        <v>45719</v>
      </c>
      <c r="H479" t="s">
        <v>1293</v>
      </c>
      <c r="I479" t="s">
        <v>22</v>
      </c>
      <c r="J479" s="2">
        <v>45719</v>
      </c>
      <c r="K479" s="2">
        <v>45720</v>
      </c>
      <c r="L479" t="s">
        <v>8</v>
      </c>
      <c r="M479" s="26">
        <v>246779410613</v>
      </c>
      <c r="N479" t="s">
        <v>10</v>
      </c>
      <c r="O479" t="s">
        <v>11</v>
      </c>
      <c r="P479" t="s">
        <v>12</v>
      </c>
      <c r="Q479" t="s">
        <v>24</v>
      </c>
      <c r="R479" t="s">
        <v>14</v>
      </c>
      <c r="S479" s="3">
        <v>9.4</v>
      </c>
      <c r="T479" t="s">
        <v>15</v>
      </c>
      <c r="U479" s="3">
        <v>814.9</v>
      </c>
      <c r="V479" s="3" t="e">
        <f>VLOOKUP(M479,'[1]Query Report'!$A:$E,5,0)</f>
        <v>#N/A</v>
      </c>
      <c r="W479" s="3" t="e">
        <f t="shared" si="33"/>
        <v>#N/A</v>
      </c>
      <c r="X479" s="29" t="e">
        <f t="shared" si="32"/>
        <v>#N/A</v>
      </c>
      <c r="Y479" s="29" t="s">
        <v>1363</v>
      </c>
      <c r="Z479" t="s">
        <v>16</v>
      </c>
      <c r="AA479" t="s">
        <v>17</v>
      </c>
      <c r="AB479" t="s">
        <v>12</v>
      </c>
      <c r="AC479" t="s">
        <v>8</v>
      </c>
      <c r="AD479" t="s">
        <v>18</v>
      </c>
      <c r="AE479" t="s">
        <v>1056</v>
      </c>
      <c r="AF479" t="s">
        <v>12</v>
      </c>
      <c r="AG479" t="s">
        <v>12</v>
      </c>
      <c r="AH479" t="s">
        <v>12</v>
      </c>
      <c r="AI479" s="2">
        <v>45719</v>
      </c>
      <c r="AJ479" s="2"/>
      <c r="AK479" t="s">
        <v>12</v>
      </c>
    </row>
    <row r="480" spans="1:37" outlineLevel="2" x14ac:dyDescent="0.25">
      <c r="A480" t="s">
        <v>129</v>
      </c>
      <c r="B480" t="s">
        <v>1</v>
      </c>
      <c r="C480" t="s">
        <v>2</v>
      </c>
      <c r="D480" t="s">
        <v>3</v>
      </c>
      <c r="E480" t="s">
        <v>4</v>
      </c>
      <c r="F480" t="s">
        <v>609</v>
      </c>
      <c r="G480" s="2">
        <v>45870</v>
      </c>
      <c r="H480" t="s">
        <v>1295</v>
      </c>
      <c r="I480" t="s">
        <v>22</v>
      </c>
      <c r="J480" s="2">
        <v>45870</v>
      </c>
      <c r="K480" s="2">
        <v>45873</v>
      </c>
      <c r="L480" t="s">
        <v>8</v>
      </c>
      <c r="M480" s="26">
        <v>256779416054</v>
      </c>
      <c r="N480" t="s">
        <v>10</v>
      </c>
      <c r="O480" t="s">
        <v>11</v>
      </c>
      <c r="P480" t="s">
        <v>12</v>
      </c>
      <c r="Q480" t="s">
        <v>24</v>
      </c>
      <c r="R480" t="s">
        <v>14</v>
      </c>
      <c r="S480" s="3">
        <v>456.75</v>
      </c>
      <c r="T480" t="s">
        <v>15</v>
      </c>
      <c r="U480" s="3">
        <v>39294.26</v>
      </c>
      <c r="V480" s="3" t="e">
        <f>VLOOKUP(M480,'[1]Query Report'!$A:$E,5,0)</f>
        <v>#N/A</v>
      </c>
      <c r="W480" s="3" t="e">
        <f t="shared" si="33"/>
        <v>#N/A</v>
      </c>
      <c r="X480" s="29" t="e">
        <f t="shared" si="32"/>
        <v>#N/A</v>
      </c>
      <c r="Y480" s="29" t="s">
        <v>1363</v>
      </c>
      <c r="Z480" t="s">
        <v>16</v>
      </c>
      <c r="AA480" t="s">
        <v>17</v>
      </c>
      <c r="AB480" t="s">
        <v>12</v>
      </c>
      <c r="AC480" t="s">
        <v>8</v>
      </c>
      <c r="AD480" t="s">
        <v>18</v>
      </c>
      <c r="AE480" t="s">
        <v>1297</v>
      </c>
      <c r="AF480" t="s">
        <v>12</v>
      </c>
      <c r="AG480" t="s">
        <v>12</v>
      </c>
      <c r="AH480" t="s">
        <v>12</v>
      </c>
      <c r="AI480" s="2">
        <v>45870</v>
      </c>
      <c r="AJ480" s="2"/>
      <c r="AK480" t="s">
        <v>12</v>
      </c>
    </row>
  </sheetData>
  <autoFilter ref="A2:AK480" xr:uid="{D59F55FF-5DBF-4699-BAA2-A4AD9C0CB111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2026-04-20T15:17:47Z</dcterms:modified>
  <cp:category/>
</cp:coreProperties>
</file>